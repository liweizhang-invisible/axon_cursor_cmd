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ain\Box\eController\Do Not Share Outside Apollo\"/>
    </mc:Choice>
  </mc:AlternateContent>
  <xr:revisionPtr revIDLastSave="4" documentId="13_ncr:1_{6D472C9E-B606-4AAC-863D-5CF3FDCDBA88}" xr6:coauthVersionLast="47" xr6:coauthVersionMax="47" xr10:uidLastSave="{7D630691-23DA-47FD-AB77-FCC773C4BD45}"/>
  <bookViews>
    <workbookView xWindow="-120" yWindow="-120" windowWidth="29040" windowHeight="15720" tabRatio="931" firstSheet="4" activeTab="4" xr2:uid="{00000000-000D-0000-FFFF-FFFF00000000}"/>
  </bookViews>
  <sheets>
    <sheet name="Steps" sheetId="16" r:id="rId1"/>
    <sheet name="reports" sheetId="8" r:id="rId2"/>
    <sheet name="Summary" sheetId="19" r:id="rId3"/>
    <sheet name="Investran Reports----&gt;" sheetId="26" r:id="rId4"/>
    <sheet name="Trial Balance" sheetId="9" r:id="rId5"/>
    <sheet name="CapActStmnt" sheetId="10" r:id="rId6"/>
    <sheet name="Schedule of Investments" sheetId="11" r:id="rId7"/>
    <sheet name="Allocation Rule" sheetId="12" r:id="rId8"/>
    <sheet name="Trial Balance - investor level" sheetId="15" r:id="rId9"/>
    <sheet name="SCPC Report" sheetId="13" r:id="rId10"/>
    <sheet name="Unfunded Commitment Summary" sheetId="14" r:id="rId11"/>
    <sheet name="Fund Perfomance" sheetId="34" r:id="rId12"/>
    <sheet name=" IRR - Investment" sheetId="36" r:id="rId13"/>
    <sheet name="Investment Data - SOI" sheetId="33" r:id="rId14"/>
    <sheet name="Data Sources---&gt;" sheetId="28" r:id="rId15"/>
    <sheet name="Cash Transaction " sheetId="32" r:id="rId16"/>
    <sheet name="Expenses Input" sheetId="24" r:id="rId17"/>
    <sheet name="Inputs----&gt;" sheetId="29" r:id="rId18"/>
    <sheet name="List" sheetId="30" r:id="rId19"/>
    <sheet name="ReferenceData" sheetId="21" state="veryHidden" r:id="rId20"/>
    <sheet name="Net Asset Value Analysis Repor2" sheetId="22" state="hidden" r:id="rId21"/>
    <sheet name="Portfolio Appraisal Report2" sheetId="23" state="hidden" r:id="rId22"/>
  </sheets>
  <definedNames>
    <definedName name="\A">#REF!</definedName>
    <definedName name="\B">#REF!</definedName>
    <definedName name="\C">#REF!</definedName>
    <definedName name="\H">#REF!</definedName>
    <definedName name="\p">#REF!</definedName>
    <definedName name="\PA">#REF!</definedName>
    <definedName name="\PQ">#REF!</definedName>
    <definedName name="\PQ1">#REF!</definedName>
    <definedName name="\PW">#REF!</definedName>
    <definedName name="\PW1">#REF!</definedName>
    <definedName name="\PW2">#REF!</definedName>
    <definedName name="\Q">#REF!</definedName>
    <definedName name="\S">#REF!</definedName>
    <definedName name="\T">#REF!</definedName>
    <definedName name="\Z">#REF!</definedName>
    <definedName name="__123Graph_E" hidden="1">#REF!</definedName>
    <definedName name="__xlfn.RTD" hidden="1">#NAME?</definedName>
    <definedName name="_1_0REPLA">#REF!</definedName>
    <definedName name="_10_0exp_t">#REF!</definedName>
    <definedName name="_100_">#REF!</definedName>
    <definedName name="_11_0Interest.C">#REF!</definedName>
    <definedName name="_110_">#REF!</definedName>
    <definedName name="_111_">#REF!</definedName>
    <definedName name="_112_">#REF!</definedName>
    <definedName name="_12_0Interest.Calc">#REF!</definedName>
    <definedName name="_13_0pric">#REF!</definedName>
    <definedName name="_14_0R">#REF!</definedName>
    <definedName name="_15_0R">#REF!</definedName>
    <definedName name="_16_0Securit">#REF!</definedName>
    <definedName name="_17_0TAB">#REF!</definedName>
    <definedName name="_18_0TAB">#REF!</definedName>
    <definedName name="_19_0TAB">#REF!</definedName>
    <definedName name="_1Zp1">{0;0;0;0;1;-4105;0.25;0.25;0.38;0.4;2;FALSE;FALSE;FALSE;FALSE;FALSE;#N/A;2;FALSE;1;1;"";" ";"";"";"";"&amp;""Kennerly,Roman Bold""&amp;20LEHMAN BROTHERS";FALSE}</definedName>
    <definedName name="_1Zp2">{0;0;0;0;1;#N/A;0.25;0.25;0.38;0.4;2;FALSE;FALSE;FALSE;FALSE;FALSE;#N/A;2;#N/A;1;1;"";"&amp;C &amp;R&amp;""Kennerly,Roman Bold""&amp;20LEHMAN BROTHERS"}</definedName>
    <definedName name="_1Zp3">{0;0;0;0;1;#N/A;0.25;0.25;0.38;0.4;2;FALSE;FALSE;FALSE;FALSE;FALSE;#N/A;2;#N/A;1;1;"";"&amp;C &amp;R&amp;""Kennerly,Roman Bold""&amp;20LEHMAN BROTHERS"}</definedName>
    <definedName name="_2_0Purch">#REF!</definedName>
    <definedName name="_20_0Unhide.Ra">#REF!</definedName>
    <definedName name="_200_">#REF!</definedName>
    <definedName name="_210_">#REF!</definedName>
    <definedName name="_211_">#REF!</definedName>
    <definedName name="_22_0vol1">#REF!</definedName>
    <definedName name="_220_">#REF!</definedName>
    <definedName name="_221_">#REF!</definedName>
    <definedName name="_222_">#REF!</definedName>
    <definedName name="_223_">#REF!</definedName>
    <definedName name="_224_">#REF!</definedName>
    <definedName name="_23_2">#REF!</definedName>
    <definedName name="_230_">#REF!</definedName>
    <definedName name="_24_7_0">#REF!</definedName>
    <definedName name="_25_8_0R">#REF!</definedName>
    <definedName name="_26exp_t">#REF!</definedName>
    <definedName name="_27vol1">#REF!</definedName>
    <definedName name="_2Zp2">{0;0;0;0;1;-4105;0.25;0.25;0.38;0.4;2;FALSE;FALSE;FALSE;FALSE;FALSE;#N/A;2;FALSE;1;1;"";" ";"";"";"";"&amp;""Kennerly,Roman Bold""&amp;20LEHMAN BROTHERS";FALSE}</definedName>
    <definedName name="_2Zp3">{0;0;0;0;1;#N/A;0.25;0.25;0.38;0.4;2;FALSE;FALSE;FALSE;FALSE;FALSE;#N/A;2;#N/A;1;1;"";"&amp;C &amp;R&amp;""Kennerly,Roman Bold""&amp;20LEHMAN BROTHERS"}</definedName>
    <definedName name="_300_">#REF!</definedName>
    <definedName name="_310_">#REF!</definedName>
    <definedName name="_311_">#REF!</definedName>
    <definedName name="_320_">#REF!</definedName>
    <definedName name="_3Module___Secret_.GoToEnd">[0]!_3Module___Secret_.GoToEnd</definedName>
    <definedName name="_4Module___Secret_.GoToEnd">[0]!_4Module___Secret_.GoToEnd</definedName>
    <definedName name="_5_0Depende">#REF!,#REF!,#REF!</definedName>
    <definedName name="_5_Yr_Growth">#REF!</definedName>
    <definedName name="_6_0All.Colu">#REF!</definedName>
    <definedName name="_7_0CELLO">#REF!</definedName>
    <definedName name="_8_0CELLOC">#REF!</definedName>
    <definedName name="_93BE">#REF!</definedName>
    <definedName name="_93DIL">#REF!</definedName>
    <definedName name="_94BE">#REF!</definedName>
    <definedName name="_94DIL">#REF!</definedName>
    <definedName name="_ABL1">#REF!</definedName>
    <definedName name="_ABL2">#REF!</definedName>
    <definedName name="_abl3">#REF!</definedName>
    <definedName name="_abl4">#REF!</definedName>
    <definedName name="_abl5">#REF!</definedName>
    <definedName name="_ABL6">#REF!</definedName>
    <definedName name="_ABL7">#REF!</definedName>
    <definedName name="_acq1">#REF!</definedName>
    <definedName name="_acq2">#REF!</definedName>
    <definedName name="_adj2004">#REF!</definedName>
    <definedName name="_ALL1">#REF!</definedName>
    <definedName name="_APR1">#REF!</definedName>
    <definedName name="_APR2">#REF!</definedName>
    <definedName name="_APR3">#REF!</definedName>
    <definedName name="_bob1">[0]!_bob1</definedName>
    <definedName name="_bon1">#REF!</definedName>
    <definedName name="_bot1">#REF!</definedName>
    <definedName name="_bot2">#REF!</definedName>
    <definedName name="_CDR2">#REF!</definedName>
    <definedName name="_COMP">#REF!</definedName>
    <definedName name="_dcf2">#REF!</definedName>
    <definedName name="_Dist_Values" hidden="1">#REF!</definedName>
    <definedName name="_doc">{"p1";"p2";"p3"}</definedName>
    <definedName name="_doc1">{0;0;0;0;1;-4105;0.25;0.25;0.38;0.4;2;FALSE;FALSE;FALSE;FALSE;FALSE;#N/A;2;FALSE;1;1;"";" ";"";"";"";"&amp;""Kennerly,Roman Bold""&amp;20LEHMAN BROTHERS";FALSE}</definedName>
    <definedName name="_eol1002">#REF!</definedName>
    <definedName name="_eol701">#REF!</definedName>
    <definedName name="_eol702">#REF!</definedName>
    <definedName name="_eol704">#REF!</definedName>
    <definedName name="_eol705">#REF!</definedName>
    <definedName name="_eol706">#REF!</definedName>
    <definedName name="_eol707">#REF!</definedName>
    <definedName name="_eol709">#REF!</definedName>
    <definedName name="_eol801">#REF!</definedName>
    <definedName name="_eol802">#REF!</definedName>
    <definedName name="_eol804">#REF!</definedName>
    <definedName name="_eol805">#REF!</definedName>
    <definedName name="_eol901">#REF!</definedName>
    <definedName name="_eol902">#REF!</definedName>
    <definedName name="_eol903">#REF!</definedName>
    <definedName name="_eol904">#REF!</definedName>
    <definedName name="_eol905">#REF!</definedName>
    <definedName name="_eol906">#REF!</definedName>
    <definedName name="_eol907">#REF!</definedName>
    <definedName name="_ext1002">#REF!</definedName>
    <definedName name="_ext701">#REF!</definedName>
    <definedName name="_ext702">#REF!</definedName>
    <definedName name="_ext704">#REF!</definedName>
    <definedName name="_ext705">#REF!</definedName>
    <definedName name="_ext706">#REF!</definedName>
    <definedName name="_ext707">#REF!</definedName>
    <definedName name="_ext802">#REF!</definedName>
    <definedName name="_fcf01">#REF!</definedName>
    <definedName name="_fcf02">#REF!</definedName>
    <definedName name="_fcf03">#REF!</definedName>
    <definedName name="_fcf04">#REF!</definedName>
    <definedName name="_fcf99">#REF!</definedName>
    <definedName name="_fif10">#REF!</definedName>
    <definedName name="_fif22">#REF!</definedName>
    <definedName name="_fif6">#REF!</definedName>
    <definedName name="_fif9">#REF!</definedName>
    <definedName name="_xlnm._FilterDatabase" localSheetId="7" hidden="1">'Allocation Rule'!$A$1:$K$155</definedName>
    <definedName name="_xlnm._FilterDatabase" localSheetId="5" hidden="1">CapActStmnt!$S$2:$U$53</definedName>
    <definedName name="_xlnm._FilterDatabase" localSheetId="8" hidden="1">'Trial Balance - investor level'!$A$1:$M$1760</definedName>
    <definedName name="_GIX1">#REF!</definedName>
    <definedName name="_GIX2">#REF!</definedName>
    <definedName name="_GIX3">#REF!</definedName>
    <definedName name="_HET2">#REF!</definedName>
    <definedName name="_KA1">#REF!</definedName>
    <definedName name="_KA2">#REF!</definedName>
    <definedName name="_KA3">#REF!</definedName>
    <definedName name="_Key1" hidden="1">#REF!</definedName>
    <definedName name="_LBO2">#REF!</definedName>
    <definedName name="_LTD107">#REF!</definedName>
    <definedName name="_MDZ2">[0]!is1b,[0]!is1c,[0]!STATS2,[0]!STATS3</definedName>
    <definedName name="_mdz22">[0]!is1b,[0]!is1c,[0]!STATS2,[0]!STATS3</definedName>
    <definedName name="_new1">[0]!_new1</definedName>
    <definedName name="_Orb157">#REF!</definedName>
    <definedName name="_Orb174">#REF!</definedName>
    <definedName name="_Orb176">#REF!</definedName>
    <definedName name="_Orb178">#REF!</definedName>
    <definedName name="_Orb180">#REF!</definedName>
    <definedName name="_Orb307">#REF!</definedName>
    <definedName name="_Orb310">#REF!</definedName>
    <definedName name="_Orb33">#REF!</definedName>
    <definedName name="_Orb340">#REF!</definedName>
    <definedName name="_Orb342">#REF!</definedName>
    <definedName name="_Orb359">#REF!</definedName>
    <definedName name="_Orb47">#REF!</definedName>
    <definedName name="_Orb60">#REF!</definedName>
    <definedName name="_Orb62">#REF!</definedName>
    <definedName name="_Orb64">#REF!</definedName>
    <definedName name="_Orb66">#REF!</definedName>
    <definedName name="_Orb83">#REF!</definedName>
    <definedName name="_Orb85">#REF!</definedName>
    <definedName name="_Order1" hidden="1">255</definedName>
    <definedName name="_Order2" hidden="1">255</definedName>
    <definedName name="_PA1">#REF!</definedName>
    <definedName name="_PFY1">#REF!</definedName>
    <definedName name="_PFY2">#REF!</definedName>
    <definedName name="_PFY3">#REF!</definedName>
    <definedName name="_pg5">#REF!</definedName>
    <definedName name="_pg6">#REF!</definedName>
    <definedName name="_pg7">#REF!</definedName>
    <definedName name="_PIK2">#REF!</definedName>
    <definedName name="_pk08">#REF!</definedName>
    <definedName name="_pk09">#REF!</definedName>
    <definedName name="_pk10">#REF!</definedName>
    <definedName name="_pk2008">#REF!</definedName>
    <definedName name="_pk2009">#REF!</definedName>
    <definedName name="_pk2010">#REF!</definedName>
    <definedName name="_pt9">#REF!</definedName>
    <definedName name="_QTri_Point_Comps">"TPMC Comps"</definedName>
    <definedName name="_rep1">#REF!</definedName>
    <definedName name="_Rep10">#REF!</definedName>
    <definedName name="_rep11">#REF!</definedName>
    <definedName name="_Rep12">#REF!</definedName>
    <definedName name="_Rep2">#REF!</definedName>
    <definedName name="_Rep3">#REF!</definedName>
    <definedName name="_Rep4">#REF!</definedName>
    <definedName name="_Rep5">#REF!</definedName>
    <definedName name="_Rep6">#REF!</definedName>
    <definedName name="_REP605">#REF!</definedName>
    <definedName name="_Rep7">#REF!</definedName>
    <definedName name="_Rep8">#REF!</definedName>
    <definedName name="_Rep9">#REF!</definedName>
    <definedName name="_Report">{"p1";"p2";"p3"}</definedName>
    <definedName name="_Report1">{"p1";"p2";"p3"}</definedName>
    <definedName name="_Rev1">#REF!</definedName>
    <definedName name="_Rev2">#REF!</definedName>
    <definedName name="_rfr96">#REF!</definedName>
    <definedName name="_rfr97">#REF!</definedName>
    <definedName name="_S_Base">{0.1;0;0.382758620689655;0;0;0;0.258620689655172;0;0.258620689655172}</definedName>
    <definedName name="_S_new_case">{0.1;0;0.45;0;0;0;0;0;0.45}</definedName>
    <definedName name="_SAm4">#REF!</definedName>
    <definedName name="_Sat1001">#REF!</definedName>
    <definedName name="_Sat1002">#REF!</definedName>
    <definedName name="_Sat511">#REF!</definedName>
    <definedName name="_Sat601">#REF!</definedName>
    <definedName name="_Sat602">#REF!</definedName>
    <definedName name="_Sat603">#REF!</definedName>
    <definedName name="_Sat604">#REF!</definedName>
    <definedName name="_Sat605">#REF!</definedName>
    <definedName name="_Sat701">#REF!</definedName>
    <definedName name="_Sat702">#REF!</definedName>
    <definedName name="_Sat704">#REF!</definedName>
    <definedName name="_Sat705">#REF!</definedName>
    <definedName name="_Sat706">#REF!</definedName>
    <definedName name="_Sat707">#REF!</definedName>
    <definedName name="_Sat709">#REF!</definedName>
    <definedName name="_Sat801">#REF!</definedName>
    <definedName name="_Sat802">#REF!</definedName>
    <definedName name="_Sat804">#REF!</definedName>
    <definedName name="_Sat805">#REF!</definedName>
    <definedName name="_Sat901">#REF!</definedName>
    <definedName name="_Sat902">#REF!</definedName>
    <definedName name="_Sat903">#REF!</definedName>
    <definedName name="_Sat904">#REF!</definedName>
    <definedName name="_Sat905">#REF!</definedName>
    <definedName name="_Sat906">#REF!</definedName>
    <definedName name="_Sat907">#REF!</definedName>
    <definedName name="_Scenario_new_change">#REF!</definedName>
    <definedName name="_scenchg_count">1</definedName>
    <definedName name="_scenchg1">#REF!</definedName>
    <definedName name="_Sort" hidden="1">#REF!</definedName>
    <definedName name="_STD107">#REF!</definedName>
    <definedName name="_sum16">#REF!</definedName>
    <definedName name="_sum9">#REF!</definedName>
    <definedName name="_sum90">#REF!</definedName>
    <definedName name="_Table2_In1" hidden="1">#REF!</definedName>
    <definedName name="_Table2_Out" hidden="1">#REF!</definedName>
    <definedName name="_tat14">#REF!</definedName>
    <definedName name="_Tax1">#REF!</definedName>
    <definedName name="_tax2">#REF!</definedName>
    <definedName name="_Tax2003">#REF!</definedName>
    <definedName name="_tax3">#REF!</definedName>
    <definedName name="_TXU1">#REF!</definedName>
    <definedName name="_TXU2">#REF!</definedName>
    <definedName name="_vol1995">#REF!</definedName>
    <definedName name="_vol1996">#REF!</definedName>
    <definedName name="_XX402">#REF!</definedName>
    <definedName name="_Z5.5_Discounted_Cash_Flow_2">{0;0;0;0;1;#N/A;0;0;0.3;0.3;2;FALSE;FALSE;FALSE;FALSE;FALSE;#N/A;1;#N/A;1;1;"";""}</definedName>
    <definedName name="_Zaaleswork">{0;0;0;0;1;#N/A;0.25;0.25;0.5;0.25;2;FALSE;FALSE;FALSE;FALSE;FALSE;#N/A;1;72;#N/A;#N/A;"&amp;L&amp;7 RAMIBD04\GROUPS\M&amp;A\GORMAN\SPONSORS\MODEL\NEWMOD_1.XLS -- &amp;D, &amp;T -- Page &amp;P of &amp;N
&amp;7";"&amp;R&amp;""Times New Roman,Italic""&amp;7&amp;F; &amp;D; &amp;T; page &amp;P of &amp;N"}</definedName>
    <definedName name="_Zbaladj">{0;0;0;0;1;1;0;0;0;0;2;FALSE;FALSE;FALSE;FALSE;FALSE;#N/A;1;#N/A;1;1;"";""}</definedName>
    <definedName name="_Zdont_use_lbprint">{0;0;0;0;5;1;0.17;0.15;0.27;0.17;2;FALSE;FALSE;FALSE;FALSE;FALSE;#N/A;1;71;#N/A;#N/A;"";""}</definedName>
    <definedName name="_ZEV">{0;0;0;0;1;#N/A;0.75;0.75;1;1;1;FALSE;FALSE;FALSE;FALSE;FALSE;#N/A;1;100;#N/A;#N/A;"&amp;A";"Page &amp;P"}</definedName>
    <definedName name="_ZLong_Form">{0;0;0;0;1;1;0;0.461;0.036;0.24;2;FALSE;FALSE;FALSE;FALSE;FALSE;#N/A;1;100;#N/A;#N/A;"";""}</definedName>
    <definedName name="_ZLong_Form_1">{0;0;0;0;1;1;0.17;0.15;0.27;0.42;2;FALSE;FALSE;FALSE;FALSE;FALSE;#N/A;1;#N/A;1;1;"";""}</definedName>
    <definedName name="_ZLong_Form_2">{0;0;0;0;1;1;0.17;0.15;0.27;0.42;2;FALSE;FALSE;FALSE;FALSE;FALSE;#N/A;1;#N/A;1;1;"";""}</definedName>
    <definedName name="_ZLong_Form_3">{0;0;0;0;1;1;0.17;0.15;0.27;0.42;2;FALSE;FALSE;FALSE;FALSE;FALSE;#N/A;1;#N/A;1;1;"";""}</definedName>
    <definedName name="_ZLong_Form_4">{0;0;0;0;1;1;0.17;0.15;0.27;0.42;2;FALSE;FALSE;FALSE;FALSE;FALSE;#N/A;1;#N/A;1;1;"";""}</definedName>
    <definedName name="_ZLong_Form_5">{0;0;0;0;1;1;0.17;0.15;0.27;0.42;2;FALSE;FALSE;FALSE;FALSE;FALSE;#N/A;1;#N/A;1;1;"";""}</definedName>
    <definedName name="_Zmodel">{0;0;0;0;1;1;0.25;0.25;0.75;0.25;2;FALSE;FALSE;FALSE;FALSE;FALSE;#N/A;1;75;#N/A;#N/A;"";""}</definedName>
    <definedName name="_ZNotes">{0;0;0;0;1;#N/A;0.75;0.75;1;1;2;TRUE;TRUE;FALSE;FALSE;FALSE;#N/A;1;#N/A;1;1;"";""}</definedName>
    <definedName name="_Zp1">{0;0;0;0;1;-4105;0.25;0.25;0.38;0.4;2;FALSE;FALSE;FALSE;FALSE;FALSE;#N/A;2;FALSE;1;1;"";" ";"";"";"";"&amp;""Kennerly,Roman Bold""&amp;20LEHMAN BROTHERS";FALSE}</definedName>
    <definedName name="_Zp2">{0;0;0;0;1;#N/A;0.25;0.25;0.38;0.4;2;FALSE;FALSE;FALSE;FALSE;FALSE;#N/A;2;#N/A;1;1;"";"&amp;C &amp;R&amp;""Kennerly,Roman Bold""&amp;20LEHMAN BROTHERS"}</definedName>
    <definedName name="_Zp3">{0;0;0;0;1;#N/A;0.25;0.25;0.38;0.4;2;FALSE;FALSE;FALSE;FALSE;FALSE;#N/A;2;#N/A;1;1;"";"&amp;C &amp;R&amp;""Kennerly,Roman Bold""&amp;20LEHMAN BROTHERS"}</definedName>
    <definedName name="_zp4">{0;0;0;0;1;#N/A;0.25;0.25;0.38;0.4;2;FALSE;FALSE;FALSE;FALSE;FALSE;#N/A;2;#N/A;1;1;"";"&amp;C &amp;R&amp;""Kennerly,Roman Bold""&amp;20LEHMAN BROTHERS"}</definedName>
    <definedName name="_ZPAGE_01">{0;0;0;0;5;#N/A;0.75;0.15;0.27;0.17;2;FALSE;TRUE;FALSE;FALSE;FALSE;#N/A;1;#N/A;1;1;"";""}</definedName>
    <definedName name="_ZPAGE_02">{0;0;0;0;5;#N/A;0.26;0.15;0.24;0.17;2;FALSE;TRUE;FALSE;FALSE;FALSE;#N/A;1;#N/A;1;1;"";""}</definedName>
    <definedName name="_ZPAGE_03">{0;0;0;0;5;#N/A;0.26;0.15;0.24;0.17;2;TRUE;TRUE;FALSE;FALSE;FALSE;#N/A;1;#N/A;1;1;"";""}</definedName>
    <definedName name="_ZPage_1">{0;0;0;0;5;1;0;0.461;0.036;0.519;2;TRUE;TRUE;FALSE;FALSE;FALSE;#N/A;1;#N/A;1;1;"";""}</definedName>
    <definedName name="_Zpage1">{0;0;0;0;1;#N/A;0.26;0.15;0.24;0.17;2;TRUE;TRUE;FALSE;FALSE;FALSE;#N/A;1;#N/A;1;1;"";""}</definedName>
    <definedName name="_Zpage2">{0;0;0;0;1;#N/A;0.26;0.15;0.24;0.17;2;TRUE;TRUE;FALSE;FALSE;FALSE;#N/A;1;#N/A;1;1;"";""}</definedName>
    <definedName name="_Zpage3">{0;0;0;0;1;#N/A;0.26;0.15;0.24;0.17;2;TRUE;TRUE;FALSE;FALSE;FALSE;#N/A;1;#N/A;1;1;"";""}</definedName>
    <definedName name="_Zprint_all">{0;0;0;0;1;#N/A;0;0;0.3;0.3;2;FALSE;FALSE;FALSE;FALSE;FALSE;#N/A;1;96;#N/A;#N/A;"";""}</definedName>
    <definedName name="_Zprint_area">{0;0;0;0;1;#N/A;0;0;0.3;0.3;2;FALSE;FALSE;FALSE;FALSE;FALSE;#N/A;1;100;#N/A;#N/A;"";""}</definedName>
    <definedName name="_ZShort_Form_1">{0;0;0;0;1;1;0.17;0.15;0.27;0.42;2;FALSE;FALSE;FALSE;FALSE;FALSE;#N/A;1;#N/A;1;1;"";""}</definedName>
    <definedName name="_ZShort_Form_2">{0;0;0;0;1;1;0.17;0.15;0.27;0.42;2;FALSE;FALSE;FALSE;FALSE;FALSE;#N/A;1;#N/A;1;1;"";""}</definedName>
    <definedName name="_ZShort_form2">{0;0;0;0;1;1;0.17;0.15;0.27;0.42;2;FALSE;FALSE;FALSE;FALSE;FALSE;#N/A;1;#N/A;1;1;"";""}</definedName>
    <definedName name="_Zsummary">{0;0;0;0;1;1;0.85;0.87;0.5;0.5;1;FALSE;FALSE;FALSE;FALSE;FALSE;#N/A;1;100;#N/A;#N/A;"";""}</definedName>
    <definedName name="_Zuse_print_icon_on_toolbar">{0;0;0;0;5;1;0.17;0.15;0.27;0.17;2;FALSE;FALSE;FALSE;FALSE;FALSE;#N/A;1;71;#N/A;#N/A;"";""}</definedName>
    <definedName name="_Zwhole_model">{0;0;0;0;1;1;0.25;0;0.75;0.5;2;FALSE;FALSE;FALSE;FALSE;FALSE;#N/A;1;77;#N/A;#N/A;"";""}</definedName>
    <definedName name="_Zwholemodel">{0;0;0;0;1;1;0.25;0;0.75;0.5;2;FALSE;FALSE;FALSE;FALSE;FALSE;#N/A;1;77;#N/A;#N/A;"";""}</definedName>
    <definedName name="_Zwireless1">{0;0;0;0;1;-4105;0.26;0.15;0.24;0.17;2;TRUE;TRUE;FALSE;FALSE;FALSE;#N/A;1;FALSE;1;1;"";"";"";"";"";"";FALSE}</definedName>
    <definedName name="_Zwireless2">{0;0;0;0;1;-4105;0.26;0.15;0.24;0.17;2;TRUE;TRUE;FALSE;FALSE;FALSE;#N/A;1;FALSE;1;1;"";"";"";"";"";"";FALSE}</definedName>
    <definedName name="_Zwireless3">{0;0;0;0;1;-4105;0.26;0.15;0.24;0.17;2;TRUE;TRUE;FALSE;FALSE;FALSE;#N/A;1;FALSE;1;1;"";"";"";"";"";"";FALSE}</definedName>
    <definedName name="a">#REF!</definedName>
    <definedName name="a_oc_limit">#REF!</definedName>
    <definedName name="aaaa">[0]!is1b,[0]!is1c,[0]!STATS2,[0]!STATS3</definedName>
    <definedName name="AAAAAAAAA">#REF!</definedName>
    <definedName name="aasdfsadfadg">#REF!</definedName>
    <definedName name="ABL_Fees">#REF!</definedName>
    <definedName name="Acc">#REF!</definedName>
    <definedName name="AccIntNote">#REF!</definedName>
    <definedName name="Account">#REF!</definedName>
    <definedName name="Account_Name">#REF!</definedName>
    <definedName name="Account_Name_AAA">#REF!</definedName>
    <definedName name="Account_Name_AAAHldgs_3">#REF!</definedName>
    <definedName name="Account_Name_AIM">#REF!</definedName>
    <definedName name="Account_Name_AIM_4">#REF!</definedName>
    <definedName name="Account_Name_AIM2">#REF!</definedName>
    <definedName name="Account_Name_AMI">#REF!</definedName>
    <definedName name="Account_Name_Asia">#REF!</definedName>
    <definedName name="Account_Name_Asia2">#REF!</definedName>
    <definedName name="Account_Name_Europe">#REF!</definedName>
    <definedName name="Account_Name_Europe2">#REF!</definedName>
    <definedName name="Account_Name_Funds_Q107">#REF!</definedName>
    <definedName name="Account_Name_IV_DOM">#REF!</definedName>
    <definedName name="Account_Name_IV_DOM_2">#REF!</definedName>
    <definedName name="Account_Name_Other">#REF!</definedName>
    <definedName name="Account_Name_Other_2">#REF!</definedName>
    <definedName name="Account_Name_Sing">#REF!</definedName>
    <definedName name="Account_Name_Singapore">#REF!</definedName>
    <definedName name="Account_Name_ValuAdv_2">#REF!</definedName>
    <definedName name="Account_Name_ValuAdv_4">#REF!</definedName>
    <definedName name="Account_Name_ValueMgmnt">#REF!</definedName>
    <definedName name="Account_Name_ValuMgmnt">#REF!</definedName>
    <definedName name="Account_Name_ValuMgt_3">#REF!</definedName>
    <definedName name="Account_Number">#REF!</definedName>
    <definedName name="Account_Number_AIM">#REF!</definedName>
    <definedName name="Account_Number_AIM3">#REF!</definedName>
    <definedName name="Account_Number_SVF_2">#REF!</definedName>
    <definedName name="Account_Number_ver.1">#REF!</definedName>
    <definedName name="account_table">#REF!</definedName>
    <definedName name="Accounts_payable_and_accrued_expenses">#REF!</definedName>
    <definedName name="ACCR93">#REF!</definedName>
    <definedName name="ACCR94">#REF!</definedName>
    <definedName name="ACCR95">#REF!</definedName>
    <definedName name="ACCRETE">#REF!</definedName>
    <definedName name="Accrued_interest">#REF!</definedName>
    <definedName name="ACCT_NAME">#REF!</definedName>
    <definedName name="ACCT_NAME1">#REF!</definedName>
    <definedName name="ACCT_NUMBER">#REF!</definedName>
    <definedName name="acct_tbl2">#REF!</definedName>
    <definedName name="Accum_Amort">#REF!</definedName>
    <definedName name="Accum_Dep">#REF!</definedName>
    <definedName name="Accumulated_earnings__deficit">#REF!</definedName>
    <definedName name="ACN">#REF!</definedName>
    <definedName name="ACQ">#REF!</definedName>
    <definedName name="acqebitda">#REF!</definedName>
    <definedName name="AcqExistDepYrs">#REF!</definedName>
    <definedName name="AcqGwlAmrt_FASB">#REF!</definedName>
    <definedName name="AcqGwlAmrtYrs">#REF!</definedName>
    <definedName name="AcqHistYear">#REF!</definedName>
    <definedName name="AcqIntgAmrtYrs">#REF!</definedName>
    <definedName name="AcqLboProjection">#REF!</definedName>
    <definedName name="AcqNewDepYrs">#REF!</definedName>
    <definedName name="AcqTaxRate">#REF!</definedName>
    <definedName name="Acquiror">#REF!</definedName>
    <definedName name="Acquis_Cost">#REF!</definedName>
    <definedName name="acquisitions_rev">#REF!</definedName>
    <definedName name="Actual">OFFSET(#REF!,,,COUNTA(#REF!),COUNTA(#REF!))</definedName>
    <definedName name="ACTUAL_________">#REF!</definedName>
    <definedName name="Actuals01Comm">#REF!</definedName>
    <definedName name="Actuals01Rev">#REF!</definedName>
    <definedName name="Actuals02Comm">#REF!</definedName>
    <definedName name="Actuals02Rev">#REF!</definedName>
    <definedName name="Add_GLAccounts">#REF!</definedName>
    <definedName name="AddComp">[0]!AddComp</definedName>
    <definedName name="Adjust">#REF!</definedName>
    <definedName name="adjust2">#REF!</definedName>
    <definedName name="AdjustedEPSPrimary">#REF!</definedName>
    <definedName name="AdjustedNetIncome">#REF!</definedName>
    <definedName name="AdjustedPretaxIncome">#REF!</definedName>
    <definedName name="AdjustmentsToPTI">#REF!</definedName>
    <definedName name="AdjustmentsToTaxes">#REF!</definedName>
    <definedName name="adsf">#REF!</definedName>
    <definedName name="afsdfdsafdsafadsfdsaf">{0;0;0;0;1;1;0.85;0.87;0.5;0.5;1;FALSE;FALSE;FALSE;FALSE;FALSE;#N/A;1;100;#N/A;#N/A;"";""}</definedName>
    <definedName name="afx">#REF!</definedName>
    <definedName name="aga">[0]!is1b,[0]!is1c,[0]!STATS2,[0]!STATS3</definedName>
    <definedName name="again">#REF!</definedName>
    <definedName name="AGG_PRISTINE">#REF!</definedName>
    <definedName name="Alignment" hidden="1">"a1"</definedName>
    <definedName name="All30Ku">#REF!</definedName>
    <definedName name="All36Ku">#REF!</definedName>
    <definedName name="ALL54KU">#REF!</definedName>
    <definedName name="ALL60KU">#REF!</definedName>
    <definedName name="allcash">#REF!</definedName>
    <definedName name="ALLKU">#REF!</definedName>
    <definedName name="AllocList">#REF!</definedName>
    <definedName name="AllocName">#REF!</definedName>
    <definedName name="AllTables">{2}</definedName>
    <definedName name="AllTables2">{2}</definedName>
    <definedName name="AllTel1">#REF!</definedName>
    <definedName name="AllTel2">#REF!</definedName>
    <definedName name="Alpha1">#REF!</definedName>
    <definedName name="Alpha2">#REF!</definedName>
    <definedName name="Am">[0]!Am</definedName>
    <definedName name="Am.running">#REF!</definedName>
    <definedName name="AM_Base_Speed">#REF!</definedName>
    <definedName name="AM_BBG_Collat_Type">#REF!</definedName>
    <definedName name="AM_BBG_Name">#REF!</definedName>
    <definedName name="AM_BBG_Rating">#REF!</definedName>
    <definedName name="AM_closeDate">#REF!</definedName>
    <definedName name="AM_Coupon_Frequency">#REF!</definedName>
    <definedName name="AM_Curr_Prin_Bal">#REF!</definedName>
    <definedName name="AM_Cusip">#REF!</definedName>
    <definedName name="AM_Factor">#REF!</definedName>
    <definedName name="AM_Fast_Scaler">#REF!</definedName>
    <definedName name="AM_Floater">#REF!</definedName>
    <definedName name="AM_In_BBG">#REF!</definedName>
    <definedName name="AM_In_Intex">#REF!</definedName>
    <definedName name="AM_InventoryName">#REF!</definedName>
    <definedName name="AM_Orig_Prin_Bal">#REF!</definedName>
    <definedName name="AM_Override">#REF!</definedName>
    <definedName name="AM_Pricing_Speed">#REF!</definedName>
    <definedName name="AM_Pricing_Speed_Unit">#REF!</definedName>
    <definedName name="AM_Rating_Agency">#REF!</definedName>
    <definedName name="AM_Refresh">#REF!</definedName>
    <definedName name="Am_Sked">#REF!</definedName>
    <definedName name="AM_Slow_Scaler">#REF!</definedName>
    <definedName name="AM_Speed_1M">#REF!</definedName>
    <definedName name="AM_Speed_1M_Unit">#REF!</definedName>
    <definedName name="AM_Speed_3M">#REF!</definedName>
    <definedName name="AM_Speed_3M_Unit">#REF!</definedName>
    <definedName name="AM_Speed_6M">#REF!</definedName>
    <definedName name="AM_Speed_6M_Unit">#REF!</definedName>
    <definedName name="AM_Speed_Unit">#REF!</definedName>
    <definedName name="AM_WH_Position">#REF!</definedName>
    <definedName name="AM_WH_Position_User">#REF!</definedName>
    <definedName name="AMARGIN1">#REF!</definedName>
    <definedName name="AMARGIN2">#REF!</definedName>
    <definedName name="AMD">#REF!</definedName>
    <definedName name="AMMOUNT">#REF!</definedName>
    <definedName name="AMORT">#REF!</definedName>
    <definedName name="amort_corp">#REF!</definedName>
    <definedName name="amort_ecommerce">#REF!</definedName>
    <definedName name="amort_isd">#REF!</definedName>
    <definedName name="amort_wsd">#REF!</definedName>
    <definedName name="AmortOn">#REF!</definedName>
    <definedName name="amortotherintangibles">#REF!</definedName>
    <definedName name="an">[0]!is1b,[0]!is1c,[0]!STATS2,[0]!STATS3</definedName>
    <definedName name="Anchor_T1">#REF!</definedName>
    <definedName name="Anchor_T2">#REF!</definedName>
    <definedName name="Anchor_T3">#REF!</definedName>
    <definedName name="ANDROGEN">#REF!</definedName>
    <definedName name="ANIL">#REF!</definedName>
    <definedName name="another">[0]!is1b,[0]!is1c,[0]!STATS2,[0]!STATS3</definedName>
    <definedName name="anscount" hidden="1">1</definedName>
    <definedName name="ant">#REF!</definedName>
    <definedName name="anto">#REF!</definedName>
    <definedName name="anto1">#REF!</definedName>
    <definedName name="AP">#REF!</definedName>
    <definedName name="apic">#REF!</definedName>
    <definedName name="Apollo_Real_Estate_Investment_Fund_II__L.P.">#REF!</definedName>
    <definedName name="APP__DEP_">#REF!</definedName>
    <definedName name="appleton_ebitda">#REF!</definedName>
    <definedName name="appleton_rev">#REF!</definedName>
    <definedName name="APROD">#REF!</definedName>
    <definedName name="AprRate">#REF!</definedName>
    <definedName name="APRthree">#REF!</definedName>
    <definedName name="AR">#REF!</definedName>
    <definedName name="ARA_Threshold">#REF!</definedName>
    <definedName name="Arc_List">#REF!</definedName>
    <definedName name="AREVMfr">#REF!</definedName>
    <definedName name="AREVPROD">#REF!</definedName>
    <definedName name="ARoyal1">#REF!</definedName>
    <definedName name="AROYAL2">#REF!</definedName>
    <definedName name="ARP_Threshold">#REF!</definedName>
    <definedName name="arpu">#REF!</definedName>
    <definedName name="as">#REF!</definedName>
    <definedName name="AS2DocOpenMode" hidden="1">"AS2DocumentEdit"</definedName>
    <definedName name="AS2HasNoAutoHeaderFooter">"OFF"</definedName>
    <definedName name="AS2NamedRange" hidden="1">12</definedName>
    <definedName name="AS2ReportLS" hidden="1">1</definedName>
    <definedName name="AS2StaticLS" hidden="1">#REF!</definedName>
    <definedName name="AS2SyncStepLS" hidden="1">0</definedName>
    <definedName name="AS2TickmarkLS" hidden="1">#REF!</definedName>
    <definedName name="AS2VersionLS" hidden="1">300</definedName>
    <definedName name="asdas" hidden="1">#REF!</definedName>
    <definedName name="asdf">#REF!</definedName>
    <definedName name="asdfas">{0;0;0;0;1;#N/A;0.26;0.15;0.24;0.17;2;TRUE;TRUE;FALSE;FALSE;FALSE;#N/A;1;#N/A;1;1;"";""}</definedName>
    <definedName name="asdfasdf">{0;0;0;0;5;1;0.17;0.15;0.27;0.17;2;FALSE;FALSE;FALSE;FALSE;FALSE;#N/A;1;71;#N/A;#N/A;"";""}</definedName>
    <definedName name="asdfasdfdasfadsfsd">{0;0;0;0;1;1;0.17;0.15;0.27;0.42;2;FALSE;FALSE;FALSE;FALSE;FALSE;#N/A;1;#N/A;1;1;"";""}</definedName>
    <definedName name="asdfasdfdsafdsafsd">{0;0;0;0;1;#N/A;0.26;0.15;0.24;0.17;2;TRUE;TRUE;FALSE;FALSE;FALSE;#N/A;1;#N/A;1;1;"";""}</definedName>
    <definedName name="asdfasdfsfsd">{0;0;0;0;1;#N/A;0;0;0.3;0.3;2;FALSE;FALSE;FALSE;FALSE;FALSE;#N/A;1;96;#N/A;#N/A;"";""}</definedName>
    <definedName name="asfdasdfasd">{0;0;0;0;1;#N/A;0;0;0.3;0.3;2;FALSE;FALSE;FALSE;FALSE;FALSE;#N/A;1;100;#N/A;#N/A;"";""}</definedName>
    <definedName name="ashj">{0;0;0;0;1;#N/A;0.75;0.75;1;1;2;TRUE;TRUE;FALSE;FALSE;FALSE;#N/A;1;#N/A;1;1;"";""}</definedName>
    <definedName name="Asset_Swap_Toggle">#REF!</definedName>
    <definedName name="AssetPurchase">#REF!</definedName>
    <definedName name="assetrates">#REF!</definedName>
    <definedName name="Assets">#REF!</definedName>
    <definedName name="assump">#REF!</definedName>
    <definedName name="ASUM">#REF!</definedName>
    <definedName name="asum1">#REF!</definedName>
    <definedName name="asum2">#REF!</definedName>
    <definedName name="ASUM3">#REF!</definedName>
    <definedName name="ATEMPSALES">#REF!</definedName>
    <definedName name="AugRate">#REF!</definedName>
    <definedName name="AutoDestruct.AutoDestruct">[0]!AutoDestruct.AutoDestruct</definedName>
    <definedName name="AVAYA">#REF!</definedName>
    <definedName name="AverageDaysInventory">#REF!</definedName>
    <definedName name="AverageDaysPayable">#REF!</definedName>
    <definedName name="AverageDSO">#REF!</definedName>
    <definedName name="AverageInvTurns">#REF!</definedName>
    <definedName name="AverageLife">#REF!</definedName>
    <definedName name="AverageNWC">#REF!</definedName>
    <definedName name="AveragePar">#REF!</definedName>
    <definedName name="Avg_Life">#REF!</definedName>
    <definedName name="AvgIssuerParCurrent">#REF!</definedName>
    <definedName name="avgwebaccount">#REF!</definedName>
    <definedName name="avgwebaccounts">#REF!</definedName>
    <definedName name="AZAValu">#REF!</definedName>
    <definedName name="b">#REF!</definedName>
    <definedName name="baack">[0]!baack</definedName>
    <definedName name="back">[0]!back</definedName>
    <definedName name="Back_To_Printing">[0]!Back_To_Printing</definedName>
    <definedName name="Back_To_Printing_Menu">[0]!Back_To_Printing_Menu</definedName>
    <definedName name="back1">[0]!back1</definedName>
    <definedName name="backboneexp">#REF!</definedName>
    <definedName name="bad_exp">#REF!</definedName>
    <definedName name="baddebt">#REF!</definedName>
    <definedName name="baddebtexp">#REF!</definedName>
    <definedName name="bak">[0]!bak</definedName>
    <definedName name="bal">#REF!</definedName>
    <definedName name="balance_sheet">#REF!</definedName>
    <definedName name="BalanceSheet">#REF!</definedName>
    <definedName name="BALSHT">#REF!</definedName>
    <definedName name="BAR">#REF!</definedName>
    <definedName name="Barpu">#REF!</definedName>
    <definedName name="BAS">#REF!</definedName>
    <definedName name="base">#REF!</definedName>
    <definedName name="baseline">#REF!</definedName>
    <definedName name="baseline1">#REF!</definedName>
    <definedName name="BaseYear">#REF!</definedName>
    <definedName name="Bass_YR1">#REF!</definedName>
    <definedName name="Bass_YR10">#REF!</definedName>
    <definedName name="Bass_YR11">#REF!</definedName>
    <definedName name="Bass_YR12">#REF!</definedName>
    <definedName name="Bass_YR13">#REF!</definedName>
    <definedName name="Bass_YR14">#REF!</definedName>
    <definedName name="Bass_YR15">#REF!</definedName>
    <definedName name="Bass_YR16">#REF!</definedName>
    <definedName name="Bass_YR2">#REF!</definedName>
    <definedName name="Bass_YR3">#REF!</definedName>
    <definedName name="Bass_YR4">#REF!</definedName>
    <definedName name="Bass_YR5">#REF!</definedName>
    <definedName name="Bass_YR6">#REF!</definedName>
    <definedName name="Bass_YR7">#REF!</definedName>
    <definedName name="Bass_YR8">#REF!</definedName>
    <definedName name="Bass_YR9">#REF!</definedName>
    <definedName name="BB">#REF!</definedName>
    <definedName name="bbbb">#REF!</definedName>
    <definedName name="bbp_ebitda">#REF!</definedName>
    <definedName name="bbp_rev">#REF!</definedName>
    <definedName name="Bchurn">#REF!</definedName>
    <definedName name="bcm">#REF!</definedName>
    <definedName name="BD_Status">#REF!</definedName>
    <definedName name="BE_Output_Area">#REF!</definedName>
    <definedName name="BE_Table_Ref">#REF!</definedName>
    <definedName name="BE_Type">#REF!</definedName>
    <definedName name="Beg_of_Yr">#REF!</definedName>
    <definedName name="bender">#REF!</definedName>
    <definedName name="benefits">#REF!</definedName>
    <definedName name="Bengal3_EPS_DataTable_Horizontal">#REF!</definedName>
    <definedName name="Bengal3_EPS_DataTable_Vertical">#REF!</definedName>
    <definedName name="BEPT93">#REF!</definedName>
    <definedName name="BEPT94">#REF!</definedName>
    <definedName name="BEPT95">#REF!</definedName>
    <definedName name="BERT">#REF!</definedName>
    <definedName name="bfx">#REF!</definedName>
    <definedName name="BG_Del" hidden="1">15</definedName>
    <definedName name="BG_Ins" hidden="1">4</definedName>
    <definedName name="BG_Mod" hidden="1">6</definedName>
    <definedName name="BillInd">#REF!</definedName>
    <definedName name="BizLine">#REF!</definedName>
    <definedName name="blank">#REF!</definedName>
    <definedName name="bli">#REF!</definedName>
    <definedName name="bob">[0]!bob</definedName>
    <definedName name="bon">#REF!</definedName>
    <definedName name="bond.count">#REF!</definedName>
    <definedName name="BOND_DATA">#REF!</definedName>
    <definedName name="BOND_LMV_SMV">#REF!</definedName>
    <definedName name="Bonds_Par">"Bonds!C13:C26"</definedName>
    <definedName name="BOOK">#REF!</definedName>
    <definedName name="BooleanReferenceData">ReferenceData!$A$11:$A$12</definedName>
    <definedName name="bot">#REF!</definedName>
    <definedName name="BOTCOPY">#REF!</definedName>
    <definedName name="BOTSEG">#REF!</definedName>
    <definedName name="Bpenetration">#REF!</definedName>
    <definedName name="BPMTGrowth">#REF!</definedName>
    <definedName name="Breakage">#REF!</definedName>
    <definedName name="brian_range">#REF!</definedName>
    <definedName name="Bridge">#REF!</definedName>
    <definedName name="Bridge_Expenses">#REF!</definedName>
    <definedName name="BS">#REF!</definedName>
    <definedName name="BSCVALUATION">#REF!</definedName>
    <definedName name="BSCVALUATION2">#REF!</definedName>
    <definedName name="BSList">#REF!</definedName>
    <definedName name="BSName">#REF!</definedName>
    <definedName name="bssps">#REF!</definedName>
    <definedName name="bssps_start">#REF!</definedName>
    <definedName name="Budget_Summary">OFFSET(#REF!,,,COUNTA(#REF!),COUNTA(#REF!))</definedName>
    <definedName name="BUDvsEST">#REF!</definedName>
    <definedName name="businesstoll">#REF!</definedName>
    <definedName name="buy">#REF!</definedName>
    <definedName name="buyer">#REF!</definedName>
    <definedName name="buyout">#REF!</definedName>
    <definedName name="Byrjunardagur">#REF!</definedName>
    <definedName name="C_">#REF!</definedName>
    <definedName name="CAD">#REF!</definedName>
    <definedName name="CAL">#REF!</definedName>
    <definedName name="Calendar">#REF!</definedName>
    <definedName name="CalendarPE">#REF!</definedName>
    <definedName name="Call">#REF!</definedName>
    <definedName name="Call_Cond">#REF!</definedName>
    <definedName name="Call_Cond_1_T1">#REF!</definedName>
    <definedName name="Call_Cond_1_T2">#REF!</definedName>
    <definedName name="Call_Cond_1_T3">#REF!</definedName>
    <definedName name="Call_Cond_2_T1">#REF!</definedName>
    <definedName name="Call_Cond_2_T2">#REF!</definedName>
    <definedName name="Call_Cond_2_T3">#REF!</definedName>
    <definedName name="Call_Gains">#REF!</definedName>
    <definedName name="Call_Option_T1">#REF!</definedName>
    <definedName name="Call_Option_T2">#REF!</definedName>
    <definedName name="Call_Option_T3">#REF!</definedName>
    <definedName name="Call2">#REF!</definedName>
    <definedName name="Canadian_PP">#REF!</definedName>
    <definedName name="Cancels">#REF!</definedName>
    <definedName name="canxc">#REF!</definedName>
    <definedName name="cap">#REF!</definedName>
    <definedName name="CapacityTable">#REF!</definedName>
    <definedName name="CapacityTable_wMSV">#REF!</definedName>
    <definedName name="CapActEnt">#REF!</definedName>
    <definedName name="Capex">#REF!</definedName>
    <definedName name="capex1">#REF!</definedName>
    <definedName name="capexchange">{0;0;0;0;1;#N/A;0.25;0.25;0.38;0.4;2;FALSE;FALSE;FALSE;FALSE;FALSE;#N/A;2;#N/A;1;1;"";"&amp;C &amp;R&amp;""Kennerly,Roman Bold""&amp;20LEHMAN BROTHERS"}</definedName>
    <definedName name="capexforsale">#REF!</definedName>
    <definedName name="Capital_surplus">#REF!</definedName>
    <definedName name="capitalcase">#REF!</definedName>
    <definedName name="capitaldevelopexp">#REF!</definedName>
    <definedName name="capitalized">#REF!</definedName>
    <definedName name="Carpu">#REF!</definedName>
    <definedName name="Carrier_Mkt_Share">#REF!</definedName>
    <definedName name="case">#REF!</definedName>
    <definedName name="case1">#REF!</definedName>
    <definedName name="casenumber">#REF!</definedName>
    <definedName name="cash">#REF!</definedName>
    <definedName name="CASH_AND_CASH_EQUIVALENTS">#REF!</definedName>
    <definedName name="Cash_DRCR_SUM">#REF!</definedName>
    <definedName name="CASH_FLOW">#REF!</definedName>
    <definedName name="cash1002">#REF!</definedName>
    <definedName name="Cashdata">#REF!</definedName>
    <definedName name="cashdate1002">#REF!</definedName>
    <definedName name="cashdate2E">#REF!</definedName>
    <definedName name="cashdate701">#REF!</definedName>
    <definedName name="cashdate702">#REF!</definedName>
    <definedName name="cashdate704">#REF!</definedName>
    <definedName name="cashdate705">#REF!</definedName>
    <definedName name="cashdate706">#REF!</definedName>
    <definedName name="cashdate707">#REF!</definedName>
    <definedName name="CASHFLOW2">#REF!</definedName>
    <definedName name="cashflowallocation">#REF!</definedName>
    <definedName name="cashquarter1002">#REF!</definedName>
    <definedName name="cashquarter2E">#REF!</definedName>
    <definedName name="cashquarter701">#REF!</definedName>
    <definedName name="cashquarter702">#REF!</definedName>
    <definedName name="cashquarter704">#REF!</definedName>
    <definedName name="cashquarter705">#REF!</definedName>
    <definedName name="cashquarter706">#REF!</definedName>
    <definedName name="cashquarter707">#REF!</definedName>
    <definedName name="cashyear1002">#REF!</definedName>
    <definedName name="cashyear2E">#REF!</definedName>
    <definedName name="cashyear701">#REF!</definedName>
    <definedName name="cashyear702">#REF!</definedName>
    <definedName name="cashyear704">#REF!</definedName>
    <definedName name="cashyear705">#REF!</definedName>
    <definedName name="cashyear706">#REF!</definedName>
    <definedName name="cashyear707">#REF!</definedName>
    <definedName name="CategoryList">#REF!</definedName>
    <definedName name="CB_data">#REF!</definedName>
    <definedName name="CBInterestRate">#REF!</definedName>
    <definedName name="CC">#REF!</definedName>
    <definedName name="CCA">#REF!</definedName>
    <definedName name="ccc_ebitda">#REF!</definedName>
    <definedName name="ccc_rev">#REF!</definedName>
    <definedName name="cccorporate">#REF!</definedName>
    <definedName name="Cchurn">#REF!</definedName>
    <definedName name="cdma_matrix">#REF!</definedName>
    <definedName name="CDR">#REF!</definedName>
    <definedName name="cell">#REF!</definedName>
    <definedName name="Cell_1">#REF!</definedName>
    <definedName name="cera">#REF!</definedName>
    <definedName name="CF_99_04">#REF!</definedName>
    <definedName name="CF_Select">#REF!</definedName>
    <definedName name="CFSUM">#REF!</definedName>
    <definedName name="cfx">#REF!</definedName>
    <definedName name="CHANGE">#REF!</definedName>
    <definedName name="ChangeNWC">#REF!</definedName>
    <definedName name="chart">"Chart 1"</definedName>
    <definedName name="ChartData">#REF!</definedName>
    <definedName name="Check">#REF!</definedName>
    <definedName name="Churn">#REF!</definedName>
    <definedName name="ciao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CIQWBGuid" hidden="1">"2020.08.31 - Fund VIII Trial Balance.xlsm"</definedName>
    <definedName name="CITI">#REF!</definedName>
    <definedName name="CITYSUMM">#REF!</definedName>
    <definedName name="cL">#REF!</definedName>
    <definedName name="ClearFundExpTypes">#REF!,#REF!,#REF!,#REF!</definedName>
    <definedName name="Client_Name">#REF!</definedName>
    <definedName name="Client_Number">#REF!</definedName>
    <definedName name="ClientMatter" hidden="1">"b1"</definedName>
    <definedName name="ClientName">#REF!</definedName>
    <definedName name="closing_date">#REF!</definedName>
    <definedName name="ClosingDate">#REF!</definedName>
    <definedName name="ClosingPrice">#REF!</definedName>
    <definedName name="clrates">#REF!</definedName>
    <definedName name="CLSA_SHRS_MIDPRICE">#REF!</definedName>
    <definedName name="CLSA_SHRS_OFFERED">#REF!</definedName>
    <definedName name="CMA_category_pops">#REF!</definedName>
    <definedName name="CMONTH">#REF!</definedName>
    <definedName name="CODE">#REF!</definedName>
    <definedName name="COGS">#REF!</definedName>
    <definedName name="cogs_bus">#REF!</definedName>
    <definedName name="cogs_com">#REF!</definedName>
    <definedName name="cogs_corp">#REF!</definedName>
    <definedName name="cogs_corpsec">#REF!</definedName>
    <definedName name="cogs_fin">#REF!</definedName>
    <definedName name="cogs_hightech">#REF!</definedName>
    <definedName name="cogs_isg">#REF!</definedName>
    <definedName name="cogs_mil">#REF!</definedName>
    <definedName name="cogs_retail">#REF!</definedName>
    <definedName name="cogs_sec">#REF!</definedName>
    <definedName name="cogs_whole">#REF!</definedName>
    <definedName name="colbaddebts">#REF!</definedName>
    <definedName name="coldatapenetration">#REF!</definedName>
    <definedName name="coldatatransexp">#REF!</definedName>
    <definedName name="coldigpenetration">#REF!</definedName>
    <definedName name="Coll_Clean_Price">#REF!</definedName>
    <definedName name="Collateral">#REF!</definedName>
    <definedName name="colmgmtfee">#REF!</definedName>
    <definedName name="colo_exp">#REF!</definedName>
    <definedName name="colo_rev">#REF!</definedName>
    <definedName name="colopex">#REF!</definedName>
    <definedName name="colpay">#REF!</definedName>
    <definedName name="colpersonnelexp">#REF!</definedName>
    <definedName name="colprogexp">#REF!</definedName>
    <definedName name="colsga">#REF!</definedName>
    <definedName name="column">#REF!</definedName>
    <definedName name="COM">#REF!</definedName>
    <definedName name="Combo1_XIRR">#REF!</definedName>
    <definedName name="Combo2_XIRR">#REF!</definedName>
    <definedName name="Combo3_XIRR">#REF!</definedName>
    <definedName name="Combo4_XIRR">#REF!</definedName>
    <definedName name="Combo5_XIRR">#REF!</definedName>
    <definedName name="Combo6_XIRR">#REF!</definedName>
    <definedName name="Comments">#REF!</definedName>
    <definedName name="CommercialPaper">#REF!</definedName>
    <definedName name="Common_shares_of_beneficial_interest">#REF!</definedName>
    <definedName name="CommonEquity">#REF!</definedName>
    <definedName name="CommonOutstanding">#REF!</definedName>
    <definedName name="Company">#REF!</definedName>
    <definedName name="Company_Name">"Cavalier Homes, Inc."</definedName>
    <definedName name="CompanyName">#REF!</definedName>
    <definedName name="CompanyOverview1">#REF!</definedName>
    <definedName name="CompanyOverview2">#REF!</definedName>
    <definedName name="CompanyOverview3">#REF!</definedName>
    <definedName name="CompanyOverview4">#REF!</definedName>
    <definedName name="CompanyOverview5">#REF!</definedName>
    <definedName name="CompList">#REF!</definedName>
    <definedName name="Comps">#REF!</definedName>
    <definedName name="computer_ebitda">#REF!</definedName>
    <definedName name="computer_rev">#REF!</definedName>
    <definedName name="Con_Chart">#REF!</definedName>
    <definedName name="con_fee_paid">#REF!</definedName>
    <definedName name="ConfSwitch">#REF!</definedName>
    <definedName name="CONS_BS">#REF!</definedName>
    <definedName name="CONS_CF">#REF!</definedName>
    <definedName name="CONS_CFYTD">#REF!</definedName>
    <definedName name="CONS_PL">#REF!</definedName>
    <definedName name="CONS_PLYTD">#REF!</definedName>
    <definedName name="consolidated">#REF!</definedName>
    <definedName name="Consolidation">#REF!</definedName>
    <definedName name="consortium1">#REF!</definedName>
    <definedName name="Consultants">#REF!,#REF!</definedName>
    <definedName name="consultingexp">#REF!</definedName>
    <definedName name="consumergrowth">#REF!</definedName>
    <definedName name="consumerinterrev">#REF!</definedName>
    <definedName name="consumertoll">#REF!</definedName>
    <definedName name="cont">#REF!</definedName>
    <definedName name="cont2">#REF!</definedName>
    <definedName name="contact_name">#REF!</definedName>
    <definedName name="contingency">#REF!</definedName>
    <definedName name="contingency_rev">#REF!</definedName>
    <definedName name="Contributions">#REF!</definedName>
    <definedName name="convert">#REF!</definedName>
    <definedName name="converts">#REF!</definedName>
    <definedName name="coop">#REF!</definedName>
    <definedName name="copy_discount_1">#REF!</definedName>
    <definedName name="copy_discount_2">#REF!</definedName>
    <definedName name="copy_discount_3">#REF!</definedName>
    <definedName name="copy_discount_4">#REF!</definedName>
    <definedName name="copy_own_1">#REF!</definedName>
    <definedName name="copy_own_10">#REF!</definedName>
    <definedName name="copy_own_11">#REF!</definedName>
    <definedName name="copy_own_12">#REF!</definedName>
    <definedName name="copy_own_13">#REF!</definedName>
    <definedName name="copy_own_14">#REF!</definedName>
    <definedName name="copy_own_15">#REF!</definedName>
    <definedName name="copy_own_16">#REF!</definedName>
    <definedName name="copy_own_17">#REF!</definedName>
    <definedName name="copy_own_18">#REF!</definedName>
    <definedName name="copy_own_19">#REF!</definedName>
    <definedName name="copy_own_2">#REF!</definedName>
    <definedName name="copy_own_20">#REF!</definedName>
    <definedName name="copy_own_3">#REF!</definedName>
    <definedName name="copy_own_4">#REF!</definedName>
    <definedName name="copy_own_5">#REF!</definedName>
    <definedName name="copy_own_6">#REF!</definedName>
    <definedName name="copy_own_7">#REF!</definedName>
    <definedName name="copy_own_8">#REF!</definedName>
    <definedName name="copy_own_9">#REF!</definedName>
    <definedName name="copy_pro_forma_own">#REF!</definedName>
    <definedName name="COPYBOT">#REF!</definedName>
    <definedName name="COPYTOP">#REF!</definedName>
    <definedName name="Cordell_PC">#REF!</definedName>
    <definedName name="corp">#REF!</definedName>
    <definedName name="Corp_Expenses">#REF!</definedName>
    <definedName name="corp_tax">#REF!</definedName>
    <definedName name="CorpJetClear">#REF!,#REF!,#REF!,#REF!,#REF!,#REF!</definedName>
    <definedName name="corporate">#REF!</definedName>
    <definedName name="corpoverhead">#REF!</definedName>
    <definedName name="COS">#REF!</definedName>
    <definedName name="CostTable">#REF!</definedName>
    <definedName name="CostTable_wMSV">#REF!</definedName>
    <definedName name="counter">#REF!</definedName>
    <definedName name="COUNTRY1">#REF!</definedName>
    <definedName name="COUNTRY2">#REF!</definedName>
    <definedName name="country3">#REF!</definedName>
    <definedName name="COUPON">#REF!</definedName>
    <definedName name="coupon_start">#REF!</definedName>
    <definedName name="cov">#REF!</definedName>
    <definedName name="Cpenetration">#REF!</definedName>
    <definedName name="cpn">#REF!</definedName>
    <definedName name="CPRating">#REF!</definedName>
    <definedName name="cprice_start">#REF!</definedName>
    <definedName name="Crap">#REF!</definedName>
    <definedName name="crate">#REF!</definedName>
    <definedName name="CREDIT">#REF!</definedName>
    <definedName name="_xlnm.Criteria">#REF!</definedName>
    <definedName name="crossrates">#REF!</definedName>
    <definedName name="csDesignMode">1</definedName>
    <definedName name="ctax">#REF!</definedName>
    <definedName name="Cum_Def">#REF!</definedName>
    <definedName name="Cur_Mon_Last_Day">#REF!</definedName>
    <definedName name="CURR">#REF!</definedName>
    <definedName name="curr_bond">#REF!</definedName>
    <definedName name="CURRENCY">#REF!</definedName>
    <definedName name="CURRENT">#REF!</definedName>
    <definedName name="Current_Date">#REF!</definedName>
    <definedName name="current_per">#REF!</definedName>
    <definedName name="Current_Period">#REF!</definedName>
    <definedName name="CurrentAssets">#REF!</definedName>
    <definedName name="CurrentLiabilities">#REF!</definedName>
    <definedName name="CurrentRatio">#REF!</definedName>
    <definedName name="cusip_check_start">#REF!</definedName>
    <definedName name="cusip_column">#REF!</definedName>
    <definedName name="cusip_start">#REF!</definedName>
    <definedName name="CustLookup">#REF!</definedName>
    <definedName name="CustNameList">#REF!</definedName>
    <definedName name="CUSTVALUES">#REF!</definedName>
    <definedName name="cvnxnzzz">#REF!</definedName>
    <definedName name="cxbc">#REF!</definedName>
    <definedName name="CY">#REF!</definedName>
    <definedName name="CY_Accounts_Receivable">#REF!</definedName>
    <definedName name="CY_Cash">#REF!</definedName>
    <definedName name="CY_Common_Equity">#REF!</definedName>
    <definedName name="CY_Current_Liabilities">#REF!</definedName>
    <definedName name="CY_Ending_accumulated_earnings">#REF!</definedName>
    <definedName name="CY_Intangible_Assets">#REF!</definedName>
    <definedName name="CY_Inventory">#REF!</definedName>
    <definedName name="CY_LIABIL_EQUITY">#REF!</definedName>
    <definedName name="CY_LT_Debt">#REF!</definedName>
    <definedName name="CY_Marketable_Sec">#REF!</definedName>
    <definedName name="cy_net_income">#REF!</definedName>
    <definedName name="CY_Net_income_rep">#REF!</definedName>
    <definedName name="CY_Other_Curr_Assets">#REF!</definedName>
    <definedName name="CY_Other_LT_Assets">#REF!</definedName>
    <definedName name="CY_Other_LT_Liabilities">#REF!</definedName>
    <definedName name="CY_Preferred_Stock">#REF!</definedName>
    <definedName name="CY_QUICK_ASSETS">#REF!</definedName>
    <definedName name="cy_ret_earn_beg">#REF!</definedName>
    <definedName name="CY_Retained_Earnings">#REF!</definedName>
    <definedName name="cy_share_equity">#REF!</definedName>
    <definedName name="CY_Tangible_Assets">#REF!</definedName>
    <definedName name="CY_TOTAL_ASSETS">#REF!</definedName>
    <definedName name="CY_TOTAL_CURR_ASSETS">#REF!</definedName>
    <definedName name="CY_TOTAL_DEBT">#REF!</definedName>
    <definedName name="CY_TOTAL_EQUITY">#REF!</definedName>
    <definedName name="CYEAR">#REF!</definedName>
    <definedName name="CYEPSGrowth">#REF!</definedName>
    <definedName name="d">[0]!is1b,[0]!is1c,[0]!STATS2,[0]!STATS3</definedName>
    <definedName name="D_F">{"p1";"p2";"p3"}</definedName>
    <definedName name="d1_fixed">#REF!</definedName>
    <definedName name="d2_float">#REF!</definedName>
    <definedName name="daily_vol">#REF!</definedName>
    <definedName name="dan">#REF!</definedName>
    <definedName name="dash">#REF!</definedName>
    <definedName name="Data">#REF!</definedName>
    <definedName name="data_exp">#REF!</definedName>
    <definedName name="Data_Range">#REF!</definedName>
    <definedName name="Data_Usage_per_Sub">#REF!</definedName>
    <definedName name="data10">#REF!</definedName>
    <definedName name="data20">#REF!</definedName>
    <definedName name="data25">#REF!</definedName>
    <definedName name="data4">#REF!</definedName>
    <definedName name="data5">#REF!</definedName>
    <definedName name="Databas">#REF!</definedName>
    <definedName name="_xlnm.Database">#REF!</definedName>
    <definedName name="date">"b1"</definedName>
    <definedName name="DATE2">#REF!</definedName>
    <definedName name="DateHeader">#REF!</definedName>
    <definedName name="david">#REF!,#REF!,#REF!,#REF!,#REF!,#REF!,#REF!</definedName>
    <definedName name="DaysInventory">#REF!</definedName>
    <definedName name="DaysPayable">#REF!</definedName>
    <definedName name="DB">#REF!</definedName>
    <definedName name="DB_equity_share">#REF!</definedName>
    <definedName name="DB_funding">#REF!</definedName>
    <definedName name="DCF">#REF!</definedName>
    <definedName name="DCF_AREA">#REF!</definedName>
    <definedName name="DD_Inc">#REF!</definedName>
    <definedName name="DDInc">#REF!</definedName>
    <definedName name="dead">#REF!</definedName>
    <definedName name="Deal">#REF!</definedName>
    <definedName name="Deal_3_Term_Date">#REF!</definedName>
    <definedName name="deal_name">#REF!</definedName>
    <definedName name="Deal2_FPer">#REF!</definedName>
    <definedName name="Deal3_FPer">#REF!</definedName>
    <definedName name="dealname">#REF!</definedName>
    <definedName name="dealname2">#REF!</definedName>
    <definedName name="deals">#REF!,#REF!,#REF!</definedName>
    <definedName name="Debt_Expenses">#REF!</definedName>
    <definedName name="dedicatedavgacc">#REF!</definedName>
    <definedName name="dedicatedavgrev">#REF!</definedName>
    <definedName name="dedicatedexp">#REF!</definedName>
    <definedName name="dedicatedrev">#REF!</definedName>
    <definedName name="dedoverheadexp">#REF!</definedName>
    <definedName name="def_prog">#REF!</definedName>
    <definedName name="def_rate">#REF!</definedName>
    <definedName name="Default">#REF!</definedName>
    <definedName name="Defaults">#REF!</definedName>
    <definedName name="Deferred_costs">#REF!</definedName>
    <definedName name="Deferred_rent_receivable">#REF!</definedName>
    <definedName name="DeferredTaxes">#REF!</definedName>
    <definedName name="DefPlacemFeeGAAP05">#REF!</definedName>
    <definedName name="DefPlacemFeeGAAP05v2">#REF!</definedName>
    <definedName name="DefPlacemFeeTax05">#REF!</definedName>
    <definedName name="Delay1">#REF!</definedName>
    <definedName name="DeltaSum_Default">#REF!</definedName>
    <definedName name="deployment_inflator">#REF!</definedName>
    <definedName name="depr_corp">#REF!</definedName>
    <definedName name="depr_ecommerce">#REF!</definedName>
    <definedName name="depr_isd">#REF!</definedName>
    <definedName name="depr_wsd">#REF!</definedName>
    <definedName name="deprec">#REF!</definedName>
    <definedName name="deprec1002">#REF!</definedName>
    <definedName name="deprec701">#REF!</definedName>
    <definedName name="deprec702">#REF!</definedName>
    <definedName name="deprec704">#REF!</definedName>
    <definedName name="deprec705">#REF!</definedName>
    <definedName name="deprec706">#REF!</definedName>
    <definedName name="deprec707">#REF!</definedName>
    <definedName name="deprec802">#REF!</definedName>
    <definedName name="DEPRECAMORT">#REF!</definedName>
    <definedName name="deprecIA8">#REF!</definedName>
    <definedName name="Depreciation">#REF!</definedName>
    <definedName name="deprecRprog">#REF!</definedName>
    <definedName name="Deriv">#REF!</definedName>
    <definedName name="desc_start">#REF!</definedName>
    <definedName name="description">#REF!</definedName>
    <definedName name="descripttion">#REF!</definedName>
    <definedName name="Deselect_Menu_Screen">[0]!Deselect_Menu_Screen</definedName>
    <definedName name="DETAIL">#REF!</definedName>
    <definedName name="df">{"p1";"p2";"p3"}</definedName>
    <definedName name="dfasdf">{0;0;0;0;1;#N/A;0.26;0.15;0.24;0.17;2;TRUE;TRUE;FALSE;FALSE;FALSE;#N/A;1;#N/A;1;1;"";""}</definedName>
    <definedName name="dfd">[0]!is1b,[0]!is1c,[0]!STATS2,[0]!STATS3</definedName>
    <definedName name="dfsdsdf">#REF!</definedName>
    <definedName name="dghfgh">#REF!</definedName>
    <definedName name="dgmgm">#REF!</definedName>
    <definedName name="dhjndhg">#REF!</definedName>
    <definedName name="dialuparpu">#REF!</definedName>
    <definedName name="dialupavgaccounts">#REF!</definedName>
    <definedName name="dialuprev">#REF!</definedName>
    <definedName name="discount">#REF!</definedName>
    <definedName name="discount_f">#REF!</definedName>
    <definedName name="discount_rate">#REF!</definedName>
    <definedName name="DISCOUNTED_CASH_FLOW_ANALYSIS">#REF!</definedName>
    <definedName name="DisplaySelectedSheetsMacroButton">#REF!</definedName>
    <definedName name="dist">#REF!</definedName>
    <definedName name="Dist_T1">#REF!</definedName>
    <definedName name="Dist_T2">#REF!</definedName>
    <definedName name="Dist_T3">#REF!</definedName>
    <definedName name="Distr">#REF!</definedName>
    <definedName name="Distribution_LTD">#REF!</definedName>
    <definedName name="Distributions">#REF!</definedName>
    <definedName name="DIT_Rollforward">#REF!</definedName>
    <definedName name="div_table">#REF!</definedName>
    <definedName name="diversion_inRP">#REF!</definedName>
    <definedName name="diversion_postRP">#REF!</definedName>
    <definedName name="diversion_toggle">#REF!</definedName>
    <definedName name="Diversity">#REF!</definedName>
    <definedName name="diversity_actual">#REF!</definedName>
    <definedName name="diversity_factor">#REF!</definedName>
    <definedName name="divest_ebitda">#REF!</definedName>
    <definedName name="divest_rev">#REF!</definedName>
    <definedName name="dividend">#REF!</definedName>
    <definedName name="Dividend_Income">#REF!</definedName>
    <definedName name="Dividends_payable">#REF!</definedName>
    <definedName name="DivISList">#REF!</definedName>
    <definedName name="Doc_AR">#REF!</definedName>
    <definedName name="DocumentName" hidden="1">"b1"</definedName>
    <definedName name="DocumentNum" hidden="1">"a1"</definedName>
    <definedName name="DollarHeader">#REF!</definedName>
    <definedName name="draft">#REF!</definedName>
    <definedName name="drates">#REF!</definedName>
    <definedName name="DS0_S0">OFFSET(#REF!,1,-1,MAX(2,COUNTA(OFFSET(#REF!,1,0,16381,1))+1),1)</definedName>
    <definedName name="DS0_S1">OFFSET(#REF!,1,0,MAX(2,COUNTA(OFFSET(#REF!,1,0,16381,1))+1),1)</definedName>
    <definedName name="DS0_S10">OFFSET(#REF!,1,9,MAX(2,COUNTA(OFFSET(#REF!,1,0,16381,1))+1),1)</definedName>
    <definedName name="DS0_S11">OFFSET(#REF!,1,10,MAX(2,COUNTA(OFFSET(#REF!,1,0,16381,1))+1),1)</definedName>
    <definedName name="DS0_S2">OFFSET(#REF!,1,1,MAX(2,COUNTA(OFFSET(#REF!,1,0,16381,1))+1),1)</definedName>
    <definedName name="DS0_S3">OFFSET(#REF!,1,2,MAX(2,COUNTA(OFFSET(#REF!,1,0,16381,1))+1),1)</definedName>
    <definedName name="DS0_S4">OFFSET(#REF!,1,3,MAX(2,COUNTA(OFFSET(#REF!,1,0,16381,1))+1),1)</definedName>
    <definedName name="DS0_S5">OFFSET(#REF!,1,4,MAX(2,COUNTA(OFFSET(#REF!,1,0,16381,1))+1),1)</definedName>
    <definedName name="DS0_S6">OFFSET(#REF!,1,5,MAX(2,COUNTA(OFFSET(#REF!,1,0,16381,1))+1),1)</definedName>
    <definedName name="DS0_S7">OFFSET(#REF!,1,6,MAX(2,COUNTA(OFFSET(#REF!,1,0,16381,1))+1),1)</definedName>
    <definedName name="DS0_S8">OFFSET(#REF!,1,7,MAX(2,COUNTA(OFFSET(#REF!,1,0,16381,1))+1),1)</definedName>
    <definedName name="DS0_S9">OFFSET(#REF!,1,8,MAX(2,COUNTA(OFFSET(#REF!,1,0,16381,1))+1),1)</definedName>
    <definedName name="DS1_monthly">#REF!</definedName>
    <definedName name="DS1_S0">OFFSET(#REF!,1,-1,MAX(2,COUNTA(OFFSET(#REF!,1,0,16381,1))+1),1)</definedName>
    <definedName name="DS1_S1">OFFSET(#REF!,1,0,MAX(2,COUNTA(OFFSET(#REF!,1,0,16381,1))+1),1)</definedName>
    <definedName name="DS1_S2">OFFSET(#REF!,1,1,MAX(2,COUNTA(OFFSET(#REF!,1,0,16381,1))+1),1)</definedName>
    <definedName name="DS1_S3">OFFSET(#REF!,1,2,MAX(2,COUNTA(OFFSET(#REF!,1,0,16381,1))+1),1)</definedName>
    <definedName name="DS1_S4">OFFSET(#REF!,1,3,MAX(2,COUNTA(OFFSET(#REF!,1,0,16381,1))+1),1)</definedName>
    <definedName name="DS1_S5">OFFSET(#REF!,1,4,MAX(2,COUNTA(OFFSET(#REF!,1,0,16381,1))+1),1)</definedName>
    <definedName name="DS1_S6">OFFSET(#REF!,1,5,MAX(2,COUNTA(OFFSET(#REF!,1,0,16381,1))+1),1)</definedName>
    <definedName name="DS1_S7">OFFSET(#REF!,1,6,MAX(2,COUNTA(OFFSET(#REF!,1,0,16381,1))+1),1)</definedName>
    <definedName name="DS1_S8">OFFSET(#REF!,1,7,MAX(2,COUNTA(OFFSET(#REF!,1,0,16381,1))+1),1)</definedName>
    <definedName name="DS3_breakpoint">#REF!</definedName>
    <definedName name="DS3_monthly">#REF!</definedName>
    <definedName name="DS3_NRC">#REF!</definedName>
    <definedName name="DSO">#REF!</definedName>
    <definedName name="DTABLE">#REF!</definedName>
    <definedName name="Dtbl2">#REF!</definedName>
    <definedName name="Dump_fund2">#REF!</definedName>
    <definedName name="Duration">#REF!</definedName>
    <definedName name="dvd">#REF!</definedName>
    <definedName name="dybhi">#REF!</definedName>
    <definedName name="dyborden">#REF!</definedName>
    <definedName name="dyrpp">#REF!</definedName>
    <definedName name="dyrsm">#REF!</definedName>
    <definedName name="e">#REF!</definedName>
    <definedName name="Eagle">#REF!</definedName>
    <definedName name="ebdait">#REF!</definedName>
    <definedName name="EBDIAT">#REF!</definedName>
    <definedName name="EBIT">#REF!</definedName>
    <definedName name="EBITDA">#REF!</definedName>
    <definedName name="EBITDASUM">#REF!</definedName>
    <definedName name="ecd_growth">#REF!</definedName>
    <definedName name="eesc">#REF!</definedName>
    <definedName name="EffectiveDateParAmount">#REF!</definedName>
    <definedName name="eignskuld">#REF!</definedName>
    <definedName name="eigthfive">#REF!</definedName>
    <definedName name="email">#REF!</definedName>
    <definedName name="emg_ebitda">#REF!</definedName>
    <definedName name="emg_rev">#REF!</definedName>
    <definedName name="emgcorp_actual">#REF!</definedName>
    <definedName name="emgcorp_rule">#REF!</definedName>
    <definedName name="emgtot_target">#REF!</definedName>
    <definedName name="Employees">#REF!</definedName>
    <definedName name="Ending_venturers___capital__deficiency">#REF!</definedName>
    <definedName name="enhancedrev">#REF!</definedName>
    <definedName name="EnterpriseValueBook">#REF!</definedName>
    <definedName name="Entity">#REF!</definedName>
    <definedName name="entry">#REF!</definedName>
    <definedName name="eol2E">#REF!</definedName>
    <definedName name="eol701R">#REF!</definedName>
    <definedName name="eol702R">#REF!</definedName>
    <definedName name="eol704R">#REF!</definedName>
    <definedName name="eol705R">#REF!</definedName>
    <definedName name="eol706R">#REF!</definedName>
    <definedName name="eol707R">#REF!</definedName>
    <definedName name="eol802R">#REF!</definedName>
    <definedName name="eolIA13">#REF!</definedName>
    <definedName name="eolIA5">#REF!</definedName>
    <definedName name="eolIA6">#REF!</definedName>
    <definedName name="eolIA7">#REF!</definedName>
    <definedName name="eolIA8">#REF!</definedName>
    <definedName name="eolRprog">#REF!</definedName>
    <definedName name="eolRprogram">#REF!</definedName>
    <definedName name="eop">#REF!</definedName>
    <definedName name="eps">#REF!</definedName>
    <definedName name="Eq_Mgmt_XIRR">#REF!</definedName>
    <definedName name="Equip_Rollforward">#REF!</definedName>
    <definedName name="equipment_deflator">#REF!</definedName>
    <definedName name="Equity">#REF!</definedName>
    <definedName name="Equity_price">#REF!</definedName>
    <definedName name="equity_size">#REF!</definedName>
    <definedName name="Equity_XIRR">#REF!</definedName>
    <definedName name="ErlB">#REF!</definedName>
    <definedName name="ErlB_10Percent">#REF!</definedName>
    <definedName name="ErlB_1Percent">#REF!</definedName>
    <definedName name="ErlB_2Percent">#REF!</definedName>
    <definedName name="ErlB_5Percent">#REF!</definedName>
    <definedName name="EROA00">#REF!</definedName>
    <definedName name="EROA01">#REF!</definedName>
    <definedName name="EROA02">#REF!</definedName>
    <definedName name="ErrMsg">"NA"</definedName>
    <definedName name="ert">[0]!ert</definedName>
    <definedName name="ertertertert">#REF!</definedName>
    <definedName name="EsLong">#REF!</definedName>
    <definedName name="eso">#REF!</definedName>
    <definedName name="ESTvsBUD">#REF!</definedName>
    <definedName name="euro">#REF!</definedName>
    <definedName name="euro15">#REF!</definedName>
    <definedName name="euro2">#REF!</definedName>
    <definedName name="euro5">#REF!</definedName>
    <definedName name="eurocastle">#REF!</definedName>
    <definedName name="europeangrowth">#REF!</definedName>
    <definedName name="europrev">#REF!</definedName>
    <definedName name="EuroXC">#REF!</definedName>
    <definedName name="exch_rate">#REF!</definedName>
    <definedName name="Exchange">#REF!</definedName>
    <definedName name="Exchange_ratio">#REF!</definedName>
    <definedName name="ExchRatio">#REF!</definedName>
    <definedName name="exhange">#REF!</definedName>
    <definedName name="Exhibit11FullyDiluted">#REF!</definedName>
    <definedName name="Exhibit11Primary">#REF!</definedName>
    <definedName name="exit">#REF!</definedName>
    <definedName name="exit1">#REF!</definedName>
    <definedName name="exit2">#REF!</definedName>
    <definedName name="exp_term">#REF!</definedName>
    <definedName name="EXPENSE">#REF!</definedName>
    <definedName name="expense95">#REF!</definedName>
    <definedName name="expense96">#REF!</definedName>
    <definedName name="Expenses">#REF!</definedName>
    <definedName name="exps">#REF!</definedName>
    <definedName name="extdate1002">#REF!</definedName>
    <definedName name="extdate701">#REF!</definedName>
    <definedName name="extdate702">#REF!</definedName>
    <definedName name="extdate704">#REF!</definedName>
    <definedName name="extdate705">#REF!</definedName>
    <definedName name="extdate706">#REF!</definedName>
    <definedName name="extdate707">#REF!</definedName>
    <definedName name="extdateIA8">#REF!</definedName>
    <definedName name="extermbhi">#REF!</definedName>
    <definedName name="extermborden">#REF!</definedName>
    <definedName name="extermrpp">#REF!</definedName>
    <definedName name="extermrsm">#REF!</definedName>
    <definedName name="ExternalData_1" localSheetId="15" hidden="1">'Cash Transaction '!$A$1:$E$633</definedName>
    <definedName name="ExternalData_2" localSheetId="16" hidden="1">'Expenses Input'!$A$1:$C$35</definedName>
    <definedName name="extIA8">#REF!</definedName>
    <definedName name="extint_bb">#REF!</definedName>
    <definedName name="extint_bli">#REF!</definedName>
    <definedName name="extint_gi">#REF!</definedName>
    <definedName name="extquarter1002">#REF!</definedName>
    <definedName name="extquarter701">#REF!</definedName>
    <definedName name="extquarter702">#REF!</definedName>
    <definedName name="extquarter704">#REF!</definedName>
    <definedName name="extquarter705">#REF!</definedName>
    <definedName name="extquarter706">#REF!</definedName>
    <definedName name="extquarter707">#REF!</definedName>
    <definedName name="extquarter802">#REF!</definedName>
    <definedName name="extquarterIA8">#REF!</definedName>
    <definedName name="extyear1002">#REF!</definedName>
    <definedName name="extyearIA8">#REF!</definedName>
    <definedName name="f">#REF!</definedName>
    <definedName name="f_GWTD.Acq">#REF!</definedName>
    <definedName name="f5Hexion">#REF!</definedName>
    <definedName name="facilitiesexp">#REF!</definedName>
    <definedName name="fax_no">#REF!</definedName>
    <definedName name="fcf00">#REF!</definedName>
    <definedName name="fcpn">#REF!</definedName>
    <definedName name="fd" hidden="1">{#N/A,#N/A,FALSE,"Aging Summary";#N/A,#N/A,FALSE,"Ratio Analysis";#N/A,#N/A,FALSE,"Test 120 Day Accts";#N/A,#N/A,FALSE,"Tickmarks"}</definedName>
    <definedName name="FDC">#REF!</definedName>
    <definedName name="FDP">#REF!</definedName>
    <definedName name="FDS">#REF!</definedName>
    <definedName name="febRate">#REF!</definedName>
    <definedName name="FECIP">#REF!</definedName>
    <definedName name="FECIR">#REF!</definedName>
    <definedName name="fedtax">#REF!</definedName>
    <definedName name="FEE">#REF!</definedName>
    <definedName name="Fees">[0]!Fees</definedName>
    <definedName name="Fees_Mgt_Ret">#REF!</definedName>
    <definedName name="FEH_Performance">#REF!</definedName>
    <definedName name="FEMO">#REF!</definedName>
    <definedName name="FFS_Performance">#REF!</definedName>
    <definedName name="fg">#REF!</definedName>
    <definedName name="fghcv">OFFSET(#REF!,MATCH(def_prog,#REF!,0),MATCH(LIBOR_shock,#REF!,0))</definedName>
    <definedName name="fghfg">#REF!</definedName>
    <definedName name="fghrthrt">#REF!</definedName>
    <definedName name="fgrtersff">[0]!fgrtersff</definedName>
    <definedName name="FHC_Data_Range">#REF!</definedName>
    <definedName name="FHC_Data_Range03">#REF!</definedName>
    <definedName name="FHC_Performance">#REF!</definedName>
    <definedName name="FHH_Performance">#REF!</definedName>
    <definedName name="FIFIII">#REF!</definedName>
    <definedName name="Fill_Input_Sheet">[0]!Fill_Input_Sheet</definedName>
    <definedName name="FILMAMORT">#REF!</definedName>
    <definedName name="fin_debt">#REF!</definedName>
    <definedName name="Finance_Marks">#REF!</definedName>
    <definedName name="financing_sub">#REF!</definedName>
    <definedName name="Finish">#REF!</definedName>
    <definedName name="FINMAN_FXRATES">#REF!</definedName>
    <definedName name="FINOptions">"0,0,1,1,1,0,0,-1,0,0,2,0,"</definedName>
    <definedName name="Firm04">#REF!</definedName>
    <definedName name="FirmValue">#REF!</definedName>
    <definedName name="FIRST_CPN_DT">#REF!</definedName>
    <definedName name="Fiscal">#REF!</definedName>
    <definedName name="fiscal2">#REF!</definedName>
    <definedName name="FiscalPE">#REF!</definedName>
    <definedName name="FITCH_CDR">#REF!</definedName>
    <definedName name="fitch_d">#REF!</definedName>
    <definedName name="FITCH_Inputs">#REF!</definedName>
    <definedName name="FITCH_Interest_Default">#REF!</definedName>
    <definedName name="FITCH_Libor_Curve">#REF!</definedName>
    <definedName name="FITCH_Loss_Curve">#REF!</definedName>
    <definedName name="FITCH_Num_Scen">#REF!</definedName>
    <definedName name="FITCH_Output">#REF!</definedName>
    <definedName name="FITCH_Output_Table">#REF!</definedName>
    <definedName name="FITCH_Parameters">#REF!</definedName>
    <definedName name="FITCH_Principal_Default">#REF!</definedName>
    <definedName name="FITCH_Req_CDR">#REF!</definedName>
    <definedName name="FITCH_Scen_Num">#REF!</definedName>
    <definedName name="FITCH_Shortfall">#REF!</definedName>
    <definedName name="FITCH_Tranche">#REF!</definedName>
    <definedName name="FITCH_Tranches">#REF!</definedName>
    <definedName name="five">#REF!</definedName>
    <definedName name="fixed">#REF!</definedName>
    <definedName name="Fixed_ClientName">#REF!</definedName>
    <definedName name="fixed_f">#REF!</definedName>
    <definedName name="Fixed_Mix">#REF!</definedName>
    <definedName name="fixedassets">#REF!</definedName>
    <definedName name="fixedcosts">#REF!</definedName>
    <definedName name="FJF_Performance">#REF!</definedName>
    <definedName name="Flex">#REF!</definedName>
    <definedName name="float_f">#REF!</definedName>
    <definedName name="Flt_Sprd">#REF!</definedName>
    <definedName name="fnB">#REF!</definedName>
    <definedName name="FncDistList">#REF!</definedName>
    <definedName name="FncList">#REF!</definedName>
    <definedName name="FncName">#REF!</definedName>
    <definedName name="Footnote">#REF!</definedName>
    <definedName name="Footnote__f">#REF!</definedName>
    <definedName name="Footnote_a">#REF!</definedName>
    <definedName name="Footnote1">#REF!</definedName>
    <definedName name="Footnote10">#REF!</definedName>
    <definedName name="Footnote2">#REF!</definedName>
    <definedName name="Footnote3">#REF!</definedName>
    <definedName name="Footnote4">#REF!</definedName>
    <definedName name="Footnote5">#REF!</definedName>
    <definedName name="Footnote6">#REF!</definedName>
    <definedName name="Footnote7">#REF!</definedName>
    <definedName name="Footnote8">#REF!</definedName>
    <definedName name="Footnote9">#REF!</definedName>
    <definedName name="footnotes">#REF!,#REF!</definedName>
    <definedName name="Forecast">OFFSET(#REF!,,,COUNTA(#REF!),COUNTA(#REF!))</definedName>
    <definedName name="forfeit_rate">#REF!</definedName>
    <definedName name="FormBillCost">0</definedName>
    <definedName name="forward">(1.1^0.25)</definedName>
    <definedName name="Four">#REF!</definedName>
    <definedName name="Four_Scens">#REF!</definedName>
    <definedName name="frates">#REF!</definedName>
    <definedName name="fredHubF5">#REF!</definedName>
    <definedName name="FreeCashFlow">#REF!</definedName>
    <definedName name="frequency">#REF!</definedName>
    <definedName name="Full_UST">#REF!</definedName>
    <definedName name="Fund_GA">#REF!</definedName>
    <definedName name="FundEtClear">#REF!,#REF!,#REF!,#REF!</definedName>
    <definedName name="FundsFromOperations">#REF!</definedName>
    <definedName name="fundviiidlcolumn">#REF!</definedName>
    <definedName name="fundviiidlrow">#REF!</definedName>
    <definedName name="fundviiidltable">#REF!</definedName>
    <definedName name="fx_jpy">#REF!</definedName>
    <definedName name="fx_spot">#REF!</definedName>
    <definedName name="FX_Table">#REF!</definedName>
    <definedName name="FXRATES">#REF!</definedName>
    <definedName name="FY">#REF!</definedName>
    <definedName name="g">#REF!</definedName>
    <definedName name="G.Assumptions">#REF!</definedName>
    <definedName name="GA">#REF!</definedName>
    <definedName name="Galaxy">#REF!</definedName>
    <definedName name="gbfb">#REF!</definedName>
    <definedName name="GBPXc">#REF!</definedName>
    <definedName name="general_ebitda">#REF!</definedName>
    <definedName name="general_rev">#REF!</definedName>
    <definedName name="generalexp">#REF!</definedName>
    <definedName name="gerg">#REF!</definedName>
    <definedName name="gfhnghn">#REF!</definedName>
    <definedName name="gfx">#REF!</definedName>
    <definedName name="gh">[0]!gh</definedName>
    <definedName name="gi">#REF!</definedName>
    <definedName name="GIKU">#REF!</definedName>
    <definedName name="GIkuONE">#REF!</definedName>
    <definedName name="GIkutwo">#REF!</definedName>
    <definedName name="GIxone">#REF!</definedName>
    <definedName name="GIxthree">#REF!</definedName>
    <definedName name="GIxtwo">#REF!</definedName>
    <definedName name="GL_Accounts">#REF!</definedName>
    <definedName name="GL_Acct_Trans">#REF!</definedName>
    <definedName name="GL_Amounts">#REF!</definedName>
    <definedName name="globe_ebitda">#REF!</definedName>
    <definedName name="globe_rev">#REF!</definedName>
    <definedName name="GLTable">INDIRECT("Actual!a2:m"&amp;COUNTA(#REF!))</definedName>
    <definedName name="gold">#REF!</definedName>
    <definedName name="GoToEnd">[0]!GoToEnd</definedName>
    <definedName name="GOverride">#REF!</definedName>
    <definedName name="GP_Calc">#REF!</definedName>
    <definedName name="GP_Catch">#REF!</definedName>
    <definedName name="GP_Contr">#REF!</definedName>
    <definedName name="GregClark">#REF!</definedName>
    <definedName name="gregClarkF5">#REF!</definedName>
    <definedName name="gregClrkF5">#REF!</definedName>
    <definedName name="Gross_Capital">#REF!</definedName>
    <definedName name="gross_debt">#REF!</definedName>
    <definedName name="Gross_Joins">#REF!</definedName>
    <definedName name="gross_retail">#REF!</definedName>
    <definedName name="gross_whole">#REF!</definedName>
    <definedName name="grossadd">#REF!</definedName>
    <definedName name="GrossFFEGAAP05">#REF!</definedName>
    <definedName name="GrossFFETax05">#REF!</definedName>
    <definedName name="grossp">#REF!</definedName>
    <definedName name="GrossProfit">#REF!</definedName>
    <definedName name="GROUP_BS">#REF!</definedName>
    <definedName name="GROUP_CF">#REF!</definedName>
    <definedName name="GROUP_OHPL">#REF!</definedName>
    <definedName name="GROUP_PL">#REF!</definedName>
    <definedName name="Groups">#REF!</definedName>
    <definedName name="gsm_matrix">#REF!</definedName>
    <definedName name="GUIL_DAILY_PNL">#REF!</definedName>
    <definedName name="GUIL_DAILY_PNL_BRAZIL2">#REF!</definedName>
    <definedName name="guil_funding">#REF!</definedName>
    <definedName name="GYJ">#REF!</definedName>
    <definedName name="haircut">#REF!</definedName>
    <definedName name="Handoutdatabox">#REF!</definedName>
    <definedName name="handsets">#REF!</definedName>
    <definedName name="hardwareexp">#REF!</definedName>
    <definedName name="hblb.">[0]!hblb.</definedName>
    <definedName name="head2">#REF!</definedName>
    <definedName name="HEADER">#REF!</definedName>
    <definedName name="Hello">#REF!</definedName>
    <definedName name="HEMA">#REF!</definedName>
    <definedName name="HEMA2">#REF!</definedName>
    <definedName name="HETB1">#REF!</definedName>
    <definedName name="HETB2">#REF!</definedName>
    <definedName name="HETB3">#REF!</definedName>
    <definedName name="HH_income_data">#REF!</definedName>
    <definedName name="High">#REF!</definedName>
    <definedName name="higher_ebitda">#REF!</definedName>
    <definedName name="higher_rev">#REF!</definedName>
    <definedName name="hmg" hidden="1">{#N/A,#N/A,FALSE,"PortfolioStats";#N/A,#N/A,FALSE,"Graphs";#N/A,#N/A,FALSE,"Binomial Expansion";#N/A,#N/A,FALSE,"SP Analysis"}</definedName>
    <definedName name="Hoops_Scen">#REF!</definedName>
    <definedName name="i">#REF!</definedName>
    <definedName name="IBESDate">#REF!</definedName>
    <definedName name="ibp">#REF!</definedName>
    <definedName name="icase">#REF!</definedName>
    <definedName name="iclr2">[0]!iclr2</definedName>
    <definedName name="id_type">#REF!</definedName>
    <definedName name="idata">#REF!</definedName>
    <definedName name="idatap">#REF!</definedName>
    <definedName name="idc">#REF!</definedName>
    <definedName name="idc_start">#REF!</definedName>
    <definedName name="identifiers">#REF!</definedName>
    <definedName name="idp">#REF!</definedName>
    <definedName name="IF2_Adjustment">#REF!</definedName>
    <definedName name="IF2_Facilitation_Fee">#REF!</definedName>
    <definedName name="IF2_Financing_Fee">#REF!</definedName>
    <definedName name="IF2_GCF">#REF!</definedName>
    <definedName name="IF2_Interest_Income">#REF!</definedName>
    <definedName name="IF2_Interest_Payment">#REF!</definedName>
    <definedName name="IF2_Leveraged_NCF">#REF!</definedName>
    <definedName name="IF2_Origination_Fee">#REF!</definedName>
    <definedName name="IF2_Principal_Advance">#REF!</definedName>
    <definedName name="IF2_Principal_Repayment">#REF!</definedName>
    <definedName name="IF2_Servicing_Fee">#REF!</definedName>
    <definedName name="IF2_Total_Expense">#REF!</definedName>
    <definedName name="IF2_Unleveraged_NCF">#REF!</definedName>
    <definedName name="IF2_US_Activity">#REF!</definedName>
    <definedName name="IF2_US_Leveraged_NCF">#REF!</definedName>
    <definedName name="ihp">#REF!</definedName>
    <definedName name="Imbalance_at_Closing">#REF!</definedName>
    <definedName name="Implied">#REF!</definedName>
    <definedName name="inc">[0]!is1b,[0]!is1c,[0]!STATS2,[0]!STATS3</definedName>
    <definedName name="incl_retail">#REF!</definedName>
    <definedName name="include_Canada">#REF!</definedName>
    <definedName name="includeIPO">#REF!</definedName>
    <definedName name="Income">#REF!</definedName>
    <definedName name="INCSTMT">#REF!</definedName>
    <definedName name="indallocation">#REF!</definedName>
    <definedName name="inddata">#REF!</definedName>
    <definedName name="inddigital">#REF!</definedName>
    <definedName name="INDEX">#REF!</definedName>
    <definedName name="IndicatedDividend">#REF!</definedName>
    <definedName name="INDIV_PRISTINE">#REF!</definedName>
    <definedName name="indmgmtfee">#REF!</definedName>
    <definedName name="Industry">#REF!</definedName>
    <definedName name="IndustryClassResult">#REF!</definedName>
    <definedName name="Inflation">#REF!</definedName>
    <definedName name="InitializeCommand">"$d$1"</definedName>
    <definedName name="InitiativeWeight">#REF!</definedName>
    <definedName name="ink">[0]!is1b,[0]!is1c,[0]!STATS2,[0]!STATS3</definedName>
    <definedName name="Input_Date">#REF!</definedName>
    <definedName name="inservice1002">#REF!</definedName>
    <definedName name="inservice701">#REF!</definedName>
    <definedName name="inservice702">#REF!</definedName>
    <definedName name="inservice704">#REF!</definedName>
    <definedName name="inservice705">#REF!</definedName>
    <definedName name="inservice706">#REF!</definedName>
    <definedName name="inservice707">#REF!</definedName>
    <definedName name="inservice802">#REF!</definedName>
    <definedName name="inservicedate1002">#REF!</definedName>
    <definedName name="inservicedate701">#REF!</definedName>
    <definedName name="inservicedate702">#REF!</definedName>
    <definedName name="inservicedate704">#REF!</definedName>
    <definedName name="inservicedate705">#REF!</definedName>
    <definedName name="inservicedate706">#REF!</definedName>
    <definedName name="inservicedate707">#REF!</definedName>
    <definedName name="inservicedate802">#REF!</definedName>
    <definedName name="inservicedateIA8">#REF!</definedName>
    <definedName name="inserviceIA8">#REF!</definedName>
    <definedName name="inservicequarter1002">#REF!</definedName>
    <definedName name="inserviceyear">#REF!</definedName>
    <definedName name="inserviceyear1002">#REF!</definedName>
    <definedName name="inserviceyearIA8">#REF!</definedName>
    <definedName name="inservyear1002">#REF!</definedName>
    <definedName name="Insurable_Value">#REF!</definedName>
    <definedName name="Insurable_Value1">#REF!</definedName>
    <definedName name="INSVALAPR3">#REF!</definedName>
    <definedName name="INSVALGI">#REF!</definedName>
    <definedName name="INSVALISIX">#REF!</definedName>
    <definedName name="INSVALISX">#REF!</definedName>
    <definedName name="INSVALNBS">#REF!</definedName>
    <definedName name="INSVALREPLACE">#REF!</definedName>
    <definedName name="int">#REF!</definedName>
    <definedName name="Intangible_Rollforward">#REF!</definedName>
    <definedName name="Intangibles">#REF!</definedName>
    <definedName name="IntBndsData">#REF!</definedName>
    <definedName name="IntCalc">#REF!</definedName>
    <definedName name="interest">#REF!</definedName>
    <definedName name="Interest_Income">#REF!</definedName>
    <definedName name="InterestExpense">#REF!</definedName>
    <definedName name="InterestIncome">#REF!</definedName>
    <definedName name="internetcapex">#REF!</definedName>
    <definedName name="intl">#REF!</definedName>
    <definedName name="IntlEqData">#REF!</definedName>
    <definedName name="Invensys_Mod_model_List">#REF!</definedName>
    <definedName name="Inventory">#REF!</definedName>
    <definedName name="InventoryTurns">#REF!</definedName>
    <definedName name="invest">#REF!</definedName>
    <definedName name="INVESTMENTS">#REF!</definedName>
    <definedName name="iopex">#REF!</definedName>
    <definedName name="IPD_Date">#REF!</definedName>
    <definedName name="ipers">#REF!</definedName>
    <definedName name="ipp">#REF!</definedName>
    <definedName name="IPRF_RvmtInc">#REF!</definedName>
    <definedName name="iprog">#REF!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CCOUNT_CHANGE" hidden="1">"c1449"</definedName>
    <definedName name="IQ_ACCOUNTING_STANDARD" hidden="1">"c4539"</definedName>
    <definedName name="IQ_ACCOUNTING_STANDARD_CIQ" hidden="1">"c5092"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PER_SHARE_BASIC" hidden="1">"c8869"</definedName>
    <definedName name="IQ_AFFO_PER_SHARE_DILUTED" hidden="1">"c8870"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_DISTRIBUTION_UNIT" hidden="1">"c3004"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NAME_AP" hidden="1">"c8921"</definedName>
    <definedName name="IQ_ASSETS_NAME_AP_ABS" hidden="1">"c8940"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BROKER_REC_NO_REUT" hidden="1">"c5315"</definedName>
    <definedName name="IQ_AVG_BROKER_REC_NO_THOM" hidden="1">"c5094"</definedName>
    <definedName name="IQ_AVG_BROKER_REC_REUT" hidden="1">"c3630"</definedName>
    <definedName name="IQ_AVG_BROKER_REC_THOM" hidden="1">"c3648"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NO" hidden="1">"c4454"</definedName>
    <definedName name="IQ_AVG_INDUSTRY_REC_NO_CIQ" hidden="1">"c4983"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ICE_TARGET" hidden="1">"c82"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_UNUSED_UNUSED" hidden="1">"c8135"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OUTSTANDING_CURRENT_EST" hidden="1">"c4128"</definedName>
    <definedName name="IQ_BASIC_OUTSTANDING_CURRENT_EST_CIQ" hidden="1">"c4541"</definedName>
    <definedName name="IQ_BASIC_OUTSTANDING_CURRENT_HIGH_EST" hidden="1">"c4129"</definedName>
    <definedName name="IQ_BASIC_OUTSTANDING_CURRENT_HIGH_EST_CIQ" hidden="1">"c4542"</definedName>
    <definedName name="IQ_BASIC_OUTSTANDING_CURRENT_LOW_EST" hidden="1">"c4130"</definedName>
    <definedName name="IQ_BASIC_OUTSTANDING_CURRENT_LOW_EST_CIQ" hidden="1">"c4543"</definedName>
    <definedName name="IQ_BASIC_OUTSTANDING_CURRENT_MEDIAN_EST" hidden="1">"c4131"</definedName>
    <definedName name="IQ_BASIC_OUTSTANDING_CURRENT_MEDIAN_EST_CIQ" hidden="1">"c4544"</definedName>
    <definedName name="IQ_BASIC_OUTSTANDING_CURRENT_NUM_EST" hidden="1">"c4132"</definedName>
    <definedName name="IQ_BASIC_OUTSTANDING_CURRENT_NUM_EST_CIQ" hidden="1">"c4545"</definedName>
    <definedName name="IQ_BASIC_OUTSTANDING_CURRENT_STDDEV_EST" hidden="1">"c4133"</definedName>
    <definedName name="IQ_BASIC_OUTSTANDING_CURRENT_STDDEV_EST_CIQ" hidden="1">"c4546"</definedName>
    <definedName name="IQ_BASIC_OUTSTANDING_EST" hidden="1">"c4134"</definedName>
    <definedName name="IQ_BASIC_OUTSTANDING_EST_CIQ" hidden="1">"c4547"</definedName>
    <definedName name="IQ_BASIC_OUTSTANDING_HIGH_EST" hidden="1">"c4135"</definedName>
    <definedName name="IQ_BASIC_OUTSTANDING_HIGH_EST_CIQ" hidden="1">"c4548"</definedName>
    <definedName name="IQ_BASIC_OUTSTANDING_LOW_EST" hidden="1">"c4136"</definedName>
    <definedName name="IQ_BASIC_OUTSTANDING_LOW_EST_CIQ" hidden="1">"c4549"</definedName>
    <definedName name="IQ_BASIC_OUTSTANDING_MEDIAN_EST" hidden="1">"c4137"</definedName>
    <definedName name="IQ_BASIC_OUTSTANDING_MEDIAN_EST_CIQ" hidden="1">"c4550"</definedName>
    <definedName name="IQ_BASIC_OUTSTANDING_NUM_EST" hidden="1">"c4138"</definedName>
    <definedName name="IQ_BASIC_OUTSTANDING_NUM_EST_CIQ" hidden="1">"c4551"</definedName>
    <definedName name="IQ_BASIC_OUTSTANDING_STDDEV_EST" hidden="1">"c4139"</definedName>
    <definedName name="IQ_BASIC_OUTSTANDING_STDDEV_EST_CIQ" hidden="1">"c4552"</definedName>
    <definedName name="IQ_BASIC_WEIGHT" hidden="1">"c87"</definedName>
    <definedName name="IQ_BASIC_WEIGHT_EST" hidden="1">"c4140"</definedName>
    <definedName name="IQ_BASIC_WEIGHT_EST_CIQ" hidden="1">"c4553"</definedName>
    <definedName name="IQ_BASIC_WEIGHT_GUIDANCE" hidden="1">"c4141"</definedName>
    <definedName name="IQ_BASIC_WEIGHT_HIGH_EST" hidden="1">"c4142"</definedName>
    <definedName name="IQ_BASIC_WEIGHT_HIGH_EST_CIQ" hidden="1">"c4554"</definedName>
    <definedName name="IQ_BASIC_WEIGHT_LOW_EST" hidden="1">"c4143"</definedName>
    <definedName name="IQ_BASIC_WEIGHT_LOW_EST_CIQ" hidden="1">"c4555"</definedName>
    <definedName name="IQ_BASIC_WEIGHT_MEDIAN_EST" hidden="1">"c4144"</definedName>
    <definedName name="IQ_BASIC_WEIGHT_MEDIAN_EST_CIQ" hidden="1">"c4556"</definedName>
    <definedName name="IQ_BASIC_WEIGHT_NUM_EST" hidden="1">"c4145"</definedName>
    <definedName name="IQ_BASIC_WEIGHT_NUM_EST_CIQ" hidden="1">"c4557"</definedName>
    <definedName name="IQ_BASIC_WEIGHT_STDDEV_EST" hidden="1">"c4146"</definedName>
    <definedName name="IQ_BASIC_WEIGHT_STDDEV_EST_CIQ" hidden="1">"c4558"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ACT_OR_EST_CIQ" hidden="1">"c5068"</definedName>
    <definedName name="IQ_BV_ACT_OR_EST_REUT" hidden="1">"c5471"</definedName>
    <definedName name="IQ_BV_EST" hidden="1">"c5624"</definedName>
    <definedName name="IQ_BV_EST_CIQ" hidden="1">"c4737"</definedName>
    <definedName name="IQ_BV_EST_REUT" hidden="1">"c5403"</definedName>
    <definedName name="IQ_BV_HIGH_EST" hidden="1">"c5626"</definedName>
    <definedName name="IQ_BV_HIGH_EST_CIQ" hidden="1">"c4739"</definedName>
    <definedName name="IQ_BV_HIGH_EST_REUT" hidden="1">"c5405"</definedName>
    <definedName name="IQ_BV_LOW_EST" hidden="1">"c5627"</definedName>
    <definedName name="IQ_BV_LOW_EST_CIQ" hidden="1">"c4740"</definedName>
    <definedName name="IQ_BV_LOW_EST_REUT" hidden="1">"c5406"</definedName>
    <definedName name="IQ_BV_MEDIAN_EST" hidden="1">"c5625"</definedName>
    <definedName name="IQ_BV_MEDIAN_EST_CIQ" hidden="1">"c4738"</definedName>
    <definedName name="IQ_BV_MEDIAN_EST_REUT" hidden="1">"c5404"</definedName>
    <definedName name="IQ_BV_NUM_EST" hidden="1">"c5628"</definedName>
    <definedName name="IQ_BV_NUM_EST_CIQ" hidden="1">"c4741"</definedName>
    <definedName name="IQ_BV_NUM_EST_REUT" hidden="1">"c5407"</definedName>
    <definedName name="IQ_BV_OVER_SHARES" hidden="1">"c1349"</definedName>
    <definedName name="IQ_BV_SHARE" hidden="1">"c100"</definedName>
    <definedName name="IQ_BV_SHARE_ACT_OR_EST" hidden="1">"c3587"</definedName>
    <definedName name="IQ_BV_SHARE_ACT_OR_EST_CIQ" hidden="1">"c5072"</definedName>
    <definedName name="IQ_BV_SHARE_ACT_OR_EST_REUT" hidden="1">"c5477"</definedName>
    <definedName name="IQ_BV_SHARE_ACT_OR_EST_THOM" hidden="1">"c5312"</definedName>
    <definedName name="IQ_BV_SHARE_EST" hidden="1">"c3541"</definedName>
    <definedName name="IQ_BV_SHARE_EST_CIQ" hidden="1">"c3800"</definedName>
    <definedName name="IQ_BV_SHARE_EST_REUT" hidden="1">"c5439"</definedName>
    <definedName name="IQ_BV_SHARE_EST_THOM" hidden="1">"c4020"</definedName>
    <definedName name="IQ_BV_SHARE_HIGH_EST" hidden="1">"c3542"</definedName>
    <definedName name="IQ_BV_SHARE_HIGH_EST_CIQ" hidden="1">"c3802"</definedName>
    <definedName name="IQ_BV_SHARE_HIGH_EST_REUT" hidden="1">"c5441"</definedName>
    <definedName name="IQ_BV_SHARE_HIGH_EST_THOM" hidden="1">"c4022"</definedName>
    <definedName name="IQ_BV_SHARE_LOW_EST" hidden="1">"c3543"</definedName>
    <definedName name="IQ_BV_SHARE_LOW_EST_CIQ" hidden="1">"c3803"</definedName>
    <definedName name="IQ_BV_SHARE_LOW_EST_REUT" hidden="1">"c5442"</definedName>
    <definedName name="IQ_BV_SHARE_LOW_EST_THOM" hidden="1">"c4023"</definedName>
    <definedName name="IQ_BV_SHARE_MEDIAN_EST" hidden="1">"c3544"</definedName>
    <definedName name="IQ_BV_SHARE_MEDIAN_EST_CIQ" hidden="1">"c3801"</definedName>
    <definedName name="IQ_BV_SHARE_MEDIAN_EST_REUT" hidden="1">"c5440"</definedName>
    <definedName name="IQ_BV_SHARE_MEDIAN_EST_THOM" hidden="1">"c4021"</definedName>
    <definedName name="IQ_BV_SHARE_NUM_EST" hidden="1">"c3539"</definedName>
    <definedName name="IQ_BV_SHARE_NUM_EST_CIQ" hidden="1">"c3804"</definedName>
    <definedName name="IQ_BV_SHARE_NUM_EST_REUT" hidden="1">"c5443"</definedName>
    <definedName name="IQ_BV_SHARE_NUM_EST_THOM" hidden="1">"c4024"</definedName>
    <definedName name="IQ_BV_SHARE_STDDEV_EST" hidden="1">"c3540"</definedName>
    <definedName name="IQ_BV_SHARE_STDDEV_EST_CIQ" hidden="1">"c3805"</definedName>
    <definedName name="IQ_BV_SHARE_STDDEV_EST_REUT" hidden="1">"c5444"</definedName>
    <definedName name="IQ_BV_SHARE_STDDEV_EST_THOM" hidden="1">"c4025"</definedName>
    <definedName name="IQ_BV_STDDEV_EST" hidden="1">"c5629"</definedName>
    <definedName name="IQ_BV_STDDEV_EST_CIQ" hidden="1">"c4742"</definedName>
    <definedName name="IQ_BV_STDDEV_EST_REUT" hidden="1">"c5408"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Q_EST_REUT" hidden="1">"c6800"</definedName>
    <definedName name="IQ_CAL_Y" hidden="1">"c102"</definedName>
    <definedName name="IQ_CAL_Y_EST" hidden="1">"c6797"</definedName>
    <definedName name="IQ_CAL_Y_EST_CIQ" hidden="1">"c6809"</definedName>
    <definedName name="IQ_CAL_Y_EST_REUT" hidden="1">"c6801"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CIQ" hidden="1">"c5071"</definedName>
    <definedName name="IQ_CAPEX_ACT_OR_EST_REUT" hidden="1">"c5474"</definedName>
    <definedName name="IQ_CAPEX_ACT_OR_EST_THOM" hidden="1">"c5546"</definedName>
    <definedName name="IQ_CAPEX_BNK" hidden="1">"c110"</definedName>
    <definedName name="IQ_CAPEX_BR" hidden="1">"c111"</definedName>
    <definedName name="IQ_CAPEX_EST" hidden="1">"c3523"</definedName>
    <definedName name="IQ_CAPEX_EST_CIQ" hidden="1">"c3807"</definedName>
    <definedName name="IQ_CAPEX_EST_REUT" hidden="1">"c3969"</definedName>
    <definedName name="IQ_CAPEX_EST_THOM" hidden="1">"c5535"</definedName>
    <definedName name="IQ_CAPEX_FIN" hidden="1">"c112"</definedName>
    <definedName name="IQ_CAPEX_GUIDANCE" hidden="1">"c4150"</definedName>
    <definedName name="IQ_CAPEX_GUIDANCE_CIQ" hidden="1">"c4562"</definedName>
    <definedName name="IQ_CAPEX_HIGH_EST" hidden="1">"c3524"</definedName>
    <definedName name="IQ_CAPEX_HIGH_EST_CIQ" hidden="1">"c3809"</definedName>
    <definedName name="IQ_CAPEX_HIGH_EST_REUT" hidden="1">"c3971"</definedName>
    <definedName name="IQ_CAPEX_HIGH_EST_THOM" hidden="1">"c5537"</definedName>
    <definedName name="IQ_CAPEX_HIGH_GUIDANCE" hidden="1">"c4180"</definedName>
    <definedName name="IQ_CAPEX_HIGH_GUIDANCE_CIQ" hidden="1">"c4592"</definedName>
    <definedName name="IQ_CAPEX_INS" hidden="1">"c113"</definedName>
    <definedName name="IQ_CAPEX_LOW_EST" hidden="1">"c3525"</definedName>
    <definedName name="IQ_CAPEX_LOW_EST_CIQ" hidden="1">"c3810"</definedName>
    <definedName name="IQ_CAPEX_LOW_EST_REUT" hidden="1">"c3972"</definedName>
    <definedName name="IQ_CAPEX_LOW_EST_THOM" hidden="1">"c5538"</definedName>
    <definedName name="IQ_CAPEX_LOW_GUIDANCE" hidden="1">"c4220"</definedName>
    <definedName name="IQ_CAPEX_LOW_GUIDANCE_CIQ" hidden="1">"c4632"</definedName>
    <definedName name="IQ_CAPEX_MEDIAN_EST" hidden="1">"c3526"</definedName>
    <definedName name="IQ_CAPEX_MEDIAN_EST_CIQ" hidden="1">"c3808"</definedName>
    <definedName name="IQ_CAPEX_MEDIAN_EST_REUT" hidden="1">"c3970"</definedName>
    <definedName name="IQ_CAPEX_MEDIAN_EST_THOM" hidden="1">"c5536"</definedName>
    <definedName name="IQ_CAPEX_NUM_EST" hidden="1">"c3521"</definedName>
    <definedName name="IQ_CAPEX_NUM_EST_CIQ" hidden="1">"c3811"</definedName>
    <definedName name="IQ_CAPEX_NUM_EST_REUT" hidden="1">"c3973"</definedName>
    <definedName name="IQ_CAPEX_NUM_EST_THOM" hidden="1">"c5539"</definedName>
    <definedName name="IQ_CAPEX_STDDEV_EST" hidden="1">"c3522"</definedName>
    <definedName name="IQ_CAPEX_STDDEV_EST_CIQ" hidden="1">"c3812"</definedName>
    <definedName name="IQ_CAPEX_STDDEV_EST_REUT" hidden="1">"c3974"</definedName>
    <definedName name="IQ_CAPEX_STDDEV_EST_THOM" hidden="1">"c5540"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"c1630"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IVIDENDS_NET_INCOME_FDIC" hidden="1">"c6738"</definedName>
    <definedName name="IQ_CASH_DUE_BANKS" hidden="1">"c1351"</definedName>
    <definedName name="IQ_CASH_EPS_ACT_OR_EST" hidden="1">"c5638"</definedName>
    <definedName name="IQ_CASH_EPS_ACT_OR_EST_THOM" hidden="1">"c5646"</definedName>
    <definedName name="IQ_CASH_EPS_EST" hidden="1">"c5631"</definedName>
    <definedName name="IQ_CASH_EPS_EST_THOM" hidden="1">"c5639"</definedName>
    <definedName name="IQ_CASH_EPS_HIGH_EST" hidden="1">"c5633"</definedName>
    <definedName name="IQ_CASH_EPS_HIGH_EST_THOM" hidden="1">"c5641"</definedName>
    <definedName name="IQ_CASH_EPS_LOW_EST" hidden="1">"c5634"</definedName>
    <definedName name="IQ_CASH_EPS_LOW_EST_THOM" hidden="1">"c5642"</definedName>
    <definedName name="IQ_CASH_EPS_MEDIAN_EST" hidden="1">"c5632"</definedName>
    <definedName name="IQ_CASH_EPS_MEDIAN_EST_THOM" hidden="1">"c5640"</definedName>
    <definedName name="IQ_CASH_EPS_NUM_EST" hidden="1">"c5635"</definedName>
    <definedName name="IQ_CASH_EPS_NUM_EST_THOM" hidden="1">"c5643"</definedName>
    <definedName name="IQ_CASH_EPS_STDDEV_EST" hidden="1">"c5636"</definedName>
    <definedName name="IQ_CASH_EPS_STDDEV_EST_THOM" hidden="1">"c5644"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EST" hidden="1">"c4153"</definedName>
    <definedName name="IQ_CASH_FLOW_EST_CIQ" hidden="1">"c4565"</definedName>
    <definedName name="IQ_CASH_FLOW_GUIDANCE" hidden="1">"c4155"</definedName>
    <definedName name="IQ_CASH_FLOW_GUIDANCE_CIQ" hidden="1">"c4567"</definedName>
    <definedName name="IQ_CASH_FLOW_HIGH_EST" hidden="1">"c4156"</definedName>
    <definedName name="IQ_CASH_FLOW_HIGH_EST_CIQ" hidden="1">"c4568"</definedName>
    <definedName name="IQ_CASH_FLOW_HIGH_GUIDANCE" hidden="1">"c4201"</definedName>
    <definedName name="IQ_CASH_FLOW_HIGH_GUIDANCE_CIQ" hidden="1">"c4613"</definedName>
    <definedName name="IQ_CASH_FLOW_LOW_EST" hidden="1">"c4157"</definedName>
    <definedName name="IQ_CASH_FLOW_LOW_EST_CIQ" hidden="1">"c4569"</definedName>
    <definedName name="IQ_CASH_FLOW_LOW_GUIDANCE" hidden="1">"c4241"</definedName>
    <definedName name="IQ_CASH_FLOW_LOW_GUIDANCE_CIQ" hidden="1">"c4653"</definedName>
    <definedName name="IQ_CASH_FLOW_MEDIAN_EST" hidden="1">"c4158"</definedName>
    <definedName name="IQ_CASH_FLOW_MEDIAN_EST_CIQ" hidden="1">"c4570"</definedName>
    <definedName name="IQ_CASH_FLOW_NUM_EST" hidden="1">"c4159"</definedName>
    <definedName name="IQ_CASH_FLOW_NUM_EST_CIQ" hidden="1">"c4571"</definedName>
    <definedName name="IQ_CASH_FLOW_STDDEV_EST" hidden="1">"c4160"</definedName>
    <definedName name="IQ_CASH_FLOW_STDDEV_EST_CIQ" hidden="1">"c4572"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" hidden="1">"c4164"</definedName>
    <definedName name="IQ_CASH_OPER_ACT_OR_EST_CIQ" hidden="1">"c4576"</definedName>
    <definedName name="IQ_CASH_OPER_AP" hidden="1">"c8888"</definedName>
    <definedName name="IQ_CASH_OPER_AP_ABS" hidden="1">"c8907"</definedName>
    <definedName name="IQ_CASH_OPER_EST" hidden="1">"c4163"</definedName>
    <definedName name="IQ_CASH_OPER_EST_CIQ" hidden="1">"c4575"</definedName>
    <definedName name="IQ_CASH_OPER_GUIDANCE" hidden="1">"c4165"</definedName>
    <definedName name="IQ_CASH_OPER_GUIDANCE_CIQ" hidden="1">"c4577"</definedName>
    <definedName name="IQ_CASH_OPER_HIGH_EST" hidden="1">"c4166"</definedName>
    <definedName name="IQ_CASH_OPER_HIGH_EST_CIQ" hidden="1">"c4578"</definedName>
    <definedName name="IQ_CASH_OPER_HIGH_GUIDANCE" hidden="1">"c4185"</definedName>
    <definedName name="IQ_CASH_OPER_HIGH_GUIDANCE_CIQ" hidden="1">"c4597"</definedName>
    <definedName name="IQ_CASH_OPER_LOW_EST" hidden="1">"c4244"</definedName>
    <definedName name="IQ_CASH_OPER_LOW_EST_CIQ" hidden="1">"c4768"</definedName>
    <definedName name="IQ_CASH_OPER_LOW_GUIDANCE" hidden="1">"c4225"</definedName>
    <definedName name="IQ_CASH_OPER_LOW_GUIDANCE_CIQ" hidden="1">"c4637"</definedName>
    <definedName name="IQ_CASH_OPER_MEDIAN_EST" hidden="1">"c4245"</definedName>
    <definedName name="IQ_CASH_OPER_MEDIAN_EST_CIQ" hidden="1">"c4771"</definedName>
    <definedName name="IQ_CASH_OPER_NAME_AP" hidden="1">"c8926"</definedName>
    <definedName name="IQ_CASH_OPER_NAME_AP_ABS" hidden="1">"c8945"</definedName>
    <definedName name="IQ_CASH_OPER_NUM_EST" hidden="1">"c4246"</definedName>
    <definedName name="IQ_CASH_OPER_NUM_EST_CIQ" hidden="1">"c4772"</definedName>
    <definedName name="IQ_CASH_OPER_STDDEV_EST" hidden="1">"c4247"</definedName>
    <definedName name="IQ_CASH_OPER_STDDEV_EST_CIQ" hidden="1">"c4773"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ST_INVEST_EST" hidden="1">"c4249"</definedName>
    <definedName name="IQ_CASH_ST_INVEST_EST_CIQ" hidden="1">"c4775"</definedName>
    <definedName name="IQ_CASH_ST_INVEST_GUIDANCE" hidden="1">"c4250"</definedName>
    <definedName name="IQ_CASH_ST_INVEST_GUIDANCE_CIQ" hidden="1">"c4776"</definedName>
    <definedName name="IQ_CASH_ST_INVEST_HIGH_EST" hidden="1">"c4251"</definedName>
    <definedName name="IQ_CASH_ST_INVEST_HIGH_EST_CIQ" hidden="1">"c4777"</definedName>
    <definedName name="IQ_CASH_ST_INVEST_HIGH_GUIDANCE" hidden="1">"c4195"</definedName>
    <definedName name="IQ_CASH_ST_INVEST_HIGH_GUIDANCE_CIQ" hidden="1">"c4607"</definedName>
    <definedName name="IQ_CASH_ST_INVEST_LOW_EST" hidden="1">"c4252"</definedName>
    <definedName name="IQ_CASH_ST_INVEST_LOW_EST_CIQ" hidden="1">"c4778"</definedName>
    <definedName name="IQ_CASH_ST_INVEST_LOW_GUIDANCE" hidden="1">"c4235"</definedName>
    <definedName name="IQ_CASH_ST_INVEST_LOW_GUIDANCE_CIQ" hidden="1">"c4647"</definedName>
    <definedName name="IQ_CASH_ST_INVEST_MEDIAN_EST" hidden="1">"c4253"</definedName>
    <definedName name="IQ_CASH_ST_INVEST_MEDIAN_EST_CIQ" hidden="1">"c4779"</definedName>
    <definedName name="IQ_CASH_ST_INVEST_NUM_EST" hidden="1">"c4254"</definedName>
    <definedName name="IQ_CASH_ST_INVEST_NUM_EST_CIQ" hidden="1">"c4780"</definedName>
    <definedName name="IQ_CASH_ST_INVEST_STDDEV_EST" hidden="1">"c4255"</definedName>
    <definedName name="IQ_CASH_ST_INVEST_STDDEV_EST_CIQ" hidden="1">"c4781"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PS_ACT_OR_EST" hidden="1">"c2217"</definedName>
    <definedName name="IQ_CFPS_ACT_OR_EST_CIQ" hidden="1">"c5061"</definedName>
    <definedName name="IQ_CFPS_ACT_OR_EST_REUT" hidden="1">"c5463"</definedName>
    <definedName name="IQ_CFPS_ACT_OR_EST_THOM" hidden="1">"c5301"</definedName>
    <definedName name="IQ_CFPS_EST" hidden="1">"c1667"</definedName>
    <definedName name="IQ_CFPS_EST_CIQ" hidden="1">"c3675"</definedName>
    <definedName name="IQ_CFPS_EST_REUT" hidden="1">"c3844"</definedName>
    <definedName name="IQ_CFPS_EST_THOM" hidden="1">"c4006"</definedName>
    <definedName name="IQ_CFPS_GUIDANCE" hidden="1">"c4256"</definedName>
    <definedName name="IQ_CFPS_GUIDANCE_CIQ" hidden="1">"c4782"</definedName>
    <definedName name="IQ_CFPS_HIGH_EST" hidden="1">"c1669"</definedName>
    <definedName name="IQ_CFPS_HIGH_EST_CIQ" hidden="1">"c3677"</definedName>
    <definedName name="IQ_CFPS_HIGH_EST_REUT" hidden="1">"c3846"</definedName>
    <definedName name="IQ_CFPS_HIGH_EST_THOM" hidden="1">"c4008"</definedName>
    <definedName name="IQ_CFPS_HIGH_GUIDANCE" hidden="1">"c4167"</definedName>
    <definedName name="IQ_CFPS_HIGH_GUIDANCE_CIQ" hidden="1">"c4579"</definedName>
    <definedName name="IQ_CFPS_LOW_EST" hidden="1">"c1670"</definedName>
    <definedName name="IQ_CFPS_LOW_EST_CIQ" hidden="1">"c3678"</definedName>
    <definedName name="IQ_CFPS_LOW_EST_REUT" hidden="1">"c3847"</definedName>
    <definedName name="IQ_CFPS_LOW_EST_THOM" hidden="1">"c4009"</definedName>
    <definedName name="IQ_CFPS_LOW_GUIDANCE" hidden="1">"c4207"</definedName>
    <definedName name="IQ_CFPS_LOW_GUIDANCE_CIQ" hidden="1">"c4619"</definedName>
    <definedName name="IQ_CFPS_MEDIAN_EST" hidden="1">"c1668"</definedName>
    <definedName name="IQ_CFPS_MEDIAN_EST_CIQ" hidden="1">"c3676"</definedName>
    <definedName name="IQ_CFPS_MEDIAN_EST_REUT" hidden="1">"c3845"</definedName>
    <definedName name="IQ_CFPS_MEDIAN_EST_THOM" hidden="1">"c4007"</definedName>
    <definedName name="IQ_CFPS_NUM_EST" hidden="1">"c1671"</definedName>
    <definedName name="IQ_CFPS_NUM_EST_CIQ" hidden="1">"c3679"</definedName>
    <definedName name="IQ_CFPS_NUM_EST_REUT" hidden="1">"c3848"</definedName>
    <definedName name="IQ_CFPS_NUM_EST_THOM" hidden="1">"c4010"</definedName>
    <definedName name="IQ_CFPS_STDDEV_EST" hidden="1">"c1672"</definedName>
    <definedName name="IQ_CFPS_STDDEV_EST_CIQ" hidden="1">"c3680"</definedName>
    <definedName name="IQ_CFPS_STDDEV_EST_REUT" hidden="1">"c3849"</definedName>
    <definedName name="IQ_CFPS_STDDEV_EST_THOM" hidden="1">"c4011"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_UNUSED_UNUSED" hidden="1">"c8280"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ASSB_OUTSTANDING_BS_DATE" hidden="1">"c1972"</definedName>
    <definedName name="IQ_CLASSB_OUTSTANDING_FILING_DATE" hidden="1">"c1974"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RACTS_OTHER_COMMODITIES_EQUITIES._FDIC" hidden="1">"c6522"</definedName>
    <definedName name="IQ_CONTRACTS_OTHER_COMMODITIES_EQUITIES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VERED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EXPOSURE" hidden="1">"c10038"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_UNUSED_UNUSED" hidden="1">"c7947"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_UNUSED_UNUSED" hidden="1">"c8167"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TY_EST" hidden="1">"c4257"</definedName>
    <definedName name="IQ_DEBT_EQUITY_EST_CIQ" hidden="1">"c4783"</definedName>
    <definedName name="IQ_DEBT_EQUITY_HIGH_EST" hidden="1">"c4258"</definedName>
    <definedName name="IQ_DEBT_EQUITY_HIGH_EST_CIQ" hidden="1">"c4784"</definedName>
    <definedName name="IQ_DEBT_EQUITY_LOW_EST" hidden="1">"c4259"</definedName>
    <definedName name="IQ_DEBT_EQUITY_LOW_EST_CIQ" hidden="1">"c4785"</definedName>
    <definedName name="IQ_DEBT_EQUITY_MEDIAN_EST" hidden="1">"c4260"</definedName>
    <definedName name="IQ_DEBT_EQUITY_MEDIAN_EST_CIQ" hidden="1">"c4786"</definedName>
    <definedName name="IQ_DEBT_EQUITY_NUM_EST" hidden="1">"c4261"</definedName>
    <definedName name="IQ_DEBT_EQUITY_NUM_EST_CIQ" hidden="1">"c4787"</definedName>
    <definedName name="IQ_DEBT_EQUITY_STDDEV_EST" hidden="1">"c4262"</definedName>
    <definedName name="IQ_DEBT_EQUITY_STDDEV_EST_CIQ" hidden="1">"c4788"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FF_LASTCLOSE_TARGET_PRICE_CIQ" hidden="1">"c4767"</definedName>
    <definedName name="IQ_DIFF_LASTCLOSE_TARGET_PRICE_REUT" hidden="1">"c5436"</definedName>
    <definedName name="IQ_DIFF_LASTCLOSE_TARGET_PRICE_THOM" hidden="1">"c5278"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OUTSTANDING_CURRENT_EST" hidden="1">"c4263"</definedName>
    <definedName name="IQ_DILUT_OUTSTANDING_CURRENT_EST_CIQ" hidden="1">"c4789"</definedName>
    <definedName name="IQ_DILUT_OUTSTANDING_CURRENT_HIGH_EST" hidden="1">"c4264"</definedName>
    <definedName name="IQ_DILUT_OUTSTANDING_CURRENT_HIGH_EST_CIQ" hidden="1">"c4790"</definedName>
    <definedName name="IQ_DILUT_OUTSTANDING_CURRENT_LOW_EST" hidden="1">"c4265"</definedName>
    <definedName name="IQ_DILUT_OUTSTANDING_CURRENT_LOW_EST_CIQ" hidden="1">"c4791"</definedName>
    <definedName name="IQ_DILUT_OUTSTANDING_CURRENT_MEDIAN_EST" hidden="1">"c4266"</definedName>
    <definedName name="IQ_DILUT_OUTSTANDING_CURRENT_MEDIAN_EST_CIQ" hidden="1">"c4792"</definedName>
    <definedName name="IQ_DILUT_OUTSTANDING_CURRENT_NUM_EST" hidden="1">"c4267"</definedName>
    <definedName name="IQ_DILUT_OUTSTANDING_CURRENT_NUM_EST_CIQ" hidden="1">"c4793"</definedName>
    <definedName name="IQ_DILUT_OUTSTANDING_CURRENT_STDDEV_EST" hidden="1">"c4268"</definedName>
    <definedName name="IQ_DILUT_OUTSTANDING_CURRENT_STDDEV_EST_CIQ" hidden="1">"c4794"</definedName>
    <definedName name="IQ_DILUT_WEIGHT" hidden="1">"c326"</definedName>
    <definedName name="IQ_DILUT_WEIGHT_EST" hidden="1">"c4269"</definedName>
    <definedName name="IQ_DILUT_WEIGHT_EST_CIQ" hidden="1">"c4795"</definedName>
    <definedName name="IQ_DILUT_WEIGHT_GUIDANCE" hidden="1">"c4270"</definedName>
    <definedName name="IQ_DILUT_WEIGHT_HIGH_EST" hidden="1">"c4271"</definedName>
    <definedName name="IQ_DILUT_WEIGHT_HIGH_EST_CIQ" hidden="1">"c4796"</definedName>
    <definedName name="IQ_DILUT_WEIGHT_LOW_EST" hidden="1">"c4272"</definedName>
    <definedName name="IQ_DILUT_WEIGHT_LOW_EST_CIQ" hidden="1">"c4797"</definedName>
    <definedName name="IQ_DILUT_WEIGHT_MEDIAN_EST" hidden="1">"c4273"</definedName>
    <definedName name="IQ_DILUT_WEIGHT_MEDIAN_EST_CIQ" hidden="1">"c4798"</definedName>
    <definedName name="IQ_DILUT_WEIGHT_NUM_EST" hidden="1">"c4274"</definedName>
    <definedName name="IQ_DILUT_WEIGHT_NUM_EST_CIQ" hidden="1">"c4799"</definedName>
    <definedName name="IQ_DILUT_WEIGHT_STDDEV_EST" hidden="1">"c4275"</definedName>
    <definedName name="IQ_DILUT_WEIGHT_STDDEV_EST_CIQ" hidden="1">"c4800"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EST" hidden="1">"c4277"</definedName>
    <definedName name="IQ_DISTRIBUTABLE_CASH_EST_CIQ" hidden="1">"c4802"</definedName>
    <definedName name="IQ_DISTRIBUTABLE_CASH_GUIDANCE" hidden="1">"c4279"</definedName>
    <definedName name="IQ_DISTRIBUTABLE_CASH_GUIDANCE_CIQ" hidden="1">"c4804"</definedName>
    <definedName name="IQ_DISTRIBUTABLE_CASH_HIGH_EST" hidden="1">"c4280"</definedName>
    <definedName name="IQ_DISTRIBUTABLE_CASH_HIGH_EST_CIQ" hidden="1">"c4805"</definedName>
    <definedName name="IQ_DISTRIBUTABLE_CASH_HIGH_GUIDANCE" hidden="1">"c4198"</definedName>
    <definedName name="IQ_DISTRIBUTABLE_CASH_HIGH_GUIDANCE_CIQ" hidden="1">"c4610"</definedName>
    <definedName name="IQ_DISTRIBUTABLE_CASH_LOW_EST" hidden="1">"c4281"</definedName>
    <definedName name="IQ_DISTRIBUTABLE_CASH_LOW_EST_CIQ" hidden="1">"c4806"</definedName>
    <definedName name="IQ_DISTRIBUTABLE_CASH_LOW_GUIDANCE" hidden="1">"c4238"</definedName>
    <definedName name="IQ_DISTRIBUTABLE_CASH_LOW_GUIDANCE_CIQ" hidden="1">"c4650"</definedName>
    <definedName name="IQ_DISTRIBUTABLE_CASH_MEDIAN_EST" hidden="1">"c4282"</definedName>
    <definedName name="IQ_DISTRIBUTABLE_CASH_MEDIAN_EST_CIQ" hidden="1">"c4807"</definedName>
    <definedName name="IQ_DISTRIBUTABLE_CASH_NUM_EST" hidden="1">"c4283"</definedName>
    <definedName name="IQ_DISTRIBUTABLE_CASH_NUM_EST_CIQ" hidden="1">"c4808"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EST" hidden="1">"c4285"</definedName>
    <definedName name="IQ_DISTRIBUTABLE_CASH_SHARE_EST_CIQ" hidden="1">"c4810"</definedName>
    <definedName name="IQ_DISTRIBUTABLE_CASH_SHARE_GUIDANCE" hidden="1">"c4287"</definedName>
    <definedName name="IQ_DISTRIBUTABLE_CASH_SHARE_GUIDANCE_CIQ" hidden="1">"c4812"</definedName>
    <definedName name="IQ_DISTRIBUTABLE_CASH_SHARE_HIGH_EST" hidden="1">"c4288"</definedName>
    <definedName name="IQ_DISTRIBUTABLE_CASH_SHARE_HIGH_EST_CIQ" hidden="1">"c4813"</definedName>
    <definedName name="IQ_DISTRIBUTABLE_CASH_SHARE_HIGH_GUIDANCE" hidden="1">"c4199"</definedName>
    <definedName name="IQ_DISTRIBUTABLE_CASH_SHARE_HIGH_GUIDANCE_CIQ" hidden="1">"c4611"</definedName>
    <definedName name="IQ_DISTRIBUTABLE_CASH_SHARE_LOW_EST" hidden="1">"c4289"</definedName>
    <definedName name="IQ_DISTRIBUTABLE_CASH_SHARE_LOW_EST_CIQ" hidden="1">"c4814"</definedName>
    <definedName name="IQ_DISTRIBUTABLE_CASH_SHARE_LOW_GUIDANCE" hidden="1">"c4239"</definedName>
    <definedName name="IQ_DISTRIBUTABLE_CASH_SHARE_LOW_GUIDANCE_CIQ" hidden="1">"c4651"</definedName>
    <definedName name="IQ_DISTRIBUTABLE_CASH_SHARE_MEDIAN_EST" hidden="1">"c4290"</definedName>
    <definedName name="IQ_DISTRIBUTABLE_CASH_SHARE_MEDIAN_EST_CIQ" hidden="1">"c4815"</definedName>
    <definedName name="IQ_DISTRIBUTABLE_CASH_SHARE_NUM_EST" hidden="1">"c4291"</definedName>
    <definedName name="IQ_DISTRIBUTABLE_CASH_SHARE_NUM_EST_CIQ" hidden="1">"c4816"</definedName>
    <definedName name="IQ_DISTRIBUTABLE_CASH_SHARE_STDDEV_EST" hidden="1">"c4292"</definedName>
    <definedName name="IQ_DISTRIBUTABLE_CASH_SHARE_STDDEV_EST_CIQ" hidden="1">"c4817"</definedName>
    <definedName name="IQ_DISTRIBUTABLE_CASH_STDDEV_EST" hidden="1">"c4294"</definedName>
    <definedName name="IQ_DISTRIBUTABLE_CASH_STDDEV_EST_CIQ" hidden="1">"c4819"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EST" hidden="1">"c4296"</definedName>
    <definedName name="IQ_DIVIDEND_EST_CIQ" hidden="1">"c4821"</definedName>
    <definedName name="IQ_DIVIDEND_HIGH_EST" hidden="1">"c4297"</definedName>
    <definedName name="IQ_DIVIDEND_HIGH_EST_CIQ" hidden="1">"c4822"</definedName>
    <definedName name="IQ_DIVIDEND_LOW_EST" hidden="1">"c4298"</definedName>
    <definedName name="IQ_DIVIDEND_LOW_EST_CIQ" hidden="1">"c4823"</definedName>
    <definedName name="IQ_DIVIDEND_MEDIAN_EST" hidden="1">"c4299"</definedName>
    <definedName name="IQ_DIVIDEND_MEDIAN_EST_CIQ" hidden="1">"c4824"</definedName>
    <definedName name="IQ_DIVIDEND_NUM_EST" hidden="1">"c4300"</definedName>
    <definedName name="IQ_DIVIDEND_NUM_EST_CIQ" hidden="1">"c4825"</definedName>
    <definedName name="IQ_DIVIDEND_STDDEV_EST" hidden="1">"c4301"</definedName>
    <definedName name="IQ_DIVIDEND_STDDEV_EST_CIQ" hidden="1">"c4826"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CIQ" hidden="1">"c5062"</definedName>
    <definedName name="IQ_DPS_ACT_OR_EST_REUT" hidden="1">"c5464"</definedName>
    <definedName name="IQ_DPS_ACT_OR_EST_THOM" hidden="1">"c5302"</definedName>
    <definedName name="IQ_DPS_EST" hidden="1">"c1674"</definedName>
    <definedName name="IQ_DPS_EST_BOTTOM_UP" hidden="1">"c5493"</definedName>
    <definedName name="IQ_DPS_EST_BOTTOM_UP_REUT" hidden="1">"c5501"</definedName>
    <definedName name="IQ_DPS_EST_CIQ" hidden="1">"c3682"</definedName>
    <definedName name="IQ_DPS_EST_REUT" hidden="1">"c3851"</definedName>
    <definedName name="IQ_DPS_EST_THOM" hidden="1">"c4013"</definedName>
    <definedName name="IQ_DPS_GUIDANCE" hidden="1">"c4302"</definedName>
    <definedName name="IQ_DPS_GUIDANCE_CIQ" hidden="1">"c4827"</definedName>
    <definedName name="IQ_DPS_HIGH_EST" hidden="1">"c1676"</definedName>
    <definedName name="IQ_DPS_HIGH_EST_CIQ" hidden="1">"c3684"</definedName>
    <definedName name="IQ_DPS_HIGH_EST_REUT" hidden="1">"c3853"</definedName>
    <definedName name="IQ_DPS_HIGH_EST_THOM" hidden="1">"c4015"</definedName>
    <definedName name="IQ_DPS_HIGH_GUIDANCE" hidden="1">"c4168"</definedName>
    <definedName name="IQ_DPS_HIGH_GUIDANCE_CIQ" hidden="1">"c4580"</definedName>
    <definedName name="IQ_DPS_LOW_EST" hidden="1">"c1677"</definedName>
    <definedName name="IQ_DPS_LOW_EST_CIQ" hidden="1">"c3685"</definedName>
    <definedName name="IQ_DPS_LOW_EST_REUT" hidden="1">"c3854"</definedName>
    <definedName name="IQ_DPS_LOW_EST_THOM" hidden="1">"c4016"</definedName>
    <definedName name="IQ_DPS_LOW_GUIDANCE" hidden="1">"c4208"</definedName>
    <definedName name="IQ_DPS_LOW_GUIDANCE_CIQ" hidden="1">"c4620"</definedName>
    <definedName name="IQ_DPS_MEDIAN_EST" hidden="1">"c1675"</definedName>
    <definedName name="IQ_DPS_MEDIAN_EST_CIQ" hidden="1">"c3683"</definedName>
    <definedName name="IQ_DPS_MEDIAN_EST_REUT" hidden="1">"c3852"</definedName>
    <definedName name="IQ_DPS_MEDIAN_EST_THOM" hidden="1">"c4014"</definedName>
    <definedName name="IQ_DPS_NUM_EST" hidden="1">"c1678"</definedName>
    <definedName name="IQ_DPS_NUM_EST_CIQ" hidden="1">"c3686"</definedName>
    <definedName name="IQ_DPS_NUM_EST_REUT" hidden="1">"c3855"</definedName>
    <definedName name="IQ_DPS_NUM_EST_THOM" hidden="1">"c4017"</definedName>
    <definedName name="IQ_DPS_STDDEV_EST" hidden="1">"c1679"</definedName>
    <definedName name="IQ_DPS_STDDEV_EST_CIQ" hidden="1">"c3687"</definedName>
    <definedName name="IQ_DPS_STDDEV_EST_REUT" hidden="1">"c3856"</definedName>
    <definedName name="IQ_DPS_STDDEV_EST_THOM" hidden="1">"c4018"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ANNOUNCE_DATE_REUT" hidden="1">"c5314"</definedName>
    <definedName name="IQ_EARNINGS_ANNOUNCE_DATE_THOM" hidden="1">"c5093"</definedName>
    <definedName name="IQ_EARNINGS_COVERAGE_NET_CHARGE_OFFS_FDIC" hidden="1">"c6735"</definedName>
    <definedName name="IQ_EARNINGS_PERIOD_COVERED" hidden="1">"c9958"</definedName>
    <definedName name="IQ_EARNINGS_PERIOD_GROUP" hidden="1">"c9944"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CIQ" hidden="1">"c5063"</definedName>
    <definedName name="IQ_EBIT_ACT_OR_EST_REUT" hidden="1">"c5465"</definedName>
    <definedName name="IQ_EBIT_ACT_OR_EST_THOM" hidden="1">"c5303"</definedName>
    <definedName name="IQ_EBIT_EQ_INC" hidden="1">"c3498"</definedName>
    <definedName name="IQ_EBIT_EQ_INC_EXCL_SBC" hidden="1">"c3502"</definedName>
    <definedName name="IQ_EBIT_EST" hidden="1">"c1681"</definedName>
    <definedName name="IQ_EBIT_EST_CIQ" hidden="1">"c4674"</definedName>
    <definedName name="IQ_EBIT_EST_REUT" hidden="1">"c5333"</definedName>
    <definedName name="IQ_EBIT_EST_THOM" hidden="1">"c5105"</definedName>
    <definedName name="IQ_EBIT_EXCL_SBC" hidden="1">"c3082"</definedName>
    <definedName name="IQ_EBIT_GUIDANCE" hidden="1">"c4303"</definedName>
    <definedName name="IQ_EBIT_GUIDANCE_CIQ" hidden="1">"c4828"</definedName>
    <definedName name="IQ_EBIT_GW_ACT_OR_EST" hidden="1">"c4306"</definedName>
    <definedName name="IQ_EBIT_GW_ACT_OR_EST_CIQ" hidden="1">"c4831"</definedName>
    <definedName name="IQ_EBIT_GW_EST" hidden="1">"c4305"</definedName>
    <definedName name="IQ_EBIT_GW_EST_CIQ" hidden="1">"c4830"</definedName>
    <definedName name="IQ_EBIT_GW_GUIDANCE" hidden="1">"c4307"</definedName>
    <definedName name="IQ_EBIT_GW_GUIDANCE_CIQ" hidden="1">"c4832"</definedName>
    <definedName name="IQ_EBIT_GW_HIGH_EST" hidden="1">"c4308"</definedName>
    <definedName name="IQ_EBIT_GW_HIGH_EST_CIQ" hidden="1">"c4833"</definedName>
    <definedName name="IQ_EBIT_GW_HIGH_GUIDANCE" hidden="1">"c4171"</definedName>
    <definedName name="IQ_EBIT_GW_HIGH_GUIDANCE_CIQ" hidden="1">"c4583"</definedName>
    <definedName name="IQ_EBIT_GW_LOW_EST" hidden="1">"c4309"</definedName>
    <definedName name="IQ_EBIT_GW_LOW_EST_CIQ" hidden="1">"c4834"</definedName>
    <definedName name="IQ_EBIT_GW_LOW_GUIDANCE" hidden="1">"c4211"</definedName>
    <definedName name="IQ_EBIT_GW_LOW_GUIDANCE_CIQ" hidden="1">"c4623"</definedName>
    <definedName name="IQ_EBIT_GW_MEDIAN_EST" hidden="1">"c4310"</definedName>
    <definedName name="IQ_EBIT_GW_MEDIAN_EST_CIQ" hidden="1">"c4835"</definedName>
    <definedName name="IQ_EBIT_GW_NUM_EST" hidden="1">"c4311"</definedName>
    <definedName name="IQ_EBIT_GW_NUM_EST_CIQ" hidden="1">"c4836"</definedName>
    <definedName name="IQ_EBIT_GW_STDDEV_EST" hidden="1">"c4312"</definedName>
    <definedName name="IQ_EBIT_GW_STDDEV_EST_CIQ" hidden="1">"c4837"</definedName>
    <definedName name="IQ_EBIT_HIGH_EST" hidden="1">"c1683"</definedName>
    <definedName name="IQ_EBIT_HIGH_EST_CIQ" hidden="1">"c4676"</definedName>
    <definedName name="IQ_EBIT_HIGH_EST_REUT" hidden="1">"c5335"</definedName>
    <definedName name="IQ_EBIT_HIGH_EST_THOM" hidden="1">"c5107"</definedName>
    <definedName name="IQ_EBIT_HIGH_GUIDANCE" hidden="1">"c4172"</definedName>
    <definedName name="IQ_EBIT_HIGH_GUIDANCE_CIQ" hidden="1">"c4584"</definedName>
    <definedName name="IQ_EBIT_INT" hidden="1">"c360"</definedName>
    <definedName name="IQ_EBIT_LOW_EST" hidden="1">"c1684"</definedName>
    <definedName name="IQ_EBIT_LOW_EST_CIQ" hidden="1">"c4677"</definedName>
    <definedName name="IQ_EBIT_LOW_EST_REUT" hidden="1">"c5336"</definedName>
    <definedName name="IQ_EBIT_LOW_EST_THOM" hidden="1">"c5108"</definedName>
    <definedName name="IQ_EBIT_LOW_GUIDANCE" hidden="1">"c4212"</definedName>
    <definedName name="IQ_EBIT_LOW_GUIDANCE_CIQ" hidden="1">"c4624"</definedName>
    <definedName name="IQ_EBIT_MARGIN" hidden="1">"c359"</definedName>
    <definedName name="IQ_EBIT_MEDIAN_EST" hidden="1">"c1682"</definedName>
    <definedName name="IQ_EBIT_MEDIAN_EST_CIQ" hidden="1">"c4675"</definedName>
    <definedName name="IQ_EBIT_MEDIAN_EST_REUT" hidden="1">"c5334"</definedName>
    <definedName name="IQ_EBIT_MEDIAN_EST_THOM" hidden="1">"c5106"</definedName>
    <definedName name="IQ_EBIT_NUM_EST" hidden="1">"c1685"</definedName>
    <definedName name="IQ_EBIT_NUM_EST_CIQ" hidden="1">"c4678"</definedName>
    <definedName name="IQ_EBIT_NUM_EST_REUT" hidden="1">"c5337"</definedName>
    <definedName name="IQ_EBIT_NUM_EST_THOM" hidden="1">"c5109"</definedName>
    <definedName name="IQ_EBIT_OVER_IE" hidden="1">"c1369"</definedName>
    <definedName name="IQ_EBIT_SBC_ACT_OR_EST" hidden="1">"c4316"</definedName>
    <definedName name="IQ_EBIT_SBC_ACT_OR_EST_CIQ" hidden="1">"c4841"</definedName>
    <definedName name="IQ_EBIT_SBC_EST" hidden="1">"c4315"</definedName>
    <definedName name="IQ_EBIT_SBC_EST_CIQ" hidden="1">"c4840"</definedName>
    <definedName name="IQ_EBIT_SBC_GUIDANCE" hidden="1">"c4317"</definedName>
    <definedName name="IQ_EBIT_SBC_GUIDANCE_CIQ" hidden="1">"c4842"</definedName>
    <definedName name="IQ_EBIT_SBC_GW_ACT_OR_EST" hidden="1">"c4320"</definedName>
    <definedName name="IQ_EBIT_SBC_GW_ACT_OR_EST_CIQ" hidden="1">"c4845"</definedName>
    <definedName name="IQ_EBIT_SBC_GW_EST" hidden="1">"c4319"</definedName>
    <definedName name="IQ_EBIT_SBC_GW_EST_CIQ" hidden="1">"c4844"</definedName>
    <definedName name="IQ_EBIT_SBC_GW_GUIDANCE" hidden="1">"c4321"</definedName>
    <definedName name="IQ_EBIT_SBC_GW_GUIDANCE_CIQ" hidden="1">"c4846"</definedName>
    <definedName name="IQ_EBIT_SBC_GW_HIGH_EST" hidden="1">"c4322"</definedName>
    <definedName name="IQ_EBIT_SBC_GW_HIGH_EST_CIQ" hidden="1">"c4847"</definedName>
    <definedName name="IQ_EBIT_SBC_GW_HIGH_GUIDANCE" hidden="1">"c4193"</definedName>
    <definedName name="IQ_EBIT_SBC_GW_HIGH_GUIDANCE_CIQ" hidden="1">"c4605"</definedName>
    <definedName name="IQ_EBIT_SBC_GW_LOW_EST" hidden="1">"c4323"</definedName>
    <definedName name="IQ_EBIT_SBC_GW_LOW_EST_CIQ" hidden="1">"c4848"</definedName>
    <definedName name="IQ_EBIT_SBC_GW_LOW_GUIDANCE" hidden="1">"c4233"</definedName>
    <definedName name="IQ_EBIT_SBC_GW_LOW_GUIDANCE_CIQ" hidden="1">"c4645"</definedName>
    <definedName name="IQ_EBIT_SBC_GW_MEDIAN_EST" hidden="1">"c4324"</definedName>
    <definedName name="IQ_EBIT_SBC_GW_MEDIAN_EST_CIQ" hidden="1">"c4849"</definedName>
    <definedName name="IQ_EBIT_SBC_GW_NUM_EST" hidden="1">"c4325"</definedName>
    <definedName name="IQ_EBIT_SBC_GW_NUM_EST_CIQ" hidden="1">"c4850"</definedName>
    <definedName name="IQ_EBIT_SBC_GW_STDDEV_EST" hidden="1">"c4326"</definedName>
    <definedName name="IQ_EBIT_SBC_GW_STDDEV_EST_CIQ" hidden="1">"c4851"</definedName>
    <definedName name="IQ_EBIT_SBC_HIGH_EST" hidden="1">"c4328"</definedName>
    <definedName name="IQ_EBIT_SBC_HIGH_EST_CIQ" hidden="1">"c4853"</definedName>
    <definedName name="IQ_EBIT_SBC_HIGH_GUIDANCE" hidden="1">"c4192"</definedName>
    <definedName name="IQ_EBIT_SBC_HIGH_GUIDANCE_CIQ" hidden="1">"c4604"</definedName>
    <definedName name="IQ_EBIT_SBC_LOW_EST" hidden="1">"c4329"</definedName>
    <definedName name="IQ_EBIT_SBC_LOW_EST_CIQ" hidden="1">"c4854"</definedName>
    <definedName name="IQ_EBIT_SBC_LOW_GUIDANCE" hidden="1">"c4232"</definedName>
    <definedName name="IQ_EBIT_SBC_LOW_GUIDANCE_CIQ" hidden="1">"c4644"</definedName>
    <definedName name="IQ_EBIT_SBC_MEDIAN_EST" hidden="1">"c4330"</definedName>
    <definedName name="IQ_EBIT_SBC_MEDIAN_EST_CIQ" hidden="1">"c4855"</definedName>
    <definedName name="IQ_EBIT_SBC_NUM_EST" hidden="1">"c4331"</definedName>
    <definedName name="IQ_EBIT_SBC_NUM_EST_CIQ" hidden="1">"c4856"</definedName>
    <definedName name="IQ_EBIT_SBC_STDDEV_EST" hidden="1">"c4332"</definedName>
    <definedName name="IQ_EBIT_SBC_STDDEV_EST_CIQ" hidden="1">"c4857"</definedName>
    <definedName name="IQ_EBIT_STDDEV_EST" hidden="1">"c1686"</definedName>
    <definedName name="IQ_EBIT_STDDEV_EST_CIQ" hidden="1">"c4679"</definedName>
    <definedName name="IQ_EBIT_STDDEV_EST_REUT" hidden="1">"c5338"</definedName>
    <definedName name="IQ_EBIT_STDDEV_EST_THOM" hidden="1">"c5110"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ACT_OR_EST_REUT" hidden="1">"c5462"</definedName>
    <definedName name="IQ_EBITDA_ACT_OR_EST_THOM" hidden="1">"c5300"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ST_REUT" hidden="1">"c3640"</definedName>
    <definedName name="IQ_EBITDA_EST_THOM" hidden="1">"c3658"</definedName>
    <definedName name="IQ_EBITDA_EXCL_SBC" hidden="1">"c3081"</definedName>
    <definedName name="IQ_EBITDA_GUIDANCE" hidden="1">"c4334"</definedName>
    <definedName name="IQ_EBITDA_GUIDANCE_CIQ" hidden="1">"c4859"</definedName>
    <definedName name="IQ_EBITDA_HIGH_EST" hidden="1">"c370"</definedName>
    <definedName name="IQ_EBITDA_HIGH_EST_CIQ" hidden="1">"c3624"</definedName>
    <definedName name="IQ_EBITDA_HIGH_EST_REUT" hidden="1">"c3642"</definedName>
    <definedName name="IQ_EBITDA_HIGH_EST_THOM" hidden="1">"c3660"</definedName>
    <definedName name="IQ_EBITDA_HIGH_GUIDANCE" hidden="1">"c4170"</definedName>
    <definedName name="IQ_EBITDA_HIGH_GUIDANCE_CIQ" hidden="1">"c4582"</definedName>
    <definedName name="IQ_EBITDA_INT" hidden="1">"c373"</definedName>
    <definedName name="IQ_EBITDA_LOW_EST" hidden="1">"c371"</definedName>
    <definedName name="IQ_EBITDA_LOW_EST_CIQ" hidden="1">"c3625"</definedName>
    <definedName name="IQ_EBITDA_LOW_EST_REUT" hidden="1">"c3643"</definedName>
    <definedName name="IQ_EBITDA_LOW_EST_THOM" hidden="1">"c3661"</definedName>
    <definedName name="IQ_EBITDA_LOW_GUIDANCE" hidden="1">"c4210"</definedName>
    <definedName name="IQ_EBITDA_LOW_GUIDANCE_CIQ" hidden="1">"c4622"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MEDIAN_EST_REUT" hidden="1">"c3641"</definedName>
    <definedName name="IQ_EBITDA_MEDIAN_EST_THOM" hidden="1">"c3659"</definedName>
    <definedName name="IQ_EBITDA_NUM_EST" hidden="1">"c374"</definedName>
    <definedName name="IQ_EBITDA_NUM_EST_CIQ" hidden="1">"c3626"</definedName>
    <definedName name="IQ_EBITDA_NUM_EST_REUT" hidden="1">"c3644"</definedName>
    <definedName name="IQ_EBITDA_NUM_EST_THOM" hidden="1">"c3662"</definedName>
    <definedName name="IQ_EBITDA_OVER_TOTAL_IE" hidden="1">"c1371"</definedName>
    <definedName name="IQ_EBITDA_SBC_ACT_OR_EST" hidden="1">"c4337"</definedName>
    <definedName name="IQ_EBITDA_SBC_ACT_OR_EST_CIQ" hidden="1">"c4862"</definedName>
    <definedName name="IQ_EBITDA_SBC_EST" hidden="1">"c4336"</definedName>
    <definedName name="IQ_EBITDA_SBC_EST_CIQ" hidden="1">"c4861"</definedName>
    <definedName name="IQ_EBITDA_SBC_GUIDANCE" hidden="1">"c4338"</definedName>
    <definedName name="IQ_EBITDA_SBC_GUIDANCE_CIQ" hidden="1">"c4863"</definedName>
    <definedName name="IQ_EBITDA_SBC_HIGH_EST" hidden="1">"c4339"</definedName>
    <definedName name="IQ_EBITDA_SBC_HIGH_EST_CIQ" hidden="1">"c4864"</definedName>
    <definedName name="IQ_EBITDA_SBC_HIGH_GUIDANCE" hidden="1">"c4194"</definedName>
    <definedName name="IQ_EBITDA_SBC_HIGH_GUIDANCE_CIQ" hidden="1">"c4606"</definedName>
    <definedName name="IQ_EBITDA_SBC_LOW_EST" hidden="1">"c4340"</definedName>
    <definedName name="IQ_EBITDA_SBC_LOW_EST_CIQ" hidden="1">"c4865"</definedName>
    <definedName name="IQ_EBITDA_SBC_LOW_GUIDANCE" hidden="1">"c4234"</definedName>
    <definedName name="IQ_EBITDA_SBC_LOW_GUIDANCE_CIQ" hidden="1">"c4646"</definedName>
    <definedName name="IQ_EBITDA_SBC_MEDIAN_EST" hidden="1">"c4341"</definedName>
    <definedName name="IQ_EBITDA_SBC_MEDIAN_EST_CIQ" hidden="1">"c4866"</definedName>
    <definedName name="IQ_EBITDA_SBC_NUM_EST" hidden="1">"c4342"</definedName>
    <definedName name="IQ_EBITDA_SBC_NUM_EST_CIQ" hidden="1">"c4867"</definedName>
    <definedName name="IQ_EBITDA_SBC_STDDEV_EST" hidden="1">"c4343"</definedName>
    <definedName name="IQ_EBITDA_SBC_STDDEV_EST_CIQ" hidden="1">"c4868"</definedName>
    <definedName name="IQ_EBITDA_STDDEV_EST" hidden="1">"c375"</definedName>
    <definedName name="IQ_EBITDA_STDDEV_EST_CIQ" hidden="1">"c3627"</definedName>
    <definedName name="IQ_EBITDA_STDDEV_EST_REUT" hidden="1">"c3645"</definedName>
    <definedName name="IQ_EBITDA_STDDEV_EST_THOM" hidden="1">"c3663"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GAAP_GUIDANCE" hidden="1">"c4345"</definedName>
    <definedName name="IQ_EBT_GAAP_GUIDANCE_CIQ" hidden="1">"c4870"</definedName>
    <definedName name="IQ_EBT_GAAP_HIGH_GUIDANCE" hidden="1">"c4174"</definedName>
    <definedName name="IQ_EBT_GAAP_HIGH_GUIDANCE_CIQ" hidden="1">"c4586"</definedName>
    <definedName name="IQ_EBT_GAAP_LOW_GUIDANCE" hidden="1">"c4214"</definedName>
    <definedName name="IQ_EBT_GAAP_LOW_GUIDANCE_CIQ" hidden="1">"c4626"</definedName>
    <definedName name="IQ_EBT_GUIDANCE" hidden="1">"c4346"</definedName>
    <definedName name="IQ_EBT_GUIDANCE_CIQ" hidden="1">"c4871"</definedName>
    <definedName name="IQ_EBT_GW_GUIDANCE" hidden="1">"c4347"</definedName>
    <definedName name="IQ_EBT_GW_GUIDANCE_CIQ" hidden="1">"c4872"</definedName>
    <definedName name="IQ_EBT_GW_HIGH_GUIDANCE" hidden="1">"c4175"</definedName>
    <definedName name="IQ_EBT_GW_HIGH_GUIDANCE_CIQ" hidden="1">"c4587"</definedName>
    <definedName name="IQ_EBT_GW_LOW_GUIDANCE" hidden="1">"c4215"</definedName>
    <definedName name="IQ_EBT_GW_LOW_GUIDANCE_CIQ" hidden="1">"c4627"</definedName>
    <definedName name="IQ_EBT_HIGH_GUIDANCE" hidden="1">"c4173"</definedName>
    <definedName name="IQ_EBT_HIGH_GUIDANCE_CIQ" hidden="1">"c4585"</definedName>
    <definedName name="IQ_EBT_INCL_MARGIN" hidden="1">"c387"</definedName>
    <definedName name="IQ_EBT_INS" hidden="1">"c388"</definedName>
    <definedName name="IQ_EBT_LOW_GUIDANCE" hidden="1">"c4213"</definedName>
    <definedName name="IQ_EBT_LOW_GUIDANCE_CIQ" hidden="1">"c4625"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EST" hidden="1">"c4349"</definedName>
    <definedName name="IQ_EBT_SBC_EST_CIQ" hidden="1">"c4874"</definedName>
    <definedName name="IQ_EBT_SBC_GUIDANCE" hidden="1">"c4351"</definedName>
    <definedName name="IQ_EBT_SBC_GUIDANCE_CIQ" hidden="1">"c4876"</definedName>
    <definedName name="IQ_EBT_SBC_GW_ACT_OR_EST" hidden="1">"c4354"</definedName>
    <definedName name="IQ_EBT_SBC_GW_ACT_OR_EST_CIQ" hidden="1">"c4879"</definedName>
    <definedName name="IQ_EBT_SBC_GW_EST" hidden="1">"c4353"</definedName>
    <definedName name="IQ_EBT_SBC_GW_EST_CIQ" hidden="1">"c4878"</definedName>
    <definedName name="IQ_EBT_SBC_GW_GUIDANCE" hidden="1">"c4355"</definedName>
    <definedName name="IQ_EBT_SBC_GW_GUIDANCE_CIQ" hidden="1">"c4880"</definedName>
    <definedName name="IQ_EBT_SBC_GW_HIGH_EST" hidden="1">"c4356"</definedName>
    <definedName name="IQ_EBT_SBC_GW_HIGH_EST_CIQ" hidden="1">"c4881"</definedName>
    <definedName name="IQ_EBT_SBC_GW_HIGH_GUIDANCE" hidden="1">"c4191"</definedName>
    <definedName name="IQ_EBT_SBC_GW_HIGH_GUIDANCE_CIQ" hidden="1">"c4603"</definedName>
    <definedName name="IQ_EBT_SBC_GW_LOW_EST" hidden="1">"c4357"</definedName>
    <definedName name="IQ_EBT_SBC_GW_LOW_EST_CIQ" hidden="1">"c4882"</definedName>
    <definedName name="IQ_EBT_SBC_GW_LOW_GUIDANCE" hidden="1">"c4231"</definedName>
    <definedName name="IQ_EBT_SBC_GW_LOW_GUIDANCE_CIQ" hidden="1">"c4643"</definedName>
    <definedName name="IQ_EBT_SBC_GW_MEDIAN_EST" hidden="1">"c4358"</definedName>
    <definedName name="IQ_EBT_SBC_GW_MEDIAN_EST_CIQ" hidden="1">"c4883"</definedName>
    <definedName name="IQ_EBT_SBC_GW_NUM_EST" hidden="1">"c4359"</definedName>
    <definedName name="IQ_EBT_SBC_GW_NUM_EST_CIQ" hidden="1">"c4884"</definedName>
    <definedName name="IQ_EBT_SBC_GW_STDDEV_EST" hidden="1">"c4360"</definedName>
    <definedName name="IQ_EBT_SBC_GW_STDDEV_EST_CIQ" hidden="1">"c4885"</definedName>
    <definedName name="IQ_EBT_SBC_HIGH_EST" hidden="1">"c4362"</definedName>
    <definedName name="IQ_EBT_SBC_HIGH_EST_CIQ" hidden="1">"c4887"</definedName>
    <definedName name="IQ_EBT_SBC_HIGH_GUIDANCE" hidden="1">"c4190"</definedName>
    <definedName name="IQ_EBT_SBC_HIGH_GUIDANCE_CIQ" hidden="1">"c4602"</definedName>
    <definedName name="IQ_EBT_SBC_LOW_EST" hidden="1">"c4363"</definedName>
    <definedName name="IQ_EBT_SBC_LOW_EST_CIQ" hidden="1">"c4888"</definedName>
    <definedName name="IQ_EBT_SBC_LOW_GUIDANCE" hidden="1">"c4230"</definedName>
    <definedName name="IQ_EBT_SBC_LOW_GUIDANCE_CIQ" hidden="1">"c4642"</definedName>
    <definedName name="IQ_EBT_SBC_MEDIAN_EST" hidden="1">"c4364"</definedName>
    <definedName name="IQ_EBT_SBC_MEDIAN_EST_CIQ" hidden="1">"c4889"</definedName>
    <definedName name="IQ_EBT_SBC_NUM_EST" hidden="1">"c4365"</definedName>
    <definedName name="IQ_EBT_SBC_NUM_EST_CIQ" hidden="1">"c4890"</definedName>
    <definedName name="IQ_EBT_SBC_STDDEV_EST" hidden="1">"c4366"</definedName>
    <definedName name="IQ_EBT_SBC_STDDEV_EST_CIQ" hidden="1">"c4891"</definedName>
    <definedName name="IQ_EBT_SUBTOTAL_AP" hidden="1">"c8982"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27" hidden="1">"c6927"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147" hidden="1">"c7147"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367" hidden="1">"c7367"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587" hidden="1">"c7587"</definedName>
    <definedName name="IQ_ECO_METRIC_7648_UNUSED_UNUSED_UNUSED" hidden="1">"c7648"</definedName>
    <definedName name="IQ_ECO_METRIC_7704" hidden="1">"c7704"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_UNUSED_UNUSED" hidden="1">"c8436"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NTERPRISE_VALUE" hidden="1">"c1348"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" hidden="1">"IQ_EPS"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CT_OR_EST_REUT" hidden="1">"c5460"</definedName>
    <definedName name="IQ_EPS_ACT_OR_EST_THOM" hidden="1">"c5298"</definedName>
    <definedName name="IQ_EPS_AP" hidden="1">"c8880"</definedName>
    <definedName name="IQ_EPS_AP_ABS" hidden="1">"c8899"</definedName>
    <definedName name="IQ_EPS_EST" hidden="1">"c399"</definedName>
    <definedName name="IQ_EPS_EST_BOTTOM_UP" hidden="1">"c5489"</definedName>
    <definedName name="IQ_EPS_EST_BOTTOM_UP_REUT" hidden="1">"c5497"</definedName>
    <definedName name="IQ_EPS_EST_BOTTOM_UP_THOM" hidden="1">"c5647"</definedName>
    <definedName name="IQ_EPS_EST_CIQ" hidden="1">"c4994"</definedName>
    <definedName name="IQ_EPS_EST_REUT" hidden="1">"c5453"</definedName>
    <definedName name="IQ_EPS_EST_THOM" hidden="1">"c5290"</definedName>
    <definedName name="IQ_EPS_EXCL_GUIDANCE" hidden="1">"c4368"</definedName>
    <definedName name="IQ_EPS_EXCL_GUIDANCE_CIQ" hidden="1">"c4893"</definedName>
    <definedName name="IQ_EPS_EXCL_HIGH_GUIDANCE" hidden="1">"c4369"</definedName>
    <definedName name="IQ_EPS_EXCL_HIGH_GUIDANCE_CIQ" hidden="1">"c4894"</definedName>
    <definedName name="IQ_EPS_EXCL_LOW_GUIDANCE" hidden="1">"c4204"</definedName>
    <definedName name="IQ_EPS_EXCL_LOW_GUIDANCE_CIQ" hidden="1">"c4616"</definedName>
    <definedName name="IQ_EPS_GAAP_GUIDANCE" hidden="1">"c4370"</definedName>
    <definedName name="IQ_EPS_GAAP_GUIDANCE_CIQ" hidden="1">"c4895"</definedName>
    <definedName name="IQ_EPS_GAAP_HIGH_GUIDANCE" hidden="1">"c4371"</definedName>
    <definedName name="IQ_EPS_GAAP_HIGH_GUIDANCE_CIQ" hidden="1">"c4896"</definedName>
    <definedName name="IQ_EPS_GAAP_LOW_GUIDANCE" hidden="1">"c4205"</definedName>
    <definedName name="IQ_EPS_GAAP_LOW_GUIDANCE_CIQ" hidden="1">"c4617"</definedName>
    <definedName name="IQ_EPS_GW_ACT_OR_EST" hidden="1">"c2223"</definedName>
    <definedName name="IQ_EPS_GW_ACT_OR_EST_CIQ" hidden="1">"c5066"</definedName>
    <definedName name="IQ_EPS_GW_ACT_OR_EST_REUT" hidden="1">"c5469"</definedName>
    <definedName name="IQ_EPS_GW_EST" hidden="1">"c1737"</definedName>
    <definedName name="IQ_EPS_GW_EST_BOTTOM_UP" hidden="1">"c5491"</definedName>
    <definedName name="IQ_EPS_GW_EST_BOTTOM_UP_REUT" hidden="1">"c5499"</definedName>
    <definedName name="IQ_EPS_GW_EST_CIQ" hidden="1">"c4723"</definedName>
    <definedName name="IQ_EPS_GW_EST_REUT" hidden="1">"c5389"</definedName>
    <definedName name="IQ_EPS_GW_EST_THOM" hidden="1">"c5133"</definedName>
    <definedName name="IQ_EPS_GW_GUIDANCE" hidden="1">"c4372"</definedName>
    <definedName name="IQ_EPS_GW_GUIDANCE_CIQ" hidden="1">"c4897"</definedName>
    <definedName name="IQ_EPS_GW_HIGH_EST" hidden="1">"c1739"</definedName>
    <definedName name="IQ_EPS_GW_HIGH_EST_CIQ" hidden="1">"c4725"</definedName>
    <definedName name="IQ_EPS_GW_HIGH_EST_REUT" hidden="1">"c5391"</definedName>
    <definedName name="IQ_EPS_GW_HIGH_EST_THOM" hidden="1">"c5135"</definedName>
    <definedName name="IQ_EPS_GW_HIGH_GUIDANCE" hidden="1">"c4373"</definedName>
    <definedName name="IQ_EPS_GW_HIGH_GUIDANCE_CIQ" hidden="1">"c4898"</definedName>
    <definedName name="IQ_EPS_GW_LOW_EST" hidden="1">"c1740"</definedName>
    <definedName name="IQ_EPS_GW_LOW_EST_CIQ" hidden="1">"c4726"</definedName>
    <definedName name="IQ_EPS_GW_LOW_EST_REUT" hidden="1">"c5392"</definedName>
    <definedName name="IQ_EPS_GW_LOW_EST_THOM" hidden="1">"c5136"</definedName>
    <definedName name="IQ_EPS_GW_LOW_GUIDANCE" hidden="1">"c4206"</definedName>
    <definedName name="IQ_EPS_GW_LOW_GUIDANCE_CIQ" hidden="1">"c4618"</definedName>
    <definedName name="IQ_EPS_GW_MEDIAN_EST" hidden="1">"c1738"</definedName>
    <definedName name="IQ_EPS_GW_MEDIAN_EST_CIQ" hidden="1">"c4724"</definedName>
    <definedName name="IQ_EPS_GW_MEDIAN_EST_REUT" hidden="1">"c5390"</definedName>
    <definedName name="IQ_EPS_GW_MEDIAN_EST_THOM" hidden="1">"c5134"</definedName>
    <definedName name="IQ_EPS_GW_NUM_EST" hidden="1">"c1741"</definedName>
    <definedName name="IQ_EPS_GW_NUM_EST_CIQ" hidden="1">"c4727"</definedName>
    <definedName name="IQ_EPS_GW_NUM_EST_REUT" hidden="1">"c5393"</definedName>
    <definedName name="IQ_EPS_GW_NUM_EST_THOM" hidden="1">"c5137"</definedName>
    <definedName name="IQ_EPS_GW_STDDEV_EST" hidden="1">"c1742"</definedName>
    <definedName name="IQ_EPS_GW_STDDEV_EST_CIQ" hidden="1">"c4728"</definedName>
    <definedName name="IQ_EPS_GW_STDDEV_EST_REUT" hidden="1">"c5394"</definedName>
    <definedName name="IQ_EPS_GW_STDDEV_EST_THOM" hidden="1">"c5138"</definedName>
    <definedName name="IQ_EPS_HIGH_EST" hidden="1">"c400"</definedName>
    <definedName name="IQ_EPS_HIGH_EST_CIQ" hidden="1">"c4995"</definedName>
    <definedName name="IQ_EPS_HIGH_EST_REUT" hidden="1">"c5454"</definedName>
    <definedName name="IQ_EPS_HIGH_EST_THOM" hidden="1">"c5291"</definedName>
    <definedName name="IQ_EPS_LOW_EST" hidden="1">"c401"</definedName>
    <definedName name="IQ_EPS_LOW_EST_CIQ" hidden="1">"c4996"</definedName>
    <definedName name="IQ_EPS_LOW_EST_REUT" hidden="1">"c5455"</definedName>
    <definedName name="IQ_EPS_LOW_EST_THOM" hidden="1">"c5292"</definedName>
    <definedName name="IQ_EPS_MEDIAN_EST" hidden="1">"c1661"</definedName>
    <definedName name="IQ_EPS_MEDIAN_EST_CIQ" hidden="1">"c4997"</definedName>
    <definedName name="IQ_EPS_MEDIAN_EST_REUT" hidden="1">"c5456"</definedName>
    <definedName name="IQ_EPS_MEDIAN_EST_THOM" hidden="1">"c5293"</definedName>
    <definedName name="IQ_EPS_NAME_AP" hidden="1">"c8918"</definedName>
    <definedName name="IQ_EPS_NAME_AP_ABS" hidden="1">"c8937"</definedName>
    <definedName name="IQ_EPS_NORM" hidden="1">"c1902"</definedName>
    <definedName name="IQ_EPS_NORM_EST" hidden="1">"c2226"</definedName>
    <definedName name="IQ_EPS_NORM_EST_BOTTOM_UP" hidden="1">"c5490"</definedName>
    <definedName name="IQ_EPS_NORM_EST_BOTTOM_UP_REUT" hidden="1">"c5498"</definedName>
    <definedName name="IQ_EPS_NORM_EST_CIQ" hidden="1">"c4667"</definedName>
    <definedName name="IQ_EPS_NORM_EST_REUT" hidden="1">"c5326"</definedName>
    <definedName name="IQ_EPS_NORM_HIGH_EST" hidden="1">"c2228"</definedName>
    <definedName name="IQ_EPS_NORM_HIGH_EST_CIQ" hidden="1">"c4669"</definedName>
    <definedName name="IQ_EPS_NORM_HIGH_EST_REUT" hidden="1">"c5328"</definedName>
    <definedName name="IQ_EPS_NORM_LOW_EST" hidden="1">"c2229"</definedName>
    <definedName name="IQ_EPS_NORM_LOW_EST_CIQ" hidden="1">"c4670"</definedName>
    <definedName name="IQ_EPS_NORM_LOW_EST_REUT" hidden="1">"c5329"</definedName>
    <definedName name="IQ_EPS_NORM_MEDIAN_EST" hidden="1">"c2227"</definedName>
    <definedName name="IQ_EPS_NORM_MEDIAN_EST_CIQ" hidden="1">"c4668"</definedName>
    <definedName name="IQ_EPS_NORM_MEDIAN_EST_REUT" hidden="1">"c5327"</definedName>
    <definedName name="IQ_EPS_NORM_NUM_EST" hidden="1">"c2230"</definedName>
    <definedName name="IQ_EPS_NORM_NUM_EST_CIQ" hidden="1">"c4671"</definedName>
    <definedName name="IQ_EPS_NORM_NUM_EST_REUT" hidden="1">"c5330"</definedName>
    <definedName name="IQ_EPS_NORM_STDDEV_EST" hidden="1">"c2231"</definedName>
    <definedName name="IQ_EPS_NORM_STDDEV_EST_CIQ" hidden="1">"c4672"</definedName>
    <definedName name="IQ_EPS_NORM_STDDEV_EST_REUT" hidden="1">"c5331"</definedName>
    <definedName name="IQ_EPS_NUM_EST" hidden="1">"c402"</definedName>
    <definedName name="IQ_EPS_NUM_EST_CIQ" hidden="1">"c4992"</definedName>
    <definedName name="IQ_EPS_NUM_EST_REUT" hidden="1">"c5451"</definedName>
    <definedName name="IQ_EPS_NUM_EST_THOM" hidden="1">"c5288"</definedName>
    <definedName name="IQ_EPS_PRIMARY_EST" hidden="1">"c2226"</definedName>
    <definedName name="IQ_EPS_PRIMARY_HIGH_EST" hidden="1">"c2228"</definedName>
    <definedName name="IQ_EPS_PRIMARY_LOW_EST" hidden="1">"c2229"</definedName>
    <definedName name="IQ_EPS_PRIMARY_MEDIAN_EST" hidden="1">"c2227"</definedName>
    <definedName name="IQ_EPS_PRIMARY_NUM_EST" hidden="1">"c2230"</definedName>
    <definedName name="IQ_EPS_PRIMARY_STDDEV_EST" hidden="1">"c2231"</definedName>
    <definedName name="IQ_EPS_REPORT_ACT_OR_EST" hidden="1">"c2224"</definedName>
    <definedName name="IQ_EPS_REPORT_ACT_OR_EST_CIQ" hidden="1">"c5067"</definedName>
    <definedName name="IQ_EPS_REPORT_ACT_OR_EST_REUT" hidden="1">"c5470"</definedName>
    <definedName name="IQ_EPS_REPORT_ACT_OR_EST_THOM" hidden="1">"c5307"</definedName>
    <definedName name="IQ_EPS_REPORTED_EST" hidden="1">"c1744"</definedName>
    <definedName name="IQ_EPS_REPORTED_EST_BOTTOM_UP" hidden="1">"c5492"</definedName>
    <definedName name="IQ_EPS_REPORTED_EST_BOTTOM_UP_REUT" hidden="1">"c5500"</definedName>
    <definedName name="IQ_EPS_REPORTED_EST_CIQ" hidden="1">"c4730"</definedName>
    <definedName name="IQ_EPS_REPORTED_EST_REUT" hidden="1">"c5396"</definedName>
    <definedName name="IQ_EPS_REPORTED_EST_THOM" hidden="1">"c5140"</definedName>
    <definedName name="IQ_EPS_REPORTED_HIGH_EST" hidden="1">"c1746"</definedName>
    <definedName name="IQ_EPS_REPORTED_HIGH_EST_CIQ" hidden="1">"c4732"</definedName>
    <definedName name="IQ_EPS_REPORTED_HIGH_EST_REUT" hidden="1">"c5398"</definedName>
    <definedName name="IQ_EPS_REPORTED_HIGH_EST_THOM" hidden="1">"c5142"</definedName>
    <definedName name="IQ_EPS_REPORTED_LOW_EST" hidden="1">"c1747"</definedName>
    <definedName name="IQ_EPS_REPORTED_LOW_EST_CIQ" hidden="1">"c4733"</definedName>
    <definedName name="IQ_EPS_REPORTED_LOW_EST_REUT" hidden="1">"c5399"</definedName>
    <definedName name="IQ_EPS_REPORTED_LOW_EST_THOM" hidden="1">"c5143"</definedName>
    <definedName name="IQ_EPS_REPORTED_MEDIAN_EST" hidden="1">"c1745"</definedName>
    <definedName name="IQ_EPS_REPORTED_MEDIAN_EST_CIQ" hidden="1">"c4731"</definedName>
    <definedName name="IQ_EPS_REPORTED_MEDIAN_EST_REUT" hidden="1">"c5397"</definedName>
    <definedName name="IQ_EPS_REPORTED_MEDIAN_EST_THOM" hidden="1">"c5141"</definedName>
    <definedName name="IQ_EPS_REPORTED_NUM_EST" hidden="1">"c1748"</definedName>
    <definedName name="IQ_EPS_REPORTED_NUM_EST_CIQ" hidden="1">"c4734"</definedName>
    <definedName name="IQ_EPS_REPORTED_NUM_EST_REUT" hidden="1">"c5400"</definedName>
    <definedName name="IQ_EPS_REPORTED_NUM_EST_THOM" hidden="1">"c5144"</definedName>
    <definedName name="IQ_EPS_REPORTED_STDDEV_EST" hidden="1">"c1749"</definedName>
    <definedName name="IQ_EPS_REPORTED_STDDEV_EST_CIQ" hidden="1">"c4735"</definedName>
    <definedName name="IQ_EPS_REPORTED_STDDEV_EST_REUT" hidden="1">"c5401"</definedName>
    <definedName name="IQ_EPS_REPORTED_STDDEV_EST_THOM" hidden="1">"c5145"</definedName>
    <definedName name="IQ_EPS_SBC_ACT_OR_EST" hidden="1">"c4376"</definedName>
    <definedName name="IQ_EPS_SBC_ACT_OR_EST_CIQ" hidden="1">"c4901"</definedName>
    <definedName name="IQ_EPS_SBC_EST" hidden="1">"c4375"</definedName>
    <definedName name="IQ_EPS_SBC_EST_CIQ" hidden="1">"c4900"</definedName>
    <definedName name="IQ_EPS_SBC_GUIDANCE" hidden="1">"c4377"</definedName>
    <definedName name="IQ_EPS_SBC_GUIDANCE_CIQ" hidden="1">"c4902"</definedName>
    <definedName name="IQ_EPS_SBC_GW_ACT_OR_EST" hidden="1">"c4380"</definedName>
    <definedName name="IQ_EPS_SBC_GW_ACT_OR_EST_CIQ" hidden="1">"c4905"</definedName>
    <definedName name="IQ_EPS_SBC_GW_EST" hidden="1">"c4379"</definedName>
    <definedName name="IQ_EPS_SBC_GW_EST_CIQ" hidden="1">"c4904"</definedName>
    <definedName name="IQ_EPS_SBC_GW_GUIDANCE" hidden="1">"c4381"</definedName>
    <definedName name="IQ_EPS_SBC_GW_GUIDANCE_CIQ" hidden="1">"c4906"</definedName>
    <definedName name="IQ_EPS_SBC_GW_HIGH_EST" hidden="1">"c4382"</definedName>
    <definedName name="IQ_EPS_SBC_GW_HIGH_EST_CIQ" hidden="1">"c4907"</definedName>
    <definedName name="IQ_EPS_SBC_GW_HIGH_GUIDANCE" hidden="1">"c4189"</definedName>
    <definedName name="IQ_EPS_SBC_GW_HIGH_GUIDANCE_CIQ" hidden="1">"c4601"</definedName>
    <definedName name="IQ_EPS_SBC_GW_LOW_EST" hidden="1">"c4383"</definedName>
    <definedName name="IQ_EPS_SBC_GW_LOW_EST_CIQ" hidden="1">"c4908"</definedName>
    <definedName name="IQ_EPS_SBC_GW_LOW_GUIDANCE" hidden="1">"c4229"</definedName>
    <definedName name="IQ_EPS_SBC_GW_LOW_GUIDANCE_CIQ" hidden="1">"c4641"</definedName>
    <definedName name="IQ_EPS_SBC_GW_MEDIAN_EST" hidden="1">"c4384"</definedName>
    <definedName name="IQ_EPS_SBC_GW_MEDIAN_EST_CIQ" hidden="1">"c4909"</definedName>
    <definedName name="IQ_EPS_SBC_GW_NUM_EST" hidden="1">"c4385"</definedName>
    <definedName name="IQ_EPS_SBC_GW_NUM_EST_CIQ" hidden="1">"c4910"</definedName>
    <definedName name="IQ_EPS_SBC_GW_STDDEV_EST" hidden="1">"c4386"</definedName>
    <definedName name="IQ_EPS_SBC_GW_STDDEV_EST_CIQ" hidden="1">"c4911"</definedName>
    <definedName name="IQ_EPS_SBC_HIGH_EST" hidden="1">"c4388"</definedName>
    <definedName name="IQ_EPS_SBC_HIGH_EST_CIQ" hidden="1">"c4913"</definedName>
    <definedName name="IQ_EPS_SBC_HIGH_GUIDANCE" hidden="1">"c4188"</definedName>
    <definedName name="IQ_EPS_SBC_HIGH_GUIDANCE_CIQ" hidden="1">"c4600"</definedName>
    <definedName name="IQ_EPS_SBC_LOW_EST" hidden="1">"c4389"</definedName>
    <definedName name="IQ_EPS_SBC_LOW_EST_CIQ" hidden="1">"c4914"</definedName>
    <definedName name="IQ_EPS_SBC_LOW_GUIDANCE" hidden="1">"c4228"</definedName>
    <definedName name="IQ_EPS_SBC_LOW_GUIDANCE_CIQ" hidden="1">"c4640"</definedName>
    <definedName name="IQ_EPS_SBC_MEDIAN_EST" hidden="1">"c4390"</definedName>
    <definedName name="IQ_EPS_SBC_MEDIAN_EST_CIQ" hidden="1">"c4915"</definedName>
    <definedName name="IQ_EPS_SBC_NUM_EST" hidden="1">"c4391"</definedName>
    <definedName name="IQ_EPS_SBC_NUM_EST_CIQ" hidden="1">"c4916"</definedName>
    <definedName name="IQ_EPS_SBC_STDDEV_EST" hidden="1">"c4392"</definedName>
    <definedName name="IQ_EPS_SBC_STDDEV_EST_CIQ" hidden="1">"c4917"</definedName>
    <definedName name="IQ_EPS_STDDEV_EST" hidden="1">"c403"</definedName>
    <definedName name="IQ_EPS_STDDEV_EST_CIQ" hidden="1">"c4993"</definedName>
    <definedName name="IQ_EPS_STDDEV_EST_REUT" hidden="1">"c5452"</definedName>
    <definedName name="IQ_EPS_STDDEV_EST_THOM" hidden="1">"c5289"</definedName>
    <definedName name="IQ_EQUITY_AFFIL" hidden="1">"c1451"</definedName>
    <definedName name="IQ_EQUITY_AP" hidden="1">"c8887"</definedName>
    <definedName name="IQ_EQUITY_AP_ABS" hidden="1">"c8906"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NAME_AP" hidden="1">"c8925"</definedName>
    <definedName name="IQ_EQUITY_NAME_AP_ABS" hidden="1">"c8944"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BV" hidden="1">"c5630"</definedName>
    <definedName name="IQ_EST_ACT_BV_CIQ" hidden="1">"c4743"</definedName>
    <definedName name="IQ_EST_ACT_BV_REUT" hidden="1">"c5409"</definedName>
    <definedName name="IQ_EST_ACT_BV_SHARE" hidden="1">"c3549"</definedName>
    <definedName name="IQ_EST_ACT_BV_SHARE_CIQ" hidden="1">"c3806"</definedName>
    <definedName name="IQ_EST_ACT_BV_SHARE_REUT" hidden="1">"c5445"</definedName>
    <definedName name="IQ_EST_ACT_BV_SHARE_THOM" hidden="1">"c4026"</definedName>
    <definedName name="IQ_EST_ACT_CAPEX" hidden="1">"c3546"</definedName>
    <definedName name="IQ_EST_ACT_CAPEX_CIQ" hidden="1">"c3813"</definedName>
    <definedName name="IQ_EST_ACT_CAPEX_REUT" hidden="1">"c3975"</definedName>
    <definedName name="IQ_EST_ACT_CAPEX_THOM" hidden="1">"c5541"</definedName>
    <definedName name="IQ_EST_ACT_CASH_EPS" hidden="1">"c5637"</definedName>
    <definedName name="IQ_EST_ACT_CASH_EPS_THOM" hidden="1">"c5645"</definedName>
    <definedName name="IQ_EST_ACT_CASH_FLOW" hidden="1">"c4394"</definedName>
    <definedName name="IQ_EST_ACT_CASH_FLOW_CIQ" hidden="1">"c4919"</definedName>
    <definedName name="IQ_EST_ACT_CASH_OPER" hidden="1">"c4395"</definedName>
    <definedName name="IQ_EST_ACT_CASH_OPER_CIQ" hidden="1">"c4920"</definedName>
    <definedName name="IQ_EST_ACT_CFPS" hidden="1">"c1673"</definedName>
    <definedName name="IQ_EST_ACT_CFPS_CIQ" hidden="1">"c3681"</definedName>
    <definedName name="IQ_EST_ACT_CFPS_REUT" hidden="1">"c3850"</definedName>
    <definedName name="IQ_EST_ACT_CFPS_THOM" hidden="1">"c4012"</definedName>
    <definedName name="IQ_EST_ACT_DISTRIBUTABLE_CASH" hidden="1">"c4396"</definedName>
    <definedName name="IQ_EST_ACT_DISTRIBUTABLE_CASH_CIQ" hidden="1">"c4921"</definedName>
    <definedName name="IQ_EST_ACT_DISTRIBUTABLE_CASH_SHARE" hidden="1">"c4397"</definedName>
    <definedName name="IQ_EST_ACT_DISTRIBUTABLE_CASH_SHARE_CIQ" hidden="1">"c4922"</definedName>
    <definedName name="IQ_EST_ACT_DPS" hidden="1">"c1680"</definedName>
    <definedName name="IQ_EST_ACT_DPS_CIQ" hidden="1">"c3688"</definedName>
    <definedName name="IQ_EST_ACT_DPS_REUT" hidden="1">"c3857"</definedName>
    <definedName name="IQ_EST_ACT_DPS_THOM" hidden="1">"c4019"</definedName>
    <definedName name="IQ_EST_ACT_EBIT" hidden="1">"c1687"</definedName>
    <definedName name="IQ_EST_ACT_EBIT_CIQ" hidden="1">"c4680"</definedName>
    <definedName name="IQ_EST_ACT_EBIT_GW" hidden="1">"c4398"</definedName>
    <definedName name="IQ_EST_ACT_EBIT_GW_CIQ" hidden="1">"c4923"</definedName>
    <definedName name="IQ_EST_ACT_EBIT_REUT" hidden="1">"c5339"</definedName>
    <definedName name="IQ_EST_ACT_EBIT_SBC" hidden="1">"c4399"</definedName>
    <definedName name="IQ_EST_ACT_EBIT_SBC_CIQ" hidden="1">"c4924"</definedName>
    <definedName name="IQ_EST_ACT_EBIT_SBC_GW" hidden="1">"c4400"</definedName>
    <definedName name="IQ_EST_ACT_EBIT_SBC_GW_CIQ" hidden="1">"c4925"</definedName>
    <definedName name="IQ_EST_ACT_EBIT_THOM" hidden="1">"c5111"</definedName>
    <definedName name="IQ_EST_ACT_EBITDA" hidden="1">"c1664"</definedName>
    <definedName name="IQ_EST_ACT_EBITDA_CIQ" hidden="1">"c3667"</definedName>
    <definedName name="IQ_EST_ACT_EBITDA_REUT" hidden="1">"c3836"</definedName>
    <definedName name="IQ_EST_ACT_EBITDA_SBC" hidden="1">"c4401"</definedName>
    <definedName name="IQ_EST_ACT_EBITDA_SBC_CIQ" hidden="1">"c4926"</definedName>
    <definedName name="IQ_EST_ACT_EBITDA_THOM" hidden="1">"c3998"</definedName>
    <definedName name="IQ_EST_ACT_EBT_SBC" hidden="1">"c4402"</definedName>
    <definedName name="IQ_EST_ACT_EBT_SBC_CIQ" hidden="1">"c4927"</definedName>
    <definedName name="IQ_EST_ACT_EBT_SBC_GW" hidden="1">"c4403"</definedName>
    <definedName name="IQ_EST_ACT_EBT_SBC_GW_CIQ" hidden="1">"c4928"</definedName>
    <definedName name="IQ_EST_ACT_EPS" hidden="1">"c1648"</definedName>
    <definedName name="IQ_EST_ACT_EPS_CIQ" hidden="1">"c4998"</definedName>
    <definedName name="IQ_EST_ACT_EPS_GW" hidden="1">"c1743"</definedName>
    <definedName name="IQ_EST_ACT_EPS_GW_CIQ" hidden="1">"c4729"</definedName>
    <definedName name="IQ_EST_ACT_EPS_GW_REUT" hidden="1">"c5395"</definedName>
    <definedName name="IQ_EST_ACT_EPS_GW_THOM" hidden="1">"c5139"</definedName>
    <definedName name="IQ_EST_ACT_EPS_NORM" hidden="1">"c2232"</definedName>
    <definedName name="IQ_EST_ACT_EPS_NORM_CIQ" hidden="1">"c4673"</definedName>
    <definedName name="IQ_EST_ACT_EPS_NORM_REUT" hidden="1">"c5332"</definedName>
    <definedName name="IQ_EST_ACT_EPS_PRIMARY" hidden="1">"c2232"</definedName>
    <definedName name="IQ_EST_ACT_EPS_REPORTED" hidden="1">"c1750"</definedName>
    <definedName name="IQ_EST_ACT_EPS_REPORTED_CIQ" hidden="1">"c4736"</definedName>
    <definedName name="IQ_EST_ACT_EPS_REPORTED_REUT" hidden="1">"c5402"</definedName>
    <definedName name="IQ_EST_ACT_EPS_REPORTED_THOM" hidden="1">"c5146"</definedName>
    <definedName name="IQ_EST_ACT_EPS_REUT" hidden="1">"c5457"</definedName>
    <definedName name="IQ_EST_ACT_EPS_SBC" hidden="1">"c4404"</definedName>
    <definedName name="IQ_EST_ACT_EPS_SBC_CIQ" hidden="1">"c4929"</definedName>
    <definedName name="IQ_EST_ACT_EPS_SBC_GW" hidden="1">"c4405"</definedName>
    <definedName name="IQ_EST_ACT_EPS_SBC_GW_CIQ" hidden="1">"c4930"</definedName>
    <definedName name="IQ_EST_ACT_EPS_THOM" hidden="1">"c5294"</definedName>
    <definedName name="IQ_EST_ACT_FFO" hidden="1">"c1666"</definedName>
    <definedName name="IQ_EST_ACT_FFO_ADJ" hidden="1">"c4406"</definedName>
    <definedName name="IQ_EST_ACT_FFO_ADJ_CIQ" hidden="1">"c4931"</definedName>
    <definedName name="IQ_EST_ACT_FFO_CIQ" hidden="1">"c3674"</definedName>
    <definedName name="IQ_EST_ACT_FFO_REUT" hidden="1">"c3843"</definedName>
    <definedName name="IQ_EST_ACT_FFO_SHARE" hidden="1">"c4407"</definedName>
    <definedName name="IQ_EST_ACT_FFO_SHARE_CIQ" hidden="1">"c4932"</definedName>
    <definedName name="IQ_EST_ACT_FFO_THOM" hidden="1">"c4005"</definedName>
    <definedName name="IQ_EST_ACT_GROSS_MARGIN" hidden="1">"c5553"</definedName>
    <definedName name="IQ_EST_ACT_GROSS_MARGIN_THOM" hidden="1">"c5561"</definedName>
    <definedName name="IQ_EST_ACT_MAINT_CAPEX" hidden="1">"c4408"</definedName>
    <definedName name="IQ_EST_ACT_MAINT_CAPEX_CIQ" hidden="1">"c4933"</definedName>
    <definedName name="IQ_EST_ACT_NAV" hidden="1">"c1757"</definedName>
    <definedName name="IQ_EST_ACT_NAV_SHARE" hidden="1">"c5608"</definedName>
    <definedName name="IQ_EST_ACT_NAV_SHARE_REUT" hidden="1">"c5616"</definedName>
    <definedName name="IQ_EST_ACT_NAV_THOM" hidden="1">"c5600"</definedName>
    <definedName name="IQ_EST_ACT_NET_DEBT" hidden="1">"c3545"</definedName>
    <definedName name="IQ_EST_ACT_NET_DEBT_CIQ" hidden="1">"c3820"</definedName>
    <definedName name="IQ_EST_ACT_NET_DEBT_REUT" hidden="1">"c5446"</definedName>
    <definedName name="IQ_EST_ACT_NET_DEBT_THOM" hidden="1">"c4033"</definedName>
    <definedName name="IQ_EST_ACT_NI" hidden="1">"c1722"</definedName>
    <definedName name="IQ_EST_ACT_NI_CIQ" hidden="1">"c4708"</definedName>
    <definedName name="IQ_EST_ACT_NI_GW" hidden="1">"c1729"</definedName>
    <definedName name="IQ_EST_ACT_NI_GW_CIQ" hidden="1">"c4715"</definedName>
    <definedName name="IQ_EST_ACT_NI_GW_REUT" hidden="1">"c5381"</definedName>
    <definedName name="IQ_EST_ACT_NI_REPORTED" hidden="1">"c1736"</definedName>
    <definedName name="IQ_EST_ACT_NI_REPORTED_CIQ" hidden="1">"c4722"</definedName>
    <definedName name="IQ_EST_ACT_NI_REPORTED_REUT" hidden="1">"c5388"</definedName>
    <definedName name="IQ_EST_ACT_NI_REUT" hidden="1">"c5374"</definedName>
    <definedName name="IQ_EST_ACT_NI_SBC" hidden="1">"c4409"</definedName>
    <definedName name="IQ_EST_ACT_NI_SBC_CIQ" hidden="1">"c4934"</definedName>
    <definedName name="IQ_EST_ACT_NI_SBC_GW" hidden="1">"c4410"</definedName>
    <definedName name="IQ_EST_ACT_NI_SBC_GW_CIQ" hidden="1">"c4935"</definedName>
    <definedName name="IQ_EST_ACT_NI_THOM" hidden="1">"c5132"</definedName>
    <definedName name="IQ_EST_ACT_OPER_INC" hidden="1">"c1694"</definedName>
    <definedName name="IQ_EST_ACT_OPER_INC_REUT" hidden="1">"c5346"</definedName>
    <definedName name="IQ_EST_ACT_OPER_INC_THOM" hidden="1">"c5118"</definedName>
    <definedName name="IQ_EST_ACT_PRETAX_GW_INC" hidden="1">"c1708"</definedName>
    <definedName name="IQ_EST_ACT_PRETAX_GW_INC_CIQ" hidden="1">"c4694"</definedName>
    <definedName name="IQ_EST_ACT_PRETAX_GW_INC_REUT" hidden="1">"c5360"</definedName>
    <definedName name="IQ_EST_ACT_PRETAX_INC" hidden="1">"c1701"</definedName>
    <definedName name="IQ_EST_ACT_PRETAX_INC_CIQ" hidden="1">"c4687"</definedName>
    <definedName name="IQ_EST_ACT_PRETAX_INC_REUT" hidden="1">"c5353"</definedName>
    <definedName name="IQ_EST_ACT_PRETAX_INC_THOM" hidden="1">"c5125"</definedName>
    <definedName name="IQ_EST_ACT_PRETAX_REPORT_INC" hidden="1">"c1715"</definedName>
    <definedName name="IQ_EST_ACT_PRETAX_REPORT_INC_CIQ" hidden="1">"c4701"</definedName>
    <definedName name="IQ_EST_ACT_PRETAX_REPORT_INC_REUT" hidden="1">"c5367"</definedName>
    <definedName name="IQ_EST_ACT_RECURRING_PROFIT" hidden="1">"c4411"</definedName>
    <definedName name="IQ_EST_ACT_RECURRING_PROFIT_CIQ" hidden="1">"c4936"</definedName>
    <definedName name="IQ_EST_ACT_RECURRING_PROFIT_SHARE" hidden="1">"c4412"</definedName>
    <definedName name="IQ_EST_ACT_RECURRING_PROFIT_SHARE_CIQ" hidden="1">"c4937"</definedName>
    <definedName name="IQ_EST_ACT_RETURN_ASSETS" hidden="1">"c3547"</definedName>
    <definedName name="IQ_EST_ACT_RETURN_ASSETS_REUT" hidden="1">"c3996"</definedName>
    <definedName name="IQ_EST_ACT_RETURN_ASSETS_THOM" hidden="1">"c4040"</definedName>
    <definedName name="IQ_EST_ACT_RETURN_EQUITY" hidden="1">"c3548"</definedName>
    <definedName name="IQ_EST_ACT_RETURN_EQUITY_REUT" hidden="1">"c3989"</definedName>
    <definedName name="IQ_EST_ACT_RETURN_EQUITY_THOM" hidden="1">"c5287"</definedName>
    <definedName name="IQ_EST_ACT_REV" hidden="1">"c2113"</definedName>
    <definedName name="IQ_EST_ACT_REV_CIQ" hidden="1">"c3666"</definedName>
    <definedName name="IQ_EST_ACT_REV_REUT" hidden="1">"c3835"</definedName>
    <definedName name="IQ_EST_ACT_REV_THOM" hidden="1">"c3997"</definedName>
    <definedName name="IQ_EST_BV_DIFF_REUT" hidden="1">"c5433"</definedName>
    <definedName name="IQ_EST_BV_SHARE_DIFF" hidden="1">"c4147"</definedName>
    <definedName name="IQ_EST_BV_SHARE_DIFF_CIQ" hidden="1">"c4559"</definedName>
    <definedName name="IQ_EST_BV_SHARE_SURPRISE_PERCENT" hidden="1">"c4148"</definedName>
    <definedName name="IQ_EST_BV_SHARE_SURPRISE_PERCENT_CIQ" hidden="1">"c4560"</definedName>
    <definedName name="IQ_EST_BV_SURPRISE_PERCENT_REUT" hidden="1">"c5434"</definedName>
    <definedName name="IQ_EST_CAPEX_DIFF" hidden="1">"c4149"</definedName>
    <definedName name="IQ_EST_CAPEX_DIFF_CIQ" hidden="1">"c4561"</definedName>
    <definedName name="IQ_EST_CAPEX_GROWTH_1YR" hidden="1">"c3588"</definedName>
    <definedName name="IQ_EST_CAPEX_GROWTH_1YR_CIQ" hidden="1">"c4972"</definedName>
    <definedName name="IQ_EST_CAPEX_GROWTH_1YR_REUT" hidden="1">"c5447"</definedName>
    <definedName name="IQ_EST_CAPEX_GROWTH_1YR_THOM" hidden="1">"c5542"</definedName>
    <definedName name="IQ_EST_CAPEX_GROWTH_2YR" hidden="1">"c3589"</definedName>
    <definedName name="IQ_EST_CAPEX_GROWTH_2YR_CIQ" hidden="1">"c4973"</definedName>
    <definedName name="IQ_EST_CAPEX_GROWTH_2YR_REUT" hidden="1">"c5448"</definedName>
    <definedName name="IQ_EST_CAPEX_GROWTH_2YR_THOM" hidden="1">"c5543"</definedName>
    <definedName name="IQ_EST_CAPEX_GROWTH_Q_1YR" hidden="1">"c3590"</definedName>
    <definedName name="IQ_EST_CAPEX_GROWTH_Q_1YR_CIQ" hidden="1">"c4974"</definedName>
    <definedName name="IQ_EST_CAPEX_GROWTH_Q_1YR_REUT" hidden="1">"c5449"</definedName>
    <definedName name="IQ_EST_CAPEX_GROWTH_Q_1YR_THOM" hidden="1">"c5544"</definedName>
    <definedName name="IQ_EST_CAPEX_SEQ_GROWTH_Q" hidden="1">"c3591"</definedName>
    <definedName name="IQ_EST_CAPEX_SEQ_GROWTH_Q_CIQ" hidden="1">"c4975"</definedName>
    <definedName name="IQ_EST_CAPEX_SEQ_GROWTH_Q_REUT" hidden="1">"c5450"</definedName>
    <definedName name="IQ_EST_CAPEX_SEQ_GROWTH_Q_THOM" hidden="1">"c5545"</definedName>
    <definedName name="IQ_EST_CAPEX_SURPRISE_PERCENT" hidden="1">"c4151"</definedName>
    <definedName name="IQ_EST_CAPEX_SURPRISE_PERCENT_CIQ" hidden="1">"c4563"</definedName>
    <definedName name="IQ_EST_CASH_FLOW_DIFF" hidden="1">"c4152"</definedName>
    <definedName name="IQ_EST_CASH_FLOW_DIFF_CIQ" hidden="1">"c4564"</definedName>
    <definedName name="IQ_EST_CASH_FLOW_SURPRISE_PERCENT" hidden="1">"c4161"</definedName>
    <definedName name="IQ_EST_CASH_FLOW_SURPRISE_PERCENT_CIQ" hidden="1">"c4573"</definedName>
    <definedName name="IQ_EST_CASH_OPER_DIFF" hidden="1">"c4162"</definedName>
    <definedName name="IQ_EST_CASH_OPER_DIFF_CIQ" hidden="1">"c4574"</definedName>
    <definedName name="IQ_EST_CASH_OPER_SURPRISE_PERCENT" hidden="1">"c4248"</definedName>
    <definedName name="IQ_EST_CASH_OPER_SURPRISE_PERCENT_CIQ" hidden="1">"c4774"</definedName>
    <definedName name="IQ_EST_CFPS_DIFF" hidden="1">"c1871"</definedName>
    <definedName name="IQ_EST_CFPS_DIFF_CIQ" hidden="1">"c3723"</definedName>
    <definedName name="IQ_EST_CFPS_DIFF_REUT" hidden="1">"c3892"</definedName>
    <definedName name="IQ_EST_CFPS_DIFF_THOM" hidden="1">"c5188"</definedName>
    <definedName name="IQ_EST_CFPS_GROWTH_1YR" hidden="1">"c1774"</definedName>
    <definedName name="IQ_EST_CFPS_GROWTH_1YR_CIQ" hidden="1">"c3709"</definedName>
    <definedName name="IQ_EST_CFPS_GROWTH_1YR_REUT" hidden="1">"c3878"</definedName>
    <definedName name="IQ_EST_CFPS_GROWTH_1YR_THOM" hidden="1">"c5174"</definedName>
    <definedName name="IQ_EST_CFPS_GROWTH_2YR" hidden="1">"c1775"</definedName>
    <definedName name="IQ_EST_CFPS_GROWTH_2YR_CIQ" hidden="1">"c3710"</definedName>
    <definedName name="IQ_EST_CFPS_GROWTH_2YR_REUT" hidden="1">"c3879"</definedName>
    <definedName name="IQ_EST_CFPS_GROWTH_2YR_THOM" hidden="1">"c5175"</definedName>
    <definedName name="IQ_EST_CFPS_GROWTH_Q_1YR" hidden="1">"c1776"</definedName>
    <definedName name="IQ_EST_CFPS_GROWTH_Q_1YR_CIQ" hidden="1">"c3711"</definedName>
    <definedName name="IQ_EST_CFPS_GROWTH_Q_1YR_REUT" hidden="1">"c3880"</definedName>
    <definedName name="IQ_EST_CFPS_GROWTH_Q_1YR_THOM" hidden="1">"c5176"</definedName>
    <definedName name="IQ_EST_CFPS_SEQ_GROWTH_Q" hidden="1">"c1777"</definedName>
    <definedName name="IQ_EST_CFPS_SEQ_GROWTH_Q_CIQ" hidden="1">"c3712"</definedName>
    <definedName name="IQ_EST_CFPS_SEQ_GROWTH_Q_REUT" hidden="1">"c3881"</definedName>
    <definedName name="IQ_EST_CFPS_SEQ_GROWTH_Q_THOM" hidden="1">"c5177"</definedName>
    <definedName name="IQ_EST_CFPS_SURPRISE_PERCENT" hidden="1">"c1872"</definedName>
    <definedName name="IQ_EST_CFPS_SURPRISE_PERCENT_CIQ" hidden="1">"c3724"</definedName>
    <definedName name="IQ_EST_CFPS_SURPRISE_PERCENT_REUT" hidden="1">"c3893"</definedName>
    <definedName name="IQ_EST_CFPS_SURPRISE_PERCENT_THOM" hidden="1">"c5189"</definedName>
    <definedName name="IQ_EST_CURRENCY" hidden="1">"c2140"</definedName>
    <definedName name="IQ_EST_CURRENCY_CIQ" hidden="1">"c4769"</definedName>
    <definedName name="IQ_EST_CURRENCY_REUT" hidden="1">"c5437"</definedName>
    <definedName name="IQ_EST_CURRENCY_THOM" hidden="1">"c5280"</definedName>
    <definedName name="IQ_EST_DATE" hidden="1">"c1634"</definedName>
    <definedName name="IQ_EST_DATE_CIQ" hidden="1">"c4770"</definedName>
    <definedName name="IQ_EST_DATE_REUT" hidden="1">"c5438"</definedName>
    <definedName name="IQ_EST_DATE_THOM" hidden="1">"c5281"</definedName>
    <definedName name="IQ_EST_DISTRIBUTABLE_CASH_DIFF" hidden="1">"c4276"</definedName>
    <definedName name="IQ_EST_DISTRIBUTABLE_CASH_DIFF_CIQ" hidden="1">"c4801"</definedName>
    <definedName name="IQ_EST_DISTRIBUTABLE_CASH_GROWTH_1YR" hidden="1">"c4413"</definedName>
    <definedName name="IQ_EST_DISTRIBUTABLE_CASH_GROWTH_1YR_CIQ" hidden="1">"c4938"</definedName>
    <definedName name="IQ_EST_DISTRIBUTABLE_CASH_GROWTH_2YR" hidden="1">"c4414"</definedName>
    <definedName name="IQ_EST_DISTRIBUTABLE_CASH_GROWTH_2YR_CIQ" hidden="1">"c4939"</definedName>
    <definedName name="IQ_EST_DISTRIBUTABLE_CASH_GROWTH_Q_1YR" hidden="1">"c4415"</definedName>
    <definedName name="IQ_EST_DISTRIBUTABLE_CASH_GROWTH_Q_1YR_CIQ" hidden="1">"c4940"</definedName>
    <definedName name="IQ_EST_DISTRIBUTABLE_CASH_SEQ_GROWTH_Q" hidden="1">"c4416"</definedName>
    <definedName name="IQ_EST_DISTRIBUTABLE_CASH_SEQ_GROWTH_Q_CIQ" hidden="1">"c4941"</definedName>
    <definedName name="IQ_EST_DISTRIBUTABLE_CASH_SHARE_DIFF" hidden="1">"c4284"</definedName>
    <definedName name="IQ_EST_DISTRIBUTABLE_CASH_SHARE_DIFF_CIQ" hidden="1">"c4809"</definedName>
    <definedName name="IQ_EST_DISTRIBUTABLE_CASH_SHARE_GROWTH_1YR" hidden="1">"c4417"</definedName>
    <definedName name="IQ_EST_DISTRIBUTABLE_CASH_SHARE_GROWTH_1YR_CIQ" hidden="1">"c4942"</definedName>
    <definedName name="IQ_EST_DISTRIBUTABLE_CASH_SHARE_GROWTH_2YR" hidden="1">"c4418"</definedName>
    <definedName name="IQ_EST_DISTRIBUTABLE_CASH_SHARE_GROWTH_2YR_CIQ" hidden="1">"c4943"</definedName>
    <definedName name="IQ_EST_DISTRIBUTABLE_CASH_SHARE_GROWTH_Q_1YR" hidden="1">"c4419"</definedName>
    <definedName name="IQ_EST_DISTRIBUTABLE_CASH_SHARE_GROWTH_Q_1YR_CIQ" hidden="1">"c4944"</definedName>
    <definedName name="IQ_EST_DISTRIBUTABLE_CASH_SHARE_SEQ_GROWTH_Q" hidden="1">"c4420"</definedName>
    <definedName name="IQ_EST_DISTRIBUTABLE_CASH_SHARE_SEQ_GROWTH_Q_CIQ" hidden="1">"c4945"</definedName>
    <definedName name="IQ_EST_DISTRIBUTABLE_CASH_SHARE_SURPRISE_PERCENT" hidden="1">"c4293"</definedName>
    <definedName name="IQ_EST_DISTRIBUTABLE_CASH_SHARE_SURPRISE_PERCENT_CIQ" hidden="1">"c4818"</definedName>
    <definedName name="IQ_EST_DISTRIBUTABLE_CASH_SURPRISE_PERCENT" hidden="1">"c4295"</definedName>
    <definedName name="IQ_EST_DISTRIBUTABLE_CASH_SURPRISE_PERCENT_CIQ" hidden="1">"c4820"</definedName>
    <definedName name="IQ_EST_DPS_DIFF" hidden="1">"c1873"</definedName>
    <definedName name="IQ_EST_DPS_DIFF_CIQ" hidden="1">"c3725"</definedName>
    <definedName name="IQ_EST_DPS_DIFF_REUT" hidden="1">"c3894"</definedName>
    <definedName name="IQ_EST_DPS_DIFF_THOM" hidden="1">"c5190"</definedName>
    <definedName name="IQ_EST_DPS_GROWTH_1YR" hidden="1">"c1778"</definedName>
    <definedName name="IQ_EST_DPS_GROWTH_1YR_CIQ" hidden="1">"c3713"</definedName>
    <definedName name="IQ_EST_DPS_GROWTH_1YR_REUT" hidden="1">"c3882"</definedName>
    <definedName name="IQ_EST_DPS_GROWTH_1YR_THOM" hidden="1">"c5178"</definedName>
    <definedName name="IQ_EST_DPS_GROWTH_2YR" hidden="1">"c1779"</definedName>
    <definedName name="IQ_EST_DPS_GROWTH_2YR_CIQ" hidden="1">"c3714"</definedName>
    <definedName name="IQ_EST_DPS_GROWTH_2YR_REUT" hidden="1">"c3883"</definedName>
    <definedName name="IQ_EST_DPS_GROWTH_2YR_THOM" hidden="1">"c5179"</definedName>
    <definedName name="IQ_EST_DPS_GROWTH_Q_1YR" hidden="1">"c1780"</definedName>
    <definedName name="IQ_EST_DPS_GROWTH_Q_1YR_CIQ" hidden="1">"c3715"</definedName>
    <definedName name="IQ_EST_DPS_GROWTH_Q_1YR_REUT" hidden="1">"c3884"</definedName>
    <definedName name="IQ_EST_DPS_GROWTH_Q_1YR_THOM" hidden="1">"c5180"</definedName>
    <definedName name="IQ_EST_DPS_SEQ_GROWTH_Q" hidden="1">"c1781"</definedName>
    <definedName name="IQ_EST_DPS_SEQ_GROWTH_Q_CIQ" hidden="1">"c3716"</definedName>
    <definedName name="IQ_EST_DPS_SEQ_GROWTH_Q_REUT" hidden="1">"c3885"</definedName>
    <definedName name="IQ_EST_DPS_SEQ_GROWTH_Q_THOM" hidden="1">"c5181"</definedName>
    <definedName name="IQ_EST_DPS_SURPRISE_PERCENT" hidden="1">"c1874"</definedName>
    <definedName name="IQ_EST_DPS_SURPRISE_PERCENT_CIQ" hidden="1">"c3726"</definedName>
    <definedName name="IQ_EST_DPS_SURPRISE_PERCENT_REUT" hidden="1">"c3895"</definedName>
    <definedName name="IQ_EST_DPS_SURPRISE_PERCENT_THOM" hidden="1">"c5191"</definedName>
    <definedName name="IQ_EST_EBIT_DIFF" hidden="1">"c1875"</definedName>
    <definedName name="IQ_EST_EBIT_DIFF_CIQ" hidden="1">"c4747"</definedName>
    <definedName name="IQ_EST_EBIT_DIFF_REUT" hidden="1">"c5413"</definedName>
    <definedName name="IQ_EST_EBIT_DIFF_THOM" hidden="1">"c5192"</definedName>
    <definedName name="IQ_EST_EBIT_GW_DIFF" hidden="1">"c4304"</definedName>
    <definedName name="IQ_EST_EBIT_GW_DIFF_CIQ" hidden="1">"c4829"</definedName>
    <definedName name="IQ_EST_EBIT_GW_SURPRISE_PERCENT" hidden="1">"c4313"</definedName>
    <definedName name="IQ_EST_EBIT_GW_SURPRISE_PERCENT_CIQ" hidden="1">"c4838"</definedName>
    <definedName name="IQ_EST_EBIT_SBC_DIFF" hidden="1">"c4314"</definedName>
    <definedName name="IQ_EST_EBIT_SBC_DIFF_CIQ" hidden="1">"c4839"</definedName>
    <definedName name="IQ_EST_EBIT_SBC_GW_DIFF" hidden="1">"c4318"</definedName>
    <definedName name="IQ_EST_EBIT_SBC_GW_DIFF_CIQ" hidden="1">"c4843"</definedName>
    <definedName name="IQ_EST_EBIT_SBC_GW_SURPRISE_PERCENT" hidden="1">"c4327"</definedName>
    <definedName name="IQ_EST_EBIT_SBC_GW_SURPRISE_PERCENT_CIQ" hidden="1">"c4852"</definedName>
    <definedName name="IQ_EST_EBIT_SBC_SURPRISE_PERCENT" hidden="1">"c4333"</definedName>
    <definedName name="IQ_EST_EBIT_SBC_SURPRISE_PERCENT_CIQ" hidden="1">"c4858"</definedName>
    <definedName name="IQ_EST_EBIT_SURPRISE_PERCENT" hidden="1">"c1876"</definedName>
    <definedName name="IQ_EST_EBIT_SURPRISE_PERCENT_CIQ" hidden="1">"c4748"</definedName>
    <definedName name="IQ_EST_EBIT_SURPRISE_PERCENT_REUT" hidden="1">"c5414"</definedName>
    <definedName name="IQ_EST_EBIT_SURPRISE_PERCENT_THOM" hidden="1">"c5193"</definedName>
    <definedName name="IQ_EST_EBITDA_DIFF" hidden="1">"c1867"</definedName>
    <definedName name="IQ_EST_EBITDA_DIFF_CIQ" hidden="1">"c3719"</definedName>
    <definedName name="IQ_EST_EBITDA_DIFF_REUT" hidden="1">"c3888"</definedName>
    <definedName name="IQ_EST_EBITDA_DIFF_THOM" hidden="1">"c5184"</definedName>
    <definedName name="IQ_EST_EBITDA_GROWTH_1YR" hidden="1">"c1766"</definedName>
    <definedName name="IQ_EST_EBITDA_GROWTH_1YR_CIQ" hidden="1">"c3695"</definedName>
    <definedName name="IQ_EST_EBITDA_GROWTH_1YR_REUT" hidden="1">"c3864"</definedName>
    <definedName name="IQ_EST_EBITDA_GROWTH_1YR_THOM" hidden="1">"c5161"</definedName>
    <definedName name="IQ_EST_EBITDA_GROWTH_2YR" hidden="1">"c1767"</definedName>
    <definedName name="IQ_EST_EBITDA_GROWTH_2YR_CIQ" hidden="1">"c3696"</definedName>
    <definedName name="IQ_EST_EBITDA_GROWTH_2YR_REUT" hidden="1">"c3865"</definedName>
    <definedName name="IQ_EST_EBITDA_GROWTH_2YR_THOM" hidden="1">"c5162"</definedName>
    <definedName name="IQ_EST_EBITDA_GROWTH_Q_1YR" hidden="1">"c1768"</definedName>
    <definedName name="IQ_EST_EBITDA_GROWTH_Q_1YR_CIQ" hidden="1">"c3697"</definedName>
    <definedName name="IQ_EST_EBITDA_GROWTH_Q_1YR_REUT" hidden="1">"c3866"</definedName>
    <definedName name="IQ_EST_EBITDA_GROWTH_Q_1YR_THOM" hidden="1">"c5163"</definedName>
    <definedName name="IQ_EST_EBITDA_SBC_DIFF" hidden="1">"c4335"</definedName>
    <definedName name="IQ_EST_EBITDA_SBC_DIFF_CIQ" hidden="1">"c4860"</definedName>
    <definedName name="IQ_EST_EBITDA_SBC_SURPRISE_PERCENT" hidden="1">"c4344"</definedName>
    <definedName name="IQ_EST_EBITDA_SBC_SURPRISE_PERCENT_CIQ" hidden="1">"c4869"</definedName>
    <definedName name="IQ_EST_EBITDA_SEQ_GROWTH_Q" hidden="1">"c1769"</definedName>
    <definedName name="IQ_EST_EBITDA_SEQ_GROWTH_Q_CIQ" hidden="1">"c3698"</definedName>
    <definedName name="IQ_EST_EBITDA_SEQ_GROWTH_Q_REUT" hidden="1">"c3867"</definedName>
    <definedName name="IQ_EST_EBITDA_SEQ_GROWTH_Q_THOM" hidden="1">"c5164"</definedName>
    <definedName name="IQ_EST_EBITDA_SURPRISE_PERCENT" hidden="1">"c1868"</definedName>
    <definedName name="IQ_EST_EBITDA_SURPRISE_PERCENT_CIQ" hidden="1">"c3720"</definedName>
    <definedName name="IQ_EST_EBITDA_SURPRISE_PERCENT_REUT" hidden="1">"c3889"</definedName>
    <definedName name="IQ_EST_EBITDA_SURPRISE_PERCENT_THOM" hidden="1">"c5185"</definedName>
    <definedName name="IQ_EST_EBT_SBC_DIFF" hidden="1">"c4348"</definedName>
    <definedName name="IQ_EST_EBT_SBC_DIFF_CIQ" hidden="1">"c4873"</definedName>
    <definedName name="IQ_EST_EBT_SBC_GW_DIFF" hidden="1">"c4352"</definedName>
    <definedName name="IQ_EST_EBT_SBC_GW_DIFF_CIQ" hidden="1">"c4877"</definedName>
    <definedName name="IQ_EST_EBT_SBC_GW_SURPRISE_PERCENT" hidden="1">"c4361"</definedName>
    <definedName name="IQ_EST_EBT_SBC_GW_SURPRISE_PERCENT_CIQ" hidden="1">"c4886"</definedName>
    <definedName name="IQ_EST_EBT_SBC_SURPRISE_PERCENT" hidden="1">"c4367"</definedName>
    <definedName name="IQ_EST_EBT_SBC_SURPRISE_PERCENT_CIQ" hidden="1">"c4892"</definedName>
    <definedName name="IQ_EST_EPS_DIFF" hidden="1">"c1864"</definedName>
    <definedName name="IQ_EST_EPS_DIFF_CIQ" hidden="1">"c4999"</definedName>
    <definedName name="IQ_EST_EPS_DIFF_REUT" hidden="1">"c5458"</definedName>
    <definedName name="IQ_EST_EPS_DIFF_THOM" hidden="1">"c5295"</definedName>
    <definedName name="IQ_EST_EPS_GROWTH_1YR" hidden="1">"c1636"</definedName>
    <definedName name="IQ_EST_EPS_GROWTH_1YR_CIQ" hidden="1">"c3628"</definedName>
    <definedName name="IQ_EST_EPS_GROWTH_1YR_REUT" hidden="1">"c3646"</definedName>
    <definedName name="IQ_EST_EPS_GROWTH_1YR_THOM" hidden="1">"c3664"</definedName>
    <definedName name="IQ_EST_EPS_GROWTH_2YR" hidden="1">"c1637"</definedName>
    <definedName name="IQ_EST_EPS_GROWTH_2YR_CIQ" hidden="1">"c3689"</definedName>
    <definedName name="IQ_EST_EPS_GROWTH_2YR_REUT" hidden="1">"c3858"</definedName>
    <definedName name="IQ_EST_EPS_GROWTH_2YR_THOM" hidden="1">"c5154"</definedName>
    <definedName name="IQ_EST_EPS_GROWTH_5YR" hidden="1">"c1655"</definedName>
    <definedName name="IQ_EST_EPS_GROWTH_5YR_BOTTOM_UP" hidden="1">"c5487"</definedName>
    <definedName name="IQ_EST_EPS_GROWTH_5YR_BOTTOM_UP_REUT" hidden="1">"c5495"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HIGH_REUT" hidden="1">"c5322"</definedName>
    <definedName name="IQ_EST_EPS_GROWTH_5YR_HIGH_THOM" hidden="1">"c5101"</definedName>
    <definedName name="IQ_EST_EPS_GROWTH_5YR_LOW" hidden="1">"c1658"</definedName>
    <definedName name="IQ_EST_EPS_GROWTH_5YR_LOW_CIQ" hidden="1">"c4664"</definedName>
    <definedName name="IQ_EST_EPS_GROWTH_5YR_LOW_REUT" hidden="1">"c5323"</definedName>
    <definedName name="IQ_EST_EPS_GROWTH_5YR_LOW_THOM" hidden="1">"c5102"</definedName>
    <definedName name="IQ_EST_EPS_GROWTH_5YR_MEDIAN" hidden="1">"c1656"</definedName>
    <definedName name="IQ_EST_EPS_GROWTH_5YR_MEDIAN_CIQ" hidden="1">"c5480"</definedName>
    <definedName name="IQ_EST_EPS_GROWTH_5YR_MEDIAN_REUT" hidden="1">"c5321"</definedName>
    <definedName name="IQ_EST_EPS_GROWTH_5YR_MEDIAN_THOM" hidden="1">"c5100"</definedName>
    <definedName name="IQ_EST_EPS_GROWTH_5YR_NUM" hidden="1">"c1659"</definedName>
    <definedName name="IQ_EST_EPS_GROWTH_5YR_NUM_CIQ" hidden="1">"c4665"</definedName>
    <definedName name="IQ_EST_EPS_GROWTH_5YR_NUM_REUT" hidden="1">"c5324"</definedName>
    <definedName name="IQ_EST_EPS_GROWTH_5YR_NUM_THOM" hidden="1">"c5103"</definedName>
    <definedName name="IQ_EST_EPS_GROWTH_5YR_REUT" hidden="1">"c3633"</definedName>
    <definedName name="IQ_EST_EPS_GROWTH_5YR_STDDEV" hidden="1">"c1660"</definedName>
    <definedName name="IQ_EST_EPS_GROWTH_5YR_STDDEV_CIQ" hidden="1">"c4666"</definedName>
    <definedName name="IQ_EST_EPS_GROWTH_5YR_STDDEV_REUT" hidden="1">"c5325"</definedName>
    <definedName name="IQ_EST_EPS_GROWTH_5YR_STDDEV_THOM" hidden="1">"c5104"</definedName>
    <definedName name="IQ_EST_EPS_GROWTH_5YR_THOM" hidden="1">"c3651"</definedName>
    <definedName name="IQ_EST_EPS_GROWTH_Q_1YR" hidden="1">"c1641"</definedName>
    <definedName name="IQ_EST_EPS_GROWTH_Q_1YR_CIQ" hidden="1">"c4744"</definedName>
    <definedName name="IQ_EST_EPS_GROWTH_Q_1YR_REUT" hidden="1">"c5410"</definedName>
    <definedName name="IQ_EST_EPS_GROWTH_Q_1YR_THOM" hidden="1">"c5155"</definedName>
    <definedName name="IQ_EST_EPS_GW_DIFF" hidden="1">"c1891"</definedName>
    <definedName name="IQ_EST_EPS_GW_DIFF_CIQ" hidden="1">"c4761"</definedName>
    <definedName name="IQ_EST_EPS_GW_DIFF_REUT" hidden="1">"c5429"</definedName>
    <definedName name="IQ_EST_EPS_GW_DIFF_THOM" hidden="1">"c5200"</definedName>
    <definedName name="IQ_EST_EPS_GW_SURPRISE_PERCENT" hidden="1">"c1892"</definedName>
    <definedName name="IQ_EST_EPS_GW_SURPRISE_PERCENT_CIQ" hidden="1">"c4762"</definedName>
    <definedName name="IQ_EST_EPS_GW_SURPRISE_PERCENT_REUT" hidden="1">"c5430"</definedName>
    <definedName name="IQ_EST_EPS_GW_SURPRISE_PERCENT_THOM" hidden="1">"c5201"</definedName>
    <definedName name="IQ_EST_EPS_NORM_DIFF" hidden="1">"c2247"</definedName>
    <definedName name="IQ_EST_EPS_NORM_DIFF_CIQ" hidden="1">"c4745"</definedName>
    <definedName name="IQ_EST_EPS_NORM_DIFF_REUT" hidden="1">"c5411"</definedName>
    <definedName name="IQ_EST_EPS_NORM_SURPRISE_PERCENT" hidden="1">"c2248"</definedName>
    <definedName name="IQ_EST_EPS_NORM_SURPRISE_PERCENT_CIQ" hidden="1">"c4746"</definedName>
    <definedName name="IQ_EST_EPS_NORM_SURPRISE_PERCENT_REUT" hidden="1">"c5412"</definedName>
    <definedName name="IQ_EST_EPS_REPORT_DIFF" hidden="1">"c1893"</definedName>
    <definedName name="IQ_EST_EPS_REPORT_DIFF_CIQ" hidden="1">"c4763"</definedName>
    <definedName name="IQ_EST_EPS_REPORT_DIFF_REUT" hidden="1">"c5431"</definedName>
    <definedName name="IQ_EST_EPS_REPORT_DIFF_THOM" hidden="1">"c5202"</definedName>
    <definedName name="IQ_EST_EPS_REPORT_SURPRISE_PERCENT" hidden="1">"c1894"</definedName>
    <definedName name="IQ_EST_EPS_REPORT_SURPRISE_PERCENT_CIQ" hidden="1">"c4764"</definedName>
    <definedName name="IQ_EST_EPS_REPORT_SURPRISE_PERCENT_REUT" hidden="1">"c5432"</definedName>
    <definedName name="IQ_EST_EPS_REPORT_SURPRISE_PERCENT_THOM" hidden="1">"c5203"</definedName>
    <definedName name="IQ_EST_EPS_SBC_DIFF" hidden="1">"c4374"</definedName>
    <definedName name="IQ_EST_EPS_SBC_DIFF_CIQ" hidden="1">"c4899"</definedName>
    <definedName name="IQ_EST_EPS_SBC_GW_DIFF" hidden="1">"c4378"</definedName>
    <definedName name="IQ_EST_EPS_SBC_GW_DIFF_CIQ" hidden="1">"c4903"</definedName>
    <definedName name="IQ_EST_EPS_SBC_GW_SURPRISE_PERCENT" hidden="1">"c4387"</definedName>
    <definedName name="IQ_EST_EPS_SBC_GW_SURPRISE_PERCENT_CIQ" hidden="1">"c4912"</definedName>
    <definedName name="IQ_EST_EPS_SBC_SURPRISE_PERCENT" hidden="1">"c4393"</definedName>
    <definedName name="IQ_EST_EPS_SBC_SURPRISE_PERCENT_CIQ" hidden="1">"c4918"</definedName>
    <definedName name="IQ_EST_EPS_SEQ_GROWTH_Q" hidden="1">"c1764"</definedName>
    <definedName name="IQ_EST_EPS_SEQ_GROWTH_Q_CIQ" hidden="1">"c3690"</definedName>
    <definedName name="IQ_EST_EPS_SEQ_GROWTH_Q_REUT" hidden="1">"c3859"</definedName>
    <definedName name="IQ_EST_EPS_SEQ_GROWTH_Q_THOM" hidden="1">"c5156"</definedName>
    <definedName name="IQ_EST_EPS_SURPRISE" hidden="1">"c1635"</definedName>
    <definedName name="IQ_EST_EPS_SURPRISE_PERCENT" hidden="1">"c1635"</definedName>
    <definedName name="IQ_EST_EPS_SURPRISE_PERCENT_CIQ" hidden="1">"c5000"</definedName>
    <definedName name="IQ_EST_EPS_SURPRISE_PERCENT_REUT" hidden="1">"c5459"</definedName>
    <definedName name="IQ_EST_EPS_SURPRISE_PERCENT_THOM" hidden="1">"c5296"</definedName>
    <definedName name="IQ_EST_FFO_ADJ_DIFF" hidden="1">"c4433"</definedName>
    <definedName name="IQ_EST_FFO_ADJ_DIFF_CIQ" hidden="1">"c4958"</definedName>
    <definedName name="IQ_EST_FFO_ADJ_GROWTH_1YR" hidden="1">"c4421"</definedName>
    <definedName name="IQ_EST_FFO_ADJ_GROWTH_1YR_CIQ" hidden="1">"c4946"</definedName>
    <definedName name="IQ_EST_FFO_ADJ_GROWTH_2YR" hidden="1">"c4422"</definedName>
    <definedName name="IQ_EST_FFO_ADJ_GROWTH_2YR_CIQ" hidden="1">"c4947"</definedName>
    <definedName name="IQ_EST_FFO_ADJ_GROWTH_Q_1YR" hidden="1">"c4423"</definedName>
    <definedName name="IQ_EST_FFO_ADJ_GROWTH_Q_1YR_CIQ" hidden="1">"c4948"</definedName>
    <definedName name="IQ_EST_FFO_ADJ_SEQ_GROWTH_Q" hidden="1">"c4424"</definedName>
    <definedName name="IQ_EST_FFO_ADJ_SEQ_GROWTH_Q_CIQ" hidden="1">"c4949"</definedName>
    <definedName name="IQ_EST_FFO_ADJ_SURPRISE_PERCENT" hidden="1">"c4442"</definedName>
    <definedName name="IQ_EST_FFO_ADJ_SURPRISE_PERCENT_CIQ" hidden="1">"c4967"</definedName>
    <definedName name="IQ_EST_FFO_DIFF" hidden="1">"c1869"</definedName>
    <definedName name="IQ_EST_FFO_DIFF_CIQ" hidden="1">"c3721"</definedName>
    <definedName name="IQ_EST_FFO_DIFF_REUT" hidden="1">"c3890"</definedName>
    <definedName name="IQ_EST_FFO_DIFF_THOM" hidden="1">"c5186"</definedName>
    <definedName name="IQ_EST_FFO_GROWTH_1YR" hidden="1">"c1770"</definedName>
    <definedName name="IQ_EST_FFO_GROWTH_1YR_CIQ" hidden="1">"c3705"</definedName>
    <definedName name="IQ_EST_FFO_GROWTH_1YR_REUT" hidden="1">"c3874"</definedName>
    <definedName name="IQ_EST_FFO_GROWTH_1YR_THOM" hidden="1">"c5170"</definedName>
    <definedName name="IQ_EST_FFO_GROWTH_2YR" hidden="1">"c1771"</definedName>
    <definedName name="IQ_EST_FFO_GROWTH_2YR_CIQ" hidden="1">"c3706"</definedName>
    <definedName name="IQ_EST_FFO_GROWTH_2YR_REUT" hidden="1">"c3875"</definedName>
    <definedName name="IQ_EST_FFO_GROWTH_2YR_THOM" hidden="1">"c5171"</definedName>
    <definedName name="IQ_EST_FFO_GROWTH_Q_1YR" hidden="1">"c1772"</definedName>
    <definedName name="IQ_EST_FFO_GROWTH_Q_1YR_CIQ" hidden="1">"c3707"</definedName>
    <definedName name="IQ_EST_FFO_GROWTH_Q_1YR_REUT" hidden="1">"c3876"</definedName>
    <definedName name="IQ_EST_FFO_GROWTH_Q_1YR_THOM" hidden="1">"c5172"</definedName>
    <definedName name="IQ_EST_FFO_SEQ_GROWTH_Q" hidden="1">"c1773"</definedName>
    <definedName name="IQ_EST_FFO_SEQ_GROWTH_Q_CIQ" hidden="1">"c3708"</definedName>
    <definedName name="IQ_EST_FFO_SEQ_GROWTH_Q_REUT" hidden="1">"c3877"</definedName>
    <definedName name="IQ_EST_FFO_SEQ_GROWTH_Q_THOM" hidden="1">"c5173"</definedName>
    <definedName name="IQ_EST_FFO_SHARE_DIFF" hidden="1">"c4444"</definedName>
    <definedName name="IQ_EST_FFO_SHARE_DIFF_CIQ" hidden="1">"c4969"</definedName>
    <definedName name="IQ_EST_FFO_SHARE_GROWTH_1YR" hidden="1">"c4425"</definedName>
    <definedName name="IQ_EST_FFO_SHARE_GROWTH_1YR_CIQ" hidden="1">"c4950"</definedName>
    <definedName name="IQ_EST_FFO_SHARE_GROWTH_2YR" hidden="1">"c4426"</definedName>
    <definedName name="IQ_EST_FFO_SHARE_GROWTH_2YR_CIQ" hidden="1">"c4951"</definedName>
    <definedName name="IQ_EST_FFO_SHARE_GROWTH_Q_1YR" hidden="1">"c4427"</definedName>
    <definedName name="IQ_EST_FFO_SHARE_GROWTH_Q_1YR_CIQ" hidden="1">"c4952"</definedName>
    <definedName name="IQ_EST_FFO_SHARE_SEQ_GROWTH_Q" hidden="1">"c4428"</definedName>
    <definedName name="IQ_EST_FFO_SHARE_SEQ_GROWTH_Q_CIQ" hidden="1">"c4953"</definedName>
    <definedName name="IQ_EST_FFO_SHARE_SURPRISE_PERCENT" hidden="1">"c4453"</definedName>
    <definedName name="IQ_EST_FFO_SHARE_SURPRISE_PERCENT_CIQ" hidden="1">"c4982"</definedName>
    <definedName name="IQ_EST_FFO_SURPRISE_PERCENT" hidden="1">"c1870"</definedName>
    <definedName name="IQ_EST_FFO_SURPRISE_PERCENT_CIQ" hidden="1">"c3722"</definedName>
    <definedName name="IQ_EST_FFO_SURPRISE_PERCENT_REUT" hidden="1">"c3891"</definedName>
    <definedName name="IQ_EST_FFO_SURPRISE_PERCENT_THOM" hidden="1">"c5187"</definedName>
    <definedName name="IQ_EST_FOOTNOTE" hidden="1">"c4540"</definedName>
    <definedName name="IQ_EST_FOOTNOTE_REUT" hidden="1">"c5478"</definedName>
    <definedName name="IQ_EST_FOOTNOTE_THOM" hidden="1">"c5313"</definedName>
    <definedName name="IQ_EST_MAINT_CAPEX_DIFF" hidden="1">"c4456"</definedName>
    <definedName name="IQ_EST_MAINT_CAPEX_DIFF_CIQ" hidden="1">"c4985"</definedName>
    <definedName name="IQ_EST_MAINT_CAPEX_GROWTH_1YR" hidden="1">"c4429"</definedName>
    <definedName name="IQ_EST_MAINT_CAPEX_GROWTH_1YR_CIQ" hidden="1">"c4954"</definedName>
    <definedName name="IQ_EST_MAINT_CAPEX_GROWTH_2YR" hidden="1">"c4430"</definedName>
    <definedName name="IQ_EST_MAINT_CAPEX_GROWTH_2YR_CIQ" hidden="1">"c4955"</definedName>
    <definedName name="IQ_EST_MAINT_CAPEX_GROWTH_Q_1YR" hidden="1">"c4431"</definedName>
    <definedName name="IQ_EST_MAINT_CAPEX_GROWTH_Q_1YR_CIQ" hidden="1">"c4956"</definedName>
    <definedName name="IQ_EST_MAINT_CAPEX_SEQ_GROWTH_Q" hidden="1">"c4432"</definedName>
    <definedName name="IQ_EST_MAINT_CAPEX_SEQ_GROWTH_Q_CIQ" hidden="1">"c4957"</definedName>
    <definedName name="IQ_EST_MAINT_CAPEX_SURPRISE_PERCENT" hidden="1">"c4465"</definedName>
    <definedName name="IQ_EST_MAINT_CAPEX_SURPRISE_PERCENT_CIQ" hidden="1">"c5003"</definedName>
    <definedName name="IQ_EST_NAV_DIFF" hidden="1">"c1895"</definedName>
    <definedName name="IQ_EST_NAV_SHARE_SURPRISE_PERCENT" hidden="1">"c1896"</definedName>
    <definedName name="IQ_EST_NAV_SURPRISE_PERCENT" hidden="1">"c1896"</definedName>
    <definedName name="IQ_EST_NET_DEBT_DIFF" hidden="1">"c4466"</definedName>
    <definedName name="IQ_EST_NET_DEBT_DIFF_CIQ" hidden="1">"c5004"</definedName>
    <definedName name="IQ_EST_NET_DEBT_SURPRISE_PERCENT" hidden="1">"c4468"</definedName>
    <definedName name="IQ_EST_NET_DEBT_SURPRISE_PERCENT_CIQ" hidden="1">"c5006"</definedName>
    <definedName name="IQ_EST_NI_DIFF" hidden="1">"c1885"</definedName>
    <definedName name="IQ_EST_NI_DIFF_CIQ" hidden="1">"c4755"</definedName>
    <definedName name="IQ_EST_NI_DIFF_REUT" hidden="1">"c5423"</definedName>
    <definedName name="IQ_EST_NI_DIFF_THOM" hidden="1">"c5198"</definedName>
    <definedName name="IQ_EST_NI_GW_DIFF" hidden="1">"c1887"</definedName>
    <definedName name="IQ_EST_NI_GW_DIFF_CIQ" hidden="1">"c4757"</definedName>
    <definedName name="IQ_EST_NI_GW_DIFF_REUT" hidden="1">"c5425"</definedName>
    <definedName name="IQ_EST_NI_GW_SURPRISE_PERCENT" hidden="1">"c1888"</definedName>
    <definedName name="IQ_EST_NI_GW_SURPRISE_PERCENT_CIQ" hidden="1">"c4758"</definedName>
    <definedName name="IQ_EST_NI_GW_SURPRISE_PERCENT_REUT" hidden="1">"c5426"</definedName>
    <definedName name="IQ_EST_NI_REPORT_DIFF" hidden="1">"c1889"</definedName>
    <definedName name="IQ_EST_NI_REPORT_DIFF_CIQ" hidden="1">"c4759"</definedName>
    <definedName name="IQ_EST_NI_REPORT_DIFF_REUT" hidden="1">"c5427"</definedName>
    <definedName name="IQ_EST_NI_REPORT_SURPRISE_PERCENT" hidden="1">"c1890"</definedName>
    <definedName name="IQ_EST_NI_REPORT_SURPRISE_PERCENT_CIQ" hidden="1">"c4760"</definedName>
    <definedName name="IQ_EST_NI_REPORT_SURPRISE_PERCENT_REUT" hidden="1">"c5428"</definedName>
    <definedName name="IQ_EST_NI_SBC_DIFF" hidden="1">"c4472"</definedName>
    <definedName name="IQ_EST_NI_SBC_DIFF_CIQ" hidden="1">"c5010"</definedName>
    <definedName name="IQ_EST_NI_SBC_GW_DIFF" hidden="1">"c4476"</definedName>
    <definedName name="IQ_EST_NI_SBC_GW_DIFF_CIQ" hidden="1">"c5014"</definedName>
    <definedName name="IQ_EST_NI_SBC_GW_SURPRISE_PERCENT" hidden="1">"c4485"</definedName>
    <definedName name="IQ_EST_NI_SBC_GW_SURPRISE_PERCENT_CIQ" hidden="1">"c5023"</definedName>
    <definedName name="IQ_EST_NI_SBC_SURPRISE_PERCENT" hidden="1">"c4491"</definedName>
    <definedName name="IQ_EST_NI_SBC_SURPRISE_PERCENT_CIQ" hidden="1">"c5029"</definedName>
    <definedName name="IQ_EST_NI_SURPRISE_PERCENT" hidden="1">"c1886"</definedName>
    <definedName name="IQ_EST_NI_SURPRISE_PERCENT_CIQ" hidden="1">"c4756"</definedName>
    <definedName name="IQ_EST_NI_SURPRISE_PERCENT_REUT" hidden="1">"c5424"</definedName>
    <definedName name="IQ_EST_NI_SURPRISE_PERCENT_THOM" hidden="1">"c5199"</definedName>
    <definedName name="IQ_EST_NUM_BUY" hidden="1">"c1759"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IGH_REC" hidden="1">"c5649"</definedName>
    <definedName name="IQ_EST_NUM_HIGH_REC_REUT" hidden="1">"c3870"</definedName>
    <definedName name="IQ_EST_NUM_HIGH_REC_THOM" hidden="1">"c5166"</definedName>
    <definedName name="IQ_EST_NUM_HIGHEST_REC" hidden="1">"c5648"</definedName>
    <definedName name="IQ_EST_NUM_HIGHEST_REC_REUT" hidden="1">"c3869"</definedName>
    <definedName name="IQ_EST_NUM_HIGHEST_REC_THOM" hidden="1">"c5165"</definedName>
    <definedName name="IQ_EST_NUM_HOLD" hidden="1">"c1761"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LOW_REC" hidden="1">"c5651"</definedName>
    <definedName name="IQ_EST_NUM_LOW_REC_REUT" hidden="1">"c3872"</definedName>
    <definedName name="IQ_EST_NUM_LOW_REC_THOM" hidden="1">"c5168"</definedName>
    <definedName name="IQ_EST_NUM_LOWEST_REC" hidden="1">"c5652"</definedName>
    <definedName name="IQ_EST_NUM_LOWEST_REC_REUT" hidden="1">"c3873"</definedName>
    <definedName name="IQ_EST_NUM_LOWEST_REC_THOM" hidden="1">"c5169"</definedName>
    <definedName name="IQ_EST_NUM_NEUTRAL_REC" hidden="1">"c5650"</definedName>
    <definedName name="IQ_EST_NUM_NEUTRAL_REC_REUT" hidden="1">"c3871"</definedName>
    <definedName name="IQ_EST_NUM_NEUTRAL_REC_THOM" hidden="1">"c5167"</definedName>
    <definedName name="IQ_EST_NUM_NO_OPINION" hidden="1">"c1758"</definedName>
    <definedName name="IQ_EST_NUM_NO_OPINION_CIQ" hidden="1">"c3699"</definedName>
    <definedName name="IQ_EST_NUM_NO_OPINION_REUT" hidden="1">"c3868"</definedName>
    <definedName name="IQ_EST_NUM_OUTPERFORM" hidden="1">"c1760"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" hidden="1">"c1763"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" hidden="1">"c1762"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OPER_INC_DIFF" hidden="1">"c1877"</definedName>
    <definedName name="IQ_EST_OPER_INC_DIFF_REUT" hidden="1">"c5415"</definedName>
    <definedName name="IQ_EST_OPER_INC_DIFF_THOM" hidden="1">"c5194"</definedName>
    <definedName name="IQ_EST_OPER_INC_SURPRISE_PERCENT" hidden="1">"c1878"</definedName>
    <definedName name="IQ_EST_OPER_INC_SURPRISE_PERCENT_REUT" hidden="1">"c5416"</definedName>
    <definedName name="IQ_EST_OPER_INC_SURPRISE_PERCENT_THOM" hidden="1">"c5195"</definedName>
    <definedName name="IQ_EST_PRE_TAX_DIFF" hidden="1">"c1879"</definedName>
    <definedName name="IQ_EST_PRE_TAX_DIFF_CIQ" hidden="1">"c4749"</definedName>
    <definedName name="IQ_EST_PRE_TAX_DIFF_REUT" hidden="1">"c5417"</definedName>
    <definedName name="IQ_EST_PRE_TAX_DIFF_THOM" hidden="1">"c5196"</definedName>
    <definedName name="IQ_EST_PRE_TAX_GW_DIFF" hidden="1">"c1881"</definedName>
    <definedName name="IQ_EST_PRE_TAX_GW_DIFF_CIQ" hidden="1">"c4751"</definedName>
    <definedName name="IQ_EST_PRE_TAX_GW_DIFF_REUT" hidden="1">"c5419"</definedName>
    <definedName name="IQ_EST_PRE_TAX_GW_SURPRISE_PERCENT" hidden="1">"c1882"</definedName>
    <definedName name="IQ_EST_PRE_TAX_GW_SURPRISE_PERCENT_CIQ" hidden="1">"c4752"</definedName>
    <definedName name="IQ_EST_PRE_TAX_GW_SURPRISE_PERCENT_REUT" hidden="1">"c5420"</definedName>
    <definedName name="IQ_EST_PRE_TAX_REPORT_DIFF" hidden="1">"c1883"</definedName>
    <definedName name="IQ_EST_PRE_TAX_REPORT_DIFF_CIQ" hidden="1">"c4753"</definedName>
    <definedName name="IQ_EST_PRE_TAX_REPORT_DIFF_REUT" hidden="1">"c5421"</definedName>
    <definedName name="IQ_EST_PRE_TAX_REPORT_SURPRISE_PERCENT" hidden="1">"c1884"</definedName>
    <definedName name="IQ_EST_PRE_TAX_REPORT_SURPRISE_PERCENT_CIQ" hidden="1">"c4754"</definedName>
    <definedName name="IQ_EST_PRE_TAX_REPORT_SURPRISE_PERCENT_REUT" hidden="1">"c5422"</definedName>
    <definedName name="IQ_EST_PRE_TAX_SURPRISE_PERCENT" hidden="1">"c1880"</definedName>
    <definedName name="IQ_EST_PRE_TAX_SURPRISE_PERCENT_CIQ" hidden="1">"c4750"</definedName>
    <definedName name="IQ_EST_PRE_TAX_SURPRISE_PERCENT_REUT" hidden="1">"c5418"</definedName>
    <definedName name="IQ_EST_PRE_TAX_SURPRISE_PERCENT_THOM" hidden="1">"c5197"</definedName>
    <definedName name="IQ_EST_RECURRING_PROFIT_SHARE_DIFF" hidden="1">"c4505"</definedName>
    <definedName name="IQ_EST_RECURRING_PROFIT_SHARE_DIFF_CIQ" hidden="1">"c5043"</definedName>
    <definedName name="IQ_EST_RECURRING_PROFIT_SHARE_SURPRISE_PERCENT" hidden="1">"c4515"</definedName>
    <definedName name="IQ_EST_RECURRING_PROFIT_SHARE_SURPRISE_PERCENT_CIQ" hidden="1">"c5053"</definedName>
    <definedName name="IQ_EST_REV_DIFF" hidden="1">"c1865"</definedName>
    <definedName name="IQ_EST_REV_DIFF_CIQ" hidden="1">"c3717"</definedName>
    <definedName name="IQ_EST_REV_DIFF_REUT" hidden="1">"c3886"</definedName>
    <definedName name="IQ_EST_REV_DIFF_THOM" hidden="1">"c5182"</definedName>
    <definedName name="IQ_EST_REV_GROWTH_1YR" hidden="1">"c1638"</definedName>
    <definedName name="IQ_EST_REV_GROWTH_1YR_CIQ" hidden="1">"c3691"</definedName>
    <definedName name="IQ_EST_REV_GROWTH_1YR_REUT" hidden="1">"c3860"</definedName>
    <definedName name="IQ_EST_REV_GROWTH_1YR_THOM" hidden="1">"c5157"</definedName>
    <definedName name="IQ_EST_REV_GROWTH_2YR" hidden="1">"c1639"</definedName>
    <definedName name="IQ_EST_REV_GROWTH_2YR_CIQ" hidden="1">"c3692"</definedName>
    <definedName name="IQ_EST_REV_GROWTH_2YR_REUT" hidden="1">"c3861"</definedName>
    <definedName name="IQ_EST_REV_GROWTH_2YR_THOM" hidden="1">"c5158"</definedName>
    <definedName name="IQ_EST_REV_GROWTH_Q_1YR" hidden="1">"c1640"</definedName>
    <definedName name="IQ_EST_REV_GROWTH_Q_1YR_CIQ" hidden="1">"c3693"</definedName>
    <definedName name="IQ_EST_REV_GROWTH_Q_1YR_REUT" hidden="1">"c3862"</definedName>
    <definedName name="IQ_EST_REV_GROWTH_Q_1YR_THOM" hidden="1">"c5159"</definedName>
    <definedName name="IQ_EST_REV_SEQ_GROWTH_Q" hidden="1">"c1765"</definedName>
    <definedName name="IQ_EST_REV_SEQ_GROWTH_Q_CIQ" hidden="1">"c3694"</definedName>
    <definedName name="IQ_EST_REV_SEQ_GROWTH_Q_REUT" hidden="1">"c3863"</definedName>
    <definedName name="IQ_EST_REV_SEQ_GROWTH_Q_THOM" hidden="1">"c5160"</definedName>
    <definedName name="IQ_EST_REV_SURPRISE_PERCENT" hidden="1">"c1866"</definedName>
    <definedName name="IQ_EST_REV_SURPRISE_PERCENT_CIQ" hidden="1">"c3718"</definedName>
    <definedName name="IQ_EST_REV_SURPRISE_PERCENT_REUT" hidden="1">"c3887"</definedName>
    <definedName name="IQ_EST_REV_SURPRISE_PERCENT_THOM" hidden="1">"c5183"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_CODE_">333042</definedName>
    <definedName name="IQ_EXPENSES_AP" hidden="1">"c8875"</definedName>
    <definedName name="IQ_EXPENSES_AP_ABS" hidden="1">"c8894"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_UNUSED_UNUSED" hidden="1">"c8401"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" hidden="1">"c11931"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" hidden="1">"c11932"</definedName>
    <definedName name="IQ_EXPORTS_GOODS_REAL_SAAR_YOY_FC_UNUSED_UNUSED_UNUSED" hidden="1">"c8292"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_UNUSED_UNUSED" hidden="1">"c7961"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_UNUSED_UNUSED" hidden="1">"c8296"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D" hidden="1">"c8757"</definedName>
    <definedName name="IQ_FAD_PAYOUT_RATIO" hidden="1">"c8872"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CT_OR_EST" hidden="1">"c2216"</definedName>
    <definedName name="IQ_FFO_ADJ_ACT_OR_EST" hidden="1">"c4435"</definedName>
    <definedName name="IQ_FFO_ADJ_ACT_OR_EST_CIQ" hidden="1">"c4960"</definedName>
    <definedName name="IQ_FFO_ADJ_EST" hidden="1">"c4434"</definedName>
    <definedName name="IQ_FFO_ADJ_EST_CIQ" hidden="1">"c4959"</definedName>
    <definedName name="IQ_FFO_ADJ_GUIDANCE" hidden="1">"c4436"</definedName>
    <definedName name="IQ_FFO_ADJ_GUIDANCE_CIQ" hidden="1">"c4961"</definedName>
    <definedName name="IQ_FFO_ADJ_HIGH_EST" hidden="1">"c4437"</definedName>
    <definedName name="IQ_FFO_ADJ_HIGH_EST_CIQ" hidden="1">"c4962"</definedName>
    <definedName name="IQ_FFO_ADJ_HIGH_GUIDANCE" hidden="1">"c4202"</definedName>
    <definedName name="IQ_FFO_ADJ_HIGH_GUIDANCE_CIQ" hidden="1">"c4614"</definedName>
    <definedName name="IQ_FFO_ADJ_LOW_EST" hidden="1">"c4438"</definedName>
    <definedName name="IQ_FFO_ADJ_LOW_EST_CIQ" hidden="1">"c4963"</definedName>
    <definedName name="IQ_FFO_ADJ_LOW_GUIDANCE" hidden="1">"c4242"</definedName>
    <definedName name="IQ_FFO_ADJ_LOW_GUIDANCE_CIQ" hidden="1">"c4654"</definedName>
    <definedName name="IQ_FFO_ADJ_MEDIAN_EST" hidden="1">"c4439"</definedName>
    <definedName name="IQ_FFO_ADJ_MEDIAN_EST_CIQ" hidden="1">"c4964"</definedName>
    <definedName name="IQ_FFO_ADJ_NUM_EST" hidden="1">"c4440"</definedName>
    <definedName name="IQ_FFO_ADJ_NUM_EST_CIQ" hidden="1">"c4965"</definedName>
    <definedName name="IQ_FFO_ADJ_STDDEV_EST" hidden="1">"c4441"</definedName>
    <definedName name="IQ_FFO_ADJ_STDDEV_EST_CIQ" hidden="1">"c4966"</definedName>
    <definedName name="IQ_FFO_EST" hidden="1">"c418"</definedName>
    <definedName name="IQ_FFO_EST_CIQ" hidden="1">"c3668"</definedName>
    <definedName name="IQ_FFO_EST_REUT" hidden="1">"c3837"</definedName>
    <definedName name="IQ_FFO_EST_THOM" hidden="1">"c3999"</definedName>
    <definedName name="IQ_FFO_GUIDANCE" hidden="1">"c4443"</definedName>
    <definedName name="IQ_FFO_GUIDANCE_CIQ" hidden="1">"c4968"</definedName>
    <definedName name="IQ_FFO_HIGH_EST" hidden="1">"c419"</definedName>
    <definedName name="IQ_FFO_HIGH_EST_CIQ" hidden="1">"c3670"</definedName>
    <definedName name="IQ_FFO_HIGH_EST_REUT" hidden="1">"c3839"</definedName>
    <definedName name="IQ_FFO_HIGH_EST_THOM" hidden="1">"c4001"</definedName>
    <definedName name="IQ_FFO_HIGH_GUIDANCE" hidden="1">"c4184"</definedName>
    <definedName name="IQ_FFO_HIGH_GUIDANCE_CIQ" hidden="1">"c4596"</definedName>
    <definedName name="IQ_FFO_LOW_EST" hidden="1">"c420"</definedName>
    <definedName name="IQ_FFO_LOW_EST_CIQ" hidden="1">"c3671"</definedName>
    <definedName name="IQ_FFO_LOW_EST_REUT" hidden="1">"c3840"</definedName>
    <definedName name="IQ_FFO_LOW_EST_THOM" hidden="1">"c4002"</definedName>
    <definedName name="IQ_FFO_LOW_GUIDANCE" hidden="1">"c4224"</definedName>
    <definedName name="IQ_FFO_LOW_GUIDANCE_CIQ" hidden="1">"c4636"</definedName>
    <definedName name="IQ_FFO_MEDIAN_EST" hidden="1">"c1665"</definedName>
    <definedName name="IQ_FFO_MEDIAN_EST_CIQ" hidden="1">"c3669"</definedName>
    <definedName name="IQ_FFO_MEDIAN_EST_REUT" hidden="1">"c3838"</definedName>
    <definedName name="IQ_FFO_MEDIAN_EST_THOM" hidden="1">"c4000"</definedName>
    <definedName name="IQ_FFO_NUM_EST" hidden="1">"c421"</definedName>
    <definedName name="IQ_FFO_NUM_EST_CIQ" hidden="1">"c3672"</definedName>
    <definedName name="IQ_FFO_NUM_EST_REUT" hidden="1">"c3841"</definedName>
    <definedName name="IQ_FFO_NUM_EST_THOM" hidden="1">"c4003"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" hidden="1">"c4446"</definedName>
    <definedName name="IQ_FFO_SHARE_ACT_OR_EST_CIQ" hidden="1">"c4971"</definedName>
    <definedName name="IQ_FFO_SHARE_EST" hidden="1">"c4445"</definedName>
    <definedName name="IQ_FFO_SHARE_EST_CIQ" hidden="1">"c4970"</definedName>
    <definedName name="IQ_FFO_SHARE_GUIDANCE" hidden="1">"c4447"</definedName>
    <definedName name="IQ_FFO_SHARE_GUIDANCE_CIQ" hidden="1">"c4976"</definedName>
    <definedName name="IQ_FFO_SHARE_HIGH_EST" hidden="1">"c4448"</definedName>
    <definedName name="IQ_FFO_SHARE_HIGH_EST_CIQ" hidden="1">"c4977"</definedName>
    <definedName name="IQ_FFO_SHARE_HIGH_GUIDANCE" hidden="1">"c4203"</definedName>
    <definedName name="IQ_FFO_SHARE_HIGH_GUIDANCE_CIQ" hidden="1">"c4615"</definedName>
    <definedName name="IQ_FFO_SHARE_LOW_EST" hidden="1">"c4449"</definedName>
    <definedName name="IQ_FFO_SHARE_LOW_EST_CIQ" hidden="1">"c4978"</definedName>
    <definedName name="IQ_FFO_SHARE_LOW_GUIDANCE" hidden="1">"c4243"</definedName>
    <definedName name="IQ_FFO_SHARE_LOW_GUIDANCE_CIQ" hidden="1">"c4655"</definedName>
    <definedName name="IQ_FFO_SHARE_MEDIAN_EST" hidden="1">"c4450"</definedName>
    <definedName name="IQ_FFO_SHARE_MEDIAN_EST_CIQ" hidden="1">"c4979"</definedName>
    <definedName name="IQ_FFO_SHARE_NUM_EST" hidden="1">"c4451"</definedName>
    <definedName name="IQ_FFO_SHARE_NUM_EST_CIQ" hidden="1">"c4980"</definedName>
    <definedName name="IQ_FFO_SHARE_STDDEV_EST" hidden="1">"c4452"</definedName>
    <definedName name="IQ_FFO_SHARE_STDDEV_EST_CIQ" hidden="1">"c4981"</definedName>
    <definedName name="IQ_FFO_STDDEV_EST" hidden="1">"c422"</definedName>
    <definedName name="IQ_FFO_STDDEV_EST_CIQ" hidden="1">"c3673"</definedName>
    <definedName name="IQ_FFO_STDDEV_EST_REUT" hidden="1">"c3842"</definedName>
    <definedName name="IQ_FFO_STDDEV_EST_THOM" hidden="1">"c4004"</definedName>
    <definedName name="IQ_FH" hidden="1">100000</definedName>
    <definedName name="IQ_FHLB_ADVANCES_FDIC" hidden="1">"c6366"</definedName>
    <definedName name="IQ_FHLB_DEBT" hidden="1">"c423"</definedName>
    <definedName name="IQ_FHLB_DUE_AFTER_FIVE" hidden="1">"c2086"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"c11753"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Q_EST_REUT" hidden="1">"c6798"</definedName>
    <definedName name="IQ_FISCAL_Y" hidden="1">"c441"</definedName>
    <definedName name="IQ_FISCAL_Y_EST" hidden="1">"c6795"</definedName>
    <definedName name="IQ_FISCAL_Y_EST_CIQ" hidden="1">"c6807"</definedName>
    <definedName name="IQ_FISCAL_Y_EST_REUT" hidden="1">"c6799"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_UNUSED_UNUSED" hidden="1">"c8298"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MARGIN_ACT_OR_EST" hidden="1">"c5554"</definedName>
    <definedName name="IQ_GROSS_MARGIN_ACT_OR_EST_THOM" hidden="1">"c5562"</definedName>
    <definedName name="IQ_GROSS_MARGIN_EST" hidden="1">"c5547"</definedName>
    <definedName name="IQ_GROSS_MARGIN_EST_THOM" hidden="1">"c5555"</definedName>
    <definedName name="IQ_GROSS_MARGIN_HIGH_EST" hidden="1">"c5549"</definedName>
    <definedName name="IQ_GROSS_MARGIN_HIGH_EST_THOM" hidden="1">"c5557"</definedName>
    <definedName name="IQ_GROSS_MARGIN_LOW_EST" hidden="1">"c5550"</definedName>
    <definedName name="IQ_GROSS_MARGIN_LOW_EST_THOM" hidden="1">"c5558"</definedName>
    <definedName name="IQ_GROSS_MARGIN_MEDIAN_EST" hidden="1">"c5548"</definedName>
    <definedName name="IQ_GROSS_MARGIN_MEDIAN_EST_THOM" hidden="1">"c5556"</definedName>
    <definedName name="IQ_GROSS_MARGIN_NUM_EST" hidden="1">"c5551"</definedName>
    <definedName name="IQ_GROSS_MARGIN_NUM_EST_THOM" hidden="1">"c5559"</definedName>
    <definedName name="IQ_GROSS_MARGIN_STDDEV_EST" hidden="1">"c5552"</definedName>
    <definedName name="IQ_GROSS_MARGIN_STDDEV_EST_THOM" hidden="1">"c5560"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EXP_CASINO" hidden="1">"c8733"</definedName>
    <definedName name="IQ_HG_EXP_DEVELOPMENT" hidden="1">"c8738"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INCENTIVE_MANAGEMENT_FEES" hidden="1">"c8727"</definedName>
    <definedName name="IQ_HG_REV_MANAGEMENT_FEES" hidden="1">"c8718"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PROM_COSTS" hidden="1">"c8745"</definedName>
    <definedName name="IQ_HG_ROOMS_BEG" hidden="1">"c8600"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MANAGED" hidden="1">"c8644"</definedName>
    <definedName name="IQ_HG_TABLE_GAMES_OWNED" hidden="1">"c8642"</definedName>
    <definedName name="IQ_HG_TABLE_GAM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TARGET_PRICE" hidden="1">"c1651"</definedName>
    <definedName name="IQ_HIGH_TARGET_PRICE_CIQ" hidden="1">"c4659"</definedName>
    <definedName name="IQ_HIGH_TARGET_PRICE_REUT" hidden="1">"c5317"</definedName>
    <definedName name="IQ_HIGH_TARGET_PRICE_THOM" hidden="1">"c5096"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IR_OIL" hidden="1">"c547"</definedName>
    <definedName name="IQ_IMPAIRMENT_GW" hidden="1">"c548"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_UNUSED_UNUSED" hidden="1">"c8209"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_DEPOSITS" hidden="1">"c89"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EARING_DEPOSITS" hidden="1">"c1166"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TEREST_LT_DEBT" hidden="1">"c2086"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ISTING_CURRENCY" hidden="1">"c2127"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CIQ" hidden="1">"c4660"</definedName>
    <definedName name="IQ_LOW_TARGET_PRICE_REUT" hidden="1">"c5318"</definedName>
    <definedName name="IQ_LOW_TARGET_PRICE_THOM" hidden="1">"c5097"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hidden="1">"c1437"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INT_CAPEX" hidden="1">"c2947"</definedName>
    <definedName name="IQ_MAINT_CAPEX_ACT_OR_EST" hidden="1">"c4458"</definedName>
    <definedName name="IQ_MAINT_CAPEX_ACT_OR_EST_CIQ" hidden="1">"c4987"</definedName>
    <definedName name="IQ_MAINT_CAPEX_EST" hidden="1">"c4457"</definedName>
    <definedName name="IQ_MAINT_CAPEX_EST_CIQ" hidden="1">"c4986"</definedName>
    <definedName name="IQ_MAINT_CAPEX_GUIDANCE" hidden="1">"c4459"</definedName>
    <definedName name="IQ_MAINT_CAPEX_GUIDANCE_CIQ" hidden="1">"c4988"</definedName>
    <definedName name="IQ_MAINT_CAPEX_HIGH_EST" hidden="1">"c4460"</definedName>
    <definedName name="IQ_MAINT_CAPEX_HIGH_EST_CIQ" hidden="1">"c4989"</definedName>
    <definedName name="IQ_MAINT_CAPEX_HIGH_GUIDANCE" hidden="1">"c4197"</definedName>
    <definedName name="IQ_MAINT_CAPEX_HIGH_GUIDANCE_CIQ" hidden="1">"c4609"</definedName>
    <definedName name="IQ_MAINT_CAPEX_LOW_EST" hidden="1">"c4461"</definedName>
    <definedName name="IQ_MAINT_CAPEX_LOW_EST_CIQ" hidden="1">"c4990"</definedName>
    <definedName name="IQ_MAINT_CAPEX_LOW_GUIDANCE" hidden="1">"c4237"</definedName>
    <definedName name="IQ_MAINT_CAPEX_LOW_GUIDANCE_CIQ" hidden="1">"c4649"</definedName>
    <definedName name="IQ_MAINT_CAPEX_MEDIAN_EST" hidden="1">"c4462"</definedName>
    <definedName name="IQ_MAINT_CAPEX_MEDIAN_EST_CIQ" hidden="1">"c4991"</definedName>
    <definedName name="IQ_MAINT_CAPEX_NUM_EST" hidden="1">"c4463"</definedName>
    <definedName name="IQ_MAINT_CAPEX_NUM_EST_CIQ" hidden="1">"c5001"</definedName>
    <definedName name="IQ_MAINT_CAPEX_STDDEV_EST" hidden="1">"c4464"</definedName>
    <definedName name="IQ_MAINT_CAPEX_STDDEV_EST_CIQ" hidden="1">"c5002"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DAYS_CLAIMS_PAYABLE" hidden="1">"c9937"</definedName>
    <definedName name="IQ_MC_DAYS_CLAIMS_PAYABLE_EXCL_CAPITATION" hidden="1">"c9938"</definedName>
    <definedName name="IQ_MC_MEDICAL_COSTS_PMPM" hidden="1">"c9925"</definedName>
    <definedName name="IQ_MC_PARENT_CASH" hidden="1">"c9942"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TATUTORY_SURPLUS" hidden="1">"c2772"</definedName>
    <definedName name="IQ_MC_TOTAL_COVERED_LIVES" hidden="1">"c9919"</definedName>
    <definedName name="IQ_MC_TOTAL_MEMBERSHIP" hidden="1">"c9922"</definedName>
    <definedName name="IQ_MC_TOTAL_MEMBERSHIP_CAPITATION" hidden="1">"c9923"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AN_TARGET_PRICE_REUT" hidden="1">"c5316"</definedName>
    <definedName name="IQ_MEDIAN_TARGET_PRICE_THOM" hidden="1">"c5095"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KTCAP_TOTAL_REV_FWD_REUT" hidden="1">"c4048"</definedName>
    <definedName name="IQ_MKTCAP_TOTAL_REV_FWD_THOM" hidden="1">"c4055"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ULTIFAMILY_RESIDENTIAL_LOANS_FDIC" hidden="1">"c6311"</definedName>
    <definedName name="IQ_NAMES_REVISION_DATE_" hidden="1">40324.4954282407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V_ACT_OR_EST" hidden="1">"c2225"</definedName>
    <definedName name="IQ_NAV_ACT_OR_EST_THOM" hidden="1">"c5607"</definedName>
    <definedName name="IQ_NAV_EST" hidden="1">"c1751"</definedName>
    <definedName name="IQ_NAV_EST_THOM" hidden="1">"c5601"</definedName>
    <definedName name="IQ_NAV_HIGH_EST" hidden="1">"c1753"</definedName>
    <definedName name="IQ_NAV_HIGH_EST_THOM" hidden="1">"c5604"</definedName>
    <definedName name="IQ_NAV_LOW_EST" hidden="1">"c1754"</definedName>
    <definedName name="IQ_NAV_LOW_EST_THOM" hidden="1">"c5605"</definedName>
    <definedName name="IQ_NAV_MEDIAN_EST" hidden="1">"c1752"</definedName>
    <definedName name="IQ_NAV_MEDIAN_EST_THOM" hidden="1">"c5602"</definedName>
    <definedName name="IQ_NAV_NUM_EST" hidden="1">"c1755"</definedName>
    <definedName name="IQ_NAV_NUM_EST_THOM" hidden="1">"c5606"</definedName>
    <definedName name="IQ_NAV_SHARE_ACT_OR_EST" hidden="1">"c5615"</definedName>
    <definedName name="IQ_NAV_SHARE_ACT_OR_EST_REUT" hidden="1">"c5623"</definedName>
    <definedName name="IQ_NAV_SHARE_EST" hidden="1">"c5609"</definedName>
    <definedName name="IQ_NAV_SHARE_EST_REUT" hidden="1">"c5617"</definedName>
    <definedName name="IQ_NAV_SHARE_HIGH_EST" hidden="1">"c5612"</definedName>
    <definedName name="IQ_NAV_SHARE_HIGH_EST_REUT" hidden="1">"c5620"</definedName>
    <definedName name="IQ_NAV_SHARE_LOW_EST" hidden="1">"c5613"</definedName>
    <definedName name="IQ_NAV_SHARE_LOW_EST_REUT" hidden="1">"c5621"</definedName>
    <definedName name="IQ_NAV_SHARE_MEDIAN_EST" hidden="1">"c5610"</definedName>
    <definedName name="IQ_NAV_SHARE_MEDIAN_EST_REUT" hidden="1">"c5618"</definedName>
    <definedName name="IQ_NAV_SHARE_NUM_EST" hidden="1">"c5614"</definedName>
    <definedName name="IQ_NAV_SHARE_NUM_EST_REUT" hidden="1">"c5622"</definedName>
    <definedName name="IQ_NAV_SHARE_STDDEV_EST" hidden="1">"c5611"</definedName>
    <definedName name="IQ_NAV_SHARE_STDDEV_EST_REUT" hidden="1">"c5619"</definedName>
    <definedName name="IQ_NAV_STDDEV_EST" hidden="1">"c1756"</definedName>
    <definedName name="IQ_NAV_STDDEV_EST_THOM" hidden="1">"c5603"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ACT_OR_EST" hidden="1">"c3583"</definedName>
    <definedName name="IQ_NET_DEBT_ACT_OR_EST_CIQ" hidden="1">"c5070"</definedName>
    <definedName name="IQ_NET_DEBT_ACT_OR_EST_REUT" hidden="1">"c5473"</definedName>
    <definedName name="IQ_NET_DEBT_ACT_OR_EST_THOM" hidden="1">"c5309"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CIQ" hidden="1">"c3814"</definedName>
    <definedName name="IQ_NET_DEBT_EST_REUT" hidden="1">"c3976"</definedName>
    <definedName name="IQ_NET_DEBT_EST_THOM" hidden="1">"c4027"</definedName>
    <definedName name="IQ_NET_DEBT_GUIDANCE" hidden="1">"c4467"</definedName>
    <definedName name="IQ_NET_DEBT_GUIDANCE_CIQ" hidden="1">"c5005"</definedName>
    <definedName name="IQ_NET_DEBT_HIGH_EST" hidden="1">"c3518"</definedName>
    <definedName name="IQ_NET_DEBT_HIGH_EST_CIQ" hidden="1">"c3816"</definedName>
    <definedName name="IQ_NET_DEBT_HIGH_EST_REUT" hidden="1">"c3978"</definedName>
    <definedName name="IQ_NET_DEBT_HIGH_EST_THOM" hidden="1">"c4029"</definedName>
    <definedName name="IQ_NET_DEBT_HIGH_GUIDANCE" hidden="1">"c4181"</definedName>
    <definedName name="IQ_NET_DEBT_HIGH_GUIDANCE_CIQ" hidden="1">"c4593"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CIQ" hidden="1">"c3817"</definedName>
    <definedName name="IQ_NET_DEBT_LOW_EST_REUT" hidden="1">"c3979"</definedName>
    <definedName name="IQ_NET_DEBT_LOW_EST_THOM" hidden="1">"c4030"</definedName>
    <definedName name="IQ_NET_DEBT_LOW_GUIDANCE" hidden="1">"c4221"</definedName>
    <definedName name="IQ_NET_DEBT_LOW_GUIDANCE_CIQ" hidden="1">"c4633"</definedName>
    <definedName name="IQ_NET_DEBT_MEDIAN_EST" hidden="1">"c3520"</definedName>
    <definedName name="IQ_NET_DEBT_MEDIAN_EST_CIQ" hidden="1">"c3815"</definedName>
    <definedName name="IQ_NET_DEBT_MEDIAN_EST_REUT" hidden="1">"c3977"</definedName>
    <definedName name="IQ_NET_DEBT_MEDIAN_EST_THOM" hidden="1">"c4028"</definedName>
    <definedName name="IQ_NET_DEBT_NUM_EST" hidden="1">"c3515"</definedName>
    <definedName name="IQ_NET_DEBT_NUM_EST_CIQ" hidden="1">"c3818"</definedName>
    <definedName name="IQ_NET_DEBT_NUM_EST_REUT" hidden="1">"c3980"</definedName>
    <definedName name="IQ_NET_DEBT_NUM_EST_THOM" hidden="1">"c4031"</definedName>
    <definedName name="IQ_NET_DEBT_STDDEV_EST" hidden="1">"c3516"</definedName>
    <definedName name="IQ_NET_DEBT_STDDEV_EST_CIQ" hidden="1">"c3819"</definedName>
    <definedName name="IQ_NET_DEBT_STDDEV_EST_REUT" hidden="1">"c3981"</definedName>
    <definedName name="IQ_NET_DEBT_STDDEV_EST_THOM" hidden="1">"c4032"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CIQ" hidden="1">"c5065"</definedName>
    <definedName name="IQ_NI_ACT_OR_EST_REUT" hidden="1">"c5468"</definedName>
    <definedName name="IQ_NI_ACT_OR_EST_THOM" hidden="1">"c5306"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BEFORE_CAPITALIZED" hidden="1">"c792"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EST" hidden="1">"c1716"</definedName>
    <definedName name="IQ_NI_EST_CIQ" hidden="1">"c4702"</definedName>
    <definedName name="IQ_NI_EST_REUT" hidden="1">"c5368"</definedName>
    <definedName name="IQ_NI_EST_THOM" hidden="1">"c5126"</definedName>
    <definedName name="IQ_NI_GAAP_GUIDANCE" hidden="1">"c4470"</definedName>
    <definedName name="IQ_NI_GAAP_GUIDANCE_CIQ" hidden="1">"c5008"</definedName>
    <definedName name="IQ_NI_GAAP_HIGH_GUIDANCE" hidden="1">"c4177"</definedName>
    <definedName name="IQ_NI_GAAP_HIGH_GUIDANCE_CIQ" hidden="1">"c4589"</definedName>
    <definedName name="IQ_NI_GAAP_LOW_GUIDANCE" hidden="1">"c4217"</definedName>
    <definedName name="IQ_NI_GAAP_LOW_GUIDANCE_CIQ" hidden="1">"c4629"</definedName>
    <definedName name="IQ_NI_GUIDANCE" hidden="1">"c4469"</definedName>
    <definedName name="IQ_NI_GUIDANCE_CIQ" hidden="1">"c5007"</definedName>
    <definedName name="IQ_NI_GW_EST" hidden="1">"c1723"</definedName>
    <definedName name="IQ_NI_GW_EST_CIQ" hidden="1">"c4709"</definedName>
    <definedName name="IQ_NI_GW_EST_REUT" hidden="1">"c5375"</definedName>
    <definedName name="IQ_NI_GW_GUIDANCE" hidden="1">"c4471"</definedName>
    <definedName name="IQ_NI_GW_GUIDANCE_CIQ" hidden="1">"c5009"</definedName>
    <definedName name="IQ_NI_GW_HIGH_EST" hidden="1">"c1725"</definedName>
    <definedName name="IQ_NI_GW_HIGH_EST_CIQ" hidden="1">"c4711"</definedName>
    <definedName name="IQ_NI_GW_HIGH_EST_REUT" hidden="1">"c5377"</definedName>
    <definedName name="IQ_NI_GW_HIGH_GUIDANCE" hidden="1">"c4178"</definedName>
    <definedName name="IQ_NI_GW_HIGH_GUIDANCE_CIQ" hidden="1">"c4590"</definedName>
    <definedName name="IQ_NI_GW_LOW_EST" hidden="1">"c1726"</definedName>
    <definedName name="IQ_NI_GW_LOW_EST_CIQ" hidden="1">"c4712"</definedName>
    <definedName name="IQ_NI_GW_LOW_EST_REUT" hidden="1">"c5378"</definedName>
    <definedName name="IQ_NI_GW_LOW_GUIDANCE" hidden="1">"c4218"</definedName>
    <definedName name="IQ_NI_GW_LOW_GUIDANCE_CIQ" hidden="1">"c4630"</definedName>
    <definedName name="IQ_NI_GW_MEDIAN_EST" hidden="1">"c1724"</definedName>
    <definedName name="IQ_NI_GW_MEDIAN_EST_CIQ" hidden="1">"c4710"</definedName>
    <definedName name="IQ_NI_GW_MEDIAN_EST_REUT" hidden="1">"c5376"</definedName>
    <definedName name="IQ_NI_GW_NUM_EST" hidden="1">"c1727"</definedName>
    <definedName name="IQ_NI_GW_NUM_EST_CIQ" hidden="1">"c4713"</definedName>
    <definedName name="IQ_NI_GW_NUM_EST_REUT" hidden="1">"c5379"</definedName>
    <definedName name="IQ_NI_GW_STDDEV_EST" hidden="1">"c1728"</definedName>
    <definedName name="IQ_NI_GW_STDDEV_EST_CIQ" hidden="1">"c4714"</definedName>
    <definedName name="IQ_NI_GW_STDDEV_EST_REUT" hidden="1">"c5380"</definedName>
    <definedName name="IQ_NI_HIGH_EST" hidden="1">"c1718"</definedName>
    <definedName name="IQ_NI_HIGH_EST_CIQ" hidden="1">"c4704"</definedName>
    <definedName name="IQ_NI_HIGH_EST_REUT" hidden="1">"c5370"</definedName>
    <definedName name="IQ_NI_HIGH_EST_THOM" hidden="1">"c5128"</definedName>
    <definedName name="IQ_NI_HIGH_GUIDANCE" hidden="1">"c4176"</definedName>
    <definedName name="IQ_NI_HIGH_GUIDANCE_CIQ" hidden="1">"c4588"</definedName>
    <definedName name="IQ_NI_LOW_EST" hidden="1">"c1719"</definedName>
    <definedName name="IQ_NI_LOW_EST_CIQ" hidden="1">"c4705"</definedName>
    <definedName name="IQ_NI_LOW_EST_REUT" hidden="1">"c5371"</definedName>
    <definedName name="IQ_NI_LOW_EST_THOM" hidden="1">"c5129"</definedName>
    <definedName name="IQ_NI_LOW_GUIDANCE" hidden="1">"c4216"</definedName>
    <definedName name="IQ_NI_LOW_GUIDANCE_CIQ" hidden="1">"c4628"</definedName>
    <definedName name="IQ_NI_MARGIN" hidden="1">"c794"</definedName>
    <definedName name="IQ_NI_MEDIAN_EST" hidden="1">"c1717"</definedName>
    <definedName name="IQ_NI_MEDIAN_EST_CIQ" hidden="1">"c4703"</definedName>
    <definedName name="IQ_NI_MEDIAN_EST_REUT" hidden="1">"c5369"</definedName>
    <definedName name="IQ_NI_MEDIAN_EST_THOM" hidden="1">"c5127"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CIQ" hidden="1">"c4706"</definedName>
    <definedName name="IQ_NI_NUM_EST_REUT" hidden="1">"c5372"</definedName>
    <definedName name="IQ_NI_NUM_EST_THOM" hidden="1">"c5130"</definedName>
    <definedName name="IQ_NI_REPORTED_EST" hidden="1">"c1730"</definedName>
    <definedName name="IQ_NI_REPORTED_EST_CIQ" hidden="1">"c4716"</definedName>
    <definedName name="IQ_NI_REPORTED_EST_REUT" hidden="1">"c5382"</definedName>
    <definedName name="IQ_NI_REPORTED_HIGH_EST" hidden="1">"c1732"</definedName>
    <definedName name="IQ_NI_REPORTED_HIGH_EST_CIQ" hidden="1">"c4718"</definedName>
    <definedName name="IQ_NI_REPORTED_HIGH_EST_REUT" hidden="1">"c5384"</definedName>
    <definedName name="IQ_NI_REPORTED_LOW_EST" hidden="1">"c1733"</definedName>
    <definedName name="IQ_NI_REPORTED_LOW_EST_CIQ" hidden="1">"c4719"</definedName>
    <definedName name="IQ_NI_REPORTED_LOW_EST_REUT" hidden="1">"c5385"</definedName>
    <definedName name="IQ_NI_REPORTED_MEDIAN_EST" hidden="1">"c1731"</definedName>
    <definedName name="IQ_NI_REPORTED_MEDIAN_EST_CIQ" hidden="1">"c4717"</definedName>
    <definedName name="IQ_NI_REPORTED_MEDIAN_EST_REUT" hidden="1">"c5383"</definedName>
    <definedName name="IQ_NI_REPORTED_NUM_EST" hidden="1">"c1734"</definedName>
    <definedName name="IQ_NI_REPORTED_NUM_EST_CIQ" hidden="1">"c4720"</definedName>
    <definedName name="IQ_NI_REPORTED_NUM_EST_REUT" hidden="1">"c5386"</definedName>
    <definedName name="IQ_NI_REPORTED_STDDEV_EST" hidden="1">"c1735"</definedName>
    <definedName name="IQ_NI_REPORTED_STDDEV_EST_CIQ" hidden="1">"c4721"</definedName>
    <definedName name="IQ_NI_REPORTED_STDDEV_EST_REUT" hidden="1">"c5387"</definedName>
    <definedName name="IQ_NI_SBC_ACT_OR_EST" hidden="1">"c4474"</definedName>
    <definedName name="IQ_NI_SBC_ACT_OR_EST_CIQ" hidden="1">"c5012"</definedName>
    <definedName name="IQ_NI_SBC_EST" hidden="1">"c4473"</definedName>
    <definedName name="IQ_NI_SBC_EST_CIQ" hidden="1">"c5011"</definedName>
    <definedName name="IQ_NI_SBC_GUIDANCE" hidden="1">"c4475"</definedName>
    <definedName name="IQ_NI_SBC_GUIDANCE_CIQ" hidden="1">"c5013"</definedName>
    <definedName name="IQ_NI_SBC_GW_ACT_OR_EST" hidden="1">"c4478"</definedName>
    <definedName name="IQ_NI_SBC_GW_ACT_OR_EST_CIQ" hidden="1">"c5016"</definedName>
    <definedName name="IQ_NI_SBC_GW_EST" hidden="1">"c4477"</definedName>
    <definedName name="IQ_NI_SBC_GW_EST_CIQ" hidden="1">"c5015"</definedName>
    <definedName name="IQ_NI_SBC_GW_GUIDANCE" hidden="1">"c4479"</definedName>
    <definedName name="IQ_NI_SBC_GW_GUIDANCE_CIQ" hidden="1">"c5017"</definedName>
    <definedName name="IQ_NI_SBC_GW_HIGH_EST" hidden="1">"c4480"</definedName>
    <definedName name="IQ_NI_SBC_GW_HIGH_EST_CIQ" hidden="1">"c5018"</definedName>
    <definedName name="IQ_NI_SBC_GW_HIGH_GUIDANCE" hidden="1">"c4187"</definedName>
    <definedName name="IQ_NI_SBC_GW_HIGH_GUIDANCE_CIQ" hidden="1">"c4599"</definedName>
    <definedName name="IQ_NI_SBC_GW_LOW_EST" hidden="1">"c4481"</definedName>
    <definedName name="IQ_NI_SBC_GW_LOW_EST_CIQ" hidden="1">"c5019"</definedName>
    <definedName name="IQ_NI_SBC_GW_LOW_GUIDANCE" hidden="1">"c4227"</definedName>
    <definedName name="IQ_NI_SBC_GW_LOW_GUIDANCE_CIQ" hidden="1">"c4639"</definedName>
    <definedName name="IQ_NI_SBC_GW_MEDIAN_EST" hidden="1">"c4482"</definedName>
    <definedName name="IQ_NI_SBC_GW_MEDIAN_EST_CIQ" hidden="1">"c5020"</definedName>
    <definedName name="IQ_NI_SBC_GW_NUM_EST" hidden="1">"c4483"</definedName>
    <definedName name="IQ_NI_SBC_GW_NUM_EST_CIQ" hidden="1">"c5021"</definedName>
    <definedName name="IQ_NI_SBC_GW_STDDEV_EST" hidden="1">"c4484"</definedName>
    <definedName name="IQ_NI_SBC_GW_STDDEV_EST_CIQ" hidden="1">"c5022"</definedName>
    <definedName name="IQ_NI_SBC_HIGH_EST" hidden="1">"c4486"</definedName>
    <definedName name="IQ_NI_SBC_HIGH_EST_CIQ" hidden="1">"c5024"</definedName>
    <definedName name="IQ_NI_SBC_HIGH_GUIDANCE" hidden="1">"c4186"</definedName>
    <definedName name="IQ_NI_SBC_HIGH_GUIDANCE_CIQ" hidden="1">"c4598"</definedName>
    <definedName name="IQ_NI_SBC_LOW_EST" hidden="1">"c4487"</definedName>
    <definedName name="IQ_NI_SBC_LOW_EST_CIQ" hidden="1">"c5025"</definedName>
    <definedName name="IQ_NI_SBC_LOW_GUIDANCE" hidden="1">"c4226"</definedName>
    <definedName name="IQ_NI_SBC_LOW_GUIDANCE_CIQ" hidden="1">"c4638"</definedName>
    <definedName name="IQ_NI_SBC_MEDIAN_EST" hidden="1">"c4488"</definedName>
    <definedName name="IQ_NI_SBC_MEDIAN_EST_CIQ" hidden="1">"c5026"</definedName>
    <definedName name="IQ_NI_SBC_NUM_EST" hidden="1">"c4489"</definedName>
    <definedName name="IQ_NI_SBC_NUM_EST_CIQ" hidden="1">"c5027"</definedName>
    <definedName name="IQ_NI_SBC_STDDEV_EST" hidden="1">"c4490"</definedName>
    <definedName name="IQ_NI_SBC_STDDEV_EST_CIQ" hidden="1">"c5028"</definedName>
    <definedName name="IQ_NI_SFAS" hidden="1">"c795"</definedName>
    <definedName name="IQ_NI_STDDEV_EST" hidden="1">"c1721"</definedName>
    <definedName name="IQ_NI_STDDEV_EST_CIQ" hidden="1">"c4707"</definedName>
    <definedName name="IQ_NI_STDDEV_EST_REUT" hidden="1">"c5373"</definedName>
    <definedName name="IQ_NI_STDDEV_EST_THOM" hidden="1">"c5131"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BEARING_DEPOSITS" hidden="1">"c800"</definedName>
    <definedName name="IQ_NON_INT_EXP" hidden="1">"c801"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_UNUSED_UNUSED" hidden="1">"c8248"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_EPS_ACT_OR_EST_REUT" hidden="1">"c5472"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OFFIC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CLASSB" hidden="1">"c1969"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"c10073"</definedName>
    <definedName name="IQ_OG_DAILY_PRDUCTION_GROWTH_GAS_EQUIVALENT" hidden="1">"c10076"</definedName>
    <definedName name="IQ_OG_DAILY_PRDUCTION_GROWTH_NGL" hidden="1">"c10074"</definedName>
    <definedName name="IQ_OG_DAILY_PRDUCTION_GROWTH_OIL" hidden="1">"c10072"</definedName>
    <definedName name="IQ_OG_DAILY_PRDUCTION_GROWTH_OIL_EQUIVALENT" hidden="1">"c10075"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TOTAL_WELLS_DRILLED" hidden="1">"c10096"</definedName>
    <definedName name="IQ_OG_GROSS_OPERATED_WELLS" hidden="1">"c10092"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" hidden="1">"c1999"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"c10067"</definedName>
    <definedName name="IQ_OG_PRDUCTION_GROWTH_GAS_EQUIVALENT" hidden="1">"c10070"</definedName>
    <definedName name="IQ_OG_PRDUCTION_GROWTH_NGL" hidden="1">"c10068"</definedName>
    <definedName name="IQ_OG_PRDUCTION_GROWTH_OIL" hidden="1">"c10066"</definedName>
    <definedName name="IQ_OG_PRDUCTION_GROWTH_OIL_EQUIVALENT" hidden="1">"c10069"</definedName>
    <definedName name="IQ_OG_PRDUCTION_GROWTH_TOAL" hidden="1">"c10071"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ED55" hidden="1">1</definedName>
    <definedName name="IQ_OPENPRICE" hidden="1">"c848"</definedName>
    <definedName name="IQ_OPER_INC" hidden="1">"c849"</definedName>
    <definedName name="IQ_OPER_INC_ACT_OR_EST" hidden="1">"c2220"</definedName>
    <definedName name="IQ_OPER_INC_ACT_OR_EST_REUT" hidden="1">"c5466"</definedName>
    <definedName name="IQ_OPER_INC_ACT_OR_EST_THOM" hidden="1">"c5304"</definedName>
    <definedName name="IQ_OPER_INC_BR" hidden="1">"c850"</definedName>
    <definedName name="IQ_OPER_INC_EST" hidden="1">"c1688"</definedName>
    <definedName name="IQ_OPER_INC_EST_REUT" hidden="1">"c5340"</definedName>
    <definedName name="IQ_OPER_INC_EST_THOM" hidden="1">"c5112"</definedName>
    <definedName name="IQ_OPER_INC_FIN" hidden="1">"c851"</definedName>
    <definedName name="IQ_OPER_INC_HIGH_EST" hidden="1">"c1690"</definedName>
    <definedName name="IQ_OPER_INC_HIGH_EST_REUT" hidden="1">"c5342"</definedName>
    <definedName name="IQ_OPER_INC_HIGH_EST_THOM" hidden="1">"c5114"</definedName>
    <definedName name="IQ_OPER_INC_INS" hidden="1">"c852"</definedName>
    <definedName name="IQ_OPER_INC_LOW_EST" hidden="1">"c1691"</definedName>
    <definedName name="IQ_OPER_INC_LOW_EST_REUT" hidden="1">"c5343"</definedName>
    <definedName name="IQ_OPER_INC_LOW_EST_THOM" hidden="1">"c5115"</definedName>
    <definedName name="IQ_OPER_INC_MARGIN" hidden="1">"c1448"</definedName>
    <definedName name="IQ_OPER_INC_MEDIAN_EST" hidden="1">"c1689"</definedName>
    <definedName name="IQ_OPER_INC_MEDIAN_EST_REUT" hidden="1">"c5341"</definedName>
    <definedName name="IQ_OPER_INC_MEDIAN_EST_THOM" hidden="1">"c5113"</definedName>
    <definedName name="IQ_OPER_INC_NUM_EST" hidden="1">"c1692"</definedName>
    <definedName name="IQ_OPER_INC_NUM_EST_REUT" hidden="1">"c5344"</definedName>
    <definedName name="IQ_OPER_INC_NUM_EST_THOM" hidden="1">"c5116"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REUT" hidden="1">"c5345"</definedName>
    <definedName name="IQ_OPER_INC_STDDEV_EST_THOM" hidden="1">"c5117"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CERCISED" hidden="1">"c2116"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DJUSTMENTS_COVERED" hidden="1">"c9961"</definedName>
    <definedName name="IQ_OTHER_ADJUSTMENTS_GROUP" hidden="1">"c9947"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PROP" hidden="1">"c8764"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OOMS" hidden="1">"c8788"</definedName>
    <definedName name="IQ_OTHER_SAVINGS_DEPOSITS_FDIC" hidden="1">"c6554"</definedName>
    <definedName name="IQ_OTHER_SQ_FT" hidden="1">"c8780"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"c2127"</definedName>
    <definedName name="IQ_OUTSTANDING_FILING_DATE_TOTAL" hidden="1">"c2107"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NERSHIP_INC_RE" hidden="1">"c12039"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EXCL_FWD_REUT" hidden="1">"c4049"</definedName>
    <definedName name="IQ_PE_EXCL_FWD_THOM" hidden="1">"c4056"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G_FWD_REUT" hidden="1">"c4052"</definedName>
    <definedName name="IQ_PEG_FWD_THOM" hidden="1">"c4059"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2MONTHS_REUT" hidden="1">"c3959"</definedName>
    <definedName name="IQ_PERCENT_CHANGE_EST_5YR_GROWTH_RATE_12MONTHS_THOM" hidden="1">"c5269"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18MONTHS_REUT" hidden="1">"c3960"</definedName>
    <definedName name="IQ_PERCENT_CHANGE_EST_5YR_GROWTH_RATE_18MONTHS_THOM" hidden="1">"c5270"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3MONTHS_REUT" hidden="1">"c3956"</definedName>
    <definedName name="IQ_PERCENT_CHANGE_EST_5YR_GROWTH_RATE_3MONTHS_THOM" hidden="1">"c5266"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6MONTHS_REUT" hidden="1">"c3957"</definedName>
    <definedName name="IQ_PERCENT_CHANGE_EST_5YR_GROWTH_RATE_6MONTHS_THOM" hidden="1">"c5267"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9MONTHS_REUT" hidden="1">"c3958"</definedName>
    <definedName name="IQ_PERCENT_CHANGE_EST_5YR_GROWTH_RATE_9MONTHS_THOM" hidden="1">"c5268"</definedName>
    <definedName name="IQ_PERCENT_CHANGE_EST_5YR_GROWTH_RATE_DAY" hidden="1">"c1846"</definedName>
    <definedName name="IQ_PERCENT_CHANGE_EST_5YR_GROWTH_RATE_DAY_CIQ" hidden="1">"c3785"</definedName>
    <definedName name="IQ_PERCENT_CHANGE_EST_5YR_GROWTH_RATE_DAY_REUT" hidden="1">"c3954"</definedName>
    <definedName name="IQ_PERCENT_CHANGE_EST_5YR_GROWTH_RATE_DAY_THOM" hidden="1">"c5264"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MONTH_REUT" hidden="1">"c3955"</definedName>
    <definedName name="IQ_PERCENT_CHANGE_EST_5YR_GROWTH_RATE_MONTH_THOM" hidden="1">"c5265"</definedName>
    <definedName name="IQ_PERCENT_CHANGE_EST_5YR_GROWTH_RATE_WEEK" hidden="1">"c1847"</definedName>
    <definedName name="IQ_PERCENT_CHANGE_EST_5YR_GROWTH_RATE_WEEK_CIQ" hidden="1">"c3797"</definedName>
    <definedName name="IQ_PERCENT_CHANGE_EST_5YR_GROWTH_RATE_WEEK_REUT" hidden="1">"c5435"</definedName>
    <definedName name="IQ_PERCENT_CHANGE_EST_5YR_GROWTH_RATE_WEEK_THOM" hidden="1">"c5277"</definedName>
    <definedName name="IQ_PERCENT_CHANGE_EST_CFPS_12MONTHS" hidden="1">"c1812"</definedName>
    <definedName name="IQ_PERCENT_CHANGE_EST_CFPS_12MONTHS_CIQ" hidden="1">"c3755"</definedName>
    <definedName name="IQ_PERCENT_CHANGE_EST_CFPS_12MONTHS_REUT" hidden="1">"c3924"</definedName>
    <definedName name="IQ_PERCENT_CHANGE_EST_CFPS_12MONTHS_THOM" hidden="1">"c5234"</definedName>
    <definedName name="IQ_PERCENT_CHANGE_EST_CFPS_18MONTHS" hidden="1">"c1813"</definedName>
    <definedName name="IQ_PERCENT_CHANGE_EST_CFPS_18MONTHS_CIQ" hidden="1">"c3756"</definedName>
    <definedName name="IQ_PERCENT_CHANGE_EST_CFPS_18MONTHS_REUT" hidden="1">"c3925"</definedName>
    <definedName name="IQ_PERCENT_CHANGE_EST_CFPS_18MONTHS_THOM" hidden="1">"c5235"</definedName>
    <definedName name="IQ_PERCENT_CHANGE_EST_CFPS_3MONTHS" hidden="1">"c1809"</definedName>
    <definedName name="IQ_PERCENT_CHANGE_EST_CFPS_3MONTHS_CIQ" hidden="1">"c3752"</definedName>
    <definedName name="IQ_PERCENT_CHANGE_EST_CFPS_3MONTHS_REUT" hidden="1">"c3921"</definedName>
    <definedName name="IQ_PERCENT_CHANGE_EST_CFPS_3MONTHS_THOM" hidden="1">"c5231"</definedName>
    <definedName name="IQ_PERCENT_CHANGE_EST_CFPS_6MONTHS" hidden="1">"c1810"</definedName>
    <definedName name="IQ_PERCENT_CHANGE_EST_CFPS_6MONTHS_CIQ" hidden="1">"c3753"</definedName>
    <definedName name="IQ_PERCENT_CHANGE_EST_CFPS_6MONTHS_REUT" hidden="1">"c3922"</definedName>
    <definedName name="IQ_PERCENT_CHANGE_EST_CFPS_6MONTHS_THOM" hidden="1">"c5232"</definedName>
    <definedName name="IQ_PERCENT_CHANGE_EST_CFPS_9MONTHS" hidden="1">"c1811"</definedName>
    <definedName name="IQ_PERCENT_CHANGE_EST_CFPS_9MONTHS_CIQ" hidden="1">"c3754"</definedName>
    <definedName name="IQ_PERCENT_CHANGE_EST_CFPS_9MONTHS_REUT" hidden="1">"c3923"</definedName>
    <definedName name="IQ_PERCENT_CHANGE_EST_CFPS_9MONTHS_THOM" hidden="1">"c5233"</definedName>
    <definedName name="IQ_PERCENT_CHANGE_EST_CFPS_DAY" hidden="1">"c1806"</definedName>
    <definedName name="IQ_PERCENT_CHANGE_EST_CFPS_DAY_CIQ" hidden="1">"c3750"</definedName>
    <definedName name="IQ_PERCENT_CHANGE_EST_CFPS_DAY_REUT" hidden="1">"c3919"</definedName>
    <definedName name="IQ_PERCENT_CHANGE_EST_CFPS_DAY_THOM" hidden="1">"c5229"</definedName>
    <definedName name="IQ_PERCENT_CHANGE_EST_CFPS_MONTH" hidden="1">"c1808"</definedName>
    <definedName name="IQ_PERCENT_CHANGE_EST_CFPS_MONTH_CIQ" hidden="1">"c3751"</definedName>
    <definedName name="IQ_PERCENT_CHANGE_EST_CFPS_MONTH_REUT" hidden="1">"c3920"</definedName>
    <definedName name="IQ_PERCENT_CHANGE_EST_CFPS_MONTH_THOM" hidden="1">"c5230"</definedName>
    <definedName name="IQ_PERCENT_CHANGE_EST_CFPS_WEEK" hidden="1">"c1807"</definedName>
    <definedName name="IQ_PERCENT_CHANGE_EST_CFPS_WEEK_CIQ" hidden="1">"c3793"</definedName>
    <definedName name="IQ_PERCENT_CHANGE_EST_CFPS_WEEK_REUT" hidden="1">"c3962"</definedName>
    <definedName name="IQ_PERCENT_CHANGE_EST_CFPS_WEEK_THOM" hidden="1">"c5272"</definedName>
    <definedName name="IQ_PERCENT_CHANGE_EST_DPS_12MONTHS" hidden="1">"c1820"</definedName>
    <definedName name="IQ_PERCENT_CHANGE_EST_DPS_12MONTHS_CIQ" hidden="1">"c3762"</definedName>
    <definedName name="IQ_PERCENT_CHANGE_EST_DPS_12MONTHS_REUT" hidden="1">"c3931"</definedName>
    <definedName name="IQ_PERCENT_CHANGE_EST_DPS_12MONTHS_THOM" hidden="1">"c5241"</definedName>
    <definedName name="IQ_PERCENT_CHANGE_EST_DPS_18MONTHS" hidden="1">"c1821"</definedName>
    <definedName name="IQ_PERCENT_CHANGE_EST_DPS_18MONTHS_CIQ" hidden="1">"c3763"</definedName>
    <definedName name="IQ_PERCENT_CHANGE_EST_DPS_18MONTHS_REUT" hidden="1">"c3932"</definedName>
    <definedName name="IQ_PERCENT_CHANGE_EST_DPS_18MONTHS_THOM" hidden="1">"c5242"</definedName>
    <definedName name="IQ_PERCENT_CHANGE_EST_DPS_3MONTHS" hidden="1">"c1817"</definedName>
    <definedName name="IQ_PERCENT_CHANGE_EST_DPS_3MONTHS_CIQ" hidden="1">"c3759"</definedName>
    <definedName name="IQ_PERCENT_CHANGE_EST_DPS_3MONTHS_REUT" hidden="1">"c3928"</definedName>
    <definedName name="IQ_PERCENT_CHANGE_EST_DPS_3MONTHS_THOM" hidden="1">"c5238"</definedName>
    <definedName name="IQ_PERCENT_CHANGE_EST_DPS_6MONTHS" hidden="1">"c1818"</definedName>
    <definedName name="IQ_PERCENT_CHANGE_EST_DPS_6MONTHS_CIQ" hidden="1">"c3760"</definedName>
    <definedName name="IQ_PERCENT_CHANGE_EST_DPS_6MONTHS_REUT" hidden="1">"c3929"</definedName>
    <definedName name="IQ_PERCENT_CHANGE_EST_DPS_6MONTHS_THOM" hidden="1">"c5239"</definedName>
    <definedName name="IQ_PERCENT_CHANGE_EST_DPS_9MONTHS" hidden="1">"c1819"</definedName>
    <definedName name="IQ_PERCENT_CHANGE_EST_DPS_9MONTHS_CIQ" hidden="1">"c3761"</definedName>
    <definedName name="IQ_PERCENT_CHANGE_EST_DPS_9MONTHS_REUT" hidden="1">"c3930"</definedName>
    <definedName name="IQ_PERCENT_CHANGE_EST_DPS_9MONTHS_THOM" hidden="1">"c5240"</definedName>
    <definedName name="IQ_PERCENT_CHANGE_EST_DPS_DAY" hidden="1">"c1814"</definedName>
    <definedName name="IQ_PERCENT_CHANGE_EST_DPS_DAY_CIQ" hidden="1">"c3757"</definedName>
    <definedName name="IQ_PERCENT_CHANGE_EST_DPS_DAY_REUT" hidden="1">"c3926"</definedName>
    <definedName name="IQ_PERCENT_CHANGE_EST_DPS_DAY_THOM" hidden="1">"c5236"</definedName>
    <definedName name="IQ_PERCENT_CHANGE_EST_DPS_MONTH" hidden="1">"c1816"</definedName>
    <definedName name="IQ_PERCENT_CHANGE_EST_DPS_MONTH_CIQ" hidden="1">"c3758"</definedName>
    <definedName name="IQ_PERCENT_CHANGE_EST_DPS_MONTH_REUT" hidden="1">"c3927"</definedName>
    <definedName name="IQ_PERCENT_CHANGE_EST_DPS_MONTH_THOM" hidden="1">"c5237"</definedName>
    <definedName name="IQ_PERCENT_CHANGE_EST_DPS_WEEK" hidden="1">"c1815"</definedName>
    <definedName name="IQ_PERCENT_CHANGE_EST_DPS_WEEK_CIQ" hidden="1">"c3794"</definedName>
    <definedName name="IQ_PERCENT_CHANGE_EST_DPS_WEEK_REUT" hidden="1">"c3963"</definedName>
    <definedName name="IQ_PERCENT_CHANGE_EST_DPS_WEEK_THOM" hidden="1">"c5273"</definedName>
    <definedName name="IQ_PERCENT_CHANGE_EST_EBITDA_12MONTHS" hidden="1">"c1804"</definedName>
    <definedName name="IQ_PERCENT_CHANGE_EST_EBITDA_12MONTHS_CIQ" hidden="1">"c3748"</definedName>
    <definedName name="IQ_PERCENT_CHANGE_EST_EBITDA_12MONTHS_REUT" hidden="1">"c3917"</definedName>
    <definedName name="IQ_PERCENT_CHANGE_EST_EBITDA_12MONTHS_THOM" hidden="1">"c5227"</definedName>
    <definedName name="IQ_PERCENT_CHANGE_EST_EBITDA_18MONTHS" hidden="1">"c1805"</definedName>
    <definedName name="IQ_PERCENT_CHANGE_EST_EBITDA_18MONTHS_CIQ" hidden="1">"c3749"</definedName>
    <definedName name="IQ_PERCENT_CHANGE_EST_EBITDA_18MONTHS_REUT" hidden="1">"c3918"</definedName>
    <definedName name="IQ_PERCENT_CHANGE_EST_EBITDA_18MONTHS_THOM" hidden="1">"c5228"</definedName>
    <definedName name="IQ_PERCENT_CHANGE_EST_EBITDA_3MONTHS" hidden="1">"c1801"</definedName>
    <definedName name="IQ_PERCENT_CHANGE_EST_EBITDA_3MONTHS_CIQ" hidden="1">"c3745"</definedName>
    <definedName name="IQ_PERCENT_CHANGE_EST_EBITDA_3MONTHS_REUT" hidden="1">"c3914"</definedName>
    <definedName name="IQ_PERCENT_CHANGE_EST_EBITDA_3MONTHS_THOM" hidden="1">"c5224"</definedName>
    <definedName name="IQ_PERCENT_CHANGE_EST_EBITDA_6MONTHS" hidden="1">"c1802"</definedName>
    <definedName name="IQ_PERCENT_CHANGE_EST_EBITDA_6MONTHS_CIQ" hidden="1">"c3746"</definedName>
    <definedName name="IQ_PERCENT_CHANGE_EST_EBITDA_6MONTHS_REUT" hidden="1">"c3915"</definedName>
    <definedName name="IQ_PERCENT_CHANGE_EST_EBITDA_6MONTHS_THOM" hidden="1">"c5225"</definedName>
    <definedName name="IQ_PERCENT_CHANGE_EST_EBITDA_9MONTHS" hidden="1">"c1803"</definedName>
    <definedName name="IQ_PERCENT_CHANGE_EST_EBITDA_9MONTHS_CIQ" hidden="1">"c3747"</definedName>
    <definedName name="IQ_PERCENT_CHANGE_EST_EBITDA_9MONTHS_REUT" hidden="1">"c3916"</definedName>
    <definedName name="IQ_PERCENT_CHANGE_EST_EBITDA_9MONTHS_THOM" hidden="1">"c5226"</definedName>
    <definedName name="IQ_PERCENT_CHANGE_EST_EBITDA_DAY" hidden="1">"c1798"</definedName>
    <definedName name="IQ_PERCENT_CHANGE_EST_EBITDA_DAY_CIQ" hidden="1">"c3743"</definedName>
    <definedName name="IQ_PERCENT_CHANGE_EST_EBITDA_DAY_REUT" hidden="1">"c3912"</definedName>
    <definedName name="IQ_PERCENT_CHANGE_EST_EBITDA_DAY_THOM" hidden="1">"c5222"</definedName>
    <definedName name="IQ_PERCENT_CHANGE_EST_EBITDA_MONTH" hidden="1">"c1800"</definedName>
    <definedName name="IQ_PERCENT_CHANGE_EST_EBITDA_MONTH_CIQ" hidden="1">"c3744"</definedName>
    <definedName name="IQ_PERCENT_CHANGE_EST_EBITDA_MONTH_REUT" hidden="1">"c3913"</definedName>
    <definedName name="IQ_PERCENT_CHANGE_EST_EBITDA_MONTH_THOM" hidden="1">"c5223"</definedName>
    <definedName name="IQ_PERCENT_CHANGE_EST_EBITDA_WEEK" hidden="1">"c1799"</definedName>
    <definedName name="IQ_PERCENT_CHANGE_EST_EBITDA_WEEK_CIQ" hidden="1">"c3792"</definedName>
    <definedName name="IQ_PERCENT_CHANGE_EST_EBITDA_WEEK_REUT" hidden="1">"c3961"</definedName>
    <definedName name="IQ_PERCENT_CHANGE_EST_EBITDA_WEEK_THOM" hidden="1">"c5271"</definedName>
    <definedName name="IQ_PERCENT_CHANGE_EST_EPS_12MONTHS" hidden="1">"c1788"</definedName>
    <definedName name="IQ_PERCENT_CHANGE_EST_EPS_12MONTHS_CIQ" hidden="1">"c3733"</definedName>
    <definedName name="IQ_PERCENT_CHANGE_EST_EPS_12MONTHS_REUT" hidden="1">"c3902"</definedName>
    <definedName name="IQ_PERCENT_CHANGE_EST_EPS_12MONTHS_THOM" hidden="1">"c5212"</definedName>
    <definedName name="IQ_PERCENT_CHANGE_EST_EPS_18MONTHS" hidden="1">"c1789"</definedName>
    <definedName name="IQ_PERCENT_CHANGE_EST_EPS_18MONTHS_CIQ" hidden="1">"c3734"</definedName>
    <definedName name="IQ_PERCENT_CHANGE_EST_EPS_18MONTHS_REUT" hidden="1">"c3903"</definedName>
    <definedName name="IQ_PERCENT_CHANGE_EST_EPS_18MONTHS_THOM" hidden="1">"c5213"</definedName>
    <definedName name="IQ_PERCENT_CHANGE_EST_EPS_3MONTHS" hidden="1">"c1785"</definedName>
    <definedName name="IQ_PERCENT_CHANGE_EST_EPS_3MONTHS_CIQ" hidden="1">"c3730"</definedName>
    <definedName name="IQ_PERCENT_CHANGE_EST_EPS_3MONTHS_REUT" hidden="1">"c3899"</definedName>
    <definedName name="IQ_PERCENT_CHANGE_EST_EPS_3MONTHS_THOM" hidden="1">"c5209"</definedName>
    <definedName name="IQ_PERCENT_CHANGE_EST_EPS_6MONTHS" hidden="1">"c1786"</definedName>
    <definedName name="IQ_PERCENT_CHANGE_EST_EPS_6MONTHS_CIQ" hidden="1">"c3731"</definedName>
    <definedName name="IQ_PERCENT_CHANGE_EST_EPS_6MONTHS_REUT" hidden="1">"c3900"</definedName>
    <definedName name="IQ_PERCENT_CHANGE_EST_EPS_6MONTHS_THOM" hidden="1">"c5210"</definedName>
    <definedName name="IQ_PERCENT_CHANGE_EST_EPS_9MONTHS" hidden="1">"c1787"</definedName>
    <definedName name="IQ_PERCENT_CHANGE_EST_EPS_9MONTHS_CIQ" hidden="1">"c3732"</definedName>
    <definedName name="IQ_PERCENT_CHANGE_EST_EPS_9MONTHS_REUT" hidden="1">"c3901"</definedName>
    <definedName name="IQ_PERCENT_CHANGE_EST_EPS_9MONTHS_THOM" hidden="1">"c5211"</definedName>
    <definedName name="IQ_PERCENT_CHANGE_EST_EPS_DAY" hidden="1">"c1782"</definedName>
    <definedName name="IQ_PERCENT_CHANGE_EST_EPS_DAY_CIQ" hidden="1">"c3727"</definedName>
    <definedName name="IQ_PERCENT_CHANGE_EST_EPS_DAY_REUT" hidden="1">"c3896"</definedName>
    <definedName name="IQ_PERCENT_CHANGE_EST_EPS_DAY_THOM" hidden="1">"c5206"</definedName>
    <definedName name="IQ_PERCENT_CHANGE_EST_EPS_MONTH" hidden="1">"c1784"</definedName>
    <definedName name="IQ_PERCENT_CHANGE_EST_EPS_MONTH_CIQ" hidden="1">"c3729"</definedName>
    <definedName name="IQ_PERCENT_CHANGE_EST_EPS_MONTH_REUT" hidden="1">"c3898"</definedName>
    <definedName name="IQ_PERCENT_CHANGE_EST_EPS_MONTH_THOM" hidden="1">"c5208"</definedName>
    <definedName name="IQ_PERCENT_CHANGE_EST_EPS_WEEK" hidden="1">"c1783"</definedName>
    <definedName name="IQ_PERCENT_CHANGE_EST_EPS_WEEK_CIQ" hidden="1">"c3728"</definedName>
    <definedName name="IQ_PERCENT_CHANGE_EST_EPS_WEEK_REUT" hidden="1">"c3897"</definedName>
    <definedName name="IQ_PERCENT_CHANGE_EST_EPS_WEEK_THOM" hidden="1">"c5207"</definedName>
    <definedName name="IQ_PERCENT_CHANGE_EST_FFO_12MONTHS" hidden="1">"c1828"</definedName>
    <definedName name="IQ_PERCENT_CHANGE_EST_FFO_12MONTHS_CIQ" hidden="1">"c3769"</definedName>
    <definedName name="IQ_PERCENT_CHANGE_EST_FFO_12MONTHS_REUT" hidden="1">"c3938"</definedName>
    <definedName name="IQ_PERCENT_CHANGE_EST_FFO_12MONTHS_THOM" hidden="1">"c5248"</definedName>
    <definedName name="IQ_PERCENT_CHANGE_EST_FFO_18MONTHS" hidden="1">"c1829"</definedName>
    <definedName name="IQ_PERCENT_CHANGE_EST_FFO_18MONTHS_CIQ" hidden="1">"c3770"</definedName>
    <definedName name="IQ_PERCENT_CHANGE_EST_FFO_18MONTHS_REUT" hidden="1">"c3939"</definedName>
    <definedName name="IQ_PERCENT_CHANGE_EST_FFO_18MONTHS_THOM" hidden="1">"c5249"</definedName>
    <definedName name="IQ_PERCENT_CHANGE_EST_FFO_3MONTHS" hidden="1">"c1825"</definedName>
    <definedName name="IQ_PERCENT_CHANGE_EST_FFO_3MONTHS_CIQ" hidden="1">"c3766"</definedName>
    <definedName name="IQ_PERCENT_CHANGE_EST_FFO_3MONTHS_REUT" hidden="1">"c3935"</definedName>
    <definedName name="IQ_PERCENT_CHANGE_EST_FFO_3MONTHS_THOM" hidden="1">"c5245"</definedName>
    <definedName name="IQ_PERCENT_CHANGE_EST_FFO_6MONTHS" hidden="1">"c1826"</definedName>
    <definedName name="IQ_PERCENT_CHANGE_EST_FFO_6MONTHS_CIQ" hidden="1">"c3767"</definedName>
    <definedName name="IQ_PERCENT_CHANGE_EST_FFO_6MONTHS_REUT" hidden="1">"c3936"</definedName>
    <definedName name="IQ_PERCENT_CHANGE_EST_FFO_6MONTHS_THOM" hidden="1">"c5246"</definedName>
    <definedName name="IQ_PERCENT_CHANGE_EST_FFO_9MONTHS" hidden="1">"c1827"</definedName>
    <definedName name="IQ_PERCENT_CHANGE_EST_FFO_9MONTHS_CIQ" hidden="1">"c3768"</definedName>
    <definedName name="IQ_PERCENT_CHANGE_EST_FFO_9MONTHS_REUT" hidden="1">"c3937"</definedName>
    <definedName name="IQ_PERCENT_CHANGE_EST_FFO_9MONTHS_THOM" hidden="1">"c5247"</definedName>
    <definedName name="IQ_PERCENT_CHANGE_EST_FFO_DAY" hidden="1">"c1822"</definedName>
    <definedName name="IQ_PERCENT_CHANGE_EST_FFO_DAY_CIQ" hidden="1">"c3764"</definedName>
    <definedName name="IQ_PERCENT_CHANGE_EST_FFO_DAY_REUT" hidden="1">"c3933"</definedName>
    <definedName name="IQ_PERCENT_CHANGE_EST_FFO_DAY_THOM" hidden="1">"c5243"</definedName>
    <definedName name="IQ_PERCENT_CHANGE_EST_FFO_MONTH" hidden="1">"c1824"</definedName>
    <definedName name="IQ_PERCENT_CHANGE_EST_FFO_MONTH_CIQ" hidden="1">"c3765"</definedName>
    <definedName name="IQ_PERCENT_CHANGE_EST_FFO_MONTH_REUT" hidden="1">"c3934"</definedName>
    <definedName name="IQ_PERCENT_CHANGE_EST_FFO_MONTH_THOM" hidden="1">"c5244"</definedName>
    <definedName name="IQ_PERCENT_CHANGE_EST_FFO_WEEK" hidden="1">"c1823"</definedName>
    <definedName name="IQ_PERCENT_CHANGE_EST_FFO_WEEK_CIQ" hidden="1">"c3795"</definedName>
    <definedName name="IQ_PERCENT_CHANGE_EST_FFO_WEEK_REUT" hidden="1">"c3964"</definedName>
    <definedName name="IQ_PERCENT_CHANGE_EST_FFO_WEEK_THOM" hidden="1">"c5274"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2MONTHS_REUT" hidden="1">"c3952"</definedName>
    <definedName name="IQ_PERCENT_CHANGE_EST_PRICE_TARGET_12MONTHS_THOM" hidden="1">"c5262"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18MONTHS_REUT" hidden="1">"c3953"</definedName>
    <definedName name="IQ_PERCENT_CHANGE_EST_PRICE_TARGET_18MONTHS_THOM" hidden="1">"c5263"</definedName>
    <definedName name="IQ_PERCENT_CHANGE_EST_PRICE_TARGET_3MONTHS" hidden="1">"c1841"</definedName>
    <definedName name="IQ_PERCENT_CHANGE_EST_PRICE_TARGET_3MONTHS_CIQ" hidden="1">"c3780"</definedName>
    <definedName name="IQ_PERCENT_CHANGE_EST_PRICE_TARGET_3MONTHS_REUT" hidden="1">"c3949"</definedName>
    <definedName name="IQ_PERCENT_CHANGE_EST_PRICE_TARGET_3MONTHS_THOM" hidden="1">"c5259"</definedName>
    <definedName name="IQ_PERCENT_CHANGE_EST_PRICE_TARGET_6MONTHS" hidden="1">"c1842"</definedName>
    <definedName name="IQ_PERCENT_CHANGE_EST_PRICE_TARGET_6MONTHS_CIQ" hidden="1">"c3781"</definedName>
    <definedName name="IQ_PERCENT_CHANGE_EST_PRICE_TARGET_6MONTHS_REUT" hidden="1">"c3950"</definedName>
    <definedName name="IQ_PERCENT_CHANGE_EST_PRICE_TARGET_6MONTHS_THOM" hidden="1">"c5260"</definedName>
    <definedName name="IQ_PERCENT_CHANGE_EST_PRICE_TARGET_9MONTHS" hidden="1">"c1843"</definedName>
    <definedName name="IQ_PERCENT_CHANGE_EST_PRICE_TARGET_9MONTHS_CIQ" hidden="1">"c3782"</definedName>
    <definedName name="IQ_PERCENT_CHANGE_EST_PRICE_TARGET_9MONTHS_REUT" hidden="1">"c3951"</definedName>
    <definedName name="IQ_PERCENT_CHANGE_EST_PRICE_TARGET_9MONTHS_THOM" hidden="1">"c5261"</definedName>
    <definedName name="IQ_PERCENT_CHANGE_EST_PRICE_TARGET_DAY" hidden="1">"c1838"</definedName>
    <definedName name="IQ_PERCENT_CHANGE_EST_PRICE_TARGET_DAY_CIQ" hidden="1">"c3778"</definedName>
    <definedName name="IQ_PERCENT_CHANGE_EST_PRICE_TARGET_DAY_REUT" hidden="1">"c3947"</definedName>
    <definedName name="IQ_PERCENT_CHANGE_EST_PRICE_TARGET_DAY_THOM" hidden="1">"c5257"</definedName>
    <definedName name="IQ_PERCENT_CHANGE_EST_PRICE_TARGET_MONTH" hidden="1">"c1840"</definedName>
    <definedName name="IQ_PERCENT_CHANGE_EST_PRICE_TARGET_MONTH_CIQ" hidden="1">"c3779"</definedName>
    <definedName name="IQ_PERCENT_CHANGE_EST_PRICE_TARGET_MONTH_REUT" hidden="1">"c3948"</definedName>
    <definedName name="IQ_PERCENT_CHANGE_EST_PRICE_TARGET_MONTH_THOM" hidden="1">"c5258"</definedName>
    <definedName name="IQ_PERCENT_CHANGE_EST_PRICE_TARGET_WEEK" hidden="1">"c1839"</definedName>
    <definedName name="IQ_PERCENT_CHANGE_EST_PRICE_TARGET_WEEK_CIQ" hidden="1">"c3798"</definedName>
    <definedName name="IQ_PERCENT_CHANGE_EST_PRICE_TARGET_WEEK_REUT" hidden="1">"c3967"</definedName>
    <definedName name="IQ_PERCENT_CHANGE_EST_PRICE_TARGET_WEEK_THOM" hidden="1">"c5276"</definedName>
    <definedName name="IQ_PERCENT_CHANGE_EST_RECO_12MONTHS" hidden="1">"c1836"</definedName>
    <definedName name="IQ_PERCENT_CHANGE_EST_RECO_12MONTHS_CIQ" hidden="1">"c3776"</definedName>
    <definedName name="IQ_PERCENT_CHANGE_EST_RECO_12MONTHS_REUT" hidden="1">"c3945"</definedName>
    <definedName name="IQ_PERCENT_CHANGE_EST_RECO_12MONTHS_THOM" hidden="1">"c5255"</definedName>
    <definedName name="IQ_PERCENT_CHANGE_EST_RECO_18MONTHS" hidden="1">"c1837"</definedName>
    <definedName name="IQ_PERCENT_CHANGE_EST_RECO_18MONTHS_CIQ" hidden="1">"c3777"</definedName>
    <definedName name="IQ_PERCENT_CHANGE_EST_RECO_18MONTHS_REUT" hidden="1">"c3946"</definedName>
    <definedName name="IQ_PERCENT_CHANGE_EST_RECO_18MONTHS_THOM" hidden="1">"c5256"</definedName>
    <definedName name="IQ_PERCENT_CHANGE_EST_RECO_3MONTHS" hidden="1">"c1833"</definedName>
    <definedName name="IQ_PERCENT_CHANGE_EST_RECO_3MONTHS_CIQ" hidden="1">"c3773"</definedName>
    <definedName name="IQ_PERCENT_CHANGE_EST_RECO_3MONTHS_REUT" hidden="1">"c3942"</definedName>
    <definedName name="IQ_PERCENT_CHANGE_EST_RECO_3MONTHS_THOM" hidden="1">"c5252"</definedName>
    <definedName name="IQ_PERCENT_CHANGE_EST_RECO_6MONTHS" hidden="1">"c1834"</definedName>
    <definedName name="IQ_PERCENT_CHANGE_EST_RECO_6MONTHS_CIQ" hidden="1">"c3774"</definedName>
    <definedName name="IQ_PERCENT_CHANGE_EST_RECO_6MONTHS_REUT" hidden="1">"c3943"</definedName>
    <definedName name="IQ_PERCENT_CHANGE_EST_RECO_6MONTHS_THOM" hidden="1">"c5253"</definedName>
    <definedName name="IQ_PERCENT_CHANGE_EST_RECO_9MONTHS" hidden="1">"c1835"</definedName>
    <definedName name="IQ_PERCENT_CHANGE_EST_RECO_9MONTHS_CIQ" hidden="1">"c3775"</definedName>
    <definedName name="IQ_PERCENT_CHANGE_EST_RECO_9MONTHS_REUT" hidden="1">"c3944"</definedName>
    <definedName name="IQ_PERCENT_CHANGE_EST_RECO_9MONTHS_THOM" hidden="1">"c5254"</definedName>
    <definedName name="IQ_PERCENT_CHANGE_EST_RECO_DAY" hidden="1">"c1830"</definedName>
    <definedName name="IQ_PERCENT_CHANGE_EST_RECO_DAY_CIQ" hidden="1">"c3771"</definedName>
    <definedName name="IQ_PERCENT_CHANGE_EST_RECO_DAY_REUT" hidden="1">"c3940"</definedName>
    <definedName name="IQ_PERCENT_CHANGE_EST_RECO_DAY_THOM" hidden="1">"c5250"</definedName>
    <definedName name="IQ_PERCENT_CHANGE_EST_RECO_MONTH" hidden="1">"c1832"</definedName>
    <definedName name="IQ_PERCENT_CHANGE_EST_RECO_MONTH_CIQ" hidden="1">"c3772"</definedName>
    <definedName name="IQ_PERCENT_CHANGE_EST_RECO_MONTH_REUT" hidden="1">"c3941"</definedName>
    <definedName name="IQ_PERCENT_CHANGE_EST_RECO_MONTH_THOM" hidden="1">"c5251"</definedName>
    <definedName name="IQ_PERCENT_CHANGE_EST_RECO_WEEK" hidden="1">"c1831"</definedName>
    <definedName name="IQ_PERCENT_CHANGE_EST_RECO_WEEK_CIQ" hidden="1">"c3796"</definedName>
    <definedName name="IQ_PERCENT_CHANGE_EST_RECO_WEEK_REUT" hidden="1">"c3965"</definedName>
    <definedName name="IQ_PERCENT_CHANGE_EST_RECO_WEEK_THOM" hidden="1">"c5275"</definedName>
    <definedName name="IQ_PERCENT_CHANGE_EST_REV_12MONTHS" hidden="1">"c1796"</definedName>
    <definedName name="IQ_PERCENT_CHANGE_EST_REV_12MONTHS_CIQ" hidden="1">"c3741"</definedName>
    <definedName name="IQ_PERCENT_CHANGE_EST_REV_12MONTHS_REUT" hidden="1">"c3910"</definedName>
    <definedName name="IQ_PERCENT_CHANGE_EST_REV_12MONTHS_THOM" hidden="1">"c5220"</definedName>
    <definedName name="IQ_PERCENT_CHANGE_EST_REV_18MONTHS" hidden="1">"c1797"</definedName>
    <definedName name="IQ_PERCENT_CHANGE_EST_REV_18MONTHS_CIQ" hidden="1">"c3742"</definedName>
    <definedName name="IQ_PERCENT_CHANGE_EST_REV_18MONTHS_REUT" hidden="1">"c3911"</definedName>
    <definedName name="IQ_PERCENT_CHANGE_EST_REV_18MONTHS_THOM" hidden="1">"c5221"</definedName>
    <definedName name="IQ_PERCENT_CHANGE_EST_REV_3MONTHS" hidden="1">"c1793"</definedName>
    <definedName name="IQ_PERCENT_CHANGE_EST_REV_3MONTHS_CIQ" hidden="1">"c3738"</definedName>
    <definedName name="IQ_PERCENT_CHANGE_EST_REV_3MONTHS_REUT" hidden="1">"c3907"</definedName>
    <definedName name="IQ_PERCENT_CHANGE_EST_REV_3MONTHS_THOM" hidden="1">"c5217"</definedName>
    <definedName name="IQ_PERCENT_CHANGE_EST_REV_6MONTHS" hidden="1">"c1794"</definedName>
    <definedName name="IQ_PERCENT_CHANGE_EST_REV_6MONTHS_CIQ" hidden="1">"c3739"</definedName>
    <definedName name="IQ_PERCENT_CHANGE_EST_REV_6MONTHS_REUT" hidden="1">"c3908"</definedName>
    <definedName name="IQ_PERCENT_CHANGE_EST_REV_6MONTHS_THOM" hidden="1">"c5218"</definedName>
    <definedName name="IQ_PERCENT_CHANGE_EST_REV_9MONTHS" hidden="1">"c1795"</definedName>
    <definedName name="IQ_PERCENT_CHANGE_EST_REV_9MONTHS_CIQ" hidden="1">"c3740"</definedName>
    <definedName name="IQ_PERCENT_CHANGE_EST_REV_9MONTHS_REUT" hidden="1">"c3909"</definedName>
    <definedName name="IQ_PERCENT_CHANGE_EST_REV_9MONTHS_THOM" hidden="1">"c5219"</definedName>
    <definedName name="IQ_PERCENT_CHANGE_EST_REV_DAY" hidden="1">"c1790"</definedName>
    <definedName name="IQ_PERCENT_CHANGE_EST_REV_DAY_CIQ" hidden="1">"c3735"</definedName>
    <definedName name="IQ_PERCENT_CHANGE_EST_REV_DAY_REUT" hidden="1">"c3904"</definedName>
    <definedName name="IQ_PERCENT_CHANGE_EST_REV_DAY_THOM" hidden="1">"c5214"</definedName>
    <definedName name="IQ_PERCENT_CHANGE_EST_REV_MONTH" hidden="1">"c1792"</definedName>
    <definedName name="IQ_PERCENT_CHANGE_EST_REV_MONTH_CIQ" hidden="1">"c3737"</definedName>
    <definedName name="IQ_PERCENT_CHANGE_EST_REV_MONTH_REUT" hidden="1">"c3906"</definedName>
    <definedName name="IQ_PERCENT_CHANGE_EST_REV_MONTH_THOM" hidden="1">"c5216"</definedName>
    <definedName name="IQ_PERCENT_CHANGE_EST_REV_WEEK" hidden="1">"c1791"</definedName>
    <definedName name="IQ_PERCENT_CHANGE_EST_REV_WEEK_CIQ" hidden="1">"c3736"</definedName>
    <definedName name="IQ_PERCENT_CHANGE_EST_REV_WEEK_REUT" hidden="1">"c3905"</definedName>
    <definedName name="IQ_PERCENT_CHANGE_EST_REV_WEEK_THOM" hidden="1">"c5215"</definedName>
    <definedName name="IQ_PERCENT_INSURED_FDIC" hidden="1">"c6374"</definedName>
    <definedName name="IQ_PERIODDATE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"c10027"</definedName>
    <definedName name="IQ_PHARMBIO_NUMBER_PROD__CLINICAL_DEV" hidden="1">"c10022"</definedName>
    <definedName name="IQ_PHARMBIO_NUMBER_PROD__LAUNCHED_DURING_PERIOD" hidden="1">"c10028"</definedName>
    <definedName name="IQ_PHARMBIO_NUMBER_PROD__PHASE_I" hidden="1">"c10023"</definedName>
    <definedName name="IQ_PHARMBIO_NUMBER_PROD__PHASE_II" hidden="1">"c10024"</definedName>
    <definedName name="IQ_PHARMBIO_NUMBER_PROD__PHASE_III" hidden="1">"c10025"</definedName>
    <definedName name="IQ_PHARMBIO_NUMBER_PROD__PRE_CLINICAL_TRIALS" hidden="1">"c10021"</definedName>
    <definedName name="IQ_PHARMBIO_NUMBER_PROD__PRE_REGISTRATION" hidden="1">"c10026"</definedName>
    <definedName name="IQ_PHARMBIO_NUMBER_PROD__RESEARCH_DEV" hidden="1">"c10020"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CIQ" hidden="1">"c3799"</definedName>
    <definedName name="IQ_POTENTIAL_UPSIDE_REUT" hidden="1">"c3968"</definedName>
    <definedName name="IQ_POTENTIAL_UPSIDE_THOM" hidden="1">"c5279"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CIQ" hidden="1">"c5064"</definedName>
    <definedName name="IQ_PRE_TAX_ACT_OR_EST_REUT" hidden="1">"c5467"</definedName>
    <definedName name="IQ_PRE_TAX_ACT_OR_EST_THOM" hidden="1">"c5305"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EST_CIQ" hidden="1">"c4688"</definedName>
    <definedName name="IQ_PRETAX_GW_INC_EST_REUT" hidden="1">"c5354"</definedName>
    <definedName name="IQ_PRETAX_GW_INC_HIGH_EST" hidden="1">"c1704"</definedName>
    <definedName name="IQ_PRETAX_GW_INC_HIGH_EST_CIQ" hidden="1">"c4690"</definedName>
    <definedName name="IQ_PRETAX_GW_INC_HIGH_EST_REUT" hidden="1">"c5356"</definedName>
    <definedName name="IQ_PRETAX_GW_INC_LOW_EST" hidden="1">"c1705"</definedName>
    <definedName name="IQ_PRETAX_GW_INC_LOW_EST_CIQ" hidden="1">"c4691"</definedName>
    <definedName name="IQ_PRETAX_GW_INC_LOW_EST_REUT" hidden="1">"c5357"</definedName>
    <definedName name="IQ_PRETAX_GW_INC_MEDIAN_EST" hidden="1">"c1703"</definedName>
    <definedName name="IQ_PRETAX_GW_INC_MEDIAN_EST_CIQ" hidden="1">"c4689"</definedName>
    <definedName name="IQ_PRETAX_GW_INC_MEDIAN_EST_REUT" hidden="1">"c5355"</definedName>
    <definedName name="IQ_PRETAX_GW_INC_NUM_EST" hidden="1">"c1706"</definedName>
    <definedName name="IQ_PRETAX_GW_INC_NUM_EST_CIQ" hidden="1">"c4692"</definedName>
    <definedName name="IQ_PRETAX_GW_INC_NUM_EST_REUT" hidden="1">"c5358"</definedName>
    <definedName name="IQ_PRETAX_GW_INC_STDDEV_EST" hidden="1">"c1707"</definedName>
    <definedName name="IQ_PRETAX_GW_INC_STDDEV_EST_CIQ" hidden="1">"c4693"</definedName>
    <definedName name="IQ_PRETAX_GW_INC_STDDEV_EST_REUT" hidden="1">"c5359"</definedName>
    <definedName name="IQ_PRETAX_INC_EST" hidden="1">"c1695"</definedName>
    <definedName name="IQ_PRETAX_INC_EST_CIQ" hidden="1">"c4681"</definedName>
    <definedName name="IQ_PRETAX_INC_EST_REUT" hidden="1">"c5347"</definedName>
    <definedName name="IQ_PRETAX_INC_EST_THOM" hidden="1">"c5119"</definedName>
    <definedName name="IQ_PRETAX_INC_HIGH_EST" hidden="1">"c1697"</definedName>
    <definedName name="IQ_PRETAX_INC_HIGH_EST_CIQ" hidden="1">"c4683"</definedName>
    <definedName name="IQ_PRETAX_INC_HIGH_EST_REUT" hidden="1">"c5349"</definedName>
    <definedName name="IQ_PRETAX_INC_HIGH_EST_THOM" hidden="1">"c5121"</definedName>
    <definedName name="IQ_PRETAX_INC_LOW_EST" hidden="1">"c1698"</definedName>
    <definedName name="IQ_PRETAX_INC_LOW_EST_CIQ" hidden="1">"c4684"</definedName>
    <definedName name="IQ_PRETAX_INC_LOW_EST_REUT" hidden="1">"c5350"</definedName>
    <definedName name="IQ_PRETAX_INC_LOW_EST_THOM" hidden="1">"c5122"</definedName>
    <definedName name="IQ_PRETAX_INC_MEDIAN_EST" hidden="1">"c1696"</definedName>
    <definedName name="IQ_PRETAX_INC_MEDIAN_EST_CIQ" hidden="1">"c4682"</definedName>
    <definedName name="IQ_PRETAX_INC_MEDIAN_EST_REUT" hidden="1">"c5348"</definedName>
    <definedName name="IQ_PRETAX_INC_MEDIAN_EST_THOM" hidden="1">"c5120"</definedName>
    <definedName name="IQ_PRETAX_INC_NUM_EST" hidden="1">"c1699"</definedName>
    <definedName name="IQ_PRETAX_INC_NUM_EST_CIQ" hidden="1">"c4685"</definedName>
    <definedName name="IQ_PRETAX_INC_NUM_EST_REUT" hidden="1">"c5351"</definedName>
    <definedName name="IQ_PRETAX_INC_NUM_EST_THOM" hidden="1">"c5123"</definedName>
    <definedName name="IQ_PRETAX_INC_STDDEV_EST" hidden="1">"c1700"</definedName>
    <definedName name="IQ_PRETAX_INC_STDDEV_EST_CIQ" hidden="1">"c4686"</definedName>
    <definedName name="IQ_PRETAX_INC_STDDEV_EST_REUT" hidden="1">"c5352"</definedName>
    <definedName name="IQ_PRETAX_INC_STDDEV_EST_THOM" hidden="1">"c5124"</definedName>
    <definedName name="IQ_PRETAX_REPORT_INC_EST" hidden="1">"c1709"</definedName>
    <definedName name="IQ_PRETAX_REPORT_INC_EST_CIQ" hidden="1">"c4695"</definedName>
    <definedName name="IQ_PRETAX_REPORT_INC_EST_REUT" hidden="1">"c5361"</definedName>
    <definedName name="IQ_PRETAX_REPORT_INC_HIGH_EST" hidden="1">"c1711"</definedName>
    <definedName name="IQ_PRETAX_REPORT_INC_HIGH_EST_CIQ" hidden="1">"c4697"</definedName>
    <definedName name="IQ_PRETAX_REPORT_INC_HIGH_EST_REUT" hidden="1">"c5363"</definedName>
    <definedName name="IQ_PRETAX_REPORT_INC_LOW_EST" hidden="1">"c1712"</definedName>
    <definedName name="IQ_PRETAX_REPORT_INC_LOW_EST_CIQ" hidden="1">"c4698"</definedName>
    <definedName name="IQ_PRETAX_REPORT_INC_LOW_EST_REUT" hidden="1">"c5364"</definedName>
    <definedName name="IQ_PRETAX_REPORT_INC_MEDIAN_EST" hidden="1">"c1710"</definedName>
    <definedName name="IQ_PRETAX_REPORT_INC_MEDIAN_EST_CIQ" hidden="1">"c4696"</definedName>
    <definedName name="IQ_PRETAX_REPORT_INC_MEDIAN_EST_REUT" hidden="1">"c5362"</definedName>
    <definedName name="IQ_PRETAX_REPORT_INC_NUM_EST" hidden="1">"c1713"</definedName>
    <definedName name="IQ_PRETAX_REPORT_INC_NUM_EST_CIQ" hidden="1">"c4699"</definedName>
    <definedName name="IQ_PRETAX_REPORT_INC_NUM_EST_REUT" hidden="1">"c5365"</definedName>
    <definedName name="IQ_PRETAX_REPORT_INC_STDDEV_EST" hidden="1">"c1714"</definedName>
    <definedName name="IQ_PRETAX_REPORT_INC_STDDEV_EST_CIQ" hidden="1">"c4700"</definedName>
    <definedName name="IQ_PRETAX_REPORT_INC_STDDEV_EST_REUT" hidden="1">"c5366"</definedName>
    <definedName name="IQ_PRETAX_RETURN_ASSETS_FDIC" hidden="1">"c6731"</definedName>
    <definedName name="IQ_PRICE_CFPS_FWD" hidden="1">"c2237"</definedName>
    <definedName name="IQ_PRICE_CFPS_FWD_CIQ" hidden="1">"c4046"</definedName>
    <definedName name="IQ_PRICE_CFPS_FWD_REUT" hidden="1">"c4053"</definedName>
    <definedName name="IQ_PRICE_CFPS_FWD_THOM" hidden="1">"c4060"</definedName>
    <definedName name="IQ_PRICE_OVER_BVPS" hidden="1">"c1412"</definedName>
    <definedName name="IQ_PRICE_OVER_LTM_EPS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BOTTOM_UP" hidden="1">"c5486"</definedName>
    <definedName name="IQ_PRICE_TARGET_BOTTOM_UP_REUT" hidden="1">"c5494"</definedName>
    <definedName name="IQ_PRICE_TARGET_CIQ" hidden="1">"c3613"</definedName>
    <definedName name="IQ_PRICE_TARGET_REUT" hidden="1">"c3631"</definedName>
    <definedName name="IQ_PRICE_TARGET_THOM" hidden="1">"c3649"</definedName>
    <definedName name="IQ_PRICE_VOLATILITY_EST" hidden="1">"c4492"</definedName>
    <definedName name="IQ_PRICE_VOLATILITY_EST_CIQ" hidden="1">"c5030"</definedName>
    <definedName name="IQ_PRICE_VOLATILITY_HIGH" hidden="1">"c4493"</definedName>
    <definedName name="IQ_PRICE_VOLATILITY_HIGH_CIQ" hidden="1">"c5031"</definedName>
    <definedName name="IQ_PRICE_VOLATILITY_LOW" hidden="1">"c4494"</definedName>
    <definedName name="IQ_PRICE_VOLATILITY_LOW_CIQ" hidden="1">"c5032"</definedName>
    <definedName name="IQ_PRICE_VOLATILITY_MEDIAN" hidden="1">"c4495"</definedName>
    <definedName name="IQ_PRICE_VOLATILITY_MEDIAN_CIQ" hidden="1">"c5033"</definedName>
    <definedName name="IQ_PRICE_VOLATILITY_NUM" hidden="1">"c4496"</definedName>
    <definedName name="IQ_PRICE_VOLATILITY_NUM_CIQ" hidden="1">"c5034"</definedName>
    <definedName name="IQ_PRICE_VOLATILITY_STDDEV" hidden="1">"c4497"</definedName>
    <definedName name="IQ_PRICE_VOLATILITY_STDDEV_CIQ" hidden="1">"c5035"</definedName>
    <definedName name="IQ_PRICEDATE" hidden="1">"c1069"</definedName>
    <definedName name="IQ_PRICEDATETIME" hidden="1">"IQ_PRICEDATETIME"</definedName>
    <definedName name="IQ_PRICING_DATE" hidden="1">"c1613"</definedName>
    <definedName name="IQ_PRIMARY_EPS_TYPE" hidden="1">"c4498"</definedName>
    <definedName name="IQ_PRIMARY_EPS_TYPE_CIQ" hidden="1">"c5036"</definedName>
    <definedName name="IQ_PRIMARY_EPS_TYPE_REUT" hidden="1">"c5481"</definedName>
    <definedName name="IQ_PRIMARY_EPS_TYPE_THOM" hidden="1">"c5297"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FESSIONAL" hidden="1">"c1071"</definedName>
    <definedName name="IQ_PROFESSIONAL_TITLE" hidden="1">"c1072"</definedName>
    <definedName name="IQ_PROFIT_AFTER_COST_CAPITAL_NEW_BUSINESS" hidden="1">"c9969"</definedName>
    <definedName name="IQ_PROFIT_BEFORE_COST_CAPITAL_NEW_BUSINESS" hidden="1">"c9967"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DEPR_AMORT" hidden="1">"c8750"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GAIN_LOSS_SALE_ASSETS" hidden="1">"c8751"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ACT_OR_EST_CIQ" hidden="1">"c5045"</definedName>
    <definedName name="IQ_RECURRING_PROFIT_EST" hidden="1">"c4499"</definedName>
    <definedName name="IQ_RECURRING_PROFIT_EST_CIQ" hidden="1">"c5037"</definedName>
    <definedName name="IQ_RECURRING_PROFIT_GUIDANCE" hidden="1">"c4500"</definedName>
    <definedName name="IQ_RECURRING_PROFIT_GUIDANCE_CIQ" hidden="1">"c5038"</definedName>
    <definedName name="IQ_RECURRING_PROFIT_HIGH_EST" hidden="1">"c4501"</definedName>
    <definedName name="IQ_RECURRING_PROFIT_HIGH_EST_CIQ" hidden="1">"c5039"</definedName>
    <definedName name="IQ_RECURRING_PROFIT_HIGH_GUIDANCE" hidden="1">"c4179"</definedName>
    <definedName name="IQ_RECURRING_PROFIT_HIGH_GUIDANCE_CIQ" hidden="1">"c4591"</definedName>
    <definedName name="IQ_RECURRING_PROFIT_LOW_EST" hidden="1">"c4502"</definedName>
    <definedName name="IQ_RECURRING_PROFIT_LOW_EST_CIQ" hidden="1">"c5040"</definedName>
    <definedName name="IQ_RECURRING_PROFIT_LOW_GUIDANCE" hidden="1">"c4219"</definedName>
    <definedName name="IQ_RECURRING_PROFIT_LOW_GUIDANCE_CIQ" hidden="1">"c4631"</definedName>
    <definedName name="IQ_RECURRING_PROFIT_MEDIAN_EST" hidden="1">"c4503"</definedName>
    <definedName name="IQ_RECURRING_PROFIT_MEDIAN_EST_CIQ" hidden="1">"c5041"</definedName>
    <definedName name="IQ_RECURRING_PROFIT_NUM_EST" hidden="1">"c4504"</definedName>
    <definedName name="IQ_RECURRING_PROFIT_NUM_EST_CIQ" hidden="1">"c5042"</definedName>
    <definedName name="IQ_RECURRING_PROFIT_SHARE_ACT_OR_EST" hidden="1">"c4508"</definedName>
    <definedName name="IQ_RECURRING_PROFIT_SHARE_ACT_OR_EST_CIQ" hidden="1">"c5046"</definedName>
    <definedName name="IQ_RECURRING_PROFIT_SHARE_EST" hidden="1">"c4506"</definedName>
    <definedName name="IQ_RECURRING_PROFIT_SHARE_EST_CIQ" hidden="1">"c5044"</definedName>
    <definedName name="IQ_RECURRING_PROFIT_SHARE_GUIDANCE" hidden="1">"c4509"</definedName>
    <definedName name="IQ_RECURRING_PROFIT_SHARE_GUIDANCE_CIQ" hidden="1">"c5047"</definedName>
    <definedName name="IQ_RECURRING_PROFIT_SHARE_HIGH_EST" hidden="1">"c4510"</definedName>
    <definedName name="IQ_RECURRING_PROFIT_SHARE_HIGH_EST_CIQ" hidden="1">"c5048"</definedName>
    <definedName name="IQ_RECURRING_PROFIT_SHARE_HIGH_GUIDANCE" hidden="1">"c4200"</definedName>
    <definedName name="IQ_RECURRING_PROFIT_SHARE_HIGH_GUIDANCE_CIQ" hidden="1">"c4612"</definedName>
    <definedName name="IQ_RECURRING_PROFIT_SHARE_LOW_EST" hidden="1">"c4511"</definedName>
    <definedName name="IQ_RECURRING_PROFIT_SHARE_LOW_EST_CIQ" hidden="1">"c5049"</definedName>
    <definedName name="IQ_RECURRING_PROFIT_SHARE_LOW_GUIDANCE" hidden="1">"c4240"</definedName>
    <definedName name="IQ_RECURRING_PROFIT_SHARE_LOW_GUIDANCE_CIQ" hidden="1">"c4652"</definedName>
    <definedName name="IQ_RECURRING_PROFIT_SHARE_MEDIAN_EST" hidden="1">"c4512"</definedName>
    <definedName name="IQ_RECURRING_PROFIT_SHARE_MEDIAN_EST_CIQ" hidden="1">"c5050"</definedName>
    <definedName name="IQ_RECURRING_PROFIT_SHARE_NUM_EST" hidden="1">"c4513"</definedName>
    <definedName name="IQ_RECURRING_PROFIT_SHARE_NUM_EST_CIQ" hidden="1">"c5051"</definedName>
    <definedName name="IQ_RECURRING_PROFIT_SHARE_STDDEV_EST" hidden="1">"c4514"</definedName>
    <definedName name="IQ_RECURRING_PROFIT_SHARE_STDDEV_EST_CIQ" hidden="1">"c5052"</definedName>
    <definedName name="IQ_RECURRING_PROFIT_STDDEV_EST" hidden="1">"c4516"</definedName>
    <definedName name="IQ_RECURRING_PROFIT_STDDEV_EST_CIQ" hidden="1">"c5054"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ACT_OR_EST" hidden="1">"c3585"</definedName>
    <definedName name="IQ_RETURN_ASSETS_ACT_OR_EST_REUT" hidden="1">"c5475"</definedName>
    <definedName name="IQ_RETURN_ASSETS_ACT_OR_EST_THOM" hidden="1">"c5310"</definedName>
    <definedName name="IQ_RETURN_ASSETS_BANK" hidden="1">"c1114"</definedName>
    <definedName name="IQ_RETURN_ASSETS_BROK" hidden="1">"c1115"</definedName>
    <definedName name="IQ_RETURN_ASSETS_EST" hidden="1">"c3529"</definedName>
    <definedName name="IQ_RETURN_ASSETS_EST_CIQ" hidden="1">"c3828"</definedName>
    <definedName name="IQ_RETURN_ASSETS_EST_REUT" hidden="1">"c3990"</definedName>
    <definedName name="IQ_RETURN_ASSETS_EST_THOM" hidden="1">"c4034"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GUIDANCE_CIQ" hidden="1">"c5055"</definedName>
    <definedName name="IQ_RETURN_ASSETS_HIGH_EST" hidden="1">"c3530"</definedName>
    <definedName name="IQ_RETURN_ASSETS_HIGH_EST_CIQ" hidden="1">"c3830"</definedName>
    <definedName name="IQ_RETURN_ASSETS_HIGH_EST_REUT" hidden="1">"c3992"</definedName>
    <definedName name="IQ_RETURN_ASSETS_HIGH_EST_THOM" hidden="1">"c4036"</definedName>
    <definedName name="IQ_RETURN_ASSETS_HIGH_GUIDANCE" hidden="1">"c4183"</definedName>
    <definedName name="IQ_RETURN_ASSETS_HIGH_GUIDANCE_CIQ" hidden="1">"c4595"</definedName>
    <definedName name="IQ_RETURN_ASSETS_LOW_EST" hidden="1">"c3531"</definedName>
    <definedName name="IQ_RETURN_ASSETS_LOW_EST_CIQ" hidden="1">"c3831"</definedName>
    <definedName name="IQ_RETURN_ASSETS_LOW_EST_REUT" hidden="1">"c3993"</definedName>
    <definedName name="IQ_RETURN_ASSETS_LOW_EST_THOM" hidden="1">"c4037"</definedName>
    <definedName name="IQ_RETURN_ASSETS_LOW_GUIDANCE" hidden="1">"c4223"</definedName>
    <definedName name="IQ_RETURN_ASSETS_LOW_GUIDANCE_CIQ" hidden="1">"c4635"</definedName>
    <definedName name="IQ_RETURN_ASSETS_MEDIAN_EST" hidden="1">"c3532"</definedName>
    <definedName name="IQ_RETURN_ASSETS_MEDIAN_EST_CIQ" hidden="1">"c3829"</definedName>
    <definedName name="IQ_RETURN_ASSETS_MEDIAN_EST_REUT" hidden="1">"c3991"</definedName>
    <definedName name="IQ_RETURN_ASSETS_MEDIAN_EST_THOM" hidden="1">"c4035"</definedName>
    <definedName name="IQ_RETURN_ASSETS_NUM_EST" hidden="1">"c3527"</definedName>
    <definedName name="IQ_RETURN_ASSETS_NUM_EST_CIQ" hidden="1">"c3832"</definedName>
    <definedName name="IQ_RETURN_ASSETS_NUM_EST_REUT" hidden="1">"c3994"</definedName>
    <definedName name="IQ_RETURN_ASSETS_NUM_EST_THOM" hidden="1">"c4038"</definedName>
    <definedName name="IQ_RETURN_ASSETS_STDDEV_EST" hidden="1">"c3528"</definedName>
    <definedName name="IQ_RETURN_ASSETS_STDDEV_EST_CIQ" hidden="1">"c3833"</definedName>
    <definedName name="IQ_RETURN_ASSETS_STDDEV_EST_REUT" hidden="1">"c3995"</definedName>
    <definedName name="IQ_RETURN_ASSETS_STDDEV_EST_THOM" hidden="1">"c4039"</definedName>
    <definedName name="IQ_RETURN_CAPITAL" hidden="1">"c1117"</definedName>
    <definedName name="IQ_RETURN_EMBEDDED_VALUE" hidden="1">"c9974"</definedName>
    <definedName name="IQ_RETURN_EQUITY" hidden="1">"c1118"</definedName>
    <definedName name="IQ_RETURN_EQUITY_ACT_OR_EST" hidden="1">"c3586"</definedName>
    <definedName name="IQ_RETURN_EQUITY_ACT_OR_EST_REUT" hidden="1">"c5476"</definedName>
    <definedName name="IQ_RETURN_EQUITY_ACT_OR_EST_THOM" hidden="1">"c5311"</definedName>
    <definedName name="IQ_RETURN_EQUITY_BANK" hidden="1">"c1119"</definedName>
    <definedName name="IQ_RETURN_EQUITY_BROK" hidden="1">"c1120"</definedName>
    <definedName name="IQ_RETURN_EQUITY_EST" hidden="1">"c3535"</definedName>
    <definedName name="IQ_RETURN_EQUITY_EST_CIQ" hidden="1">"c3821"</definedName>
    <definedName name="IQ_RETURN_EQUITY_EST_REUT" hidden="1">"c3983"</definedName>
    <definedName name="IQ_RETURN_EQUITY_EST_THOM" hidden="1">"c5479"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GUIDANCE_CIQ" hidden="1">"c5056"</definedName>
    <definedName name="IQ_RETURN_EQUITY_HIGH_EST" hidden="1">"c3536"</definedName>
    <definedName name="IQ_RETURN_EQUITY_HIGH_EST_CIQ" hidden="1">"c3823"</definedName>
    <definedName name="IQ_RETURN_EQUITY_HIGH_EST_REUT" hidden="1">"c3985"</definedName>
    <definedName name="IQ_RETURN_EQUITY_HIGH_EST_THOM" hidden="1">"c5283"</definedName>
    <definedName name="IQ_RETURN_EQUITY_HIGH_GUIDANCE" hidden="1">"c4182"</definedName>
    <definedName name="IQ_RETURN_EQUITY_HIGH_GUIDANCE_CIQ" hidden="1">"c4594"</definedName>
    <definedName name="IQ_RETURN_EQUITY_LOW_EST" hidden="1">"c3537"</definedName>
    <definedName name="IQ_RETURN_EQUITY_LOW_EST_CIQ" hidden="1">"c3824"</definedName>
    <definedName name="IQ_RETURN_EQUITY_LOW_EST_REUT" hidden="1">"c3986"</definedName>
    <definedName name="IQ_RETURN_EQUITY_LOW_EST_THOM" hidden="1">"c5284"</definedName>
    <definedName name="IQ_RETURN_EQUITY_LOW_GUIDANCE" hidden="1">"c4222"</definedName>
    <definedName name="IQ_RETURN_EQUITY_LOW_GUIDANCE_CIQ" hidden="1">"c4634"</definedName>
    <definedName name="IQ_RETURN_EQUITY_MEDIAN_EST" hidden="1">"c3538"</definedName>
    <definedName name="IQ_RETURN_EQUITY_MEDIAN_EST_CIQ" hidden="1">"c3822"</definedName>
    <definedName name="IQ_RETURN_EQUITY_MEDIAN_EST_REUT" hidden="1">"c3984"</definedName>
    <definedName name="IQ_RETURN_EQUITY_MEDIAN_EST_THOM" hidden="1">"c5282"</definedName>
    <definedName name="IQ_RETURN_EQUITY_NUM_EST" hidden="1">"c3533"</definedName>
    <definedName name="IQ_RETURN_EQUITY_NUM_EST_CIQ" hidden="1">"c3825"</definedName>
    <definedName name="IQ_RETURN_EQUITY_NUM_EST_REUT" hidden="1">"c3987"</definedName>
    <definedName name="IQ_RETURN_EQUITY_NUM_EST_THOM" hidden="1">"c5285"</definedName>
    <definedName name="IQ_RETURN_EQUITY_STDDEV_EST" hidden="1">"c3534"</definedName>
    <definedName name="IQ_RETURN_EQUITY_STDDEV_EST_CIQ" hidden="1">"c3826"</definedName>
    <definedName name="IQ_RETURN_EQUITY_STDDEV_EST_REUT" hidden="1">"c3988"</definedName>
    <definedName name="IQ_RETURN_EQUITY_STDDEV_EST_THOM" hidden="1">"c5286"</definedName>
    <definedName name="IQ_RETURN_INVESTMENT" hidden="1">"c1421"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STDDEV_EST_REUT" hidden="1">"c3639"</definedName>
    <definedName name="IQ_REV_STDDEV_EST_THOM" hidden="1">"c3657"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ACT_OR_EST" hidden="1">"c2214"</definedName>
    <definedName name="IQ_REVENUE_ACT_OR_EST_CIQ" hidden="1">"c5059"</definedName>
    <definedName name="IQ_REVENUE_ACT_OR_EST_REUT" hidden="1">"c5461"</definedName>
    <definedName name="IQ_REVENUE_ACT_OR_EST_THOM" hidden="1">"c5299"</definedName>
    <definedName name="IQ_REVENUE_EST" hidden="1">"c1126"</definedName>
    <definedName name="IQ_REVENUE_EST_BOTTOM_UP" hidden="1">"c5488"</definedName>
    <definedName name="IQ_REVENUE_EST_BOTTOM_UP_REUT" hidden="1">"c5496"</definedName>
    <definedName name="IQ_REVENUE_EST_CIQ" hidden="1">"c3616"</definedName>
    <definedName name="IQ_REVENUE_EST_REUT" hidden="1">"c3634"</definedName>
    <definedName name="IQ_REVENUE_EST_THOM" hidden="1">"c3652"</definedName>
    <definedName name="IQ_REVENUE_GUIDANCE" hidden="1">"c4519"</definedName>
    <definedName name="IQ_REVENUE_GUIDANCE_CIQ" hidden="1">"c5057"</definedName>
    <definedName name="IQ_REVENUE_HIGH_EST" hidden="1">"c1127"</definedName>
    <definedName name="IQ_REVENUE_HIGH_EST_CIQ" hidden="1">"c3618"</definedName>
    <definedName name="IQ_REVENUE_HIGH_EST_REUT" hidden="1">"c3636"</definedName>
    <definedName name="IQ_REVENUE_HIGH_EST_THOM" hidden="1">"c3654"</definedName>
    <definedName name="IQ_REVENUE_HIGH_GUIDANCE" hidden="1">"c4169"</definedName>
    <definedName name="IQ_REVENUE_HIGH_GUIDANCE_CIQ" hidden="1">"c4581"</definedName>
    <definedName name="IQ_REVENUE_LOW_EST" hidden="1">"c1128"</definedName>
    <definedName name="IQ_REVENUE_LOW_EST_CIQ" hidden="1">"c3619"</definedName>
    <definedName name="IQ_REVENUE_LOW_EST_REUT" hidden="1">"c3637"</definedName>
    <definedName name="IQ_REVENUE_LOW_EST_THOM" hidden="1">"c3655"</definedName>
    <definedName name="IQ_REVENUE_LOW_GUIDANCE" hidden="1">"c4209"</definedName>
    <definedName name="IQ_REVENUE_LOW_GUIDANCE_CIQ" hidden="1">"c4621"</definedName>
    <definedName name="IQ_REVENUE_MEDIAN_EST" hidden="1">"c1662"</definedName>
    <definedName name="IQ_REVENUE_MEDIAN_EST_CIQ" hidden="1">"c3617"</definedName>
    <definedName name="IQ_REVENUE_MEDIAN_EST_REUT" hidden="1">"c3635"</definedName>
    <definedName name="IQ_REVENUE_MEDIAN_EST_THOM" hidden="1">"c3653"</definedName>
    <definedName name="IQ_REVENUE_NUM_EST" hidden="1">"c1129"</definedName>
    <definedName name="IQ_REVENUE_NUM_EST_CIQ" hidden="1">"c3620"</definedName>
    <definedName name="IQ_REVENUE_NUM_EST_REUT" hidden="1">"c3638"</definedName>
    <definedName name="IQ_REVENUE_NUM_EST_THOM" hidden="1">"c3656"</definedName>
    <definedName name="IQ_REVISION_DATE_" hidden="1">38889.6491203704</definedName>
    <definedName name="IQ_RISK_ADJ_BANK_ASSETS" hidden="1">"c2670"</definedName>
    <definedName name="IQ_RISK_WEIGHTED_ASSETS_FDIC" hidden="1">"c6370"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EST_CIQ" hidden="1">"c5073"</definedName>
    <definedName name="IQ_STOCK_BASED_GA" hidden="1">"c2993"</definedName>
    <definedName name="IQ_STOCK_BASED_HIGH_EST" hidden="1">"c4521"</definedName>
    <definedName name="IQ_STOCK_BASED_HIGH_EST_CIQ" hidden="1">"c5074"</definedName>
    <definedName name="IQ_STOCK_BASED_LOW_EST" hidden="1">"c4522"</definedName>
    <definedName name="IQ_STOCK_BASED_LOW_EST_CIQ" hidden="1">"c5075"</definedName>
    <definedName name="IQ_STOCK_BASED_MEDIAN_EST" hidden="1">"c4523"</definedName>
    <definedName name="IQ_STOCK_BASED_MEDIAN_EST_CIQ" hidden="1">"c5076"</definedName>
    <definedName name="IQ_STOCK_BASED_NUM_EST" hidden="1">"c4524"</definedName>
    <definedName name="IQ_STOCK_BASED_NUM_EST_CIQ" hidden="1">"c5077"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STDDEV_EST_CIQ" hidden="1">"c5078"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LASTCLOSE" hidden="1">"c1855"</definedName>
    <definedName name="IQ_TARGET_PRICE_NUM" hidden="1">"c1653"</definedName>
    <definedName name="IQ_TARGET_PRICE_NUM_CIQ" hidden="1">"c4661"</definedName>
    <definedName name="IQ_TARGET_PRICE_NUM_REUT" hidden="1">"c5319"</definedName>
    <definedName name="IQ_TARGET_PRICE_NUM_THOM" hidden="1">"c5098"</definedName>
    <definedName name="IQ_TARGET_PRICE_STDDEV" hidden="1">"c1654"</definedName>
    <definedName name="IQ_TARGET_PRICE_STDDEV_CIQ" hidden="1">"c4662"</definedName>
    <definedName name="IQ_TARGET_PRICE_STDDEV_REUT" hidden="1">"c5320"</definedName>
    <definedName name="IQ_TARGET_PRICE_STDDEV_THOM" hidden="1">"c5099"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_FWD_CIQ" hidden="1">"c4047"</definedName>
    <definedName name="IQ_TEV_EBIT_FWD_REUT" hidden="1">"c4054"</definedName>
    <definedName name="IQ_TEV_EBIT_FWD_THOM" hidden="1">"c4061"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BITDA_FWD_REUT" hidden="1">"c4050"</definedName>
    <definedName name="IQ_TEV_EBITDA_FWD_THOM" hidden="1">"c4057"</definedName>
    <definedName name="IQ_TEV_EMPLOYEE_AVG" hidden="1">"c1225"</definedName>
    <definedName name="IQ_TEV_EST" hidden="1">"c4526"</definedName>
    <definedName name="IQ_TEV_EST_CIQ" hidden="1">"c5079"</definedName>
    <definedName name="IQ_TEV_EST_THOM" hidden="1">"c5529"</definedName>
    <definedName name="IQ_TEV_HIGH_EST" hidden="1">"c4527"</definedName>
    <definedName name="IQ_TEV_HIGH_EST_CIQ" hidden="1">"c5080"</definedName>
    <definedName name="IQ_TEV_HIGH_EST_THOM" hidden="1">"c5530"</definedName>
    <definedName name="IQ_TEV_LOW_EST" hidden="1">"c4528"</definedName>
    <definedName name="IQ_TEV_LOW_EST_CIQ" hidden="1">"c5081"</definedName>
    <definedName name="IQ_TEV_LOW_EST_THOM" hidden="1">"c5531"</definedName>
    <definedName name="IQ_TEV_MEDIAN_EST" hidden="1">"c4529"</definedName>
    <definedName name="IQ_TEV_MEDIAN_EST_CIQ" hidden="1">"c5082"</definedName>
    <definedName name="IQ_TEV_MEDIAN_EST_THOM" hidden="1">"c5532"</definedName>
    <definedName name="IQ_TEV_NUM_EST" hidden="1">"c4530"</definedName>
    <definedName name="IQ_TEV_NUM_EST_CIQ" hidden="1">"c5083"</definedName>
    <definedName name="IQ_TEV_NUM_EST_THOM" hidden="1">"c5533"</definedName>
    <definedName name="IQ_TEV_STDDEV_EST" hidden="1">"c4531"</definedName>
    <definedName name="IQ_TEV_STDDEV_EST_CIQ" hidden="1">"c5084"</definedName>
    <definedName name="IQ_TEV_STDDEV_EST_THOM" hidden="1">"c5534"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TOTAL_REV_FWD_REUT" hidden="1">"c4051"</definedName>
    <definedName name="IQ_TEV_TOTAL_REV_FWD_THOM" hidden="1">"c4058"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ST_CIQ" hidden="1">"c5085"</definedName>
    <definedName name="IQ_TOTAL_DEBT_EXCL_FIN" hidden="1">"c2937"</definedName>
    <definedName name="IQ_TOTAL_DEBT_GUIDANCE" hidden="1">"c4533"</definedName>
    <definedName name="IQ_TOTAL_DEBT_GUIDANCE_CIQ" hidden="1">"c5086"</definedName>
    <definedName name="IQ_TOTAL_DEBT_HIGH_EST" hidden="1">"c4534"</definedName>
    <definedName name="IQ_TOTAL_DEBT_HIGH_EST_CIQ" hidden="1">"c5087"</definedName>
    <definedName name="IQ_TOTAL_DEBT_HIGH_GUIDANCE" hidden="1">"c4196"</definedName>
    <definedName name="IQ_TOTAL_DEBT_HIGH_GUIDANCE_CIQ" hidden="1">"c4608"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EST_CIQ" hidden="1">"c5088"</definedName>
    <definedName name="IQ_TOTAL_DEBT_LOW_GUIDANCE" hidden="1">"c4236"</definedName>
    <definedName name="IQ_TOTAL_DEBT_LOW_GUIDANCE_CIQ" hidden="1">"c4648"</definedName>
    <definedName name="IQ_TOTAL_DEBT_MEDIAN_EST" hidden="1">"c4536"</definedName>
    <definedName name="IQ_TOTAL_DEBT_MEDIAN_EST_CIQ" hidden="1">"c5089"</definedName>
    <definedName name="IQ_TOTAL_DEBT_NON_CURRENT" hidden="1">"c6191"</definedName>
    <definedName name="IQ_TOTAL_DEBT_NUM_EST" hidden="1">"c4537"</definedName>
    <definedName name="IQ_TOTAL_DEBT_NUM_EST_CIQ" hidden="1">"c5090"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BT_STDDEV_EST_CIQ" hidden="1">"c5091"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"c1522"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SUBTOTAL_AP" hidden="1">"c8989"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CONSOL_BEDS" hidden="1">"c8783"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"c2203"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RR">#REF!</definedName>
    <definedName name="irr_eq">#REF!</definedName>
    <definedName name="irr_eq_xtax">#REF!</definedName>
    <definedName name="IRR_Fee">#REF!</definedName>
    <definedName name="IRRtable_ppyreinv_spr1">#REF!</definedName>
    <definedName name="IRRtable_ppyreinv_spr2">#REF!</definedName>
    <definedName name="IRRtable_ppyreinv_spr3">#REF!</definedName>
    <definedName name="IRRtable_ppyreinv1">#REF!</definedName>
    <definedName name="IRRtable_ppyreinv2">#REF!</definedName>
    <definedName name="IRRtable_ppyreinv3">#REF!</definedName>
    <definedName name="IRRtable_ppyreinv4">#REF!</definedName>
    <definedName name="IRRtable_ppyreinv6">#REF!</definedName>
    <definedName name="IRRtable_ppyreinv7">#REF!</definedName>
    <definedName name="IRRtable_Pricing1">#REF!</definedName>
    <definedName name="IRRtable_Pricing2">#REF!</definedName>
    <definedName name="IRS_PNL">#REF!</definedName>
    <definedName name="ISCompany">#REF!</definedName>
    <definedName name="isd_growth">#REF!</definedName>
    <definedName name="isga">#REF!</definedName>
    <definedName name="ISKVIDMID">#REF!</definedName>
    <definedName name="ISName">#REF!</definedName>
    <definedName name="isps">#REF!</definedName>
    <definedName name="Issuance_Amount">#REF!</definedName>
    <definedName name="Issuers">#REF!</definedName>
    <definedName name="issuerscurrent">#REF!</definedName>
    <definedName name="Jan">#REF!</definedName>
    <definedName name="JanRate">#REF!</definedName>
    <definedName name="January">#REF!</definedName>
    <definedName name="je">[0]!je</definedName>
    <definedName name="jean">[0]!is1b,[0]!is1c,[0]!STATS2,[0]!STATS3</definedName>
    <definedName name="jet">[0]!jet</definedName>
    <definedName name="jetworksheet">[0]!jetworksheet</definedName>
    <definedName name="jfx">#REF!</definedName>
    <definedName name="jjjjjjjjjjjjj">[0]!jjjjjjjjjjjjj</definedName>
    <definedName name="jmhjm">#REF!</definedName>
    <definedName name="Joins_2001">#REF!</definedName>
    <definedName name="jordan">#REF!</definedName>
    <definedName name="josey_rev">#REF!</definedName>
    <definedName name="jossey_ebitda">#REF!</definedName>
    <definedName name="jossey_rev">#REF!</definedName>
    <definedName name="Journal">[0]!Journal</definedName>
    <definedName name="Journalsix">[0]!Journalsix</definedName>
    <definedName name="JPCD_CAD">#REF!</definedName>
    <definedName name="JPCD_CHF">#REF!</definedName>
    <definedName name="JPCD_EUR">#REF!</definedName>
    <definedName name="JPCD_GBP">#REF!</definedName>
    <definedName name="JPCD_JPY">#REF!</definedName>
    <definedName name="JPCD_USD">#REF!</definedName>
    <definedName name="JPY">#REF!</definedName>
    <definedName name="jretrth">#REF!</definedName>
    <definedName name="jsal">#REF!</definedName>
    <definedName name="JU">#REF!</definedName>
    <definedName name="Juan_Daily_PNL">#REF!</definedName>
    <definedName name="Juan_funding">#REF!</definedName>
    <definedName name="Juan_Funding_MTD">#REF!</definedName>
    <definedName name="Juan_val_adj">#REF!,#REF!,#REF!,#REF!,#REF!</definedName>
    <definedName name="JUbackhaul">#REF!</definedName>
    <definedName name="julrate">#REF!</definedName>
    <definedName name="JUNE30DEBT">#REF!</definedName>
    <definedName name="JUNK2">#REF!</definedName>
    <definedName name="JUNK3">#REF!</definedName>
    <definedName name="JunRate">#REF!</definedName>
    <definedName name="k">[0]!k</definedName>
    <definedName name="KAone">#REF!</definedName>
    <definedName name="KAthree">#REF!</definedName>
    <definedName name="KAtwo">#REF!</definedName>
    <definedName name="kbp">#REF!</definedName>
    <definedName name="kcase">#REF!</definedName>
    <definedName name="kd">[0]!is1b,[0]!is1c,[0]!STATS2,[0]!STATS3</definedName>
    <definedName name="kdata">#REF!</definedName>
    <definedName name="kdatap">#REF!</definedName>
    <definedName name="kdp">#REF!</definedName>
    <definedName name="Kennitala">#REF!</definedName>
    <definedName name="Kennitala2">#REF!</definedName>
    <definedName name="Key_1">#REF!</definedName>
    <definedName name="Key_10">#REF!</definedName>
    <definedName name="Key_11">#REF!</definedName>
    <definedName name="Key_2">#REF!</definedName>
    <definedName name="Key_3">#REF!</definedName>
    <definedName name="Key_4">#REF!</definedName>
    <definedName name="Key_5">#REF!</definedName>
    <definedName name="Key_6">#REF!</definedName>
    <definedName name="Key_7">#REF!</definedName>
    <definedName name="Key_8">#REF!</definedName>
    <definedName name="Key_9">#REF!</definedName>
    <definedName name="kgg">[0]!kgg</definedName>
    <definedName name="KHB">#REF!</definedName>
    <definedName name="khp">#REF!</definedName>
    <definedName name="khv">#REF!</definedName>
    <definedName name="kk">#REF!</definedName>
    <definedName name="kopex">#REF!</definedName>
    <definedName name="kpers">#REF!</definedName>
    <definedName name="kpp">#REF!</definedName>
    <definedName name="kprog">#REF!</definedName>
    <definedName name="ksga">#REF!</definedName>
    <definedName name="ktwo">#REF!</definedName>
    <definedName name="l">[0]!l</definedName>
    <definedName name="L_band_premium">#REF!</definedName>
    <definedName name="l_ch">#REF!</definedName>
    <definedName name="l_esc">#REF!</definedName>
    <definedName name="l_lu">#REF!</definedName>
    <definedName name="l_rent">#REF!</definedName>
    <definedName name="l_super">#REF!</definedName>
    <definedName name="lab_assets_CDSCounterpartyID">#REF!</definedName>
    <definedName name="lab_assets_financialGuarantorID">#REF!</definedName>
    <definedName name="lab_assets_longShort">#REF!</definedName>
    <definedName name="lab_counterparty_assetType">#REF!</definedName>
    <definedName name="lab_counterparty_counterparty">#REF!</definedName>
    <definedName name="lab_counterparty_counterpartyID">#REF!</definedName>
    <definedName name="lab_counterparty_countryCode">#REF!</definedName>
    <definedName name="lab_counterparty_soverignForeignCurrencyRating">#REF!</definedName>
    <definedName name="lab_counterparty_spCreditRating">#REF!</definedName>
    <definedName name="LACD_PNL">#REF!</definedName>
    <definedName name="Lake">#REF!</definedName>
    <definedName name="Land">#REF!</definedName>
    <definedName name="Last">#REF!</definedName>
    <definedName name="Last_View_ISIX">#REF!</definedName>
    <definedName name="Lat">#REF!</definedName>
    <definedName name="LatestFYE">#REF!</definedName>
    <definedName name="LatestQuarterDate">#REF!</definedName>
    <definedName name="LatestShares">#REF!</definedName>
    <definedName name="launch1002">#REF!</definedName>
    <definedName name="launch2E">#REF!</definedName>
    <definedName name="launch701">#REF!</definedName>
    <definedName name="launch701R">#REF!</definedName>
    <definedName name="launch702">#REF!</definedName>
    <definedName name="launch702R">#REF!</definedName>
    <definedName name="launch704">#REF!</definedName>
    <definedName name="launch704R">#REF!</definedName>
    <definedName name="launch705">#REF!</definedName>
    <definedName name="launch705R">#REF!</definedName>
    <definedName name="launch706">#REF!</definedName>
    <definedName name="launch706R">#REF!</definedName>
    <definedName name="launch707">#REF!</definedName>
    <definedName name="launch707R">#REF!</definedName>
    <definedName name="launch709">#REF!</definedName>
    <definedName name="launch801">#REF!</definedName>
    <definedName name="launch802">#REF!</definedName>
    <definedName name="launch804">#REF!</definedName>
    <definedName name="launch805">#REF!</definedName>
    <definedName name="launch901">#REF!</definedName>
    <definedName name="launch902">#REF!</definedName>
    <definedName name="launch903">#REF!</definedName>
    <definedName name="launch904">#REF!</definedName>
    <definedName name="launch905">#REF!</definedName>
    <definedName name="launch906">#REF!</definedName>
    <definedName name="launch907">#REF!</definedName>
    <definedName name="launchIA13">#REF!</definedName>
    <definedName name="launchIA5">#REF!</definedName>
    <definedName name="launchIA6">#REF!</definedName>
    <definedName name="launchIA7">#REF!</definedName>
    <definedName name="launchIA8">#REF!</definedName>
    <definedName name="lbohead1">#REF!</definedName>
    <definedName name="lbohead2">#REF!</definedName>
    <definedName name="lbomcb">#REF!</definedName>
    <definedName name="LBondsData">#REF!</definedName>
    <definedName name="lborefin">LEFT(#REF!)="Y"</definedName>
    <definedName name="LC_Input_T1">#REF!</definedName>
    <definedName name="LC_Input_T2">#REF!</definedName>
    <definedName name="LC_Input_T3">#REF!</definedName>
    <definedName name="LCapData">#REF!</definedName>
    <definedName name="lease_esc">#REF!</definedName>
    <definedName name="lease_escalator">#REF!</definedName>
    <definedName name="lease_matrix">#REF!</definedName>
    <definedName name="lease_matrix2">#REF!</definedName>
    <definedName name="LFQ">#REF!</definedName>
    <definedName name="lfx">#REF!</definedName>
    <definedName name="LFY">#REF!</definedName>
    <definedName name="LFYPrice">#REF!</definedName>
    <definedName name="Liabilities">#REF!</definedName>
    <definedName name="LIBOR">#REF!</definedName>
    <definedName name="LIBOR_Curve_Name">#REF!</definedName>
    <definedName name="LIBOR_shock">#REF!</definedName>
    <definedName name="Library" hidden="1">"a1"</definedName>
    <definedName name="library_ebitda">#REF!</definedName>
    <definedName name="library_rev">#REF!</definedName>
    <definedName name="life1002">#REF!</definedName>
    <definedName name="life2E">#REF!</definedName>
    <definedName name="life701">#REF!</definedName>
    <definedName name="life701R">#REF!</definedName>
    <definedName name="life702">#REF!</definedName>
    <definedName name="life702R">#REF!</definedName>
    <definedName name="life704">#REF!</definedName>
    <definedName name="life704R">#REF!</definedName>
    <definedName name="life705">#REF!</definedName>
    <definedName name="life705R">#REF!</definedName>
    <definedName name="life706">#REF!</definedName>
    <definedName name="life706R">#REF!</definedName>
    <definedName name="life707">#REF!</definedName>
    <definedName name="life707R">#REF!</definedName>
    <definedName name="life709">#REF!</definedName>
    <definedName name="life801">#REF!</definedName>
    <definedName name="life802">#REF!</definedName>
    <definedName name="life804">#REF!</definedName>
    <definedName name="life805">#REF!</definedName>
    <definedName name="life901">#REF!</definedName>
    <definedName name="life902">#REF!</definedName>
    <definedName name="life903">#REF!</definedName>
    <definedName name="life904">#REF!</definedName>
    <definedName name="life905">#REF!</definedName>
    <definedName name="life906">#REF!</definedName>
    <definedName name="life907">#REF!</definedName>
    <definedName name="lifeIA13">#REF!</definedName>
    <definedName name="lifeIA25">#REF!</definedName>
    <definedName name="lifeIA5">#REF!</definedName>
    <definedName name="lifeIA6">#REF!</definedName>
    <definedName name="lifeIA7">#REF!</definedName>
    <definedName name="lifeIA8">#REF!</definedName>
    <definedName name="limcount" hidden="1">1</definedName>
    <definedName name="Line">#REF!</definedName>
    <definedName name="linq">#REF!</definedName>
    <definedName name="LIST">#REF!</definedName>
    <definedName name="ListSheetsMacroButton">#REF!</definedName>
    <definedName name="ljafds">[0]!ljafds</definedName>
    <definedName name="lll">{0;0;0;0;1;-4105;0.25;0.25;0.38;0.4;2;FALSE;FALSE;FALSE;FALSE;FALSE;#N/A;2;FALSE;1;1;"";" ";"";"";"";"&amp;""Kennerly,Roman Bold""&amp;20LEHMAN BROTHERS";FALSE}</definedName>
    <definedName name="loan">#REF!</definedName>
    <definedName name="Loan_Input">#REF!</definedName>
    <definedName name="loan14">#REF!</definedName>
    <definedName name="loan20">#REF!</definedName>
    <definedName name="loan4">#REF!</definedName>
    <definedName name="loan45">#REF!</definedName>
    <definedName name="loan8">#REF!</definedName>
    <definedName name="Location">#REF!</definedName>
    <definedName name="Lockout_Periods">#REF!</definedName>
    <definedName name="Lokadagur">#REF!</definedName>
    <definedName name="LOOKUP_1089_x_1">#REF!</definedName>
    <definedName name="Loral">#REF!</definedName>
    <definedName name="Louis">[0]!Louis</definedName>
    <definedName name="Low">#REF!</definedName>
    <definedName name="loy_coup">#REF!</definedName>
    <definedName name="LP_Contr">#REF!</definedName>
    <definedName name="ls02.Selected">#REF!</definedName>
    <definedName name="LTD">#REF!</definedName>
    <definedName name="LTM">#REF!</definedName>
    <definedName name="LTMPE">#REF!</definedName>
    <definedName name="LTMPrice">#REF!</definedName>
    <definedName name="LyondellA">#REF!</definedName>
    <definedName name="LyondellB">#REF!</definedName>
    <definedName name="LYValDate">#REF!</definedName>
    <definedName name="m">#REF!</definedName>
    <definedName name="m_amort_1">#REF!</definedName>
    <definedName name="m_amort_2">#REF!</definedName>
    <definedName name="m_amort_3">#REF!</definedName>
    <definedName name="m_amort_4">#REF!</definedName>
    <definedName name="m_ch">#REF!</definedName>
    <definedName name="m_esc">#REF!</definedName>
    <definedName name="M_lu">#REF!</definedName>
    <definedName name="m_rent">#REF!</definedName>
    <definedName name="m_super">#REF!</definedName>
    <definedName name="M1_JOINS">#REF!</definedName>
    <definedName name="M1_JOINS_2001">#REF!</definedName>
    <definedName name="M1_PRICE_POINTS">#REF!</definedName>
    <definedName name="M1_price_points2">#REF!</definedName>
    <definedName name="macro98">[0]!macro98</definedName>
    <definedName name="macro99">[0]!macro99</definedName>
    <definedName name="Main_menu">[0]!Main_menu</definedName>
    <definedName name="man_esc">#REF!</definedName>
    <definedName name="managedgrowth">#REF!</definedName>
    <definedName name="Management_Fees">#REF!</definedName>
    <definedName name="manager_name">#REF!</definedName>
    <definedName name="Managers_Var">[0]!Managers_Var</definedName>
    <definedName name="manrev">#REF!</definedName>
    <definedName name="Manual">#REF!</definedName>
    <definedName name="marg">#REF!</definedName>
    <definedName name="Margin">#REF!</definedName>
    <definedName name="MarginList">#REF!</definedName>
    <definedName name="markaðsyfirlit1_VÞÍ_List">#REF!</definedName>
    <definedName name="market_equity_value">#REF!</definedName>
    <definedName name="marketcase1">#REF!</definedName>
    <definedName name="marketing">#REF!</definedName>
    <definedName name="Marketingchart">#REF!</definedName>
    <definedName name="marketingexp">#REF!</definedName>
    <definedName name="markets1">#REF!</definedName>
    <definedName name="MarketValue">#REF!</definedName>
    <definedName name="MarketValues">#REF!</definedName>
    <definedName name="MarRate">#REF!</definedName>
    <definedName name="mass">#REF!</definedName>
    <definedName name="master_ebitda">#REF!</definedName>
    <definedName name="master_rev">#REF!</definedName>
    <definedName name="master_start">#REF!</definedName>
    <definedName name="match">#REF!</definedName>
    <definedName name="matdt_start">#REF!</definedName>
    <definedName name="MATURITY">#REF!</definedName>
    <definedName name="Maxeda">#REF!</definedName>
    <definedName name="MayRate">#REF!</definedName>
    <definedName name="mcanalyticsgrowth">#REF!</definedName>
    <definedName name="mcanalyticsrev">#REF!</definedName>
    <definedName name="mcb">#REF!</definedName>
    <definedName name="MDY_AvgLife">#REF!</definedName>
    <definedName name="MDY_Benchmarks">#REF!</definedName>
    <definedName name="MDY_Bmarks">#REF!</definedName>
    <definedName name="MDY_COMBOMegaOutputMatrix">#REF!</definedName>
    <definedName name="MDY_Div_1">#REF!</definedName>
    <definedName name="MDY_Div_2">#REF!</definedName>
    <definedName name="MDY_Eff_Group">#REF!</definedName>
    <definedName name="MDY_First_Run">#REF!</definedName>
    <definedName name="MDY_Groups_To_Run">#REF!</definedName>
    <definedName name="MDY_Libor_Curve">#REF!</definedName>
    <definedName name="MDY_Loss_Curve">#REF!</definedName>
    <definedName name="MDY_Loss_Output">#REF!</definedName>
    <definedName name="MDY_Losses">#REF!</definedName>
    <definedName name="MDY_Max_Fixed">#REF!</definedName>
    <definedName name="MDY_MegaOutputMatrix">#REF!</definedName>
    <definedName name="MDY_Min_Fixed">#REF!</definedName>
    <definedName name="MDY_Num_Of_Groups">#REF!</definedName>
    <definedName name="MDY_NumOfScen">#REF!</definedName>
    <definedName name="MDY_output1">#REF!</definedName>
    <definedName name="MDY_output2">#REF!</definedName>
    <definedName name="MDY_OutputMatrix">#REF!</definedName>
    <definedName name="MDY_results">#REF!</definedName>
    <definedName name="MDY_Run_Group">#REF!</definedName>
    <definedName name="MDY_run_num">#REF!</definedName>
    <definedName name="MDY_Scenario_Output">#REF!</definedName>
    <definedName name="MDY_Second_Run">#REF!</definedName>
    <definedName name="MDY_Sorted_Scen">#REF!</definedName>
    <definedName name="MDY_Total_Scenarios">#REF!</definedName>
    <definedName name="Mdy_Trunc_Rating">#REF!</definedName>
    <definedName name="MDY_WAL_Copy1">#REF!</definedName>
    <definedName name="MDY_WAL_Copy2">#REF!</definedName>
    <definedName name="MDY_WAL_Paste1">#REF!</definedName>
    <definedName name="MDY_WAL_Paste2">#REF!</definedName>
    <definedName name="MealReimbThru">#REF!,#REF!,#REF!,#REF!,#REF!,#REF!</definedName>
    <definedName name="Meals">#REF!,#REF!,#REF!,#REF!,#REF!,#REF!,#REF!,#REF!,#REF!,#REF!</definedName>
    <definedName name="Media_Lookup">#REF!</definedName>
    <definedName name="MEMO">#REF!</definedName>
    <definedName name="MER">#REF!</definedName>
    <definedName name="merge">#REF!</definedName>
    <definedName name="mgmt">#REF!</definedName>
    <definedName name="MGMT_FEES">#REF!</definedName>
    <definedName name="MGMTFEEANALYSISCOLUMN">#REF!</definedName>
    <definedName name="MGMTFEEANALYSISROW">#REF!</definedName>
    <definedName name="MGMTFEEANALYSISTABLE">#REF!</definedName>
    <definedName name="mgmtfeeincome">#REF!</definedName>
    <definedName name="MgnName">#REF!</definedName>
    <definedName name="Mgt_Bonuses">#REF!</definedName>
    <definedName name="Mgt_Cash">#REF!</definedName>
    <definedName name="MGT_JEs">#REF!</definedName>
    <definedName name="Mgt_Shares">#REF!</definedName>
    <definedName name="MGTaaa_TBs">#REF!</definedName>
    <definedName name="MGTeuropemgt_JEs">#REF!</definedName>
    <definedName name="michael">[0]!is1b,[0]!is1c,[0]!STATS2,[0]!STATS3</definedName>
    <definedName name="michael2">[0]!is1b,[0]!is1c,[0]!STATS2,[0]!STATS3</definedName>
    <definedName name="midtier">#REF!</definedName>
    <definedName name="Millions">#REF!</definedName>
    <definedName name="Millions_Except_EPS">#REF!</definedName>
    <definedName name="minority">#REF!</definedName>
    <definedName name="MINORITY_INTERESTS">#REF!</definedName>
    <definedName name="MinorityInterestAboveTheLine">#REF!</definedName>
    <definedName name="MinorityInterestBalance">#REF!</definedName>
    <definedName name="MinorityInterestBelowTheLine">#REF!</definedName>
    <definedName name="miscellexp">#REF!</definedName>
    <definedName name="mjerfx">#REF!</definedName>
    <definedName name="mk">#REF!</definedName>
    <definedName name="mkt_0304">#REF!</definedName>
    <definedName name="mkt_0506">#REF!</definedName>
    <definedName name="mkt_07">#REF!</definedName>
    <definedName name="mkt_09">#REF!</definedName>
    <definedName name="Mkt_Area">#REF!</definedName>
    <definedName name="Mkt_Growth">#REF!</definedName>
    <definedName name="Mkt_Share">#REF!</definedName>
    <definedName name="Mkt_Sub_Distribution">#REF!</definedName>
    <definedName name="Mkt_Subs">#REF!</definedName>
    <definedName name="Mkt_Value_Long">#REF!</definedName>
    <definedName name="Mkt_Value_Short">#REF!</definedName>
    <definedName name="MktingChart">#REF!</definedName>
    <definedName name="MktingDataBox">#REF!</definedName>
    <definedName name="mlcsnon">#REF!</definedName>
    <definedName name="mlcssov">#REF!</definedName>
    <definedName name="mlinon">#REF!</definedName>
    <definedName name="mlisov">#REF!</definedName>
    <definedName name="mlsps">#REF!</definedName>
    <definedName name="mlsps_start">#REF!</definedName>
    <definedName name="mod_qryAMLeaseAmountsAll__XM_">#REF!</definedName>
    <definedName name="moddate">#REF!</definedName>
    <definedName name="Mode">#REF!</definedName>
    <definedName name="modern_ebitda">#REF!</definedName>
    <definedName name="modern_rev">#REF!</definedName>
    <definedName name="Module1.To_main_menu">[0]!Module1.To_main_menu</definedName>
    <definedName name="Module1.To_printing_menu">[0]!Module1.To_printing_menu</definedName>
    <definedName name="moinservice706">#REF!</definedName>
    <definedName name="Mon_in_Number">#REF!</definedName>
    <definedName name="Month">#REF!</definedName>
    <definedName name="monthly_vol">#REF!</definedName>
    <definedName name="Months">#REF!</definedName>
    <definedName name="Moody">#REF!</definedName>
    <definedName name="Moody_s_Industry_Classes">#REF!</definedName>
    <definedName name="MoodyClass">#REF!</definedName>
    <definedName name="moodys_diversity_table">#REF!</definedName>
    <definedName name="moodys_f">#REF!</definedName>
    <definedName name="Mortgage_note_payable">#REF!</definedName>
    <definedName name="Motient_Leases">#REF!</definedName>
    <definedName name="MOU">#REF!</definedName>
    <definedName name="MOverride">#REF!</definedName>
    <definedName name="msal">#REF!</definedName>
    <definedName name="MSTemporarySelectionFAVG">#REF!</definedName>
    <definedName name="MthNum">#REF!</definedName>
    <definedName name="mukfx">#REF!</definedName>
    <definedName name="mult">#REF!</definedName>
    <definedName name="mv_short">#REF!</definedName>
    <definedName name="mvcurrent">#REF!</definedName>
    <definedName name="mvcurrent_a">#REF!</definedName>
    <definedName name="mvcurrent_b">#REF!</definedName>
    <definedName name="mvcurrent_c">#REF!</definedName>
    <definedName name="mvcurrent_f">#REF!</definedName>
    <definedName name="mvcurrent_g">#REF!</definedName>
    <definedName name="n">[0]!n</definedName>
    <definedName name="name">#REF!</definedName>
    <definedName name="name_a">#REF!</definedName>
    <definedName name="name_a1">#REF!</definedName>
    <definedName name="name_a2">#REF!</definedName>
    <definedName name="name_a3">#REF!</definedName>
    <definedName name="name_b">#REF!</definedName>
    <definedName name="name_b1">#REF!</definedName>
    <definedName name="name_b2">#REF!</definedName>
    <definedName name="name_c">#REF!</definedName>
    <definedName name="name_c1">#REF!</definedName>
    <definedName name="name_c2">#REF!</definedName>
    <definedName name="name_c3">#REF!</definedName>
    <definedName name="name_d">#REF!</definedName>
    <definedName name="name_d1">#REF!</definedName>
    <definedName name="name_d2">#REF!</definedName>
    <definedName name="name_d3">#REF!</definedName>
    <definedName name="name_e">#REF!</definedName>
    <definedName name="name_e1">#REF!</definedName>
    <definedName name="name_e2">#REF!</definedName>
    <definedName name="name_e3">#REF!</definedName>
    <definedName name="name_e4">#REF!</definedName>
    <definedName name="name_eq">#REF!</definedName>
    <definedName name="name_s1">#REF!</definedName>
    <definedName name="name_s2">#REF!</definedName>
    <definedName name="natlbaddebt">#REF!</definedName>
    <definedName name="natlcorp">#REF!</definedName>
    <definedName name="natldataexp">#REF!</definedName>
    <definedName name="natldatapenetration">#REF!</definedName>
    <definedName name="natldigpenetration">#REF!</definedName>
    <definedName name="natlmgmtfee">#REF!</definedName>
    <definedName name="natlmgmtfees">#REF!</definedName>
    <definedName name="natlopex">#REF!</definedName>
    <definedName name="natlpaypenetration">#REF!</definedName>
    <definedName name="natlpersonnel">#REF!</definedName>
    <definedName name="natlprogramming">#REF!</definedName>
    <definedName name="natlsga">#REF!</definedName>
    <definedName name="NAV">#REF!</definedName>
    <definedName name="nbp">#REF!</definedName>
    <definedName name="ncase">#REF!</definedName>
    <definedName name="ND">#REF!</definedName>
    <definedName name="ndata">#REF!</definedName>
    <definedName name="ndatap">#REF!</definedName>
    <definedName name="ndp">#REF!</definedName>
    <definedName name="NET_EURO">#REF!</definedName>
    <definedName name="Net_Joins">#REF!</definedName>
    <definedName name="Net_Renewals">#REF!</definedName>
    <definedName name="Net_renewals2">#REF!</definedName>
    <definedName name="new">[0]!new</definedName>
    <definedName name="New_Assets">#REF!,#REF!</definedName>
    <definedName name="New_Cancel_Rates_Sens_2001">#REF!</definedName>
    <definedName name="New_Cancel_Rates_Sens_2002">#REF!</definedName>
    <definedName name="New_Comish">#REF!</definedName>
    <definedName name="New_Comm_Rates">#REF!</definedName>
    <definedName name="New_Data_Range">#REF!</definedName>
    <definedName name="New_Expenses">#REF!,#REF!</definedName>
    <definedName name="new_goodwill">#REF!</definedName>
    <definedName name="New_Income">#REF!,#REF!</definedName>
    <definedName name="New_Liabilities">#REF!,#REF!</definedName>
    <definedName name="New_Pro_Rata_Comm">#REF!</definedName>
    <definedName name="New_Pro_Rata_Rev">#REF!</definedName>
    <definedName name="New_Realized">#REF!,#REF!</definedName>
    <definedName name="NewCo_EPS_DataTable_Horizontal">#REF!</definedName>
    <definedName name="NewCo_EPS_DataTable_Vertical">#REF!</definedName>
    <definedName name="NEWDR1">#REF!</definedName>
    <definedName name="NEWDR2">#REF!</definedName>
    <definedName name="NEWDR3">#REF!</definedName>
    <definedName name="NewEntry">#REF!</definedName>
    <definedName name="NEWMEDIAVALUE">#REF!</definedName>
    <definedName name="NewMRC">#REF!</definedName>
    <definedName name="NEWPROD">#REF!</definedName>
    <definedName name="NEWROA1">#REF!</definedName>
    <definedName name="NEWROA2">#REF!</definedName>
    <definedName name="NEWROA3">#REF!</definedName>
    <definedName name="NEWSS1">#REF!</definedName>
    <definedName name="NEWSS2">#REF!</definedName>
    <definedName name="NEWSS3">#REF!</definedName>
    <definedName name="newstores">#REF!</definedName>
    <definedName name="NewTAP">#REF!</definedName>
    <definedName name="NewUAL">#REF!</definedName>
    <definedName name="NEX">#REF!</definedName>
    <definedName name="NEXCEL">#REF!</definedName>
    <definedName name="nfx">#REF!</definedName>
    <definedName name="nghndh">#REF!</definedName>
    <definedName name="nhp">#REF!</definedName>
    <definedName name="ninefive">#REF!</definedName>
    <definedName name="ninefour">#REF!</definedName>
    <definedName name="NINEoFIve">#REF!</definedName>
    <definedName name="NINEoFour">#REF!</definedName>
    <definedName name="nineone">#REF!</definedName>
    <definedName name="NINEoOne">#REF!</definedName>
    <definedName name="NINEoSeven">#REF!</definedName>
    <definedName name="NINEoSix">#REF!</definedName>
    <definedName name="NINEoThree">#REF!</definedName>
    <definedName name="NINEoTwo">#REF!</definedName>
    <definedName name="nineseven">#REF!</definedName>
    <definedName name="ninesix">#REF!</definedName>
    <definedName name="ninethree">#REF!</definedName>
    <definedName name="ninetwo">#REF!</definedName>
    <definedName name="nm">#REF!</definedName>
    <definedName name="nmn">#REF!</definedName>
    <definedName name="NoConsolList">#REF!</definedName>
    <definedName name="nols">#REF!</definedName>
    <definedName name="non_cash">#REF!</definedName>
    <definedName name="nonrecurringexp">#REF!</definedName>
    <definedName name="nopex">#REF!</definedName>
    <definedName name="North">#REF!</definedName>
    <definedName name="NoteAccrualStart">#REF!</definedName>
    <definedName name="NoteEuribor">#REF!</definedName>
    <definedName name="Notes">#REF!</definedName>
    <definedName name="Notes_and_loan_payable">#REF!</definedName>
    <definedName name="Notes_receivable">#REF!</definedName>
    <definedName name="NoTotalList">#REF!</definedName>
    <definedName name="NotUpdatedbyProgrm">#REF!,#REF!</definedName>
    <definedName name="novRate">#REF!</definedName>
    <definedName name="npers">#REF!</definedName>
    <definedName name="npp">#REF!</definedName>
    <definedName name="nprog">#REF!</definedName>
    <definedName name="NRT">#REF!</definedName>
    <definedName name="nsga">#REF!</definedName>
    <definedName name="ntmn">#REF!</definedName>
    <definedName name="Num_Cols_T1">#REF!</definedName>
    <definedName name="Num_Cols_T2">#REF!</definedName>
    <definedName name="Num_Cols_T3">#REF!</definedName>
    <definedName name="Num_Rows_T1">#REF!</definedName>
    <definedName name="Num_Rows_T2">#REF!</definedName>
    <definedName name="Num_Rows_T3">#REF!</definedName>
    <definedName name="NUM_SECS">#REF!</definedName>
    <definedName name="NWC">#REF!</definedName>
    <definedName name="nyif_ebitda">#REF!</definedName>
    <definedName name="nyif_rev">#REF!</definedName>
    <definedName name="o">[0]!o</definedName>
    <definedName name="O_CH">#REF!</definedName>
    <definedName name="o_esc">#REF!</definedName>
    <definedName name="o_lu">#REF!</definedName>
    <definedName name="o_rent">#REF!</definedName>
    <definedName name="o_super">#REF!</definedName>
    <definedName name="obp">#REF!</definedName>
    <definedName name="OC_init_f">#REF!</definedName>
    <definedName name="oc_limit">#REF!</definedName>
    <definedName name="OC3_breakpoint">#REF!</definedName>
    <definedName name="OC3_monthly">#REF!</definedName>
    <definedName name="OC3_NRC">#REF!</definedName>
    <definedName name="octRate">#REF!</definedName>
    <definedName name="odata">#REF!</definedName>
    <definedName name="odatap">#REF!</definedName>
    <definedName name="odp">#REF!</definedName>
    <definedName name="ohp">#REF!</definedName>
    <definedName name="old">#REF!</definedName>
    <definedName name="OLDDR1">#REF!</definedName>
    <definedName name="OLDDR2">#REF!</definedName>
    <definedName name="OLDDR3">#REF!</definedName>
    <definedName name="OldMRC">#REF!</definedName>
    <definedName name="OLDROA1">#REF!</definedName>
    <definedName name="OLDROA2">#REF!</definedName>
    <definedName name="OLDROA3">#REF!</definedName>
    <definedName name="OLDSS1">#REF!</definedName>
    <definedName name="OLDSS2">#REF!</definedName>
    <definedName name="OLDSS3">#REF!</definedName>
    <definedName name="oldTAP">#REF!</definedName>
    <definedName name="OLDUAL">#REF!</definedName>
    <definedName name="OOOO">#REF!</definedName>
    <definedName name="oopex">#REF!</definedName>
    <definedName name="op_exp">#REF!</definedName>
    <definedName name="Op_Expenses">#REF!</definedName>
    <definedName name="OpeningBkDebt">SUM(#REF!)</definedName>
    <definedName name="OpeningSrDebt">SUM(#REF!)</definedName>
    <definedName name="oper1">#REF!</definedName>
    <definedName name="Operating">#REF!</definedName>
    <definedName name="Operating_Expenses">#REF!</definedName>
    <definedName name="OperatingIncome">#REF!</definedName>
    <definedName name="opers">#REF!</definedName>
    <definedName name="opex_bus">#REF!</definedName>
    <definedName name="opex_com">#REF!</definedName>
    <definedName name="opex_corp">#REF!</definedName>
    <definedName name="opex_corpsec">#REF!</definedName>
    <definedName name="opex_fin">#REF!</definedName>
    <definedName name="opex_hightech">#REF!</definedName>
    <definedName name="opex_isg">#REF!</definedName>
    <definedName name="opex_mil">#REF!</definedName>
    <definedName name="opex_sec">#REF!</definedName>
    <definedName name="OpInput1">#REF!</definedName>
    <definedName name="OpInput2">#REF!</definedName>
    <definedName name="OpInput3">#REF!</definedName>
    <definedName name="OpInput4">#REF!</definedName>
    <definedName name="OpInput5">#REF!</definedName>
    <definedName name="OpInput6">#REF!</definedName>
    <definedName name="OpInput7">#REF!</definedName>
    <definedName name="OpInput8">#REF!</definedName>
    <definedName name="opp">#REF!</definedName>
    <definedName name="oprog">#REF!</definedName>
    <definedName name="option_proceeds">#REF!</definedName>
    <definedName name="OPTIONAL">#REF!</definedName>
    <definedName name="options">#REF!</definedName>
    <definedName name="Orb110.5">#REF!</definedName>
    <definedName name="Orb304.5">#REF!</definedName>
    <definedName name="Orb322.3">#REF!</definedName>
    <definedName name="Orb325.5">#REF!</definedName>
    <definedName name="Orb328.5">#REF!</definedName>
    <definedName name="Orb330.5">#REF!</definedName>
    <definedName name="Orb332.5">#REF!</definedName>
    <definedName name="Orb335.5">#REF!</definedName>
    <definedName name="Orig_Costs">#REF!</definedName>
    <definedName name="osga">#REF!</definedName>
    <definedName name="other">#REF!</definedName>
    <definedName name="other_growth">#REF!</definedName>
    <definedName name="Other_Income">#REF!</definedName>
    <definedName name="Other_Liabilities">#REF!</definedName>
    <definedName name="other_start">#REF!</definedName>
    <definedName name="OtherAssets">#REF!</definedName>
    <definedName name="OtherCurrentAssets">#REF!</definedName>
    <definedName name="OtherCurrentLiabilities">#REF!</definedName>
    <definedName name="otherdebt">#REF!</definedName>
    <definedName name="otherenhancedrev">#REF!</definedName>
    <definedName name="otherexp">#REF!</definedName>
    <definedName name="OtherLongTermLiabilities">#REF!</definedName>
    <definedName name="OtherNonCashOpItems">#REF!</definedName>
    <definedName name="OtherOperatingExpense">#REF!</definedName>
    <definedName name="OTHERS">#REF!</definedName>
    <definedName name="out">#REF!</definedName>
    <definedName name="out_shares">#REF!</definedName>
    <definedName name="OutPrices">#REF!</definedName>
    <definedName name="OutputA_T1">#REF!</definedName>
    <definedName name="OutputA_T2">#REF!</definedName>
    <definedName name="OutputA_T3">#REF!</definedName>
    <definedName name="OutputB_T1">#REF!</definedName>
    <definedName name="OutputB_T2">#REF!</definedName>
    <definedName name="OutputB_T3">#REF!</definedName>
    <definedName name="outsourcedataexp">#REF!</definedName>
    <definedName name="over_15_years">0.1</definedName>
    <definedName name="Override">#REF!</definedName>
    <definedName name="OWN_PERCENT_PRINCIPALS">#REF!</definedName>
    <definedName name="owned_esc">#REF!</definedName>
    <definedName name="oye">#REF!</definedName>
    <definedName name="p">#REF!</definedName>
    <definedName name="p.ratio">#REF!</definedName>
    <definedName name="PAGE">#REF!</definedName>
    <definedName name="Page_three">#REF!</definedName>
    <definedName name="PAGE1">#REF!</definedName>
    <definedName name="page2">#REF!</definedName>
    <definedName name="page2a">#REF!</definedName>
    <definedName name="page3a">#REF!</definedName>
    <definedName name="page4a">#REF!</definedName>
    <definedName name="page4b">#REF!</definedName>
    <definedName name="PAGE4C">#REF!</definedName>
    <definedName name="page6">#REF!</definedName>
    <definedName name="par_start">#REF!</definedName>
    <definedName name="parcurrent">#REF!</definedName>
    <definedName name="ParRemaining_B">#REF!</definedName>
    <definedName name="Participation">#REF!</definedName>
    <definedName name="Partner_Info.">#REF!</definedName>
    <definedName name="PartnerCaptalAdjustm2006">#REF!</definedName>
    <definedName name="PartnersCapital">#REF!</definedName>
    <definedName name="paste_discount">#REF!</definedName>
    <definedName name="paste_own">#REF!</definedName>
    <definedName name="paste_pfown_1">#REF!</definedName>
    <definedName name="paste_pfown_10">#REF!</definedName>
    <definedName name="paste_pfown_11">#REF!</definedName>
    <definedName name="paste_pfown_12">#REF!</definedName>
    <definedName name="paste_pfown_13">#REF!</definedName>
    <definedName name="paste_pfown_14">#REF!</definedName>
    <definedName name="paste_pfown_15">#REF!</definedName>
    <definedName name="paste_pfown_16">#REF!</definedName>
    <definedName name="paste_pfown_17">#REF!</definedName>
    <definedName name="paste_pfown_18">#REF!</definedName>
    <definedName name="paste_pfown_19">#REF!</definedName>
    <definedName name="paste_pfown_2">#REF!</definedName>
    <definedName name="paste_pfown_20">#REF!</definedName>
    <definedName name="paste_pfown_3">#REF!</definedName>
    <definedName name="paste_pfown_4">#REF!</definedName>
    <definedName name="paste_pfown_5">#REF!</definedName>
    <definedName name="paste_pfown_6">#REF!</definedName>
    <definedName name="paste_pfown_7">#REF!</definedName>
    <definedName name="paste_pfown_8">#REF!</definedName>
    <definedName name="paste_pfown_9">#REF!</definedName>
    <definedName name="paste_pro_forma_own1">#REF!</definedName>
    <definedName name="pay">#REF!</definedName>
    <definedName name="Payless">#REF!</definedName>
    <definedName name="payout">#REF!</definedName>
    <definedName name="PCENTER">#REF!</definedName>
    <definedName name="pcs">#REF!</definedName>
    <definedName name="pcs_arpu">#REF!</definedName>
    <definedName name="pcs_churn">#REF!</definedName>
    <definedName name="pcs_pen">#REF!</definedName>
    <definedName name="PCT">#REF!</definedName>
    <definedName name="penetration">#REF!</definedName>
    <definedName name="PER">#REF!</definedName>
    <definedName name="per_exp">#REF!</definedName>
    <definedName name="Performance_Range">#REF!</definedName>
    <definedName name="PeriodCounter">#REF!</definedName>
    <definedName name="permitcase">#REF!</definedName>
    <definedName name="personal2">#REF!</definedName>
    <definedName name="personal3">#REF!</definedName>
    <definedName name="PFQ">#REF!</definedName>
    <definedName name="PFY1Price">#REF!</definedName>
    <definedName name="PFY2Price">#REF!</definedName>
    <definedName name="PFYPrice">#REF!</definedName>
    <definedName name="ph_ebitda">#REF!</definedName>
    <definedName name="ph_rev">#REF!</definedName>
    <definedName name="phones">#REF!</definedName>
    <definedName name="PID">#REF!</definedName>
    <definedName name="pig">#REF!</definedName>
    <definedName name="PLANOVER">#REF!</definedName>
    <definedName name="PLANT">#REF!</definedName>
    <definedName name="plas">#REF!</definedName>
    <definedName name="PMONTH">#REF!</definedName>
    <definedName name="pnecapex">#REF!</definedName>
    <definedName name="point10">#REF!</definedName>
    <definedName name="point234">#REF!</definedName>
    <definedName name="points">#REF!</definedName>
    <definedName name="points4">#REF!</definedName>
    <definedName name="points6">#REF!</definedName>
    <definedName name="points9">#REF!</definedName>
    <definedName name="POOL1">#REF!</definedName>
    <definedName name="POOL2">#REF!</definedName>
    <definedName name="POOL3">#REF!</definedName>
    <definedName name="POOL4">#REF!</definedName>
    <definedName name="POOL5">#REF!</definedName>
    <definedName name="pops">#REF!</definedName>
    <definedName name="popsperhome1">#REF!</definedName>
    <definedName name="popsperhome2">#REF!</definedName>
    <definedName name="port_id_start">#REF!</definedName>
    <definedName name="pp">#REF!</definedName>
    <definedName name="PP_2001">#REF!</definedName>
    <definedName name="PPandE">#REF!</definedName>
    <definedName name="PPMMAccr">#REF!</definedName>
    <definedName name="PPNoteAccrl">#REF!</definedName>
    <definedName name="PRD">#REF!</definedName>
    <definedName name="preducation_ebitda">#REF!</definedName>
    <definedName name="preducation_rev">#REF!</definedName>
    <definedName name="Pref">#REF!</definedName>
    <definedName name="Preferred">#REF!</definedName>
    <definedName name="Preferred_1_yes__0_no">#REF!</definedName>
    <definedName name="Preferred_Price_Per_Share">#REF!</definedName>
    <definedName name="PreferredBook">#REF!</definedName>
    <definedName name="PreferredDividends">#REF!</definedName>
    <definedName name="PreferredEquity">#REF!</definedName>
    <definedName name="PreferredLiquidation">#REF!</definedName>
    <definedName name="PreferredOutstanding">#REF!</definedName>
    <definedName name="PreferredStock107">#REF!</definedName>
    <definedName name="prefswitch">#REF!</definedName>
    <definedName name="prefwar">#REF!</definedName>
    <definedName name="prefyr5">#REF!</definedName>
    <definedName name="prentice_ebitda">#REF!</definedName>
    <definedName name="prentice_rev">#REF!</definedName>
    <definedName name="PREPAID_EXPENSES_AND_OTHER_ASSETS">#REF!</definedName>
    <definedName name="Preparer">#REF!</definedName>
    <definedName name="prestige">#REF!</definedName>
    <definedName name="prev">#REF!</definedName>
    <definedName name="PREV_CPN_DT">#REF!</definedName>
    <definedName name="Previous_Period">#REF!</definedName>
    <definedName name="Previous_View_ISIX">#REF!</definedName>
    <definedName name="PREVYEAR">#REF!</definedName>
    <definedName name="PREVYEARCLOSED">#REF!</definedName>
    <definedName name="PRICE">#REF!</definedName>
    <definedName name="Price_Per_Share">#REF!</definedName>
    <definedName name="PRICE_POINTS_2001">#REF!</definedName>
    <definedName name="price1997">#REF!</definedName>
    <definedName name="price1998">#REF!</definedName>
    <definedName name="price1999">#REF!</definedName>
    <definedName name="price2000">#REF!</definedName>
    <definedName name="price2001">#REF!</definedName>
    <definedName name="price2002">#REF!</definedName>
    <definedName name="price2003">#REF!</definedName>
    <definedName name="price2004">#REF!</definedName>
    <definedName name="price2005">#REF!</definedName>
    <definedName name="price97">#REF!</definedName>
    <definedName name="primarygrowth">#REF!</definedName>
    <definedName name="primdatarev">#REF!</definedName>
    <definedName name="Prime98">#REF!</definedName>
    <definedName name="PRIMEVIEW">#REF!</definedName>
    <definedName name="prin_eq">#REF!</definedName>
    <definedName name="prin_f1">#REF!</definedName>
    <definedName name="prin_f2">#REF!</definedName>
    <definedName name="prin_f3">#REF!</definedName>
    <definedName name="prin_f4">#REF!</definedName>
    <definedName name="PRINCIPAL">#REF!</definedName>
    <definedName name="prinformation_ebitda">#REF!</definedName>
    <definedName name="prinformation_rev">#REF!</definedName>
    <definedName name="PRINT">#REF!</definedName>
    <definedName name="Print_1">#REF!</definedName>
    <definedName name="print_10">#REF!</definedName>
    <definedName name="print_11">#REF!</definedName>
    <definedName name="Print_2">#REF!</definedName>
    <definedName name="print_3">#REF!</definedName>
    <definedName name="print_4">#REF!</definedName>
    <definedName name="print_5">#REF!</definedName>
    <definedName name="print_6">#REF!</definedName>
    <definedName name="print_7">#REF!</definedName>
    <definedName name="print_8">#REF!</definedName>
    <definedName name="print_9">#REF!</definedName>
    <definedName name="Print_All">[0]!Print_All</definedName>
    <definedName name="Print_All_Sheets">[0]!Print_All_Sheets</definedName>
    <definedName name="_xlnm.Print_Area" localSheetId="2">Summary!$A$1:$D$54</definedName>
    <definedName name="_xlnm.Print_Area">#REF!</definedName>
    <definedName name="Print_Area_2">#REF!</definedName>
    <definedName name="Print_Area_MGT_GAAP_JE">#REF!</definedName>
    <definedName name="Print_Area_MI">#REF!</definedName>
    <definedName name="Print_Cash_Flow_Wsht">#REF!,#REF!,#REF!,#REF!</definedName>
    <definedName name="Print_IV_TB">#REF!</definedName>
    <definedName name="Print_Macro__p">#REF!</definedName>
    <definedName name="Print_MGT_GAAP_JE">#REF!</definedName>
    <definedName name="Print_MGT_TAX_JE">#REF!</definedName>
    <definedName name="Print_MGT_TB">#REF!</definedName>
    <definedName name="print_range">#REF!</definedName>
    <definedName name="Print_Rank">#REF!</definedName>
    <definedName name="Print_Selected_Sheets">[0]!Print_Selected_Sheets</definedName>
    <definedName name="Print_Selection">[0]!Print_Selection</definedName>
    <definedName name="_xlnm.Print_Titles">#N/A</definedName>
    <definedName name="Print_Titles_MI">#REF!,#REF!</definedName>
    <definedName name="Print_Titles2">#REF!</definedName>
    <definedName name="print10">#REF!</definedName>
    <definedName name="print7">#REF!</definedName>
    <definedName name="PrintConsolPage">#REF!</definedName>
    <definedName name="PrintDetailPages">#REF!</definedName>
    <definedName name="Printing_menu">[0]!Printing_menu</definedName>
    <definedName name="Printing_Selection">[0]!Printing_Selection</definedName>
    <definedName name="PrintManagerQuery">#REF!</definedName>
    <definedName name="printme">#REF!</definedName>
    <definedName name="printrange">#REF!</definedName>
    <definedName name="PrintSelectedSheetsMacroButton">#REF!</definedName>
    <definedName name="printstart">#REF!</definedName>
    <definedName name="printsum">#REF!</definedName>
    <definedName name="prior_investran">#REF!</definedName>
    <definedName name="Priority_on_ContribCAP">#REF!</definedName>
    <definedName name="Priority_on_MGMTFEES">#REF!</definedName>
    <definedName name="prmedia_ebitda">#REF!</definedName>
    <definedName name="prmedia_rev">#REF!</definedName>
    <definedName name="pro">#REF!</definedName>
    <definedName name="Prod_to_ProdCat">#REF!</definedName>
    <definedName name="ProdCatCodeList">#REF!</definedName>
    <definedName name="PRODMNTH">#REF!</definedName>
    <definedName name="PRODS">#REF!</definedName>
    <definedName name="prodsales">#REF!</definedName>
    <definedName name="productionexp">#REF!</definedName>
    <definedName name="professdevelexp">#REF!</definedName>
    <definedName name="PROFORMA">#REF!</definedName>
    <definedName name="prog_exp">#REF!</definedName>
    <definedName name="PROJ">#REF!</definedName>
    <definedName name="Proj1">#REF!</definedName>
    <definedName name="proj2">#REF!</definedName>
    <definedName name="proj3">#REF!</definedName>
    <definedName name="project">#REF!</definedName>
    <definedName name="projection">#REF!</definedName>
    <definedName name="ProjectName">{"Client Name or Project Name"}</definedName>
    <definedName name="ProjectName_2">{"Project Ossus - Ieffe Tre"}</definedName>
    <definedName name="ProjName">#REF!</definedName>
    <definedName name="Promote">#REF!</definedName>
    <definedName name="prop8">#REF!</definedName>
    <definedName name="prop9">#REF!</definedName>
    <definedName name="protected">#REF!</definedName>
    <definedName name="pts">#REF!</definedName>
    <definedName name="Purchase">#REF!</definedName>
    <definedName name="purchase?">#REF!</definedName>
    <definedName name="purchase_price">#REF!</definedName>
    <definedName name="PY">#REF!</definedName>
    <definedName name="PY_Accounts_Receivable">#REF!</definedName>
    <definedName name="PY_Cash">#REF!</definedName>
    <definedName name="PY_Common_Equity">#REF!</definedName>
    <definedName name="PY_Current_Liabilities">#REF!</definedName>
    <definedName name="PY_Ending_accumulated_earnings">#REF!</definedName>
    <definedName name="PY_Intangible_Assets">#REF!</definedName>
    <definedName name="PY_Inventory">#REF!</definedName>
    <definedName name="PY_LIABIL_EQUITY">#REF!</definedName>
    <definedName name="PY_LT_Debt">#REF!</definedName>
    <definedName name="PY_Marketable_Sec">#REF!</definedName>
    <definedName name="py_net_income">#REF!</definedName>
    <definedName name="PY_Net_income_rep">#REF!</definedName>
    <definedName name="PY_Other_Curr_Assets">#REF!</definedName>
    <definedName name="PY_Other_LT_Assets">#REF!</definedName>
    <definedName name="PY_Other_LT_Liabilities">#REF!</definedName>
    <definedName name="PY_Preferred_Stock">#REF!</definedName>
    <definedName name="PY_QUICK_ASSETS">#REF!</definedName>
    <definedName name="py_ret_earn_beg">#REF!</definedName>
    <definedName name="PY_Retained_Earnings">#REF!</definedName>
    <definedName name="py_share_equity">#REF!</definedName>
    <definedName name="PY_Tangible_Assets">#REF!</definedName>
    <definedName name="PY_TOTAL_ASSETS">#REF!</definedName>
    <definedName name="PY_TOTAL_CURR_ASSETS">#REF!</definedName>
    <definedName name="PY_TOTAL_DEBT">#REF!</definedName>
    <definedName name="PY_TOTAL_EQUITY">#REF!</definedName>
    <definedName name="PY2_Accounts_Receivable">#REF!</definedName>
    <definedName name="PY2_Cash">#REF!</definedName>
    <definedName name="PY2_Common_Equity">#REF!</definedName>
    <definedName name="PY2_Current_Liabilities">#REF!</definedName>
    <definedName name="PY2_Intangible_Assets">#REF!</definedName>
    <definedName name="PY2_Inventory">#REF!</definedName>
    <definedName name="PY2_LIABIL_EQUITY">#REF!</definedName>
    <definedName name="PY2_LT_Debt">#REF!</definedName>
    <definedName name="PY2_Marketable_Sec">#REF!</definedName>
    <definedName name="PY2_Net_income">#REF!</definedName>
    <definedName name="PY2_Other_Curr_Assets">#REF!</definedName>
    <definedName name="PY2_Other_LT_Assets">#REF!</definedName>
    <definedName name="PY2_Other_LT_Liabilities">#REF!</definedName>
    <definedName name="PY2_Preferred_Stock">#REF!</definedName>
    <definedName name="PY2_QUICK_ASSETS">#REF!</definedName>
    <definedName name="PY2_Retained_Earnings">#REF!</definedName>
    <definedName name="PY2_Tangible_Assets">#REF!</definedName>
    <definedName name="PY2_TOTAL_ASSETS">#REF!</definedName>
    <definedName name="PY2_TOTAL_CURR_ASSETS">#REF!</definedName>
    <definedName name="PY2_TOTAL_DEBT">#REF!</definedName>
    <definedName name="PY2_TOTAL_EQUITY">#REF!</definedName>
    <definedName name="PY75PERCENT">#REF!</definedName>
    <definedName name="PYEAR">#REF!</definedName>
    <definedName name="q">#REF!</definedName>
    <definedName name="Q_amort">#REF!</definedName>
    <definedName name="Q_capex">#REF!</definedName>
    <definedName name="Q_corporate">#REF!</definedName>
    <definedName name="Q_depr">#REF!</definedName>
    <definedName name="Q_handsets">#REF!</definedName>
    <definedName name="Q_roamer">#REF!</definedName>
    <definedName name="Q_WC">#REF!</definedName>
    <definedName name="Q_wholesale">#REF!</definedName>
    <definedName name="q1_2003">#REF!</definedName>
    <definedName name="q1gi_rev">#REF!</definedName>
    <definedName name="q1rev">#REF!</definedName>
    <definedName name="q2_2003">#REF!</definedName>
    <definedName name="q2gi_rev">#REF!</definedName>
    <definedName name="q2rev">#REF!</definedName>
    <definedName name="q2rev01">#REF!</definedName>
    <definedName name="q3_2003">#REF!</definedName>
    <definedName name="q3gi_rev">#REF!</definedName>
    <definedName name="q3rev">#REF!</definedName>
    <definedName name="q3rev01">#REF!</definedName>
    <definedName name="q4_2003">#REF!</definedName>
    <definedName name="q4gi_rev">#REF!</definedName>
    <definedName name="q4rev">#REF!</definedName>
    <definedName name="q4rev01">#REF!</definedName>
    <definedName name="Q4th">#REF!</definedName>
    <definedName name="QH">#REF!</definedName>
    <definedName name="QINCOLD">#REF!</definedName>
    <definedName name="Qoperating">#REF!</definedName>
    <definedName name="Qother">#REF!</definedName>
    <definedName name="QREV1">#REF!</definedName>
    <definedName name="QSALESCHG">#REF!</definedName>
    <definedName name="QUARTERLY">#REF!</definedName>
    <definedName name="Quarterly.Margin.Analysis">#REF!</definedName>
    <definedName name="QuarterlyDividend">#REF!</definedName>
    <definedName name="QuarterRecDisb">#REF!</definedName>
    <definedName name="Quarters">#REF!</definedName>
    <definedName name="QUEST">#REF!</definedName>
    <definedName name="QuickRatio">#REF!</definedName>
    <definedName name="QUOTES">#REF!</definedName>
    <definedName name="qw">#REF!</definedName>
    <definedName name="qwew">#REF!</definedName>
    <definedName name="ramp_up_carry">#REF!</definedName>
    <definedName name="ramp_up_carry_int">#REF!</definedName>
    <definedName name="ramp_up_period">#REF!</definedName>
    <definedName name="RandD">#REF!</definedName>
    <definedName name="range">#REF!</definedName>
    <definedName name="Rank_1">#REF!</definedName>
    <definedName name="Rank_10">#REF!</definedName>
    <definedName name="Rank_11">#REF!</definedName>
    <definedName name="Rank_2">#REF!</definedName>
    <definedName name="Rank_3">#REF!</definedName>
    <definedName name="Rank_4">#REF!</definedName>
    <definedName name="Rank_5">#REF!</definedName>
    <definedName name="Rank_6">#REF!</definedName>
    <definedName name="Rank_7">#REF!</definedName>
    <definedName name="Rank_8">#REF!</definedName>
    <definedName name="Rank_9">#REF!</definedName>
    <definedName name="Rankings">[0]!Rankings</definedName>
    <definedName name="Rate">#REF!</definedName>
    <definedName name="rating_rule_moodys">#REF!</definedName>
    <definedName name="rating_table">#REF!</definedName>
    <definedName name="rating_target_moodys">#REF!</definedName>
    <definedName name="ratingsharesum">#REF!</definedName>
    <definedName name="Ratio">#REF!</definedName>
    <definedName name="Re">#REF!</definedName>
    <definedName name="Real_estate___net">#REF!</definedName>
    <definedName name="Realestate">#REF!</definedName>
    <definedName name="Realized">#REF!</definedName>
    <definedName name="Realized\Unrealized">#REF!</definedName>
    <definedName name="RealizedGL">#REF!</definedName>
    <definedName name="RECAP">#REF!</definedName>
    <definedName name="Receivables">#REF!</definedName>
    <definedName name="Record1">#REF!</definedName>
    <definedName name="_xlnm.Recorder">#REF!</definedName>
    <definedName name="Recovery_Input_Fixed">#REF!</definedName>
    <definedName name="Recovery_Input_Floating">#REF!</definedName>
    <definedName name="recovery_rate">#REF!</definedName>
    <definedName name="recovery_vector">#REF!</definedName>
    <definedName name="Recovery1">#REF!</definedName>
    <definedName name="Recurring_escalator">#REF!</definedName>
    <definedName name="redeem">#REF!</definedName>
    <definedName name="redemption_per">#REF!</definedName>
    <definedName name="Ref_1">#REF!</definedName>
    <definedName name="Ref_10">#REF!</definedName>
    <definedName name="Ref_11">#REF!</definedName>
    <definedName name="Ref_12">#REF!</definedName>
    <definedName name="Ref_15">#REF!</definedName>
    <definedName name="Ref_18">#REF!</definedName>
    <definedName name="Ref_2">#REF!</definedName>
    <definedName name="Ref_25">#REF!</definedName>
    <definedName name="Ref_3">#REF!</definedName>
    <definedName name="Ref_4">#REF!</definedName>
    <definedName name="Ref_5">#REF!</definedName>
    <definedName name="Ref_6">#REF!</definedName>
    <definedName name="Ref_7">#REF!</definedName>
    <definedName name="Ref_8">#REF!</definedName>
    <definedName name="Ref_9">#REF!</definedName>
    <definedName name="refin">LEFT(#REF!)="Y"</definedName>
    <definedName name="reight">#REF!</definedName>
    <definedName name="Reimb">#REF!,#REF!,#REF!,#REF!,#REF!,#REF!,#REF!,#REF!,#REF!,#REF!</definedName>
    <definedName name="ReimbThru">#REF!,#REF!,#REF!,#REF!,#REF!,#REF!</definedName>
    <definedName name="ReimbThruMeal">#REF!,#REF!,#REF!,#REF!,#REF!,#REF!</definedName>
    <definedName name="reinvest_per">#REF!</definedName>
    <definedName name="ReinvmtInc">#REF!</definedName>
    <definedName name="ReinvmtRate">#REF!</definedName>
    <definedName name="ReinvmtSpd">#REF!</definedName>
    <definedName name="releven">#REF!</definedName>
    <definedName name="Remaining_Cash">#REF!</definedName>
    <definedName name="Ren_Cancel_Rates_Sens_2001">#REF!</definedName>
    <definedName name="Ren_Comm_Rates">#REF!</definedName>
    <definedName name="Ren_Comm_rates2">#REF!</definedName>
    <definedName name="Ren_Pro_Rata_Comm">#REF!</definedName>
    <definedName name="Ren_Pro_Rata_Rev">#REF!</definedName>
    <definedName name="Renewal_cancels">#REF!</definedName>
    <definedName name="Renewals">#REF!</definedName>
    <definedName name="rep">#REF!,#REF!,#REF!,#REF!</definedName>
    <definedName name="REPL605">#REF!</definedName>
    <definedName name="REPLeight">#REF!</definedName>
    <definedName name="REPLeleven">#REF!</definedName>
    <definedName name="REPLfive">#REF!</definedName>
    <definedName name="REPLfour">#REF!</definedName>
    <definedName name="REPLnine">#REF!</definedName>
    <definedName name="REPLone">#REF!</definedName>
    <definedName name="REPLseven">#REF!</definedName>
    <definedName name="REPLsix">#REF!</definedName>
    <definedName name="REPLten">#REF!</definedName>
    <definedName name="REPLthree">#REF!</definedName>
    <definedName name="REPLtwo">#REF!</definedName>
    <definedName name="repo">#REF!</definedName>
    <definedName name="REPORT">#REF!</definedName>
    <definedName name="ReportedNetIncome">#REF!</definedName>
    <definedName name="ReportedPretaxIncome">#REF!</definedName>
    <definedName name="ReportedTaxes">#REF!</definedName>
    <definedName name="Research">#REF!</definedName>
    <definedName name="Resolute">#REF!</definedName>
    <definedName name="ret">#REF!</definedName>
    <definedName name="Return_CAP_and_Profits">#REF!</definedName>
    <definedName name="ReturnDate">#REF!</definedName>
    <definedName name="rev">#REF!</definedName>
    <definedName name="Rev_96">#REF!</definedName>
    <definedName name="rev_bbc">#REF!</definedName>
    <definedName name="rev_cdrom">#REF!</definedName>
    <definedName name="rev_datastar">#REF!</definedName>
    <definedName name="rev_dialog">#REF!</definedName>
    <definedName name="rev_dti">#REF!</definedName>
    <definedName name="rev_ecommerce">#REF!</definedName>
    <definedName name="rev_kworking">#REF!</definedName>
    <definedName name="rev_other">#REF!</definedName>
    <definedName name="rev_profound">#REF!</definedName>
    <definedName name="rev_sub">#REF!</definedName>
    <definedName name="rev_techlic">#REF!</definedName>
    <definedName name="rev_techroy">#REF!</definedName>
    <definedName name="rev_toolkits">#REF!</definedName>
    <definedName name="rev_virtual">#REF!</definedName>
    <definedName name="RevCommit">#REF!</definedName>
    <definedName name="revenue">#REF!</definedName>
    <definedName name="Revenue_Query">#REF!</definedName>
    <definedName name="revenue10">#REF!</definedName>
    <definedName name="RevenuePFQ2">#REF!</definedName>
    <definedName name="Revenues">#REF!</definedName>
    <definedName name="RevenuesPFQ2">#REF!</definedName>
    <definedName name="Revised">[0]!Revised</definedName>
    <definedName name="Revised1">[0]!Revised1</definedName>
    <definedName name="Revolver_Funded_Amount">#REF!</definedName>
    <definedName name="REVTRIG">#REF!</definedName>
    <definedName name="RevTypeList">#REF!</definedName>
    <definedName name="rfbhi">#REF!</definedName>
    <definedName name="rfborden">#REF!</definedName>
    <definedName name="rfive">#REF!</definedName>
    <definedName name="rfour">#REF!</definedName>
    <definedName name="rfr">#REF!</definedName>
    <definedName name="rfrpp">#REF!</definedName>
    <definedName name="rfrsm">#REF!</definedName>
    <definedName name="RHONDA">#REF!</definedName>
    <definedName name="risk">#REF!</definedName>
    <definedName name="risk_free">#REF!</definedName>
    <definedName name="RIVER">#REF!</definedName>
    <definedName name="rlw">[0]!is1b,[0]!is1c,[0]!STATS2,[0]!STATS3</definedName>
    <definedName name="rnine">#REF!</definedName>
    <definedName name="ro">#REF!</definedName>
    <definedName name="ROA">#REF!</definedName>
    <definedName name="roamer">#REF!</definedName>
    <definedName name="ROE">#REF!</definedName>
    <definedName name="roll_T_options?">#REF!</definedName>
    <definedName name="Rollforward">#REF!</definedName>
    <definedName name="rone">#REF!</definedName>
    <definedName name="ror">#REF!</definedName>
    <definedName name="round">#REF!</definedName>
    <definedName name="row">#REF!</definedName>
    <definedName name="ROYAL1">#REF!</definedName>
    <definedName name="ROYAL2">#REF!</definedName>
    <definedName name="RQD">#REF!</definedName>
    <definedName name="rr">{"p1";"p2";"p3"}</definedName>
    <definedName name="Rs">#REF!</definedName>
    <definedName name="RSA">#REF!</definedName>
    <definedName name="RSD">#REF!</definedName>
    <definedName name="rseven">#REF!</definedName>
    <definedName name="rsix">#REF!</definedName>
    <definedName name="rsixfive">#REF!</definedName>
    <definedName name="RsplusRe">#REF!</definedName>
    <definedName name="RT_Company">#REF!</definedName>
    <definedName name="RtApp">#REF!</definedName>
    <definedName name="rten">#REF!</definedName>
    <definedName name="rtg">[0]!rtg</definedName>
    <definedName name="RtHeader">#REF!</definedName>
    <definedName name="rthree">#REF!</definedName>
    <definedName name="rthst">#REF!</definedName>
    <definedName name="RtISList">#REF!</definedName>
    <definedName name="RTName">#REF!</definedName>
    <definedName name="rtwo">#REF!</definedName>
    <definedName name="RUSSIA">#REF!</definedName>
    <definedName name="RV_BOND_PL_MEX">#REF!,#REF!,#REF!</definedName>
    <definedName name="RV_BOND_PL_PERU">#REF!,#REF!</definedName>
    <definedName name="rymghm">#REF!</definedName>
    <definedName name="S">#REF!</definedName>
    <definedName name="S___P_Industry_Classes">#REF!</definedName>
    <definedName name="S_AcctDes">#REF!</definedName>
    <definedName name="S_Adjust">#REF!</definedName>
    <definedName name="S_Adjust_Data">#REF!</definedName>
    <definedName name="S_Adjust_GT">#REF!</definedName>
    <definedName name="S_AJE_Tot">#REF!</definedName>
    <definedName name="S_AJE_Tot_Data">#REF!</definedName>
    <definedName name="S_AJE_Tot_GT">#REF!</definedName>
    <definedName name="S_CompNum">#REF!</definedName>
    <definedName name="S_CY_Beg">#REF!</definedName>
    <definedName name="S_CY_Beg_Data">#REF!</definedName>
    <definedName name="S_CY_Beg_GT">#REF!</definedName>
    <definedName name="S_CY_End">#REF!</definedName>
    <definedName name="S_CY_End_Data">#REF!</definedName>
    <definedName name="S_CY_End_GT">#REF!</definedName>
    <definedName name="S_Diff_Amt">#REF!</definedName>
    <definedName name="S_Diff_Pct">#REF!</definedName>
    <definedName name="S_GrpNum">#REF!</definedName>
    <definedName name="S_Headings">#REF!</definedName>
    <definedName name="S_KeyValue">#REF!</definedName>
    <definedName name="S_PY_End">#REF!</definedName>
    <definedName name="S_PY_End_Data">#REF!</definedName>
    <definedName name="S_PY_End_GT">#REF!</definedName>
    <definedName name="S_RJE_Tot">#REF!</definedName>
    <definedName name="S_RJE_Tot_Data">#REF!</definedName>
    <definedName name="S_RJE_Tot_GT">#REF!</definedName>
    <definedName name="S_RowNum">#REF!</definedName>
    <definedName name="SA">#REF!</definedName>
    <definedName name="sa_code">#REF!</definedName>
    <definedName name="safx">#REF!</definedName>
    <definedName name="Sale">#REF!</definedName>
    <definedName name="salesexp">#REF!</definedName>
    <definedName name="SAMN">#REF!</definedName>
    <definedName name="SAMN1">#REF!</definedName>
    <definedName name="SAMN2">#REF!</definedName>
    <definedName name="SAPBEXdnldView" hidden="1">"48F37IBBXPOGIPO50I6VRABM9"</definedName>
    <definedName name="SAPBEXsysID" hidden="1">"W1P"</definedName>
    <definedName name="Sata5">#REF!</definedName>
    <definedName name="satatfive">#REF!</definedName>
    <definedName name="satatftve">#REF!</definedName>
    <definedName name="satfive">#REF!</definedName>
    <definedName name="SatLong">#REF!</definedName>
    <definedName name="SavingsPlan?">#REF!</definedName>
    <definedName name="scen_change">#REF!</definedName>
    <definedName name="scenario">#REF!</definedName>
    <definedName name="Scenario_2">#REF!</definedName>
    <definedName name="Scenario_2b">#REF!</definedName>
    <definedName name="Scenario_2cont">#REF!</definedName>
    <definedName name="Scenario_3">#REF!</definedName>
    <definedName name="Scenario_4">#REF!</definedName>
    <definedName name="Scenario_Data">#REF!</definedName>
    <definedName name="SCRB_CAD">#REF!</definedName>
    <definedName name="sd">#REF!</definedName>
    <definedName name="sdf">#REF!</definedName>
    <definedName name="sdfagag">#REF!</definedName>
    <definedName name="sdfs" hidden="1">{#N/A,#N/A,FALSE,"PortfolioStats";#N/A,#N/A,FALSE,"Graphs";#N/A,#N/A,FALSE,"Binomial Expansion";#N/A,#N/A,FALSE,"SP Analysis"}</definedName>
    <definedName name="sdfsdf">#REF!</definedName>
    <definedName name="SecondROI">{"Client Name or Project Name"}</definedName>
    <definedName name="SECS_PRICED">#REF!</definedName>
    <definedName name="sect_POP_prin">#REF!</definedName>
    <definedName name="Section_2">#REF!</definedName>
    <definedName name="securities">#REF!</definedName>
    <definedName name="SECURITY">#REF!</definedName>
    <definedName name="seg">#REF!</definedName>
    <definedName name="semiliquid">#REF!</definedName>
    <definedName name="sencount" hidden="1">1</definedName>
    <definedName name="SendDataCell1">#REF!</definedName>
    <definedName name="SendDataCell2">#REF!</definedName>
    <definedName name="SendDataCell3">#REF!</definedName>
    <definedName name="SendDataCell4">#REF!</definedName>
    <definedName name="senint">#REF!</definedName>
    <definedName name="SeniorRating">#REF!</definedName>
    <definedName name="sens">#REF!</definedName>
    <definedName name="sepRate">#REF!</definedName>
    <definedName name="sept">#REF!</definedName>
    <definedName name="sesc">#REF!</definedName>
    <definedName name="settle_dt">#REF!</definedName>
    <definedName name="sfx">#REF!</definedName>
    <definedName name="sga">#REF!</definedName>
    <definedName name="sga_exp">#REF!</definedName>
    <definedName name="sga_retail">#REF!</definedName>
    <definedName name="sga_whole">#REF!</definedName>
    <definedName name="sgagi">#REF!</definedName>
    <definedName name="SGandA">#REF!</definedName>
    <definedName name="SharePriceLTM">#REF!</definedName>
    <definedName name="SharePricePFY">#REF!</definedName>
    <definedName name="SharePricePFY1">#REF!</definedName>
    <definedName name="SHARES">#REF!</definedName>
    <definedName name="SHARESDILUTED">#REF!</definedName>
    <definedName name="SHEETA">#REF!</definedName>
    <definedName name="SHEETB">#REF!</definedName>
    <definedName name="SHEETC">#REF!</definedName>
    <definedName name="Short_Gains">#REF!</definedName>
    <definedName name="Shorts_Profitability">#REF!</definedName>
    <definedName name="si">#REF!</definedName>
    <definedName name="SICcode">#REF!</definedName>
    <definedName name="silver_ebitda">#REF!</definedName>
    <definedName name="silver_rev">#REF!</definedName>
    <definedName name="sim">#REF!</definedName>
    <definedName name="Simul_Date">#REF!</definedName>
    <definedName name="SIND">#REF!</definedName>
    <definedName name="siteplanning1">#REF!</definedName>
    <definedName name="Situazione_finale">#REF!</definedName>
    <definedName name="SMCapData">#REF!</definedName>
    <definedName name="smr">#REF!</definedName>
    <definedName name="SMT">#REF!</definedName>
    <definedName name="SNP_Trunc_Rating">#REF!</definedName>
    <definedName name="softwareamortization">#REF!</definedName>
    <definedName name="solver_lin" hidden="1">0</definedName>
    <definedName name="solver_num" hidden="1">0</definedName>
    <definedName name="solver_typ" hidden="1">3</definedName>
    <definedName name="solver_val" hidden="1">0.6</definedName>
    <definedName name="sortkey">#REF!</definedName>
    <definedName name="source">#REF!</definedName>
    <definedName name="SP_Actual_Default">#REF!</definedName>
    <definedName name="SP_CDR">#REF!</definedName>
    <definedName name="SP_Class">#REF!</definedName>
    <definedName name="SP_Class_Recovery">#REF!</definedName>
    <definedName name="sp_f">#REF!</definedName>
    <definedName name="SP_Interest_Default">#REF!</definedName>
    <definedName name="SP_LIBOR">#REF!</definedName>
    <definedName name="SP_Loss">#REF!</definedName>
    <definedName name="SP_Principal_Default">#REF!</definedName>
    <definedName name="SP_Refrange1">#REF!</definedName>
    <definedName name="SP_Refrange10">#REF!</definedName>
    <definedName name="SP_Refrange2">#REF!</definedName>
    <definedName name="SP_Refrange3">#REF!</definedName>
    <definedName name="SP_Refrange4">#REF!</definedName>
    <definedName name="SP_Refrange5">#REF!</definedName>
    <definedName name="SP_Refrange6">#REF!</definedName>
    <definedName name="SP_Refrange7">#REF!</definedName>
    <definedName name="SP_Refrange8">#REF!</definedName>
    <definedName name="SP_Refrange9">#REF!</definedName>
    <definedName name="SP_Run_BEs">#REF!</definedName>
    <definedName name="SP_Run_Class">#REF!</definedName>
    <definedName name="SP_Run_Mix">#REF!</definedName>
    <definedName name="SP_RunCombo">#REF!</definedName>
    <definedName name="SP_Shortfall">#REF!</definedName>
    <definedName name="SP_Use_Actual_BE">#REF!</definedName>
    <definedName name="Spaces">"      "</definedName>
    <definedName name="spbhi">#REF!</definedName>
    <definedName name="spborden">#REF!</definedName>
    <definedName name="SPECIAL_INSTRUCTIONS">#REF!</definedName>
    <definedName name="SpecialFeesColumn">#REF!</definedName>
    <definedName name="SpecialFeesRow">#REF!</definedName>
    <definedName name="SpecialFeesTable">#REF!</definedName>
    <definedName name="SPEL_AUD">#REF!</definedName>
    <definedName name="SPEL_CAD">#REF!</definedName>
    <definedName name="SPEL_CHF">#REF!</definedName>
    <definedName name="SPEL_EUR">#REF!</definedName>
    <definedName name="SPEL_GBP">#REF!</definedName>
    <definedName name="SPEL_USD">#REF!</definedName>
    <definedName name="SpK_Paste">OFFSET(#REF!,MATCH(def_prog,#REF!,0),MATCH(LIBOR_shock,#REF!,0))</definedName>
    <definedName name="Sprd_Widening">#REF!</definedName>
    <definedName name="Spread">#REF!</definedName>
    <definedName name="spread_market">#REF!</definedName>
    <definedName name="sprpp">#REF!</definedName>
    <definedName name="sprsm">#REF!</definedName>
    <definedName name="sqft">#REF!</definedName>
    <definedName name="SRCode1">#REF!</definedName>
    <definedName name="SrSec_Spread">#REF!</definedName>
    <definedName name="ssal">#REF!</definedName>
    <definedName name="ssrates">#REF!</definedName>
    <definedName name="Start">#REF!</definedName>
    <definedName name="start_date">#REF!</definedName>
    <definedName name="Start_Table">#REF!</definedName>
    <definedName name="Status">#REF!</definedName>
    <definedName name="Status2">#REF!</definedName>
    <definedName name="stc">#REF!</definedName>
    <definedName name="STD">#REF!</definedName>
    <definedName name="Std_Curves">#REF!</definedName>
    <definedName name="stdalne_Scenario_1_List">#REF!</definedName>
    <definedName name="SteamSaleAdjustments">#REF!</definedName>
    <definedName name="SteeringData">#REF!</definedName>
    <definedName name="STEP">#REF!</definedName>
    <definedName name="stInt">#REF!</definedName>
    <definedName name="stockexp">#REF!</definedName>
    <definedName name="stress">#REF!</definedName>
    <definedName name="stub">#REF!</definedName>
    <definedName name="stuff2" hidden="1">{#N/A,#N/A,FALSE,"Aging Summary";#N/A,#N/A,FALSE,"Ratio Analysis";#N/A,#N/A,FALSE,"Test 120 Day Accts";#N/A,#N/A,FALSE,"Tickmarks"}</definedName>
    <definedName name="sub_rev">#REF!</definedName>
    <definedName name="submgtfee_sr">#REF!</definedName>
    <definedName name="submgtfee_sub">#REF!</definedName>
    <definedName name="SubordinatedRating">#REF!</definedName>
    <definedName name="SUBS">#REF!</definedName>
    <definedName name="Subsc_Price">#REF!</definedName>
    <definedName name="sum">#REF!</definedName>
    <definedName name="sum_CFs">#REF!</definedName>
    <definedName name="Summary">#REF!</definedName>
    <definedName name="summiteminfo">#REF!</definedName>
    <definedName name="super">#REF!</definedName>
    <definedName name="sw">[0]!sw</definedName>
    <definedName name="Swag">#REF!</definedName>
    <definedName name="Sweep">#REF!</definedName>
    <definedName name="Sweep2">#REF!</definedName>
    <definedName name="switz_10_31_00">#REF!</definedName>
    <definedName name="switz_10_31_01">#REF!</definedName>
    <definedName name="switz_avg">#REF!</definedName>
    <definedName name="switz_divest">#REF!</definedName>
    <definedName name="syn">#REF!</definedName>
    <definedName name="syndicatedgrowth">#REF!</definedName>
    <definedName name="syndicatedrev">#REF!</definedName>
    <definedName name="Synergies">#REF!</definedName>
    <definedName name="T">#REF!</definedName>
    <definedName name="table">#REF!</definedName>
    <definedName name="table_84">#REF!</definedName>
    <definedName name="TableA_T1">#REF!</definedName>
    <definedName name="TableA_T2">#REF!</definedName>
    <definedName name="TableA_T3">#REF!</definedName>
    <definedName name="TableB_T1">#REF!</definedName>
    <definedName name="TableB_T2">#REF!</definedName>
    <definedName name="TableB_T3">#REF!</definedName>
    <definedName name="TangibleBook">#REF!</definedName>
    <definedName name="Targ1">#REF!</definedName>
    <definedName name="Target">#REF!</definedName>
    <definedName name="Target_Par">#REF!</definedName>
    <definedName name="targeted">#REF!</definedName>
    <definedName name="TargetLboProjection">#REF!</definedName>
    <definedName name="tat14backhaul">#REF!</definedName>
    <definedName name="tau">#REF!</definedName>
    <definedName name="tax">#REF!</definedName>
    <definedName name="tax_rate">#REF!</definedName>
    <definedName name="Taxes">#REF!</definedName>
    <definedName name="taxr">#REF!</definedName>
    <definedName name="TaxRate">#REF!</definedName>
    <definedName name="TB">#REF!</definedName>
    <definedName name="tbjun05">#REF!</definedName>
    <definedName name="tbol00">#REF!</definedName>
    <definedName name="tbsept">#REF!</definedName>
    <definedName name="tbsept05">#REF!</definedName>
    <definedName name="TCAPR3">#REF!</definedName>
    <definedName name="TCGI">#REF!</definedName>
    <definedName name="TCISIX">#REF!</definedName>
    <definedName name="TCISX">#REF!</definedName>
    <definedName name="TCNBS">#REF!</definedName>
    <definedName name="TCREPLACE">#REF!</definedName>
    <definedName name="tdep">#REF!</definedName>
    <definedName name="tel_no">#REF!</definedName>
    <definedName name="telcoexp">#REF!</definedName>
    <definedName name="Temp">#REF!,#REF!</definedName>
    <definedName name="Tenants__security_deposits">#REF!</definedName>
    <definedName name="tenone">#REF!</definedName>
    <definedName name="TENoOne">#REF!</definedName>
    <definedName name="TENoTwo">#REF!</definedName>
    <definedName name="tentwo">#REF!</definedName>
    <definedName name="term">#REF!</definedName>
    <definedName name="test">[0]!test</definedName>
    <definedName name="test_date">#REF!</definedName>
    <definedName name="test2">[0]!test2</definedName>
    <definedName name="TextRefCopy1">#REF!</definedName>
    <definedName name="TextRefCopy10">#REF!</definedName>
    <definedName name="TextRefCopy11">#REF!</definedName>
    <definedName name="TextRefCopy2">#REF!</definedName>
    <definedName name="TextRefCopy3">#REF!</definedName>
    <definedName name="TextRefCopy4">#REF!</definedName>
    <definedName name="TextRefCopy5">#REF!</definedName>
    <definedName name="TextRefCopy7">#REF!</definedName>
    <definedName name="TextRefCopy8">#REF!</definedName>
    <definedName name="TextRefCopy9">#REF!</definedName>
    <definedName name="TextRefCopyRangeCount" hidden="1">14</definedName>
    <definedName name="th">#REF!</definedName>
    <definedName name="the">[0]!is1b,[0]!is1c,[0]!STATS2,[0]!STATS3</definedName>
    <definedName name="theo">0.0000007579</definedName>
    <definedName name="Third_Party_Contr">#REF!</definedName>
    <definedName name="thres">#REF!</definedName>
    <definedName name="Threshold">#REF!</definedName>
    <definedName name="threshold2">#REF!</definedName>
    <definedName name="thresshold2">#REF!</definedName>
    <definedName name="tick">#REF!</definedName>
    <definedName name="Ticker">#REF!</definedName>
    <definedName name="Ticker_default">#REF!</definedName>
    <definedName name="ticker2">#REF!</definedName>
    <definedName name="time">#REF!</definedName>
    <definedName name="Timestamp">#REF!</definedName>
    <definedName name="TM">#REF!</definedName>
    <definedName name="TO_">#REF!</definedName>
    <definedName name="To_main_menu">[0]!To_main_menu</definedName>
    <definedName name="To_printing_menu">[0]!To_printing_menu</definedName>
    <definedName name="today_dt">#REF!</definedName>
    <definedName name="TOP">#REF!</definedName>
    <definedName name="topcomp">#REF!</definedName>
    <definedName name="topcopy">#REF!</definedName>
    <definedName name="topfoot">#REF!</definedName>
    <definedName name="TOPSEG">#REF!</definedName>
    <definedName name="Tot_Comm">#REF!</definedName>
    <definedName name="TOTAL_A_GAAP_2006">#REF!</definedName>
    <definedName name="TOTAL_A_TAX_2006">#REF!</definedName>
    <definedName name="TOTAL_B_GAAP_2006">#REF!</definedName>
    <definedName name="TOTAL_B_TAX_2006">#REF!</definedName>
    <definedName name="TOTAL_C_GAAP_2006">#REF!</definedName>
    <definedName name="TOTAL_C_TAX_2006">#REF!</definedName>
    <definedName name="TOTAL_C1_GAAP_2006">#REF!</definedName>
    <definedName name="TOTAL_C1_TAX_2006">#REF!</definedName>
    <definedName name="TOTAL_C2_GAAP_2006">#REF!</definedName>
    <definedName name="TOTAL_C2_TAX_2006">#REF!</definedName>
    <definedName name="Total_CAD">#REF!</definedName>
    <definedName name="total_cap">#REF!</definedName>
    <definedName name="Total_Cost">#REF!</definedName>
    <definedName name="Total_Cost1">#REF!</definedName>
    <definedName name="TOTAL_D_GAAP_2006">#REF!</definedName>
    <definedName name="TOTAL_D_TAX_2006">#REF!</definedName>
    <definedName name="TOTAL_D1_GAAP_2006">#REF!</definedName>
    <definedName name="TOTAL_D1_TAX_2006">#REF!</definedName>
    <definedName name="TOTAL_D2_GAAP_2006">#REF!</definedName>
    <definedName name="TOTAL_D2_TAX_2006">#REF!</definedName>
    <definedName name="TOTAL_E_GAAP_2006">#REF!</definedName>
    <definedName name="TOTAL_E_TAX_2006">#REF!</definedName>
    <definedName name="TOTAL_F_GAAP_2006">#REF!</definedName>
    <definedName name="TOTAL_F_TAX_2006">#REF!</definedName>
    <definedName name="TOTAL_G_GAAP_2006">#REF!</definedName>
    <definedName name="TOTAL_G_TAX_2006">#REF!</definedName>
    <definedName name="Total_GBP">#REF!</definedName>
    <definedName name="TOTAL_H_GAAP_2006">#REF!</definedName>
    <definedName name="TOTAL_H_TAX_2006">#REF!</definedName>
    <definedName name="TOTAL_I_GAAP_2006">#REF!</definedName>
    <definedName name="TOTAL_I_TAX_2006">#REF!</definedName>
    <definedName name="Total_ISIX_Spacecraft_Cost">#REF!</definedName>
    <definedName name="TOTAL_J_GAAP_2006">#REF!</definedName>
    <definedName name="TOTAL_J_TAX_2004">#REF!</definedName>
    <definedName name="TOTAL_J_TAX_2006">#REF!</definedName>
    <definedName name="Total_JPY">#REF!</definedName>
    <definedName name="total_net_debt">#REF!</definedName>
    <definedName name="Total_NOK">#REF!</definedName>
    <definedName name="TOTAL_XA_GAAP_2006">#REF!</definedName>
    <definedName name="TOTAL_XA_TAX_2006">#REF!</definedName>
    <definedName name="TOTAL_XB_TAX_2006">#REF!</definedName>
    <definedName name="TOTAL_XC_GAAP_2006">#REF!</definedName>
    <definedName name="TOTAL_XC_TAX_2006">#REF!</definedName>
    <definedName name="TOTAL_XD_GAAP_2006">#REF!</definedName>
    <definedName name="TOTAL_XD_TAX_2006">#REF!</definedName>
    <definedName name="TOTAL_XE_GAAP_2006">#REF!</definedName>
    <definedName name="TOTAL_XE_TAX_2006">#REF!</definedName>
    <definedName name="TOTAL_XF_GAAP_2006">#REF!</definedName>
    <definedName name="TOTAL_XF_TAX_2006">#REF!</definedName>
    <definedName name="TOTAL_XG_GAAP_2006">#REF!</definedName>
    <definedName name="TOTAL_XG_TAX_2006">#REF!</definedName>
    <definedName name="TOTAL_XH_GAAP_2006">#REF!</definedName>
    <definedName name="TOTAL_XH_TAX_2006">#REF!</definedName>
    <definedName name="TOTAL_XI_GAAP_2006">#REF!</definedName>
    <definedName name="TOTAL_XI_TAX_2006">#REF!</definedName>
    <definedName name="TOTAL_XJ_GAAP_2006">#REF!</definedName>
    <definedName name="TOTAL_XJ_TAX_2006">#REF!</definedName>
    <definedName name="TOTAL_XZ_GAAP_2006">#REF!</definedName>
    <definedName name="TOTAL_XZ_TAX_2006">#REF!</definedName>
    <definedName name="TOTAL_Z_GAAP_2006">#REF!</definedName>
    <definedName name="TOTAL_Z_TAX_2006">#REF!</definedName>
    <definedName name="TotalAssets">#REF!</definedName>
    <definedName name="TotalCap">#REF!</definedName>
    <definedName name="TotalCapitalization">#REF!</definedName>
    <definedName name="TotalDebt">#REF!</definedName>
    <definedName name="Totals">#REF!</definedName>
    <definedName name="TotalSE">#REF!</definedName>
    <definedName name="TOTALXB_GAAP_2006">#REF!</definedName>
    <definedName name="TR_Input_T1">#REF!</definedName>
    <definedName name="TR_Input_T2">#REF!</definedName>
    <definedName name="TR_Input_T3">#REF!</definedName>
    <definedName name="Trading">#REF!</definedName>
    <definedName name="trading_gain_percent">#REF!</definedName>
    <definedName name="Tranche_Break">#REF!</definedName>
    <definedName name="Tranche_for_BE">#REF!</definedName>
    <definedName name="TRANS">#REF!</definedName>
    <definedName name="TransactionType">#REF!</definedName>
    <definedName name="transfeecolumn">#REF!</definedName>
    <definedName name="transfeerow">#REF!</definedName>
    <definedName name="transfeetable">#REF!</definedName>
    <definedName name="TRANSFROM">#REF!</definedName>
    <definedName name="transitexp">#REF!</definedName>
    <definedName name="TRANSTO">#REF!</definedName>
    <definedName name="travelexp">#REF!</definedName>
    <definedName name="Trial">#REF!</definedName>
    <definedName name="Trials">#REF!</definedName>
    <definedName name="trim">289.5</definedName>
    <definedName name="trustee_asof_date">#REF!</definedName>
    <definedName name="TSA_Fee">#REF!</definedName>
    <definedName name="tscapex">#REF!</definedName>
    <definedName name="TSY_LONG_MV">#REF!</definedName>
    <definedName name="TSY_PRICES">#REF!</definedName>
    <definedName name="TSY_SHORT_MV">#REF!</definedName>
    <definedName name="tyjuj">#REF!</definedName>
    <definedName name="Typist" hidden="1">"b1"</definedName>
    <definedName name="tyreter">#REF!</definedName>
    <definedName name="UAG">#REF!</definedName>
    <definedName name="údag">#REF!</definedName>
    <definedName name="UEF_Data_Range">#REF!</definedName>
    <definedName name="UEF_Data_Range03">#REF!</definedName>
    <definedName name="UEF_Performance">#REF!</definedName>
    <definedName name="Uit">[0]!Uit</definedName>
    <definedName name="UkFund4Deals">#REF!</definedName>
    <definedName name="UkFund5Deals">#REF!</definedName>
    <definedName name="ukfx">#REF!</definedName>
    <definedName name="unallocatedexp">#REF!</definedName>
    <definedName name="Unearned_rental_revenue">#REF!</definedName>
    <definedName name="UnitFlag">#REF!</definedName>
    <definedName name="units">#REF!</definedName>
    <definedName name="unquoted">#REF!</definedName>
    <definedName name="Unrealized">#REF!+#REF!</definedName>
    <definedName name="Unrealized_GL">#REF!</definedName>
    <definedName name="Update">#REF!</definedName>
    <definedName name="ups">#REF!</definedName>
    <definedName name="URO">#REF!</definedName>
    <definedName name="USDLIBOR">#REF!</definedName>
    <definedName name="usemcb">LEFT(#REF!)="Y"</definedName>
    <definedName name="User_Lib">#REF!</definedName>
    <definedName name="USFOOD">#REF!</definedName>
    <definedName name="usoffvaluecapex">#REF!</definedName>
    <definedName name="ust">#REF!</definedName>
    <definedName name="UST_Live">#REF!</definedName>
    <definedName name="utility_matrix">#REF!</definedName>
    <definedName name="V">[0]!V</definedName>
    <definedName name="val_date">#REF!</definedName>
    <definedName name="valdate">#REF!</definedName>
    <definedName name="VALIDACCOUNT">#REF!</definedName>
    <definedName name="ValidAccountName">#REF!</definedName>
    <definedName name="ValidAcctName">[0]!ValidAcctName</definedName>
    <definedName name="ValidAcctNumber">#REF!</definedName>
    <definedName name="VALU1">#REF!</definedName>
    <definedName name="VALU1a">#REF!</definedName>
    <definedName name="VALU1b">#REF!</definedName>
    <definedName name="VALU1c">#REF!</definedName>
    <definedName name="VALUATION">#REF!</definedName>
    <definedName name="valuation_matrix">#REF!</definedName>
    <definedName name="VALUE">#REF!</definedName>
    <definedName name="VALUECOMPARISON">#REF!</definedName>
    <definedName name="valuedcf">#REF!</definedName>
    <definedName name="VALUEDT">#REF!</definedName>
    <definedName name="VALUEMULT">#REF!</definedName>
    <definedName name="VALUESUM">#REF!</definedName>
    <definedName name="variable">#REF!</definedName>
    <definedName name="variablecosts">#REF!</definedName>
    <definedName name="vb">#REF!</definedName>
    <definedName name="vbbdf">#REF!</definedName>
    <definedName name="vefdfvd">#REF!</definedName>
    <definedName name="vendorexp">#REF!</definedName>
    <definedName name="Version" hidden="1">"a1"</definedName>
    <definedName name="vesting_grade">#REF!</definedName>
    <definedName name="VICE_PRESIDENTS">#REF!</definedName>
    <definedName name="VOL">#REF!</definedName>
    <definedName name="volatility">#REF!</definedName>
    <definedName name="volbhi">#REF!</definedName>
    <definedName name="volborden">#REF!</definedName>
    <definedName name="volrpp">#REF!</definedName>
    <definedName name="volrsm">#REF!</definedName>
    <definedName name="VSYN_JPY">#REF!</definedName>
    <definedName name="VSYN_USD">#REF!</definedName>
    <definedName name="w">[0]!is1b,[0]!is1c,[0]!STATS2,[0]!STATS3</definedName>
    <definedName name="Wacc">#REF!</definedName>
    <definedName name="WACCi">#REF!</definedName>
    <definedName name="waep">#REF!</definedName>
    <definedName name="WAPP">#REF!</definedName>
    <definedName name="WARF">#REF!</definedName>
    <definedName name="WASOfullyDiluted">#REF!</definedName>
    <definedName name="WASOprimary">#REF!</definedName>
    <definedName name="wcperc">#REF!</definedName>
    <definedName name="wcpinn">#REF!</definedName>
    <definedName name="webarpu">#REF!</definedName>
    <definedName name="webhostingrev">#REF!</definedName>
    <definedName name="weekly_vol">#REF!</definedName>
    <definedName name="weqweqwe">#REF!</definedName>
    <definedName name="wer">#REF!</definedName>
    <definedName name="weyer">#REF!</definedName>
    <definedName name="wholesale">#REF!</definedName>
    <definedName name="Widening_Scenario">#REF!</definedName>
    <definedName name="Widening_Time">#REF!</definedName>
    <definedName name="WirelessBackhaul">#REF!</definedName>
    <definedName name="wirelessbackhaul1">#REF!</definedName>
    <definedName name="WORKINVEST">#REF!</definedName>
    <definedName name="worksheet">#REF!</definedName>
    <definedName name="wrn.Aging._.and._.Trend._.Analysis." hidden="1">{#N/A,#N/A,FALSE,"Aging Summary";#N/A,#N/A,FALSE,"Ratio Analysis";#N/A,#N/A,FALSE,"Test 120 Day Accts";#N/A,#N/A,FALSE,"Tickmarks"}</definedName>
    <definedName name="wrn.AGN._.MODELS." hidden="1">{"QTRINC1",#N/A,FALSE,"QTRINC";"QTRINC2",#N/A,FALSE,"QTRINC";"QTRSALES",#N/A,FALSE,"QTRSALES";"ANNSALES",#N/A,FALSE,"ANNSALES";"CASHFLOW",#N/A,FALSE,"CASHFLOW"}</definedName>
    <definedName name="wrn.all." hidden="1">{#N/A,#N/A,FALSE,"assumptions";#N/A,#N/A,FALSE,"v_projcy";#N/A,#N/A,FALSE,"tar_proj";#N/A,#N/A,FALSE,"contrib_annual";#N/A,#N/A,FALSE,"Proforma";#N/A,#N/A,FALSE,"purc_97";#N/A,#N/A,FALSE,"syn_purc_97";#N/A,#N/A,FALSE,"pool_97";#N/A,#N/A,FALSE,"syn_pool_97";#N/A,#N/A,FALSE,"pool1_FY2"}</definedName>
    <definedName name="wrn.Base." hidden="1">{#N/A,#N/A,FALSE,"PortfolioStats";#N/A,#N/A,FALSE,"Graphs";#N/A,#N/A,FALSE,"Binomial Expansion";#N/A,#N/A,FALSE,"SP Analysis"}</definedName>
    <definedName name="wrn.Belgium." hidden="1">{"Input",#N/A,FALSE,"Belgium";"Cash Flow Statement",#N/A,FALSE,"Belgium";"Cash Flow Worksheet",#N/A,FALSE,"Belgium";"Trial Balance - CY",#N/A,FALSE,"Belgium";"Trial Balance - PY",#N/A,FALSE,"Belgium"}</definedName>
    <definedName name="wrn.BudgetPrintAll." hidden="1">{"BudgetPrint_Analysis",#N/A,TRUE,"Desktop Summary";"BudgetPrintPage1",#N/A,TRUE,"Desktop";"BudgetPrintPage2-n",#N/A,TRUE,"Desktop";"BudgetPrintCapitalPage1-n",#N/A,TRUE,"Capital"}</definedName>
    <definedName name="wrn.BudgetPrintAnalysis." hidden="1">{"BudgetPrint_Analysis",#N/A,FALSE,"Desktop Summary";"BudgetPrintPage1",#N/A,FALSE,"Desktop";"BudgetPrintCapitalPage1-n",#N/A,FALSE,"Capital"}</definedName>
    <definedName name="wrn.Capaciy._.Management._.Report." hidden="1">{#N/A,#N/A,FALSE,"EXTRNL";#N/A,#N/A,FALSE,"302L";#N/A,#N/A,FALSE,"401CL";#N/A,#N/A,FALSE,"303L";#N/A,#N/A,FALSE,"402CL";#N/A,#N/A,FALSE,"401KL";#N/A,#N/A,FALSE,"402KL"}</definedName>
    <definedName name="wrn.Full._.Report." hidden="1">{"Assumptions",#N/A,FALSE,"Sheet1";"Main Report",#N/A,FALSE,"Sheet1";"Results",#N/A,FALSE,"Sheet1";"Advances",#N/A,FALSE,"Sheet1"}</definedName>
    <definedName name="wrn.FY97SBP." hidden="1">{#N/A,#N/A,FALSE,"FY97";#N/A,#N/A,FALSE,"FY98";#N/A,#N/A,FALSE,"FY99";#N/A,#N/A,FALSE,"FY00";#N/A,#N/A,FALSE,"FY01"}</definedName>
    <definedName name="wrn.input._.and._.output." hidden="1">{"EBITDA",#N/A,TRUE,"P&amp;L Net of Disc Ops";"output net of disc ops",#N/A,TRUE,"Revenue";"input",#N/A,TRUE,"Revenue";"output",#N/A,TRUE,"DC";"Input",#N/A,TRUE,"DC";"MTN and MCN",#N/A,TRUE,"Margin";"output detail line items",#N/A,TRUE,"SGA";"personnel by year",#N/A,TRUE,"Payroll";#N/A,#N/A,TRUE,"CapEx"}</definedName>
    <definedName name="wrn.IPO._.Valuation." hidden="1">{"assumptions",#N/A,FALSE,"Scenario 1";"valuation",#N/A,FALSE,"Scenario 1"}</definedName>
    <definedName name="wrn.LBO._.Summary." hidden="1">{"LBO Summary",#N/A,FALSE,"Summary"}</definedName>
    <definedName name="wrn.Leases.xls." hidden="1">{#N/A,#N/A,FALSE,"Initial Year";#N/A,#N/A,FALSE,"Historical";#N/A,#N/A,FALSE,"balsheet";#N/A,#N/A,FALSE,"incstate";#N/A,#N/A,FALSE,"Fleet"}</definedName>
    <definedName name="wrn.MODELS." hidden="1">{"QTRINC",#N/A,FALSE,"QTRINC";"MARGIN",#N/A,FALSE,"MARGIN";"SALES1",#N/A,FALSE,"SALES";"SALES2",#N/A,FALSE,"SALES";"CASHFLOW",#N/A,FALSE,"CASHFLOW"}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whatever" hidden="1">{"BudgetPrint_Analysis",#N/A,TRUE,"Desktop Summary";"BudgetPrintPage1",#N/A,TRUE,"Desktop";"BudgetPrintPage2-n",#N/A,TRUE,"Desktop";"BudgetPrintCapitalPage1-n",#N/A,TRUE,"Capital"}</definedName>
    <definedName name="wsd_growth">#REF!</definedName>
    <definedName name="wsp_column">#REF!</definedName>
    <definedName name="Wtd_Ren_Rate_Sens_2001">#REF!</definedName>
    <definedName name="WW">[0]!is1b,[0]!is1c,[0]!STATS2,[0]!STATS3</definedName>
    <definedName name="X">#REF!</definedName>
    <definedName name="xbhi">#REF!</definedName>
    <definedName name="xborden">#REF!</definedName>
    <definedName name="xccy_notl">#REF!</definedName>
    <definedName name="XDO_?c1?">#REF!</definedName>
    <definedName name="XDO_?c1ColHeadLine?">#REF!</definedName>
    <definedName name="XDO_?c2?">#REF!</definedName>
    <definedName name="XDO_?c2ColHeadLine?">#REF!</definedName>
    <definedName name="XDO_?c3?">#REF!</definedName>
    <definedName name="XDO_?c3ColHeadLine?">#REF!</definedName>
    <definedName name="XDO_?c4?">#REF!</definedName>
    <definedName name="XDO_?c4ColHeadLine?">#REF!</definedName>
    <definedName name="XDO_?c5?">#REF!</definedName>
    <definedName name="XDO_?c5ColHeadLine?">#REF!</definedName>
    <definedName name="XDO_?c6?">#REF!</definedName>
    <definedName name="XDO_?c6ColHeadLine?">#REF!</definedName>
    <definedName name="XDO_?c7?">#REF!</definedName>
    <definedName name="XDO_?c7ColHeadLine?">#REF!</definedName>
    <definedName name="XDO_?c8?">#REF!</definedName>
    <definedName name="XDO_?c8ColHeadLine?">#REF!</definedName>
    <definedName name="XDO_?c9?">#REF!</definedName>
    <definedName name="XDO_?c99?">#REF!</definedName>
    <definedName name="XDO_?c9ColHeadLine?">#REF!</definedName>
    <definedName name="XDO_?CompanyName?">#REF!</definedName>
    <definedName name="XDO_?CompanyNameHeader?">#REF!</definedName>
    <definedName name="XDO_?CompanyNameStatic?">#REF!</definedName>
    <definedName name="XDO_?DateTZ?">#REF!</definedName>
    <definedName name="XDO_?ReportName?">#REF!</definedName>
    <definedName name="XDO_?RunDateHeader?">#REF!</definedName>
    <definedName name="XDO_?UserName?">#REF!</definedName>
    <definedName name="XDO_?UserNameHeader?">#REF!</definedName>
    <definedName name="XDO_?UserNameStatic?">#REF!</definedName>
    <definedName name="XDO_GROUP_?Transaction?">#REF!</definedName>
    <definedName name="xm">#REF!</definedName>
    <definedName name="xr">#REF!</definedName>
    <definedName name="xRange10001">#REF!</definedName>
    <definedName name="xRange10002">#REF!</definedName>
    <definedName name="xRange10010">#REF!</definedName>
    <definedName name="XRatio">#REF!</definedName>
    <definedName name="XREF_COLUMN_1" hidden="1">#REF!</definedName>
    <definedName name="XREF_COLUMN_2" hidden="1">#REF!</definedName>
    <definedName name="XREF_COLUMN_3" hidden="1">#REF!</definedName>
    <definedName name="XRefActiveRow" hidden="1">#REF!</definedName>
    <definedName name="XRefColumnsCount" hidden="1">3</definedName>
    <definedName name="XRefCopy1" hidden="1">#REF!</definedName>
    <definedName name="XRefCopy1Row" hidden="1">#REF!</definedName>
    <definedName name="XRefCopy2Row" hidden="1">#REF!</definedName>
    <definedName name="XRefCopyRangeCount" hidden="1">1</definedName>
    <definedName name="XRefPaste1" hidden="1">#REF!</definedName>
    <definedName name="XRefPaste1Row" hidden="1">#REF!</definedName>
    <definedName name="XRefPaste2" hidden="1">#REF!</definedName>
    <definedName name="XRefPaste2Row" hidden="1">#REF!</definedName>
    <definedName name="XRefPasteRangeCount" hidden="1">2</definedName>
    <definedName name="xrpp">#REF!</definedName>
    <definedName name="xrsm">#REF!</definedName>
    <definedName name="xx" hidden="1">{#N/A,#N/A,FALSE,"FY97";#N/A,#N/A,FALSE,"FY98";#N/A,#N/A,FALSE,"FY99";#N/A,#N/A,FALSE,"FY00";#N/A,#N/A,FALSE,"FY01"}</definedName>
    <definedName name="xxx">[0]!xxx</definedName>
    <definedName name="ÿ">#REF!</definedName>
    <definedName name="yaccrued">#REF!</definedName>
    <definedName name="ycoupon">#REF!</definedName>
    <definedName name="Year_column">#REF!</definedName>
    <definedName name="Year1CashInterest">SUMPRODUCT(#REF!,#REF!)</definedName>
    <definedName name="yearly701">#REF!</definedName>
    <definedName name="yearly702">#REF!</definedName>
    <definedName name="yearly704">#REF!</definedName>
    <definedName name="yearly705">#REF!</definedName>
    <definedName name="YEARplus1">#REF!</definedName>
    <definedName name="YearPlus1PE">#REF!</definedName>
    <definedName name="Yearplus2">#REF!</definedName>
    <definedName name="YearPlus2PE">#REF!</definedName>
    <definedName name="YearPlus3">#REF!</definedName>
    <definedName name="YenXC">#REF!</definedName>
    <definedName name="yFitchRatingFactor">#REF!</definedName>
    <definedName name="YHYHH">#REF!</definedName>
    <definedName name="yield_title">#REF!</definedName>
    <definedName name="Yother">#REF!</definedName>
    <definedName name="ypar">#REF!</definedName>
    <definedName name="ypool">#REF!</definedName>
    <definedName name="yprice">#REF!</definedName>
    <definedName name="yr">#REF!</definedName>
    <definedName name="ySpread">#REF!</definedName>
    <definedName name="YTD">#REF!,#REF!,#REF!,#REF!,#REF!,#REF!,#REF!,#REF!,#REF!</definedName>
    <definedName name="YTDnov">#REF!</definedName>
    <definedName name="yType">#REF!</definedName>
    <definedName name="yuor">[0]!yuor</definedName>
    <definedName name="yyy">[0]!yyy</definedName>
    <definedName name="z">[0]!z</definedName>
    <definedName name="za">#REF!</definedName>
    <definedName name="zaccint">#REF!</definedName>
    <definedName name="zAccruedtoClose">#REF!</definedName>
    <definedName name="zAccruedtoRamp">#REF!</definedName>
    <definedName name="zCountry">#REF!</definedName>
    <definedName name="zCoupon">#REF!</definedName>
    <definedName name="zCoupons2FirstPay">#REF!</definedName>
    <definedName name="zCurrency">#REF!</definedName>
    <definedName name="zCUSIPrange">#REF!</definedName>
    <definedName name="zDayCount">#REF!</definedName>
    <definedName name="zf\">[0]!zf\</definedName>
    <definedName name="zFacility150">#REF!</definedName>
    <definedName name="zFirstCoupon">#REF!</definedName>
    <definedName name="zFixed">#REF!</definedName>
    <definedName name="zFPIfromClose">#REF!</definedName>
    <definedName name="zIntAccrueDate">#REF!</definedName>
    <definedName name="zip">#REF!</definedName>
    <definedName name="zIssuerDivPtsCurrent">#REF!</definedName>
    <definedName name="zIssuerOC_MV">#REF!</definedName>
    <definedName name="zIssuers">#REF!</definedName>
    <definedName name="zMarketPrice">#REF!</definedName>
    <definedName name="zmastermv">#REF!</definedName>
    <definedName name="zMatt">#REF!</definedName>
    <definedName name="zMDur">#REF!</definedName>
    <definedName name="zmfpar">#REF!</definedName>
    <definedName name="zMoodysIndustry">#REF!</definedName>
    <definedName name="zMoodysIssuers">#REF!</definedName>
    <definedName name="zMV_OC">#REF!</definedName>
    <definedName name="zMVcurrent">#REF!</definedName>
    <definedName name="zMVindustry">#REF!</definedName>
    <definedName name="zMVtarget">#REF!</definedName>
    <definedName name="zNextCall">#REF!</definedName>
    <definedName name="zNextCallPrice">#REF!</definedName>
    <definedName name="zNonPerforming">#REF!</definedName>
    <definedName name="zpar">#REF!</definedName>
    <definedName name="zParCall">#REF!</definedName>
    <definedName name="zParSettled">#REF!</definedName>
    <definedName name="zParTarget">#REF!</definedName>
    <definedName name="zpool">#REF!</definedName>
    <definedName name="zPoolA">#REF!</definedName>
    <definedName name="zPoolB">#REF!</definedName>
    <definedName name="zPoolC">#REF!</definedName>
    <definedName name="zpoolf">#REF!</definedName>
    <definedName name="zpoolg">#REF!</definedName>
    <definedName name="zs">#REF!</definedName>
    <definedName name="zsdgsdg">#REF!</definedName>
    <definedName name="zSecurities">#REF!</definedName>
    <definedName name="zSeniority">#REF!</definedName>
    <definedName name="zSnPIndustry">#REF!</definedName>
    <definedName name="zspemv">#REF!</definedName>
    <definedName name="zspepar">#REF!</definedName>
    <definedName name="zStatus">#REF!</definedName>
    <definedName name="zSub_Unsec">#REF!</definedName>
    <definedName name="zSubPool">#REF!</definedName>
    <definedName name="zWorstDate">#REF!</definedName>
    <definedName name="zxcvzxcvzx">#REF!</definedName>
    <definedName name="zYieldCost">#REF!</definedName>
  </definedNames>
  <calcPr calcId="191028"/>
  <pivotCaches>
    <pivotCache cacheId="14379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5" i="9" l="1"/>
  <c r="G20" i="36"/>
  <c r="G22" i="36"/>
  <c r="C20" i="36"/>
  <c r="C22" i="36"/>
  <c r="R3" i="33"/>
  <c r="Q3" i="33"/>
  <c r="S3" i="33" s="1"/>
  <c r="W4" i="10" l="1"/>
  <c r="W5" i="10"/>
  <c r="W6" i="10"/>
  <c r="W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3" i="10"/>
  <c r="Y4" i="10"/>
  <c r="Y5" i="10"/>
  <c r="Y6" i="10"/>
  <c r="Y7" i="10"/>
  <c r="Y8" i="10"/>
  <c r="Y9" i="10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53" i="10"/>
  <c r="Y3" i="10"/>
  <c r="C36" i="24" l="1"/>
  <c r="L25" i="9"/>
  <c r="G3" i="9"/>
  <c r="G7" i="32"/>
  <c r="G8" i="32"/>
  <c r="G9" i="32"/>
  <c r="G10" i="32"/>
  <c r="G11" i="32"/>
  <c r="G12" i="32"/>
  <c r="G13" i="32"/>
  <c r="G14" i="32"/>
  <c r="G1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55" i="32"/>
  <c r="G56" i="32"/>
  <c r="G57" i="32"/>
  <c r="G58" i="32"/>
  <c r="G59" i="32"/>
  <c r="G60" i="32"/>
  <c r="G61" i="32"/>
  <c r="G62" i="32"/>
  <c r="G63" i="32"/>
  <c r="G64" i="32"/>
  <c r="G65" i="32"/>
  <c r="G66" i="32"/>
  <c r="G67" i="32"/>
  <c r="G68" i="32"/>
  <c r="G69" i="32"/>
  <c r="G70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83" i="32"/>
  <c r="G84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97" i="32"/>
  <c r="G98" i="32"/>
  <c r="G99" i="32"/>
  <c r="G100" i="32"/>
  <c r="G101" i="32"/>
  <c r="G102" i="32"/>
  <c r="G103" i="32"/>
  <c r="G104" i="32"/>
  <c r="G105" i="32"/>
  <c r="G106" i="32"/>
  <c r="G107" i="32"/>
  <c r="G108" i="32"/>
  <c r="G109" i="32"/>
  <c r="G110" i="32"/>
  <c r="G111" i="32"/>
  <c r="G112" i="32"/>
  <c r="G113" i="32"/>
  <c r="G114" i="32"/>
  <c r="G115" i="32"/>
  <c r="G116" i="32"/>
  <c r="G117" i="32"/>
  <c r="G118" i="32"/>
  <c r="G119" i="32"/>
  <c r="G120" i="32"/>
  <c r="G121" i="32"/>
  <c r="G122" i="32"/>
  <c r="G123" i="32"/>
  <c r="G124" i="32"/>
  <c r="G125" i="32"/>
  <c r="G126" i="32"/>
  <c r="G127" i="32"/>
  <c r="G128" i="32"/>
  <c r="G129" i="32"/>
  <c r="G130" i="32"/>
  <c r="G131" i="32"/>
  <c r="G132" i="32"/>
  <c r="G133" i="32"/>
  <c r="G134" i="32"/>
  <c r="G135" i="32"/>
  <c r="G136" i="32"/>
  <c r="G137" i="32"/>
  <c r="G138" i="32"/>
  <c r="G139" i="32"/>
  <c r="G140" i="32"/>
  <c r="G141" i="32"/>
  <c r="G142" i="32"/>
  <c r="G143" i="32"/>
  <c r="G144" i="32"/>
  <c r="G145" i="32"/>
  <c r="G146" i="32"/>
  <c r="G147" i="32"/>
  <c r="G148" i="32"/>
  <c r="G149" i="32"/>
  <c r="G150" i="32"/>
  <c r="G151" i="32"/>
  <c r="G152" i="32"/>
  <c r="G153" i="32"/>
  <c r="G154" i="32"/>
  <c r="G155" i="32"/>
  <c r="G156" i="32"/>
  <c r="G157" i="32"/>
  <c r="G158" i="32"/>
  <c r="G159" i="32"/>
  <c r="G160" i="32"/>
  <c r="G161" i="32"/>
  <c r="G162" i="32"/>
  <c r="G163" i="32"/>
  <c r="G164" i="32"/>
  <c r="G165" i="32"/>
  <c r="G166" i="32"/>
  <c r="G167" i="32"/>
  <c r="G168" i="32"/>
  <c r="G169" i="32"/>
  <c r="G170" i="32"/>
  <c r="G171" i="32"/>
  <c r="G172" i="32"/>
  <c r="G173" i="32"/>
  <c r="G174" i="32"/>
  <c r="G175" i="32"/>
  <c r="G176" i="32"/>
  <c r="G177" i="32"/>
  <c r="G178" i="32"/>
  <c r="G179" i="32"/>
  <c r="G180" i="32"/>
  <c r="G181" i="32"/>
  <c r="G182" i="32"/>
  <c r="G183" i="32"/>
  <c r="G184" i="32"/>
  <c r="G185" i="32"/>
  <c r="G186" i="32"/>
  <c r="G187" i="32"/>
  <c r="G188" i="32"/>
  <c r="G189" i="32"/>
  <c r="G190" i="32"/>
  <c r="G191" i="32"/>
  <c r="G192" i="32"/>
  <c r="G193" i="32"/>
  <c r="G194" i="32"/>
  <c r="G195" i="32"/>
  <c r="G196" i="32"/>
  <c r="G197" i="32"/>
  <c r="G198" i="32"/>
  <c r="G199" i="32"/>
  <c r="G200" i="32"/>
  <c r="G201" i="32"/>
  <c r="G202" i="32"/>
  <c r="G203" i="32"/>
  <c r="G204" i="32"/>
  <c r="G205" i="32"/>
  <c r="G206" i="32"/>
  <c r="G207" i="32"/>
  <c r="G208" i="32"/>
  <c r="G209" i="32"/>
  <c r="G210" i="32"/>
  <c r="G211" i="32"/>
  <c r="G212" i="32"/>
  <c r="G213" i="32"/>
  <c r="G214" i="32"/>
  <c r="G215" i="32"/>
  <c r="G216" i="32"/>
  <c r="G217" i="32"/>
  <c r="G218" i="32"/>
  <c r="G219" i="32"/>
  <c r="G220" i="32"/>
  <c r="G221" i="32"/>
  <c r="G222" i="32"/>
  <c r="G223" i="32"/>
  <c r="G224" i="32"/>
  <c r="G225" i="32"/>
  <c r="G226" i="32"/>
  <c r="G227" i="32"/>
  <c r="G228" i="32"/>
  <c r="G229" i="32"/>
  <c r="G230" i="32"/>
  <c r="G231" i="32"/>
  <c r="G232" i="32"/>
  <c r="G233" i="32"/>
  <c r="G234" i="32"/>
  <c r="G235" i="32"/>
  <c r="G236" i="32"/>
  <c r="G237" i="32"/>
  <c r="G238" i="32"/>
  <c r="G239" i="32"/>
  <c r="G240" i="32"/>
  <c r="G241" i="32"/>
  <c r="G242" i="32"/>
  <c r="G243" i="32"/>
  <c r="G244" i="32"/>
  <c r="G245" i="32"/>
  <c r="G246" i="32"/>
  <c r="G247" i="32"/>
  <c r="G248" i="32"/>
  <c r="G249" i="32"/>
  <c r="G250" i="32"/>
  <c r="G251" i="32"/>
  <c r="G252" i="32"/>
  <c r="G253" i="32"/>
  <c r="G254" i="32"/>
  <c r="G255" i="32"/>
  <c r="G256" i="32"/>
  <c r="G257" i="32"/>
  <c r="G258" i="32"/>
  <c r="G259" i="32"/>
  <c r="G260" i="32"/>
  <c r="G261" i="32"/>
  <c r="G262" i="32"/>
  <c r="G263" i="32"/>
  <c r="G264" i="32"/>
  <c r="G265" i="32"/>
  <c r="G266" i="32"/>
  <c r="G267" i="32"/>
  <c r="G268" i="32"/>
  <c r="G269" i="32"/>
  <c r="G270" i="32"/>
  <c r="G271" i="32"/>
  <c r="G272" i="32"/>
  <c r="G273" i="32"/>
  <c r="G274" i="32"/>
  <c r="G275" i="32"/>
  <c r="G276" i="32"/>
  <c r="G277" i="32"/>
  <c r="G278" i="32"/>
  <c r="G279" i="32"/>
  <c r="G280" i="32"/>
  <c r="G281" i="32"/>
  <c r="G282" i="32"/>
  <c r="G283" i="32"/>
  <c r="G284" i="32"/>
  <c r="G285" i="32"/>
  <c r="G286" i="32"/>
  <c r="G287" i="32"/>
  <c r="G288" i="32"/>
  <c r="G289" i="32"/>
  <c r="G290" i="32"/>
  <c r="G291" i="32"/>
  <c r="G292" i="32"/>
  <c r="G293" i="32"/>
  <c r="G294" i="32"/>
  <c r="G295" i="32"/>
  <c r="G296" i="32"/>
  <c r="G297" i="32"/>
  <c r="G298" i="32"/>
  <c r="G299" i="32"/>
  <c r="G300" i="32"/>
  <c r="G301" i="32"/>
  <c r="G302" i="32"/>
  <c r="G303" i="32"/>
  <c r="G304" i="32"/>
  <c r="G305" i="32"/>
  <c r="G306" i="32"/>
  <c r="G307" i="32"/>
  <c r="G308" i="32"/>
  <c r="G309" i="32"/>
  <c r="G310" i="32"/>
  <c r="G311" i="32"/>
  <c r="G312" i="32"/>
  <c r="G313" i="32"/>
  <c r="G314" i="32"/>
  <c r="G315" i="32"/>
  <c r="G316" i="32"/>
  <c r="G317" i="32"/>
  <c r="G318" i="32"/>
  <c r="G319" i="32"/>
  <c r="G320" i="32"/>
  <c r="G321" i="32"/>
  <c r="G322" i="32"/>
  <c r="G323" i="32"/>
  <c r="G324" i="32"/>
  <c r="G325" i="32"/>
  <c r="G326" i="32"/>
  <c r="G327" i="32"/>
  <c r="G328" i="32"/>
  <c r="G329" i="32"/>
  <c r="G330" i="32"/>
  <c r="G331" i="32"/>
  <c r="G332" i="32"/>
  <c r="G333" i="32"/>
  <c r="G334" i="32"/>
  <c r="G335" i="32"/>
  <c r="G336" i="32"/>
  <c r="G337" i="32"/>
  <c r="G338" i="32"/>
  <c r="G339" i="32"/>
  <c r="G340" i="32"/>
  <c r="G341" i="32"/>
  <c r="G342" i="32"/>
  <c r="G343" i="32"/>
  <c r="G344" i="32"/>
  <c r="G345" i="32"/>
  <c r="G346" i="32"/>
  <c r="G347" i="32"/>
  <c r="G348" i="32"/>
  <c r="G349" i="32"/>
  <c r="G350" i="32"/>
  <c r="G351" i="32"/>
  <c r="G352" i="32"/>
  <c r="G353" i="32"/>
  <c r="G354" i="32"/>
  <c r="G355" i="32"/>
  <c r="G356" i="32"/>
  <c r="G357" i="32"/>
  <c r="G358" i="32"/>
  <c r="G359" i="32"/>
  <c r="G360" i="32"/>
  <c r="G361" i="32"/>
  <c r="G362" i="32"/>
  <c r="G363" i="32"/>
  <c r="G364" i="32"/>
  <c r="G365" i="32"/>
  <c r="G366" i="32"/>
  <c r="G367" i="32"/>
  <c r="G368" i="32"/>
  <c r="G369" i="32"/>
  <c r="G370" i="32"/>
  <c r="G371" i="32"/>
  <c r="G372" i="32"/>
  <c r="G373" i="32"/>
  <c r="G374" i="32"/>
  <c r="G375" i="32"/>
  <c r="G376" i="32"/>
  <c r="G377" i="32"/>
  <c r="G378" i="32"/>
  <c r="G379" i="32"/>
  <c r="G380" i="32"/>
  <c r="G381" i="32"/>
  <c r="G382" i="32"/>
  <c r="G383" i="32"/>
  <c r="G384" i="32"/>
  <c r="G385" i="32"/>
  <c r="G386" i="32"/>
  <c r="G387" i="32"/>
  <c r="G388" i="32"/>
  <c r="G389" i="32"/>
  <c r="G390" i="32"/>
  <c r="G391" i="32"/>
  <c r="G392" i="32"/>
  <c r="G393" i="32"/>
  <c r="G394" i="32"/>
  <c r="G395" i="32"/>
  <c r="G396" i="32"/>
  <c r="G397" i="32"/>
  <c r="G398" i="32"/>
  <c r="G399" i="32"/>
  <c r="G400" i="32"/>
  <c r="G401" i="32"/>
  <c r="G402" i="32"/>
  <c r="G403" i="32"/>
  <c r="G404" i="32"/>
  <c r="G405" i="32"/>
  <c r="G406" i="32"/>
  <c r="G407" i="32"/>
  <c r="G408" i="32"/>
  <c r="G409" i="32"/>
  <c r="G410" i="32"/>
  <c r="G411" i="32"/>
  <c r="G412" i="32"/>
  <c r="G413" i="32"/>
  <c r="G414" i="32"/>
  <c r="G415" i="32"/>
  <c r="G416" i="32"/>
  <c r="G417" i="32"/>
  <c r="G418" i="32"/>
  <c r="G419" i="32"/>
  <c r="G420" i="32"/>
  <c r="G421" i="32"/>
  <c r="G422" i="32"/>
  <c r="G423" i="32"/>
  <c r="G424" i="32"/>
  <c r="G6" i="32"/>
  <c r="C40" i="19"/>
  <c r="C39" i="19"/>
  <c r="K5000" i="12"/>
  <c r="K4999" i="12"/>
  <c r="K4998" i="12"/>
  <c r="K4997" i="12"/>
  <c r="K4996" i="12"/>
  <c r="K4995" i="12"/>
  <c r="K4994" i="12"/>
  <c r="K4993" i="12"/>
  <c r="K4992" i="12"/>
  <c r="K4991" i="12"/>
  <c r="K4990" i="12"/>
  <c r="K4989" i="12"/>
  <c r="K4988" i="12"/>
  <c r="K4987" i="12"/>
  <c r="K4986" i="12"/>
  <c r="K4985" i="12"/>
  <c r="K4984" i="12"/>
  <c r="K4983" i="12"/>
  <c r="K4982" i="12"/>
  <c r="K4981" i="12"/>
  <c r="K4980" i="12"/>
  <c r="K4979" i="12"/>
  <c r="K4978" i="12"/>
  <c r="K4977" i="12"/>
  <c r="K4976" i="12"/>
  <c r="K4975" i="12"/>
  <c r="K4974" i="12"/>
  <c r="K4973" i="12"/>
  <c r="K4972" i="12"/>
  <c r="K4971" i="12"/>
  <c r="K4970" i="12"/>
  <c r="K4969" i="12"/>
  <c r="K4968" i="12"/>
  <c r="K4967" i="12"/>
  <c r="K4966" i="12"/>
  <c r="K4965" i="12"/>
  <c r="K4964" i="12"/>
  <c r="K4963" i="12"/>
  <c r="K4962" i="12"/>
  <c r="K4961" i="12"/>
  <c r="K4960" i="12"/>
  <c r="K4959" i="12"/>
  <c r="K4958" i="12"/>
  <c r="K4957" i="12"/>
  <c r="K4956" i="12"/>
  <c r="K4955" i="12"/>
  <c r="K4954" i="12"/>
  <c r="K4953" i="12"/>
  <c r="K4952" i="12"/>
  <c r="K4951" i="12"/>
  <c r="K4950" i="12"/>
  <c r="K4949" i="12"/>
  <c r="K4948" i="12"/>
  <c r="K4947" i="12"/>
  <c r="K4946" i="12"/>
  <c r="K4945" i="12"/>
  <c r="K4944" i="12"/>
  <c r="K4943" i="12"/>
  <c r="K4942" i="12"/>
  <c r="K4941" i="12"/>
  <c r="K4940" i="12"/>
  <c r="K4939" i="12"/>
  <c r="K4938" i="12"/>
  <c r="K4937" i="12"/>
  <c r="K4936" i="12"/>
  <c r="K4935" i="12"/>
  <c r="K4934" i="12"/>
  <c r="K4933" i="12"/>
  <c r="K4932" i="12"/>
  <c r="K4931" i="12"/>
  <c r="K4930" i="12"/>
  <c r="K4929" i="12"/>
  <c r="K4928" i="12"/>
  <c r="K4927" i="12"/>
  <c r="K4926" i="12"/>
  <c r="K4925" i="12"/>
  <c r="K4924" i="12"/>
  <c r="K4923" i="12"/>
  <c r="K4922" i="12"/>
  <c r="K4921" i="12"/>
  <c r="K4920" i="12"/>
  <c r="K4919" i="12"/>
  <c r="K4918" i="12"/>
  <c r="K4917" i="12"/>
  <c r="K4916" i="12"/>
  <c r="K4915" i="12"/>
  <c r="K4914" i="12"/>
  <c r="K4913" i="12"/>
  <c r="K4912" i="12"/>
  <c r="K4911" i="12"/>
  <c r="K4910" i="12"/>
  <c r="K4909" i="12"/>
  <c r="K4908" i="12"/>
  <c r="K4907" i="12"/>
  <c r="K4906" i="12"/>
  <c r="K4905" i="12"/>
  <c r="K4904" i="12"/>
  <c r="K4903" i="12"/>
  <c r="K4902" i="12"/>
  <c r="K4901" i="12"/>
  <c r="K4900" i="12"/>
  <c r="K4899" i="12"/>
  <c r="K4898" i="12"/>
  <c r="K4897" i="12"/>
  <c r="K4896" i="12"/>
  <c r="K4895" i="12"/>
  <c r="K4894" i="12"/>
  <c r="K4893" i="12"/>
  <c r="K4892" i="12"/>
  <c r="K4891" i="12"/>
  <c r="K4890" i="12"/>
  <c r="K4889" i="12"/>
  <c r="K4888" i="12"/>
  <c r="K4887" i="12"/>
  <c r="K4886" i="12"/>
  <c r="K4885" i="12"/>
  <c r="K4884" i="12"/>
  <c r="K4883" i="12"/>
  <c r="K4882" i="12"/>
  <c r="K4881" i="12"/>
  <c r="K4880" i="12"/>
  <c r="K4879" i="12"/>
  <c r="K4878" i="12"/>
  <c r="K4877" i="12"/>
  <c r="K4876" i="12"/>
  <c r="K4875" i="12"/>
  <c r="K4874" i="12"/>
  <c r="K4873" i="12"/>
  <c r="K4872" i="12"/>
  <c r="K4871" i="12"/>
  <c r="K4870" i="12"/>
  <c r="K4869" i="12"/>
  <c r="K4868" i="12"/>
  <c r="K4867" i="12"/>
  <c r="K4866" i="12"/>
  <c r="K4865" i="12"/>
  <c r="K4864" i="12"/>
  <c r="K4863" i="12"/>
  <c r="K4862" i="12"/>
  <c r="K4861" i="12"/>
  <c r="K4860" i="12"/>
  <c r="K4859" i="12"/>
  <c r="K4858" i="12"/>
  <c r="K4857" i="12"/>
  <c r="K4856" i="12"/>
  <c r="K4855" i="12"/>
  <c r="K4854" i="12"/>
  <c r="K4853" i="12"/>
  <c r="K4852" i="12"/>
  <c r="K4851" i="12"/>
  <c r="K4850" i="12"/>
  <c r="K4849" i="12"/>
  <c r="K4848" i="12"/>
  <c r="K4847" i="12"/>
  <c r="K4846" i="12"/>
  <c r="K4845" i="12"/>
  <c r="K4844" i="12"/>
  <c r="K4843" i="12"/>
  <c r="K4842" i="12"/>
  <c r="K4841" i="12"/>
  <c r="K4840" i="12"/>
  <c r="K4839" i="12"/>
  <c r="K4838" i="12"/>
  <c r="K4837" i="12"/>
  <c r="K4836" i="12"/>
  <c r="K4835" i="12"/>
  <c r="K4834" i="12"/>
  <c r="K4833" i="12"/>
  <c r="K4832" i="12"/>
  <c r="K4831" i="12"/>
  <c r="K4830" i="12"/>
  <c r="K4829" i="12"/>
  <c r="K4828" i="12"/>
  <c r="K4827" i="12"/>
  <c r="K4826" i="12"/>
  <c r="K4825" i="12"/>
  <c r="K4824" i="12"/>
  <c r="K4823" i="12"/>
  <c r="K4822" i="12"/>
  <c r="K4821" i="12"/>
  <c r="K4820" i="12"/>
  <c r="K4819" i="12"/>
  <c r="K4818" i="12"/>
  <c r="K4817" i="12"/>
  <c r="K4816" i="12"/>
  <c r="K4815" i="12"/>
  <c r="K4814" i="12"/>
  <c r="K4813" i="12"/>
  <c r="K4812" i="12"/>
  <c r="K4811" i="12"/>
  <c r="K4810" i="12"/>
  <c r="K4809" i="12"/>
  <c r="K4808" i="12"/>
  <c r="K4807" i="12"/>
  <c r="K4806" i="12"/>
  <c r="K4805" i="12"/>
  <c r="K4804" i="12"/>
  <c r="K4803" i="12"/>
  <c r="K4802" i="12"/>
  <c r="K4801" i="12"/>
  <c r="K4800" i="12"/>
  <c r="K4799" i="12"/>
  <c r="K4798" i="12"/>
  <c r="K4797" i="12"/>
  <c r="K4796" i="12"/>
  <c r="K4795" i="12"/>
  <c r="K4794" i="12"/>
  <c r="K4793" i="12"/>
  <c r="K4792" i="12"/>
  <c r="K4791" i="12"/>
  <c r="K4790" i="12"/>
  <c r="K4789" i="12"/>
  <c r="K4788" i="12"/>
  <c r="K4787" i="12"/>
  <c r="K4786" i="12"/>
  <c r="K4785" i="12"/>
  <c r="K4784" i="12"/>
  <c r="K4783" i="12"/>
  <c r="K4782" i="12"/>
  <c r="K4781" i="12"/>
  <c r="K4780" i="12"/>
  <c r="K4779" i="12"/>
  <c r="K4778" i="12"/>
  <c r="K4777" i="12"/>
  <c r="K4776" i="12"/>
  <c r="K4775" i="12"/>
  <c r="K4774" i="12"/>
  <c r="K4773" i="12"/>
  <c r="K4772" i="12"/>
  <c r="K4771" i="12"/>
  <c r="K4770" i="12"/>
  <c r="K4769" i="12"/>
  <c r="K4768" i="12"/>
  <c r="K4767" i="12"/>
  <c r="K4766" i="12"/>
  <c r="K4765" i="12"/>
  <c r="K4764" i="12"/>
  <c r="K4763" i="12"/>
  <c r="K4762" i="12"/>
  <c r="K4761" i="12"/>
  <c r="K4760" i="12"/>
  <c r="K4759" i="12"/>
  <c r="K4758" i="12"/>
  <c r="K4757" i="12"/>
  <c r="K4756" i="12"/>
  <c r="K4755" i="12"/>
  <c r="K4754" i="12"/>
  <c r="K4753" i="12"/>
  <c r="K4752" i="12"/>
  <c r="K4751" i="12"/>
  <c r="K4750" i="12"/>
  <c r="K4749" i="12"/>
  <c r="K4748" i="12"/>
  <c r="K4747" i="12"/>
  <c r="K4746" i="12"/>
  <c r="K4745" i="12"/>
  <c r="K4744" i="12"/>
  <c r="K4743" i="12"/>
  <c r="K4742" i="12"/>
  <c r="K4741" i="12"/>
  <c r="K4740" i="12"/>
  <c r="K4739" i="12"/>
  <c r="K4738" i="12"/>
  <c r="K4737" i="12"/>
  <c r="K4736" i="12"/>
  <c r="K4735" i="12"/>
  <c r="K4734" i="12"/>
  <c r="K4733" i="12"/>
  <c r="K4732" i="12"/>
  <c r="K4731" i="12"/>
  <c r="K4730" i="12"/>
  <c r="K4729" i="12"/>
  <c r="K4728" i="12"/>
  <c r="K4727" i="12"/>
  <c r="K4726" i="12"/>
  <c r="K4725" i="12"/>
  <c r="K4724" i="12"/>
  <c r="K4723" i="12"/>
  <c r="K4722" i="12"/>
  <c r="K4721" i="12"/>
  <c r="K4720" i="12"/>
  <c r="K4719" i="12"/>
  <c r="K4718" i="12"/>
  <c r="K4717" i="12"/>
  <c r="K4716" i="12"/>
  <c r="K4715" i="12"/>
  <c r="K4714" i="12"/>
  <c r="K4713" i="12"/>
  <c r="K4712" i="12"/>
  <c r="K4711" i="12"/>
  <c r="K4710" i="12"/>
  <c r="K4709" i="12"/>
  <c r="K4708" i="12"/>
  <c r="K4707" i="12"/>
  <c r="K4706" i="12"/>
  <c r="K4705" i="12"/>
  <c r="K4704" i="12"/>
  <c r="K4703" i="12"/>
  <c r="K4702" i="12"/>
  <c r="K4701" i="12"/>
  <c r="K4700" i="12"/>
  <c r="K4699" i="12"/>
  <c r="K4698" i="12"/>
  <c r="K4697" i="12"/>
  <c r="K4696" i="12"/>
  <c r="K4695" i="12"/>
  <c r="K4694" i="12"/>
  <c r="K4693" i="12"/>
  <c r="K4692" i="12"/>
  <c r="K4691" i="12"/>
  <c r="K4690" i="12"/>
  <c r="K4689" i="12"/>
  <c r="K4688" i="12"/>
  <c r="K4687" i="12"/>
  <c r="K4686" i="12"/>
  <c r="K4685" i="12"/>
  <c r="K4684" i="12"/>
  <c r="K4683" i="12"/>
  <c r="K4682" i="12"/>
  <c r="K4681" i="12"/>
  <c r="K4680" i="12"/>
  <c r="K4679" i="12"/>
  <c r="K4678" i="12"/>
  <c r="K4677" i="12"/>
  <c r="K4676" i="12"/>
  <c r="K4675" i="12"/>
  <c r="K4674" i="12"/>
  <c r="K4673" i="12"/>
  <c r="K4672" i="12"/>
  <c r="K4671" i="12"/>
  <c r="K4670" i="12"/>
  <c r="K4669" i="12"/>
  <c r="K4668" i="12"/>
  <c r="K4667" i="12"/>
  <c r="K4666" i="12"/>
  <c r="K4665" i="12"/>
  <c r="K4664" i="12"/>
  <c r="K4663" i="12"/>
  <c r="K4662" i="12"/>
  <c r="K4661" i="12"/>
  <c r="K4660" i="12"/>
  <c r="K4659" i="12"/>
  <c r="K4658" i="12"/>
  <c r="K4657" i="12"/>
  <c r="K4656" i="12"/>
  <c r="K4655" i="12"/>
  <c r="K4654" i="12"/>
  <c r="K4653" i="12"/>
  <c r="K4652" i="12"/>
  <c r="K4651" i="12"/>
  <c r="K4650" i="12"/>
  <c r="K4649" i="12"/>
  <c r="K4648" i="12"/>
  <c r="K4647" i="12"/>
  <c r="K4646" i="12"/>
  <c r="K4645" i="12"/>
  <c r="K4644" i="12"/>
  <c r="K4643" i="12"/>
  <c r="K4642" i="12"/>
  <c r="K4641" i="12"/>
  <c r="K4640" i="12"/>
  <c r="K4639" i="12"/>
  <c r="K4638" i="12"/>
  <c r="K4637" i="12"/>
  <c r="K4636" i="12"/>
  <c r="K4635" i="12"/>
  <c r="K4634" i="12"/>
  <c r="K4633" i="12"/>
  <c r="K4632" i="12"/>
  <c r="K4631" i="12"/>
  <c r="K4630" i="12"/>
  <c r="K4629" i="12"/>
  <c r="K4628" i="12"/>
  <c r="K4627" i="12"/>
  <c r="K4626" i="12"/>
  <c r="K4625" i="12"/>
  <c r="K4624" i="12"/>
  <c r="K4623" i="12"/>
  <c r="K4622" i="12"/>
  <c r="K4621" i="12"/>
  <c r="K4620" i="12"/>
  <c r="K4619" i="12"/>
  <c r="K4618" i="12"/>
  <c r="K4617" i="12"/>
  <c r="K4616" i="12"/>
  <c r="K4615" i="12"/>
  <c r="K4614" i="12"/>
  <c r="K4613" i="12"/>
  <c r="K4612" i="12"/>
  <c r="K4611" i="12"/>
  <c r="K4610" i="12"/>
  <c r="K4609" i="12"/>
  <c r="K4608" i="12"/>
  <c r="K4607" i="12"/>
  <c r="K4606" i="12"/>
  <c r="K4605" i="12"/>
  <c r="K4604" i="12"/>
  <c r="K4603" i="12"/>
  <c r="K4602" i="12"/>
  <c r="K4601" i="12"/>
  <c r="K4600" i="12"/>
  <c r="K4599" i="12"/>
  <c r="K4598" i="12"/>
  <c r="K4597" i="12"/>
  <c r="K4596" i="12"/>
  <c r="K4595" i="12"/>
  <c r="K4594" i="12"/>
  <c r="K4593" i="12"/>
  <c r="K4592" i="12"/>
  <c r="K4591" i="12"/>
  <c r="K4590" i="12"/>
  <c r="K4589" i="12"/>
  <c r="K4588" i="12"/>
  <c r="K4587" i="12"/>
  <c r="K4586" i="12"/>
  <c r="K4585" i="12"/>
  <c r="K4584" i="12"/>
  <c r="K4583" i="12"/>
  <c r="K4582" i="12"/>
  <c r="K4581" i="12"/>
  <c r="K4580" i="12"/>
  <c r="K4579" i="12"/>
  <c r="K4578" i="12"/>
  <c r="K4577" i="12"/>
  <c r="K4576" i="12"/>
  <c r="K4575" i="12"/>
  <c r="K4574" i="12"/>
  <c r="K4573" i="12"/>
  <c r="K4572" i="12"/>
  <c r="K4571" i="12"/>
  <c r="K4570" i="12"/>
  <c r="K4569" i="12"/>
  <c r="K4568" i="12"/>
  <c r="K4567" i="12"/>
  <c r="K4566" i="12"/>
  <c r="K4565" i="12"/>
  <c r="K4564" i="12"/>
  <c r="K4563" i="12"/>
  <c r="K4562" i="12"/>
  <c r="K4561" i="12"/>
  <c r="K4560" i="12"/>
  <c r="K4559" i="12"/>
  <c r="K4558" i="12"/>
  <c r="K4557" i="12"/>
  <c r="K4556" i="12"/>
  <c r="K4555" i="12"/>
  <c r="K4554" i="12"/>
  <c r="K4553" i="12"/>
  <c r="K4552" i="12"/>
  <c r="K4551" i="12"/>
  <c r="K4550" i="12"/>
  <c r="K4549" i="12"/>
  <c r="K4548" i="12"/>
  <c r="K4547" i="12"/>
  <c r="K4546" i="12"/>
  <c r="K4545" i="12"/>
  <c r="K4544" i="12"/>
  <c r="K4543" i="12"/>
  <c r="K4542" i="12"/>
  <c r="K4541" i="12"/>
  <c r="K4540" i="12"/>
  <c r="K4539" i="12"/>
  <c r="K4538" i="12"/>
  <c r="K4537" i="12"/>
  <c r="K4536" i="12"/>
  <c r="K4535" i="12"/>
  <c r="K4534" i="12"/>
  <c r="K4533" i="12"/>
  <c r="K4532" i="12"/>
  <c r="K4531" i="12"/>
  <c r="K4530" i="12"/>
  <c r="K4529" i="12"/>
  <c r="K4528" i="12"/>
  <c r="K4527" i="12"/>
  <c r="K4526" i="12"/>
  <c r="K4525" i="12"/>
  <c r="K4524" i="12"/>
  <c r="K4523" i="12"/>
  <c r="K4522" i="12"/>
  <c r="K4521" i="12"/>
  <c r="K4520" i="12"/>
  <c r="K4519" i="12"/>
  <c r="K4518" i="12"/>
  <c r="K4517" i="12"/>
  <c r="K4516" i="12"/>
  <c r="K4515" i="12"/>
  <c r="K4514" i="12"/>
  <c r="K4513" i="12"/>
  <c r="K4512" i="12"/>
  <c r="K4511" i="12"/>
  <c r="K4510" i="12"/>
  <c r="K4509" i="12"/>
  <c r="K4508" i="12"/>
  <c r="K4507" i="12"/>
  <c r="K4506" i="12"/>
  <c r="K4505" i="12"/>
  <c r="K4504" i="12"/>
  <c r="K4503" i="12"/>
  <c r="K4502" i="12"/>
  <c r="K4501" i="12"/>
  <c r="K4500" i="12"/>
  <c r="K4499" i="12"/>
  <c r="K4498" i="12"/>
  <c r="K4497" i="12"/>
  <c r="K4496" i="12"/>
  <c r="K4495" i="12"/>
  <c r="K4494" i="12"/>
  <c r="K4493" i="12"/>
  <c r="K4492" i="12"/>
  <c r="K4491" i="12"/>
  <c r="K4490" i="12"/>
  <c r="K4489" i="12"/>
  <c r="K4488" i="12"/>
  <c r="K4487" i="12"/>
  <c r="K4486" i="12"/>
  <c r="K4485" i="12"/>
  <c r="K4484" i="12"/>
  <c r="K4483" i="12"/>
  <c r="K4482" i="12"/>
  <c r="K4481" i="12"/>
  <c r="K4480" i="12"/>
  <c r="K4479" i="12"/>
  <c r="K4478" i="12"/>
  <c r="K4477" i="12"/>
  <c r="K4476" i="12"/>
  <c r="K4475" i="12"/>
  <c r="K4474" i="12"/>
  <c r="K4473" i="12"/>
  <c r="K4472" i="12"/>
  <c r="K4471" i="12"/>
  <c r="K4470" i="12"/>
  <c r="K4469" i="12"/>
  <c r="K4468" i="12"/>
  <c r="K4467" i="12"/>
  <c r="K4466" i="12"/>
  <c r="K4465" i="12"/>
  <c r="K4464" i="12"/>
  <c r="K4463" i="12"/>
  <c r="K4462" i="12"/>
  <c r="K4461" i="12"/>
  <c r="K4460" i="12"/>
  <c r="K4459" i="12"/>
  <c r="K4458" i="12"/>
  <c r="K4457" i="12"/>
  <c r="K4456" i="12"/>
  <c r="K4455" i="12"/>
  <c r="K4454" i="12"/>
  <c r="K4453" i="12"/>
  <c r="K4452" i="12"/>
  <c r="K4451" i="12"/>
  <c r="K4450" i="12"/>
  <c r="K4449" i="12"/>
  <c r="K4448" i="12"/>
  <c r="K4447" i="12"/>
  <c r="K4446" i="12"/>
  <c r="K4445" i="12"/>
  <c r="K4444" i="12"/>
  <c r="K4443" i="12"/>
  <c r="K4442" i="12"/>
  <c r="K4441" i="12"/>
  <c r="K4440" i="12"/>
  <c r="K4439" i="12"/>
  <c r="K4438" i="12"/>
  <c r="K4437" i="12"/>
  <c r="K4436" i="12"/>
  <c r="K4435" i="12"/>
  <c r="K4434" i="12"/>
  <c r="K4433" i="12"/>
  <c r="K4432" i="12"/>
  <c r="K4431" i="12"/>
  <c r="K4430" i="12"/>
  <c r="K4429" i="12"/>
  <c r="K4428" i="12"/>
  <c r="K4427" i="12"/>
  <c r="K4426" i="12"/>
  <c r="K4425" i="12"/>
  <c r="K4424" i="12"/>
  <c r="K4423" i="12"/>
  <c r="K4422" i="12"/>
  <c r="K4421" i="12"/>
  <c r="K4420" i="12"/>
  <c r="K4419" i="12"/>
  <c r="K4418" i="12"/>
  <c r="K4417" i="12"/>
  <c r="K4416" i="12"/>
  <c r="K4415" i="12"/>
  <c r="K4414" i="12"/>
  <c r="K4413" i="12"/>
  <c r="K4412" i="12"/>
  <c r="K4411" i="12"/>
  <c r="K4410" i="12"/>
  <c r="K4409" i="12"/>
  <c r="K4408" i="12"/>
  <c r="K4407" i="12"/>
  <c r="K4406" i="12"/>
  <c r="K4405" i="12"/>
  <c r="K4404" i="12"/>
  <c r="K4403" i="12"/>
  <c r="K4402" i="12"/>
  <c r="K4401" i="12"/>
  <c r="K4400" i="12"/>
  <c r="K4399" i="12"/>
  <c r="K4398" i="12"/>
  <c r="K4397" i="12"/>
  <c r="K4396" i="12"/>
  <c r="K4395" i="12"/>
  <c r="K4394" i="12"/>
  <c r="K4393" i="12"/>
  <c r="K4392" i="12"/>
  <c r="K4391" i="12"/>
  <c r="K4390" i="12"/>
  <c r="K4389" i="12"/>
  <c r="K4388" i="12"/>
  <c r="K4387" i="12"/>
  <c r="K4386" i="12"/>
  <c r="K4385" i="12"/>
  <c r="K4384" i="12"/>
  <c r="K4383" i="12"/>
  <c r="K4382" i="12"/>
  <c r="K4381" i="12"/>
  <c r="K4380" i="12"/>
  <c r="K4379" i="12"/>
  <c r="K4378" i="12"/>
  <c r="K4377" i="12"/>
  <c r="K4376" i="12"/>
  <c r="K4375" i="12"/>
  <c r="K4374" i="12"/>
  <c r="K4373" i="12"/>
  <c r="K4372" i="12"/>
  <c r="K4371" i="12"/>
  <c r="K4370" i="12"/>
  <c r="K4369" i="12"/>
  <c r="K4368" i="12"/>
  <c r="K4367" i="12"/>
  <c r="K4366" i="12"/>
  <c r="K4365" i="12"/>
  <c r="K4364" i="12"/>
  <c r="K4363" i="12"/>
  <c r="K4362" i="12"/>
  <c r="K4361" i="12"/>
  <c r="K4360" i="12"/>
  <c r="K4359" i="12"/>
  <c r="K4358" i="12"/>
  <c r="K4357" i="12"/>
  <c r="K4356" i="12"/>
  <c r="K4355" i="12"/>
  <c r="K4354" i="12"/>
  <c r="K4353" i="12"/>
  <c r="K4352" i="12"/>
  <c r="K4351" i="12"/>
  <c r="K4350" i="12"/>
  <c r="K4349" i="12"/>
  <c r="K4348" i="12"/>
  <c r="K4347" i="12"/>
  <c r="K4346" i="12"/>
  <c r="K4345" i="12"/>
  <c r="K4344" i="12"/>
  <c r="K4343" i="12"/>
  <c r="K4342" i="12"/>
  <c r="K4341" i="12"/>
  <c r="K4340" i="12"/>
  <c r="K4339" i="12"/>
  <c r="K4338" i="12"/>
  <c r="K4337" i="12"/>
  <c r="K4336" i="12"/>
  <c r="K4335" i="12"/>
  <c r="K4334" i="12"/>
  <c r="K4333" i="12"/>
  <c r="K4332" i="12"/>
  <c r="K4331" i="12"/>
  <c r="K4330" i="12"/>
  <c r="K4329" i="12"/>
  <c r="K4328" i="12"/>
  <c r="K4327" i="12"/>
  <c r="K4326" i="12"/>
  <c r="K4325" i="12"/>
  <c r="K4324" i="12"/>
  <c r="K4323" i="12"/>
  <c r="K4322" i="12"/>
  <c r="K4321" i="12"/>
  <c r="K4320" i="12"/>
  <c r="K4319" i="12"/>
  <c r="K4318" i="12"/>
  <c r="K4317" i="12"/>
  <c r="K4316" i="12"/>
  <c r="K4315" i="12"/>
  <c r="K4314" i="12"/>
  <c r="K4313" i="12"/>
  <c r="K4312" i="12"/>
  <c r="K4311" i="12"/>
  <c r="K4310" i="12"/>
  <c r="K4309" i="12"/>
  <c r="K4308" i="12"/>
  <c r="K4307" i="12"/>
  <c r="K4306" i="12"/>
  <c r="K4305" i="12"/>
  <c r="K4304" i="12"/>
  <c r="K4303" i="12"/>
  <c r="K4302" i="12"/>
  <c r="K4301" i="12"/>
  <c r="K4300" i="12"/>
  <c r="K4299" i="12"/>
  <c r="K4298" i="12"/>
  <c r="K4297" i="12"/>
  <c r="K4296" i="12"/>
  <c r="K4295" i="12"/>
  <c r="K4294" i="12"/>
  <c r="K4293" i="12"/>
  <c r="K4292" i="12"/>
  <c r="K4291" i="12"/>
  <c r="K4290" i="12"/>
  <c r="K4289" i="12"/>
  <c r="K4288" i="12"/>
  <c r="K4287" i="12"/>
  <c r="K4286" i="12"/>
  <c r="K4285" i="12"/>
  <c r="K4284" i="12"/>
  <c r="K4283" i="12"/>
  <c r="K4282" i="12"/>
  <c r="K4281" i="12"/>
  <c r="K4280" i="12"/>
  <c r="K4279" i="12"/>
  <c r="K4278" i="12"/>
  <c r="K4277" i="12"/>
  <c r="K4276" i="12"/>
  <c r="K4275" i="12"/>
  <c r="K4274" i="12"/>
  <c r="K4273" i="12"/>
  <c r="K4272" i="12"/>
  <c r="K4271" i="12"/>
  <c r="K4270" i="12"/>
  <c r="K4269" i="12"/>
  <c r="K4268" i="12"/>
  <c r="K4267" i="12"/>
  <c r="K4266" i="12"/>
  <c r="K4265" i="12"/>
  <c r="K4264" i="12"/>
  <c r="K4263" i="12"/>
  <c r="K4262" i="12"/>
  <c r="K4261" i="12"/>
  <c r="K4260" i="12"/>
  <c r="K4259" i="12"/>
  <c r="K4258" i="12"/>
  <c r="K4257" i="12"/>
  <c r="K4256" i="12"/>
  <c r="K4255" i="12"/>
  <c r="K4254" i="12"/>
  <c r="K4253" i="12"/>
  <c r="K4252" i="12"/>
  <c r="K4251" i="12"/>
  <c r="K4250" i="12"/>
  <c r="K4249" i="12"/>
  <c r="K4248" i="12"/>
  <c r="K4247" i="12"/>
  <c r="K4246" i="12"/>
  <c r="K4245" i="12"/>
  <c r="K4244" i="12"/>
  <c r="K4243" i="12"/>
  <c r="K4242" i="12"/>
  <c r="K4241" i="12"/>
  <c r="K4240" i="12"/>
  <c r="K4239" i="12"/>
  <c r="K4238" i="12"/>
  <c r="K4237" i="12"/>
  <c r="K4236" i="12"/>
  <c r="K4235" i="12"/>
  <c r="K4234" i="12"/>
  <c r="K4233" i="12"/>
  <c r="K4232" i="12"/>
  <c r="K4231" i="12"/>
  <c r="K4230" i="12"/>
  <c r="K4229" i="12"/>
  <c r="K4228" i="12"/>
  <c r="K4227" i="12"/>
  <c r="K4226" i="12"/>
  <c r="K4225" i="12"/>
  <c r="K4224" i="12"/>
  <c r="K4223" i="12"/>
  <c r="K4222" i="12"/>
  <c r="K4221" i="12"/>
  <c r="K4220" i="12"/>
  <c r="K4219" i="12"/>
  <c r="K4218" i="12"/>
  <c r="K4217" i="12"/>
  <c r="K4216" i="12"/>
  <c r="K4215" i="12"/>
  <c r="K4214" i="12"/>
  <c r="K4213" i="12"/>
  <c r="K4212" i="12"/>
  <c r="K4211" i="12"/>
  <c r="K4210" i="12"/>
  <c r="K4209" i="12"/>
  <c r="K4208" i="12"/>
  <c r="K4207" i="12"/>
  <c r="K4206" i="12"/>
  <c r="K4205" i="12"/>
  <c r="K4204" i="12"/>
  <c r="K4203" i="12"/>
  <c r="K4202" i="12"/>
  <c r="K4201" i="12"/>
  <c r="K4200" i="12"/>
  <c r="K4199" i="12"/>
  <c r="K4198" i="12"/>
  <c r="K4197" i="12"/>
  <c r="K4196" i="12"/>
  <c r="K4195" i="12"/>
  <c r="K4194" i="12"/>
  <c r="K4193" i="12"/>
  <c r="K4192" i="12"/>
  <c r="K4191" i="12"/>
  <c r="K4190" i="12"/>
  <c r="K4189" i="12"/>
  <c r="K4188" i="12"/>
  <c r="K4187" i="12"/>
  <c r="K4186" i="12"/>
  <c r="K4185" i="12"/>
  <c r="K4184" i="12"/>
  <c r="K4183" i="12"/>
  <c r="K4182" i="12"/>
  <c r="K4181" i="12"/>
  <c r="K4180" i="12"/>
  <c r="K4179" i="12"/>
  <c r="K4178" i="12"/>
  <c r="K4177" i="12"/>
  <c r="K4176" i="12"/>
  <c r="K4175" i="12"/>
  <c r="K4174" i="12"/>
  <c r="K4173" i="12"/>
  <c r="K4172" i="12"/>
  <c r="K4171" i="12"/>
  <c r="K4170" i="12"/>
  <c r="K4169" i="12"/>
  <c r="K4168" i="12"/>
  <c r="K4167" i="12"/>
  <c r="K4166" i="12"/>
  <c r="K4165" i="12"/>
  <c r="K4164" i="12"/>
  <c r="K4163" i="12"/>
  <c r="K4162" i="12"/>
  <c r="K4161" i="12"/>
  <c r="K4160" i="12"/>
  <c r="K4159" i="12"/>
  <c r="K4158" i="12"/>
  <c r="K4157" i="12"/>
  <c r="K4156" i="12"/>
  <c r="K4155" i="12"/>
  <c r="K4154" i="12"/>
  <c r="K4153" i="12"/>
  <c r="K4152" i="12"/>
  <c r="K4151" i="12"/>
  <c r="K4150" i="12"/>
  <c r="K4149" i="12"/>
  <c r="K4148" i="12"/>
  <c r="K4147" i="12"/>
  <c r="K4146" i="12"/>
  <c r="K4145" i="12"/>
  <c r="K4144" i="12"/>
  <c r="K4143" i="12"/>
  <c r="K4142" i="12"/>
  <c r="K4141" i="12"/>
  <c r="K4140" i="12"/>
  <c r="K4139" i="12"/>
  <c r="K4138" i="12"/>
  <c r="K4137" i="12"/>
  <c r="K4136" i="12"/>
  <c r="K4135" i="12"/>
  <c r="K4134" i="12"/>
  <c r="K4133" i="12"/>
  <c r="K4132" i="12"/>
  <c r="K4131" i="12"/>
  <c r="K4130" i="12"/>
  <c r="K4129" i="12"/>
  <c r="K4128" i="12"/>
  <c r="K4127" i="12"/>
  <c r="K4126" i="12"/>
  <c r="K4125" i="12"/>
  <c r="K4124" i="12"/>
  <c r="K4123" i="12"/>
  <c r="K4122" i="12"/>
  <c r="K4121" i="12"/>
  <c r="K4120" i="12"/>
  <c r="K4119" i="12"/>
  <c r="K4118" i="12"/>
  <c r="K4117" i="12"/>
  <c r="K4116" i="12"/>
  <c r="K4115" i="12"/>
  <c r="K4114" i="12"/>
  <c r="K4113" i="12"/>
  <c r="K4112" i="12"/>
  <c r="K4111" i="12"/>
  <c r="K4110" i="12"/>
  <c r="K4109" i="12"/>
  <c r="K4108" i="12"/>
  <c r="K4107" i="12"/>
  <c r="K4106" i="12"/>
  <c r="K4105" i="12"/>
  <c r="K4104" i="12"/>
  <c r="K4103" i="12"/>
  <c r="K4102" i="12"/>
  <c r="K4101" i="12"/>
  <c r="K4100" i="12"/>
  <c r="K4099" i="12"/>
  <c r="K4098" i="12"/>
  <c r="K4097" i="12"/>
  <c r="K4096" i="12"/>
  <c r="K4095" i="12"/>
  <c r="K4094" i="12"/>
  <c r="K4093" i="12"/>
  <c r="K4092" i="12"/>
  <c r="K4091" i="12"/>
  <c r="K4090" i="12"/>
  <c r="K4089" i="12"/>
  <c r="K4088" i="12"/>
  <c r="K4087" i="12"/>
  <c r="K4086" i="12"/>
  <c r="K4085" i="12"/>
  <c r="K4084" i="12"/>
  <c r="K4083" i="12"/>
  <c r="K4082" i="12"/>
  <c r="K4081" i="12"/>
  <c r="K4080" i="12"/>
  <c r="K4079" i="12"/>
  <c r="K4078" i="12"/>
  <c r="K4077" i="12"/>
  <c r="K4076" i="12"/>
  <c r="K4075" i="12"/>
  <c r="K4074" i="12"/>
  <c r="K4073" i="12"/>
  <c r="K4072" i="12"/>
  <c r="K4071" i="12"/>
  <c r="K4070" i="12"/>
  <c r="K4069" i="12"/>
  <c r="K4068" i="12"/>
  <c r="K4067" i="12"/>
  <c r="K4066" i="12"/>
  <c r="K4065" i="12"/>
  <c r="K4064" i="12"/>
  <c r="K4063" i="12"/>
  <c r="K4062" i="12"/>
  <c r="K4061" i="12"/>
  <c r="K4060" i="12"/>
  <c r="K4059" i="12"/>
  <c r="K4058" i="12"/>
  <c r="K4057" i="12"/>
  <c r="K4056" i="12"/>
  <c r="K4055" i="12"/>
  <c r="K4054" i="12"/>
  <c r="K4053" i="12"/>
  <c r="K4052" i="12"/>
  <c r="K4051" i="12"/>
  <c r="K4050" i="12"/>
  <c r="K4049" i="12"/>
  <c r="K4048" i="12"/>
  <c r="K4047" i="12"/>
  <c r="K4046" i="12"/>
  <c r="K4045" i="12"/>
  <c r="K4044" i="12"/>
  <c r="K4043" i="12"/>
  <c r="K4042" i="12"/>
  <c r="K4041" i="12"/>
  <c r="K4040" i="12"/>
  <c r="K4039" i="12"/>
  <c r="K4038" i="12"/>
  <c r="K4037" i="12"/>
  <c r="K4036" i="12"/>
  <c r="K4035" i="12"/>
  <c r="K4034" i="12"/>
  <c r="K4033" i="12"/>
  <c r="K4032" i="12"/>
  <c r="K4031" i="12"/>
  <c r="K4030" i="12"/>
  <c r="K4029" i="12"/>
  <c r="K4028" i="12"/>
  <c r="K4027" i="12"/>
  <c r="K4026" i="12"/>
  <c r="K4025" i="12"/>
  <c r="K4024" i="12"/>
  <c r="K4023" i="12"/>
  <c r="K4022" i="12"/>
  <c r="K4021" i="12"/>
  <c r="K4020" i="12"/>
  <c r="K4019" i="12"/>
  <c r="K4018" i="12"/>
  <c r="K4017" i="12"/>
  <c r="K4016" i="12"/>
  <c r="K4015" i="12"/>
  <c r="K4014" i="12"/>
  <c r="K4013" i="12"/>
  <c r="K4012" i="12"/>
  <c r="K4011" i="12"/>
  <c r="K4010" i="12"/>
  <c r="K4009" i="12"/>
  <c r="K4008" i="12"/>
  <c r="K4007" i="12"/>
  <c r="K4006" i="12"/>
  <c r="K4005" i="12"/>
  <c r="K4004" i="12"/>
  <c r="K4003" i="12"/>
  <c r="K4002" i="12"/>
  <c r="K4001" i="12"/>
  <c r="K4000" i="12"/>
  <c r="K3999" i="12"/>
  <c r="K3998" i="12"/>
  <c r="K3997" i="12"/>
  <c r="K3996" i="12"/>
  <c r="K3995" i="12"/>
  <c r="K3994" i="12"/>
  <c r="K3993" i="12"/>
  <c r="K3992" i="12"/>
  <c r="K3991" i="12"/>
  <c r="K3990" i="12"/>
  <c r="K3989" i="12"/>
  <c r="K3988" i="12"/>
  <c r="K3987" i="12"/>
  <c r="K3986" i="12"/>
  <c r="K3985" i="12"/>
  <c r="K3984" i="12"/>
  <c r="K3983" i="12"/>
  <c r="K3982" i="12"/>
  <c r="K3981" i="12"/>
  <c r="K3980" i="12"/>
  <c r="K3979" i="12"/>
  <c r="K3978" i="12"/>
  <c r="K3977" i="12"/>
  <c r="K3976" i="12"/>
  <c r="K3975" i="12"/>
  <c r="K3974" i="12"/>
  <c r="K3973" i="12"/>
  <c r="K3972" i="12"/>
  <c r="K3971" i="12"/>
  <c r="K3970" i="12"/>
  <c r="K3969" i="12"/>
  <c r="K3968" i="12"/>
  <c r="K3967" i="12"/>
  <c r="K3966" i="12"/>
  <c r="K3965" i="12"/>
  <c r="K3964" i="12"/>
  <c r="K3963" i="12"/>
  <c r="K3962" i="12"/>
  <c r="K3961" i="12"/>
  <c r="K3960" i="12"/>
  <c r="K3959" i="12"/>
  <c r="K3958" i="12"/>
  <c r="K3957" i="12"/>
  <c r="K3956" i="12"/>
  <c r="K3955" i="12"/>
  <c r="K3954" i="12"/>
  <c r="K3953" i="12"/>
  <c r="K3952" i="12"/>
  <c r="K3951" i="12"/>
  <c r="K3950" i="12"/>
  <c r="K3949" i="12"/>
  <c r="K3948" i="12"/>
  <c r="K3947" i="12"/>
  <c r="K3946" i="12"/>
  <c r="K3945" i="12"/>
  <c r="K3944" i="12"/>
  <c r="K3943" i="12"/>
  <c r="K3942" i="12"/>
  <c r="K3941" i="12"/>
  <c r="K3940" i="12"/>
  <c r="K3939" i="12"/>
  <c r="K3938" i="12"/>
  <c r="K3937" i="12"/>
  <c r="K3936" i="12"/>
  <c r="K3935" i="12"/>
  <c r="K3934" i="12"/>
  <c r="K3933" i="12"/>
  <c r="K3932" i="12"/>
  <c r="K3931" i="12"/>
  <c r="K3930" i="12"/>
  <c r="K3929" i="12"/>
  <c r="K3928" i="12"/>
  <c r="K3927" i="12"/>
  <c r="K3926" i="12"/>
  <c r="K3925" i="12"/>
  <c r="K3924" i="12"/>
  <c r="K3923" i="12"/>
  <c r="K3922" i="12"/>
  <c r="K3921" i="12"/>
  <c r="K3920" i="12"/>
  <c r="K3919" i="12"/>
  <c r="K3918" i="12"/>
  <c r="K3917" i="12"/>
  <c r="K3916" i="12"/>
  <c r="K3915" i="12"/>
  <c r="K3914" i="12"/>
  <c r="K3913" i="12"/>
  <c r="K3912" i="12"/>
  <c r="K3911" i="12"/>
  <c r="K3910" i="12"/>
  <c r="K3909" i="12"/>
  <c r="K3908" i="12"/>
  <c r="K3907" i="12"/>
  <c r="K3906" i="12"/>
  <c r="K3905" i="12"/>
  <c r="K3904" i="12"/>
  <c r="K3903" i="12"/>
  <c r="K3902" i="12"/>
  <c r="K3901" i="12"/>
  <c r="K3900" i="12"/>
  <c r="K3899" i="12"/>
  <c r="K3898" i="12"/>
  <c r="K3897" i="12"/>
  <c r="K3896" i="12"/>
  <c r="K3895" i="12"/>
  <c r="K3894" i="12"/>
  <c r="K3893" i="12"/>
  <c r="K3892" i="12"/>
  <c r="K3891" i="12"/>
  <c r="K3890" i="12"/>
  <c r="K3889" i="12"/>
  <c r="K3888" i="12"/>
  <c r="K3887" i="12"/>
  <c r="K3886" i="12"/>
  <c r="K3885" i="12"/>
  <c r="K3884" i="12"/>
  <c r="K3883" i="12"/>
  <c r="K3882" i="12"/>
  <c r="K3881" i="12"/>
  <c r="K3880" i="12"/>
  <c r="K3879" i="12"/>
  <c r="K3878" i="12"/>
  <c r="K3877" i="12"/>
  <c r="K3876" i="12"/>
  <c r="K3875" i="12"/>
  <c r="K3874" i="12"/>
  <c r="K3873" i="12"/>
  <c r="K3872" i="12"/>
  <c r="K3871" i="12"/>
  <c r="K3870" i="12"/>
  <c r="K3869" i="12"/>
  <c r="K3868" i="12"/>
  <c r="K3867" i="12"/>
  <c r="K3866" i="12"/>
  <c r="K3865" i="12"/>
  <c r="K3864" i="12"/>
  <c r="K3863" i="12"/>
  <c r="K3862" i="12"/>
  <c r="K3861" i="12"/>
  <c r="K3860" i="12"/>
  <c r="K3859" i="12"/>
  <c r="K3858" i="12"/>
  <c r="K3857" i="12"/>
  <c r="K3856" i="12"/>
  <c r="K3855" i="12"/>
  <c r="K3854" i="12"/>
  <c r="K3853" i="12"/>
  <c r="K3852" i="12"/>
  <c r="K3851" i="12"/>
  <c r="K3850" i="12"/>
  <c r="K3849" i="12"/>
  <c r="K3848" i="12"/>
  <c r="K3847" i="12"/>
  <c r="K3846" i="12"/>
  <c r="K3845" i="12"/>
  <c r="K3844" i="12"/>
  <c r="K3843" i="12"/>
  <c r="K3842" i="12"/>
  <c r="K3841" i="12"/>
  <c r="K3840" i="12"/>
  <c r="K3839" i="12"/>
  <c r="K3838" i="12"/>
  <c r="K3837" i="12"/>
  <c r="K3836" i="12"/>
  <c r="K3835" i="12"/>
  <c r="K3834" i="12"/>
  <c r="K3833" i="12"/>
  <c r="K3832" i="12"/>
  <c r="K3831" i="12"/>
  <c r="K3830" i="12"/>
  <c r="K3829" i="12"/>
  <c r="K3828" i="12"/>
  <c r="K3827" i="12"/>
  <c r="K3826" i="12"/>
  <c r="K3825" i="12"/>
  <c r="K3824" i="12"/>
  <c r="K3823" i="12"/>
  <c r="K3822" i="12"/>
  <c r="K3821" i="12"/>
  <c r="K3820" i="12"/>
  <c r="K3819" i="12"/>
  <c r="K3818" i="12"/>
  <c r="K3817" i="12"/>
  <c r="K3816" i="12"/>
  <c r="K3815" i="12"/>
  <c r="K3814" i="12"/>
  <c r="K3813" i="12"/>
  <c r="K3812" i="12"/>
  <c r="K3811" i="12"/>
  <c r="K3810" i="12"/>
  <c r="K3809" i="12"/>
  <c r="K3808" i="12"/>
  <c r="K3807" i="12"/>
  <c r="K3806" i="12"/>
  <c r="K3805" i="12"/>
  <c r="K3804" i="12"/>
  <c r="K3803" i="12"/>
  <c r="K3802" i="12"/>
  <c r="K3801" i="12"/>
  <c r="K3800" i="12"/>
  <c r="K3799" i="12"/>
  <c r="K3798" i="12"/>
  <c r="K3797" i="12"/>
  <c r="K3796" i="12"/>
  <c r="K3795" i="12"/>
  <c r="K3794" i="12"/>
  <c r="K3793" i="12"/>
  <c r="K3792" i="12"/>
  <c r="K3791" i="12"/>
  <c r="K3790" i="12"/>
  <c r="K3789" i="12"/>
  <c r="K3788" i="12"/>
  <c r="K3787" i="12"/>
  <c r="K3786" i="12"/>
  <c r="K3785" i="12"/>
  <c r="K3784" i="12"/>
  <c r="K3783" i="12"/>
  <c r="K3782" i="12"/>
  <c r="K3781" i="12"/>
  <c r="K3780" i="12"/>
  <c r="K3779" i="12"/>
  <c r="K3778" i="12"/>
  <c r="K3777" i="12"/>
  <c r="K3776" i="12"/>
  <c r="K3775" i="12"/>
  <c r="K3774" i="12"/>
  <c r="K3773" i="12"/>
  <c r="K3772" i="12"/>
  <c r="K3771" i="12"/>
  <c r="K3770" i="12"/>
  <c r="K3769" i="12"/>
  <c r="K3768" i="12"/>
  <c r="K3767" i="12"/>
  <c r="K3766" i="12"/>
  <c r="K3765" i="12"/>
  <c r="K3764" i="12"/>
  <c r="K3763" i="12"/>
  <c r="K3762" i="12"/>
  <c r="K3761" i="12"/>
  <c r="K3760" i="12"/>
  <c r="K3759" i="12"/>
  <c r="K3758" i="12"/>
  <c r="K3757" i="12"/>
  <c r="K3756" i="12"/>
  <c r="K3755" i="12"/>
  <c r="K3754" i="12"/>
  <c r="K3753" i="12"/>
  <c r="K3752" i="12"/>
  <c r="K3751" i="12"/>
  <c r="K3750" i="12"/>
  <c r="K3749" i="12"/>
  <c r="K3748" i="12"/>
  <c r="K3747" i="12"/>
  <c r="K3746" i="12"/>
  <c r="K3745" i="12"/>
  <c r="K3744" i="12"/>
  <c r="K3743" i="12"/>
  <c r="K3742" i="12"/>
  <c r="K3741" i="12"/>
  <c r="K3740" i="12"/>
  <c r="K3739" i="12"/>
  <c r="K3738" i="12"/>
  <c r="K3737" i="12"/>
  <c r="K3736" i="12"/>
  <c r="K3735" i="12"/>
  <c r="K3734" i="12"/>
  <c r="K3733" i="12"/>
  <c r="K3732" i="12"/>
  <c r="K3731" i="12"/>
  <c r="K3730" i="12"/>
  <c r="K3729" i="12"/>
  <c r="K3728" i="12"/>
  <c r="K3727" i="12"/>
  <c r="K3726" i="12"/>
  <c r="K3725" i="12"/>
  <c r="K3724" i="12"/>
  <c r="K3723" i="12"/>
  <c r="K3722" i="12"/>
  <c r="K3721" i="12"/>
  <c r="K3720" i="12"/>
  <c r="K3719" i="12"/>
  <c r="K3718" i="12"/>
  <c r="K3717" i="12"/>
  <c r="K3716" i="12"/>
  <c r="K3715" i="12"/>
  <c r="K3714" i="12"/>
  <c r="K3713" i="12"/>
  <c r="K3712" i="12"/>
  <c r="K3711" i="12"/>
  <c r="K3710" i="12"/>
  <c r="K3709" i="12"/>
  <c r="K3708" i="12"/>
  <c r="K3707" i="12"/>
  <c r="K3706" i="12"/>
  <c r="K3705" i="12"/>
  <c r="K3704" i="12"/>
  <c r="K3703" i="12"/>
  <c r="K3702" i="12"/>
  <c r="K3701" i="12"/>
  <c r="K3700" i="12"/>
  <c r="K3699" i="12"/>
  <c r="K3698" i="12"/>
  <c r="K3697" i="12"/>
  <c r="K3696" i="12"/>
  <c r="K3695" i="12"/>
  <c r="K3694" i="12"/>
  <c r="K3693" i="12"/>
  <c r="K3692" i="12"/>
  <c r="K3691" i="12"/>
  <c r="K3690" i="12"/>
  <c r="K3689" i="12"/>
  <c r="K3688" i="12"/>
  <c r="K3687" i="12"/>
  <c r="K3686" i="12"/>
  <c r="K3685" i="12"/>
  <c r="K3684" i="12"/>
  <c r="K3683" i="12"/>
  <c r="K3682" i="12"/>
  <c r="K3681" i="12"/>
  <c r="K3680" i="12"/>
  <c r="K3679" i="12"/>
  <c r="K3678" i="12"/>
  <c r="K3677" i="12"/>
  <c r="K3676" i="12"/>
  <c r="K3675" i="12"/>
  <c r="K3674" i="12"/>
  <c r="K3673" i="12"/>
  <c r="K3672" i="12"/>
  <c r="K3671" i="12"/>
  <c r="K3670" i="12"/>
  <c r="K3669" i="12"/>
  <c r="K3668" i="12"/>
  <c r="K3667" i="12"/>
  <c r="K3666" i="12"/>
  <c r="K3665" i="12"/>
  <c r="K3664" i="12"/>
  <c r="K3663" i="12"/>
  <c r="K3662" i="12"/>
  <c r="K3661" i="12"/>
  <c r="K3660" i="12"/>
  <c r="K3659" i="12"/>
  <c r="K3658" i="12"/>
  <c r="K3657" i="12"/>
  <c r="K3656" i="12"/>
  <c r="K3655" i="12"/>
  <c r="K3654" i="12"/>
  <c r="K3653" i="12"/>
  <c r="K3652" i="12"/>
  <c r="K3651" i="12"/>
  <c r="K3650" i="12"/>
  <c r="K3649" i="12"/>
  <c r="K3648" i="12"/>
  <c r="K3647" i="12"/>
  <c r="K3646" i="12"/>
  <c r="K3645" i="12"/>
  <c r="K3644" i="12"/>
  <c r="K3643" i="12"/>
  <c r="K3642" i="12"/>
  <c r="K3641" i="12"/>
  <c r="K3640" i="12"/>
  <c r="K3639" i="12"/>
  <c r="K3638" i="12"/>
  <c r="K3637" i="12"/>
  <c r="K3636" i="12"/>
  <c r="K3635" i="12"/>
  <c r="K3634" i="12"/>
  <c r="K3633" i="12"/>
  <c r="K3632" i="12"/>
  <c r="K3631" i="12"/>
  <c r="K3630" i="12"/>
  <c r="K3629" i="12"/>
  <c r="K3628" i="12"/>
  <c r="K3627" i="12"/>
  <c r="K3626" i="12"/>
  <c r="K3625" i="12"/>
  <c r="K3624" i="12"/>
  <c r="K3623" i="12"/>
  <c r="K3622" i="12"/>
  <c r="K3621" i="12"/>
  <c r="K3620" i="12"/>
  <c r="K3619" i="12"/>
  <c r="K3618" i="12"/>
  <c r="K3617" i="12"/>
  <c r="K3616" i="12"/>
  <c r="K3615" i="12"/>
  <c r="K3614" i="12"/>
  <c r="K3613" i="12"/>
  <c r="K3612" i="12"/>
  <c r="K3611" i="12"/>
  <c r="K3610" i="12"/>
  <c r="K3609" i="12"/>
  <c r="K3608" i="12"/>
  <c r="K3607" i="12"/>
  <c r="K3606" i="12"/>
  <c r="K3605" i="12"/>
  <c r="K3604" i="12"/>
  <c r="K3603" i="12"/>
  <c r="K3602" i="12"/>
  <c r="K3601" i="12"/>
  <c r="K3600" i="12"/>
  <c r="K3599" i="12"/>
  <c r="K3598" i="12"/>
  <c r="K3597" i="12"/>
  <c r="K3596" i="12"/>
  <c r="K3595" i="12"/>
  <c r="K3594" i="12"/>
  <c r="K3593" i="12"/>
  <c r="K3592" i="12"/>
  <c r="K3591" i="12"/>
  <c r="K3590" i="12"/>
  <c r="K3589" i="12"/>
  <c r="K3588" i="12"/>
  <c r="K3587" i="12"/>
  <c r="K3586" i="12"/>
  <c r="K3585" i="12"/>
  <c r="K3584" i="12"/>
  <c r="K3583" i="12"/>
  <c r="K3582" i="12"/>
  <c r="K3581" i="12"/>
  <c r="K3580" i="12"/>
  <c r="K3579" i="12"/>
  <c r="K3578" i="12"/>
  <c r="K3577" i="12"/>
  <c r="K3576" i="12"/>
  <c r="K3575" i="12"/>
  <c r="K3574" i="12"/>
  <c r="K3573" i="12"/>
  <c r="K3572" i="12"/>
  <c r="K3571" i="12"/>
  <c r="K3570" i="12"/>
  <c r="K3569" i="12"/>
  <c r="K3568" i="12"/>
  <c r="K3567" i="12"/>
  <c r="K3566" i="12"/>
  <c r="K3565" i="12"/>
  <c r="K3564" i="12"/>
  <c r="K3563" i="12"/>
  <c r="K3562" i="12"/>
  <c r="K3561" i="12"/>
  <c r="K3560" i="12"/>
  <c r="K3559" i="12"/>
  <c r="K3558" i="12"/>
  <c r="K3557" i="12"/>
  <c r="K3556" i="12"/>
  <c r="K3555" i="12"/>
  <c r="K3554" i="12"/>
  <c r="K3553" i="12"/>
  <c r="K3552" i="12"/>
  <c r="K3551" i="12"/>
  <c r="K3550" i="12"/>
  <c r="K3549" i="12"/>
  <c r="K3548" i="12"/>
  <c r="K3547" i="12"/>
  <c r="K3546" i="12"/>
  <c r="K3545" i="12"/>
  <c r="K3544" i="12"/>
  <c r="K3543" i="12"/>
  <c r="K3542" i="12"/>
  <c r="K3541" i="12"/>
  <c r="K3540" i="12"/>
  <c r="K3539" i="12"/>
  <c r="K3538" i="12"/>
  <c r="K3537" i="12"/>
  <c r="K3536" i="12"/>
  <c r="K3535" i="12"/>
  <c r="K3534" i="12"/>
  <c r="K3533" i="12"/>
  <c r="K3532" i="12"/>
  <c r="K3531" i="12"/>
  <c r="K3530" i="12"/>
  <c r="K3529" i="12"/>
  <c r="K3528" i="12"/>
  <c r="K3527" i="12"/>
  <c r="K3526" i="12"/>
  <c r="K3525" i="12"/>
  <c r="K3524" i="12"/>
  <c r="K3523" i="12"/>
  <c r="K3522" i="12"/>
  <c r="K3521" i="12"/>
  <c r="K3520" i="12"/>
  <c r="K3519" i="12"/>
  <c r="K3518" i="12"/>
  <c r="K3517" i="12"/>
  <c r="K3516" i="12"/>
  <c r="K3515" i="12"/>
  <c r="K3514" i="12"/>
  <c r="K3513" i="12"/>
  <c r="K3512" i="12"/>
  <c r="K3511" i="12"/>
  <c r="K3510" i="12"/>
  <c r="K3509" i="12"/>
  <c r="K3508" i="12"/>
  <c r="K3507" i="12"/>
  <c r="K3506" i="12"/>
  <c r="K3505" i="12"/>
  <c r="K3504" i="12"/>
  <c r="K3503" i="12"/>
  <c r="K3502" i="12"/>
  <c r="K3501" i="12"/>
  <c r="K3500" i="12"/>
  <c r="K3499" i="12"/>
  <c r="K3498" i="12"/>
  <c r="K3497" i="12"/>
  <c r="K3496" i="12"/>
  <c r="K3495" i="12"/>
  <c r="K3494" i="12"/>
  <c r="K3493" i="12"/>
  <c r="K3492" i="12"/>
  <c r="K3491" i="12"/>
  <c r="K3490" i="12"/>
  <c r="K3489" i="12"/>
  <c r="K3488" i="12"/>
  <c r="K3487" i="12"/>
  <c r="K3486" i="12"/>
  <c r="K3485" i="12"/>
  <c r="K3484" i="12"/>
  <c r="K3483" i="12"/>
  <c r="K3482" i="12"/>
  <c r="K3481" i="12"/>
  <c r="K3480" i="12"/>
  <c r="K3479" i="12"/>
  <c r="K3478" i="12"/>
  <c r="K3477" i="12"/>
  <c r="K3476" i="12"/>
  <c r="K3475" i="12"/>
  <c r="K3474" i="12"/>
  <c r="K3473" i="12"/>
  <c r="K3472" i="12"/>
  <c r="K3471" i="12"/>
  <c r="K3470" i="12"/>
  <c r="K3469" i="12"/>
  <c r="K3468" i="12"/>
  <c r="K3467" i="12"/>
  <c r="K3466" i="12"/>
  <c r="K3465" i="12"/>
  <c r="K3464" i="12"/>
  <c r="K3463" i="12"/>
  <c r="K3462" i="12"/>
  <c r="K3461" i="12"/>
  <c r="K3460" i="12"/>
  <c r="K3459" i="12"/>
  <c r="K3458" i="12"/>
  <c r="K3457" i="12"/>
  <c r="K3456" i="12"/>
  <c r="K3455" i="12"/>
  <c r="K3454" i="12"/>
  <c r="K3453" i="12"/>
  <c r="K3452" i="12"/>
  <c r="K3451" i="12"/>
  <c r="K3450" i="12"/>
  <c r="K3449" i="12"/>
  <c r="K3448" i="12"/>
  <c r="K3447" i="12"/>
  <c r="K3446" i="12"/>
  <c r="K3445" i="12"/>
  <c r="K3444" i="12"/>
  <c r="K3443" i="12"/>
  <c r="K3442" i="12"/>
  <c r="K3441" i="12"/>
  <c r="K3440" i="12"/>
  <c r="K3439" i="12"/>
  <c r="K3438" i="12"/>
  <c r="K3437" i="12"/>
  <c r="K3436" i="12"/>
  <c r="K3435" i="12"/>
  <c r="K3434" i="12"/>
  <c r="K3433" i="12"/>
  <c r="K3432" i="12"/>
  <c r="K3431" i="12"/>
  <c r="K3430" i="12"/>
  <c r="K3429" i="12"/>
  <c r="K3428" i="12"/>
  <c r="K3427" i="12"/>
  <c r="K3426" i="12"/>
  <c r="K3425" i="12"/>
  <c r="K3424" i="12"/>
  <c r="K3423" i="12"/>
  <c r="K3422" i="12"/>
  <c r="K3421" i="12"/>
  <c r="K3420" i="12"/>
  <c r="K3419" i="12"/>
  <c r="K3418" i="12"/>
  <c r="K3417" i="12"/>
  <c r="K3416" i="12"/>
  <c r="K3415" i="12"/>
  <c r="K3414" i="12"/>
  <c r="K3413" i="12"/>
  <c r="K3412" i="12"/>
  <c r="K3411" i="12"/>
  <c r="K3410" i="12"/>
  <c r="K3409" i="12"/>
  <c r="K3408" i="12"/>
  <c r="K3407" i="12"/>
  <c r="K3406" i="12"/>
  <c r="K3405" i="12"/>
  <c r="K3404" i="12"/>
  <c r="K3403" i="12"/>
  <c r="K3402" i="12"/>
  <c r="K3401" i="12"/>
  <c r="K3400" i="12"/>
  <c r="K3399" i="12"/>
  <c r="K3398" i="12"/>
  <c r="K3397" i="12"/>
  <c r="K3396" i="12"/>
  <c r="K3395" i="12"/>
  <c r="K3394" i="12"/>
  <c r="K3393" i="12"/>
  <c r="K3392" i="12"/>
  <c r="K3391" i="12"/>
  <c r="K3390" i="12"/>
  <c r="K3389" i="12"/>
  <c r="K3388" i="12"/>
  <c r="K3387" i="12"/>
  <c r="K3386" i="12"/>
  <c r="K3385" i="12"/>
  <c r="K3384" i="12"/>
  <c r="K3383" i="12"/>
  <c r="K3382" i="12"/>
  <c r="K3381" i="12"/>
  <c r="K3380" i="12"/>
  <c r="K3379" i="12"/>
  <c r="K3378" i="12"/>
  <c r="K3377" i="12"/>
  <c r="K3376" i="12"/>
  <c r="K3375" i="12"/>
  <c r="K3374" i="12"/>
  <c r="K3373" i="12"/>
  <c r="K3372" i="12"/>
  <c r="K3371" i="12"/>
  <c r="K3370" i="12"/>
  <c r="K3369" i="12"/>
  <c r="K3368" i="12"/>
  <c r="K3367" i="12"/>
  <c r="K3366" i="12"/>
  <c r="K3365" i="12"/>
  <c r="K3364" i="12"/>
  <c r="K3363" i="12"/>
  <c r="K3362" i="12"/>
  <c r="K3361" i="12"/>
  <c r="K3360" i="12"/>
  <c r="K3359" i="12"/>
  <c r="K3358" i="12"/>
  <c r="K3357" i="12"/>
  <c r="K3356" i="12"/>
  <c r="K3355" i="12"/>
  <c r="K3354" i="12"/>
  <c r="K3353" i="12"/>
  <c r="K3352" i="12"/>
  <c r="K3351" i="12"/>
  <c r="K3350" i="12"/>
  <c r="K3349" i="12"/>
  <c r="K3348" i="12"/>
  <c r="K3347" i="12"/>
  <c r="K3346" i="12"/>
  <c r="K3345" i="12"/>
  <c r="K3344" i="12"/>
  <c r="K3343" i="12"/>
  <c r="K3342" i="12"/>
  <c r="K3341" i="12"/>
  <c r="K3340" i="12"/>
  <c r="K3339" i="12"/>
  <c r="K3338" i="12"/>
  <c r="K3337" i="12"/>
  <c r="K3336" i="12"/>
  <c r="K3335" i="12"/>
  <c r="K3334" i="12"/>
  <c r="K3333" i="12"/>
  <c r="K3332" i="12"/>
  <c r="K3331" i="12"/>
  <c r="K3330" i="12"/>
  <c r="K3329" i="12"/>
  <c r="K3328" i="12"/>
  <c r="K3327" i="12"/>
  <c r="K3326" i="12"/>
  <c r="K3325" i="12"/>
  <c r="K3324" i="12"/>
  <c r="K3323" i="12"/>
  <c r="K3322" i="12"/>
  <c r="K3321" i="12"/>
  <c r="K3320" i="12"/>
  <c r="K3319" i="12"/>
  <c r="K3318" i="12"/>
  <c r="K3317" i="12"/>
  <c r="K3316" i="12"/>
  <c r="K3315" i="12"/>
  <c r="K3314" i="12"/>
  <c r="K3313" i="12"/>
  <c r="K3312" i="12"/>
  <c r="K3311" i="12"/>
  <c r="K3310" i="12"/>
  <c r="K3309" i="12"/>
  <c r="K3308" i="12"/>
  <c r="K3307" i="12"/>
  <c r="K3306" i="12"/>
  <c r="K3305" i="12"/>
  <c r="K3304" i="12"/>
  <c r="K3303" i="12"/>
  <c r="K3302" i="12"/>
  <c r="K3301" i="12"/>
  <c r="K3300" i="12"/>
  <c r="K3299" i="12"/>
  <c r="K3298" i="12"/>
  <c r="K3297" i="12"/>
  <c r="K3296" i="12"/>
  <c r="K3295" i="12"/>
  <c r="K3294" i="12"/>
  <c r="K3293" i="12"/>
  <c r="K3292" i="12"/>
  <c r="K3291" i="12"/>
  <c r="K3290" i="12"/>
  <c r="K3289" i="12"/>
  <c r="K3288" i="12"/>
  <c r="K3287" i="12"/>
  <c r="K3286" i="12"/>
  <c r="K3285" i="12"/>
  <c r="K3284" i="12"/>
  <c r="K3283" i="12"/>
  <c r="K3282" i="12"/>
  <c r="K3281" i="12"/>
  <c r="K3280" i="12"/>
  <c r="K3279" i="12"/>
  <c r="K3278" i="12"/>
  <c r="K3277" i="12"/>
  <c r="K3276" i="12"/>
  <c r="K3275" i="12"/>
  <c r="K3274" i="12"/>
  <c r="K3273" i="12"/>
  <c r="K3272" i="12"/>
  <c r="K3271" i="12"/>
  <c r="K3270" i="12"/>
  <c r="K3269" i="12"/>
  <c r="K3268" i="12"/>
  <c r="K3267" i="12"/>
  <c r="K3266" i="12"/>
  <c r="K3265" i="12"/>
  <c r="K3264" i="12"/>
  <c r="K3263" i="12"/>
  <c r="K3262" i="12"/>
  <c r="K3261" i="12"/>
  <c r="K3260" i="12"/>
  <c r="K3259" i="12"/>
  <c r="K3258" i="12"/>
  <c r="K3257" i="12"/>
  <c r="K3256" i="12"/>
  <c r="K3255" i="12"/>
  <c r="K3254" i="12"/>
  <c r="K3253" i="12"/>
  <c r="K3252" i="12"/>
  <c r="K3251" i="12"/>
  <c r="K3250" i="12"/>
  <c r="K3249" i="12"/>
  <c r="K3248" i="12"/>
  <c r="K3247" i="12"/>
  <c r="K3246" i="12"/>
  <c r="K3245" i="12"/>
  <c r="K3244" i="12"/>
  <c r="K3243" i="12"/>
  <c r="K3242" i="12"/>
  <c r="K3241" i="12"/>
  <c r="K3240" i="12"/>
  <c r="K3239" i="12"/>
  <c r="K3238" i="12"/>
  <c r="K3237" i="12"/>
  <c r="K3236" i="12"/>
  <c r="K3235" i="12"/>
  <c r="K3234" i="12"/>
  <c r="K3233" i="12"/>
  <c r="K3232" i="12"/>
  <c r="K3231" i="12"/>
  <c r="K3230" i="12"/>
  <c r="K3229" i="12"/>
  <c r="K3228" i="12"/>
  <c r="K3227" i="12"/>
  <c r="K3226" i="12"/>
  <c r="K3225" i="12"/>
  <c r="K3224" i="12"/>
  <c r="K3223" i="12"/>
  <c r="K3222" i="12"/>
  <c r="K3221" i="12"/>
  <c r="K3220" i="12"/>
  <c r="K3219" i="12"/>
  <c r="K3218" i="12"/>
  <c r="K3217" i="12"/>
  <c r="K3216" i="12"/>
  <c r="K3215" i="12"/>
  <c r="K3214" i="12"/>
  <c r="K3213" i="12"/>
  <c r="K3212" i="12"/>
  <c r="K3211" i="12"/>
  <c r="K3210" i="12"/>
  <c r="K3209" i="12"/>
  <c r="K3208" i="12"/>
  <c r="K3207" i="12"/>
  <c r="K3206" i="12"/>
  <c r="K3205" i="12"/>
  <c r="K3204" i="12"/>
  <c r="K3203" i="12"/>
  <c r="K3202" i="12"/>
  <c r="K3201" i="12"/>
  <c r="K3200" i="12"/>
  <c r="K3199" i="12"/>
  <c r="K3198" i="12"/>
  <c r="K3197" i="12"/>
  <c r="K3196" i="12"/>
  <c r="K3195" i="12"/>
  <c r="K3194" i="12"/>
  <c r="K3193" i="12"/>
  <c r="K3192" i="12"/>
  <c r="K3191" i="12"/>
  <c r="K3190" i="12"/>
  <c r="K3189" i="12"/>
  <c r="K3188" i="12"/>
  <c r="K3187" i="12"/>
  <c r="K3186" i="12"/>
  <c r="K3185" i="12"/>
  <c r="K3184" i="12"/>
  <c r="K3183" i="12"/>
  <c r="K3182" i="12"/>
  <c r="K3181" i="12"/>
  <c r="K3180" i="12"/>
  <c r="K3179" i="12"/>
  <c r="K3178" i="12"/>
  <c r="K3177" i="12"/>
  <c r="K3176" i="12"/>
  <c r="K3175" i="12"/>
  <c r="K3174" i="12"/>
  <c r="K3173" i="12"/>
  <c r="K3172" i="12"/>
  <c r="K3171" i="12"/>
  <c r="K3170" i="12"/>
  <c r="K3169" i="12"/>
  <c r="K3168" i="12"/>
  <c r="K3167" i="12"/>
  <c r="K3166" i="12"/>
  <c r="K3165" i="12"/>
  <c r="K3164" i="12"/>
  <c r="K3163" i="12"/>
  <c r="K3162" i="12"/>
  <c r="K3161" i="12"/>
  <c r="K3160" i="12"/>
  <c r="K3159" i="12"/>
  <c r="K3158" i="12"/>
  <c r="K3157" i="12"/>
  <c r="K3156" i="12"/>
  <c r="K3155" i="12"/>
  <c r="K3154" i="12"/>
  <c r="K3153" i="12"/>
  <c r="K3152" i="12"/>
  <c r="K3151" i="12"/>
  <c r="K3150" i="12"/>
  <c r="K3149" i="12"/>
  <c r="K3148" i="12"/>
  <c r="K3147" i="12"/>
  <c r="K3146" i="12"/>
  <c r="K3145" i="12"/>
  <c r="K3144" i="12"/>
  <c r="K3143" i="12"/>
  <c r="K3142" i="12"/>
  <c r="K3141" i="12"/>
  <c r="K3140" i="12"/>
  <c r="K3139" i="12"/>
  <c r="K3138" i="12"/>
  <c r="K3137" i="12"/>
  <c r="K3136" i="12"/>
  <c r="K3135" i="12"/>
  <c r="K3134" i="12"/>
  <c r="K3133" i="12"/>
  <c r="K3132" i="12"/>
  <c r="K3131" i="12"/>
  <c r="K3130" i="12"/>
  <c r="K3129" i="12"/>
  <c r="K3128" i="12"/>
  <c r="K3127" i="12"/>
  <c r="K3126" i="12"/>
  <c r="K3125" i="12"/>
  <c r="K3124" i="12"/>
  <c r="K3123" i="12"/>
  <c r="K3122" i="12"/>
  <c r="K3121" i="12"/>
  <c r="K3120" i="12"/>
  <c r="K3119" i="12"/>
  <c r="K3118" i="12"/>
  <c r="K3117" i="12"/>
  <c r="K3116" i="12"/>
  <c r="K3115" i="12"/>
  <c r="K3114" i="12"/>
  <c r="K3113" i="12"/>
  <c r="K3112" i="12"/>
  <c r="K3111" i="12"/>
  <c r="K3110" i="12"/>
  <c r="K3109" i="12"/>
  <c r="K3108" i="12"/>
  <c r="K3107" i="12"/>
  <c r="K3106" i="12"/>
  <c r="K3105" i="12"/>
  <c r="K3104" i="12"/>
  <c r="K3103" i="12"/>
  <c r="K3102" i="12"/>
  <c r="K3101" i="12"/>
  <c r="K3100" i="12"/>
  <c r="K3099" i="12"/>
  <c r="K3098" i="12"/>
  <c r="K3097" i="12"/>
  <c r="K3096" i="12"/>
  <c r="K3095" i="12"/>
  <c r="K3094" i="12"/>
  <c r="K3093" i="12"/>
  <c r="K3092" i="12"/>
  <c r="K3091" i="12"/>
  <c r="K3090" i="12"/>
  <c r="K3089" i="12"/>
  <c r="K3088" i="12"/>
  <c r="K3087" i="12"/>
  <c r="K3086" i="12"/>
  <c r="K3085" i="12"/>
  <c r="K3084" i="12"/>
  <c r="K3083" i="12"/>
  <c r="K3082" i="12"/>
  <c r="K3081" i="12"/>
  <c r="K3080" i="12"/>
  <c r="K3079" i="12"/>
  <c r="K3078" i="12"/>
  <c r="K3077" i="12"/>
  <c r="K3076" i="12"/>
  <c r="K3075" i="12"/>
  <c r="K3074" i="12"/>
  <c r="K3073" i="12"/>
  <c r="K3072" i="12"/>
  <c r="K3071" i="12"/>
  <c r="K3070" i="12"/>
  <c r="K3069" i="12"/>
  <c r="K3068" i="12"/>
  <c r="K3067" i="12"/>
  <c r="K3066" i="12"/>
  <c r="K3065" i="12"/>
  <c r="K3064" i="12"/>
  <c r="K3063" i="12"/>
  <c r="K3062" i="12"/>
  <c r="K3061" i="12"/>
  <c r="K3060" i="12"/>
  <c r="K3059" i="12"/>
  <c r="K3058" i="12"/>
  <c r="K3057" i="12"/>
  <c r="K3056" i="12"/>
  <c r="K3055" i="12"/>
  <c r="K3054" i="12"/>
  <c r="K3053" i="12"/>
  <c r="K3052" i="12"/>
  <c r="K3051" i="12"/>
  <c r="K3050" i="12"/>
  <c r="K3049" i="12"/>
  <c r="K3048" i="12"/>
  <c r="K3047" i="12"/>
  <c r="K3046" i="12"/>
  <c r="K3045" i="12"/>
  <c r="K3044" i="12"/>
  <c r="K3043" i="12"/>
  <c r="K3042" i="12"/>
  <c r="K3041" i="12"/>
  <c r="K3040" i="12"/>
  <c r="K3039" i="12"/>
  <c r="K3038" i="12"/>
  <c r="K3037" i="12"/>
  <c r="K3036" i="12"/>
  <c r="K3035" i="12"/>
  <c r="K3034" i="12"/>
  <c r="K3033" i="12"/>
  <c r="K3032" i="12"/>
  <c r="K3031" i="12"/>
  <c r="K3030" i="12"/>
  <c r="K3029" i="12"/>
  <c r="K3028" i="12"/>
  <c r="K3027" i="12"/>
  <c r="K3026" i="12"/>
  <c r="K3025" i="12"/>
  <c r="K3024" i="12"/>
  <c r="K3023" i="12"/>
  <c r="K3022" i="12"/>
  <c r="K3021" i="12"/>
  <c r="K3020" i="12"/>
  <c r="K3019" i="12"/>
  <c r="K3018" i="12"/>
  <c r="K3017" i="12"/>
  <c r="K3016" i="12"/>
  <c r="K3015" i="12"/>
  <c r="K3014" i="12"/>
  <c r="K3013" i="12"/>
  <c r="K3012" i="12"/>
  <c r="K3011" i="12"/>
  <c r="K3010" i="12"/>
  <c r="K3009" i="12"/>
  <c r="K3008" i="12"/>
  <c r="K3007" i="12"/>
  <c r="K3006" i="12"/>
  <c r="K3005" i="12"/>
  <c r="K3004" i="12"/>
  <c r="K3003" i="12"/>
  <c r="K3002" i="12"/>
  <c r="K3001" i="12"/>
  <c r="K3000" i="12"/>
  <c r="K2999" i="12"/>
  <c r="K2998" i="12"/>
  <c r="K2997" i="12"/>
  <c r="K2996" i="12"/>
  <c r="K2995" i="12"/>
  <c r="K2994" i="12"/>
  <c r="K2993" i="12"/>
  <c r="K2992" i="12"/>
  <c r="K2991" i="12"/>
  <c r="K2990" i="12"/>
  <c r="K2989" i="12"/>
  <c r="K2988" i="12"/>
  <c r="K2987" i="12"/>
  <c r="K2986" i="12"/>
  <c r="K2985" i="12"/>
  <c r="K2984" i="12"/>
  <c r="K2983" i="12"/>
  <c r="K2982" i="12"/>
  <c r="K2981" i="12"/>
  <c r="K2980" i="12"/>
  <c r="K2979" i="12"/>
  <c r="K2978" i="12"/>
  <c r="K2977" i="12"/>
  <c r="K2976" i="12"/>
  <c r="K2975" i="12"/>
  <c r="K2974" i="12"/>
  <c r="K2973" i="12"/>
  <c r="K2972" i="12"/>
  <c r="K2971" i="12"/>
  <c r="K2970" i="12"/>
  <c r="K2969" i="12"/>
  <c r="K2968" i="12"/>
  <c r="K2967" i="12"/>
  <c r="K2966" i="12"/>
  <c r="K2965" i="12"/>
  <c r="K2964" i="12"/>
  <c r="K2963" i="12"/>
  <c r="K2962" i="12"/>
  <c r="K2961" i="12"/>
  <c r="K2960" i="12"/>
  <c r="K2959" i="12"/>
  <c r="K2958" i="12"/>
  <c r="K2957" i="12"/>
  <c r="K2956" i="12"/>
  <c r="K2955" i="12"/>
  <c r="K2954" i="12"/>
  <c r="K2953" i="12"/>
  <c r="K2952" i="12"/>
  <c r="K2951" i="12"/>
  <c r="K2950" i="12"/>
  <c r="K2949" i="12"/>
  <c r="K2948" i="12"/>
  <c r="K2947" i="12"/>
  <c r="K2946" i="12"/>
  <c r="K2945" i="12"/>
  <c r="K2944" i="12"/>
  <c r="K2943" i="12"/>
  <c r="K2942" i="12"/>
  <c r="K2941" i="12"/>
  <c r="K2940" i="12"/>
  <c r="K2939" i="12"/>
  <c r="K2938" i="12"/>
  <c r="K2937" i="12"/>
  <c r="K2936" i="12"/>
  <c r="K2935" i="12"/>
  <c r="K2934" i="12"/>
  <c r="K2933" i="12"/>
  <c r="K2932" i="12"/>
  <c r="K2931" i="12"/>
  <c r="K2930" i="12"/>
  <c r="K2929" i="12"/>
  <c r="K2928" i="12"/>
  <c r="K2927" i="12"/>
  <c r="K2926" i="12"/>
  <c r="K2925" i="12"/>
  <c r="K2924" i="12"/>
  <c r="K2923" i="12"/>
  <c r="K2922" i="12"/>
  <c r="K2921" i="12"/>
  <c r="K2920" i="12"/>
  <c r="K2919" i="12"/>
  <c r="K2918" i="12"/>
  <c r="K2917" i="12"/>
  <c r="K2916" i="12"/>
  <c r="K2915" i="12"/>
  <c r="K2914" i="12"/>
  <c r="K2913" i="12"/>
  <c r="K2912" i="12"/>
  <c r="K2911" i="12"/>
  <c r="K2910" i="12"/>
  <c r="K2909" i="12"/>
  <c r="K2908" i="12"/>
  <c r="K2907" i="12"/>
  <c r="K2906" i="12"/>
  <c r="K2905" i="12"/>
  <c r="K2904" i="12"/>
  <c r="K2903" i="12"/>
  <c r="K2902" i="12"/>
  <c r="K2901" i="12"/>
  <c r="K2900" i="12"/>
  <c r="K2899" i="12"/>
  <c r="K2898" i="12"/>
  <c r="K2897" i="12"/>
  <c r="K2896" i="12"/>
  <c r="K2895" i="12"/>
  <c r="K2894" i="12"/>
  <c r="K2893" i="12"/>
  <c r="K2892" i="12"/>
  <c r="K2891" i="12"/>
  <c r="K2890" i="12"/>
  <c r="K2889" i="12"/>
  <c r="K2888" i="12"/>
  <c r="K2887" i="12"/>
  <c r="K2886" i="12"/>
  <c r="K2885" i="12"/>
  <c r="K2884" i="12"/>
  <c r="K2883" i="12"/>
  <c r="K2882" i="12"/>
  <c r="K2881" i="12"/>
  <c r="K2880" i="12"/>
  <c r="K2879" i="12"/>
  <c r="K2878" i="12"/>
  <c r="K2877" i="12"/>
  <c r="K2876" i="12"/>
  <c r="K2875" i="12"/>
  <c r="K2874" i="12"/>
  <c r="K2873" i="12"/>
  <c r="K2872" i="12"/>
  <c r="K2871" i="12"/>
  <c r="K2870" i="12"/>
  <c r="K2869" i="12"/>
  <c r="K2868" i="12"/>
  <c r="K2867" i="12"/>
  <c r="K2866" i="12"/>
  <c r="K2865" i="12"/>
  <c r="K2864" i="12"/>
  <c r="K2863" i="12"/>
  <c r="K2862" i="12"/>
  <c r="K2861" i="12"/>
  <c r="K2860" i="12"/>
  <c r="K2859" i="12"/>
  <c r="K2858" i="12"/>
  <c r="K2857" i="12"/>
  <c r="K2856" i="12"/>
  <c r="K2855" i="12"/>
  <c r="K2854" i="12"/>
  <c r="K2853" i="12"/>
  <c r="K2852" i="12"/>
  <c r="K2851" i="12"/>
  <c r="K2850" i="12"/>
  <c r="K2849" i="12"/>
  <c r="K2848" i="12"/>
  <c r="K2847" i="12"/>
  <c r="K2846" i="12"/>
  <c r="K2845" i="12"/>
  <c r="K2844" i="12"/>
  <c r="K2843" i="12"/>
  <c r="K2842" i="12"/>
  <c r="K2841" i="12"/>
  <c r="K2840" i="12"/>
  <c r="K2839" i="12"/>
  <c r="K2838" i="12"/>
  <c r="K2837" i="12"/>
  <c r="K2836" i="12"/>
  <c r="K2835" i="12"/>
  <c r="K2834" i="12"/>
  <c r="K2833" i="12"/>
  <c r="K2832" i="12"/>
  <c r="K2831" i="12"/>
  <c r="K2830" i="12"/>
  <c r="K2829" i="12"/>
  <c r="K2828" i="12"/>
  <c r="K2827" i="12"/>
  <c r="K2826" i="12"/>
  <c r="K2825" i="12"/>
  <c r="K2824" i="12"/>
  <c r="K2823" i="12"/>
  <c r="K2822" i="12"/>
  <c r="K2821" i="12"/>
  <c r="K2820" i="12"/>
  <c r="K2819" i="12"/>
  <c r="K2818" i="12"/>
  <c r="K2817" i="12"/>
  <c r="K2816" i="12"/>
  <c r="K2815" i="12"/>
  <c r="K2814" i="12"/>
  <c r="K2813" i="12"/>
  <c r="K2812" i="12"/>
  <c r="K2811" i="12"/>
  <c r="K2810" i="12"/>
  <c r="K2809" i="12"/>
  <c r="K2808" i="12"/>
  <c r="K2807" i="12"/>
  <c r="K2806" i="12"/>
  <c r="K2805" i="12"/>
  <c r="K2804" i="12"/>
  <c r="K2803" i="12"/>
  <c r="K2802" i="12"/>
  <c r="K2801" i="12"/>
  <c r="K2800" i="12"/>
  <c r="K2799" i="12"/>
  <c r="K2798" i="12"/>
  <c r="K2797" i="12"/>
  <c r="K2796" i="12"/>
  <c r="K2795" i="12"/>
  <c r="K2794" i="12"/>
  <c r="K2793" i="12"/>
  <c r="K2792" i="12"/>
  <c r="K2791" i="12"/>
  <c r="K2790" i="12"/>
  <c r="K2789" i="12"/>
  <c r="K2788" i="12"/>
  <c r="K2787" i="12"/>
  <c r="K2786" i="12"/>
  <c r="K2785" i="12"/>
  <c r="K2784" i="12"/>
  <c r="K2783" i="12"/>
  <c r="K2782" i="12"/>
  <c r="K2781" i="12"/>
  <c r="K2780" i="12"/>
  <c r="K2779" i="12"/>
  <c r="K2778" i="12"/>
  <c r="K2777" i="12"/>
  <c r="K2776" i="12"/>
  <c r="K2775" i="12"/>
  <c r="K2774" i="12"/>
  <c r="K2773" i="12"/>
  <c r="K2772" i="12"/>
  <c r="K2771" i="12"/>
  <c r="K2770" i="12"/>
  <c r="K2769" i="12"/>
  <c r="K2768" i="12"/>
  <c r="K2767" i="12"/>
  <c r="K2766" i="12"/>
  <c r="K2765" i="12"/>
  <c r="K2764" i="12"/>
  <c r="K2763" i="12"/>
  <c r="K2762" i="12"/>
  <c r="K2761" i="12"/>
  <c r="K2760" i="12"/>
  <c r="K2759" i="12"/>
  <c r="K2758" i="12"/>
  <c r="K2757" i="12"/>
  <c r="K2756" i="12"/>
  <c r="K2755" i="12"/>
  <c r="K2754" i="12"/>
  <c r="K2753" i="12"/>
  <c r="K2752" i="12"/>
  <c r="K2751" i="12"/>
  <c r="K2750" i="12"/>
  <c r="K2749" i="12"/>
  <c r="K2748" i="12"/>
  <c r="K2747" i="12"/>
  <c r="K2746" i="12"/>
  <c r="K2745" i="12"/>
  <c r="K2744" i="12"/>
  <c r="K2743" i="12"/>
  <c r="K2742" i="12"/>
  <c r="K2741" i="12"/>
  <c r="K2740" i="12"/>
  <c r="K2739" i="12"/>
  <c r="K2738" i="12"/>
  <c r="K2737" i="12"/>
  <c r="K2736" i="12"/>
  <c r="K2735" i="12"/>
  <c r="K2734" i="12"/>
  <c r="K2733" i="12"/>
  <c r="K2732" i="12"/>
  <c r="K2731" i="12"/>
  <c r="K2730" i="12"/>
  <c r="K2729" i="12"/>
  <c r="K2728" i="12"/>
  <c r="K2727" i="12"/>
  <c r="K2726" i="12"/>
  <c r="K2725" i="12"/>
  <c r="K2724" i="12"/>
  <c r="K2723" i="12"/>
  <c r="K2722" i="12"/>
  <c r="K2721" i="12"/>
  <c r="K2720" i="12"/>
  <c r="K2719" i="12"/>
  <c r="K2718" i="12"/>
  <c r="K2717" i="12"/>
  <c r="K2716" i="12"/>
  <c r="K2715" i="12"/>
  <c r="K2714" i="12"/>
  <c r="K2713" i="12"/>
  <c r="K2712" i="12"/>
  <c r="K2711" i="12"/>
  <c r="K2710" i="12"/>
  <c r="K2709" i="12"/>
  <c r="K2708" i="12"/>
  <c r="K2707" i="12"/>
  <c r="K2706" i="12"/>
  <c r="K2705" i="12"/>
  <c r="K2704" i="12"/>
  <c r="K2703" i="12"/>
  <c r="K2702" i="12"/>
  <c r="K2701" i="12"/>
  <c r="K2700" i="12"/>
  <c r="K2699" i="12"/>
  <c r="K2698" i="12"/>
  <c r="K2697" i="12"/>
  <c r="K2696" i="12"/>
  <c r="K2695" i="12"/>
  <c r="K2694" i="12"/>
  <c r="K2693" i="12"/>
  <c r="K2692" i="12"/>
  <c r="K2691" i="12"/>
  <c r="K2690" i="12"/>
  <c r="K2689" i="12"/>
  <c r="K2688" i="12"/>
  <c r="K2687" i="12"/>
  <c r="K2686" i="12"/>
  <c r="K2685" i="12"/>
  <c r="K2684" i="12"/>
  <c r="K2683" i="12"/>
  <c r="K2682" i="12"/>
  <c r="K2681" i="12"/>
  <c r="K2680" i="12"/>
  <c r="K2679" i="12"/>
  <c r="K2678" i="12"/>
  <c r="K2677" i="12"/>
  <c r="K2676" i="12"/>
  <c r="K2675" i="12"/>
  <c r="K2674" i="12"/>
  <c r="K2673" i="12"/>
  <c r="K2672" i="12"/>
  <c r="K2671" i="12"/>
  <c r="K2670" i="12"/>
  <c r="K2669" i="12"/>
  <c r="K2668" i="12"/>
  <c r="K2667" i="12"/>
  <c r="K2666" i="12"/>
  <c r="K2665" i="12"/>
  <c r="K2664" i="12"/>
  <c r="K2663" i="12"/>
  <c r="K2662" i="12"/>
  <c r="K2661" i="12"/>
  <c r="K2660" i="12"/>
  <c r="K2659" i="12"/>
  <c r="K2658" i="12"/>
  <c r="K2657" i="12"/>
  <c r="K2656" i="12"/>
  <c r="K2655" i="12"/>
  <c r="K2654" i="12"/>
  <c r="K2653" i="12"/>
  <c r="K2652" i="12"/>
  <c r="K2651" i="12"/>
  <c r="K2650" i="12"/>
  <c r="K2649" i="12"/>
  <c r="K2648" i="12"/>
  <c r="K2647" i="12"/>
  <c r="K2646" i="12"/>
  <c r="K2645" i="12"/>
  <c r="K2644" i="12"/>
  <c r="K2643" i="12"/>
  <c r="K2642" i="12"/>
  <c r="K2641" i="12"/>
  <c r="K2640" i="12"/>
  <c r="K2639" i="12"/>
  <c r="K2638" i="12"/>
  <c r="K2637" i="12"/>
  <c r="K2636" i="12"/>
  <c r="K2635" i="12"/>
  <c r="K2634" i="12"/>
  <c r="K2633" i="12"/>
  <c r="K2632" i="12"/>
  <c r="K2631" i="12"/>
  <c r="K2630" i="12"/>
  <c r="K2629" i="12"/>
  <c r="K2628" i="12"/>
  <c r="K2627" i="12"/>
  <c r="K2626" i="12"/>
  <c r="K2625" i="12"/>
  <c r="K2624" i="12"/>
  <c r="K2623" i="12"/>
  <c r="K2622" i="12"/>
  <c r="K2621" i="12"/>
  <c r="K2620" i="12"/>
  <c r="K2619" i="12"/>
  <c r="K2618" i="12"/>
  <c r="K2617" i="12"/>
  <c r="K2616" i="12"/>
  <c r="K2615" i="12"/>
  <c r="K2614" i="12"/>
  <c r="K2613" i="12"/>
  <c r="K2612" i="12"/>
  <c r="K2611" i="12"/>
  <c r="K2610" i="12"/>
  <c r="K2609" i="12"/>
  <c r="K2608" i="12"/>
  <c r="K2607" i="12"/>
  <c r="K2606" i="12"/>
  <c r="K2605" i="12"/>
  <c r="K2604" i="12"/>
  <c r="K2603" i="12"/>
  <c r="K2602" i="12"/>
  <c r="K2601" i="12"/>
  <c r="K2600" i="12"/>
  <c r="K2599" i="12"/>
  <c r="K2598" i="12"/>
  <c r="K2597" i="12"/>
  <c r="K2596" i="12"/>
  <c r="K2595" i="12"/>
  <c r="K2594" i="12"/>
  <c r="K2593" i="12"/>
  <c r="K2592" i="12"/>
  <c r="K2591" i="12"/>
  <c r="K2590" i="12"/>
  <c r="K2589" i="12"/>
  <c r="K2588" i="12"/>
  <c r="K2587" i="12"/>
  <c r="K2586" i="12"/>
  <c r="K2585" i="12"/>
  <c r="K2584" i="12"/>
  <c r="K2583" i="12"/>
  <c r="K2582" i="12"/>
  <c r="K2581" i="12"/>
  <c r="K2580" i="12"/>
  <c r="K2579" i="12"/>
  <c r="K2578" i="12"/>
  <c r="K2577" i="12"/>
  <c r="K2576" i="12"/>
  <c r="K2575" i="12"/>
  <c r="K2574" i="12"/>
  <c r="K2573" i="12"/>
  <c r="K2572" i="12"/>
  <c r="K2571" i="12"/>
  <c r="K2570" i="12"/>
  <c r="K2569" i="12"/>
  <c r="K2568" i="12"/>
  <c r="K2567" i="12"/>
  <c r="K2566" i="12"/>
  <c r="K2565" i="12"/>
  <c r="K2564" i="12"/>
  <c r="K2563" i="12"/>
  <c r="K2562" i="12"/>
  <c r="K2561" i="12"/>
  <c r="K2560" i="12"/>
  <c r="K2559" i="12"/>
  <c r="K2558" i="12"/>
  <c r="K2557" i="12"/>
  <c r="K2556" i="12"/>
  <c r="K2555" i="12"/>
  <c r="K2554" i="12"/>
  <c r="K2553" i="12"/>
  <c r="K2552" i="12"/>
  <c r="K2551" i="12"/>
  <c r="K2550" i="12"/>
  <c r="K2549" i="12"/>
  <c r="K2548" i="12"/>
  <c r="K2547" i="12"/>
  <c r="K2546" i="12"/>
  <c r="K2545" i="12"/>
  <c r="K2544" i="12"/>
  <c r="K2543" i="12"/>
  <c r="K2542" i="12"/>
  <c r="K2541" i="12"/>
  <c r="K2540" i="12"/>
  <c r="K2539" i="12"/>
  <c r="K2538" i="12"/>
  <c r="K2537" i="12"/>
  <c r="K2536" i="12"/>
  <c r="K2535" i="12"/>
  <c r="K2534" i="12"/>
  <c r="K2533" i="12"/>
  <c r="K2532" i="12"/>
  <c r="K2531" i="12"/>
  <c r="K2530" i="12"/>
  <c r="K2529" i="12"/>
  <c r="K2528" i="12"/>
  <c r="K2527" i="12"/>
  <c r="K2526" i="12"/>
  <c r="K2525" i="12"/>
  <c r="K2524" i="12"/>
  <c r="K2523" i="12"/>
  <c r="K2522" i="12"/>
  <c r="K2521" i="12"/>
  <c r="K2520" i="12"/>
  <c r="K2519" i="12"/>
  <c r="K2518" i="12"/>
  <c r="K2517" i="12"/>
  <c r="K2516" i="12"/>
  <c r="K2515" i="12"/>
  <c r="K2514" i="12"/>
  <c r="K2513" i="12"/>
  <c r="K2512" i="12"/>
  <c r="K2511" i="12"/>
  <c r="K2510" i="12"/>
  <c r="K2509" i="12"/>
  <c r="K2508" i="12"/>
  <c r="K2507" i="12"/>
  <c r="K2506" i="12"/>
  <c r="K2505" i="12"/>
  <c r="K2504" i="12"/>
  <c r="K2503" i="12"/>
  <c r="K2502" i="12"/>
  <c r="K2501" i="12"/>
  <c r="K2500" i="12"/>
  <c r="K2499" i="12"/>
  <c r="K2498" i="12"/>
  <c r="K2497" i="12"/>
  <c r="K2496" i="12"/>
  <c r="K2495" i="12"/>
  <c r="K2494" i="12"/>
  <c r="K2493" i="12"/>
  <c r="K2492" i="12"/>
  <c r="K2491" i="12"/>
  <c r="K2490" i="12"/>
  <c r="K2489" i="12"/>
  <c r="K2488" i="12"/>
  <c r="K2487" i="12"/>
  <c r="K2486" i="12"/>
  <c r="K2485" i="12"/>
  <c r="K2484" i="12"/>
  <c r="K2483" i="12"/>
  <c r="K2482" i="12"/>
  <c r="K2481" i="12"/>
  <c r="K2480" i="12"/>
  <c r="K2479" i="12"/>
  <c r="K2478" i="12"/>
  <c r="K2477" i="12"/>
  <c r="K2476" i="12"/>
  <c r="K2475" i="12"/>
  <c r="K2474" i="12"/>
  <c r="K2473" i="12"/>
  <c r="K2472" i="12"/>
  <c r="K2471" i="12"/>
  <c r="K2470" i="12"/>
  <c r="K2469" i="12"/>
  <c r="K2468" i="12"/>
  <c r="K2467" i="12"/>
  <c r="K2466" i="12"/>
  <c r="K2465" i="12"/>
  <c r="K2464" i="12"/>
  <c r="K2463" i="12"/>
  <c r="K2462" i="12"/>
  <c r="K2461" i="12"/>
  <c r="K2460" i="12"/>
  <c r="K2459" i="12"/>
  <c r="K2458" i="12"/>
  <c r="K2457" i="12"/>
  <c r="K2456" i="12"/>
  <c r="K2455" i="12"/>
  <c r="K2454" i="12"/>
  <c r="K2453" i="12"/>
  <c r="K2452" i="12"/>
  <c r="K2451" i="12"/>
  <c r="K2450" i="12"/>
  <c r="K2449" i="12"/>
  <c r="K2448" i="12"/>
  <c r="K2447" i="12"/>
  <c r="K2446" i="12"/>
  <c r="K2445" i="12"/>
  <c r="K2444" i="12"/>
  <c r="K2443" i="12"/>
  <c r="K2442" i="12"/>
  <c r="K2441" i="12"/>
  <c r="K2440" i="12"/>
  <c r="K2439" i="12"/>
  <c r="K2438" i="12"/>
  <c r="K2437" i="12"/>
  <c r="K2436" i="12"/>
  <c r="K2435" i="12"/>
  <c r="K2434" i="12"/>
  <c r="K2433" i="12"/>
  <c r="K2432" i="12"/>
  <c r="K2431" i="12"/>
  <c r="K2430" i="12"/>
  <c r="K2429" i="12"/>
  <c r="K2428" i="12"/>
  <c r="K2427" i="12"/>
  <c r="K2426" i="12"/>
  <c r="K2425" i="12"/>
  <c r="K2424" i="12"/>
  <c r="K2423" i="12"/>
  <c r="K2422" i="12"/>
  <c r="K2421" i="12"/>
  <c r="K2420" i="12"/>
  <c r="K2419" i="12"/>
  <c r="K2418" i="12"/>
  <c r="K2417" i="12"/>
  <c r="K2416" i="12"/>
  <c r="K2415" i="12"/>
  <c r="K2414" i="12"/>
  <c r="K2413" i="12"/>
  <c r="K2412" i="12"/>
  <c r="K2411" i="12"/>
  <c r="K2410" i="12"/>
  <c r="K2409" i="12"/>
  <c r="K2408" i="12"/>
  <c r="K2407" i="12"/>
  <c r="K2406" i="12"/>
  <c r="K2405" i="12"/>
  <c r="K2404" i="12"/>
  <c r="K2403" i="12"/>
  <c r="K2402" i="12"/>
  <c r="K2401" i="12"/>
  <c r="K2400" i="12"/>
  <c r="K2399" i="12"/>
  <c r="K2398" i="12"/>
  <c r="K2397" i="12"/>
  <c r="K2396" i="12"/>
  <c r="K2395" i="12"/>
  <c r="K2394" i="12"/>
  <c r="K2393" i="12"/>
  <c r="K2392" i="12"/>
  <c r="K2391" i="12"/>
  <c r="K2390" i="12"/>
  <c r="K2389" i="12"/>
  <c r="K2388" i="12"/>
  <c r="K2387" i="12"/>
  <c r="K2386" i="12"/>
  <c r="K2385" i="12"/>
  <c r="K2384" i="12"/>
  <c r="K2383" i="12"/>
  <c r="K2382" i="12"/>
  <c r="K2381" i="12"/>
  <c r="K2380" i="12"/>
  <c r="K2379" i="12"/>
  <c r="K2378" i="12"/>
  <c r="K2377" i="12"/>
  <c r="K2376" i="12"/>
  <c r="K2375" i="12"/>
  <c r="K2374" i="12"/>
  <c r="K2373" i="12"/>
  <c r="K2372" i="12"/>
  <c r="K2371" i="12"/>
  <c r="K2370" i="12"/>
  <c r="K2369" i="12"/>
  <c r="K2368" i="12"/>
  <c r="K2367" i="12"/>
  <c r="K2366" i="12"/>
  <c r="K2365" i="12"/>
  <c r="K2364" i="12"/>
  <c r="K2363" i="12"/>
  <c r="K2362" i="12"/>
  <c r="K2361" i="12"/>
  <c r="K2360" i="12"/>
  <c r="K2359" i="12"/>
  <c r="K2358" i="12"/>
  <c r="K2357" i="12"/>
  <c r="K2356" i="12"/>
  <c r="K2355" i="12"/>
  <c r="K2354" i="12"/>
  <c r="K2353" i="12"/>
  <c r="K2352" i="12"/>
  <c r="K2351" i="12"/>
  <c r="K2350" i="12"/>
  <c r="K2349" i="12"/>
  <c r="K2348" i="12"/>
  <c r="K2347" i="12"/>
  <c r="K2346" i="12"/>
  <c r="K2345" i="12"/>
  <c r="K2344" i="12"/>
  <c r="K2343" i="12"/>
  <c r="K2342" i="12"/>
  <c r="K2341" i="12"/>
  <c r="K2340" i="12"/>
  <c r="K2339" i="12"/>
  <c r="K2338" i="12"/>
  <c r="K2337" i="12"/>
  <c r="K2336" i="12"/>
  <c r="K2335" i="12"/>
  <c r="K2334" i="12"/>
  <c r="K2333" i="12"/>
  <c r="K2332" i="12"/>
  <c r="K2331" i="12"/>
  <c r="K2330" i="12"/>
  <c r="K2329" i="12"/>
  <c r="K2328" i="12"/>
  <c r="K2327" i="12"/>
  <c r="K2326" i="12"/>
  <c r="K2325" i="12"/>
  <c r="K2324" i="12"/>
  <c r="K2323" i="12"/>
  <c r="K2322" i="12"/>
  <c r="K2321" i="12"/>
  <c r="K2320" i="12"/>
  <c r="K2319" i="12"/>
  <c r="K2318" i="12"/>
  <c r="K2317" i="12"/>
  <c r="K2316" i="12"/>
  <c r="K2315" i="12"/>
  <c r="K2314" i="12"/>
  <c r="K2313" i="12"/>
  <c r="K2312" i="12"/>
  <c r="K2311" i="12"/>
  <c r="K2310" i="12"/>
  <c r="K2309" i="12"/>
  <c r="K2308" i="12"/>
  <c r="K2307" i="12"/>
  <c r="K2306" i="12"/>
  <c r="K2305" i="12"/>
  <c r="K2304" i="12"/>
  <c r="K2303" i="12"/>
  <c r="K2302" i="12"/>
  <c r="K2301" i="12"/>
  <c r="K2300" i="12"/>
  <c r="K2299" i="12"/>
  <c r="K2298" i="12"/>
  <c r="K2297" i="12"/>
  <c r="K2296" i="12"/>
  <c r="K2295" i="12"/>
  <c r="K2294" i="12"/>
  <c r="K2293" i="12"/>
  <c r="K2292" i="12"/>
  <c r="K2291" i="12"/>
  <c r="K2290" i="12"/>
  <c r="K2289" i="12"/>
  <c r="K2288" i="12"/>
  <c r="K2287" i="12"/>
  <c r="K2286" i="12"/>
  <c r="K2285" i="12"/>
  <c r="K2284" i="12"/>
  <c r="K2283" i="12"/>
  <c r="K2282" i="12"/>
  <c r="K2281" i="12"/>
  <c r="K2280" i="12"/>
  <c r="K2279" i="12"/>
  <c r="K2278" i="12"/>
  <c r="K2277" i="12"/>
  <c r="K2276" i="12"/>
  <c r="K2275" i="12"/>
  <c r="K2274" i="12"/>
  <c r="K2273" i="12"/>
  <c r="K2272" i="12"/>
  <c r="K2271" i="12"/>
  <c r="K2270" i="12"/>
  <c r="K2269" i="12"/>
  <c r="K2268" i="12"/>
  <c r="K2267" i="12"/>
  <c r="K2266" i="12"/>
  <c r="K2265" i="12"/>
  <c r="K2264" i="12"/>
  <c r="K2263" i="12"/>
  <c r="K2262" i="12"/>
  <c r="K2261" i="12"/>
  <c r="K2260" i="12"/>
  <c r="K2259" i="12"/>
  <c r="K2258" i="12"/>
  <c r="K2257" i="12"/>
  <c r="K2256" i="12"/>
  <c r="K2255" i="12"/>
  <c r="K2254" i="12"/>
  <c r="K2253" i="12"/>
  <c r="K2252" i="12"/>
  <c r="K2251" i="12"/>
  <c r="K2250" i="12"/>
  <c r="K2249" i="12"/>
  <c r="K2248" i="12"/>
  <c r="K2247" i="12"/>
  <c r="K2246" i="12"/>
  <c r="K2245" i="12"/>
  <c r="K2244" i="12"/>
  <c r="K2243" i="12"/>
  <c r="K2242" i="12"/>
  <c r="K2241" i="12"/>
  <c r="K2240" i="12"/>
  <c r="K2239" i="12"/>
  <c r="K2238" i="12"/>
  <c r="K2237" i="12"/>
  <c r="K2236" i="12"/>
  <c r="K2235" i="12"/>
  <c r="K2234" i="12"/>
  <c r="K2233" i="12"/>
  <c r="K2232" i="12"/>
  <c r="K2231" i="12"/>
  <c r="K2230" i="12"/>
  <c r="K2229" i="12"/>
  <c r="K2228" i="12"/>
  <c r="K2227" i="12"/>
  <c r="K2226" i="12"/>
  <c r="K2225" i="12"/>
  <c r="K2224" i="12"/>
  <c r="K2223" i="12"/>
  <c r="K2222" i="12"/>
  <c r="K2221" i="12"/>
  <c r="K2220" i="12"/>
  <c r="K2219" i="12"/>
  <c r="K2218" i="12"/>
  <c r="K2217" i="12"/>
  <c r="K2216" i="12"/>
  <c r="K2215" i="12"/>
  <c r="K2214" i="12"/>
  <c r="K2213" i="12"/>
  <c r="K2212" i="12"/>
  <c r="K2211" i="12"/>
  <c r="K2210" i="12"/>
  <c r="K2209" i="12"/>
  <c r="K2208" i="12"/>
  <c r="K2207" i="12"/>
  <c r="K2206" i="12"/>
  <c r="K2205" i="12"/>
  <c r="K2204" i="12"/>
  <c r="K2203" i="12"/>
  <c r="K2202" i="12"/>
  <c r="K2201" i="12"/>
  <c r="K2200" i="12"/>
  <c r="K2199" i="12"/>
  <c r="K2198" i="12"/>
  <c r="K2197" i="12"/>
  <c r="K2196" i="12"/>
  <c r="K2195" i="12"/>
  <c r="K2194" i="12"/>
  <c r="K2193" i="12"/>
  <c r="K2192" i="12"/>
  <c r="K2191" i="12"/>
  <c r="K2190" i="12"/>
  <c r="K2189" i="12"/>
  <c r="K2188" i="12"/>
  <c r="K2187" i="12"/>
  <c r="K2186" i="12"/>
  <c r="K2185" i="12"/>
  <c r="K2184" i="12"/>
  <c r="K2183" i="12"/>
  <c r="K2182" i="12"/>
  <c r="K2181" i="12"/>
  <c r="K2180" i="12"/>
  <c r="K2179" i="12"/>
  <c r="K2178" i="12"/>
  <c r="K2177" i="12"/>
  <c r="K2176" i="12"/>
  <c r="K2175" i="12"/>
  <c r="K2174" i="12"/>
  <c r="K2173" i="12"/>
  <c r="K2172" i="12"/>
  <c r="K2171" i="12"/>
  <c r="K2170" i="12"/>
  <c r="K2169" i="12"/>
  <c r="K2168" i="12"/>
  <c r="K2167" i="12"/>
  <c r="K2166" i="12"/>
  <c r="K2165" i="12"/>
  <c r="K2164" i="12"/>
  <c r="K2163" i="12"/>
  <c r="K2162" i="12"/>
  <c r="K2161" i="12"/>
  <c r="K2160" i="12"/>
  <c r="K2159" i="12"/>
  <c r="K2158" i="12"/>
  <c r="K2157" i="12"/>
  <c r="K2156" i="12"/>
  <c r="K2155" i="12"/>
  <c r="K2154" i="12"/>
  <c r="K2153" i="12"/>
  <c r="K2152" i="12"/>
  <c r="K2151" i="12"/>
  <c r="K2150" i="12"/>
  <c r="K2149" i="12"/>
  <c r="K2148" i="12"/>
  <c r="K2147" i="12"/>
  <c r="K2146" i="12"/>
  <c r="K2145" i="12"/>
  <c r="K2144" i="12"/>
  <c r="K2143" i="12"/>
  <c r="K2142" i="12"/>
  <c r="K2141" i="12"/>
  <c r="K2140" i="12"/>
  <c r="K2139" i="12"/>
  <c r="K2138" i="12"/>
  <c r="K2137" i="12"/>
  <c r="K2136" i="12"/>
  <c r="K2135" i="12"/>
  <c r="K2134" i="12"/>
  <c r="K2133" i="12"/>
  <c r="K2132" i="12"/>
  <c r="K2131" i="12"/>
  <c r="K2130" i="12"/>
  <c r="K2129" i="12"/>
  <c r="K2128" i="12"/>
  <c r="K2127" i="12"/>
  <c r="K2126" i="12"/>
  <c r="K2125" i="12"/>
  <c r="K2124" i="12"/>
  <c r="K2123" i="12"/>
  <c r="K2122" i="12"/>
  <c r="K2121" i="12"/>
  <c r="K2120" i="12"/>
  <c r="K2119" i="12"/>
  <c r="K2118" i="12"/>
  <c r="K2117" i="12"/>
  <c r="K2116" i="12"/>
  <c r="K2115" i="12"/>
  <c r="K2114" i="12"/>
  <c r="K2113" i="12"/>
  <c r="K2112" i="12"/>
  <c r="K2111" i="12"/>
  <c r="K2110" i="12"/>
  <c r="K2109" i="12"/>
  <c r="K2108" i="12"/>
  <c r="K2107" i="12"/>
  <c r="K2106" i="12"/>
  <c r="K2105" i="12"/>
  <c r="K2104" i="12"/>
  <c r="K2103" i="12"/>
  <c r="K2102" i="12"/>
  <c r="K2101" i="12"/>
  <c r="K2100" i="12"/>
  <c r="K2099" i="12"/>
  <c r="K2098" i="12"/>
  <c r="K2097" i="12"/>
  <c r="K2096" i="12"/>
  <c r="K2095" i="12"/>
  <c r="K2094" i="12"/>
  <c r="K2093" i="12"/>
  <c r="K2092" i="12"/>
  <c r="K2091" i="12"/>
  <c r="K2090" i="12"/>
  <c r="K2089" i="12"/>
  <c r="K2088" i="12"/>
  <c r="K2087" i="12"/>
  <c r="K2086" i="12"/>
  <c r="K2085" i="12"/>
  <c r="K2084" i="12"/>
  <c r="K2083" i="12"/>
  <c r="K2082" i="12"/>
  <c r="K2081" i="12"/>
  <c r="K2080" i="12"/>
  <c r="K2079" i="12"/>
  <c r="K2078" i="12"/>
  <c r="K2077" i="12"/>
  <c r="K2076" i="12"/>
  <c r="K2075" i="12"/>
  <c r="K2074" i="12"/>
  <c r="K2073" i="12"/>
  <c r="K2072" i="12"/>
  <c r="K2071" i="12"/>
  <c r="K2070" i="12"/>
  <c r="K2069" i="12"/>
  <c r="K2068" i="12"/>
  <c r="K2067" i="12"/>
  <c r="K2066" i="12"/>
  <c r="K2065" i="12"/>
  <c r="K2064" i="12"/>
  <c r="K2063" i="12"/>
  <c r="K2062" i="12"/>
  <c r="K2061" i="12"/>
  <c r="K2060" i="12"/>
  <c r="K2059" i="12"/>
  <c r="K2058" i="12"/>
  <c r="K2057" i="12"/>
  <c r="K2056" i="12"/>
  <c r="K2055" i="12"/>
  <c r="K2054" i="12"/>
  <c r="K2053" i="12"/>
  <c r="K2052" i="12"/>
  <c r="K2051" i="12"/>
  <c r="K2050" i="12"/>
  <c r="K2049" i="12"/>
  <c r="K2048" i="12"/>
  <c r="K2047" i="12"/>
  <c r="K2046" i="12"/>
  <c r="K2045" i="12"/>
  <c r="K2044" i="12"/>
  <c r="K2043" i="12"/>
  <c r="K2042" i="12"/>
  <c r="K2041" i="12"/>
  <c r="K2040" i="12"/>
  <c r="K2039" i="12"/>
  <c r="K2038" i="12"/>
  <c r="K2037" i="12"/>
  <c r="K2036" i="12"/>
  <c r="K2035" i="12"/>
  <c r="K2034" i="12"/>
  <c r="K2033" i="12"/>
  <c r="K2032" i="12"/>
  <c r="K2031" i="12"/>
  <c r="K2030" i="12"/>
  <c r="K2029" i="12"/>
  <c r="K2028" i="12"/>
  <c r="K2027" i="12"/>
  <c r="K2026" i="12"/>
  <c r="K2025" i="12"/>
  <c r="K2024" i="12"/>
  <c r="K2023" i="12"/>
  <c r="K2022" i="12"/>
  <c r="K2021" i="12"/>
  <c r="K2020" i="12"/>
  <c r="K2019" i="12"/>
  <c r="K2018" i="12"/>
  <c r="K2017" i="12"/>
  <c r="K2016" i="12"/>
  <c r="K2015" i="12"/>
  <c r="K2014" i="12"/>
  <c r="K2013" i="12"/>
  <c r="K2012" i="12"/>
  <c r="K2011" i="12"/>
  <c r="K2010" i="12"/>
  <c r="K2009" i="12"/>
  <c r="K2008" i="12"/>
  <c r="K2007" i="12"/>
  <c r="K2006" i="12"/>
  <c r="K2005" i="12"/>
  <c r="K2004" i="12"/>
  <c r="K2003" i="12"/>
  <c r="K2002" i="12"/>
  <c r="K2001" i="12"/>
  <c r="K2000" i="12"/>
  <c r="K1999" i="12"/>
  <c r="K1998" i="12"/>
  <c r="K1997" i="12"/>
  <c r="K1996" i="12"/>
  <c r="K1995" i="12"/>
  <c r="K1994" i="12"/>
  <c r="K1993" i="12"/>
  <c r="K1992" i="12"/>
  <c r="K1991" i="12"/>
  <c r="K1990" i="12"/>
  <c r="K1989" i="12"/>
  <c r="K1988" i="12"/>
  <c r="K1987" i="12"/>
  <c r="K1986" i="12"/>
  <c r="K1985" i="12"/>
  <c r="K1984" i="12"/>
  <c r="K1983" i="12"/>
  <c r="K1982" i="12"/>
  <c r="K1981" i="12"/>
  <c r="K1980" i="12"/>
  <c r="K1979" i="12"/>
  <c r="K1978" i="12"/>
  <c r="K1977" i="12"/>
  <c r="K1976" i="12"/>
  <c r="K1975" i="12"/>
  <c r="K1974" i="12"/>
  <c r="K1973" i="12"/>
  <c r="K1972" i="12"/>
  <c r="K1971" i="12"/>
  <c r="K1970" i="12"/>
  <c r="K1969" i="12"/>
  <c r="K1968" i="12"/>
  <c r="K1967" i="12"/>
  <c r="K1966" i="12"/>
  <c r="K1965" i="12"/>
  <c r="K1964" i="12"/>
  <c r="K1963" i="12"/>
  <c r="K1962" i="12"/>
  <c r="K1961" i="12"/>
  <c r="K1960" i="12"/>
  <c r="K1959" i="12"/>
  <c r="K1958" i="12"/>
  <c r="K1957" i="12"/>
  <c r="K1956" i="12"/>
  <c r="K1955" i="12"/>
  <c r="K1954" i="12"/>
  <c r="K1953" i="12"/>
  <c r="K1952" i="12"/>
  <c r="K1951" i="12"/>
  <c r="K1950" i="12"/>
  <c r="K1949" i="12"/>
  <c r="K1948" i="12"/>
  <c r="K1947" i="12"/>
  <c r="K1946" i="12"/>
  <c r="K1945" i="12"/>
  <c r="K1944" i="12"/>
  <c r="K1943" i="12"/>
  <c r="K1942" i="12"/>
  <c r="K1941" i="12"/>
  <c r="K1940" i="12"/>
  <c r="K1939" i="12"/>
  <c r="K1938" i="12"/>
  <c r="K1937" i="12"/>
  <c r="K1936" i="12"/>
  <c r="K1935" i="12"/>
  <c r="K1934" i="12"/>
  <c r="K1933" i="12"/>
  <c r="K1932" i="12"/>
  <c r="K1931" i="12"/>
  <c r="K1930" i="12"/>
  <c r="K1929" i="12"/>
  <c r="K1928" i="12"/>
  <c r="K1927" i="12"/>
  <c r="K1926" i="12"/>
  <c r="K1925" i="12"/>
  <c r="K1924" i="12"/>
  <c r="K1923" i="12"/>
  <c r="K1922" i="12"/>
  <c r="K1921" i="12"/>
  <c r="K1920" i="12"/>
  <c r="K1919" i="12"/>
  <c r="K1918" i="12"/>
  <c r="K1917" i="12"/>
  <c r="K1916" i="12"/>
  <c r="K1915" i="12"/>
  <c r="K1914" i="12"/>
  <c r="K1913" i="12"/>
  <c r="K1912" i="12"/>
  <c r="K1911" i="12"/>
  <c r="K1910" i="12"/>
  <c r="K1909" i="12"/>
  <c r="K1908" i="12"/>
  <c r="K1907" i="12"/>
  <c r="K1906" i="12"/>
  <c r="K1905" i="12"/>
  <c r="K1904" i="12"/>
  <c r="K1903" i="12"/>
  <c r="K1902" i="12"/>
  <c r="K1901" i="12"/>
  <c r="K1900" i="12"/>
  <c r="K1899" i="12"/>
  <c r="K1898" i="12"/>
  <c r="K1897" i="12"/>
  <c r="K1896" i="12"/>
  <c r="K1895" i="12"/>
  <c r="K1894" i="12"/>
  <c r="K1893" i="12"/>
  <c r="K1892" i="12"/>
  <c r="K1891" i="12"/>
  <c r="K1890" i="12"/>
  <c r="K1889" i="12"/>
  <c r="K1888" i="12"/>
  <c r="K1887" i="12"/>
  <c r="K1886" i="12"/>
  <c r="K1885" i="12"/>
  <c r="K1884" i="12"/>
  <c r="K1883" i="12"/>
  <c r="K1882" i="12"/>
  <c r="K1881" i="12"/>
  <c r="K1880" i="12"/>
  <c r="K1879" i="12"/>
  <c r="K1878" i="12"/>
  <c r="K1877" i="12"/>
  <c r="K1876" i="12"/>
  <c r="K1875" i="12"/>
  <c r="K1874" i="12"/>
  <c r="K1873" i="12"/>
  <c r="K1872" i="12"/>
  <c r="K1871" i="12"/>
  <c r="K1870" i="12"/>
  <c r="K1869" i="12"/>
  <c r="K1868" i="12"/>
  <c r="K1867" i="12"/>
  <c r="K1866" i="12"/>
  <c r="K1865" i="12"/>
  <c r="K1864" i="12"/>
  <c r="K1863" i="12"/>
  <c r="K1862" i="12"/>
  <c r="K1861" i="12"/>
  <c r="K1860" i="12"/>
  <c r="K1859" i="12"/>
  <c r="K1858" i="12"/>
  <c r="K1857" i="12"/>
  <c r="K1856" i="12"/>
  <c r="K1855" i="12"/>
  <c r="K1854" i="12"/>
  <c r="K1853" i="12"/>
  <c r="K1852" i="12"/>
  <c r="K1851" i="12"/>
  <c r="K1850" i="12"/>
  <c r="K1849" i="12"/>
  <c r="K1848" i="12"/>
  <c r="K1847" i="12"/>
  <c r="K1846" i="12"/>
  <c r="K1845" i="12"/>
  <c r="K1844" i="12"/>
  <c r="K1843" i="12"/>
  <c r="K1842" i="12"/>
  <c r="K1841" i="12"/>
  <c r="K1840" i="12"/>
  <c r="K1839" i="12"/>
  <c r="K1838" i="12"/>
  <c r="K1837" i="12"/>
  <c r="K1836" i="12"/>
  <c r="K1835" i="12"/>
  <c r="K1834" i="12"/>
  <c r="K1833" i="12"/>
  <c r="K1832" i="12"/>
  <c r="K1831" i="12"/>
  <c r="K1830" i="12"/>
  <c r="K1829" i="12"/>
  <c r="K1828" i="12"/>
  <c r="K1827" i="12"/>
  <c r="K1826" i="12"/>
  <c r="K1825" i="12"/>
  <c r="K1824" i="12"/>
  <c r="K1823" i="12"/>
  <c r="K1822" i="12"/>
  <c r="K1821" i="12"/>
  <c r="K1820" i="12"/>
  <c r="K1819" i="12"/>
  <c r="K1818" i="12"/>
  <c r="K1817" i="12"/>
  <c r="K1816" i="12"/>
  <c r="K1815" i="12"/>
  <c r="K1814" i="12"/>
  <c r="K1813" i="12"/>
  <c r="K1812" i="12"/>
  <c r="K1811" i="12"/>
  <c r="K1810" i="12"/>
  <c r="K1809" i="12"/>
  <c r="K1808" i="12"/>
  <c r="K1807" i="12"/>
  <c r="K1806" i="12"/>
  <c r="K1805" i="12"/>
  <c r="K1804" i="12"/>
  <c r="K1803" i="12"/>
  <c r="K1802" i="12"/>
  <c r="K1801" i="12"/>
  <c r="K1800" i="12"/>
  <c r="K1799" i="12"/>
  <c r="K1798" i="12"/>
  <c r="K1797" i="12"/>
  <c r="K1796" i="12"/>
  <c r="K1795" i="12"/>
  <c r="K1794" i="12"/>
  <c r="K1793" i="12"/>
  <c r="K1792" i="12"/>
  <c r="K1791" i="12"/>
  <c r="K1790" i="12"/>
  <c r="K1789" i="12"/>
  <c r="K1788" i="12"/>
  <c r="K1787" i="12"/>
  <c r="K1786" i="12"/>
  <c r="K1785" i="12"/>
  <c r="K1784" i="12"/>
  <c r="K1783" i="12"/>
  <c r="K1782" i="12"/>
  <c r="K1781" i="12"/>
  <c r="K1780" i="12"/>
  <c r="K1779" i="12"/>
  <c r="K1778" i="12"/>
  <c r="K1777" i="12"/>
  <c r="K1776" i="12"/>
  <c r="K1775" i="12"/>
  <c r="K1774" i="12"/>
  <c r="K1773" i="12"/>
  <c r="K1772" i="12"/>
  <c r="K1771" i="12"/>
  <c r="K1770" i="12"/>
  <c r="K1769" i="12"/>
  <c r="K1768" i="12"/>
  <c r="K1767" i="12"/>
  <c r="K1766" i="12"/>
  <c r="K1765" i="12"/>
  <c r="K1764" i="12"/>
  <c r="K1763" i="12"/>
  <c r="K1762" i="12"/>
  <c r="K1761" i="12"/>
  <c r="K1760" i="12"/>
  <c r="K1759" i="12"/>
  <c r="K1758" i="12"/>
  <c r="K1757" i="12"/>
  <c r="K1756" i="12"/>
  <c r="K1755" i="12"/>
  <c r="K1754" i="12"/>
  <c r="K1753" i="12"/>
  <c r="K1752" i="12"/>
  <c r="K1751" i="12"/>
  <c r="K1750" i="12"/>
  <c r="K1749" i="12"/>
  <c r="K1748" i="12"/>
  <c r="K1747" i="12"/>
  <c r="K1746" i="12"/>
  <c r="K1745" i="12"/>
  <c r="K1744" i="12"/>
  <c r="K1743" i="12"/>
  <c r="K1742" i="12"/>
  <c r="K1741" i="12"/>
  <c r="K1740" i="12"/>
  <c r="K1739" i="12"/>
  <c r="K1738" i="12"/>
  <c r="K1737" i="12"/>
  <c r="K1736" i="12"/>
  <c r="K1735" i="12"/>
  <c r="K1734" i="12"/>
  <c r="K1733" i="12"/>
  <c r="K1732" i="12"/>
  <c r="K1731" i="12"/>
  <c r="K1730" i="12"/>
  <c r="K1729" i="12"/>
  <c r="K1728" i="12"/>
  <c r="K1727" i="12"/>
  <c r="K1726" i="12"/>
  <c r="K1725" i="12"/>
  <c r="K1724" i="12"/>
  <c r="K1723" i="12"/>
  <c r="K1722" i="12"/>
  <c r="K1721" i="12"/>
  <c r="K1720" i="12"/>
  <c r="K1719" i="12"/>
  <c r="K1718" i="12"/>
  <c r="K1717" i="12"/>
  <c r="K1716" i="12"/>
  <c r="K1715" i="12"/>
  <c r="K1714" i="12"/>
  <c r="K1713" i="12"/>
  <c r="K1712" i="12"/>
  <c r="K1711" i="12"/>
  <c r="K1710" i="12"/>
  <c r="K1709" i="12"/>
  <c r="K1708" i="12"/>
  <c r="K1707" i="12"/>
  <c r="K1706" i="12"/>
  <c r="K1705" i="12"/>
  <c r="K1704" i="12"/>
  <c r="K1703" i="12"/>
  <c r="K1702" i="12"/>
  <c r="K1701" i="12"/>
  <c r="K1700" i="12"/>
  <c r="K1699" i="12"/>
  <c r="K1698" i="12"/>
  <c r="K1697" i="12"/>
  <c r="K1696" i="12"/>
  <c r="K1695" i="12"/>
  <c r="K1694" i="12"/>
  <c r="K1693" i="12"/>
  <c r="K1692" i="12"/>
  <c r="K1691" i="12"/>
  <c r="K1690" i="12"/>
  <c r="K1689" i="12"/>
  <c r="K1688" i="12"/>
  <c r="K1687" i="12"/>
  <c r="K1686" i="12"/>
  <c r="K1685" i="12"/>
  <c r="K1684" i="12"/>
  <c r="K1683" i="12"/>
  <c r="K1682" i="12"/>
  <c r="K1681" i="12"/>
  <c r="K1680" i="12"/>
  <c r="K1679" i="12"/>
  <c r="K1678" i="12"/>
  <c r="K1677" i="12"/>
  <c r="K1676" i="12"/>
  <c r="K1675" i="12"/>
  <c r="K1674" i="12"/>
  <c r="K1673" i="12"/>
  <c r="K1672" i="12"/>
  <c r="K1671" i="12"/>
  <c r="K1670" i="12"/>
  <c r="K1669" i="12"/>
  <c r="K1668" i="12"/>
  <c r="K1667" i="12"/>
  <c r="K1666" i="12"/>
  <c r="K1665" i="12"/>
  <c r="K1664" i="12"/>
  <c r="K1663" i="12"/>
  <c r="K1662" i="12"/>
  <c r="K1661" i="12"/>
  <c r="K1660" i="12"/>
  <c r="K1659" i="12"/>
  <c r="K1658" i="12"/>
  <c r="K1657" i="12"/>
  <c r="K1656" i="12"/>
  <c r="K1655" i="12"/>
  <c r="K1654" i="12"/>
  <c r="K1653" i="12"/>
  <c r="K1652" i="12"/>
  <c r="K1651" i="12"/>
  <c r="K1650" i="12"/>
  <c r="K1649" i="12"/>
  <c r="K1648" i="12"/>
  <c r="K1647" i="12"/>
  <c r="K1646" i="12"/>
  <c r="K1645" i="12"/>
  <c r="K1644" i="12"/>
  <c r="K1643" i="12"/>
  <c r="K1642" i="12"/>
  <c r="K1641" i="12"/>
  <c r="K1640" i="12"/>
  <c r="K1639" i="12"/>
  <c r="K1638" i="12"/>
  <c r="K1637" i="12"/>
  <c r="K1636" i="12"/>
  <c r="K1635" i="12"/>
  <c r="K1634" i="12"/>
  <c r="K1633" i="12"/>
  <c r="K1632" i="12"/>
  <c r="K1631" i="12"/>
  <c r="K1630" i="12"/>
  <c r="K1629" i="12"/>
  <c r="K1628" i="12"/>
  <c r="K1627" i="12"/>
  <c r="K1626" i="12"/>
  <c r="K1625" i="12"/>
  <c r="K1624" i="12"/>
  <c r="K1623" i="12"/>
  <c r="K1622" i="12"/>
  <c r="K1621" i="12"/>
  <c r="K1620" i="12"/>
  <c r="K1619" i="12"/>
  <c r="K1618" i="12"/>
  <c r="K1617" i="12"/>
  <c r="K1616" i="12"/>
  <c r="K1615" i="12"/>
  <c r="K1614" i="12"/>
  <c r="K1613" i="12"/>
  <c r="K1612" i="12"/>
  <c r="K1611" i="12"/>
  <c r="K1610" i="12"/>
  <c r="K1609" i="12"/>
  <c r="K1608" i="12"/>
  <c r="K1607" i="12"/>
  <c r="K1606" i="12"/>
  <c r="K1605" i="12"/>
  <c r="K1604" i="12"/>
  <c r="K1603" i="12"/>
  <c r="K1602" i="12"/>
  <c r="K1601" i="12"/>
  <c r="K1600" i="12"/>
  <c r="K1599" i="12"/>
  <c r="K1598" i="12"/>
  <c r="K1597" i="12"/>
  <c r="K1596" i="12"/>
  <c r="K1595" i="12"/>
  <c r="K1594" i="12"/>
  <c r="K1593" i="12"/>
  <c r="K1592" i="12"/>
  <c r="K1591" i="12"/>
  <c r="K1590" i="12"/>
  <c r="K1589" i="12"/>
  <c r="K1588" i="12"/>
  <c r="K1587" i="12"/>
  <c r="K1586" i="12"/>
  <c r="K1585" i="12"/>
  <c r="K1584" i="12"/>
  <c r="K1583" i="12"/>
  <c r="K1582" i="12"/>
  <c r="K1581" i="12"/>
  <c r="K1580" i="12"/>
  <c r="K1579" i="12"/>
  <c r="K1578" i="12"/>
  <c r="K1577" i="12"/>
  <c r="K1576" i="12"/>
  <c r="K1575" i="12"/>
  <c r="K1574" i="12"/>
  <c r="K1573" i="12"/>
  <c r="K1572" i="12"/>
  <c r="K1571" i="12"/>
  <c r="K1570" i="12"/>
  <c r="K1569" i="12"/>
  <c r="K1568" i="12"/>
  <c r="K1567" i="12"/>
  <c r="K1566" i="12"/>
  <c r="K1565" i="12"/>
  <c r="K1564" i="12"/>
  <c r="K1563" i="12"/>
  <c r="K1562" i="12"/>
  <c r="K1561" i="12"/>
  <c r="K1560" i="12"/>
  <c r="K1559" i="12"/>
  <c r="K1558" i="12"/>
  <c r="K1557" i="12"/>
  <c r="K1556" i="12"/>
  <c r="K1555" i="12"/>
  <c r="K1554" i="12"/>
  <c r="K1553" i="12"/>
  <c r="K1552" i="12"/>
  <c r="K1551" i="12"/>
  <c r="K1550" i="12"/>
  <c r="K1549" i="12"/>
  <c r="K1548" i="12"/>
  <c r="K1547" i="12"/>
  <c r="K1546" i="12"/>
  <c r="K1545" i="12"/>
  <c r="K1544" i="12"/>
  <c r="K1543" i="12"/>
  <c r="K1542" i="12"/>
  <c r="K1541" i="12"/>
  <c r="K1540" i="12"/>
  <c r="K1539" i="12"/>
  <c r="K1538" i="12"/>
  <c r="K1537" i="12"/>
  <c r="K1536" i="12"/>
  <c r="K1535" i="12"/>
  <c r="K1534" i="12"/>
  <c r="K1533" i="12"/>
  <c r="K1532" i="12"/>
  <c r="K1531" i="12"/>
  <c r="K1530" i="12"/>
  <c r="K1529" i="12"/>
  <c r="K1528" i="12"/>
  <c r="K1527" i="12"/>
  <c r="K1526" i="12"/>
  <c r="K1525" i="12"/>
  <c r="K1524" i="12"/>
  <c r="K1523" i="12"/>
  <c r="K1522" i="12"/>
  <c r="K1521" i="12"/>
  <c r="K1520" i="12"/>
  <c r="K1519" i="12"/>
  <c r="K1518" i="12"/>
  <c r="K1517" i="12"/>
  <c r="K1516" i="12"/>
  <c r="K1515" i="12"/>
  <c r="K1514" i="12"/>
  <c r="K1513" i="12"/>
  <c r="K1512" i="12"/>
  <c r="K1511" i="12"/>
  <c r="K1510" i="12"/>
  <c r="K1509" i="12"/>
  <c r="K1508" i="12"/>
  <c r="K1507" i="12"/>
  <c r="K1506" i="12"/>
  <c r="K1505" i="12"/>
  <c r="K1504" i="12"/>
  <c r="K1503" i="12"/>
  <c r="K1502" i="12"/>
  <c r="K1501" i="12"/>
  <c r="K1500" i="12"/>
  <c r="K1499" i="12"/>
  <c r="K1498" i="12"/>
  <c r="K1497" i="12"/>
  <c r="K1496" i="12"/>
  <c r="K1495" i="12"/>
  <c r="K1494" i="12"/>
  <c r="K1493" i="12"/>
  <c r="K1492" i="12"/>
  <c r="K1491" i="12"/>
  <c r="K1490" i="12"/>
  <c r="K1489" i="12"/>
  <c r="K1488" i="12"/>
  <c r="K1487" i="12"/>
  <c r="K1486" i="12"/>
  <c r="K1485" i="12"/>
  <c r="K1484" i="12"/>
  <c r="K1483" i="12"/>
  <c r="K1482" i="12"/>
  <c r="K1481" i="12"/>
  <c r="K1480" i="12"/>
  <c r="K1479" i="12"/>
  <c r="K1478" i="12"/>
  <c r="K1477" i="12"/>
  <c r="K1476" i="12"/>
  <c r="K1475" i="12"/>
  <c r="K1474" i="12"/>
  <c r="K1473" i="12"/>
  <c r="K1472" i="12"/>
  <c r="K1471" i="12"/>
  <c r="K1470" i="12"/>
  <c r="K1469" i="12"/>
  <c r="K1468" i="12"/>
  <c r="K1467" i="12"/>
  <c r="K1466" i="12"/>
  <c r="K1465" i="12"/>
  <c r="K1464" i="12"/>
  <c r="K1463" i="12"/>
  <c r="K1462" i="12"/>
  <c r="K1461" i="12"/>
  <c r="K1460" i="12"/>
  <c r="K1459" i="12"/>
  <c r="K1458" i="12"/>
  <c r="K1457" i="12"/>
  <c r="K1456" i="12"/>
  <c r="K1455" i="12"/>
  <c r="K1454" i="12"/>
  <c r="K1453" i="12"/>
  <c r="K1452" i="12"/>
  <c r="K1451" i="12"/>
  <c r="K1450" i="12"/>
  <c r="K1449" i="12"/>
  <c r="K1448" i="12"/>
  <c r="K1447" i="12"/>
  <c r="K1446" i="12"/>
  <c r="K1445" i="12"/>
  <c r="K1444" i="12"/>
  <c r="K1443" i="12"/>
  <c r="K1442" i="12"/>
  <c r="K1441" i="12"/>
  <c r="K1440" i="12"/>
  <c r="K1439" i="12"/>
  <c r="K1438" i="12"/>
  <c r="K1437" i="12"/>
  <c r="K1436" i="12"/>
  <c r="K1435" i="12"/>
  <c r="K1434" i="12"/>
  <c r="K1433" i="12"/>
  <c r="K1432" i="12"/>
  <c r="K1431" i="12"/>
  <c r="K1430" i="12"/>
  <c r="K1429" i="12"/>
  <c r="K1428" i="12"/>
  <c r="K1427" i="12"/>
  <c r="K1426" i="12"/>
  <c r="K1425" i="12"/>
  <c r="K1424" i="12"/>
  <c r="K1423" i="12"/>
  <c r="K1422" i="12"/>
  <c r="K1421" i="12"/>
  <c r="K1420" i="12"/>
  <c r="K1419" i="12"/>
  <c r="K1418" i="12"/>
  <c r="K1417" i="12"/>
  <c r="K1416" i="12"/>
  <c r="K1415" i="12"/>
  <c r="K1414" i="12"/>
  <c r="K1413" i="12"/>
  <c r="K1412" i="12"/>
  <c r="K1411" i="12"/>
  <c r="K1410" i="12"/>
  <c r="K1409" i="12"/>
  <c r="K1408" i="12"/>
  <c r="K1407" i="12"/>
  <c r="K1406" i="12"/>
  <c r="K1405" i="12"/>
  <c r="K1404" i="12"/>
  <c r="K1403" i="12"/>
  <c r="K1402" i="12"/>
  <c r="K1401" i="12"/>
  <c r="K1400" i="12"/>
  <c r="K1399" i="12"/>
  <c r="K1398" i="12"/>
  <c r="K1397" i="12"/>
  <c r="K1396" i="12"/>
  <c r="K1395" i="12"/>
  <c r="K1394" i="12"/>
  <c r="K1393" i="12"/>
  <c r="K1392" i="12"/>
  <c r="K1391" i="12"/>
  <c r="K1390" i="12"/>
  <c r="K1389" i="12"/>
  <c r="K1388" i="12"/>
  <c r="K1387" i="12"/>
  <c r="K1386" i="12"/>
  <c r="K1385" i="12"/>
  <c r="K1384" i="12"/>
  <c r="K1383" i="12"/>
  <c r="K1382" i="12"/>
  <c r="K1381" i="12"/>
  <c r="K1380" i="12"/>
  <c r="K1379" i="12"/>
  <c r="K1378" i="12"/>
  <c r="K1377" i="12"/>
  <c r="K1376" i="12"/>
  <c r="K1375" i="12"/>
  <c r="K1374" i="12"/>
  <c r="K1373" i="12"/>
  <c r="K1372" i="12"/>
  <c r="K1371" i="12"/>
  <c r="K1370" i="12"/>
  <c r="K1369" i="12"/>
  <c r="K1368" i="12"/>
  <c r="K1367" i="12"/>
  <c r="K1366" i="12"/>
  <c r="K1365" i="12"/>
  <c r="K1364" i="12"/>
  <c r="K1363" i="12"/>
  <c r="K1362" i="12"/>
  <c r="K1361" i="12"/>
  <c r="K1360" i="12"/>
  <c r="K1359" i="12"/>
  <c r="K1358" i="12"/>
  <c r="K1357" i="12"/>
  <c r="K1356" i="12"/>
  <c r="K1355" i="12"/>
  <c r="K1354" i="12"/>
  <c r="K1353" i="12"/>
  <c r="K1352" i="12"/>
  <c r="K1351" i="12"/>
  <c r="K1350" i="12"/>
  <c r="K1349" i="12"/>
  <c r="K1348" i="12"/>
  <c r="K1347" i="12"/>
  <c r="K1346" i="12"/>
  <c r="K1345" i="12"/>
  <c r="K1344" i="12"/>
  <c r="K1343" i="12"/>
  <c r="K1342" i="12"/>
  <c r="K1341" i="12"/>
  <c r="K1340" i="12"/>
  <c r="K1339" i="12"/>
  <c r="K1338" i="12"/>
  <c r="K1337" i="12"/>
  <c r="K1336" i="12"/>
  <c r="K1335" i="12"/>
  <c r="K1334" i="12"/>
  <c r="K1333" i="12"/>
  <c r="K1332" i="12"/>
  <c r="K1331" i="12"/>
  <c r="K1330" i="12"/>
  <c r="K1329" i="12"/>
  <c r="K1328" i="12"/>
  <c r="K1327" i="12"/>
  <c r="K1326" i="12"/>
  <c r="K1325" i="12"/>
  <c r="K1324" i="12"/>
  <c r="K1323" i="12"/>
  <c r="K1322" i="12"/>
  <c r="K1321" i="12"/>
  <c r="K1320" i="12"/>
  <c r="K1319" i="12"/>
  <c r="K1318" i="12"/>
  <c r="K1317" i="12"/>
  <c r="K1316" i="12"/>
  <c r="K1315" i="12"/>
  <c r="K1314" i="12"/>
  <c r="K1313" i="12"/>
  <c r="K1312" i="12"/>
  <c r="K1311" i="12"/>
  <c r="K1310" i="12"/>
  <c r="K1309" i="12"/>
  <c r="K1308" i="12"/>
  <c r="K1307" i="12"/>
  <c r="K1306" i="12"/>
  <c r="K1305" i="12"/>
  <c r="K1304" i="12"/>
  <c r="K1303" i="12"/>
  <c r="K1302" i="12"/>
  <c r="K1301" i="12"/>
  <c r="K1300" i="12"/>
  <c r="K1299" i="12"/>
  <c r="K1298" i="12"/>
  <c r="K1297" i="12"/>
  <c r="K1296" i="12"/>
  <c r="K1295" i="12"/>
  <c r="K1294" i="12"/>
  <c r="K1293" i="12"/>
  <c r="K1292" i="12"/>
  <c r="K1291" i="12"/>
  <c r="K1290" i="12"/>
  <c r="K1289" i="12"/>
  <c r="K1288" i="12"/>
  <c r="K1287" i="12"/>
  <c r="K1286" i="12"/>
  <c r="K1285" i="12"/>
  <c r="K1284" i="12"/>
  <c r="K1283" i="12"/>
  <c r="K1282" i="12"/>
  <c r="K1281" i="12"/>
  <c r="K1280" i="12"/>
  <c r="K1279" i="12"/>
  <c r="K1278" i="12"/>
  <c r="K1277" i="12"/>
  <c r="K1276" i="12"/>
  <c r="K1275" i="12"/>
  <c r="K1274" i="12"/>
  <c r="K1273" i="12"/>
  <c r="K1272" i="12"/>
  <c r="K1271" i="12"/>
  <c r="K1270" i="12"/>
  <c r="K1269" i="12"/>
  <c r="K1268" i="12"/>
  <c r="K1267" i="12"/>
  <c r="K1266" i="12"/>
  <c r="K1265" i="12"/>
  <c r="K1264" i="12"/>
  <c r="K1263" i="12"/>
  <c r="K1262" i="12"/>
  <c r="K1261" i="12"/>
  <c r="K1260" i="12"/>
  <c r="K1259" i="12"/>
  <c r="K1258" i="12"/>
  <c r="K1257" i="12"/>
  <c r="K1256" i="12"/>
  <c r="K1255" i="12"/>
  <c r="K1254" i="12"/>
  <c r="K1253" i="12"/>
  <c r="K1252" i="12"/>
  <c r="K1251" i="12"/>
  <c r="K1250" i="12"/>
  <c r="K1249" i="12"/>
  <c r="K1248" i="12"/>
  <c r="K1247" i="12"/>
  <c r="K1246" i="12"/>
  <c r="K1245" i="12"/>
  <c r="K1244" i="12"/>
  <c r="K1243" i="12"/>
  <c r="K1242" i="12"/>
  <c r="K1241" i="12"/>
  <c r="K1240" i="12"/>
  <c r="K1239" i="12"/>
  <c r="K1238" i="12"/>
  <c r="K1237" i="12"/>
  <c r="K1236" i="12"/>
  <c r="K1235" i="12"/>
  <c r="K1234" i="12"/>
  <c r="K1233" i="12"/>
  <c r="K1232" i="12"/>
  <c r="K1231" i="12"/>
  <c r="K1230" i="12"/>
  <c r="K1229" i="12"/>
  <c r="K1228" i="12"/>
  <c r="K1227" i="12"/>
  <c r="K1226" i="12"/>
  <c r="K1225" i="12"/>
  <c r="K1224" i="12"/>
  <c r="K1223" i="12"/>
  <c r="K1222" i="12"/>
  <c r="K1221" i="12"/>
  <c r="K1220" i="12"/>
  <c r="K1219" i="12"/>
  <c r="K1218" i="12"/>
  <c r="K1217" i="12"/>
  <c r="K1216" i="12"/>
  <c r="K1215" i="12"/>
  <c r="K1214" i="12"/>
  <c r="K1213" i="12"/>
  <c r="K1212" i="12"/>
  <c r="K1211" i="12"/>
  <c r="K1210" i="12"/>
  <c r="K1209" i="12"/>
  <c r="K1208" i="12"/>
  <c r="K1207" i="12"/>
  <c r="K1206" i="12"/>
  <c r="K1205" i="12"/>
  <c r="K1204" i="12"/>
  <c r="K1203" i="12"/>
  <c r="K1202" i="12"/>
  <c r="K1201" i="12"/>
  <c r="K1200" i="12"/>
  <c r="K1199" i="12"/>
  <c r="K1198" i="12"/>
  <c r="K1197" i="12"/>
  <c r="K1196" i="12"/>
  <c r="K1195" i="12"/>
  <c r="K1194" i="12"/>
  <c r="K1193" i="12"/>
  <c r="K1192" i="12"/>
  <c r="K1191" i="12"/>
  <c r="K1190" i="12"/>
  <c r="K1189" i="12"/>
  <c r="K1188" i="12"/>
  <c r="K1187" i="12"/>
  <c r="K1186" i="12"/>
  <c r="K1185" i="12"/>
  <c r="K1184" i="12"/>
  <c r="K1183" i="12"/>
  <c r="K1182" i="12"/>
  <c r="K1181" i="12"/>
  <c r="K1180" i="12"/>
  <c r="K1179" i="12"/>
  <c r="K1178" i="12"/>
  <c r="K1177" i="12"/>
  <c r="K1176" i="12"/>
  <c r="K1175" i="12"/>
  <c r="K1174" i="12"/>
  <c r="K1173" i="12"/>
  <c r="K1172" i="12"/>
  <c r="K1171" i="12"/>
  <c r="K1170" i="12"/>
  <c r="K1169" i="12"/>
  <c r="K1168" i="12"/>
  <c r="K1167" i="12"/>
  <c r="K1166" i="12"/>
  <c r="K1165" i="12"/>
  <c r="K1164" i="12"/>
  <c r="K1163" i="12"/>
  <c r="K1162" i="12"/>
  <c r="K1161" i="12"/>
  <c r="K1160" i="12"/>
  <c r="K1159" i="12"/>
  <c r="K1158" i="12"/>
  <c r="K1157" i="12"/>
  <c r="K1156" i="12"/>
  <c r="K1155" i="12"/>
  <c r="K1154" i="12"/>
  <c r="K1153" i="12"/>
  <c r="K1152" i="12"/>
  <c r="K1151" i="12"/>
  <c r="K1150" i="12"/>
  <c r="K1149" i="12"/>
  <c r="K1148" i="12"/>
  <c r="K1147" i="12"/>
  <c r="K1146" i="12"/>
  <c r="K1145" i="12"/>
  <c r="K1144" i="12"/>
  <c r="K1143" i="12"/>
  <c r="K1142" i="12"/>
  <c r="K1141" i="12"/>
  <c r="K1140" i="12"/>
  <c r="K1139" i="12"/>
  <c r="K1138" i="12"/>
  <c r="K1137" i="12"/>
  <c r="K1136" i="12"/>
  <c r="K1135" i="12"/>
  <c r="K1134" i="12"/>
  <c r="K1133" i="12"/>
  <c r="K1132" i="12"/>
  <c r="K1131" i="12"/>
  <c r="K1130" i="12"/>
  <c r="K1129" i="12"/>
  <c r="K1128" i="12"/>
  <c r="K1127" i="12"/>
  <c r="K1126" i="12"/>
  <c r="K1125" i="12"/>
  <c r="K1124" i="12"/>
  <c r="K1123" i="12"/>
  <c r="K1122" i="12"/>
  <c r="K1121" i="12"/>
  <c r="K1120" i="12"/>
  <c r="K1119" i="12"/>
  <c r="K1118" i="12"/>
  <c r="K1117" i="12"/>
  <c r="K1116" i="12"/>
  <c r="K1115" i="12"/>
  <c r="K1114" i="12"/>
  <c r="K1113" i="12"/>
  <c r="K1112" i="12"/>
  <c r="K1111" i="12"/>
  <c r="K1110" i="12"/>
  <c r="K1109" i="12"/>
  <c r="K1108" i="12"/>
  <c r="K1107" i="12"/>
  <c r="K1106" i="12"/>
  <c r="K1105" i="12"/>
  <c r="K1104" i="12"/>
  <c r="K1103" i="12"/>
  <c r="K1102" i="12"/>
  <c r="K1101" i="12"/>
  <c r="K1100" i="12"/>
  <c r="K1099" i="12"/>
  <c r="K1098" i="12"/>
  <c r="K1097" i="12"/>
  <c r="K1096" i="12"/>
  <c r="K1095" i="12"/>
  <c r="K1094" i="12"/>
  <c r="K1093" i="12"/>
  <c r="K1092" i="12"/>
  <c r="K1091" i="12"/>
  <c r="K1090" i="12"/>
  <c r="K1089" i="12"/>
  <c r="K1088" i="12"/>
  <c r="K1087" i="12"/>
  <c r="K1086" i="12"/>
  <c r="K1085" i="12"/>
  <c r="K1084" i="12"/>
  <c r="K1083" i="12"/>
  <c r="K1082" i="12"/>
  <c r="K1081" i="12"/>
  <c r="K1080" i="12"/>
  <c r="K1079" i="12"/>
  <c r="K1078" i="12"/>
  <c r="K1077" i="12"/>
  <c r="K1076" i="12"/>
  <c r="K1075" i="12"/>
  <c r="K1074" i="12"/>
  <c r="K1073" i="12"/>
  <c r="K1072" i="12"/>
  <c r="K1071" i="12"/>
  <c r="K1070" i="12"/>
  <c r="K1069" i="12"/>
  <c r="K1068" i="12"/>
  <c r="K1067" i="12"/>
  <c r="K1066" i="12"/>
  <c r="K1065" i="12"/>
  <c r="K1064" i="12"/>
  <c r="K1063" i="12"/>
  <c r="K1062" i="12"/>
  <c r="K1061" i="12"/>
  <c r="K1060" i="12"/>
  <c r="K1059" i="12"/>
  <c r="K1058" i="12"/>
  <c r="K1057" i="12"/>
  <c r="K1056" i="12"/>
  <c r="K1055" i="12"/>
  <c r="K1054" i="12"/>
  <c r="K1053" i="12"/>
  <c r="K1052" i="12"/>
  <c r="K1051" i="12"/>
  <c r="K1050" i="12"/>
  <c r="K1049" i="12"/>
  <c r="K1048" i="12"/>
  <c r="K1047" i="12"/>
  <c r="K1046" i="12"/>
  <c r="K1045" i="12"/>
  <c r="K1044" i="12"/>
  <c r="K1043" i="12"/>
  <c r="K1042" i="12"/>
  <c r="K1041" i="12"/>
  <c r="K1040" i="12"/>
  <c r="K1039" i="12"/>
  <c r="K1038" i="12"/>
  <c r="K1037" i="12"/>
  <c r="K1036" i="12"/>
  <c r="K1035" i="12"/>
  <c r="K1034" i="12"/>
  <c r="K1033" i="12"/>
  <c r="K1032" i="12"/>
  <c r="K1031" i="12"/>
  <c r="K1030" i="12"/>
  <c r="K1029" i="12"/>
  <c r="K1028" i="12"/>
  <c r="K1027" i="12"/>
  <c r="K1026" i="12"/>
  <c r="K1025" i="12"/>
  <c r="K1024" i="12"/>
  <c r="K1023" i="12"/>
  <c r="K1022" i="12"/>
  <c r="K1021" i="12"/>
  <c r="K1020" i="12"/>
  <c r="K1019" i="12"/>
  <c r="K1018" i="12"/>
  <c r="K1017" i="12"/>
  <c r="K1016" i="12"/>
  <c r="K1015" i="12"/>
  <c r="K1014" i="12"/>
  <c r="K1013" i="12"/>
  <c r="K1012" i="12"/>
  <c r="K1011" i="12"/>
  <c r="K1010" i="12"/>
  <c r="K1009" i="12"/>
  <c r="K1008" i="12"/>
  <c r="K1007" i="12"/>
  <c r="K1006" i="12"/>
  <c r="K1005" i="12"/>
  <c r="K1004" i="12"/>
  <c r="K1003" i="12"/>
  <c r="K1002" i="12"/>
  <c r="K1001" i="12"/>
  <c r="K1000" i="12"/>
  <c r="K999" i="12"/>
  <c r="K998" i="12"/>
  <c r="K997" i="12"/>
  <c r="K996" i="12"/>
  <c r="K995" i="12"/>
  <c r="K994" i="12"/>
  <c r="K993" i="12"/>
  <c r="K992" i="12"/>
  <c r="K991" i="12"/>
  <c r="K990" i="12"/>
  <c r="K989" i="12"/>
  <c r="K988" i="12"/>
  <c r="K987" i="12"/>
  <c r="K986" i="12"/>
  <c r="K985" i="12"/>
  <c r="K984" i="12"/>
  <c r="K983" i="12"/>
  <c r="K982" i="12"/>
  <c r="K981" i="12"/>
  <c r="K980" i="12"/>
  <c r="K979" i="12"/>
  <c r="K978" i="12"/>
  <c r="K977" i="12"/>
  <c r="K976" i="12"/>
  <c r="K975" i="12"/>
  <c r="K974" i="12"/>
  <c r="K973" i="12"/>
  <c r="K972" i="12"/>
  <c r="K971" i="12"/>
  <c r="K970" i="12"/>
  <c r="K969" i="12"/>
  <c r="K968" i="12"/>
  <c r="K967" i="12"/>
  <c r="K966" i="12"/>
  <c r="K965" i="12"/>
  <c r="K964" i="12"/>
  <c r="K963" i="12"/>
  <c r="K962" i="12"/>
  <c r="K961" i="12"/>
  <c r="K960" i="12"/>
  <c r="K959" i="12"/>
  <c r="K958" i="12"/>
  <c r="K957" i="12"/>
  <c r="K956" i="12"/>
  <c r="K955" i="12"/>
  <c r="K954" i="12"/>
  <c r="K953" i="12"/>
  <c r="K952" i="12"/>
  <c r="K951" i="12"/>
  <c r="K950" i="12"/>
  <c r="K949" i="12"/>
  <c r="K948" i="12"/>
  <c r="K947" i="12"/>
  <c r="K946" i="12"/>
  <c r="K945" i="12"/>
  <c r="K944" i="12"/>
  <c r="K943" i="12"/>
  <c r="K942" i="12"/>
  <c r="K941" i="12"/>
  <c r="K940" i="12"/>
  <c r="K939" i="12"/>
  <c r="K938" i="12"/>
  <c r="K937" i="12"/>
  <c r="K936" i="12"/>
  <c r="K935" i="12"/>
  <c r="K934" i="12"/>
  <c r="K933" i="12"/>
  <c r="K932" i="12"/>
  <c r="K931" i="12"/>
  <c r="K930" i="12"/>
  <c r="K929" i="12"/>
  <c r="K928" i="12"/>
  <c r="K927" i="12"/>
  <c r="K926" i="12"/>
  <c r="K925" i="12"/>
  <c r="K924" i="12"/>
  <c r="K923" i="12"/>
  <c r="K922" i="12"/>
  <c r="K921" i="12"/>
  <c r="K920" i="12"/>
  <c r="K919" i="12"/>
  <c r="K918" i="12"/>
  <c r="K917" i="12"/>
  <c r="K916" i="12"/>
  <c r="K915" i="12"/>
  <c r="K914" i="12"/>
  <c r="K913" i="12"/>
  <c r="K912" i="12"/>
  <c r="K911" i="12"/>
  <c r="K910" i="12"/>
  <c r="K909" i="12"/>
  <c r="K908" i="12"/>
  <c r="K907" i="12"/>
  <c r="K906" i="12"/>
  <c r="K905" i="12"/>
  <c r="K904" i="12"/>
  <c r="K903" i="12"/>
  <c r="K902" i="12"/>
  <c r="K901" i="12"/>
  <c r="K900" i="12"/>
  <c r="K899" i="12"/>
  <c r="K898" i="12"/>
  <c r="K897" i="12"/>
  <c r="K896" i="12"/>
  <c r="K895" i="12"/>
  <c r="K894" i="12"/>
  <c r="K893" i="12"/>
  <c r="K892" i="12"/>
  <c r="K891" i="12"/>
  <c r="K890" i="12"/>
  <c r="K889" i="12"/>
  <c r="K888" i="12"/>
  <c r="K887" i="12"/>
  <c r="K886" i="12"/>
  <c r="K885" i="12"/>
  <c r="K884" i="12"/>
  <c r="K883" i="12"/>
  <c r="K882" i="12"/>
  <c r="K881" i="12"/>
  <c r="K880" i="12"/>
  <c r="K879" i="12"/>
  <c r="K878" i="12"/>
  <c r="K877" i="12"/>
  <c r="K876" i="12"/>
  <c r="K875" i="12"/>
  <c r="K874" i="12"/>
  <c r="K873" i="12"/>
  <c r="K872" i="12"/>
  <c r="K871" i="12"/>
  <c r="K870" i="12"/>
  <c r="K869" i="12"/>
  <c r="K868" i="12"/>
  <c r="K867" i="12"/>
  <c r="K866" i="12"/>
  <c r="K865" i="12"/>
  <c r="K864" i="12"/>
  <c r="K863" i="12"/>
  <c r="K862" i="12"/>
  <c r="K861" i="12"/>
  <c r="K860" i="12"/>
  <c r="K859" i="12"/>
  <c r="K858" i="12"/>
  <c r="K857" i="12"/>
  <c r="K856" i="12"/>
  <c r="K855" i="12"/>
  <c r="K854" i="12"/>
  <c r="K853" i="12"/>
  <c r="K852" i="12"/>
  <c r="K851" i="12"/>
  <c r="K850" i="12"/>
  <c r="K849" i="12"/>
  <c r="K848" i="12"/>
  <c r="K847" i="12"/>
  <c r="K846" i="12"/>
  <c r="K845" i="12"/>
  <c r="K844" i="12"/>
  <c r="K843" i="12"/>
  <c r="K842" i="12"/>
  <c r="K841" i="12"/>
  <c r="K840" i="12"/>
  <c r="K839" i="12"/>
  <c r="K838" i="12"/>
  <c r="K837" i="12"/>
  <c r="K836" i="12"/>
  <c r="K835" i="12"/>
  <c r="K834" i="12"/>
  <c r="K833" i="12"/>
  <c r="K832" i="12"/>
  <c r="K831" i="12"/>
  <c r="K830" i="12"/>
  <c r="K829" i="12"/>
  <c r="K828" i="12"/>
  <c r="K827" i="12"/>
  <c r="K826" i="12"/>
  <c r="K825" i="12"/>
  <c r="K824" i="12"/>
  <c r="K823" i="12"/>
  <c r="K822" i="12"/>
  <c r="K821" i="12"/>
  <c r="K820" i="12"/>
  <c r="K819" i="12"/>
  <c r="K818" i="12"/>
  <c r="K817" i="12"/>
  <c r="K816" i="12"/>
  <c r="K815" i="12"/>
  <c r="K814" i="12"/>
  <c r="K813" i="12"/>
  <c r="K812" i="12"/>
  <c r="K811" i="12"/>
  <c r="K810" i="12"/>
  <c r="K809" i="12"/>
  <c r="K808" i="12"/>
  <c r="K807" i="12"/>
  <c r="K806" i="12"/>
  <c r="K805" i="12"/>
  <c r="K804" i="12"/>
  <c r="K803" i="12"/>
  <c r="K802" i="12"/>
  <c r="K801" i="12"/>
  <c r="K800" i="12"/>
  <c r="K799" i="12"/>
  <c r="K798" i="12"/>
  <c r="K797" i="12"/>
  <c r="K796" i="12"/>
  <c r="K795" i="12"/>
  <c r="K794" i="12"/>
  <c r="K793" i="12"/>
  <c r="K792" i="12"/>
  <c r="K791" i="12"/>
  <c r="K790" i="12"/>
  <c r="K789" i="12"/>
  <c r="K788" i="12"/>
  <c r="K787" i="12"/>
  <c r="K786" i="12"/>
  <c r="K785" i="12"/>
  <c r="K784" i="12"/>
  <c r="K783" i="12"/>
  <c r="K782" i="12"/>
  <c r="K781" i="12"/>
  <c r="K780" i="12"/>
  <c r="K779" i="12"/>
  <c r="K778" i="12"/>
  <c r="K777" i="12"/>
  <c r="K776" i="12"/>
  <c r="K775" i="12"/>
  <c r="K774" i="12"/>
  <c r="K773" i="12"/>
  <c r="K772" i="12"/>
  <c r="K771" i="12"/>
  <c r="K770" i="12"/>
  <c r="K769" i="12"/>
  <c r="K768" i="12"/>
  <c r="K767" i="12"/>
  <c r="K766" i="12"/>
  <c r="K765" i="12"/>
  <c r="K764" i="12"/>
  <c r="K763" i="12"/>
  <c r="K762" i="12"/>
  <c r="K761" i="12"/>
  <c r="K760" i="12"/>
  <c r="K759" i="12"/>
  <c r="K758" i="12"/>
  <c r="K757" i="12"/>
  <c r="K756" i="12"/>
  <c r="K755" i="12"/>
  <c r="K754" i="12"/>
  <c r="K753" i="12"/>
  <c r="K752" i="12"/>
  <c r="K751" i="12"/>
  <c r="K750" i="12"/>
  <c r="K749" i="12"/>
  <c r="K748" i="12"/>
  <c r="K747" i="12"/>
  <c r="K746" i="12"/>
  <c r="K745" i="12"/>
  <c r="K744" i="12"/>
  <c r="K743" i="12"/>
  <c r="K742" i="12"/>
  <c r="K741" i="12"/>
  <c r="K740" i="12"/>
  <c r="K739" i="12"/>
  <c r="K738" i="12"/>
  <c r="K737" i="12"/>
  <c r="K736" i="12"/>
  <c r="K735" i="12"/>
  <c r="K734" i="12"/>
  <c r="K733" i="12"/>
  <c r="K732" i="12"/>
  <c r="K731" i="12"/>
  <c r="K730" i="12"/>
  <c r="K729" i="12"/>
  <c r="K728" i="12"/>
  <c r="K727" i="12"/>
  <c r="K726" i="12"/>
  <c r="K725" i="12"/>
  <c r="K724" i="12"/>
  <c r="K723" i="12"/>
  <c r="K722" i="12"/>
  <c r="K721" i="12"/>
  <c r="K720" i="12"/>
  <c r="K719" i="12"/>
  <c r="K718" i="12"/>
  <c r="K717" i="12"/>
  <c r="K716" i="12"/>
  <c r="K715" i="12"/>
  <c r="K714" i="12"/>
  <c r="K713" i="12"/>
  <c r="K712" i="12"/>
  <c r="K711" i="12"/>
  <c r="K710" i="12"/>
  <c r="K709" i="12"/>
  <c r="K708" i="12"/>
  <c r="K707" i="12"/>
  <c r="K706" i="12"/>
  <c r="K705" i="12"/>
  <c r="K704" i="12"/>
  <c r="K703" i="12"/>
  <c r="K702" i="12"/>
  <c r="K701" i="12"/>
  <c r="K700" i="12"/>
  <c r="K699" i="12"/>
  <c r="K698" i="12"/>
  <c r="K697" i="12"/>
  <c r="K696" i="12"/>
  <c r="K695" i="12"/>
  <c r="K694" i="12"/>
  <c r="K693" i="12"/>
  <c r="K692" i="12"/>
  <c r="K691" i="12"/>
  <c r="K690" i="12"/>
  <c r="K689" i="12"/>
  <c r="K688" i="12"/>
  <c r="K687" i="12"/>
  <c r="K686" i="12"/>
  <c r="K685" i="12"/>
  <c r="K684" i="12"/>
  <c r="K683" i="12"/>
  <c r="K682" i="12"/>
  <c r="K681" i="12"/>
  <c r="K680" i="12"/>
  <c r="K679" i="12"/>
  <c r="K678" i="12"/>
  <c r="K677" i="12"/>
  <c r="K676" i="12"/>
  <c r="K675" i="12"/>
  <c r="K674" i="12"/>
  <c r="K673" i="12"/>
  <c r="K672" i="12"/>
  <c r="K671" i="12"/>
  <c r="K670" i="12"/>
  <c r="K669" i="12"/>
  <c r="K668" i="12"/>
  <c r="K667" i="12"/>
  <c r="K666" i="12"/>
  <c r="K665" i="12"/>
  <c r="K664" i="12"/>
  <c r="K663" i="12"/>
  <c r="K662" i="12"/>
  <c r="K661" i="12"/>
  <c r="K660" i="12"/>
  <c r="K659" i="12"/>
  <c r="K658" i="12"/>
  <c r="K657" i="12"/>
  <c r="K656" i="12"/>
  <c r="K655" i="12"/>
  <c r="K654" i="12"/>
  <c r="K653" i="12"/>
  <c r="K652" i="12"/>
  <c r="K651" i="12"/>
  <c r="K650" i="12"/>
  <c r="K649" i="12"/>
  <c r="K648" i="12"/>
  <c r="K647" i="12"/>
  <c r="K646" i="12"/>
  <c r="K645" i="12"/>
  <c r="K644" i="12"/>
  <c r="K643" i="12"/>
  <c r="K642" i="12"/>
  <c r="K641" i="12"/>
  <c r="K640" i="12"/>
  <c r="K639" i="12"/>
  <c r="K638" i="12"/>
  <c r="K637" i="12"/>
  <c r="K636" i="12"/>
  <c r="K635" i="12"/>
  <c r="K634" i="12"/>
  <c r="K633" i="12"/>
  <c r="K632" i="12"/>
  <c r="K631" i="12"/>
  <c r="K630" i="12"/>
  <c r="K629" i="12"/>
  <c r="K628" i="12"/>
  <c r="K627" i="12"/>
  <c r="K626" i="12"/>
  <c r="K625" i="12"/>
  <c r="K624" i="12"/>
  <c r="K623" i="12"/>
  <c r="K622" i="12"/>
  <c r="K621" i="12"/>
  <c r="K620" i="12"/>
  <c r="K619" i="12"/>
  <c r="K618" i="12"/>
  <c r="K617" i="12"/>
  <c r="K616" i="12"/>
  <c r="K615" i="12"/>
  <c r="K614" i="12"/>
  <c r="K613" i="12"/>
  <c r="K612" i="12"/>
  <c r="K611" i="12"/>
  <c r="K610" i="12"/>
  <c r="K609" i="12"/>
  <c r="K608" i="12"/>
  <c r="K607" i="12"/>
  <c r="K606" i="12"/>
  <c r="K605" i="12"/>
  <c r="K604" i="12"/>
  <c r="K603" i="12"/>
  <c r="K602" i="12"/>
  <c r="K601" i="12"/>
  <c r="K600" i="12"/>
  <c r="K599" i="12"/>
  <c r="K598" i="12"/>
  <c r="K597" i="12"/>
  <c r="K596" i="12"/>
  <c r="K595" i="12"/>
  <c r="K594" i="12"/>
  <c r="K593" i="12"/>
  <c r="K592" i="12"/>
  <c r="K591" i="12"/>
  <c r="K590" i="12"/>
  <c r="K589" i="12"/>
  <c r="K588" i="12"/>
  <c r="K587" i="12"/>
  <c r="K586" i="12"/>
  <c r="K585" i="12"/>
  <c r="K584" i="12"/>
  <c r="K583" i="12"/>
  <c r="K582" i="12"/>
  <c r="K581" i="12"/>
  <c r="K580" i="12"/>
  <c r="K579" i="12"/>
  <c r="K578" i="12"/>
  <c r="K577" i="12"/>
  <c r="K576" i="12"/>
  <c r="K575" i="12"/>
  <c r="K574" i="12"/>
  <c r="K573" i="12"/>
  <c r="K572" i="12"/>
  <c r="K571" i="12"/>
  <c r="K570" i="12"/>
  <c r="K569" i="12"/>
  <c r="K568" i="12"/>
  <c r="K567" i="12"/>
  <c r="K566" i="12"/>
  <c r="K565" i="12"/>
  <c r="K564" i="12"/>
  <c r="K563" i="12"/>
  <c r="K562" i="12"/>
  <c r="K561" i="12"/>
  <c r="K560" i="12"/>
  <c r="K559" i="12"/>
  <c r="K558" i="12"/>
  <c r="K557" i="12"/>
  <c r="K556" i="12"/>
  <c r="K555" i="12"/>
  <c r="K554" i="12"/>
  <c r="K553" i="12"/>
  <c r="K552" i="12"/>
  <c r="K551" i="12"/>
  <c r="K550" i="12"/>
  <c r="K549" i="12"/>
  <c r="K548" i="12"/>
  <c r="K547" i="12"/>
  <c r="K546" i="12"/>
  <c r="K545" i="12"/>
  <c r="K544" i="12"/>
  <c r="K543" i="12"/>
  <c r="K542" i="12"/>
  <c r="K541" i="12"/>
  <c r="K540" i="12"/>
  <c r="K539" i="12"/>
  <c r="K538" i="12"/>
  <c r="K537" i="12"/>
  <c r="K536" i="12"/>
  <c r="K535" i="12"/>
  <c r="K534" i="12"/>
  <c r="K533" i="12"/>
  <c r="K532" i="12"/>
  <c r="K531" i="12"/>
  <c r="K530" i="12"/>
  <c r="K529" i="12"/>
  <c r="K528" i="12"/>
  <c r="K527" i="12"/>
  <c r="K526" i="12"/>
  <c r="K525" i="12"/>
  <c r="K524" i="12"/>
  <c r="K523" i="12"/>
  <c r="K522" i="12"/>
  <c r="K521" i="12"/>
  <c r="K520" i="12"/>
  <c r="K519" i="12"/>
  <c r="K518" i="12"/>
  <c r="K517" i="12"/>
  <c r="K516" i="12"/>
  <c r="K515" i="12"/>
  <c r="K514" i="12"/>
  <c r="K513" i="12"/>
  <c r="K512" i="12"/>
  <c r="K511" i="12"/>
  <c r="K510" i="12"/>
  <c r="K509" i="12"/>
  <c r="K508" i="12"/>
  <c r="K507" i="12"/>
  <c r="K506" i="12"/>
  <c r="K505" i="12"/>
  <c r="K504" i="12"/>
  <c r="K503" i="12"/>
  <c r="K502" i="12"/>
  <c r="K501" i="12"/>
  <c r="K500" i="12"/>
  <c r="K499" i="12"/>
  <c r="K498" i="12"/>
  <c r="K497" i="12"/>
  <c r="K496" i="12"/>
  <c r="K495" i="12"/>
  <c r="K494" i="12"/>
  <c r="K493" i="12"/>
  <c r="K492" i="12"/>
  <c r="K491" i="12"/>
  <c r="K490" i="12"/>
  <c r="K489" i="12"/>
  <c r="K488" i="12"/>
  <c r="K487" i="12"/>
  <c r="K486" i="12"/>
  <c r="K485" i="12"/>
  <c r="K484" i="12"/>
  <c r="K483" i="12"/>
  <c r="K482" i="12"/>
  <c r="K481" i="12"/>
  <c r="K480" i="12"/>
  <c r="K479" i="12"/>
  <c r="K478" i="12"/>
  <c r="K477" i="12"/>
  <c r="K476" i="12"/>
  <c r="K475" i="12"/>
  <c r="K474" i="12"/>
  <c r="K473" i="12"/>
  <c r="K472" i="12"/>
  <c r="K471" i="12"/>
  <c r="K470" i="12"/>
  <c r="K469" i="12"/>
  <c r="K468" i="12"/>
  <c r="K467" i="12"/>
  <c r="K466" i="12"/>
  <c r="K465" i="12"/>
  <c r="K464" i="12"/>
  <c r="K463" i="12"/>
  <c r="K462" i="12"/>
  <c r="K461" i="12"/>
  <c r="K460" i="12"/>
  <c r="K459" i="12"/>
  <c r="K458" i="12"/>
  <c r="K457" i="12"/>
  <c r="K456" i="12"/>
  <c r="K455" i="12"/>
  <c r="K454" i="12"/>
  <c r="K453" i="12"/>
  <c r="K452" i="12"/>
  <c r="K451" i="12"/>
  <c r="K450" i="12"/>
  <c r="K449" i="12"/>
  <c r="K448" i="12"/>
  <c r="K447" i="12"/>
  <c r="K446" i="12"/>
  <c r="K445" i="12"/>
  <c r="K444" i="12"/>
  <c r="K443" i="12"/>
  <c r="K442" i="12"/>
  <c r="K441" i="12"/>
  <c r="K440" i="12"/>
  <c r="K439" i="12"/>
  <c r="K438" i="12"/>
  <c r="K437" i="12"/>
  <c r="K436" i="12"/>
  <c r="K435" i="12"/>
  <c r="K434" i="12"/>
  <c r="K433" i="12"/>
  <c r="K432" i="12"/>
  <c r="K431" i="12"/>
  <c r="K430" i="12"/>
  <c r="K429" i="12"/>
  <c r="K428" i="12"/>
  <c r="K427" i="12"/>
  <c r="K426" i="12"/>
  <c r="K425" i="12"/>
  <c r="K424" i="12"/>
  <c r="K423" i="12"/>
  <c r="K422" i="12"/>
  <c r="K421" i="12"/>
  <c r="K420" i="12"/>
  <c r="K419" i="12"/>
  <c r="K418" i="12"/>
  <c r="K417" i="12"/>
  <c r="K416" i="12"/>
  <c r="K415" i="12"/>
  <c r="K414" i="12"/>
  <c r="K413" i="12"/>
  <c r="K412" i="12"/>
  <c r="K411" i="12"/>
  <c r="K410" i="12"/>
  <c r="K409" i="12"/>
  <c r="K408" i="12"/>
  <c r="K407" i="12"/>
  <c r="K406" i="12"/>
  <c r="K405" i="12"/>
  <c r="K404" i="12"/>
  <c r="K403" i="12"/>
  <c r="K402" i="12"/>
  <c r="K401" i="12"/>
  <c r="K400" i="12"/>
  <c r="K399" i="12"/>
  <c r="K398" i="12"/>
  <c r="K397" i="12"/>
  <c r="K396" i="12"/>
  <c r="K395" i="12"/>
  <c r="K394" i="12"/>
  <c r="K393" i="12"/>
  <c r="K392" i="12"/>
  <c r="K391" i="12"/>
  <c r="K390" i="12"/>
  <c r="K389" i="12"/>
  <c r="K388" i="12"/>
  <c r="K387" i="12"/>
  <c r="K386" i="12"/>
  <c r="K385" i="12"/>
  <c r="K384" i="12"/>
  <c r="K383" i="12"/>
  <c r="K382" i="12"/>
  <c r="K381" i="12"/>
  <c r="K380" i="12"/>
  <c r="K379" i="12"/>
  <c r="K378" i="12"/>
  <c r="K377" i="12"/>
  <c r="K376" i="12"/>
  <c r="K375" i="12"/>
  <c r="K374" i="12"/>
  <c r="K373" i="12"/>
  <c r="K372" i="12"/>
  <c r="K371" i="12"/>
  <c r="K370" i="12"/>
  <c r="K369" i="12"/>
  <c r="K368" i="12"/>
  <c r="K367" i="12"/>
  <c r="K366" i="12"/>
  <c r="K365" i="12"/>
  <c r="K364" i="12"/>
  <c r="K363" i="12"/>
  <c r="K362" i="12"/>
  <c r="K361" i="12"/>
  <c r="K360" i="12"/>
  <c r="K359" i="12"/>
  <c r="K358" i="12"/>
  <c r="K357" i="12"/>
  <c r="K356" i="12"/>
  <c r="K355" i="12"/>
  <c r="K354" i="12"/>
  <c r="K353" i="12"/>
  <c r="K352" i="12"/>
  <c r="K351" i="12"/>
  <c r="K350" i="12"/>
  <c r="K349" i="12"/>
  <c r="K348" i="12"/>
  <c r="K347" i="12"/>
  <c r="K346" i="12"/>
  <c r="K345" i="12"/>
  <c r="K344" i="12"/>
  <c r="K343" i="12"/>
  <c r="K342" i="12"/>
  <c r="K341" i="12"/>
  <c r="K340" i="12"/>
  <c r="K339" i="12"/>
  <c r="K338" i="12"/>
  <c r="K337" i="12"/>
  <c r="K336" i="12"/>
  <c r="K335" i="12"/>
  <c r="K334" i="12"/>
  <c r="K333" i="12"/>
  <c r="K332" i="12"/>
  <c r="K331" i="12"/>
  <c r="K330" i="12"/>
  <c r="K329" i="12"/>
  <c r="K328" i="12"/>
  <c r="K327" i="12"/>
  <c r="K326" i="12"/>
  <c r="K325" i="12"/>
  <c r="K324" i="12"/>
  <c r="K323" i="12"/>
  <c r="K322" i="12"/>
  <c r="K321" i="12"/>
  <c r="K320" i="12"/>
  <c r="K319" i="12"/>
  <c r="K318" i="12"/>
  <c r="K317" i="12"/>
  <c r="K316" i="12"/>
  <c r="K315" i="12"/>
  <c r="K314" i="12"/>
  <c r="K313" i="12"/>
  <c r="K312" i="12"/>
  <c r="K311" i="12"/>
  <c r="K310" i="12"/>
  <c r="K309" i="12"/>
  <c r="K308" i="12"/>
  <c r="K307" i="12"/>
  <c r="K306" i="12"/>
  <c r="K305" i="12"/>
  <c r="K304" i="12"/>
  <c r="K303" i="12"/>
  <c r="K302" i="12"/>
  <c r="K301" i="12"/>
  <c r="K300" i="12"/>
  <c r="K299" i="12"/>
  <c r="K298" i="12"/>
  <c r="K297" i="12"/>
  <c r="K296" i="12"/>
  <c r="K295" i="12"/>
  <c r="K294" i="12"/>
  <c r="K293" i="12"/>
  <c r="K292" i="12"/>
  <c r="K291" i="12"/>
  <c r="K290" i="12"/>
  <c r="K289" i="12"/>
  <c r="K288" i="12"/>
  <c r="K287" i="12"/>
  <c r="K286" i="12"/>
  <c r="K285" i="12"/>
  <c r="K284" i="12"/>
  <c r="K283" i="12"/>
  <c r="K282" i="12"/>
  <c r="K281" i="12"/>
  <c r="K280" i="12"/>
  <c r="K279" i="12"/>
  <c r="K278" i="12"/>
  <c r="K277" i="12"/>
  <c r="K276" i="12"/>
  <c r="K275" i="12"/>
  <c r="K274" i="12"/>
  <c r="K273" i="12"/>
  <c r="K272" i="12"/>
  <c r="K271" i="12"/>
  <c r="K270" i="12"/>
  <c r="K269" i="12"/>
  <c r="K268" i="12"/>
  <c r="K267" i="12"/>
  <c r="K266" i="12"/>
  <c r="K265" i="12"/>
  <c r="K264" i="12"/>
  <c r="K263" i="12"/>
  <c r="K262" i="12"/>
  <c r="K261" i="12"/>
  <c r="K260" i="12"/>
  <c r="K259" i="12"/>
  <c r="K258" i="12"/>
  <c r="K257" i="12"/>
  <c r="K256" i="12"/>
  <c r="K255" i="12"/>
  <c r="K254" i="12"/>
  <c r="K253" i="12"/>
  <c r="K252" i="12"/>
  <c r="K251" i="12"/>
  <c r="K250" i="12"/>
  <c r="K249" i="12"/>
  <c r="K248" i="12"/>
  <c r="K247" i="12"/>
  <c r="K246" i="12"/>
  <c r="K245" i="12"/>
  <c r="K244" i="12"/>
  <c r="K243" i="12"/>
  <c r="K242" i="12"/>
  <c r="K241" i="12"/>
  <c r="K240" i="12"/>
  <c r="K239" i="12"/>
  <c r="K238" i="12"/>
  <c r="K237" i="12"/>
  <c r="K236" i="12"/>
  <c r="K235" i="12"/>
  <c r="K234" i="12"/>
  <c r="K233" i="12"/>
  <c r="K232" i="12"/>
  <c r="K231" i="12"/>
  <c r="K230" i="12"/>
  <c r="K229" i="12"/>
  <c r="K228" i="12"/>
  <c r="K227" i="12"/>
  <c r="K226" i="12"/>
  <c r="K225" i="12"/>
  <c r="K224" i="12"/>
  <c r="K223" i="12"/>
  <c r="K222" i="12"/>
  <c r="K221" i="12"/>
  <c r="K220" i="12"/>
  <c r="K219" i="12"/>
  <c r="K218" i="12"/>
  <c r="K217" i="12"/>
  <c r="K216" i="12"/>
  <c r="K215" i="12"/>
  <c r="K214" i="12"/>
  <c r="K213" i="12"/>
  <c r="K212" i="12"/>
  <c r="K211" i="12"/>
  <c r="K210" i="12"/>
  <c r="K209" i="12"/>
  <c r="K208" i="12"/>
  <c r="K207" i="12"/>
  <c r="K206" i="12"/>
  <c r="K205" i="12"/>
  <c r="K204" i="12"/>
  <c r="K203" i="12"/>
  <c r="K202" i="12"/>
  <c r="K201" i="12"/>
  <c r="K200" i="12"/>
  <c r="K199" i="12"/>
  <c r="K198" i="12"/>
  <c r="K197" i="12"/>
  <c r="K196" i="12"/>
  <c r="K195" i="12"/>
  <c r="K194" i="12"/>
  <c r="K193" i="12"/>
  <c r="K192" i="12"/>
  <c r="K191" i="12"/>
  <c r="K190" i="12"/>
  <c r="K189" i="12"/>
  <c r="K188" i="12"/>
  <c r="K187" i="12"/>
  <c r="K186" i="12"/>
  <c r="K185" i="12"/>
  <c r="K184" i="12"/>
  <c r="K183" i="12"/>
  <c r="K182" i="12"/>
  <c r="K181" i="12"/>
  <c r="K180" i="12"/>
  <c r="K179" i="12"/>
  <c r="K178" i="12"/>
  <c r="K177" i="12"/>
  <c r="K176" i="12"/>
  <c r="K175" i="12"/>
  <c r="K174" i="12"/>
  <c r="K173" i="12"/>
  <c r="K172" i="12"/>
  <c r="K171" i="12"/>
  <c r="K170" i="12"/>
  <c r="K169" i="12"/>
  <c r="K168" i="12"/>
  <c r="K167" i="12"/>
  <c r="K166" i="12"/>
  <c r="K165" i="12"/>
  <c r="K164" i="12"/>
  <c r="K163" i="12"/>
  <c r="K162" i="12"/>
  <c r="K161" i="12"/>
  <c r="K160" i="12"/>
  <c r="K159" i="12"/>
  <c r="K158" i="12"/>
  <c r="K157" i="12"/>
  <c r="K156" i="12"/>
  <c r="K155" i="12"/>
  <c r="K154" i="12"/>
  <c r="K153" i="12"/>
  <c r="K152" i="12"/>
  <c r="K151" i="12"/>
  <c r="K150" i="12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K107" i="12"/>
  <c r="K106" i="12"/>
  <c r="K105" i="12"/>
  <c r="K104" i="12"/>
  <c r="K103" i="12"/>
  <c r="K102" i="12"/>
  <c r="K101" i="12"/>
  <c r="K100" i="12"/>
  <c r="K99" i="12"/>
  <c r="K98" i="12"/>
  <c r="K97" i="12"/>
  <c r="K96" i="12"/>
  <c r="K95" i="12"/>
  <c r="K94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K4" i="12"/>
  <c r="K3" i="12"/>
  <c r="K2" i="12"/>
  <c r="K15" i="9" l="1"/>
  <c r="K3" i="9"/>
  <c r="K22" i="9"/>
  <c r="B36" i="19" a="1"/>
  <c r="B36" i="19"/>
  <c r="C38" i="19" l="1"/>
  <c r="C37" i="19"/>
  <c r="B8" i="19"/>
  <c r="A19" i="19" a="1"/>
  <c r="A19" i="19"/>
  <c r="B30" i="19" l="1"/>
  <c r="C30" i="19"/>
  <c r="B31" i="19"/>
  <c r="C31" i="19"/>
  <c r="E21" i="8"/>
  <c r="S4" i="10"/>
  <c r="T4" i="10"/>
  <c r="S5" i="10"/>
  <c r="T5" i="10"/>
  <c r="S6" i="10"/>
  <c r="T6" i="10"/>
  <c r="S7" i="10"/>
  <c r="T7" i="10"/>
  <c r="S8" i="10"/>
  <c r="T8" i="10"/>
  <c r="S9" i="10"/>
  <c r="T9" i="10"/>
  <c r="S10" i="10"/>
  <c r="T10" i="10"/>
  <c r="S11" i="10"/>
  <c r="T11" i="10"/>
  <c r="S12" i="10"/>
  <c r="T12" i="10"/>
  <c r="S13" i="10"/>
  <c r="T13" i="10"/>
  <c r="S14" i="10"/>
  <c r="T14" i="10"/>
  <c r="S15" i="10"/>
  <c r="T15" i="10"/>
  <c r="S16" i="10"/>
  <c r="T16" i="10"/>
  <c r="S17" i="10"/>
  <c r="T17" i="10"/>
  <c r="S18" i="10"/>
  <c r="T18" i="10"/>
  <c r="S19" i="10"/>
  <c r="T19" i="10"/>
  <c r="S20" i="10"/>
  <c r="T20" i="10"/>
  <c r="S21" i="10"/>
  <c r="T21" i="10"/>
  <c r="S22" i="10"/>
  <c r="T22" i="10"/>
  <c r="S23" i="10"/>
  <c r="T23" i="10"/>
  <c r="S24" i="10"/>
  <c r="T24" i="10"/>
  <c r="S25" i="10"/>
  <c r="T25" i="10"/>
  <c r="S26" i="10"/>
  <c r="T26" i="10"/>
  <c r="S27" i="10"/>
  <c r="T27" i="10"/>
  <c r="S28" i="10"/>
  <c r="T28" i="10"/>
  <c r="S29" i="10"/>
  <c r="T29" i="10"/>
  <c r="S30" i="10"/>
  <c r="T30" i="10"/>
  <c r="S31" i="10"/>
  <c r="T31" i="10"/>
  <c r="S32" i="10"/>
  <c r="T32" i="10"/>
  <c r="S33" i="10"/>
  <c r="T33" i="10"/>
  <c r="S34" i="10"/>
  <c r="T34" i="10"/>
  <c r="S35" i="10"/>
  <c r="T35" i="10"/>
  <c r="S36" i="10"/>
  <c r="T36" i="10"/>
  <c r="S37" i="10"/>
  <c r="T37" i="10"/>
  <c r="S38" i="10"/>
  <c r="T38" i="10"/>
  <c r="S39" i="10"/>
  <c r="T39" i="10"/>
  <c r="S40" i="10"/>
  <c r="T40" i="10"/>
  <c r="S41" i="10"/>
  <c r="T41" i="10"/>
  <c r="S42" i="10"/>
  <c r="T42" i="10"/>
  <c r="S43" i="10"/>
  <c r="T43" i="10"/>
  <c r="S44" i="10"/>
  <c r="T44" i="10"/>
  <c r="S45" i="10"/>
  <c r="T45" i="10"/>
  <c r="S46" i="10"/>
  <c r="T46" i="10"/>
  <c r="S47" i="10"/>
  <c r="T47" i="10"/>
  <c r="S48" i="10"/>
  <c r="T48" i="10"/>
  <c r="S49" i="10"/>
  <c r="T49" i="10"/>
  <c r="S50" i="10"/>
  <c r="T50" i="10"/>
  <c r="S51" i="10"/>
  <c r="T51" i="10"/>
  <c r="S52" i="10"/>
  <c r="T52" i="10"/>
  <c r="S53" i="10"/>
  <c r="T53" i="10"/>
  <c r="T3" i="10"/>
  <c r="S3" i="10"/>
  <c r="U53" i="10" l="1"/>
  <c r="U52" i="10"/>
  <c r="U51" i="10"/>
  <c r="U50" i="10"/>
  <c r="U49" i="10"/>
  <c r="U48" i="10"/>
  <c r="U47" i="10"/>
  <c r="U46" i="10"/>
  <c r="U45" i="10"/>
  <c r="U44" i="10"/>
  <c r="U43" i="10"/>
  <c r="U42" i="10"/>
  <c r="U41" i="10"/>
  <c r="U40" i="10"/>
  <c r="U39" i="10"/>
  <c r="U38" i="10"/>
  <c r="U37" i="10"/>
  <c r="U36" i="10"/>
  <c r="U35" i="10"/>
  <c r="U34" i="10"/>
  <c r="U33" i="10"/>
  <c r="U32" i="10"/>
  <c r="U31" i="10"/>
  <c r="U30" i="10"/>
  <c r="U29" i="10"/>
  <c r="U28" i="10"/>
  <c r="U27" i="10"/>
  <c r="U26" i="10"/>
  <c r="U25" i="10"/>
  <c r="U24" i="10"/>
  <c r="U23" i="10"/>
  <c r="U22" i="10"/>
  <c r="U21" i="10"/>
  <c r="U20" i="10"/>
  <c r="U19" i="10"/>
  <c r="U18" i="10"/>
  <c r="U17" i="10"/>
  <c r="U16" i="10"/>
  <c r="U15" i="10"/>
  <c r="U14" i="10"/>
  <c r="U13" i="10"/>
  <c r="U12" i="10"/>
  <c r="U11" i="10"/>
  <c r="U10" i="10"/>
  <c r="U9" i="10"/>
  <c r="U8" i="10"/>
  <c r="U7" i="10"/>
  <c r="U6" i="10"/>
  <c r="U5" i="10"/>
  <c r="U4" i="10"/>
  <c r="D31" i="19"/>
  <c r="D30" i="19"/>
  <c r="E16" i="8"/>
  <c r="B14" i="19"/>
  <c r="B13" i="19"/>
  <c r="B7" i="19"/>
  <c r="B6" i="19"/>
  <c r="A48" i="19"/>
  <c r="A47" i="19"/>
  <c r="L5000" i="15"/>
  <c r="M5000" i="15" s="1"/>
  <c r="L4999" i="15"/>
  <c r="M4999" i="15" s="1"/>
  <c r="L4998" i="15"/>
  <c r="M4998" i="15" s="1"/>
  <c r="L4997" i="15"/>
  <c r="M4997" i="15" s="1"/>
  <c r="L4996" i="15"/>
  <c r="M4996" i="15" s="1"/>
  <c r="L4995" i="15"/>
  <c r="M4995" i="15" s="1"/>
  <c r="L4994" i="15"/>
  <c r="M4994" i="15" s="1"/>
  <c r="L4993" i="15"/>
  <c r="M4993" i="15" s="1"/>
  <c r="L4992" i="15"/>
  <c r="M4992" i="15" s="1"/>
  <c r="L4991" i="15"/>
  <c r="M4991" i="15" s="1"/>
  <c r="L4990" i="15"/>
  <c r="M4990" i="15" s="1"/>
  <c r="L4989" i="15"/>
  <c r="M4989" i="15" s="1"/>
  <c r="L4988" i="15"/>
  <c r="M4988" i="15" s="1"/>
  <c r="L4987" i="15"/>
  <c r="M4987" i="15" s="1"/>
  <c r="L4986" i="15"/>
  <c r="M4986" i="15" s="1"/>
  <c r="L4985" i="15"/>
  <c r="M4985" i="15" s="1"/>
  <c r="L4984" i="15"/>
  <c r="M4984" i="15" s="1"/>
  <c r="L4983" i="15"/>
  <c r="M4983" i="15" s="1"/>
  <c r="L4982" i="15"/>
  <c r="M4982" i="15" s="1"/>
  <c r="L4981" i="15"/>
  <c r="M4981" i="15" s="1"/>
  <c r="L4980" i="15"/>
  <c r="M4980" i="15" s="1"/>
  <c r="L4979" i="15"/>
  <c r="M4979" i="15" s="1"/>
  <c r="L4978" i="15"/>
  <c r="M4978" i="15" s="1"/>
  <c r="L4977" i="15"/>
  <c r="M4977" i="15" s="1"/>
  <c r="L4976" i="15"/>
  <c r="M4976" i="15" s="1"/>
  <c r="L4975" i="15"/>
  <c r="M4975" i="15" s="1"/>
  <c r="L4974" i="15"/>
  <c r="M4974" i="15" s="1"/>
  <c r="L4973" i="15"/>
  <c r="M4973" i="15" s="1"/>
  <c r="L4972" i="15"/>
  <c r="M4972" i="15" s="1"/>
  <c r="L4971" i="15"/>
  <c r="M4971" i="15" s="1"/>
  <c r="L4970" i="15"/>
  <c r="M4970" i="15" s="1"/>
  <c r="L4969" i="15"/>
  <c r="M4969" i="15" s="1"/>
  <c r="L4968" i="15"/>
  <c r="M4968" i="15" s="1"/>
  <c r="L4967" i="15"/>
  <c r="M4967" i="15" s="1"/>
  <c r="L4966" i="15"/>
  <c r="M4966" i="15" s="1"/>
  <c r="L4965" i="15"/>
  <c r="M4965" i="15" s="1"/>
  <c r="L4964" i="15"/>
  <c r="M4964" i="15" s="1"/>
  <c r="L4963" i="15"/>
  <c r="M4963" i="15" s="1"/>
  <c r="L4962" i="15"/>
  <c r="M4962" i="15" s="1"/>
  <c r="L4961" i="15"/>
  <c r="M4961" i="15" s="1"/>
  <c r="L4960" i="15"/>
  <c r="M4960" i="15" s="1"/>
  <c r="L4959" i="15"/>
  <c r="M4959" i="15" s="1"/>
  <c r="L4958" i="15"/>
  <c r="M4958" i="15" s="1"/>
  <c r="L4957" i="15"/>
  <c r="M4957" i="15" s="1"/>
  <c r="L4956" i="15"/>
  <c r="M4956" i="15" s="1"/>
  <c r="L4955" i="15"/>
  <c r="M4955" i="15" s="1"/>
  <c r="L4954" i="15"/>
  <c r="M4954" i="15" s="1"/>
  <c r="L4953" i="15"/>
  <c r="M4953" i="15" s="1"/>
  <c r="L4952" i="15"/>
  <c r="M4952" i="15" s="1"/>
  <c r="L4951" i="15"/>
  <c r="M4951" i="15" s="1"/>
  <c r="L4950" i="15"/>
  <c r="M4950" i="15" s="1"/>
  <c r="L4949" i="15"/>
  <c r="M4949" i="15" s="1"/>
  <c r="L4948" i="15"/>
  <c r="M4948" i="15" s="1"/>
  <c r="L4947" i="15"/>
  <c r="M4947" i="15" s="1"/>
  <c r="L4946" i="15"/>
  <c r="M4946" i="15" s="1"/>
  <c r="L4945" i="15"/>
  <c r="M4945" i="15" s="1"/>
  <c r="L4944" i="15"/>
  <c r="M4944" i="15" s="1"/>
  <c r="L4943" i="15"/>
  <c r="M4943" i="15" s="1"/>
  <c r="L4942" i="15"/>
  <c r="M4942" i="15" s="1"/>
  <c r="L4941" i="15"/>
  <c r="M4941" i="15" s="1"/>
  <c r="L4940" i="15"/>
  <c r="M4940" i="15" s="1"/>
  <c r="L4939" i="15"/>
  <c r="M4939" i="15" s="1"/>
  <c r="L4938" i="15"/>
  <c r="M4938" i="15" s="1"/>
  <c r="L4937" i="15"/>
  <c r="M4937" i="15" s="1"/>
  <c r="L4936" i="15"/>
  <c r="M4936" i="15" s="1"/>
  <c r="L4935" i="15"/>
  <c r="M4935" i="15" s="1"/>
  <c r="L4934" i="15"/>
  <c r="M4934" i="15" s="1"/>
  <c r="L4933" i="15"/>
  <c r="M4933" i="15" s="1"/>
  <c r="L4932" i="15"/>
  <c r="M4932" i="15" s="1"/>
  <c r="L4931" i="15"/>
  <c r="M4931" i="15" s="1"/>
  <c r="L4930" i="15"/>
  <c r="M4930" i="15" s="1"/>
  <c r="L4929" i="15"/>
  <c r="M4929" i="15" s="1"/>
  <c r="L4928" i="15"/>
  <c r="M4928" i="15" s="1"/>
  <c r="L4927" i="15"/>
  <c r="M4927" i="15" s="1"/>
  <c r="L4926" i="15"/>
  <c r="M4926" i="15" s="1"/>
  <c r="L4925" i="15"/>
  <c r="M4925" i="15" s="1"/>
  <c r="L4924" i="15"/>
  <c r="M4924" i="15" s="1"/>
  <c r="L4923" i="15"/>
  <c r="M4923" i="15" s="1"/>
  <c r="L4922" i="15"/>
  <c r="M4922" i="15" s="1"/>
  <c r="L4921" i="15"/>
  <c r="M4921" i="15" s="1"/>
  <c r="L4920" i="15"/>
  <c r="M4920" i="15" s="1"/>
  <c r="L4919" i="15"/>
  <c r="M4919" i="15" s="1"/>
  <c r="L4918" i="15"/>
  <c r="M4918" i="15" s="1"/>
  <c r="L4917" i="15"/>
  <c r="M4917" i="15" s="1"/>
  <c r="L4916" i="15"/>
  <c r="M4916" i="15" s="1"/>
  <c r="L4915" i="15"/>
  <c r="M4915" i="15" s="1"/>
  <c r="L4914" i="15"/>
  <c r="M4914" i="15" s="1"/>
  <c r="L4913" i="15"/>
  <c r="M4913" i="15" s="1"/>
  <c r="L4912" i="15"/>
  <c r="M4912" i="15" s="1"/>
  <c r="L4911" i="15"/>
  <c r="M4911" i="15" s="1"/>
  <c r="L4910" i="15"/>
  <c r="M4910" i="15" s="1"/>
  <c r="L4909" i="15"/>
  <c r="M4909" i="15" s="1"/>
  <c r="L4908" i="15"/>
  <c r="M4908" i="15" s="1"/>
  <c r="L4907" i="15"/>
  <c r="M4907" i="15" s="1"/>
  <c r="L4906" i="15"/>
  <c r="M4906" i="15" s="1"/>
  <c r="L4905" i="15"/>
  <c r="M4905" i="15" s="1"/>
  <c r="L4904" i="15"/>
  <c r="M4904" i="15" s="1"/>
  <c r="L4903" i="15"/>
  <c r="M4903" i="15" s="1"/>
  <c r="L4902" i="15"/>
  <c r="M4902" i="15" s="1"/>
  <c r="L4901" i="15"/>
  <c r="M4901" i="15" s="1"/>
  <c r="L4900" i="15"/>
  <c r="M4900" i="15" s="1"/>
  <c r="L4899" i="15"/>
  <c r="M4899" i="15" s="1"/>
  <c r="L4898" i="15"/>
  <c r="M4898" i="15" s="1"/>
  <c r="L4897" i="15"/>
  <c r="M4897" i="15" s="1"/>
  <c r="L4896" i="15"/>
  <c r="M4896" i="15" s="1"/>
  <c r="L4895" i="15"/>
  <c r="M4895" i="15" s="1"/>
  <c r="L4894" i="15"/>
  <c r="M4894" i="15" s="1"/>
  <c r="L4893" i="15"/>
  <c r="M4893" i="15" s="1"/>
  <c r="L4892" i="15"/>
  <c r="M4892" i="15" s="1"/>
  <c r="L4891" i="15"/>
  <c r="M4891" i="15" s="1"/>
  <c r="L4890" i="15"/>
  <c r="M4890" i="15" s="1"/>
  <c r="L4889" i="15"/>
  <c r="M4889" i="15" s="1"/>
  <c r="L4888" i="15"/>
  <c r="M4888" i="15" s="1"/>
  <c r="L4887" i="15"/>
  <c r="M4887" i="15" s="1"/>
  <c r="L4886" i="15"/>
  <c r="M4886" i="15" s="1"/>
  <c r="L4885" i="15"/>
  <c r="M4885" i="15" s="1"/>
  <c r="L4884" i="15"/>
  <c r="M4884" i="15" s="1"/>
  <c r="L4883" i="15"/>
  <c r="M4883" i="15" s="1"/>
  <c r="L4882" i="15"/>
  <c r="M4882" i="15" s="1"/>
  <c r="L4881" i="15"/>
  <c r="M4881" i="15" s="1"/>
  <c r="L4880" i="15"/>
  <c r="M4880" i="15" s="1"/>
  <c r="L4879" i="15"/>
  <c r="M4879" i="15" s="1"/>
  <c r="L4878" i="15"/>
  <c r="M4878" i="15" s="1"/>
  <c r="L4877" i="15"/>
  <c r="M4877" i="15" s="1"/>
  <c r="L4876" i="15"/>
  <c r="M4876" i="15" s="1"/>
  <c r="L4875" i="15"/>
  <c r="M4875" i="15" s="1"/>
  <c r="L4874" i="15"/>
  <c r="M4874" i="15" s="1"/>
  <c r="L4873" i="15"/>
  <c r="M4873" i="15" s="1"/>
  <c r="L4872" i="15"/>
  <c r="M4872" i="15" s="1"/>
  <c r="L4871" i="15"/>
  <c r="M4871" i="15" s="1"/>
  <c r="L4870" i="15"/>
  <c r="M4870" i="15" s="1"/>
  <c r="L4869" i="15"/>
  <c r="M4869" i="15" s="1"/>
  <c r="L4868" i="15"/>
  <c r="M4868" i="15" s="1"/>
  <c r="L4867" i="15"/>
  <c r="M4867" i="15" s="1"/>
  <c r="L4866" i="15"/>
  <c r="M4866" i="15" s="1"/>
  <c r="L4865" i="15"/>
  <c r="M4865" i="15" s="1"/>
  <c r="L4864" i="15"/>
  <c r="M4864" i="15" s="1"/>
  <c r="L4863" i="15"/>
  <c r="M4863" i="15" s="1"/>
  <c r="L4862" i="15"/>
  <c r="M4862" i="15" s="1"/>
  <c r="L4861" i="15"/>
  <c r="M4861" i="15" s="1"/>
  <c r="L4860" i="15"/>
  <c r="M4860" i="15" s="1"/>
  <c r="L4859" i="15"/>
  <c r="M4859" i="15" s="1"/>
  <c r="L4858" i="15"/>
  <c r="M4858" i="15" s="1"/>
  <c r="L4857" i="15"/>
  <c r="M4857" i="15" s="1"/>
  <c r="L4856" i="15"/>
  <c r="M4856" i="15" s="1"/>
  <c r="L4855" i="15"/>
  <c r="M4855" i="15" s="1"/>
  <c r="L4854" i="15"/>
  <c r="M4854" i="15" s="1"/>
  <c r="L4853" i="15"/>
  <c r="M4853" i="15" s="1"/>
  <c r="L4852" i="15"/>
  <c r="M4852" i="15" s="1"/>
  <c r="L4851" i="15"/>
  <c r="M4851" i="15" s="1"/>
  <c r="L4850" i="15"/>
  <c r="M4850" i="15" s="1"/>
  <c r="L4849" i="15"/>
  <c r="M4849" i="15" s="1"/>
  <c r="L4848" i="15"/>
  <c r="M4848" i="15" s="1"/>
  <c r="L4847" i="15"/>
  <c r="M4847" i="15" s="1"/>
  <c r="L4846" i="15"/>
  <c r="M4846" i="15" s="1"/>
  <c r="L4845" i="15"/>
  <c r="M4845" i="15" s="1"/>
  <c r="L4844" i="15"/>
  <c r="M4844" i="15" s="1"/>
  <c r="L4843" i="15"/>
  <c r="M4843" i="15" s="1"/>
  <c r="L4842" i="15"/>
  <c r="M4842" i="15" s="1"/>
  <c r="L4841" i="15"/>
  <c r="M4841" i="15" s="1"/>
  <c r="L4840" i="15"/>
  <c r="M4840" i="15" s="1"/>
  <c r="L4839" i="15"/>
  <c r="M4839" i="15" s="1"/>
  <c r="L4838" i="15"/>
  <c r="M4838" i="15" s="1"/>
  <c r="L4837" i="15"/>
  <c r="M4837" i="15" s="1"/>
  <c r="L4836" i="15"/>
  <c r="M4836" i="15" s="1"/>
  <c r="L4835" i="15"/>
  <c r="M4835" i="15" s="1"/>
  <c r="L4834" i="15"/>
  <c r="M4834" i="15" s="1"/>
  <c r="L4833" i="15"/>
  <c r="M4833" i="15" s="1"/>
  <c r="L4832" i="15"/>
  <c r="M4832" i="15" s="1"/>
  <c r="L4831" i="15"/>
  <c r="M4831" i="15" s="1"/>
  <c r="L4830" i="15"/>
  <c r="M4830" i="15" s="1"/>
  <c r="L4829" i="15"/>
  <c r="M4829" i="15" s="1"/>
  <c r="L4828" i="15"/>
  <c r="M4828" i="15" s="1"/>
  <c r="L4827" i="15"/>
  <c r="M4827" i="15" s="1"/>
  <c r="L4826" i="15"/>
  <c r="M4826" i="15" s="1"/>
  <c r="L4825" i="15"/>
  <c r="M4825" i="15" s="1"/>
  <c r="L4824" i="15"/>
  <c r="M4824" i="15" s="1"/>
  <c r="L4823" i="15"/>
  <c r="M4823" i="15" s="1"/>
  <c r="L4822" i="15"/>
  <c r="M4822" i="15" s="1"/>
  <c r="L4821" i="15"/>
  <c r="M4821" i="15" s="1"/>
  <c r="L4820" i="15"/>
  <c r="M4820" i="15" s="1"/>
  <c r="L4819" i="15"/>
  <c r="M4819" i="15" s="1"/>
  <c r="L4818" i="15"/>
  <c r="M4818" i="15" s="1"/>
  <c r="L4817" i="15"/>
  <c r="M4817" i="15" s="1"/>
  <c r="L4816" i="15"/>
  <c r="M4816" i="15" s="1"/>
  <c r="L4815" i="15"/>
  <c r="M4815" i="15" s="1"/>
  <c r="L4814" i="15"/>
  <c r="M4814" i="15" s="1"/>
  <c r="L4813" i="15"/>
  <c r="M4813" i="15" s="1"/>
  <c r="L4812" i="15"/>
  <c r="M4812" i="15" s="1"/>
  <c r="L4811" i="15"/>
  <c r="M4811" i="15" s="1"/>
  <c r="L4810" i="15"/>
  <c r="M4810" i="15" s="1"/>
  <c r="L4809" i="15"/>
  <c r="M4809" i="15" s="1"/>
  <c r="L4808" i="15"/>
  <c r="M4808" i="15" s="1"/>
  <c r="L4807" i="15"/>
  <c r="M4807" i="15" s="1"/>
  <c r="L4806" i="15"/>
  <c r="M4806" i="15" s="1"/>
  <c r="L4805" i="15"/>
  <c r="M4805" i="15" s="1"/>
  <c r="L4804" i="15"/>
  <c r="M4804" i="15" s="1"/>
  <c r="L4803" i="15"/>
  <c r="M4803" i="15" s="1"/>
  <c r="L4802" i="15"/>
  <c r="M4802" i="15" s="1"/>
  <c r="L4801" i="15"/>
  <c r="M4801" i="15" s="1"/>
  <c r="L4800" i="15"/>
  <c r="M4800" i="15" s="1"/>
  <c r="L4799" i="15"/>
  <c r="M4799" i="15" s="1"/>
  <c r="L4798" i="15"/>
  <c r="M4798" i="15" s="1"/>
  <c r="L4797" i="15"/>
  <c r="M4797" i="15" s="1"/>
  <c r="L4796" i="15"/>
  <c r="M4796" i="15" s="1"/>
  <c r="L4795" i="15"/>
  <c r="M4795" i="15" s="1"/>
  <c r="L4794" i="15"/>
  <c r="M4794" i="15" s="1"/>
  <c r="L4793" i="15"/>
  <c r="M4793" i="15" s="1"/>
  <c r="L4792" i="15"/>
  <c r="M4792" i="15" s="1"/>
  <c r="L4791" i="15"/>
  <c r="M4791" i="15" s="1"/>
  <c r="L4790" i="15"/>
  <c r="M4790" i="15" s="1"/>
  <c r="L4789" i="15"/>
  <c r="M4789" i="15" s="1"/>
  <c r="L4788" i="15"/>
  <c r="M4788" i="15" s="1"/>
  <c r="L4787" i="15"/>
  <c r="M4787" i="15" s="1"/>
  <c r="L4786" i="15"/>
  <c r="M4786" i="15" s="1"/>
  <c r="L4785" i="15"/>
  <c r="M4785" i="15" s="1"/>
  <c r="L4784" i="15"/>
  <c r="M4784" i="15" s="1"/>
  <c r="L4783" i="15"/>
  <c r="M4783" i="15" s="1"/>
  <c r="L4782" i="15"/>
  <c r="M4782" i="15" s="1"/>
  <c r="L4781" i="15"/>
  <c r="M4781" i="15" s="1"/>
  <c r="L4780" i="15"/>
  <c r="M4780" i="15" s="1"/>
  <c r="L4779" i="15"/>
  <c r="M4779" i="15" s="1"/>
  <c r="L4778" i="15"/>
  <c r="M4778" i="15" s="1"/>
  <c r="L4777" i="15"/>
  <c r="M4777" i="15" s="1"/>
  <c r="L4776" i="15"/>
  <c r="M4776" i="15" s="1"/>
  <c r="L4775" i="15"/>
  <c r="M4775" i="15" s="1"/>
  <c r="L4774" i="15"/>
  <c r="M4774" i="15" s="1"/>
  <c r="L4773" i="15"/>
  <c r="M4773" i="15" s="1"/>
  <c r="L4772" i="15"/>
  <c r="M4772" i="15" s="1"/>
  <c r="L4771" i="15"/>
  <c r="M4771" i="15" s="1"/>
  <c r="L4770" i="15"/>
  <c r="M4770" i="15" s="1"/>
  <c r="L4769" i="15"/>
  <c r="M4769" i="15" s="1"/>
  <c r="L4768" i="15"/>
  <c r="M4768" i="15" s="1"/>
  <c r="L4767" i="15"/>
  <c r="M4767" i="15" s="1"/>
  <c r="L4766" i="15"/>
  <c r="M4766" i="15" s="1"/>
  <c r="L4765" i="15"/>
  <c r="M4765" i="15" s="1"/>
  <c r="L4764" i="15"/>
  <c r="M4764" i="15" s="1"/>
  <c r="L4763" i="15"/>
  <c r="M4763" i="15" s="1"/>
  <c r="L4762" i="15"/>
  <c r="M4762" i="15" s="1"/>
  <c r="L4761" i="15"/>
  <c r="M4761" i="15" s="1"/>
  <c r="L4760" i="15"/>
  <c r="M4760" i="15" s="1"/>
  <c r="L4759" i="15"/>
  <c r="M4759" i="15" s="1"/>
  <c r="L4758" i="15"/>
  <c r="M4758" i="15" s="1"/>
  <c r="L4757" i="15"/>
  <c r="M4757" i="15" s="1"/>
  <c r="L4756" i="15"/>
  <c r="M4756" i="15" s="1"/>
  <c r="L4755" i="15"/>
  <c r="M4755" i="15" s="1"/>
  <c r="L4754" i="15"/>
  <c r="M4754" i="15" s="1"/>
  <c r="L4753" i="15"/>
  <c r="M4753" i="15" s="1"/>
  <c r="L4752" i="15"/>
  <c r="M4752" i="15" s="1"/>
  <c r="L4751" i="15"/>
  <c r="M4751" i="15" s="1"/>
  <c r="L4750" i="15"/>
  <c r="M4750" i="15" s="1"/>
  <c r="L4749" i="15"/>
  <c r="M4749" i="15" s="1"/>
  <c r="L4748" i="15"/>
  <c r="M4748" i="15" s="1"/>
  <c r="L4747" i="15"/>
  <c r="M4747" i="15" s="1"/>
  <c r="L4746" i="15"/>
  <c r="M4746" i="15" s="1"/>
  <c r="L4745" i="15"/>
  <c r="M4745" i="15" s="1"/>
  <c r="L4744" i="15"/>
  <c r="M4744" i="15" s="1"/>
  <c r="L4743" i="15"/>
  <c r="M4743" i="15" s="1"/>
  <c r="L4742" i="15"/>
  <c r="M4742" i="15" s="1"/>
  <c r="L4741" i="15"/>
  <c r="M4741" i="15" s="1"/>
  <c r="L4740" i="15"/>
  <c r="M4740" i="15" s="1"/>
  <c r="L4739" i="15"/>
  <c r="M4739" i="15" s="1"/>
  <c r="L4738" i="15"/>
  <c r="M4738" i="15" s="1"/>
  <c r="L4737" i="15"/>
  <c r="M4737" i="15" s="1"/>
  <c r="L4736" i="15"/>
  <c r="M4736" i="15" s="1"/>
  <c r="L4735" i="15"/>
  <c r="M4735" i="15" s="1"/>
  <c r="L4734" i="15"/>
  <c r="M4734" i="15" s="1"/>
  <c r="L4733" i="15"/>
  <c r="M4733" i="15" s="1"/>
  <c r="L4732" i="15"/>
  <c r="M4732" i="15" s="1"/>
  <c r="L4731" i="15"/>
  <c r="M4731" i="15" s="1"/>
  <c r="L4730" i="15"/>
  <c r="M4730" i="15" s="1"/>
  <c r="L4729" i="15"/>
  <c r="M4729" i="15" s="1"/>
  <c r="L4728" i="15"/>
  <c r="M4728" i="15" s="1"/>
  <c r="L4727" i="15"/>
  <c r="M4727" i="15" s="1"/>
  <c r="L4726" i="15"/>
  <c r="M4726" i="15" s="1"/>
  <c r="L4725" i="15"/>
  <c r="M4725" i="15" s="1"/>
  <c r="L4724" i="15"/>
  <c r="M4724" i="15" s="1"/>
  <c r="L4723" i="15"/>
  <c r="M4723" i="15" s="1"/>
  <c r="L4722" i="15"/>
  <c r="M4722" i="15" s="1"/>
  <c r="L4721" i="15"/>
  <c r="M4721" i="15" s="1"/>
  <c r="L4720" i="15"/>
  <c r="M4720" i="15" s="1"/>
  <c r="L4719" i="15"/>
  <c r="M4719" i="15" s="1"/>
  <c r="L4718" i="15"/>
  <c r="M4718" i="15" s="1"/>
  <c r="L4717" i="15"/>
  <c r="M4717" i="15" s="1"/>
  <c r="L4716" i="15"/>
  <c r="M4716" i="15" s="1"/>
  <c r="L4715" i="15"/>
  <c r="M4715" i="15" s="1"/>
  <c r="L4714" i="15"/>
  <c r="M4714" i="15" s="1"/>
  <c r="L4713" i="15"/>
  <c r="M4713" i="15" s="1"/>
  <c r="L4712" i="15"/>
  <c r="M4712" i="15" s="1"/>
  <c r="L4711" i="15"/>
  <c r="M4711" i="15" s="1"/>
  <c r="L4710" i="15"/>
  <c r="M4710" i="15" s="1"/>
  <c r="L4709" i="15"/>
  <c r="M4709" i="15" s="1"/>
  <c r="L4708" i="15"/>
  <c r="M4708" i="15" s="1"/>
  <c r="L4707" i="15"/>
  <c r="M4707" i="15" s="1"/>
  <c r="L4706" i="15"/>
  <c r="M4706" i="15" s="1"/>
  <c r="L4705" i="15"/>
  <c r="M4705" i="15" s="1"/>
  <c r="L4704" i="15"/>
  <c r="M4704" i="15" s="1"/>
  <c r="L4703" i="15"/>
  <c r="M4703" i="15" s="1"/>
  <c r="L4702" i="15"/>
  <c r="M4702" i="15" s="1"/>
  <c r="L4701" i="15"/>
  <c r="M4701" i="15" s="1"/>
  <c r="L4700" i="15"/>
  <c r="M4700" i="15" s="1"/>
  <c r="L4699" i="15"/>
  <c r="M4699" i="15" s="1"/>
  <c r="L4698" i="15"/>
  <c r="M4698" i="15" s="1"/>
  <c r="L4697" i="15"/>
  <c r="M4697" i="15" s="1"/>
  <c r="L4696" i="15"/>
  <c r="M4696" i="15" s="1"/>
  <c r="L4695" i="15"/>
  <c r="M4695" i="15" s="1"/>
  <c r="L4694" i="15"/>
  <c r="M4694" i="15" s="1"/>
  <c r="L4693" i="15"/>
  <c r="M4693" i="15" s="1"/>
  <c r="L4692" i="15"/>
  <c r="M4692" i="15" s="1"/>
  <c r="L4691" i="15"/>
  <c r="M4691" i="15" s="1"/>
  <c r="L4690" i="15"/>
  <c r="M4690" i="15" s="1"/>
  <c r="L4689" i="15"/>
  <c r="M4689" i="15" s="1"/>
  <c r="L4688" i="15"/>
  <c r="M4688" i="15" s="1"/>
  <c r="L4687" i="15"/>
  <c r="M4687" i="15" s="1"/>
  <c r="L4686" i="15"/>
  <c r="M4686" i="15" s="1"/>
  <c r="L4685" i="15"/>
  <c r="M4685" i="15" s="1"/>
  <c r="L4684" i="15"/>
  <c r="M4684" i="15" s="1"/>
  <c r="L4683" i="15"/>
  <c r="M4683" i="15" s="1"/>
  <c r="L4682" i="15"/>
  <c r="M4682" i="15" s="1"/>
  <c r="L4681" i="15"/>
  <c r="M4681" i="15" s="1"/>
  <c r="L4680" i="15"/>
  <c r="M4680" i="15" s="1"/>
  <c r="L4679" i="15"/>
  <c r="M4679" i="15" s="1"/>
  <c r="L4678" i="15"/>
  <c r="M4678" i="15" s="1"/>
  <c r="L4677" i="15"/>
  <c r="M4677" i="15" s="1"/>
  <c r="L4676" i="15"/>
  <c r="M4676" i="15" s="1"/>
  <c r="L4675" i="15"/>
  <c r="M4675" i="15" s="1"/>
  <c r="L4674" i="15"/>
  <c r="M4674" i="15" s="1"/>
  <c r="L4673" i="15"/>
  <c r="M4673" i="15" s="1"/>
  <c r="L4672" i="15"/>
  <c r="M4672" i="15" s="1"/>
  <c r="L4671" i="15"/>
  <c r="M4671" i="15" s="1"/>
  <c r="L4670" i="15"/>
  <c r="M4670" i="15" s="1"/>
  <c r="L4669" i="15"/>
  <c r="M4669" i="15" s="1"/>
  <c r="L4668" i="15"/>
  <c r="M4668" i="15" s="1"/>
  <c r="L4667" i="15"/>
  <c r="M4667" i="15" s="1"/>
  <c r="L4666" i="15"/>
  <c r="M4666" i="15" s="1"/>
  <c r="L4665" i="15"/>
  <c r="M4665" i="15" s="1"/>
  <c r="L4664" i="15"/>
  <c r="M4664" i="15" s="1"/>
  <c r="L4663" i="15"/>
  <c r="M4663" i="15" s="1"/>
  <c r="L4662" i="15"/>
  <c r="M4662" i="15" s="1"/>
  <c r="L4661" i="15"/>
  <c r="M4661" i="15" s="1"/>
  <c r="L4660" i="15"/>
  <c r="M4660" i="15" s="1"/>
  <c r="L4659" i="15"/>
  <c r="M4659" i="15" s="1"/>
  <c r="L4658" i="15"/>
  <c r="M4658" i="15" s="1"/>
  <c r="L4657" i="15"/>
  <c r="M4657" i="15" s="1"/>
  <c r="L4656" i="15"/>
  <c r="M4656" i="15" s="1"/>
  <c r="L4655" i="15"/>
  <c r="M4655" i="15" s="1"/>
  <c r="L4654" i="15"/>
  <c r="M4654" i="15" s="1"/>
  <c r="L4653" i="15"/>
  <c r="M4653" i="15" s="1"/>
  <c r="L4652" i="15"/>
  <c r="M4652" i="15" s="1"/>
  <c r="L4651" i="15"/>
  <c r="M4651" i="15" s="1"/>
  <c r="L4650" i="15"/>
  <c r="M4650" i="15" s="1"/>
  <c r="L4649" i="15"/>
  <c r="M4649" i="15" s="1"/>
  <c r="L4648" i="15"/>
  <c r="M4648" i="15" s="1"/>
  <c r="L4647" i="15"/>
  <c r="M4647" i="15" s="1"/>
  <c r="L4646" i="15"/>
  <c r="M4646" i="15" s="1"/>
  <c r="L4645" i="15"/>
  <c r="M4645" i="15" s="1"/>
  <c r="L4644" i="15"/>
  <c r="M4644" i="15" s="1"/>
  <c r="L4643" i="15"/>
  <c r="M4643" i="15" s="1"/>
  <c r="L4642" i="15"/>
  <c r="M4642" i="15" s="1"/>
  <c r="L4641" i="15"/>
  <c r="M4641" i="15" s="1"/>
  <c r="L4640" i="15"/>
  <c r="M4640" i="15" s="1"/>
  <c r="L4639" i="15"/>
  <c r="M4639" i="15" s="1"/>
  <c r="L4638" i="15"/>
  <c r="M4638" i="15" s="1"/>
  <c r="L4637" i="15"/>
  <c r="M4637" i="15" s="1"/>
  <c r="L4636" i="15"/>
  <c r="M4636" i="15" s="1"/>
  <c r="L4635" i="15"/>
  <c r="M4635" i="15" s="1"/>
  <c r="L4634" i="15"/>
  <c r="M4634" i="15" s="1"/>
  <c r="L4633" i="15"/>
  <c r="M4633" i="15" s="1"/>
  <c r="L4632" i="15"/>
  <c r="M4632" i="15" s="1"/>
  <c r="L4631" i="15"/>
  <c r="M4631" i="15" s="1"/>
  <c r="L4630" i="15"/>
  <c r="M4630" i="15" s="1"/>
  <c r="L4629" i="15"/>
  <c r="M4629" i="15" s="1"/>
  <c r="L4628" i="15"/>
  <c r="M4628" i="15" s="1"/>
  <c r="L4627" i="15"/>
  <c r="M4627" i="15" s="1"/>
  <c r="L4626" i="15"/>
  <c r="M4626" i="15" s="1"/>
  <c r="L4625" i="15"/>
  <c r="M4625" i="15" s="1"/>
  <c r="L4624" i="15"/>
  <c r="M4624" i="15" s="1"/>
  <c r="L4623" i="15"/>
  <c r="M4623" i="15" s="1"/>
  <c r="L4622" i="15"/>
  <c r="M4622" i="15" s="1"/>
  <c r="L4621" i="15"/>
  <c r="M4621" i="15" s="1"/>
  <c r="L4620" i="15"/>
  <c r="M4620" i="15" s="1"/>
  <c r="L4619" i="15"/>
  <c r="M4619" i="15" s="1"/>
  <c r="L4618" i="15"/>
  <c r="M4618" i="15" s="1"/>
  <c r="L4617" i="15"/>
  <c r="M4617" i="15" s="1"/>
  <c r="L4616" i="15"/>
  <c r="M4616" i="15" s="1"/>
  <c r="L4615" i="15"/>
  <c r="M4615" i="15" s="1"/>
  <c r="L4614" i="15"/>
  <c r="M4614" i="15" s="1"/>
  <c r="L4613" i="15"/>
  <c r="M4613" i="15" s="1"/>
  <c r="L4612" i="15"/>
  <c r="M4612" i="15" s="1"/>
  <c r="L4611" i="15"/>
  <c r="M4611" i="15" s="1"/>
  <c r="L4610" i="15"/>
  <c r="M4610" i="15" s="1"/>
  <c r="L4609" i="15"/>
  <c r="M4609" i="15" s="1"/>
  <c r="L4608" i="15"/>
  <c r="M4608" i="15" s="1"/>
  <c r="L4607" i="15"/>
  <c r="M4607" i="15" s="1"/>
  <c r="L4606" i="15"/>
  <c r="M4606" i="15" s="1"/>
  <c r="L4605" i="15"/>
  <c r="M4605" i="15" s="1"/>
  <c r="L4604" i="15"/>
  <c r="M4604" i="15" s="1"/>
  <c r="L4603" i="15"/>
  <c r="M4603" i="15" s="1"/>
  <c r="L4602" i="15"/>
  <c r="M4602" i="15" s="1"/>
  <c r="L4601" i="15"/>
  <c r="M4601" i="15" s="1"/>
  <c r="L4600" i="15"/>
  <c r="M4600" i="15" s="1"/>
  <c r="L4599" i="15"/>
  <c r="M4599" i="15" s="1"/>
  <c r="L4598" i="15"/>
  <c r="M4598" i="15" s="1"/>
  <c r="L4597" i="15"/>
  <c r="M4597" i="15" s="1"/>
  <c r="L4596" i="15"/>
  <c r="M4596" i="15" s="1"/>
  <c r="L4595" i="15"/>
  <c r="M4595" i="15" s="1"/>
  <c r="L4594" i="15"/>
  <c r="M4594" i="15" s="1"/>
  <c r="L4593" i="15"/>
  <c r="M4593" i="15" s="1"/>
  <c r="L4592" i="15"/>
  <c r="M4592" i="15" s="1"/>
  <c r="L4591" i="15"/>
  <c r="M4591" i="15" s="1"/>
  <c r="L4590" i="15"/>
  <c r="M4590" i="15" s="1"/>
  <c r="L4589" i="15"/>
  <c r="M4589" i="15" s="1"/>
  <c r="L4588" i="15"/>
  <c r="M4588" i="15" s="1"/>
  <c r="L4587" i="15"/>
  <c r="M4587" i="15" s="1"/>
  <c r="L4586" i="15"/>
  <c r="M4586" i="15" s="1"/>
  <c r="L4585" i="15"/>
  <c r="M4585" i="15" s="1"/>
  <c r="L4584" i="15"/>
  <c r="M4584" i="15" s="1"/>
  <c r="L4583" i="15"/>
  <c r="M4583" i="15" s="1"/>
  <c r="L4582" i="15"/>
  <c r="M4582" i="15" s="1"/>
  <c r="L4581" i="15"/>
  <c r="M4581" i="15" s="1"/>
  <c r="L4580" i="15"/>
  <c r="M4580" i="15" s="1"/>
  <c r="L4579" i="15"/>
  <c r="M4579" i="15" s="1"/>
  <c r="L4578" i="15"/>
  <c r="M4578" i="15" s="1"/>
  <c r="L4577" i="15"/>
  <c r="M4577" i="15" s="1"/>
  <c r="L4576" i="15"/>
  <c r="M4576" i="15" s="1"/>
  <c r="L4575" i="15"/>
  <c r="M4575" i="15" s="1"/>
  <c r="L4574" i="15"/>
  <c r="M4574" i="15" s="1"/>
  <c r="L4573" i="15"/>
  <c r="M4573" i="15" s="1"/>
  <c r="L4572" i="15"/>
  <c r="M4572" i="15" s="1"/>
  <c r="L4571" i="15"/>
  <c r="M4571" i="15" s="1"/>
  <c r="L4570" i="15"/>
  <c r="M4570" i="15" s="1"/>
  <c r="L4569" i="15"/>
  <c r="M4569" i="15" s="1"/>
  <c r="L4568" i="15"/>
  <c r="M4568" i="15" s="1"/>
  <c r="L4567" i="15"/>
  <c r="M4567" i="15" s="1"/>
  <c r="L4566" i="15"/>
  <c r="M4566" i="15" s="1"/>
  <c r="L4565" i="15"/>
  <c r="M4565" i="15" s="1"/>
  <c r="L4564" i="15"/>
  <c r="M4564" i="15" s="1"/>
  <c r="L4563" i="15"/>
  <c r="M4563" i="15" s="1"/>
  <c r="L4562" i="15"/>
  <c r="M4562" i="15" s="1"/>
  <c r="L4561" i="15"/>
  <c r="M4561" i="15" s="1"/>
  <c r="L4560" i="15"/>
  <c r="M4560" i="15" s="1"/>
  <c r="L4559" i="15"/>
  <c r="M4559" i="15" s="1"/>
  <c r="L4558" i="15"/>
  <c r="M4558" i="15" s="1"/>
  <c r="L4557" i="15"/>
  <c r="M4557" i="15" s="1"/>
  <c r="L4556" i="15"/>
  <c r="M4556" i="15" s="1"/>
  <c r="L4555" i="15"/>
  <c r="M4555" i="15" s="1"/>
  <c r="L4554" i="15"/>
  <c r="M4554" i="15" s="1"/>
  <c r="L4553" i="15"/>
  <c r="M4553" i="15" s="1"/>
  <c r="L4552" i="15"/>
  <c r="M4552" i="15" s="1"/>
  <c r="L4551" i="15"/>
  <c r="M4551" i="15" s="1"/>
  <c r="L4550" i="15"/>
  <c r="M4550" i="15" s="1"/>
  <c r="L4549" i="15"/>
  <c r="M4549" i="15" s="1"/>
  <c r="L4548" i="15"/>
  <c r="M4548" i="15" s="1"/>
  <c r="L4547" i="15"/>
  <c r="M4547" i="15" s="1"/>
  <c r="L4546" i="15"/>
  <c r="M4546" i="15" s="1"/>
  <c r="L4545" i="15"/>
  <c r="M4545" i="15" s="1"/>
  <c r="L4544" i="15"/>
  <c r="M4544" i="15" s="1"/>
  <c r="L4543" i="15"/>
  <c r="M4543" i="15" s="1"/>
  <c r="L4542" i="15"/>
  <c r="M4542" i="15" s="1"/>
  <c r="L4541" i="15"/>
  <c r="M4541" i="15" s="1"/>
  <c r="L4540" i="15"/>
  <c r="M4540" i="15" s="1"/>
  <c r="L4539" i="15"/>
  <c r="M4539" i="15" s="1"/>
  <c r="L4538" i="15"/>
  <c r="M4538" i="15" s="1"/>
  <c r="L4537" i="15"/>
  <c r="M4537" i="15" s="1"/>
  <c r="L4536" i="15"/>
  <c r="M4536" i="15" s="1"/>
  <c r="L4535" i="15"/>
  <c r="M4535" i="15" s="1"/>
  <c r="L4534" i="15"/>
  <c r="M4534" i="15" s="1"/>
  <c r="L4533" i="15"/>
  <c r="M4533" i="15" s="1"/>
  <c r="L4532" i="15"/>
  <c r="M4532" i="15" s="1"/>
  <c r="L4531" i="15"/>
  <c r="M4531" i="15" s="1"/>
  <c r="L4530" i="15"/>
  <c r="M4530" i="15" s="1"/>
  <c r="L4529" i="15"/>
  <c r="M4529" i="15" s="1"/>
  <c r="L4528" i="15"/>
  <c r="M4528" i="15" s="1"/>
  <c r="L4527" i="15"/>
  <c r="M4527" i="15" s="1"/>
  <c r="L4526" i="15"/>
  <c r="M4526" i="15" s="1"/>
  <c r="L4525" i="15"/>
  <c r="M4525" i="15" s="1"/>
  <c r="L4524" i="15"/>
  <c r="M4524" i="15" s="1"/>
  <c r="L4523" i="15"/>
  <c r="M4523" i="15" s="1"/>
  <c r="L4522" i="15"/>
  <c r="M4522" i="15" s="1"/>
  <c r="L4521" i="15"/>
  <c r="M4521" i="15" s="1"/>
  <c r="L4520" i="15"/>
  <c r="M4520" i="15" s="1"/>
  <c r="L4519" i="15"/>
  <c r="M4519" i="15" s="1"/>
  <c r="L4518" i="15"/>
  <c r="M4518" i="15" s="1"/>
  <c r="L4517" i="15"/>
  <c r="M4517" i="15" s="1"/>
  <c r="L4516" i="15"/>
  <c r="M4516" i="15" s="1"/>
  <c r="L4515" i="15"/>
  <c r="M4515" i="15" s="1"/>
  <c r="L4514" i="15"/>
  <c r="M4514" i="15" s="1"/>
  <c r="L4513" i="15"/>
  <c r="M4513" i="15" s="1"/>
  <c r="L4512" i="15"/>
  <c r="M4512" i="15" s="1"/>
  <c r="L4511" i="15"/>
  <c r="M4511" i="15" s="1"/>
  <c r="L4510" i="15"/>
  <c r="M4510" i="15" s="1"/>
  <c r="L4509" i="15"/>
  <c r="M4509" i="15" s="1"/>
  <c r="L4508" i="15"/>
  <c r="M4508" i="15" s="1"/>
  <c r="L4507" i="15"/>
  <c r="M4507" i="15" s="1"/>
  <c r="L4506" i="15"/>
  <c r="M4506" i="15" s="1"/>
  <c r="L4505" i="15"/>
  <c r="M4505" i="15" s="1"/>
  <c r="L4504" i="15"/>
  <c r="M4504" i="15" s="1"/>
  <c r="L4503" i="15"/>
  <c r="M4503" i="15" s="1"/>
  <c r="L4502" i="15"/>
  <c r="M4502" i="15" s="1"/>
  <c r="L4501" i="15"/>
  <c r="M4501" i="15" s="1"/>
  <c r="L4500" i="15"/>
  <c r="M4500" i="15" s="1"/>
  <c r="L4499" i="15"/>
  <c r="M4499" i="15" s="1"/>
  <c r="L4498" i="15"/>
  <c r="M4498" i="15" s="1"/>
  <c r="L4497" i="15"/>
  <c r="M4497" i="15" s="1"/>
  <c r="L4496" i="15"/>
  <c r="M4496" i="15" s="1"/>
  <c r="L4495" i="15"/>
  <c r="M4495" i="15" s="1"/>
  <c r="L4494" i="15"/>
  <c r="M4494" i="15" s="1"/>
  <c r="L4493" i="15"/>
  <c r="M4493" i="15" s="1"/>
  <c r="L4492" i="15"/>
  <c r="M4492" i="15" s="1"/>
  <c r="L4491" i="15"/>
  <c r="M4491" i="15" s="1"/>
  <c r="L4490" i="15"/>
  <c r="M4490" i="15" s="1"/>
  <c r="L4489" i="15"/>
  <c r="M4489" i="15" s="1"/>
  <c r="L4488" i="15"/>
  <c r="M4488" i="15" s="1"/>
  <c r="L4487" i="15"/>
  <c r="M4487" i="15" s="1"/>
  <c r="L4486" i="15"/>
  <c r="M4486" i="15" s="1"/>
  <c r="L4485" i="15"/>
  <c r="M4485" i="15" s="1"/>
  <c r="L4484" i="15"/>
  <c r="M4484" i="15" s="1"/>
  <c r="L4483" i="15"/>
  <c r="M4483" i="15" s="1"/>
  <c r="L4482" i="15"/>
  <c r="M4482" i="15" s="1"/>
  <c r="L4481" i="15"/>
  <c r="M4481" i="15" s="1"/>
  <c r="L4480" i="15"/>
  <c r="M4480" i="15" s="1"/>
  <c r="L4479" i="15"/>
  <c r="M4479" i="15" s="1"/>
  <c r="L4478" i="15"/>
  <c r="M4478" i="15" s="1"/>
  <c r="L4477" i="15"/>
  <c r="M4477" i="15" s="1"/>
  <c r="L4476" i="15"/>
  <c r="M4476" i="15" s="1"/>
  <c r="L4475" i="15"/>
  <c r="M4475" i="15" s="1"/>
  <c r="L4474" i="15"/>
  <c r="M4474" i="15" s="1"/>
  <c r="L4473" i="15"/>
  <c r="M4473" i="15" s="1"/>
  <c r="L4472" i="15"/>
  <c r="M4472" i="15" s="1"/>
  <c r="L4471" i="15"/>
  <c r="M4471" i="15" s="1"/>
  <c r="L4470" i="15"/>
  <c r="M4470" i="15" s="1"/>
  <c r="L4469" i="15"/>
  <c r="M4469" i="15" s="1"/>
  <c r="L4468" i="15"/>
  <c r="M4468" i="15" s="1"/>
  <c r="L4467" i="15"/>
  <c r="M4467" i="15" s="1"/>
  <c r="L4466" i="15"/>
  <c r="M4466" i="15" s="1"/>
  <c r="L4465" i="15"/>
  <c r="M4465" i="15" s="1"/>
  <c r="L4464" i="15"/>
  <c r="M4464" i="15" s="1"/>
  <c r="L4463" i="15"/>
  <c r="M4463" i="15" s="1"/>
  <c r="L4462" i="15"/>
  <c r="M4462" i="15" s="1"/>
  <c r="L4461" i="15"/>
  <c r="M4461" i="15" s="1"/>
  <c r="L4460" i="15"/>
  <c r="M4460" i="15" s="1"/>
  <c r="L4459" i="15"/>
  <c r="M4459" i="15" s="1"/>
  <c r="L4458" i="15"/>
  <c r="M4458" i="15" s="1"/>
  <c r="L4457" i="15"/>
  <c r="M4457" i="15" s="1"/>
  <c r="L4456" i="15"/>
  <c r="M4456" i="15" s="1"/>
  <c r="L4455" i="15"/>
  <c r="M4455" i="15" s="1"/>
  <c r="L4454" i="15"/>
  <c r="M4454" i="15" s="1"/>
  <c r="L4453" i="15"/>
  <c r="M4453" i="15" s="1"/>
  <c r="L4452" i="15"/>
  <c r="M4452" i="15" s="1"/>
  <c r="L4451" i="15"/>
  <c r="M4451" i="15" s="1"/>
  <c r="L4450" i="15"/>
  <c r="M4450" i="15" s="1"/>
  <c r="L4449" i="15"/>
  <c r="M4449" i="15" s="1"/>
  <c r="L4448" i="15"/>
  <c r="M4448" i="15" s="1"/>
  <c r="L4447" i="15"/>
  <c r="M4447" i="15" s="1"/>
  <c r="L4446" i="15"/>
  <c r="M4446" i="15" s="1"/>
  <c r="L4445" i="15"/>
  <c r="M4445" i="15" s="1"/>
  <c r="L4444" i="15"/>
  <c r="M4444" i="15" s="1"/>
  <c r="L4443" i="15"/>
  <c r="M4443" i="15" s="1"/>
  <c r="L4442" i="15"/>
  <c r="M4442" i="15" s="1"/>
  <c r="L4441" i="15"/>
  <c r="M4441" i="15" s="1"/>
  <c r="L4440" i="15"/>
  <c r="M4440" i="15" s="1"/>
  <c r="L4439" i="15"/>
  <c r="M4439" i="15" s="1"/>
  <c r="L4438" i="15"/>
  <c r="M4438" i="15" s="1"/>
  <c r="L4437" i="15"/>
  <c r="M4437" i="15" s="1"/>
  <c r="L4436" i="15"/>
  <c r="M4436" i="15" s="1"/>
  <c r="L4435" i="15"/>
  <c r="M4435" i="15" s="1"/>
  <c r="L4434" i="15"/>
  <c r="M4434" i="15" s="1"/>
  <c r="L4433" i="15"/>
  <c r="M4433" i="15" s="1"/>
  <c r="L4432" i="15"/>
  <c r="M4432" i="15" s="1"/>
  <c r="L4431" i="15"/>
  <c r="M4431" i="15" s="1"/>
  <c r="L4430" i="15"/>
  <c r="M4430" i="15" s="1"/>
  <c r="L4429" i="15"/>
  <c r="M4429" i="15" s="1"/>
  <c r="L4428" i="15"/>
  <c r="M4428" i="15" s="1"/>
  <c r="L4427" i="15"/>
  <c r="M4427" i="15" s="1"/>
  <c r="L4426" i="15"/>
  <c r="M4426" i="15" s="1"/>
  <c r="L4425" i="15"/>
  <c r="M4425" i="15" s="1"/>
  <c r="L4424" i="15"/>
  <c r="M4424" i="15" s="1"/>
  <c r="L4423" i="15"/>
  <c r="M4423" i="15" s="1"/>
  <c r="L4422" i="15"/>
  <c r="M4422" i="15" s="1"/>
  <c r="L4421" i="15"/>
  <c r="M4421" i="15" s="1"/>
  <c r="L4420" i="15"/>
  <c r="M4420" i="15" s="1"/>
  <c r="L4419" i="15"/>
  <c r="M4419" i="15" s="1"/>
  <c r="L4418" i="15"/>
  <c r="M4418" i="15" s="1"/>
  <c r="L4417" i="15"/>
  <c r="M4417" i="15" s="1"/>
  <c r="L4416" i="15"/>
  <c r="M4416" i="15" s="1"/>
  <c r="L4415" i="15"/>
  <c r="M4415" i="15" s="1"/>
  <c r="L4414" i="15"/>
  <c r="M4414" i="15" s="1"/>
  <c r="L4413" i="15"/>
  <c r="M4413" i="15" s="1"/>
  <c r="L4412" i="15"/>
  <c r="M4412" i="15" s="1"/>
  <c r="L4411" i="15"/>
  <c r="M4411" i="15" s="1"/>
  <c r="L4410" i="15"/>
  <c r="M4410" i="15" s="1"/>
  <c r="L4409" i="15"/>
  <c r="M4409" i="15" s="1"/>
  <c r="L4408" i="15"/>
  <c r="M4408" i="15" s="1"/>
  <c r="L4407" i="15"/>
  <c r="M4407" i="15" s="1"/>
  <c r="L4406" i="15"/>
  <c r="M4406" i="15" s="1"/>
  <c r="L4405" i="15"/>
  <c r="M4405" i="15" s="1"/>
  <c r="L4404" i="15"/>
  <c r="M4404" i="15" s="1"/>
  <c r="L4403" i="15"/>
  <c r="M4403" i="15" s="1"/>
  <c r="L4402" i="15"/>
  <c r="M4402" i="15" s="1"/>
  <c r="L4401" i="15"/>
  <c r="M4401" i="15" s="1"/>
  <c r="L4400" i="15"/>
  <c r="M4400" i="15" s="1"/>
  <c r="L4399" i="15"/>
  <c r="M4399" i="15" s="1"/>
  <c r="L4398" i="15"/>
  <c r="M4398" i="15" s="1"/>
  <c r="L4397" i="15"/>
  <c r="M4397" i="15" s="1"/>
  <c r="L4396" i="15"/>
  <c r="M4396" i="15" s="1"/>
  <c r="L4395" i="15"/>
  <c r="M4395" i="15" s="1"/>
  <c r="L4394" i="15"/>
  <c r="M4394" i="15" s="1"/>
  <c r="L4393" i="15"/>
  <c r="M4393" i="15" s="1"/>
  <c r="L4392" i="15"/>
  <c r="M4392" i="15" s="1"/>
  <c r="L4391" i="15"/>
  <c r="M4391" i="15" s="1"/>
  <c r="L4390" i="15"/>
  <c r="M4390" i="15" s="1"/>
  <c r="L4389" i="15"/>
  <c r="M4389" i="15" s="1"/>
  <c r="L4388" i="15"/>
  <c r="M4388" i="15" s="1"/>
  <c r="L4387" i="15"/>
  <c r="M4387" i="15" s="1"/>
  <c r="L4386" i="15"/>
  <c r="M4386" i="15" s="1"/>
  <c r="L4385" i="15"/>
  <c r="M4385" i="15" s="1"/>
  <c r="L4384" i="15"/>
  <c r="M4384" i="15" s="1"/>
  <c r="L4383" i="15"/>
  <c r="M4383" i="15" s="1"/>
  <c r="L4382" i="15"/>
  <c r="M4382" i="15" s="1"/>
  <c r="L4381" i="15"/>
  <c r="M4381" i="15" s="1"/>
  <c r="L4380" i="15"/>
  <c r="M4380" i="15" s="1"/>
  <c r="L4379" i="15"/>
  <c r="M4379" i="15" s="1"/>
  <c r="L4378" i="15"/>
  <c r="M4378" i="15" s="1"/>
  <c r="L4377" i="15"/>
  <c r="M4377" i="15" s="1"/>
  <c r="L4376" i="15"/>
  <c r="M4376" i="15" s="1"/>
  <c r="L4375" i="15"/>
  <c r="M4375" i="15" s="1"/>
  <c r="L4374" i="15"/>
  <c r="M4374" i="15" s="1"/>
  <c r="L4373" i="15"/>
  <c r="M4373" i="15" s="1"/>
  <c r="L4372" i="15"/>
  <c r="M4372" i="15" s="1"/>
  <c r="L4371" i="15"/>
  <c r="M4371" i="15" s="1"/>
  <c r="L4370" i="15"/>
  <c r="M4370" i="15" s="1"/>
  <c r="L4369" i="15"/>
  <c r="M4369" i="15" s="1"/>
  <c r="L4368" i="15"/>
  <c r="M4368" i="15" s="1"/>
  <c r="L4367" i="15"/>
  <c r="M4367" i="15" s="1"/>
  <c r="L4366" i="15"/>
  <c r="M4366" i="15" s="1"/>
  <c r="L4365" i="15"/>
  <c r="M4365" i="15" s="1"/>
  <c r="L4364" i="15"/>
  <c r="M4364" i="15" s="1"/>
  <c r="L4363" i="15"/>
  <c r="M4363" i="15" s="1"/>
  <c r="L4362" i="15"/>
  <c r="M4362" i="15" s="1"/>
  <c r="L4361" i="15"/>
  <c r="M4361" i="15" s="1"/>
  <c r="L4360" i="15"/>
  <c r="M4360" i="15" s="1"/>
  <c r="L4359" i="15"/>
  <c r="M4359" i="15" s="1"/>
  <c r="L4358" i="15"/>
  <c r="M4358" i="15" s="1"/>
  <c r="L4357" i="15"/>
  <c r="M4357" i="15" s="1"/>
  <c r="L4356" i="15"/>
  <c r="M4356" i="15" s="1"/>
  <c r="L4355" i="15"/>
  <c r="M4355" i="15" s="1"/>
  <c r="L4354" i="15"/>
  <c r="M4354" i="15" s="1"/>
  <c r="L4353" i="15"/>
  <c r="M4353" i="15" s="1"/>
  <c r="L4352" i="15"/>
  <c r="M4352" i="15" s="1"/>
  <c r="L4351" i="15"/>
  <c r="M4351" i="15" s="1"/>
  <c r="L4350" i="15"/>
  <c r="M4350" i="15" s="1"/>
  <c r="L4349" i="15"/>
  <c r="M4349" i="15" s="1"/>
  <c r="L4348" i="15"/>
  <c r="M4348" i="15" s="1"/>
  <c r="L4347" i="15"/>
  <c r="M4347" i="15" s="1"/>
  <c r="L4346" i="15"/>
  <c r="M4346" i="15" s="1"/>
  <c r="L4345" i="15"/>
  <c r="M4345" i="15" s="1"/>
  <c r="L4344" i="15"/>
  <c r="M4344" i="15" s="1"/>
  <c r="L4343" i="15"/>
  <c r="M4343" i="15" s="1"/>
  <c r="L4342" i="15"/>
  <c r="M4342" i="15" s="1"/>
  <c r="L4341" i="15"/>
  <c r="M4341" i="15" s="1"/>
  <c r="L4340" i="15"/>
  <c r="M4340" i="15" s="1"/>
  <c r="L4339" i="15"/>
  <c r="M4339" i="15" s="1"/>
  <c r="L4338" i="15"/>
  <c r="M4338" i="15" s="1"/>
  <c r="L4337" i="15"/>
  <c r="M4337" i="15" s="1"/>
  <c r="L4336" i="15"/>
  <c r="M4336" i="15" s="1"/>
  <c r="L4335" i="15"/>
  <c r="M4335" i="15" s="1"/>
  <c r="L4334" i="15"/>
  <c r="M4334" i="15" s="1"/>
  <c r="L4333" i="15"/>
  <c r="M4333" i="15" s="1"/>
  <c r="L4332" i="15"/>
  <c r="M4332" i="15" s="1"/>
  <c r="L4331" i="15"/>
  <c r="M4331" i="15" s="1"/>
  <c r="L4330" i="15"/>
  <c r="M4330" i="15" s="1"/>
  <c r="L4329" i="15"/>
  <c r="M4329" i="15" s="1"/>
  <c r="L4328" i="15"/>
  <c r="M4328" i="15" s="1"/>
  <c r="L4327" i="15"/>
  <c r="M4327" i="15" s="1"/>
  <c r="L4326" i="15"/>
  <c r="M4326" i="15" s="1"/>
  <c r="L4325" i="15"/>
  <c r="M4325" i="15" s="1"/>
  <c r="L4324" i="15"/>
  <c r="M4324" i="15" s="1"/>
  <c r="L4323" i="15"/>
  <c r="M4323" i="15" s="1"/>
  <c r="L4322" i="15"/>
  <c r="M4322" i="15" s="1"/>
  <c r="L4321" i="15"/>
  <c r="M4321" i="15" s="1"/>
  <c r="L4320" i="15"/>
  <c r="M4320" i="15" s="1"/>
  <c r="L4319" i="15"/>
  <c r="M4319" i="15" s="1"/>
  <c r="L4318" i="15"/>
  <c r="M4318" i="15" s="1"/>
  <c r="L4317" i="15"/>
  <c r="M4317" i="15" s="1"/>
  <c r="L4316" i="15"/>
  <c r="M4316" i="15" s="1"/>
  <c r="L4315" i="15"/>
  <c r="M4315" i="15" s="1"/>
  <c r="L4314" i="15"/>
  <c r="M4314" i="15" s="1"/>
  <c r="L4313" i="15"/>
  <c r="M4313" i="15" s="1"/>
  <c r="L4312" i="15"/>
  <c r="M4312" i="15" s="1"/>
  <c r="L4311" i="15"/>
  <c r="M4311" i="15" s="1"/>
  <c r="L4310" i="15"/>
  <c r="M4310" i="15" s="1"/>
  <c r="L4309" i="15"/>
  <c r="M4309" i="15" s="1"/>
  <c r="L4308" i="15"/>
  <c r="M4308" i="15" s="1"/>
  <c r="L4307" i="15"/>
  <c r="M4307" i="15" s="1"/>
  <c r="L4306" i="15"/>
  <c r="M4306" i="15" s="1"/>
  <c r="L4305" i="15"/>
  <c r="M4305" i="15" s="1"/>
  <c r="L4304" i="15"/>
  <c r="M4304" i="15" s="1"/>
  <c r="L4303" i="15"/>
  <c r="M4303" i="15" s="1"/>
  <c r="L4302" i="15"/>
  <c r="M4302" i="15" s="1"/>
  <c r="L4301" i="15"/>
  <c r="M4301" i="15" s="1"/>
  <c r="L4300" i="15"/>
  <c r="M4300" i="15" s="1"/>
  <c r="L4299" i="15"/>
  <c r="M4299" i="15" s="1"/>
  <c r="L4298" i="15"/>
  <c r="M4298" i="15" s="1"/>
  <c r="L4297" i="15"/>
  <c r="M4297" i="15" s="1"/>
  <c r="L4296" i="15"/>
  <c r="M4296" i="15" s="1"/>
  <c r="L4295" i="15"/>
  <c r="M4295" i="15" s="1"/>
  <c r="L4294" i="15"/>
  <c r="M4294" i="15" s="1"/>
  <c r="L4293" i="15"/>
  <c r="M4293" i="15" s="1"/>
  <c r="L4292" i="15"/>
  <c r="M4292" i="15" s="1"/>
  <c r="L4291" i="15"/>
  <c r="M4291" i="15" s="1"/>
  <c r="L4290" i="15"/>
  <c r="M4290" i="15" s="1"/>
  <c r="L4289" i="15"/>
  <c r="M4289" i="15" s="1"/>
  <c r="L4288" i="15"/>
  <c r="M4288" i="15" s="1"/>
  <c r="L4287" i="15"/>
  <c r="M4287" i="15" s="1"/>
  <c r="L4286" i="15"/>
  <c r="M4286" i="15" s="1"/>
  <c r="L4285" i="15"/>
  <c r="M4285" i="15" s="1"/>
  <c r="L4284" i="15"/>
  <c r="M4284" i="15" s="1"/>
  <c r="L4283" i="15"/>
  <c r="M4283" i="15" s="1"/>
  <c r="L4282" i="15"/>
  <c r="M4282" i="15" s="1"/>
  <c r="L4281" i="15"/>
  <c r="M4281" i="15" s="1"/>
  <c r="L4280" i="15"/>
  <c r="M4280" i="15" s="1"/>
  <c r="L4279" i="15"/>
  <c r="M4279" i="15" s="1"/>
  <c r="L4278" i="15"/>
  <c r="M4278" i="15" s="1"/>
  <c r="L4277" i="15"/>
  <c r="M4277" i="15" s="1"/>
  <c r="L4276" i="15"/>
  <c r="M4276" i="15" s="1"/>
  <c r="L4275" i="15"/>
  <c r="M4275" i="15" s="1"/>
  <c r="L4274" i="15"/>
  <c r="M4274" i="15" s="1"/>
  <c r="L4273" i="15"/>
  <c r="M4273" i="15" s="1"/>
  <c r="L4272" i="15"/>
  <c r="M4272" i="15" s="1"/>
  <c r="L4271" i="15"/>
  <c r="M4271" i="15" s="1"/>
  <c r="L4270" i="15"/>
  <c r="M4270" i="15" s="1"/>
  <c r="L4269" i="15"/>
  <c r="M4269" i="15" s="1"/>
  <c r="L4268" i="15"/>
  <c r="M4268" i="15" s="1"/>
  <c r="L4267" i="15"/>
  <c r="M4267" i="15" s="1"/>
  <c r="L4266" i="15"/>
  <c r="M4266" i="15" s="1"/>
  <c r="L4265" i="15"/>
  <c r="M4265" i="15" s="1"/>
  <c r="L4264" i="15"/>
  <c r="M4264" i="15" s="1"/>
  <c r="L4263" i="15"/>
  <c r="M4263" i="15" s="1"/>
  <c r="L4262" i="15"/>
  <c r="M4262" i="15" s="1"/>
  <c r="L4261" i="15"/>
  <c r="M4261" i="15" s="1"/>
  <c r="L4260" i="15"/>
  <c r="M4260" i="15" s="1"/>
  <c r="L4259" i="15"/>
  <c r="M4259" i="15" s="1"/>
  <c r="L4258" i="15"/>
  <c r="M4258" i="15" s="1"/>
  <c r="L4257" i="15"/>
  <c r="M4257" i="15" s="1"/>
  <c r="L4256" i="15"/>
  <c r="M4256" i="15" s="1"/>
  <c r="L4255" i="15"/>
  <c r="M4255" i="15" s="1"/>
  <c r="L4254" i="15"/>
  <c r="M4254" i="15" s="1"/>
  <c r="L4253" i="15"/>
  <c r="M4253" i="15" s="1"/>
  <c r="L4252" i="15"/>
  <c r="M4252" i="15" s="1"/>
  <c r="L4251" i="15"/>
  <c r="M4251" i="15" s="1"/>
  <c r="L4250" i="15"/>
  <c r="M4250" i="15" s="1"/>
  <c r="L4249" i="15"/>
  <c r="M4249" i="15" s="1"/>
  <c r="L4248" i="15"/>
  <c r="M4248" i="15" s="1"/>
  <c r="L4247" i="15"/>
  <c r="M4247" i="15" s="1"/>
  <c r="L4246" i="15"/>
  <c r="M4246" i="15" s="1"/>
  <c r="L4245" i="15"/>
  <c r="M4245" i="15" s="1"/>
  <c r="L4244" i="15"/>
  <c r="M4244" i="15" s="1"/>
  <c r="L4243" i="15"/>
  <c r="M4243" i="15" s="1"/>
  <c r="L4242" i="15"/>
  <c r="M4242" i="15" s="1"/>
  <c r="L4241" i="15"/>
  <c r="M4241" i="15" s="1"/>
  <c r="L4240" i="15"/>
  <c r="M4240" i="15" s="1"/>
  <c r="L4239" i="15"/>
  <c r="M4239" i="15" s="1"/>
  <c r="L4238" i="15"/>
  <c r="M4238" i="15" s="1"/>
  <c r="L4237" i="15"/>
  <c r="M4237" i="15" s="1"/>
  <c r="L4236" i="15"/>
  <c r="M4236" i="15" s="1"/>
  <c r="L4235" i="15"/>
  <c r="M4235" i="15" s="1"/>
  <c r="L4234" i="15"/>
  <c r="M4234" i="15" s="1"/>
  <c r="L4233" i="15"/>
  <c r="M4233" i="15" s="1"/>
  <c r="L4232" i="15"/>
  <c r="M4232" i="15" s="1"/>
  <c r="L4231" i="15"/>
  <c r="M4231" i="15" s="1"/>
  <c r="L4230" i="15"/>
  <c r="M4230" i="15" s="1"/>
  <c r="L4229" i="15"/>
  <c r="M4229" i="15" s="1"/>
  <c r="L4228" i="15"/>
  <c r="M4228" i="15" s="1"/>
  <c r="L4227" i="15"/>
  <c r="M4227" i="15" s="1"/>
  <c r="L4226" i="15"/>
  <c r="M4226" i="15" s="1"/>
  <c r="L4225" i="15"/>
  <c r="M4225" i="15" s="1"/>
  <c r="L4224" i="15"/>
  <c r="M4224" i="15" s="1"/>
  <c r="L4223" i="15"/>
  <c r="M4223" i="15" s="1"/>
  <c r="L4222" i="15"/>
  <c r="M4222" i="15" s="1"/>
  <c r="L4221" i="15"/>
  <c r="M4221" i="15" s="1"/>
  <c r="L4220" i="15"/>
  <c r="M4220" i="15" s="1"/>
  <c r="L4219" i="15"/>
  <c r="M4219" i="15" s="1"/>
  <c r="L4218" i="15"/>
  <c r="M4218" i="15" s="1"/>
  <c r="L4217" i="15"/>
  <c r="M4217" i="15" s="1"/>
  <c r="L4216" i="15"/>
  <c r="M4216" i="15" s="1"/>
  <c r="L4215" i="15"/>
  <c r="M4215" i="15" s="1"/>
  <c r="L4214" i="15"/>
  <c r="M4214" i="15" s="1"/>
  <c r="L4213" i="15"/>
  <c r="M4213" i="15" s="1"/>
  <c r="L4212" i="15"/>
  <c r="M4212" i="15" s="1"/>
  <c r="L4211" i="15"/>
  <c r="M4211" i="15" s="1"/>
  <c r="L4210" i="15"/>
  <c r="M4210" i="15" s="1"/>
  <c r="L4209" i="15"/>
  <c r="M4209" i="15" s="1"/>
  <c r="L4208" i="15"/>
  <c r="M4208" i="15" s="1"/>
  <c r="L4207" i="15"/>
  <c r="M4207" i="15" s="1"/>
  <c r="L4206" i="15"/>
  <c r="M4206" i="15" s="1"/>
  <c r="L4205" i="15"/>
  <c r="M4205" i="15" s="1"/>
  <c r="L4204" i="15"/>
  <c r="M4204" i="15" s="1"/>
  <c r="L4203" i="15"/>
  <c r="M4203" i="15" s="1"/>
  <c r="L4202" i="15"/>
  <c r="M4202" i="15" s="1"/>
  <c r="L4201" i="15"/>
  <c r="M4201" i="15" s="1"/>
  <c r="L4200" i="15"/>
  <c r="M4200" i="15" s="1"/>
  <c r="L4199" i="15"/>
  <c r="M4199" i="15" s="1"/>
  <c r="L4198" i="15"/>
  <c r="M4198" i="15" s="1"/>
  <c r="L4197" i="15"/>
  <c r="M4197" i="15" s="1"/>
  <c r="L4196" i="15"/>
  <c r="M4196" i="15" s="1"/>
  <c r="L4195" i="15"/>
  <c r="M4195" i="15" s="1"/>
  <c r="L4194" i="15"/>
  <c r="M4194" i="15" s="1"/>
  <c r="L4193" i="15"/>
  <c r="M4193" i="15" s="1"/>
  <c r="L4192" i="15"/>
  <c r="M4192" i="15" s="1"/>
  <c r="L4191" i="15"/>
  <c r="M4191" i="15" s="1"/>
  <c r="L4190" i="15"/>
  <c r="M4190" i="15" s="1"/>
  <c r="L4189" i="15"/>
  <c r="M4189" i="15" s="1"/>
  <c r="L4188" i="15"/>
  <c r="M4188" i="15" s="1"/>
  <c r="L4187" i="15"/>
  <c r="M4187" i="15" s="1"/>
  <c r="L4186" i="15"/>
  <c r="M4186" i="15" s="1"/>
  <c r="L4185" i="15"/>
  <c r="M4185" i="15" s="1"/>
  <c r="L4184" i="15"/>
  <c r="M4184" i="15" s="1"/>
  <c r="L4183" i="15"/>
  <c r="M4183" i="15" s="1"/>
  <c r="L4182" i="15"/>
  <c r="M4182" i="15" s="1"/>
  <c r="L4181" i="15"/>
  <c r="M4181" i="15" s="1"/>
  <c r="L4180" i="15"/>
  <c r="M4180" i="15" s="1"/>
  <c r="L4179" i="15"/>
  <c r="M4179" i="15" s="1"/>
  <c r="L4178" i="15"/>
  <c r="M4178" i="15" s="1"/>
  <c r="L4177" i="15"/>
  <c r="M4177" i="15" s="1"/>
  <c r="L4176" i="15"/>
  <c r="M4176" i="15" s="1"/>
  <c r="L4175" i="15"/>
  <c r="M4175" i="15" s="1"/>
  <c r="L4174" i="15"/>
  <c r="M4174" i="15" s="1"/>
  <c r="L4173" i="15"/>
  <c r="M4173" i="15" s="1"/>
  <c r="L4172" i="15"/>
  <c r="M4172" i="15" s="1"/>
  <c r="L4171" i="15"/>
  <c r="M4171" i="15" s="1"/>
  <c r="L4170" i="15"/>
  <c r="M4170" i="15" s="1"/>
  <c r="L4169" i="15"/>
  <c r="M4169" i="15" s="1"/>
  <c r="L4168" i="15"/>
  <c r="M4168" i="15" s="1"/>
  <c r="L4167" i="15"/>
  <c r="M4167" i="15" s="1"/>
  <c r="L4166" i="15"/>
  <c r="M4166" i="15" s="1"/>
  <c r="L4165" i="15"/>
  <c r="M4165" i="15" s="1"/>
  <c r="L4164" i="15"/>
  <c r="M4164" i="15" s="1"/>
  <c r="L4163" i="15"/>
  <c r="M4163" i="15" s="1"/>
  <c r="L4162" i="15"/>
  <c r="M4162" i="15" s="1"/>
  <c r="L4161" i="15"/>
  <c r="M4161" i="15" s="1"/>
  <c r="L4160" i="15"/>
  <c r="M4160" i="15" s="1"/>
  <c r="L4159" i="15"/>
  <c r="M4159" i="15" s="1"/>
  <c r="L4158" i="15"/>
  <c r="M4158" i="15" s="1"/>
  <c r="L4157" i="15"/>
  <c r="M4157" i="15" s="1"/>
  <c r="L4156" i="15"/>
  <c r="M4156" i="15" s="1"/>
  <c r="L4155" i="15"/>
  <c r="M4155" i="15" s="1"/>
  <c r="L4154" i="15"/>
  <c r="M4154" i="15" s="1"/>
  <c r="L4153" i="15"/>
  <c r="M4153" i="15" s="1"/>
  <c r="L4152" i="15"/>
  <c r="M4152" i="15" s="1"/>
  <c r="L4151" i="15"/>
  <c r="M4151" i="15" s="1"/>
  <c r="L4150" i="15"/>
  <c r="M4150" i="15" s="1"/>
  <c r="L4149" i="15"/>
  <c r="M4149" i="15" s="1"/>
  <c r="L4148" i="15"/>
  <c r="M4148" i="15" s="1"/>
  <c r="L4147" i="15"/>
  <c r="M4147" i="15" s="1"/>
  <c r="L4146" i="15"/>
  <c r="M4146" i="15" s="1"/>
  <c r="L4145" i="15"/>
  <c r="M4145" i="15" s="1"/>
  <c r="L4144" i="15"/>
  <c r="M4144" i="15" s="1"/>
  <c r="L4143" i="15"/>
  <c r="M4143" i="15" s="1"/>
  <c r="L4142" i="15"/>
  <c r="M4142" i="15" s="1"/>
  <c r="L4141" i="15"/>
  <c r="M4141" i="15" s="1"/>
  <c r="L4140" i="15"/>
  <c r="M4140" i="15" s="1"/>
  <c r="L4139" i="15"/>
  <c r="M4139" i="15" s="1"/>
  <c r="L4138" i="15"/>
  <c r="M4138" i="15" s="1"/>
  <c r="L4137" i="15"/>
  <c r="M4137" i="15" s="1"/>
  <c r="L4136" i="15"/>
  <c r="M4136" i="15" s="1"/>
  <c r="L4135" i="15"/>
  <c r="M4135" i="15" s="1"/>
  <c r="L4134" i="15"/>
  <c r="M4134" i="15" s="1"/>
  <c r="L4133" i="15"/>
  <c r="M4133" i="15" s="1"/>
  <c r="L4132" i="15"/>
  <c r="M4132" i="15" s="1"/>
  <c r="L4131" i="15"/>
  <c r="M4131" i="15" s="1"/>
  <c r="L4130" i="15"/>
  <c r="M4130" i="15" s="1"/>
  <c r="L4129" i="15"/>
  <c r="M4129" i="15" s="1"/>
  <c r="L4128" i="15"/>
  <c r="M4128" i="15" s="1"/>
  <c r="L4127" i="15"/>
  <c r="M4127" i="15" s="1"/>
  <c r="L4126" i="15"/>
  <c r="M4126" i="15" s="1"/>
  <c r="L4125" i="15"/>
  <c r="M4125" i="15" s="1"/>
  <c r="L4124" i="15"/>
  <c r="M4124" i="15" s="1"/>
  <c r="L4123" i="15"/>
  <c r="M4123" i="15" s="1"/>
  <c r="L4122" i="15"/>
  <c r="M4122" i="15" s="1"/>
  <c r="L4121" i="15"/>
  <c r="M4121" i="15" s="1"/>
  <c r="L4120" i="15"/>
  <c r="M4120" i="15" s="1"/>
  <c r="L4119" i="15"/>
  <c r="M4119" i="15" s="1"/>
  <c r="L4118" i="15"/>
  <c r="M4118" i="15" s="1"/>
  <c r="L4117" i="15"/>
  <c r="M4117" i="15" s="1"/>
  <c r="L4116" i="15"/>
  <c r="M4116" i="15" s="1"/>
  <c r="L4115" i="15"/>
  <c r="M4115" i="15" s="1"/>
  <c r="L4114" i="15"/>
  <c r="M4114" i="15" s="1"/>
  <c r="L4113" i="15"/>
  <c r="M4113" i="15" s="1"/>
  <c r="L4112" i="15"/>
  <c r="M4112" i="15" s="1"/>
  <c r="L4111" i="15"/>
  <c r="M4111" i="15" s="1"/>
  <c r="L4110" i="15"/>
  <c r="M4110" i="15" s="1"/>
  <c r="L4109" i="15"/>
  <c r="M4109" i="15" s="1"/>
  <c r="L4108" i="15"/>
  <c r="M4108" i="15" s="1"/>
  <c r="L4107" i="15"/>
  <c r="M4107" i="15" s="1"/>
  <c r="L4106" i="15"/>
  <c r="M4106" i="15" s="1"/>
  <c r="L4105" i="15"/>
  <c r="M4105" i="15" s="1"/>
  <c r="L4104" i="15"/>
  <c r="M4104" i="15" s="1"/>
  <c r="L4103" i="15"/>
  <c r="M4103" i="15" s="1"/>
  <c r="L4102" i="15"/>
  <c r="M4102" i="15" s="1"/>
  <c r="L4101" i="15"/>
  <c r="M4101" i="15" s="1"/>
  <c r="L4100" i="15"/>
  <c r="M4100" i="15" s="1"/>
  <c r="L4099" i="15"/>
  <c r="M4099" i="15" s="1"/>
  <c r="L4098" i="15"/>
  <c r="M4098" i="15" s="1"/>
  <c r="L4097" i="15"/>
  <c r="M4097" i="15" s="1"/>
  <c r="L4096" i="15"/>
  <c r="M4096" i="15" s="1"/>
  <c r="L4095" i="15"/>
  <c r="M4095" i="15" s="1"/>
  <c r="L4094" i="15"/>
  <c r="M4094" i="15" s="1"/>
  <c r="L4093" i="15"/>
  <c r="M4093" i="15" s="1"/>
  <c r="L4092" i="15"/>
  <c r="M4092" i="15" s="1"/>
  <c r="L4091" i="15"/>
  <c r="M4091" i="15" s="1"/>
  <c r="L4090" i="15"/>
  <c r="M4090" i="15" s="1"/>
  <c r="L4089" i="15"/>
  <c r="M4089" i="15" s="1"/>
  <c r="L4088" i="15"/>
  <c r="M4088" i="15" s="1"/>
  <c r="L4087" i="15"/>
  <c r="M4087" i="15" s="1"/>
  <c r="L4086" i="15"/>
  <c r="M4086" i="15" s="1"/>
  <c r="L4085" i="15"/>
  <c r="M4085" i="15" s="1"/>
  <c r="L4084" i="15"/>
  <c r="M4084" i="15" s="1"/>
  <c r="L4083" i="15"/>
  <c r="M4083" i="15" s="1"/>
  <c r="L4082" i="15"/>
  <c r="M4082" i="15" s="1"/>
  <c r="L4081" i="15"/>
  <c r="M4081" i="15" s="1"/>
  <c r="L4080" i="15"/>
  <c r="M4080" i="15" s="1"/>
  <c r="L4079" i="15"/>
  <c r="M4079" i="15" s="1"/>
  <c r="L4078" i="15"/>
  <c r="M4078" i="15" s="1"/>
  <c r="L4077" i="15"/>
  <c r="M4077" i="15" s="1"/>
  <c r="L4076" i="15"/>
  <c r="M4076" i="15" s="1"/>
  <c r="L4075" i="15"/>
  <c r="M4075" i="15" s="1"/>
  <c r="L4074" i="15"/>
  <c r="M4074" i="15" s="1"/>
  <c r="L4073" i="15"/>
  <c r="M4073" i="15" s="1"/>
  <c r="L4072" i="15"/>
  <c r="M4072" i="15" s="1"/>
  <c r="L4071" i="15"/>
  <c r="M4071" i="15" s="1"/>
  <c r="L4070" i="15"/>
  <c r="M4070" i="15" s="1"/>
  <c r="L4069" i="15"/>
  <c r="M4069" i="15" s="1"/>
  <c r="L4068" i="15"/>
  <c r="M4068" i="15" s="1"/>
  <c r="L4067" i="15"/>
  <c r="M4067" i="15" s="1"/>
  <c r="L4066" i="15"/>
  <c r="M4066" i="15" s="1"/>
  <c r="L4065" i="15"/>
  <c r="M4065" i="15" s="1"/>
  <c r="L4064" i="15"/>
  <c r="M4064" i="15" s="1"/>
  <c r="L4063" i="15"/>
  <c r="M4063" i="15" s="1"/>
  <c r="L4062" i="15"/>
  <c r="M4062" i="15" s="1"/>
  <c r="L4061" i="15"/>
  <c r="M4061" i="15" s="1"/>
  <c r="L4060" i="15"/>
  <c r="M4060" i="15" s="1"/>
  <c r="L4059" i="15"/>
  <c r="M4059" i="15" s="1"/>
  <c r="L4058" i="15"/>
  <c r="M4058" i="15" s="1"/>
  <c r="L4057" i="15"/>
  <c r="M4057" i="15" s="1"/>
  <c r="L4056" i="15"/>
  <c r="M4056" i="15" s="1"/>
  <c r="L4055" i="15"/>
  <c r="M4055" i="15" s="1"/>
  <c r="L4054" i="15"/>
  <c r="M4054" i="15" s="1"/>
  <c r="L4053" i="15"/>
  <c r="M4053" i="15" s="1"/>
  <c r="L4052" i="15"/>
  <c r="M4052" i="15" s="1"/>
  <c r="L4051" i="15"/>
  <c r="M4051" i="15" s="1"/>
  <c r="L4050" i="15"/>
  <c r="M4050" i="15" s="1"/>
  <c r="L4049" i="15"/>
  <c r="M4049" i="15" s="1"/>
  <c r="L4048" i="15"/>
  <c r="M4048" i="15" s="1"/>
  <c r="L4047" i="15"/>
  <c r="M4047" i="15" s="1"/>
  <c r="L4046" i="15"/>
  <c r="M4046" i="15" s="1"/>
  <c r="L4045" i="15"/>
  <c r="M4045" i="15" s="1"/>
  <c r="L4044" i="15"/>
  <c r="M4044" i="15" s="1"/>
  <c r="L4043" i="15"/>
  <c r="M4043" i="15" s="1"/>
  <c r="L4042" i="15"/>
  <c r="M4042" i="15" s="1"/>
  <c r="L4041" i="15"/>
  <c r="M4041" i="15" s="1"/>
  <c r="L4040" i="15"/>
  <c r="M4040" i="15" s="1"/>
  <c r="L4039" i="15"/>
  <c r="M4039" i="15" s="1"/>
  <c r="L4038" i="15"/>
  <c r="M4038" i="15" s="1"/>
  <c r="L4037" i="15"/>
  <c r="M4037" i="15" s="1"/>
  <c r="L4036" i="15"/>
  <c r="M4036" i="15" s="1"/>
  <c r="L4035" i="15"/>
  <c r="M4035" i="15" s="1"/>
  <c r="L4034" i="15"/>
  <c r="M4034" i="15" s="1"/>
  <c r="L4033" i="15"/>
  <c r="M4033" i="15" s="1"/>
  <c r="L4032" i="15"/>
  <c r="M4032" i="15" s="1"/>
  <c r="L4031" i="15"/>
  <c r="M4031" i="15" s="1"/>
  <c r="L4030" i="15"/>
  <c r="M4030" i="15" s="1"/>
  <c r="L4029" i="15"/>
  <c r="M4029" i="15" s="1"/>
  <c r="L4028" i="15"/>
  <c r="M4028" i="15" s="1"/>
  <c r="L4027" i="15"/>
  <c r="M4027" i="15" s="1"/>
  <c r="L4026" i="15"/>
  <c r="M4026" i="15" s="1"/>
  <c r="L4025" i="15"/>
  <c r="M4025" i="15" s="1"/>
  <c r="L4024" i="15"/>
  <c r="M4024" i="15" s="1"/>
  <c r="L4023" i="15"/>
  <c r="M4023" i="15" s="1"/>
  <c r="L4022" i="15"/>
  <c r="M4022" i="15" s="1"/>
  <c r="L4021" i="15"/>
  <c r="M4021" i="15" s="1"/>
  <c r="L4020" i="15"/>
  <c r="M4020" i="15" s="1"/>
  <c r="L4019" i="15"/>
  <c r="M4019" i="15" s="1"/>
  <c r="L4018" i="15"/>
  <c r="M4018" i="15" s="1"/>
  <c r="L4017" i="15"/>
  <c r="M4017" i="15" s="1"/>
  <c r="L4016" i="15"/>
  <c r="M4016" i="15" s="1"/>
  <c r="L4015" i="15"/>
  <c r="M4015" i="15" s="1"/>
  <c r="L4014" i="15"/>
  <c r="M4014" i="15" s="1"/>
  <c r="L4013" i="15"/>
  <c r="M4013" i="15" s="1"/>
  <c r="L4012" i="15"/>
  <c r="M4012" i="15" s="1"/>
  <c r="L4011" i="15"/>
  <c r="M4011" i="15" s="1"/>
  <c r="L4010" i="15"/>
  <c r="M4010" i="15" s="1"/>
  <c r="L4009" i="15"/>
  <c r="M4009" i="15" s="1"/>
  <c r="L4008" i="15"/>
  <c r="M4008" i="15" s="1"/>
  <c r="L4007" i="15"/>
  <c r="M4007" i="15" s="1"/>
  <c r="L4006" i="15"/>
  <c r="M4006" i="15" s="1"/>
  <c r="L4005" i="15"/>
  <c r="M4005" i="15" s="1"/>
  <c r="L4004" i="15"/>
  <c r="M4004" i="15" s="1"/>
  <c r="L4003" i="15"/>
  <c r="M4003" i="15" s="1"/>
  <c r="L4002" i="15"/>
  <c r="M4002" i="15" s="1"/>
  <c r="L4001" i="15"/>
  <c r="M4001" i="15" s="1"/>
  <c r="L4000" i="15"/>
  <c r="M4000" i="15" s="1"/>
  <c r="L3999" i="15"/>
  <c r="M3999" i="15" s="1"/>
  <c r="L3998" i="15"/>
  <c r="M3998" i="15" s="1"/>
  <c r="L3997" i="15"/>
  <c r="M3997" i="15" s="1"/>
  <c r="L3996" i="15"/>
  <c r="M3996" i="15" s="1"/>
  <c r="L3995" i="15"/>
  <c r="M3995" i="15" s="1"/>
  <c r="L3994" i="15"/>
  <c r="M3994" i="15" s="1"/>
  <c r="L3993" i="15"/>
  <c r="M3993" i="15" s="1"/>
  <c r="L3992" i="15"/>
  <c r="M3992" i="15" s="1"/>
  <c r="L3991" i="15"/>
  <c r="M3991" i="15" s="1"/>
  <c r="L3990" i="15"/>
  <c r="M3990" i="15" s="1"/>
  <c r="L3989" i="15"/>
  <c r="M3989" i="15" s="1"/>
  <c r="L3988" i="15"/>
  <c r="M3988" i="15" s="1"/>
  <c r="L3987" i="15"/>
  <c r="M3987" i="15" s="1"/>
  <c r="L3986" i="15"/>
  <c r="M3986" i="15" s="1"/>
  <c r="L3985" i="15"/>
  <c r="M3985" i="15" s="1"/>
  <c r="L3984" i="15"/>
  <c r="M3984" i="15" s="1"/>
  <c r="L3983" i="15"/>
  <c r="M3983" i="15" s="1"/>
  <c r="L3982" i="15"/>
  <c r="M3982" i="15" s="1"/>
  <c r="L3981" i="15"/>
  <c r="M3981" i="15" s="1"/>
  <c r="L3980" i="15"/>
  <c r="M3980" i="15" s="1"/>
  <c r="L3979" i="15"/>
  <c r="M3979" i="15" s="1"/>
  <c r="L3978" i="15"/>
  <c r="M3978" i="15" s="1"/>
  <c r="L3977" i="15"/>
  <c r="M3977" i="15" s="1"/>
  <c r="L3976" i="15"/>
  <c r="M3976" i="15" s="1"/>
  <c r="L3975" i="15"/>
  <c r="M3975" i="15" s="1"/>
  <c r="L3974" i="15"/>
  <c r="M3974" i="15" s="1"/>
  <c r="L3973" i="15"/>
  <c r="M3973" i="15" s="1"/>
  <c r="L3972" i="15"/>
  <c r="M3972" i="15" s="1"/>
  <c r="L3971" i="15"/>
  <c r="M3971" i="15" s="1"/>
  <c r="L3970" i="15"/>
  <c r="M3970" i="15" s="1"/>
  <c r="L3969" i="15"/>
  <c r="M3969" i="15" s="1"/>
  <c r="L3968" i="15"/>
  <c r="M3968" i="15" s="1"/>
  <c r="L3967" i="15"/>
  <c r="M3967" i="15" s="1"/>
  <c r="L3966" i="15"/>
  <c r="M3966" i="15" s="1"/>
  <c r="L3965" i="15"/>
  <c r="M3965" i="15" s="1"/>
  <c r="L3964" i="15"/>
  <c r="M3964" i="15" s="1"/>
  <c r="L3963" i="15"/>
  <c r="M3963" i="15" s="1"/>
  <c r="L3962" i="15"/>
  <c r="M3962" i="15" s="1"/>
  <c r="L3961" i="15"/>
  <c r="M3961" i="15" s="1"/>
  <c r="L3960" i="15"/>
  <c r="M3960" i="15" s="1"/>
  <c r="L3959" i="15"/>
  <c r="M3959" i="15" s="1"/>
  <c r="L3958" i="15"/>
  <c r="M3958" i="15" s="1"/>
  <c r="L3957" i="15"/>
  <c r="M3957" i="15" s="1"/>
  <c r="L3956" i="15"/>
  <c r="M3956" i="15" s="1"/>
  <c r="L3955" i="15"/>
  <c r="M3955" i="15" s="1"/>
  <c r="L3954" i="15"/>
  <c r="M3954" i="15" s="1"/>
  <c r="L3953" i="15"/>
  <c r="M3953" i="15" s="1"/>
  <c r="L3952" i="15"/>
  <c r="M3952" i="15" s="1"/>
  <c r="L3951" i="15"/>
  <c r="M3951" i="15" s="1"/>
  <c r="L3950" i="15"/>
  <c r="M3950" i="15" s="1"/>
  <c r="L3949" i="15"/>
  <c r="M3949" i="15" s="1"/>
  <c r="L3948" i="15"/>
  <c r="M3948" i="15" s="1"/>
  <c r="L3947" i="15"/>
  <c r="M3947" i="15" s="1"/>
  <c r="L3946" i="15"/>
  <c r="M3946" i="15" s="1"/>
  <c r="L3945" i="15"/>
  <c r="M3945" i="15" s="1"/>
  <c r="L3944" i="15"/>
  <c r="M3944" i="15" s="1"/>
  <c r="L3943" i="15"/>
  <c r="M3943" i="15" s="1"/>
  <c r="L3942" i="15"/>
  <c r="M3942" i="15" s="1"/>
  <c r="L3941" i="15"/>
  <c r="M3941" i="15" s="1"/>
  <c r="L3940" i="15"/>
  <c r="M3940" i="15" s="1"/>
  <c r="L3939" i="15"/>
  <c r="M3939" i="15" s="1"/>
  <c r="L3938" i="15"/>
  <c r="M3938" i="15" s="1"/>
  <c r="L3937" i="15"/>
  <c r="M3937" i="15" s="1"/>
  <c r="L3936" i="15"/>
  <c r="M3936" i="15" s="1"/>
  <c r="L3935" i="15"/>
  <c r="M3935" i="15" s="1"/>
  <c r="L3934" i="15"/>
  <c r="M3934" i="15" s="1"/>
  <c r="L3933" i="15"/>
  <c r="M3933" i="15" s="1"/>
  <c r="L3932" i="15"/>
  <c r="M3932" i="15" s="1"/>
  <c r="L3931" i="15"/>
  <c r="M3931" i="15" s="1"/>
  <c r="L3930" i="15"/>
  <c r="M3930" i="15" s="1"/>
  <c r="L3929" i="15"/>
  <c r="M3929" i="15" s="1"/>
  <c r="L3928" i="15"/>
  <c r="M3928" i="15" s="1"/>
  <c r="L3927" i="15"/>
  <c r="M3927" i="15" s="1"/>
  <c r="L3926" i="15"/>
  <c r="M3926" i="15" s="1"/>
  <c r="L3925" i="15"/>
  <c r="M3925" i="15" s="1"/>
  <c r="L3924" i="15"/>
  <c r="M3924" i="15" s="1"/>
  <c r="L3923" i="15"/>
  <c r="M3923" i="15" s="1"/>
  <c r="L3922" i="15"/>
  <c r="M3922" i="15" s="1"/>
  <c r="L3921" i="15"/>
  <c r="M3921" i="15" s="1"/>
  <c r="L3920" i="15"/>
  <c r="M3920" i="15" s="1"/>
  <c r="L3919" i="15"/>
  <c r="M3919" i="15" s="1"/>
  <c r="L3918" i="15"/>
  <c r="M3918" i="15" s="1"/>
  <c r="L3917" i="15"/>
  <c r="M3917" i="15" s="1"/>
  <c r="L3916" i="15"/>
  <c r="M3916" i="15" s="1"/>
  <c r="L3915" i="15"/>
  <c r="M3915" i="15" s="1"/>
  <c r="L3914" i="15"/>
  <c r="M3914" i="15" s="1"/>
  <c r="L3913" i="15"/>
  <c r="M3913" i="15" s="1"/>
  <c r="L3912" i="15"/>
  <c r="M3912" i="15" s="1"/>
  <c r="L3911" i="15"/>
  <c r="M3911" i="15" s="1"/>
  <c r="L3910" i="15"/>
  <c r="M3910" i="15" s="1"/>
  <c r="L3909" i="15"/>
  <c r="M3909" i="15" s="1"/>
  <c r="L3908" i="15"/>
  <c r="M3908" i="15" s="1"/>
  <c r="L3907" i="15"/>
  <c r="M3907" i="15" s="1"/>
  <c r="L3906" i="15"/>
  <c r="M3906" i="15" s="1"/>
  <c r="L3905" i="15"/>
  <c r="M3905" i="15" s="1"/>
  <c r="L3904" i="15"/>
  <c r="M3904" i="15" s="1"/>
  <c r="L3903" i="15"/>
  <c r="M3903" i="15" s="1"/>
  <c r="L3902" i="15"/>
  <c r="M3902" i="15" s="1"/>
  <c r="L3901" i="15"/>
  <c r="M3901" i="15" s="1"/>
  <c r="L3900" i="15"/>
  <c r="M3900" i="15" s="1"/>
  <c r="L3899" i="15"/>
  <c r="M3899" i="15" s="1"/>
  <c r="L3898" i="15"/>
  <c r="M3898" i="15" s="1"/>
  <c r="L3897" i="15"/>
  <c r="M3897" i="15" s="1"/>
  <c r="L3896" i="15"/>
  <c r="M3896" i="15" s="1"/>
  <c r="L3895" i="15"/>
  <c r="M3895" i="15" s="1"/>
  <c r="L3894" i="15"/>
  <c r="M3894" i="15" s="1"/>
  <c r="L3893" i="15"/>
  <c r="M3893" i="15" s="1"/>
  <c r="L3892" i="15"/>
  <c r="M3892" i="15" s="1"/>
  <c r="L3891" i="15"/>
  <c r="M3891" i="15" s="1"/>
  <c r="L3890" i="15"/>
  <c r="M3890" i="15" s="1"/>
  <c r="L3889" i="15"/>
  <c r="M3889" i="15" s="1"/>
  <c r="L3888" i="15"/>
  <c r="M3888" i="15" s="1"/>
  <c r="L3887" i="15"/>
  <c r="M3887" i="15" s="1"/>
  <c r="L3886" i="15"/>
  <c r="M3886" i="15" s="1"/>
  <c r="L3885" i="15"/>
  <c r="M3885" i="15" s="1"/>
  <c r="L3884" i="15"/>
  <c r="M3884" i="15" s="1"/>
  <c r="L3883" i="15"/>
  <c r="M3883" i="15" s="1"/>
  <c r="L3882" i="15"/>
  <c r="M3882" i="15" s="1"/>
  <c r="L3881" i="15"/>
  <c r="M3881" i="15" s="1"/>
  <c r="L3880" i="15"/>
  <c r="M3880" i="15" s="1"/>
  <c r="L3879" i="15"/>
  <c r="M3879" i="15" s="1"/>
  <c r="L3878" i="15"/>
  <c r="M3878" i="15" s="1"/>
  <c r="L3877" i="15"/>
  <c r="M3877" i="15" s="1"/>
  <c r="L3876" i="15"/>
  <c r="M3876" i="15" s="1"/>
  <c r="L3875" i="15"/>
  <c r="M3875" i="15" s="1"/>
  <c r="L3874" i="15"/>
  <c r="M3874" i="15" s="1"/>
  <c r="L3873" i="15"/>
  <c r="M3873" i="15" s="1"/>
  <c r="L3872" i="15"/>
  <c r="M3872" i="15" s="1"/>
  <c r="L3871" i="15"/>
  <c r="M3871" i="15" s="1"/>
  <c r="L3870" i="15"/>
  <c r="M3870" i="15" s="1"/>
  <c r="L3869" i="15"/>
  <c r="M3869" i="15" s="1"/>
  <c r="L3868" i="15"/>
  <c r="M3868" i="15" s="1"/>
  <c r="L3867" i="15"/>
  <c r="M3867" i="15" s="1"/>
  <c r="L3866" i="15"/>
  <c r="M3866" i="15" s="1"/>
  <c r="L3865" i="15"/>
  <c r="M3865" i="15" s="1"/>
  <c r="L3864" i="15"/>
  <c r="M3864" i="15" s="1"/>
  <c r="L3863" i="15"/>
  <c r="M3863" i="15" s="1"/>
  <c r="L3862" i="15"/>
  <c r="M3862" i="15" s="1"/>
  <c r="L3861" i="15"/>
  <c r="M3861" i="15" s="1"/>
  <c r="L3860" i="15"/>
  <c r="M3860" i="15" s="1"/>
  <c r="L3859" i="15"/>
  <c r="M3859" i="15" s="1"/>
  <c r="L3858" i="15"/>
  <c r="M3858" i="15" s="1"/>
  <c r="L3857" i="15"/>
  <c r="M3857" i="15" s="1"/>
  <c r="L3856" i="15"/>
  <c r="M3856" i="15" s="1"/>
  <c r="L3855" i="15"/>
  <c r="M3855" i="15" s="1"/>
  <c r="L3854" i="15"/>
  <c r="M3854" i="15" s="1"/>
  <c r="L3853" i="15"/>
  <c r="M3853" i="15" s="1"/>
  <c r="L3852" i="15"/>
  <c r="M3852" i="15" s="1"/>
  <c r="L3851" i="15"/>
  <c r="M3851" i="15" s="1"/>
  <c r="L3850" i="15"/>
  <c r="M3850" i="15" s="1"/>
  <c r="L3849" i="15"/>
  <c r="M3849" i="15" s="1"/>
  <c r="L3848" i="15"/>
  <c r="M3848" i="15" s="1"/>
  <c r="L3847" i="15"/>
  <c r="M3847" i="15" s="1"/>
  <c r="L3846" i="15"/>
  <c r="M3846" i="15" s="1"/>
  <c r="L3845" i="15"/>
  <c r="M3845" i="15" s="1"/>
  <c r="L3844" i="15"/>
  <c r="M3844" i="15" s="1"/>
  <c r="L3843" i="15"/>
  <c r="M3843" i="15" s="1"/>
  <c r="L3842" i="15"/>
  <c r="M3842" i="15" s="1"/>
  <c r="L3841" i="15"/>
  <c r="M3841" i="15" s="1"/>
  <c r="L3840" i="15"/>
  <c r="M3840" i="15" s="1"/>
  <c r="L3839" i="15"/>
  <c r="M3839" i="15" s="1"/>
  <c r="L3838" i="15"/>
  <c r="M3838" i="15" s="1"/>
  <c r="L3837" i="15"/>
  <c r="M3837" i="15" s="1"/>
  <c r="L3836" i="15"/>
  <c r="M3836" i="15" s="1"/>
  <c r="L3835" i="15"/>
  <c r="M3835" i="15" s="1"/>
  <c r="L3834" i="15"/>
  <c r="M3834" i="15" s="1"/>
  <c r="L3833" i="15"/>
  <c r="M3833" i="15" s="1"/>
  <c r="L3832" i="15"/>
  <c r="M3832" i="15" s="1"/>
  <c r="L3831" i="15"/>
  <c r="M3831" i="15" s="1"/>
  <c r="L3830" i="15"/>
  <c r="M3830" i="15" s="1"/>
  <c r="L3829" i="15"/>
  <c r="M3829" i="15" s="1"/>
  <c r="L3828" i="15"/>
  <c r="M3828" i="15" s="1"/>
  <c r="L3827" i="15"/>
  <c r="M3827" i="15" s="1"/>
  <c r="L3826" i="15"/>
  <c r="M3826" i="15" s="1"/>
  <c r="L3825" i="15"/>
  <c r="M3825" i="15" s="1"/>
  <c r="L3824" i="15"/>
  <c r="M3824" i="15" s="1"/>
  <c r="L3823" i="15"/>
  <c r="M3823" i="15" s="1"/>
  <c r="L3822" i="15"/>
  <c r="M3822" i="15" s="1"/>
  <c r="L3821" i="15"/>
  <c r="M3821" i="15" s="1"/>
  <c r="L3820" i="15"/>
  <c r="M3820" i="15" s="1"/>
  <c r="L3819" i="15"/>
  <c r="M3819" i="15" s="1"/>
  <c r="L3818" i="15"/>
  <c r="M3818" i="15" s="1"/>
  <c r="L3817" i="15"/>
  <c r="M3817" i="15" s="1"/>
  <c r="L3816" i="15"/>
  <c r="M3816" i="15" s="1"/>
  <c r="L3815" i="15"/>
  <c r="M3815" i="15" s="1"/>
  <c r="L3814" i="15"/>
  <c r="M3814" i="15" s="1"/>
  <c r="L3813" i="15"/>
  <c r="M3813" i="15" s="1"/>
  <c r="L3812" i="15"/>
  <c r="M3812" i="15" s="1"/>
  <c r="L3811" i="15"/>
  <c r="M3811" i="15" s="1"/>
  <c r="L3810" i="15"/>
  <c r="M3810" i="15" s="1"/>
  <c r="L3809" i="15"/>
  <c r="M3809" i="15" s="1"/>
  <c r="L3808" i="15"/>
  <c r="M3808" i="15" s="1"/>
  <c r="L3807" i="15"/>
  <c r="M3807" i="15" s="1"/>
  <c r="L3806" i="15"/>
  <c r="M3806" i="15" s="1"/>
  <c r="L3805" i="15"/>
  <c r="M3805" i="15" s="1"/>
  <c r="L3804" i="15"/>
  <c r="M3804" i="15" s="1"/>
  <c r="L3803" i="15"/>
  <c r="M3803" i="15" s="1"/>
  <c r="L3802" i="15"/>
  <c r="M3802" i="15" s="1"/>
  <c r="L3801" i="15"/>
  <c r="M3801" i="15" s="1"/>
  <c r="L3800" i="15"/>
  <c r="M3800" i="15" s="1"/>
  <c r="L3799" i="15"/>
  <c r="M3799" i="15" s="1"/>
  <c r="L3798" i="15"/>
  <c r="M3798" i="15" s="1"/>
  <c r="L3797" i="15"/>
  <c r="M3797" i="15" s="1"/>
  <c r="L3796" i="15"/>
  <c r="M3796" i="15" s="1"/>
  <c r="L3795" i="15"/>
  <c r="M3795" i="15" s="1"/>
  <c r="L3794" i="15"/>
  <c r="M3794" i="15" s="1"/>
  <c r="L3793" i="15"/>
  <c r="M3793" i="15" s="1"/>
  <c r="L3792" i="15"/>
  <c r="M3792" i="15" s="1"/>
  <c r="L3791" i="15"/>
  <c r="M3791" i="15" s="1"/>
  <c r="L3790" i="15"/>
  <c r="M3790" i="15" s="1"/>
  <c r="L3789" i="15"/>
  <c r="M3789" i="15" s="1"/>
  <c r="L3788" i="15"/>
  <c r="M3788" i="15" s="1"/>
  <c r="L3787" i="15"/>
  <c r="M3787" i="15" s="1"/>
  <c r="L3786" i="15"/>
  <c r="M3786" i="15" s="1"/>
  <c r="L3785" i="15"/>
  <c r="M3785" i="15" s="1"/>
  <c r="L3784" i="15"/>
  <c r="M3784" i="15" s="1"/>
  <c r="L3783" i="15"/>
  <c r="M3783" i="15" s="1"/>
  <c r="L3782" i="15"/>
  <c r="M3782" i="15" s="1"/>
  <c r="L3781" i="15"/>
  <c r="M3781" i="15" s="1"/>
  <c r="L3780" i="15"/>
  <c r="M3780" i="15" s="1"/>
  <c r="L3779" i="15"/>
  <c r="M3779" i="15" s="1"/>
  <c r="L3778" i="15"/>
  <c r="M3778" i="15" s="1"/>
  <c r="L3777" i="15"/>
  <c r="M3777" i="15" s="1"/>
  <c r="L3776" i="15"/>
  <c r="M3776" i="15" s="1"/>
  <c r="L3775" i="15"/>
  <c r="M3775" i="15" s="1"/>
  <c r="L3774" i="15"/>
  <c r="M3774" i="15" s="1"/>
  <c r="L3773" i="15"/>
  <c r="M3773" i="15" s="1"/>
  <c r="L3772" i="15"/>
  <c r="M3772" i="15" s="1"/>
  <c r="L3771" i="15"/>
  <c r="M3771" i="15" s="1"/>
  <c r="L3770" i="15"/>
  <c r="M3770" i="15" s="1"/>
  <c r="L3769" i="15"/>
  <c r="M3769" i="15" s="1"/>
  <c r="L3768" i="15"/>
  <c r="M3768" i="15" s="1"/>
  <c r="L3767" i="15"/>
  <c r="M3767" i="15" s="1"/>
  <c r="L3766" i="15"/>
  <c r="M3766" i="15" s="1"/>
  <c r="L3765" i="15"/>
  <c r="M3765" i="15" s="1"/>
  <c r="L3764" i="15"/>
  <c r="M3764" i="15" s="1"/>
  <c r="L3763" i="15"/>
  <c r="M3763" i="15" s="1"/>
  <c r="L3762" i="15"/>
  <c r="M3762" i="15" s="1"/>
  <c r="L3761" i="15"/>
  <c r="M3761" i="15" s="1"/>
  <c r="L3760" i="15"/>
  <c r="M3760" i="15" s="1"/>
  <c r="L3759" i="15"/>
  <c r="M3759" i="15" s="1"/>
  <c r="L3758" i="15"/>
  <c r="M3758" i="15" s="1"/>
  <c r="L3757" i="15"/>
  <c r="M3757" i="15" s="1"/>
  <c r="L3756" i="15"/>
  <c r="M3756" i="15" s="1"/>
  <c r="L3755" i="15"/>
  <c r="M3755" i="15" s="1"/>
  <c r="L3754" i="15"/>
  <c r="M3754" i="15" s="1"/>
  <c r="L3753" i="15"/>
  <c r="M3753" i="15" s="1"/>
  <c r="L3752" i="15"/>
  <c r="M3752" i="15" s="1"/>
  <c r="L3751" i="15"/>
  <c r="M3751" i="15" s="1"/>
  <c r="L3750" i="15"/>
  <c r="M3750" i="15" s="1"/>
  <c r="L3749" i="15"/>
  <c r="M3749" i="15" s="1"/>
  <c r="L3748" i="15"/>
  <c r="M3748" i="15" s="1"/>
  <c r="L3747" i="15"/>
  <c r="M3747" i="15" s="1"/>
  <c r="L3746" i="15"/>
  <c r="M3746" i="15" s="1"/>
  <c r="L3745" i="15"/>
  <c r="M3745" i="15" s="1"/>
  <c r="L3744" i="15"/>
  <c r="M3744" i="15" s="1"/>
  <c r="L3743" i="15"/>
  <c r="M3743" i="15" s="1"/>
  <c r="L3742" i="15"/>
  <c r="M3742" i="15" s="1"/>
  <c r="L3741" i="15"/>
  <c r="M3741" i="15" s="1"/>
  <c r="L3740" i="15"/>
  <c r="M3740" i="15" s="1"/>
  <c r="L3739" i="15"/>
  <c r="M3739" i="15" s="1"/>
  <c r="L3738" i="15"/>
  <c r="M3738" i="15" s="1"/>
  <c r="L3737" i="15"/>
  <c r="M3737" i="15" s="1"/>
  <c r="L3736" i="15"/>
  <c r="M3736" i="15" s="1"/>
  <c r="L3735" i="15"/>
  <c r="M3735" i="15" s="1"/>
  <c r="L3734" i="15"/>
  <c r="M3734" i="15" s="1"/>
  <c r="L3733" i="15"/>
  <c r="M3733" i="15" s="1"/>
  <c r="L3732" i="15"/>
  <c r="M3732" i="15" s="1"/>
  <c r="L3731" i="15"/>
  <c r="M3731" i="15" s="1"/>
  <c r="L3730" i="15"/>
  <c r="M3730" i="15" s="1"/>
  <c r="L3729" i="15"/>
  <c r="M3729" i="15" s="1"/>
  <c r="L3728" i="15"/>
  <c r="M3728" i="15" s="1"/>
  <c r="L3727" i="15"/>
  <c r="M3727" i="15" s="1"/>
  <c r="L3726" i="15"/>
  <c r="M3726" i="15" s="1"/>
  <c r="L3725" i="15"/>
  <c r="M3725" i="15" s="1"/>
  <c r="L3724" i="15"/>
  <c r="M3724" i="15" s="1"/>
  <c r="L3723" i="15"/>
  <c r="M3723" i="15" s="1"/>
  <c r="L3722" i="15"/>
  <c r="M3722" i="15" s="1"/>
  <c r="L3721" i="15"/>
  <c r="M3721" i="15" s="1"/>
  <c r="L3720" i="15"/>
  <c r="M3720" i="15" s="1"/>
  <c r="L3719" i="15"/>
  <c r="M3719" i="15" s="1"/>
  <c r="L3718" i="15"/>
  <c r="M3718" i="15" s="1"/>
  <c r="L3717" i="15"/>
  <c r="M3717" i="15" s="1"/>
  <c r="L3716" i="15"/>
  <c r="M3716" i="15" s="1"/>
  <c r="L3715" i="15"/>
  <c r="M3715" i="15" s="1"/>
  <c r="L3714" i="15"/>
  <c r="M3714" i="15" s="1"/>
  <c r="L3713" i="15"/>
  <c r="M3713" i="15" s="1"/>
  <c r="L3712" i="15"/>
  <c r="M3712" i="15" s="1"/>
  <c r="L3711" i="15"/>
  <c r="M3711" i="15" s="1"/>
  <c r="L3710" i="15"/>
  <c r="M3710" i="15" s="1"/>
  <c r="L3709" i="15"/>
  <c r="M3709" i="15" s="1"/>
  <c r="L3708" i="15"/>
  <c r="M3708" i="15" s="1"/>
  <c r="L3707" i="15"/>
  <c r="M3707" i="15" s="1"/>
  <c r="L3706" i="15"/>
  <c r="M3706" i="15" s="1"/>
  <c r="L3705" i="15"/>
  <c r="M3705" i="15" s="1"/>
  <c r="L3704" i="15"/>
  <c r="M3704" i="15" s="1"/>
  <c r="L3703" i="15"/>
  <c r="M3703" i="15" s="1"/>
  <c r="L3702" i="15"/>
  <c r="M3702" i="15" s="1"/>
  <c r="L3701" i="15"/>
  <c r="M3701" i="15" s="1"/>
  <c r="L3700" i="15"/>
  <c r="M3700" i="15" s="1"/>
  <c r="L3699" i="15"/>
  <c r="M3699" i="15" s="1"/>
  <c r="L3698" i="15"/>
  <c r="M3698" i="15" s="1"/>
  <c r="L3697" i="15"/>
  <c r="M3697" i="15" s="1"/>
  <c r="L3696" i="15"/>
  <c r="M3696" i="15" s="1"/>
  <c r="L3695" i="15"/>
  <c r="M3695" i="15" s="1"/>
  <c r="L3694" i="15"/>
  <c r="M3694" i="15" s="1"/>
  <c r="L3693" i="15"/>
  <c r="M3693" i="15" s="1"/>
  <c r="L3692" i="15"/>
  <c r="M3692" i="15" s="1"/>
  <c r="L3691" i="15"/>
  <c r="M3691" i="15" s="1"/>
  <c r="L3690" i="15"/>
  <c r="M3690" i="15" s="1"/>
  <c r="L3689" i="15"/>
  <c r="M3689" i="15" s="1"/>
  <c r="L3688" i="15"/>
  <c r="M3688" i="15" s="1"/>
  <c r="L3687" i="15"/>
  <c r="M3687" i="15" s="1"/>
  <c r="L3686" i="15"/>
  <c r="M3686" i="15" s="1"/>
  <c r="L3685" i="15"/>
  <c r="M3685" i="15" s="1"/>
  <c r="L3684" i="15"/>
  <c r="M3684" i="15" s="1"/>
  <c r="L3683" i="15"/>
  <c r="M3683" i="15" s="1"/>
  <c r="L3682" i="15"/>
  <c r="M3682" i="15" s="1"/>
  <c r="L3681" i="15"/>
  <c r="M3681" i="15" s="1"/>
  <c r="L3680" i="15"/>
  <c r="M3680" i="15" s="1"/>
  <c r="L3679" i="15"/>
  <c r="M3679" i="15" s="1"/>
  <c r="L3678" i="15"/>
  <c r="M3678" i="15" s="1"/>
  <c r="L3677" i="15"/>
  <c r="M3677" i="15" s="1"/>
  <c r="L3676" i="15"/>
  <c r="M3676" i="15" s="1"/>
  <c r="L3675" i="15"/>
  <c r="M3675" i="15" s="1"/>
  <c r="L3674" i="15"/>
  <c r="M3674" i="15" s="1"/>
  <c r="L3673" i="15"/>
  <c r="M3673" i="15" s="1"/>
  <c r="L3672" i="15"/>
  <c r="M3672" i="15" s="1"/>
  <c r="L3671" i="15"/>
  <c r="M3671" i="15" s="1"/>
  <c r="L3670" i="15"/>
  <c r="M3670" i="15" s="1"/>
  <c r="L3669" i="15"/>
  <c r="M3669" i="15" s="1"/>
  <c r="L3668" i="15"/>
  <c r="M3668" i="15" s="1"/>
  <c r="L3667" i="15"/>
  <c r="M3667" i="15" s="1"/>
  <c r="L3666" i="15"/>
  <c r="M3666" i="15" s="1"/>
  <c r="L3665" i="15"/>
  <c r="M3665" i="15" s="1"/>
  <c r="L3664" i="15"/>
  <c r="M3664" i="15" s="1"/>
  <c r="L3663" i="15"/>
  <c r="M3663" i="15" s="1"/>
  <c r="L3662" i="15"/>
  <c r="M3662" i="15" s="1"/>
  <c r="L3661" i="15"/>
  <c r="M3661" i="15" s="1"/>
  <c r="L3660" i="15"/>
  <c r="M3660" i="15" s="1"/>
  <c r="L3659" i="15"/>
  <c r="M3659" i="15" s="1"/>
  <c r="L3658" i="15"/>
  <c r="M3658" i="15" s="1"/>
  <c r="L3657" i="15"/>
  <c r="M3657" i="15" s="1"/>
  <c r="L3656" i="15"/>
  <c r="M3656" i="15" s="1"/>
  <c r="L3655" i="15"/>
  <c r="M3655" i="15" s="1"/>
  <c r="L3654" i="15"/>
  <c r="M3654" i="15" s="1"/>
  <c r="L3653" i="15"/>
  <c r="M3653" i="15" s="1"/>
  <c r="L3652" i="15"/>
  <c r="M3652" i="15" s="1"/>
  <c r="L3651" i="15"/>
  <c r="M3651" i="15" s="1"/>
  <c r="L3650" i="15"/>
  <c r="M3650" i="15" s="1"/>
  <c r="L3649" i="15"/>
  <c r="M3649" i="15" s="1"/>
  <c r="L3648" i="15"/>
  <c r="M3648" i="15" s="1"/>
  <c r="L3647" i="15"/>
  <c r="M3647" i="15" s="1"/>
  <c r="L3646" i="15"/>
  <c r="M3646" i="15" s="1"/>
  <c r="L3645" i="15"/>
  <c r="M3645" i="15" s="1"/>
  <c r="L3644" i="15"/>
  <c r="M3644" i="15" s="1"/>
  <c r="L3643" i="15"/>
  <c r="M3643" i="15" s="1"/>
  <c r="L3642" i="15"/>
  <c r="M3642" i="15" s="1"/>
  <c r="L3641" i="15"/>
  <c r="M3641" i="15" s="1"/>
  <c r="L3640" i="15"/>
  <c r="M3640" i="15" s="1"/>
  <c r="L3639" i="15"/>
  <c r="M3639" i="15" s="1"/>
  <c r="L3638" i="15"/>
  <c r="M3638" i="15" s="1"/>
  <c r="L3637" i="15"/>
  <c r="M3637" i="15" s="1"/>
  <c r="L3636" i="15"/>
  <c r="M3636" i="15" s="1"/>
  <c r="L3635" i="15"/>
  <c r="M3635" i="15" s="1"/>
  <c r="L3634" i="15"/>
  <c r="M3634" i="15" s="1"/>
  <c r="L3633" i="15"/>
  <c r="M3633" i="15" s="1"/>
  <c r="L3632" i="15"/>
  <c r="M3632" i="15" s="1"/>
  <c r="L3631" i="15"/>
  <c r="M3631" i="15" s="1"/>
  <c r="L3630" i="15"/>
  <c r="M3630" i="15" s="1"/>
  <c r="L3629" i="15"/>
  <c r="M3629" i="15" s="1"/>
  <c r="L3628" i="15"/>
  <c r="M3628" i="15" s="1"/>
  <c r="L3627" i="15"/>
  <c r="M3627" i="15" s="1"/>
  <c r="L3626" i="15"/>
  <c r="M3626" i="15" s="1"/>
  <c r="L3625" i="15"/>
  <c r="M3625" i="15" s="1"/>
  <c r="L3624" i="15"/>
  <c r="M3624" i="15" s="1"/>
  <c r="L3623" i="15"/>
  <c r="M3623" i="15" s="1"/>
  <c r="L3622" i="15"/>
  <c r="M3622" i="15" s="1"/>
  <c r="L3621" i="15"/>
  <c r="M3621" i="15" s="1"/>
  <c r="L3620" i="15"/>
  <c r="M3620" i="15" s="1"/>
  <c r="L3619" i="15"/>
  <c r="M3619" i="15" s="1"/>
  <c r="L3618" i="15"/>
  <c r="M3618" i="15" s="1"/>
  <c r="L3617" i="15"/>
  <c r="M3617" i="15" s="1"/>
  <c r="L3616" i="15"/>
  <c r="M3616" i="15" s="1"/>
  <c r="L3615" i="15"/>
  <c r="M3615" i="15" s="1"/>
  <c r="L3614" i="15"/>
  <c r="M3614" i="15" s="1"/>
  <c r="L3613" i="15"/>
  <c r="M3613" i="15" s="1"/>
  <c r="L3612" i="15"/>
  <c r="M3612" i="15" s="1"/>
  <c r="L3611" i="15"/>
  <c r="M3611" i="15" s="1"/>
  <c r="L3610" i="15"/>
  <c r="M3610" i="15" s="1"/>
  <c r="L3609" i="15"/>
  <c r="M3609" i="15" s="1"/>
  <c r="L3608" i="15"/>
  <c r="M3608" i="15" s="1"/>
  <c r="L3607" i="15"/>
  <c r="M3607" i="15" s="1"/>
  <c r="L3606" i="15"/>
  <c r="M3606" i="15" s="1"/>
  <c r="L3605" i="15"/>
  <c r="M3605" i="15" s="1"/>
  <c r="L3604" i="15"/>
  <c r="M3604" i="15" s="1"/>
  <c r="L3603" i="15"/>
  <c r="M3603" i="15" s="1"/>
  <c r="L3602" i="15"/>
  <c r="M3602" i="15" s="1"/>
  <c r="L3601" i="15"/>
  <c r="M3601" i="15" s="1"/>
  <c r="L3600" i="15"/>
  <c r="M3600" i="15" s="1"/>
  <c r="L3599" i="15"/>
  <c r="M3599" i="15" s="1"/>
  <c r="L3598" i="15"/>
  <c r="M3598" i="15" s="1"/>
  <c r="L3597" i="15"/>
  <c r="M3597" i="15" s="1"/>
  <c r="L3596" i="15"/>
  <c r="M3596" i="15" s="1"/>
  <c r="L3595" i="15"/>
  <c r="M3595" i="15" s="1"/>
  <c r="L3594" i="15"/>
  <c r="M3594" i="15" s="1"/>
  <c r="L3593" i="15"/>
  <c r="M3593" i="15" s="1"/>
  <c r="L3592" i="15"/>
  <c r="M3592" i="15" s="1"/>
  <c r="L3591" i="15"/>
  <c r="M3591" i="15" s="1"/>
  <c r="L3590" i="15"/>
  <c r="M3590" i="15" s="1"/>
  <c r="L3589" i="15"/>
  <c r="M3589" i="15" s="1"/>
  <c r="L3588" i="15"/>
  <c r="M3588" i="15" s="1"/>
  <c r="L3587" i="15"/>
  <c r="M3587" i="15" s="1"/>
  <c r="L3586" i="15"/>
  <c r="M3586" i="15" s="1"/>
  <c r="L3585" i="15"/>
  <c r="M3585" i="15" s="1"/>
  <c r="L3584" i="15"/>
  <c r="M3584" i="15" s="1"/>
  <c r="L3583" i="15"/>
  <c r="M3583" i="15" s="1"/>
  <c r="L3582" i="15"/>
  <c r="M3582" i="15" s="1"/>
  <c r="L3581" i="15"/>
  <c r="M3581" i="15" s="1"/>
  <c r="L3580" i="15"/>
  <c r="M3580" i="15" s="1"/>
  <c r="L3579" i="15"/>
  <c r="M3579" i="15" s="1"/>
  <c r="L3578" i="15"/>
  <c r="M3578" i="15" s="1"/>
  <c r="L3577" i="15"/>
  <c r="M3577" i="15" s="1"/>
  <c r="L3576" i="15"/>
  <c r="M3576" i="15" s="1"/>
  <c r="L3575" i="15"/>
  <c r="M3575" i="15" s="1"/>
  <c r="L3574" i="15"/>
  <c r="M3574" i="15" s="1"/>
  <c r="L3573" i="15"/>
  <c r="M3573" i="15" s="1"/>
  <c r="L3572" i="15"/>
  <c r="M3572" i="15" s="1"/>
  <c r="L3571" i="15"/>
  <c r="M3571" i="15" s="1"/>
  <c r="L3570" i="15"/>
  <c r="M3570" i="15" s="1"/>
  <c r="L3569" i="15"/>
  <c r="M3569" i="15" s="1"/>
  <c r="L3568" i="15"/>
  <c r="M3568" i="15" s="1"/>
  <c r="L3567" i="15"/>
  <c r="M3567" i="15" s="1"/>
  <c r="L3566" i="15"/>
  <c r="M3566" i="15" s="1"/>
  <c r="L3565" i="15"/>
  <c r="M3565" i="15" s="1"/>
  <c r="L3564" i="15"/>
  <c r="M3564" i="15" s="1"/>
  <c r="L3563" i="15"/>
  <c r="M3563" i="15" s="1"/>
  <c r="L3562" i="15"/>
  <c r="M3562" i="15" s="1"/>
  <c r="L3561" i="15"/>
  <c r="M3561" i="15" s="1"/>
  <c r="L3560" i="15"/>
  <c r="M3560" i="15" s="1"/>
  <c r="L3559" i="15"/>
  <c r="M3559" i="15" s="1"/>
  <c r="L3558" i="15"/>
  <c r="M3558" i="15" s="1"/>
  <c r="L3557" i="15"/>
  <c r="M3557" i="15" s="1"/>
  <c r="L3556" i="15"/>
  <c r="M3556" i="15" s="1"/>
  <c r="L3555" i="15"/>
  <c r="M3555" i="15" s="1"/>
  <c r="L3554" i="15"/>
  <c r="M3554" i="15" s="1"/>
  <c r="L3553" i="15"/>
  <c r="M3553" i="15" s="1"/>
  <c r="L3552" i="15"/>
  <c r="M3552" i="15" s="1"/>
  <c r="L3551" i="15"/>
  <c r="M3551" i="15" s="1"/>
  <c r="L3550" i="15"/>
  <c r="M3550" i="15" s="1"/>
  <c r="L3549" i="15"/>
  <c r="M3549" i="15" s="1"/>
  <c r="L3548" i="15"/>
  <c r="M3548" i="15" s="1"/>
  <c r="L3547" i="15"/>
  <c r="M3547" i="15" s="1"/>
  <c r="L3546" i="15"/>
  <c r="M3546" i="15" s="1"/>
  <c r="L3545" i="15"/>
  <c r="M3545" i="15" s="1"/>
  <c r="L3544" i="15"/>
  <c r="M3544" i="15" s="1"/>
  <c r="L3543" i="15"/>
  <c r="M3543" i="15" s="1"/>
  <c r="L3542" i="15"/>
  <c r="M3542" i="15" s="1"/>
  <c r="L3541" i="15"/>
  <c r="M3541" i="15" s="1"/>
  <c r="L3540" i="15"/>
  <c r="M3540" i="15" s="1"/>
  <c r="L3539" i="15"/>
  <c r="M3539" i="15" s="1"/>
  <c r="L3538" i="15"/>
  <c r="M3538" i="15" s="1"/>
  <c r="L3537" i="15"/>
  <c r="M3537" i="15" s="1"/>
  <c r="L3536" i="15"/>
  <c r="M3536" i="15" s="1"/>
  <c r="L3535" i="15"/>
  <c r="M3535" i="15" s="1"/>
  <c r="L3534" i="15"/>
  <c r="M3534" i="15" s="1"/>
  <c r="L3533" i="15"/>
  <c r="M3533" i="15" s="1"/>
  <c r="L3532" i="15"/>
  <c r="M3532" i="15" s="1"/>
  <c r="L3531" i="15"/>
  <c r="M3531" i="15" s="1"/>
  <c r="L3530" i="15"/>
  <c r="M3530" i="15" s="1"/>
  <c r="L3529" i="15"/>
  <c r="M3529" i="15" s="1"/>
  <c r="L3528" i="15"/>
  <c r="M3528" i="15" s="1"/>
  <c r="L3527" i="15"/>
  <c r="M3527" i="15" s="1"/>
  <c r="L3526" i="15"/>
  <c r="M3526" i="15" s="1"/>
  <c r="L3525" i="15"/>
  <c r="M3525" i="15" s="1"/>
  <c r="L3524" i="15"/>
  <c r="M3524" i="15" s="1"/>
  <c r="L3523" i="15"/>
  <c r="M3523" i="15" s="1"/>
  <c r="L3522" i="15"/>
  <c r="M3522" i="15" s="1"/>
  <c r="L3521" i="15"/>
  <c r="M3521" i="15" s="1"/>
  <c r="L3520" i="15"/>
  <c r="M3520" i="15" s="1"/>
  <c r="L3519" i="15"/>
  <c r="M3519" i="15" s="1"/>
  <c r="L3518" i="15"/>
  <c r="M3518" i="15" s="1"/>
  <c r="L3517" i="15"/>
  <c r="M3517" i="15" s="1"/>
  <c r="L3516" i="15"/>
  <c r="M3516" i="15" s="1"/>
  <c r="L3515" i="15"/>
  <c r="M3515" i="15" s="1"/>
  <c r="L3514" i="15"/>
  <c r="M3514" i="15" s="1"/>
  <c r="L3513" i="15"/>
  <c r="M3513" i="15" s="1"/>
  <c r="L3512" i="15"/>
  <c r="M3512" i="15" s="1"/>
  <c r="L3511" i="15"/>
  <c r="M3511" i="15" s="1"/>
  <c r="L3510" i="15"/>
  <c r="M3510" i="15" s="1"/>
  <c r="L3509" i="15"/>
  <c r="M3509" i="15" s="1"/>
  <c r="L3508" i="15"/>
  <c r="M3508" i="15" s="1"/>
  <c r="L3507" i="15"/>
  <c r="M3507" i="15" s="1"/>
  <c r="L3506" i="15"/>
  <c r="M3506" i="15" s="1"/>
  <c r="L3505" i="15"/>
  <c r="M3505" i="15" s="1"/>
  <c r="L3504" i="15"/>
  <c r="M3504" i="15" s="1"/>
  <c r="L3503" i="15"/>
  <c r="M3503" i="15" s="1"/>
  <c r="L3502" i="15"/>
  <c r="M3502" i="15" s="1"/>
  <c r="L3501" i="15"/>
  <c r="M3501" i="15" s="1"/>
  <c r="L3500" i="15"/>
  <c r="M3500" i="15" s="1"/>
  <c r="L3499" i="15"/>
  <c r="M3499" i="15" s="1"/>
  <c r="L3498" i="15"/>
  <c r="M3498" i="15" s="1"/>
  <c r="L3497" i="15"/>
  <c r="M3497" i="15" s="1"/>
  <c r="L3496" i="15"/>
  <c r="M3496" i="15" s="1"/>
  <c r="L3495" i="15"/>
  <c r="M3495" i="15" s="1"/>
  <c r="L3494" i="15"/>
  <c r="M3494" i="15" s="1"/>
  <c r="L3493" i="15"/>
  <c r="M3493" i="15" s="1"/>
  <c r="L3492" i="15"/>
  <c r="M3492" i="15" s="1"/>
  <c r="L3491" i="15"/>
  <c r="M3491" i="15" s="1"/>
  <c r="L3490" i="15"/>
  <c r="M3490" i="15" s="1"/>
  <c r="L3489" i="15"/>
  <c r="M3489" i="15" s="1"/>
  <c r="L3488" i="15"/>
  <c r="M3488" i="15" s="1"/>
  <c r="L3487" i="15"/>
  <c r="M3487" i="15" s="1"/>
  <c r="L3486" i="15"/>
  <c r="M3486" i="15" s="1"/>
  <c r="L3485" i="15"/>
  <c r="M3485" i="15" s="1"/>
  <c r="L3484" i="15"/>
  <c r="M3484" i="15" s="1"/>
  <c r="L3483" i="15"/>
  <c r="M3483" i="15" s="1"/>
  <c r="L3482" i="15"/>
  <c r="M3482" i="15" s="1"/>
  <c r="L3481" i="15"/>
  <c r="M3481" i="15" s="1"/>
  <c r="L3480" i="15"/>
  <c r="M3480" i="15" s="1"/>
  <c r="L3479" i="15"/>
  <c r="M3479" i="15" s="1"/>
  <c r="L3478" i="15"/>
  <c r="M3478" i="15" s="1"/>
  <c r="L3477" i="15"/>
  <c r="M3477" i="15" s="1"/>
  <c r="L3476" i="15"/>
  <c r="M3476" i="15" s="1"/>
  <c r="L3475" i="15"/>
  <c r="M3475" i="15" s="1"/>
  <c r="L3474" i="15"/>
  <c r="M3474" i="15" s="1"/>
  <c r="L3473" i="15"/>
  <c r="M3473" i="15" s="1"/>
  <c r="L3472" i="15"/>
  <c r="M3472" i="15" s="1"/>
  <c r="L3471" i="15"/>
  <c r="M3471" i="15" s="1"/>
  <c r="L3470" i="15"/>
  <c r="M3470" i="15" s="1"/>
  <c r="L3469" i="15"/>
  <c r="M3469" i="15" s="1"/>
  <c r="L3468" i="15"/>
  <c r="M3468" i="15" s="1"/>
  <c r="L3467" i="15"/>
  <c r="M3467" i="15" s="1"/>
  <c r="L3466" i="15"/>
  <c r="M3466" i="15" s="1"/>
  <c r="L3465" i="15"/>
  <c r="M3465" i="15" s="1"/>
  <c r="L3464" i="15"/>
  <c r="M3464" i="15" s="1"/>
  <c r="L3463" i="15"/>
  <c r="M3463" i="15" s="1"/>
  <c r="L3462" i="15"/>
  <c r="M3462" i="15" s="1"/>
  <c r="L3461" i="15"/>
  <c r="M3461" i="15" s="1"/>
  <c r="L3460" i="15"/>
  <c r="M3460" i="15" s="1"/>
  <c r="L3459" i="15"/>
  <c r="M3459" i="15" s="1"/>
  <c r="L3458" i="15"/>
  <c r="M3458" i="15" s="1"/>
  <c r="L3457" i="15"/>
  <c r="M3457" i="15" s="1"/>
  <c r="L3456" i="15"/>
  <c r="M3456" i="15" s="1"/>
  <c r="L3455" i="15"/>
  <c r="M3455" i="15" s="1"/>
  <c r="L3454" i="15"/>
  <c r="M3454" i="15" s="1"/>
  <c r="L3453" i="15"/>
  <c r="M3453" i="15" s="1"/>
  <c r="L3452" i="15"/>
  <c r="M3452" i="15" s="1"/>
  <c r="L3451" i="15"/>
  <c r="M3451" i="15" s="1"/>
  <c r="L3450" i="15"/>
  <c r="M3450" i="15" s="1"/>
  <c r="L3449" i="15"/>
  <c r="M3449" i="15" s="1"/>
  <c r="L3448" i="15"/>
  <c r="M3448" i="15" s="1"/>
  <c r="L3447" i="15"/>
  <c r="M3447" i="15" s="1"/>
  <c r="L3446" i="15"/>
  <c r="M3446" i="15" s="1"/>
  <c r="L3445" i="15"/>
  <c r="M3445" i="15" s="1"/>
  <c r="L3444" i="15"/>
  <c r="M3444" i="15" s="1"/>
  <c r="L3443" i="15"/>
  <c r="M3443" i="15" s="1"/>
  <c r="L3442" i="15"/>
  <c r="M3442" i="15" s="1"/>
  <c r="L3441" i="15"/>
  <c r="M3441" i="15" s="1"/>
  <c r="L3440" i="15"/>
  <c r="M3440" i="15" s="1"/>
  <c r="L3439" i="15"/>
  <c r="M3439" i="15" s="1"/>
  <c r="L3438" i="15"/>
  <c r="M3438" i="15" s="1"/>
  <c r="L3437" i="15"/>
  <c r="M3437" i="15" s="1"/>
  <c r="L3436" i="15"/>
  <c r="M3436" i="15" s="1"/>
  <c r="L3435" i="15"/>
  <c r="M3435" i="15" s="1"/>
  <c r="L3434" i="15"/>
  <c r="M3434" i="15" s="1"/>
  <c r="L3433" i="15"/>
  <c r="M3433" i="15" s="1"/>
  <c r="L3432" i="15"/>
  <c r="M3432" i="15" s="1"/>
  <c r="L3431" i="15"/>
  <c r="M3431" i="15" s="1"/>
  <c r="L3430" i="15"/>
  <c r="M3430" i="15" s="1"/>
  <c r="L3429" i="15"/>
  <c r="M3429" i="15" s="1"/>
  <c r="L3428" i="15"/>
  <c r="M3428" i="15" s="1"/>
  <c r="L3427" i="15"/>
  <c r="M3427" i="15" s="1"/>
  <c r="L3426" i="15"/>
  <c r="M3426" i="15" s="1"/>
  <c r="L3425" i="15"/>
  <c r="M3425" i="15" s="1"/>
  <c r="L3424" i="15"/>
  <c r="M3424" i="15" s="1"/>
  <c r="L3423" i="15"/>
  <c r="M3423" i="15" s="1"/>
  <c r="L3422" i="15"/>
  <c r="M3422" i="15" s="1"/>
  <c r="L3421" i="15"/>
  <c r="M3421" i="15" s="1"/>
  <c r="L3420" i="15"/>
  <c r="M3420" i="15" s="1"/>
  <c r="L3419" i="15"/>
  <c r="M3419" i="15" s="1"/>
  <c r="L3418" i="15"/>
  <c r="M3418" i="15" s="1"/>
  <c r="L3417" i="15"/>
  <c r="M3417" i="15" s="1"/>
  <c r="L3416" i="15"/>
  <c r="M3416" i="15" s="1"/>
  <c r="L3415" i="15"/>
  <c r="M3415" i="15" s="1"/>
  <c r="L3414" i="15"/>
  <c r="M3414" i="15" s="1"/>
  <c r="L3413" i="15"/>
  <c r="M3413" i="15" s="1"/>
  <c r="L3412" i="15"/>
  <c r="M3412" i="15" s="1"/>
  <c r="L3411" i="15"/>
  <c r="M3411" i="15" s="1"/>
  <c r="L3410" i="15"/>
  <c r="M3410" i="15" s="1"/>
  <c r="L3409" i="15"/>
  <c r="M3409" i="15" s="1"/>
  <c r="L3408" i="15"/>
  <c r="M3408" i="15" s="1"/>
  <c r="L3407" i="15"/>
  <c r="M3407" i="15" s="1"/>
  <c r="L3406" i="15"/>
  <c r="M3406" i="15" s="1"/>
  <c r="L3405" i="15"/>
  <c r="M3405" i="15" s="1"/>
  <c r="L3404" i="15"/>
  <c r="M3404" i="15" s="1"/>
  <c r="L3403" i="15"/>
  <c r="M3403" i="15" s="1"/>
  <c r="L3402" i="15"/>
  <c r="M3402" i="15" s="1"/>
  <c r="L3401" i="15"/>
  <c r="M3401" i="15" s="1"/>
  <c r="L3400" i="15"/>
  <c r="M3400" i="15" s="1"/>
  <c r="L3399" i="15"/>
  <c r="M3399" i="15" s="1"/>
  <c r="L3398" i="15"/>
  <c r="M3398" i="15" s="1"/>
  <c r="L3397" i="15"/>
  <c r="M3397" i="15" s="1"/>
  <c r="L3396" i="15"/>
  <c r="M3396" i="15" s="1"/>
  <c r="L3395" i="15"/>
  <c r="M3395" i="15" s="1"/>
  <c r="L3394" i="15"/>
  <c r="M3394" i="15" s="1"/>
  <c r="L3393" i="15"/>
  <c r="M3393" i="15" s="1"/>
  <c r="L3392" i="15"/>
  <c r="M3392" i="15" s="1"/>
  <c r="L3391" i="15"/>
  <c r="M3391" i="15" s="1"/>
  <c r="L3390" i="15"/>
  <c r="M3390" i="15" s="1"/>
  <c r="L3389" i="15"/>
  <c r="M3389" i="15" s="1"/>
  <c r="L3388" i="15"/>
  <c r="M3388" i="15" s="1"/>
  <c r="L3387" i="15"/>
  <c r="M3387" i="15" s="1"/>
  <c r="L3386" i="15"/>
  <c r="M3386" i="15" s="1"/>
  <c r="L3385" i="15"/>
  <c r="M3385" i="15" s="1"/>
  <c r="L3384" i="15"/>
  <c r="M3384" i="15" s="1"/>
  <c r="L3383" i="15"/>
  <c r="M3383" i="15" s="1"/>
  <c r="L3382" i="15"/>
  <c r="M3382" i="15" s="1"/>
  <c r="L3381" i="15"/>
  <c r="M3381" i="15" s="1"/>
  <c r="L3380" i="15"/>
  <c r="M3380" i="15" s="1"/>
  <c r="L3379" i="15"/>
  <c r="M3379" i="15" s="1"/>
  <c r="L3378" i="15"/>
  <c r="M3378" i="15" s="1"/>
  <c r="L3377" i="15"/>
  <c r="M3377" i="15" s="1"/>
  <c r="L3376" i="15"/>
  <c r="M3376" i="15" s="1"/>
  <c r="L3375" i="15"/>
  <c r="M3375" i="15" s="1"/>
  <c r="L3374" i="15"/>
  <c r="M3374" i="15" s="1"/>
  <c r="L3373" i="15"/>
  <c r="M3373" i="15" s="1"/>
  <c r="L3372" i="15"/>
  <c r="M3372" i="15" s="1"/>
  <c r="L3371" i="15"/>
  <c r="M3371" i="15" s="1"/>
  <c r="L3370" i="15"/>
  <c r="M3370" i="15" s="1"/>
  <c r="L3369" i="15"/>
  <c r="M3369" i="15" s="1"/>
  <c r="L3368" i="15"/>
  <c r="M3368" i="15" s="1"/>
  <c r="L3367" i="15"/>
  <c r="M3367" i="15" s="1"/>
  <c r="L3366" i="15"/>
  <c r="M3366" i="15" s="1"/>
  <c r="L3365" i="15"/>
  <c r="M3365" i="15" s="1"/>
  <c r="L3364" i="15"/>
  <c r="M3364" i="15" s="1"/>
  <c r="L3363" i="15"/>
  <c r="M3363" i="15" s="1"/>
  <c r="L3362" i="15"/>
  <c r="M3362" i="15" s="1"/>
  <c r="L3361" i="15"/>
  <c r="M3361" i="15" s="1"/>
  <c r="L3360" i="15"/>
  <c r="M3360" i="15" s="1"/>
  <c r="L3359" i="15"/>
  <c r="M3359" i="15" s="1"/>
  <c r="L3358" i="15"/>
  <c r="M3358" i="15" s="1"/>
  <c r="L3357" i="15"/>
  <c r="M3357" i="15" s="1"/>
  <c r="L3356" i="15"/>
  <c r="M3356" i="15" s="1"/>
  <c r="L3355" i="15"/>
  <c r="M3355" i="15" s="1"/>
  <c r="L3354" i="15"/>
  <c r="M3354" i="15" s="1"/>
  <c r="L3353" i="15"/>
  <c r="M3353" i="15" s="1"/>
  <c r="L3352" i="15"/>
  <c r="M3352" i="15" s="1"/>
  <c r="L3351" i="15"/>
  <c r="M3351" i="15" s="1"/>
  <c r="L3350" i="15"/>
  <c r="M3350" i="15" s="1"/>
  <c r="L3349" i="15"/>
  <c r="M3349" i="15" s="1"/>
  <c r="L3348" i="15"/>
  <c r="M3348" i="15" s="1"/>
  <c r="L3347" i="15"/>
  <c r="M3347" i="15" s="1"/>
  <c r="L3346" i="15"/>
  <c r="M3346" i="15" s="1"/>
  <c r="L3345" i="15"/>
  <c r="M3345" i="15" s="1"/>
  <c r="L3344" i="15"/>
  <c r="M3344" i="15" s="1"/>
  <c r="L3343" i="15"/>
  <c r="M3343" i="15" s="1"/>
  <c r="L3342" i="15"/>
  <c r="M3342" i="15" s="1"/>
  <c r="L3341" i="15"/>
  <c r="M3341" i="15" s="1"/>
  <c r="L3340" i="15"/>
  <c r="M3340" i="15" s="1"/>
  <c r="L3339" i="15"/>
  <c r="M3339" i="15" s="1"/>
  <c r="L3338" i="15"/>
  <c r="M3338" i="15" s="1"/>
  <c r="L3337" i="15"/>
  <c r="M3337" i="15" s="1"/>
  <c r="L3336" i="15"/>
  <c r="M3336" i="15" s="1"/>
  <c r="L3335" i="15"/>
  <c r="M3335" i="15" s="1"/>
  <c r="L3334" i="15"/>
  <c r="M3334" i="15" s="1"/>
  <c r="L3333" i="15"/>
  <c r="M3333" i="15" s="1"/>
  <c r="L3332" i="15"/>
  <c r="M3332" i="15" s="1"/>
  <c r="L3331" i="15"/>
  <c r="M3331" i="15" s="1"/>
  <c r="L3330" i="15"/>
  <c r="M3330" i="15" s="1"/>
  <c r="L3329" i="15"/>
  <c r="M3329" i="15" s="1"/>
  <c r="L3328" i="15"/>
  <c r="M3328" i="15" s="1"/>
  <c r="L3327" i="15"/>
  <c r="M3327" i="15" s="1"/>
  <c r="L3326" i="15"/>
  <c r="M3326" i="15" s="1"/>
  <c r="L3325" i="15"/>
  <c r="M3325" i="15" s="1"/>
  <c r="L3324" i="15"/>
  <c r="M3324" i="15" s="1"/>
  <c r="L3323" i="15"/>
  <c r="M3323" i="15" s="1"/>
  <c r="L3322" i="15"/>
  <c r="M3322" i="15" s="1"/>
  <c r="L3321" i="15"/>
  <c r="M3321" i="15" s="1"/>
  <c r="L3320" i="15"/>
  <c r="M3320" i="15" s="1"/>
  <c r="L3319" i="15"/>
  <c r="M3319" i="15" s="1"/>
  <c r="L3318" i="15"/>
  <c r="M3318" i="15" s="1"/>
  <c r="L3317" i="15"/>
  <c r="M3317" i="15" s="1"/>
  <c r="L3316" i="15"/>
  <c r="M3316" i="15" s="1"/>
  <c r="L3315" i="15"/>
  <c r="M3315" i="15" s="1"/>
  <c r="L3314" i="15"/>
  <c r="M3314" i="15" s="1"/>
  <c r="L3313" i="15"/>
  <c r="M3313" i="15" s="1"/>
  <c r="L3312" i="15"/>
  <c r="M3312" i="15" s="1"/>
  <c r="L3311" i="15"/>
  <c r="M3311" i="15" s="1"/>
  <c r="L3310" i="15"/>
  <c r="M3310" i="15" s="1"/>
  <c r="L3309" i="15"/>
  <c r="M3309" i="15" s="1"/>
  <c r="L3308" i="15"/>
  <c r="M3308" i="15" s="1"/>
  <c r="L3307" i="15"/>
  <c r="M3307" i="15" s="1"/>
  <c r="L3306" i="15"/>
  <c r="M3306" i="15" s="1"/>
  <c r="L3305" i="15"/>
  <c r="M3305" i="15" s="1"/>
  <c r="L3304" i="15"/>
  <c r="M3304" i="15" s="1"/>
  <c r="L3303" i="15"/>
  <c r="M3303" i="15" s="1"/>
  <c r="L3302" i="15"/>
  <c r="M3302" i="15" s="1"/>
  <c r="L3301" i="15"/>
  <c r="M3301" i="15" s="1"/>
  <c r="L3300" i="15"/>
  <c r="M3300" i="15" s="1"/>
  <c r="L3299" i="15"/>
  <c r="M3299" i="15" s="1"/>
  <c r="L3298" i="15"/>
  <c r="M3298" i="15" s="1"/>
  <c r="L3297" i="15"/>
  <c r="M3297" i="15" s="1"/>
  <c r="L3296" i="15"/>
  <c r="M3296" i="15" s="1"/>
  <c r="L3295" i="15"/>
  <c r="M3295" i="15" s="1"/>
  <c r="L3294" i="15"/>
  <c r="M3294" i="15" s="1"/>
  <c r="L3293" i="15"/>
  <c r="M3293" i="15" s="1"/>
  <c r="L3292" i="15"/>
  <c r="M3292" i="15" s="1"/>
  <c r="L3291" i="15"/>
  <c r="M3291" i="15" s="1"/>
  <c r="L3290" i="15"/>
  <c r="M3290" i="15" s="1"/>
  <c r="L3289" i="15"/>
  <c r="M3289" i="15" s="1"/>
  <c r="L3288" i="15"/>
  <c r="M3288" i="15" s="1"/>
  <c r="L3287" i="15"/>
  <c r="M3287" i="15" s="1"/>
  <c r="L3286" i="15"/>
  <c r="M3286" i="15" s="1"/>
  <c r="L3285" i="15"/>
  <c r="M3285" i="15" s="1"/>
  <c r="L3284" i="15"/>
  <c r="M3284" i="15" s="1"/>
  <c r="L3283" i="15"/>
  <c r="M3283" i="15" s="1"/>
  <c r="L3282" i="15"/>
  <c r="M3282" i="15" s="1"/>
  <c r="L3281" i="15"/>
  <c r="M3281" i="15" s="1"/>
  <c r="L3280" i="15"/>
  <c r="M3280" i="15" s="1"/>
  <c r="L3279" i="15"/>
  <c r="M3279" i="15" s="1"/>
  <c r="L3278" i="15"/>
  <c r="M3278" i="15" s="1"/>
  <c r="L3277" i="15"/>
  <c r="M3277" i="15" s="1"/>
  <c r="L3276" i="15"/>
  <c r="M3276" i="15" s="1"/>
  <c r="L3275" i="15"/>
  <c r="M3275" i="15" s="1"/>
  <c r="L3274" i="15"/>
  <c r="M3274" i="15" s="1"/>
  <c r="L3273" i="15"/>
  <c r="M3273" i="15" s="1"/>
  <c r="L3272" i="15"/>
  <c r="M3272" i="15" s="1"/>
  <c r="L3271" i="15"/>
  <c r="M3271" i="15" s="1"/>
  <c r="L3270" i="15"/>
  <c r="M3270" i="15" s="1"/>
  <c r="L3269" i="15"/>
  <c r="M3269" i="15" s="1"/>
  <c r="L3268" i="15"/>
  <c r="M3268" i="15" s="1"/>
  <c r="L3267" i="15"/>
  <c r="M3267" i="15" s="1"/>
  <c r="L3266" i="15"/>
  <c r="M3266" i="15" s="1"/>
  <c r="L3265" i="15"/>
  <c r="M3265" i="15" s="1"/>
  <c r="L3264" i="15"/>
  <c r="M3264" i="15" s="1"/>
  <c r="L3263" i="15"/>
  <c r="M3263" i="15" s="1"/>
  <c r="L3262" i="15"/>
  <c r="M3262" i="15" s="1"/>
  <c r="L3261" i="15"/>
  <c r="M3261" i="15" s="1"/>
  <c r="L3260" i="15"/>
  <c r="M3260" i="15" s="1"/>
  <c r="L3259" i="15"/>
  <c r="M3259" i="15" s="1"/>
  <c r="L3258" i="15"/>
  <c r="M3258" i="15" s="1"/>
  <c r="L3257" i="15"/>
  <c r="M3257" i="15" s="1"/>
  <c r="L3256" i="15"/>
  <c r="M3256" i="15" s="1"/>
  <c r="L3255" i="15"/>
  <c r="M3255" i="15" s="1"/>
  <c r="L3254" i="15"/>
  <c r="M3254" i="15" s="1"/>
  <c r="L3253" i="15"/>
  <c r="M3253" i="15" s="1"/>
  <c r="L3252" i="15"/>
  <c r="M3252" i="15" s="1"/>
  <c r="L3251" i="15"/>
  <c r="M3251" i="15" s="1"/>
  <c r="L3250" i="15"/>
  <c r="M3250" i="15" s="1"/>
  <c r="L3249" i="15"/>
  <c r="M3249" i="15" s="1"/>
  <c r="L3248" i="15"/>
  <c r="M3248" i="15" s="1"/>
  <c r="L3247" i="15"/>
  <c r="M3247" i="15" s="1"/>
  <c r="L3246" i="15"/>
  <c r="M3246" i="15" s="1"/>
  <c r="L3245" i="15"/>
  <c r="M3245" i="15" s="1"/>
  <c r="L3244" i="15"/>
  <c r="M3244" i="15" s="1"/>
  <c r="L3243" i="15"/>
  <c r="M3243" i="15" s="1"/>
  <c r="L3242" i="15"/>
  <c r="M3242" i="15" s="1"/>
  <c r="L3241" i="15"/>
  <c r="M3241" i="15" s="1"/>
  <c r="L3240" i="15"/>
  <c r="M3240" i="15" s="1"/>
  <c r="L3239" i="15"/>
  <c r="M3239" i="15" s="1"/>
  <c r="L3238" i="15"/>
  <c r="M3238" i="15" s="1"/>
  <c r="L3237" i="15"/>
  <c r="M3237" i="15" s="1"/>
  <c r="L3236" i="15"/>
  <c r="M3236" i="15" s="1"/>
  <c r="L3235" i="15"/>
  <c r="M3235" i="15" s="1"/>
  <c r="L3234" i="15"/>
  <c r="M3234" i="15" s="1"/>
  <c r="L3233" i="15"/>
  <c r="M3233" i="15" s="1"/>
  <c r="L3232" i="15"/>
  <c r="M3232" i="15" s="1"/>
  <c r="L3231" i="15"/>
  <c r="M3231" i="15" s="1"/>
  <c r="L3230" i="15"/>
  <c r="M3230" i="15" s="1"/>
  <c r="L3229" i="15"/>
  <c r="M3229" i="15" s="1"/>
  <c r="L3228" i="15"/>
  <c r="M3228" i="15" s="1"/>
  <c r="L3227" i="15"/>
  <c r="M3227" i="15" s="1"/>
  <c r="L3226" i="15"/>
  <c r="M3226" i="15" s="1"/>
  <c r="L3225" i="15"/>
  <c r="M3225" i="15" s="1"/>
  <c r="L3224" i="15"/>
  <c r="M3224" i="15" s="1"/>
  <c r="L3223" i="15"/>
  <c r="M3223" i="15" s="1"/>
  <c r="L3222" i="15"/>
  <c r="M3222" i="15" s="1"/>
  <c r="L3221" i="15"/>
  <c r="M3221" i="15" s="1"/>
  <c r="L3220" i="15"/>
  <c r="M3220" i="15" s="1"/>
  <c r="L3219" i="15"/>
  <c r="M3219" i="15" s="1"/>
  <c r="L3218" i="15"/>
  <c r="M3218" i="15" s="1"/>
  <c r="L3217" i="15"/>
  <c r="M3217" i="15" s="1"/>
  <c r="L3216" i="15"/>
  <c r="M3216" i="15" s="1"/>
  <c r="L3215" i="15"/>
  <c r="M3215" i="15" s="1"/>
  <c r="L3214" i="15"/>
  <c r="M3214" i="15" s="1"/>
  <c r="L3213" i="15"/>
  <c r="M3213" i="15" s="1"/>
  <c r="L3212" i="15"/>
  <c r="M3212" i="15" s="1"/>
  <c r="L3211" i="15"/>
  <c r="M3211" i="15" s="1"/>
  <c r="L3210" i="15"/>
  <c r="M3210" i="15" s="1"/>
  <c r="L3209" i="15"/>
  <c r="M3209" i="15" s="1"/>
  <c r="L3208" i="15"/>
  <c r="M3208" i="15" s="1"/>
  <c r="L3207" i="15"/>
  <c r="M3207" i="15" s="1"/>
  <c r="L3206" i="15"/>
  <c r="M3206" i="15" s="1"/>
  <c r="L3205" i="15"/>
  <c r="M3205" i="15" s="1"/>
  <c r="L3204" i="15"/>
  <c r="M3204" i="15" s="1"/>
  <c r="L3203" i="15"/>
  <c r="M3203" i="15" s="1"/>
  <c r="L3202" i="15"/>
  <c r="M3202" i="15" s="1"/>
  <c r="L3201" i="15"/>
  <c r="M3201" i="15" s="1"/>
  <c r="L3200" i="15"/>
  <c r="M3200" i="15" s="1"/>
  <c r="L3199" i="15"/>
  <c r="M3199" i="15" s="1"/>
  <c r="L3198" i="15"/>
  <c r="M3198" i="15" s="1"/>
  <c r="L3197" i="15"/>
  <c r="M3197" i="15" s="1"/>
  <c r="L3196" i="15"/>
  <c r="M3196" i="15" s="1"/>
  <c r="L3195" i="15"/>
  <c r="M3195" i="15" s="1"/>
  <c r="L3194" i="15"/>
  <c r="M3194" i="15" s="1"/>
  <c r="L3193" i="15"/>
  <c r="M3193" i="15" s="1"/>
  <c r="L3192" i="15"/>
  <c r="M3192" i="15" s="1"/>
  <c r="L3191" i="15"/>
  <c r="M3191" i="15" s="1"/>
  <c r="L3190" i="15"/>
  <c r="M3190" i="15" s="1"/>
  <c r="L3189" i="15"/>
  <c r="M3189" i="15" s="1"/>
  <c r="L3188" i="15"/>
  <c r="M3188" i="15" s="1"/>
  <c r="L3187" i="15"/>
  <c r="M3187" i="15" s="1"/>
  <c r="L3186" i="15"/>
  <c r="M3186" i="15" s="1"/>
  <c r="L3185" i="15"/>
  <c r="M3185" i="15" s="1"/>
  <c r="L3184" i="15"/>
  <c r="M3184" i="15" s="1"/>
  <c r="L3183" i="15"/>
  <c r="M3183" i="15" s="1"/>
  <c r="L3182" i="15"/>
  <c r="M3182" i="15" s="1"/>
  <c r="L3181" i="15"/>
  <c r="M3181" i="15" s="1"/>
  <c r="L3180" i="15"/>
  <c r="M3180" i="15" s="1"/>
  <c r="L3179" i="15"/>
  <c r="M3179" i="15" s="1"/>
  <c r="L3178" i="15"/>
  <c r="M3178" i="15" s="1"/>
  <c r="L3177" i="15"/>
  <c r="M3177" i="15" s="1"/>
  <c r="L3176" i="15"/>
  <c r="M3176" i="15" s="1"/>
  <c r="L3175" i="15"/>
  <c r="M3175" i="15" s="1"/>
  <c r="L3174" i="15"/>
  <c r="M3174" i="15" s="1"/>
  <c r="L3173" i="15"/>
  <c r="M3173" i="15" s="1"/>
  <c r="L3172" i="15"/>
  <c r="M3172" i="15" s="1"/>
  <c r="L3171" i="15"/>
  <c r="M3171" i="15" s="1"/>
  <c r="L3170" i="15"/>
  <c r="M3170" i="15" s="1"/>
  <c r="L3169" i="15"/>
  <c r="M3169" i="15" s="1"/>
  <c r="L3168" i="15"/>
  <c r="M3168" i="15" s="1"/>
  <c r="L3167" i="15"/>
  <c r="M3167" i="15" s="1"/>
  <c r="L3166" i="15"/>
  <c r="M3166" i="15" s="1"/>
  <c r="L3165" i="15"/>
  <c r="M3165" i="15" s="1"/>
  <c r="L3164" i="15"/>
  <c r="M3164" i="15" s="1"/>
  <c r="L3163" i="15"/>
  <c r="M3163" i="15" s="1"/>
  <c r="L3162" i="15"/>
  <c r="M3162" i="15" s="1"/>
  <c r="L3161" i="15"/>
  <c r="M3161" i="15" s="1"/>
  <c r="L3160" i="15"/>
  <c r="M3160" i="15" s="1"/>
  <c r="L3159" i="15"/>
  <c r="M3159" i="15" s="1"/>
  <c r="L3158" i="15"/>
  <c r="M3158" i="15" s="1"/>
  <c r="L3157" i="15"/>
  <c r="M3157" i="15" s="1"/>
  <c r="L3156" i="15"/>
  <c r="M3156" i="15" s="1"/>
  <c r="L3155" i="15"/>
  <c r="M3155" i="15" s="1"/>
  <c r="L3154" i="15"/>
  <c r="M3154" i="15" s="1"/>
  <c r="L3153" i="15"/>
  <c r="M3153" i="15" s="1"/>
  <c r="L3152" i="15"/>
  <c r="M3152" i="15" s="1"/>
  <c r="L3151" i="15"/>
  <c r="M3151" i="15" s="1"/>
  <c r="L3150" i="15"/>
  <c r="M3150" i="15" s="1"/>
  <c r="L3149" i="15"/>
  <c r="M3149" i="15" s="1"/>
  <c r="L3148" i="15"/>
  <c r="M3148" i="15" s="1"/>
  <c r="L3147" i="15"/>
  <c r="M3147" i="15" s="1"/>
  <c r="L3146" i="15"/>
  <c r="M3146" i="15" s="1"/>
  <c r="L3145" i="15"/>
  <c r="M3145" i="15" s="1"/>
  <c r="L3144" i="15"/>
  <c r="M3144" i="15" s="1"/>
  <c r="L3143" i="15"/>
  <c r="M3143" i="15" s="1"/>
  <c r="L3142" i="15"/>
  <c r="M3142" i="15" s="1"/>
  <c r="L3141" i="15"/>
  <c r="M3141" i="15" s="1"/>
  <c r="L3140" i="15"/>
  <c r="M3140" i="15" s="1"/>
  <c r="L3139" i="15"/>
  <c r="M3139" i="15" s="1"/>
  <c r="L3138" i="15"/>
  <c r="M3138" i="15" s="1"/>
  <c r="L3137" i="15"/>
  <c r="M3137" i="15" s="1"/>
  <c r="L3136" i="15"/>
  <c r="M3136" i="15" s="1"/>
  <c r="L3135" i="15"/>
  <c r="M3135" i="15" s="1"/>
  <c r="L3134" i="15"/>
  <c r="M3134" i="15" s="1"/>
  <c r="L3133" i="15"/>
  <c r="M3133" i="15" s="1"/>
  <c r="L3132" i="15"/>
  <c r="M3132" i="15" s="1"/>
  <c r="L3131" i="15"/>
  <c r="M3131" i="15" s="1"/>
  <c r="L3130" i="15"/>
  <c r="M3130" i="15" s="1"/>
  <c r="L3129" i="15"/>
  <c r="M3129" i="15" s="1"/>
  <c r="L3128" i="15"/>
  <c r="M3128" i="15" s="1"/>
  <c r="L3127" i="15"/>
  <c r="M3127" i="15" s="1"/>
  <c r="L3126" i="15"/>
  <c r="M3126" i="15" s="1"/>
  <c r="L3125" i="15"/>
  <c r="M3125" i="15" s="1"/>
  <c r="L3124" i="15"/>
  <c r="M3124" i="15" s="1"/>
  <c r="L3123" i="15"/>
  <c r="M3123" i="15" s="1"/>
  <c r="L3122" i="15"/>
  <c r="M3122" i="15" s="1"/>
  <c r="L3121" i="15"/>
  <c r="M3121" i="15" s="1"/>
  <c r="L3120" i="15"/>
  <c r="M3120" i="15" s="1"/>
  <c r="L3119" i="15"/>
  <c r="M3119" i="15" s="1"/>
  <c r="L3118" i="15"/>
  <c r="M3118" i="15" s="1"/>
  <c r="L3117" i="15"/>
  <c r="M3117" i="15" s="1"/>
  <c r="L3116" i="15"/>
  <c r="M3116" i="15" s="1"/>
  <c r="L3115" i="15"/>
  <c r="M3115" i="15" s="1"/>
  <c r="L3114" i="15"/>
  <c r="M3114" i="15" s="1"/>
  <c r="L3113" i="15"/>
  <c r="M3113" i="15" s="1"/>
  <c r="L3112" i="15"/>
  <c r="M3112" i="15" s="1"/>
  <c r="L3111" i="15"/>
  <c r="M3111" i="15" s="1"/>
  <c r="L3110" i="15"/>
  <c r="M3110" i="15" s="1"/>
  <c r="L3109" i="15"/>
  <c r="M3109" i="15" s="1"/>
  <c r="L3108" i="15"/>
  <c r="M3108" i="15" s="1"/>
  <c r="L3107" i="15"/>
  <c r="M3107" i="15" s="1"/>
  <c r="L3106" i="15"/>
  <c r="M3106" i="15" s="1"/>
  <c r="L3105" i="15"/>
  <c r="M3105" i="15" s="1"/>
  <c r="L3104" i="15"/>
  <c r="M3104" i="15" s="1"/>
  <c r="L3103" i="15"/>
  <c r="M3103" i="15" s="1"/>
  <c r="L3102" i="15"/>
  <c r="M3102" i="15" s="1"/>
  <c r="L3101" i="15"/>
  <c r="M3101" i="15" s="1"/>
  <c r="L3100" i="15"/>
  <c r="M3100" i="15" s="1"/>
  <c r="L3099" i="15"/>
  <c r="M3099" i="15" s="1"/>
  <c r="L3098" i="15"/>
  <c r="M3098" i="15" s="1"/>
  <c r="L3097" i="15"/>
  <c r="M3097" i="15" s="1"/>
  <c r="L3096" i="15"/>
  <c r="M3096" i="15" s="1"/>
  <c r="L3095" i="15"/>
  <c r="M3095" i="15" s="1"/>
  <c r="L3094" i="15"/>
  <c r="M3094" i="15" s="1"/>
  <c r="L3093" i="15"/>
  <c r="M3093" i="15" s="1"/>
  <c r="L3092" i="15"/>
  <c r="M3092" i="15" s="1"/>
  <c r="L3091" i="15"/>
  <c r="M3091" i="15" s="1"/>
  <c r="L3090" i="15"/>
  <c r="M3090" i="15" s="1"/>
  <c r="L3089" i="15"/>
  <c r="M3089" i="15" s="1"/>
  <c r="L3088" i="15"/>
  <c r="M3088" i="15" s="1"/>
  <c r="L3087" i="15"/>
  <c r="M3087" i="15" s="1"/>
  <c r="L3086" i="15"/>
  <c r="M3086" i="15" s="1"/>
  <c r="L3085" i="15"/>
  <c r="M3085" i="15" s="1"/>
  <c r="L3084" i="15"/>
  <c r="M3084" i="15" s="1"/>
  <c r="L3083" i="15"/>
  <c r="M3083" i="15" s="1"/>
  <c r="L3082" i="15"/>
  <c r="M3082" i="15" s="1"/>
  <c r="L3081" i="15"/>
  <c r="M3081" i="15" s="1"/>
  <c r="L3080" i="15"/>
  <c r="M3080" i="15" s="1"/>
  <c r="L3079" i="15"/>
  <c r="M3079" i="15" s="1"/>
  <c r="L3078" i="15"/>
  <c r="M3078" i="15" s="1"/>
  <c r="L3077" i="15"/>
  <c r="M3077" i="15" s="1"/>
  <c r="L3076" i="15"/>
  <c r="M3076" i="15" s="1"/>
  <c r="L3075" i="15"/>
  <c r="M3075" i="15" s="1"/>
  <c r="L3074" i="15"/>
  <c r="M3074" i="15" s="1"/>
  <c r="L3073" i="15"/>
  <c r="M3073" i="15" s="1"/>
  <c r="L3072" i="15"/>
  <c r="M3072" i="15" s="1"/>
  <c r="L3071" i="15"/>
  <c r="M3071" i="15" s="1"/>
  <c r="L3070" i="15"/>
  <c r="M3070" i="15" s="1"/>
  <c r="L3069" i="15"/>
  <c r="M3069" i="15" s="1"/>
  <c r="L3068" i="15"/>
  <c r="M3068" i="15" s="1"/>
  <c r="L3067" i="15"/>
  <c r="M3067" i="15" s="1"/>
  <c r="L3066" i="15"/>
  <c r="M3066" i="15" s="1"/>
  <c r="L3065" i="15"/>
  <c r="M3065" i="15" s="1"/>
  <c r="L3064" i="15"/>
  <c r="M3064" i="15" s="1"/>
  <c r="L3063" i="15"/>
  <c r="M3063" i="15" s="1"/>
  <c r="L3062" i="15"/>
  <c r="M3062" i="15" s="1"/>
  <c r="L3061" i="15"/>
  <c r="M3061" i="15" s="1"/>
  <c r="L3060" i="15"/>
  <c r="M3060" i="15" s="1"/>
  <c r="L3059" i="15"/>
  <c r="M3059" i="15" s="1"/>
  <c r="L3058" i="15"/>
  <c r="M3058" i="15" s="1"/>
  <c r="L3057" i="15"/>
  <c r="M3057" i="15" s="1"/>
  <c r="L3056" i="15"/>
  <c r="M3056" i="15" s="1"/>
  <c r="L3055" i="15"/>
  <c r="M3055" i="15" s="1"/>
  <c r="L3054" i="15"/>
  <c r="M3054" i="15" s="1"/>
  <c r="L3053" i="15"/>
  <c r="M3053" i="15" s="1"/>
  <c r="L3052" i="15"/>
  <c r="M3052" i="15" s="1"/>
  <c r="L3051" i="15"/>
  <c r="M3051" i="15" s="1"/>
  <c r="L3050" i="15"/>
  <c r="M3050" i="15" s="1"/>
  <c r="L3049" i="15"/>
  <c r="M3049" i="15" s="1"/>
  <c r="L3048" i="15"/>
  <c r="M3048" i="15" s="1"/>
  <c r="L3047" i="15"/>
  <c r="M3047" i="15" s="1"/>
  <c r="L3046" i="15"/>
  <c r="M3046" i="15" s="1"/>
  <c r="L3045" i="15"/>
  <c r="M3045" i="15" s="1"/>
  <c r="L3044" i="15"/>
  <c r="M3044" i="15" s="1"/>
  <c r="L3043" i="15"/>
  <c r="M3043" i="15" s="1"/>
  <c r="L3042" i="15"/>
  <c r="M3042" i="15" s="1"/>
  <c r="L3041" i="15"/>
  <c r="M3041" i="15" s="1"/>
  <c r="L3040" i="15"/>
  <c r="M3040" i="15" s="1"/>
  <c r="L3039" i="15"/>
  <c r="M3039" i="15" s="1"/>
  <c r="L3038" i="15"/>
  <c r="M3038" i="15" s="1"/>
  <c r="L3037" i="15"/>
  <c r="M3037" i="15" s="1"/>
  <c r="L3036" i="15"/>
  <c r="M3036" i="15" s="1"/>
  <c r="L3035" i="15"/>
  <c r="M3035" i="15" s="1"/>
  <c r="L3034" i="15"/>
  <c r="M3034" i="15" s="1"/>
  <c r="L3033" i="15"/>
  <c r="M3033" i="15" s="1"/>
  <c r="L3032" i="15"/>
  <c r="M3032" i="15" s="1"/>
  <c r="L3031" i="15"/>
  <c r="M3031" i="15" s="1"/>
  <c r="L3030" i="15"/>
  <c r="M3030" i="15" s="1"/>
  <c r="L3029" i="15"/>
  <c r="M3029" i="15" s="1"/>
  <c r="L3028" i="15"/>
  <c r="M3028" i="15" s="1"/>
  <c r="L3027" i="15"/>
  <c r="M3027" i="15" s="1"/>
  <c r="L3026" i="15"/>
  <c r="M3026" i="15" s="1"/>
  <c r="L3025" i="15"/>
  <c r="M3025" i="15" s="1"/>
  <c r="L3024" i="15"/>
  <c r="M3024" i="15" s="1"/>
  <c r="L3023" i="15"/>
  <c r="M3023" i="15" s="1"/>
  <c r="L3022" i="15"/>
  <c r="M3022" i="15" s="1"/>
  <c r="L3021" i="15"/>
  <c r="M3021" i="15" s="1"/>
  <c r="L3020" i="15"/>
  <c r="M3020" i="15" s="1"/>
  <c r="L3019" i="15"/>
  <c r="M3019" i="15" s="1"/>
  <c r="L3018" i="15"/>
  <c r="M3018" i="15" s="1"/>
  <c r="L3017" i="15"/>
  <c r="M3017" i="15" s="1"/>
  <c r="L3016" i="15"/>
  <c r="M3016" i="15" s="1"/>
  <c r="L3015" i="15"/>
  <c r="M3015" i="15" s="1"/>
  <c r="L3014" i="15"/>
  <c r="M3014" i="15" s="1"/>
  <c r="L3013" i="15"/>
  <c r="M3013" i="15" s="1"/>
  <c r="L3012" i="15"/>
  <c r="M3012" i="15" s="1"/>
  <c r="L3011" i="15"/>
  <c r="M3011" i="15" s="1"/>
  <c r="L3010" i="15"/>
  <c r="M3010" i="15" s="1"/>
  <c r="L3009" i="15"/>
  <c r="M3009" i="15" s="1"/>
  <c r="L3008" i="15"/>
  <c r="M3008" i="15" s="1"/>
  <c r="L3007" i="15"/>
  <c r="M3007" i="15" s="1"/>
  <c r="L3006" i="15"/>
  <c r="M3006" i="15" s="1"/>
  <c r="L3005" i="15"/>
  <c r="M3005" i="15" s="1"/>
  <c r="L3004" i="15"/>
  <c r="M3004" i="15" s="1"/>
  <c r="L3003" i="15"/>
  <c r="M3003" i="15" s="1"/>
  <c r="L3002" i="15"/>
  <c r="M3002" i="15" s="1"/>
  <c r="L3001" i="15"/>
  <c r="M3001" i="15" s="1"/>
  <c r="L3000" i="15"/>
  <c r="M3000" i="15" s="1"/>
  <c r="L2999" i="15"/>
  <c r="M2999" i="15" s="1"/>
  <c r="L2998" i="15"/>
  <c r="M2998" i="15" s="1"/>
  <c r="L2997" i="15"/>
  <c r="M2997" i="15" s="1"/>
  <c r="L2996" i="15"/>
  <c r="M2996" i="15" s="1"/>
  <c r="L2995" i="15"/>
  <c r="M2995" i="15" s="1"/>
  <c r="L2994" i="15"/>
  <c r="M2994" i="15" s="1"/>
  <c r="L2993" i="15"/>
  <c r="M2993" i="15" s="1"/>
  <c r="L2992" i="15"/>
  <c r="M2992" i="15" s="1"/>
  <c r="L2991" i="15"/>
  <c r="M2991" i="15" s="1"/>
  <c r="L2990" i="15"/>
  <c r="M2990" i="15" s="1"/>
  <c r="L2989" i="15"/>
  <c r="M2989" i="15" s="1"/>
  <c r="L2988" i="15"/>
  <c r="M2988" i="15" s="1"/>
  <c r="L2987" i="15"/>
  <c r="M2987" i="15" s="1"/>
  <c r="L2986" i="15"/>
  <c r="M2986" i="15" s="1"/>
  <c r="L2985" i="15"/>
  <c r="M2985" i="15" s="1"/>
  <c r="L2984" i="15"/>
  <c r="M2984" i="15" s="1"/>
  <c r="L2983" i="15"/>
  <c r="M2983" i="15" s="1"/>
  <c r="L2982" i="15"/>
  <c r="M2982" i="15" s="1"/>
  <c r="L2981" i="15"/>
  <c r="M2981" i="15" s="1"/>
  <c r="L2980" i="15"/>
  <c r="M2980" i="15" s="1"/>
  <c r="L2979" i="15"/>
  <c r="M2979" i="15" s="1"/>
  <c r="L2978" i="15"/>
  <c r="M2978" i="15" s="1"/>
  <c r="L2977" i="15"/>
  <c r="M2977" i="15" s="1"/>
  <c r="L2976" i="15"/>
  <c r="M2976" i="15" s="1"/>
  <c r="L2975" i="15"/>
  <c r="M2975" i="15" s="1"/>
  <c r="L2974" i="15"/>
  <c r="M2974" i="15" s="1"/>
  <c r="L2973" i="15"/>
  <c r="M2973" i="15" s="1"/>
  <c r="L2972" i="15"/>
  <c r="M2972" i="15" s="1"/>
  <c r="L2971" i="15"/>
  <c r="M2971" i="15" s="1"/>
  <c r="L2970" i="15"/>
  <c r="M2970" i="15" s="1"/>
  <c r="L2969" i="15"/>
  <c r="M2969" i="15" s="1"/>
  <c r="L2968" i="15"/>
  <c r="M2968" i="15" s="1"/>
  <c r="L2967" i="15"/>
  <c r="M2967" i="15" s="1"/>
  <c r="L2966" i="15"/>
  <c r="M2966" i="15" s="1"/>
  <c r="L2965" i="15"/>
  <c r="M2965" i="15" s="1"/>
  <c r="L2964" i="15"/>
  <c r="M2964" i="15" s="1"/>
  <c r="L2963" i="15"/>
  <c r="M2963" i="15" s="1"/>
  <c r="L2962" i="15"/>
  <c r="M2962" i="15" s="1"/>
  <c r="L2961" i="15"/>
  <c r="M2961" i="15" s="1"/>
  <c r="L2960" i="15"/>
  <c r="M2960" i="15" s="1"/>
  <c r="L2959" i="15"/>
  <c r="M2959" i="15" s="1"/>
  <c r="L2958" i="15"/>
  <c r="M2958" i="15" s="1"/>
  <c r="L2957" i="15"/>
  <c r="M2957" i="15" s="1"/>
  <c r="L2956" i="15"/>
  <c r="M2956" i="15" s="1"/>
  <c r="L2955" i="15"/>
  <c r="M2955" i="15" s="1"/>
  <c r="L2954" i="15"/>
  <c r="M2954" i="15" s="1"/>
  <c r="L2953" i="15"/>
  <c r="M2953" i="15" s="1"/>
  <c r="L2952" i="15"/>
  <c r="M2952" i="15" s="1"/>
  <c r="L2951" i="15"/>
  <c r="M2951" i="15" s="1"/>
  <c r="L2950" i="15"/>
  <c r="M2950" i="15" s="1"/>
  <c r="L2949" i="15"/>
  <c r="M2949" i="15" s="1"/>
  <c r="L2948" i="15"/>
  <c r="M2948" i="15" s="1"/>
  <c r="L2947" i="15"/>
  <c r="M2947" i="15" s="1"/>
  <c r="L2946" i="15"/>
  <c r="M2946" i="15" s="1"/>
  <c r="L2945" i="15"/>
  <c r="M2945" i="15" s="1"/>
  <c r="L2944" i="15"/>
  <c r="M2944" i="15" s="1"/>
  <c r="L2943" i="15"/>
  <c r="M2943" i="15" s="1"/>
  <c r="L2942" i="15"/>
  <c r="M2942" i="15" s="1"/>
  <c r="L2941" i="15"/>
  <c r="M2941" i="15" s="1"/>
  <c r="L2940" i="15"/>
  <c r="M2940" i="15" s="1"/>
  <c r="L2939" i="15"/>
  <c r="M2939" i="15" s="1"/>
  <c r="L2938" i="15"/>
  <c r="M2938" i="15" s="1"/>
  <c r="L2937" i="15"/>
  <c r="M2937" i="15" s="1"/>
  <c r="L2936" i="15"/>
  <c r="M2936" i="15" s="1"/>
  <c r="L2935" i="15"/>
  <c r="M2935" i="15" s="1"/>
  <c r="L2934" i="15"/>
  <c r="M2934" i="15" s="1"/>
  <c r="L2933" i="15"/>
  <c r="M2933" i="15" s="1"/>
  <c r="L2932" i="15"/>
  <c r="M2932" i="15" s="1"/>
  <c r="L2931" i="15"/>
  <c r="M2931" i="15" s="1"/>
  <c r="L2930" i="15"/>
  <c r="M2930" i="15" s="1"/>
  <c r="L2929" i="15"/>
  <c r="M2929" i="15" s="1"/>
  <c r="L2928" i="15"/>
  <c r="M2928" i="15" s="1"/>
  <c r="L2927" i="15"/>
  <c r="M2927" i="15" s="1"/>
  <c r="L2926" i="15"/>
  <c r="M2926" i="15" s="1"/>
  <c r="L2925" i="15"/>
  <c r="M2925" i="15" s="1"/>
  <c r="L2924" i="15"/>
  <c r="M2924" i="15" s="1"/>
  <c r="L2923" i="15"/>
  <c r="M2923" i="15" s="1"/>
  <c r="L2922" i="15"/>
  <c r="M2922" i="15" s="1"/>
  <c r="L2921" i="15"/>
  <c r="M2921" i="15" s="1"/>
  <c r="L2920" i="15"/>
  <c r="M2920" i="15" s="1"/>
  <c r="L2919" i="15"/>
  <c r="M2919" i="15" s="1"/>
  <c r="L2918" i="15"/>
  <c r="M2918" i="15" s="1"/>
  <c r="L2917" i="15"/>
  <c r="M2917" i="15" s="1"/>
  <c r="L2916" i="15"/>
  <c r="M2916" i="15" s="1"/>
  <c r="L2915" i="15"/>
  <c r="M2915" i="15" s="1"/>
  <c r="L2914" i="15"/>
  <c r="M2914" i="15" s="1"/>
  <c r="L2913" i="15"/>
  <c r="M2913" i="15" s="1"/>
  <c r="L2912" i="15"/>
  <c r="M2912" i="15" s="1"/>
  <c r="L2911" i="15"/>
  <c r="M2911" i="15" s="1"/>
  <c r="L2910" i="15"/>
  <c r="M2910" i="15" s="1"/>
  <c r="L2909" i="15"/>
  <c r="M2909" i="15" s="1"/>
  <c r="L2908" i="15"/>
  <c r="M2908" i="15" s="1"/>
  <c r="L2907" i="15"/>
  <c r="M2907" i="15" s="1"/>
  <c r="L2906" i="15"/>
  <c r="M2906" i="15" s="1"/>
  <c r="L2905" i="15"/>
  <c r="M2905" i="15" s="1"/>
  <c r="L2904" i="15"/>
  <c r="M2904" i="15" s="1"/>
  <c r="L2903" i="15"/>
  <c r="M2903" i="15" s="1"/>
  <c r="L2902" i="15"/>
  <c r="M2902" i="15" s="1"/>
  <c r="L2901" i="15"/>
  <c r="M2901" i="15" s="1"/>
  <c r="L2900" i="15"/>
  <c r="M2900" i="15" s="1"/>
  <c r="L2899" i="15"/>
  <c r="M2899" i="15" s="1"/>
  <c r="L2898" i="15"/>
  <c r="M2898" i="15" s="1"/>
  <c r="L2897" i="15"/>
  <c r="M2897" i="15" s="1"/>
  <c r="L2896" i="15"/>
  <c r="M2896" i="15" s="1"/>
  <c r="L2895" i="15"/>
  <c r="M2895" i="15" s="1"/>
  <c r="L2894" i="15"/>
  <c r="M2894" i="15" s="1"/>
  <c r="L2893" i="15"/>
  <c r="M2893" i="15" s="1"/>
  <c r="L2892" i="15"/>
  <c r="M2892" i="15" s="1"/>
  <c r="L2891" i="15"/>
  <c r="M2891" i="15" s="1"/>
  <c r="L2890" i="15"/>
  <c r="M2890" i="15" s="1"/>
  <c r="L2889" i="15"/>
  <c r="M2889" i="15" s="1"/>
  <c r="L2888" i="15"/>
  <c r="M2888" i="15" s="1"/>
  <c r="L2887" i="15"/>
  <c r="M2887" i="15" s="1"/>
  <c r="L2886" i="15"/>
  <c r="M2886" i="15" s="1"/>
  <c r="L2885" i="15"/>
  <c r="M2885" i="15" s="1"/>
  <c r="L2884" i="15"/>
  <c r="M2884" i="15" s="1"/>
  <c r="L2883" i="15"/>
  <c r="M2883" i="15" s="1"/>
  <c r="L2882" i="15"/>
  <c r="M2882" i="15" s="1"/>
  <c r="L2881" i="15"/>
  <c r="M2881" i="15" s="1"/>
  <c r="L2880" i="15"/>
  <c r="M2880" i="15" s="1"/>
  <c r="L2879" i="15"/>
  <c r="M2879" i="15" s="1"/>
  <c r="L2878" i="15"/>
  <c r="M2878" i="15" s="1"/>
  <c r="L2877" i="15"/>
  <c r="M2877" i="15" s="1"/>
  <c r="L2876" i="15"/>
  <c r="M2876" i="15" s="1"/>
  <c r="L2875" i="15"/>
  <c r="M2875" i="15" s="1"/>
  <c r="L2874" i="15"/>
  <c r="M2874" i="15" s="1"/>
  <c r="L2873" i="15"/>
  <c r="M2873" i="15" s="1"/>
  <c r="L2872" i="15"/>
  <c r="M2872" i="15" s="1"/>
  <c r="L2871" i="15"/>
  <c r="M2871" i="15" s="1"/>
  <c r="L2870" i="15"/>
  <c r="M2870" i="15" s="1"/>
  <c r="L2869" i="15"/>
  <c r="M2869" i="15" s="1"/>
  <c r="L2868" i="15"/>
  <c r="M2868" i="15" s="1"/>
  <c r="L2867" i="15"/>
  <c r="M2867" i="15" s="1"/>
  <c r="L2866" i="15"/>
  <c r="M2866" i="15" s="1"/>
  <c r="L2865" i="15"/>
  <c r="M2865" i="15" s="1"/>
  <c r="L2864" i="15"/>
  <c r="M2864" i="15" s="1"/>
  <c r="L2863" i="15"/>
  <c r="M2863" i="15" s="1"/>
  <c r="L2862" i="15"/>
  <c r="M2862" i="15" s="1"/>
  <c r="L2861" i="15"/>
  <c r="M2861" i="15" s="1"/>
  <c r="L2860" i="15"/>
  <c r="M2860" i="15" s="1"/>
  <c r="L2859" i="15"/>
  <c r="M2859" i="15" s="1"/>
  <c r="L2858" i="15"/>
  <c r="M2858" i="15" s="1"/>
  <c r="L2857" i="15"/>
  <c r="M2857" i="15" s="1"/>
  <c r="L2856" i="15"/>
  <c r="M2856" i="15" s="1"/>
  <c r="L2855" i="15"/>
  <c r="M2855" i="15" s="1"/>
  <c r="L2854" i="15"/>
  <c r="M2854" i="15" s="1"/>
  <c r="L2853" i="15"/>
  <c r="M2853" i="15" s="1"/>
  <c r="L2852" i="15"/>
  <c r="M2852" i="15" s="1"/>
  <c r="L2851" i="15"/>
  <c r="M2851" i="15" s="1"/>
  <c r="L2850" i="15"/>
  <c r="M2850" i="15" s="1"/>
  <c r="L2849" i="15"/>
  <c r="M2849" i="15" s="1"/>
  <c r="L2848" i="15"/>
  <c r="M2848" i="15" s="1"/>
  <c r="L2847" i="15"/>
  <c r="M2847" i="15" s="1"/>
  <c r="L2846" i="15"/>
  <c r="M2846" i="15" s="1"/>
  <c r="L2845" i="15"/>
  <c r="M2845" i="15" s="1"/>
  <c r="L2844" i="15"/>
  <c r="M2844" i="15" s="1"/>
  <c r="L2843" i="15"/>
  <c r="M2843" i="15" s="1"/>
  <c r="L2842" i="15"/>
  <c r="M2842" i="15" s="1"/>
  <c r="L2841" i="15"/>
  <c r="M2841" i="15" s="1"/>
  <c r="L2840" i="15"/>
  <c r="M2840" i="15" s="1"/>
  <c r="L2839" i="15"/>
  <c r="M2839" i="15" s="1"/>
  <c r="L2838" i="15"/>
  <c r="M2838" i="15" s="1"/>
  <c r="L2837" i="15"/>
  <c r="M2837" i="15" s="1"/>
  <c r="L2836" i="15"/>
  <c r="M2836" i="15" s="1"/>
  <c r="L2835" i="15"/>
  <c r="M2835" i="15" s="1"/>
  <c r="L2834" i="15"/>
  <c r="M2834" i="15" s="1"/>
  <c r="L2833" i="15"/>
  <c r="M2833" i="15" s="1"/>
  <c r="L2832" i="15"/>
  <c r="M2832" i="15" s="1"/>
  <c r="L2831" i="15"/>
  <c r="M2831" i="15" s="1"/>
  <c r="L2830" i="15"/>
  <c r="M2830" i="15" s="1"/>
  <c r="L2829" i="15"/>
  <c r="M2829" i="15" s="1"/>
  <c r="L2828" i="15"/>
  <c r="M2828" i="15" s="1"/>
  <c r="L2827" i="15"/>
  <c r="M2827" i="15" s="1"/>
  <c r="L2826" i="15"/>
  <c r="M2826" i="15" s="1"/>
  <c r="L2825" i="15"/>
  <c r="M2825" i="15" s="1"/>
  <c r="L2824" i="15"/>
  <c r="M2824" i="15" s="1"/>
  <c r="L2823" i="15"/>
  <c r="M2823" i="15" s="1"/>
  <c r="L2822" i="15"/>
  <c r="M2822" i="15" s="1"/>
  <c r="L2821" i="15"/>
  <c r="M2821" i="15" s="1"/>
  <c r="L2820" i="15"/>
  <c r="M2820" i="15" s="1"/>
  <c r="L2819" i="15"/>
  <c r="M2819" i="15" s="1"/>
  <c r="L2818" i="15"/>
  <c r="M2818" i="15" s="1"/>
  <c r="L2817" i="15"/>
  <c r="M2817" i="15" s="1"/>
  <c r="L2816" i="15"/>
  <c r="M2816" i="15" s="1"/>
  <c r="L2815" i="15"/>
  <c r="M2815" i="15" s="1"/>
  <c r="L2814" i="15"/>
  <c r="M2814" i="15" s="1"/>
  <c r="L2813" i="15"/>
  <c r="M2813" i="15" s="1"/>
  <c r="L2812" i="15"/>
  <c r="M2812" i="15" s="1"/>
  <c r="L2811" i="15"/>
  <c r="M2811" i="15" s="1"/>
  <c r="L2810" i="15"/>
  <c r="M2810" i="15" s="1"/>
  <c r="L2809" i="15"/>
  <c r="M2809" i="15" s="1"/>
  <c r="L2808" i="15"/>
  <c r="M2808" i="15" s="1"/>
  <c r="L2807" i="15"/>
  <c r="M2807" i="15" s="1"/>
  <c r="L2806" i="15"/>
  <c r="M2806" i="15" s="1"/>
  <c r="L2805" i="15"/>
  <c r="M2805" i="15" s="1"/>
  <c r="L2804" i="15"/>
  <c r="M2804" i="15" s="1"/>
  <c r="L2803" i="15"/>
  <c r="M2803" i="15" s="1"/>
  <c r="L2802" i="15"/>
  <c r="M2802" i="15" s="1"/>
  <c r="L2801" i="15"/>
  <c r="M2801" i="15" s="1"/>
  <c r="L2800" i="15"/>
  <c r="M2800" i="15" s="1"/>
  <c r="L2799" i="15"/>
  <c r="M2799" i="15" s="1"/>
  <c r="L2798" i="15"/>
  <c r="M2798" i="15" s="1"/>
  <c r="L2797" i="15"/>
  <c r="M2797" i="15" s="1"/>
  <c r="L2796" i="15"/>
  <c r="M2796" i="15" s="1"/>
  <c r="L2795" i="15"/>
  <c r="M2795" i="15" s="1"/>
  <c r="L2794" i="15"/>
  <c r="M2794" i="15" s="1"/>
  <c r="L2793" i="15"/>
  <c r="M2793" i="15" s="1"/>
  <c r="L2792" i="15"/>
  <c r="M2792" i="15" s="1"/>
  <c r="L2791" i="15"/>
  <c r="M2791" i="15" s="1"/>
  <c r="L2790" i="15"/>
  <c r="M2790" i="15" s="1"/>
  <c r="L2789" i="15"/>
  <c r="M2789" i="15" s="1"/>
  <c r="L2788" i="15"/>
  <c r="M2788" i="15" s="1"/>
  <c r="L2787" i="15"/>
  <c r="M2787" i="15" s="1"/>
  <c r="L2786" i="15"/>
  <c r="M2786" i="15" s="1"/>
  <c r="L2785" i="15"/>
  <c r="M2785" i="15" s="1"/>
  <c r="L2784" i="15"/>
  <c r="M2784" i="15" s="1"/>
  <c r="L2783" i="15"/>
  <c r="M2783" i="15" s="1"/>
  <c r="L2782" i="15"/>
  <c r="M2782" i="15" s="1"/>
  <c r="L2781" i="15"/>
  <c r="M2781" i="15" s="1"/>
  <c r="L2780" i="15"/>
  <c r="M2780" i="15" s="1"/>
  <c r="L2779" i="15"/>
  <c r="M2779" i="15" s="1"/>
  <c r="L2778" i="15"/>
  <c r="M2778" i="15" s="1"/>
  <c r="L2777" i="15"/>
  <c r="M2777" i="15" s="1"/>
  <c r="L2776" i="15"/>
  <c r="M2776" i="15" s="1"/>
  <c r="L2775" i="15"/>
  <c r="M2775" i="15" s="1"/>
  <c r="L2774" i="15"/>
  <c r="M2774" i="15" s="1"/>
  <c r="L2773" i="15"/>
  <c r="M2773" i="15" s="1"/>
  <c r="L2772" i="15"/>
  <c r="M2772" i="15" s="1"/>
  <c r="L2771" i="15"/>
  <c r="M2771" i="15" s="1"/>
  <c r="L2770" i="15"/>
  <c r="M2770" i="15" s="1"/>
  <c r="L2769" i="15"/>
  <c r="M2769" i="15" s="1"/>
  <c r="L2768" i="15"/>
  <c r="M2768" i="15" s="1"/>
  <c r="L2767" i="15"/>
  <c r="M2767" i="15" s="1"/>
  <c r="L2766" i="15"/>
  <c r="M2766" i="15" s="1"/>
  <c r="L2765" i="15"/>
  <c r="M2765" i="15" s="1"/>
  <c r="L2764" i="15"/>
  <c r="M2764" i="15" s="1"/>
  <c r="L2763" i="15"/>
  <c r="M2763" i="15" s="1"/>
  <c r="L2762" i="15"/>
  <c r="M2762" i="15" s="1"/>
  <c r="L2761" i="15"/>
  <c r="M2761" i="15" s="1"/>
  <c r="L2760" i="15"/>
  <c r="M2760" i="15" s="1"/>
  <c r="L2759" i="15"/>
  <c r="M2759" i="15" s="1"/>
  <c r="L2758" i="15"/>
  <c r="M2758" i="15" s="1"/>
  <c r="L2757" i="15"/>
  <c r="M2757" i="15" s="1"/>
  <c r="L2756" i="15"/>
  <c r="M2756" i="15" s="1"/>
  <c r="L2755" i="15"/>
  <c r="M2755" i="15" s="1"/>
  <c r="L2754" i="15"/>
  <c r="M2754" i="15" s="1"/>
  <c r="L2753" i="15"/>
  <c r="M2753" i="15" s="1"/>
  <c r="L2752" i="15"/>
  <c r="M2752" i="15" s="1"/>
  <c r="L2751" i="15"/>
  <c r="M2751" i="15" s="1"/>
  <c r="L2750" i="15"/>
  <c r="M2750" i="15" s="1"/>
  <c r="L2749" i="15"/>
  <c r="M2749" i="15" s="1"/>
  <c r="L2748" i="15"/>
  <c r="M2748" i="15" s="1"/>
  <c r="L2747" i="15"/>
  <c r="M2747" i="15" s="1"/>
  <c r="L2746" i="15"/>
  <c r="M2746" i="15" s="1"/>
  <c r="L2745" i="15"/>
  <c r="M2745" i="15" s="1"/>
  <c r="L2744" i="15"/>
  <c r="M2744" i="15" s="1"/>
  <c r="L2743" i="15"/>
  <c r="M2743" i="15" s="1"/>
  <c r="L2742" i="15"/>
  <c r="M2742" i="15" s="1"/>
  <c r="L2741" i="15"/>
  <c r="M2741" i="15" s="1"/>
  <c r="L2740" i="15"/>
  <c r="M2740" i="15" s="1"/>
  <c r="L2739" i="15"/>
  <c r="M2739" i="15" s="1"/>
  <c r="L2738" i="15"/>
  <c r="M2738" i="15" s="1"/>
  <c r="L2737" i="15"/>
  <c r="M2737" i="15" s="1"/>
  <c r="L2736" i="15"/>
  <c r="M2736" i="15" s="1"/>
  <c r="L2735" i="15"/>
  <c r="M2735" i="15" s="1"/>
  <c r="L2734" i="15"/>
  <c r="M2734" i="15" s="1"/>
  <c r="L2733" i="15"/>
  <c r="M2733" i="15" s="1"/>
  <c r="L2732" i="15"/>
  <c r="M2732" i="15" s="1"/>
  <c r="L2731" i="15"/>
  <c r="M2731" i="15" s="1"/>
  <c r="L2730" i="15"/>
  <c r="M2730" i="15" s="1"/>
  <c r="L2729" i="15"/>
  <c r="M2729" i="15" s="1"/>
  <c r="L2728" i="15"/>
  <c r="M2728" i="15" s="1"/>
  <c r="L2727" i="15"/>
  <c r="M2727" i="15" s="1"/>
  <c r="L2726" i="15"/>
  <c r="M2726" i="15" s="1"/>
  <c r="L2725" i="15"/>
  <c r="M2725" i="15" s="1"/>
  <c r="L2724" i="15"/>
  <c r="M2724" i="15" s="1"/>
  <c r="L2723" i="15"/>
  <c r="M2723" i="15" s="1"/>
  <c r="L2722" i="15"/>
  <c r="M2722" i="15" s="1"/>
  <c r="L2721" i="15"/>
  <c r="M2721" i="15" s="1"/>
  <c r="L2720" i="15"/>
  <c r="M2720" i="15" s="1"/>
  <c r="L2719" i="15"/>
  <c r="M2719" i="15" s="1"/>
  <c r="L2718" i="15"/>
  <c r="M2718" i="15" s="1"/>
  <c r="L2717" i="15"/>
  <c r="M2717" i="15" s="1"/>
  <c r="L2716" i="15"/>
  <c r="M2716" i="15" s="1"/>
  <c r="L2715" i="15"/>
  <c r="M2715" i="15" s="1"/>
  <c r="L2714" i="15"/>
  <c r="M2714" i="15" s="1"/>
  <c r="L2713" i="15"/>
  <c r="M2713" i="15" s="1"/>
  <c r="L2712" i="15"/>
  <c r="M2712" i="15" s="1"/>
  <c r="L2711" i="15"/>
  <c r="M2711" i="15" s="1"/>
  <c r="L2710" i="15"/>
  <c r="M2710" i="15" s="1"/>
  <c r="L2709" i="15"/>
  <c r="M2709" i="15" s="1"/>
  <c r="L2708" i="15"/>
  <c r="M2708" i="15" s="1"/>
  <c r="L2707" i="15"/>
  <c r="M2707" i="15" s="1"/>
  <c r="L2706" i="15"/>
  <c r="M2706" i="15" s="1"/>
  <c r="L2705" i="15"/>
  <c r="M2705" i="15" s="1"/>
  <c r="L2704" i="15"/>
  <c r="M2704" i="15" s="1"/>
  <c r="L2703" i="15"/>
  <c r="M2703" i="15" s="1"/>
  <c r="L2702" i="15"/>
  <c r="M2702" i="15" s="1"/>
  <c r="L2701" i="15"/>
  <c r="M2701" i="15" s="1"/>
  <c r="L2700" i="15"/>
  <c r="M2700" i="15" s="1"/>
  <c r="L2699" i="15"/>
  <c r="M2699" i="15" s="1"/>
  <c r="L2698" i="15"/>
  <c r="M2698" i="15" s="1"/>
  <c r="L2697" i="15"/>
  <c r="M2697" i="15" s="1"/>
  <c r="L2696" i="15"/>
  <c r="M2696" i="15" s="1"/>
  <c r="L2695" i="15"/>
  <c r="M2695" i="15" s="1"/>
  <c r="L2694" i="15"/>
  <c r="M2694" i="15" s="1"/>
  <c r="L2693" i="15"/>
  <c r="M2693" i="15" s="1"/>
  <c r="L2692" i="15"/>
  <c r="M2692" i="15" s="1"/>
  <c r="L2691" i="15"/>
  <c r="M2691" i="15" s="1"/>
  <c r="L2690" i="15"/>
  <c r="M2690" i="15" s="1"/>
  <c r="L2689" i="15"/>
  <c r="M2689" i="15" s="1"/>
  <c r="L2688" i="15"/>
  <c r="M2688" i="15" s="1"/>
  <c r="L2687" i="15"/>
  <c r="M2687" i="15" s="1"/>
  <c r="L2686" i="15"/>
  <c r="M2686" i="15" s="1"/>
  <c r="L2685" i="15"/>
  <c r="M2685" i="15" s="1"/>
  <c r="L2684" i="15"/>
  <c r="M2684" i="15" s="1"/>
  <c r="L2683" i="15"/>
  <c r="M2683" i="15" s="1"/>
  <c r="L2682" i="15"/>
  <c r="M2682" i="15" s="1"/>
  <c r="L2681" i="15"/>
  <c r="M2681" i="15" s="1"/>
  <c r="L2680" i="15"/>
  <c r="M2680" i="15" s="1"/>
  <c r="L2679" i="15"/>
  <c r="M2679" i="15" s="1"/>
  <c r="L2678" i="15"/>
  <c r="M2678" i="15" s="1"/>
  <c r="L2677" i="15"/>
  <c r="M2677" i="15" s="1"/>
  <c r="L2676" i="15"/>
  <c r="M2676" i="15" s="1"/>
  <c r="L2675" i="15"/>
  <c r="M2675" i="15" s="1"/>
  <c r="L2674" i="15"/>
  <c r="M2674" i="15" s="1"/>
  <c r="L2673" i="15"/>
  <c r="M2673" i="15" s="1"/>
  <c r="L2672" i="15"/>
  <c r="M2672" i="15" s="1"/>
  <c r="L2671" i="15"/>
  <c r="M2671" i="15" s="1"/>
  <c r="L2670" i="15"/>
  <c r="M2670" i="15" s="1"/>
  <c r="L2669" i="15"/>
  <c r="M2669" i="15" s="1"/>
  <c r="L2668" i="15"/>
  <c r="M2668" i="15" s="1"/>
  <c r="L2667" i="15"/>
  <c r="M2667" i="15" s="1"/>
  <c r="L2666" i="15"/>
  <c r="M2666" i="15" s="1"/>
  <c r="L2665" i="15"/>
  <c r="M2665" i="15" s="1"/>
  <c r="L2664" i="15"/>
  <c r="M2664" i="15" s="1"/>
  <c r="L2663" i="15"/>
  <c r="M2663" i="15" s="1"/>
  <c r="L2662" i="15"/>
  <c r="M2662" i="15" s="1"/>
  <c r="L2661" i="15"/>
  <c r="M2661" i="15" s="1"/>
  <c r="L2660" i="15"/>
  <c r="M2660" i="15" s="1"/>
  <c r="L2659" i="15"/>
  <c r="M2659" i="15" s="1"/>
  <c r="L2658" i="15"/>
  <c r="M2658" i="15" s="1"/>
  <c r="L2657" i="15"/>
  <c r="M2657" i="15" s="1"/>
  <c r="L2656" i="15"/>
  <c r="M2656" i="15" s="1"/>
  <c r="L2655" i="15"/>
  <c r="M2655" i="15" s="1"/>
  <c r="L2654" i="15"/>
  <c r="M2654" i="15" s="1"/>
  <c r="L2653" i="15"/>
  <c r="M2653" i="15" s="1"/>
  <c r="L2652" i="15"/>
  <c r="M2652" i="15" s="1"/>
  <c r="L2651" i="15"/>
  <c r="M2651" i="15" s="1"/>
  <c r="L2650" i="15"/>
  <c r="M2650" i="15" s="1"/>
  <c r="L2649" i="15"/>
  <c r="M2649" i="15" s="1"/>
  <c r="L2648" i="15"/>
  <c r="M2648" i="15" s="1"/>
  <c r="L2647" i="15"/>
  <c r="M2647" i="15" s="1"/>
  <c r="L2646" i="15"/>
  <c r="M2646" i="15" s="1"/>
  <c r="L2645" i="15"/>
  <c r="M2645" i="15" s="1"/>
  <c r="L2644" i="15"/>
  <c r="M2644" i="15" s="1"/>
  <c r="L2643" i="15"/>
  <c r="M2643" i="15" s="1"/>
  <c r="L2642" i="15"/>
  <c r="M2642" i="15" s="1"/>
  <c r="L2641" i="15"/>
  <c r="M2641" i="15" s="1"/>
  <c r="L2640" i="15"/>
  <c r="M2640" i="15" s="1"/>
  <c r="L2639" i="15"/>
  <c r="M2639" i="15" s="1"/>
  <c r="L2638" i="15"/>
  <c r="M2638" i="15" s="1"/>
  <c r="L2637" i="15"/>
  <c r="M2637" i="15" s="1"/>
  <c r="L2636" i="15"/>
  <c r="M2636" i="15" s="1"/>
  <c r="L2635" i="15"/>
  <c r="M2635" i="15" s="1"/>
  <c r="L2634" i="15"/>
  <c r="M2634" i="15" s="1"/>
  <c r="L2633" i="15"/>
  <c r="M2633" i="15" s="1"/>
  <c r="L2632" i="15"/>
  <c r="M2632" i="15" s="1"/>
  <c r="L2631" i="15"/>
  <c r="M2631" i="15" s="1"/>
  <c r="L2630" i="15"/>
  <c r="M2630" i="15" s="1"/>
  <c r="L2629" i="15"/>
  <c r="M2629" i="15" s="1"/>
  <c r="L2628" i="15"/>
  <c r="M2628" i="15" s="1"/>
  <c r="L2627" i="15"/>
  <c r="M2627" i="15" s="1"/>
  <c r="L2626" i="15"/>
  <c r="M2626" i="15" s="1"/>
  <c r="L2625" i="15"/>
  <c r="M2625" i="15" s="1"/>
  <c r="L2624" i="15"/>
  <c r="M2624" i="15" s="1"/>
  <c r="L2623" i="15"/>
  <c r="M2623" i="15" s="1"/>
  <c r="L2622" i="15"/>
  <c r="M2622" i="15" s="1"/>
  <c r="L2621" i="15"/>
  <c r="M2621" i="15" s="1"/>
  <c r="L2620" i="15"/>
  <c r="M2620" i="15" s="1"/>
  <c r="L2619" i="15"/>
  <c r="M2619" i="15" s="1"/>
  <c r="L2618" i="15"/>
  <c r="M2618" i="15" s="1"/>
  <c r="L2617" i="15"/>
  <c r="M2617" i="15" s="1"/>
  <c r="L2616" i="15"/>
  <c r="M2616" i="15" s="1"/>
  <c r="L2615" i="15"/>
  <c r="M2615" i="15" s="1"/>
  <c r="L2614" i="15"/>
  <c r="M2614" i="15" s="1"/>
  <c r="L2613" i="15"/>
  <c r="M2613" i="15" s="1"/>
  <c r="L2612" i="15"/>
  <c r="M2612" i="15" s="1"/>
  <c r="L2611" i="15"/>
  <c r="M2611" i="15" s="1"/>
  <c r="L2610" i="15"/>
  <c r="M2610" i="15" s="1"/>
  <c r="L2609" i="15"/>
  <c r="M2609" i="15" s="1"/>
  <c r="L2608" i="15"/>
  <c r="M2608" i="15" s="1"/>
  <c r="L2607" i="15"/>
  <c r="M2607" i="15" s="1"/>
  <c r="L2606" i="15"/>
  <c r="M2606" i="15" s="1"/>
  <c r="L2605" i="15"/>
  <c r="M2605" i="15" s="1"/>
  <c r="L2604" i="15"/>
  <c r="M2604" i="15" s="1"/>
  <c r="L2603" i="15"/>
  <c r="M2603" i="15" s="1"/>
  <c r="L2602" i="15"/>
  <c r="M2602" i="15" s="1"/>
  <c r="L2601" i="15"/>
  <c r="M2601" i="15" s="1"/>
  <c r="L2600" i="15"/>
  <c r="M2600" i="15" s="1"/>
  <c r="L2599" i="15"/>
  <c r="M2599" i="15" s="1"/>
  <c r="L2598" i="15"/>
  <c r="M2598" i="15" s="1"/>
  <c r="L2597" i="15"/>
  <c r="M2597" i="15" s="1"/>
  <c r="L2596" i="15"/>
  <c r="M2596" i="15" s="1"/>
  <c r="L2595" i="15"/>
  <c r="M2595" i="15" s="1"/>
  <c r="L2594" i="15"/>
  <c r="M2594" i="15" s="1"/>
  <c r="L2593" i="15"/>
  <c r="M2593" i="15" s="1"/>
  <c r="L2592" i="15"/>
  <c r="M2592" i="15" s="1"/>
  <c r="L2591" i="15"/>
  <c r="M2591" i="15" s="1"/>
  <c r="L2590" i="15"/>
  <c r="M2590" i="15" s="1"/>
  <c r="L2589" i="15"/>
  <c r="M2589" i="15" s="1"/>
  <c r="L2588" i="15"/>
  <c r="M2588" i="15" s="1"/>
  <c r="L2587" i="15"/>
  <c r="M2587" i="15" s="1"/>
  <c r="L2586" i="15"/>
  <c r="M2586" i="15" s="1"/>
  <c r="L2585" i="15"/>
  <c r="M2585" i="15" s="1"/>
  <c r="L2584" i="15"/>
  <c r="M2584" i="15" s="1"/>
  <c r="L2583" i="15"/>
  <c r="M2583" i="15" s="1"/>
  <c r="L2582" i="15"/>
  <c r="M2582" i="15" s="1"/>
  <c r="L2581" i="15"/>
  <c r="M2581" i="15" s="1"/>
  <c r="L2580" i="15"/>
  <c r="M2580" i="15" s="1"/>
  <c r="L2579" i="15"/>
  <c r="M2579" i="15" s="1"/>
  <c r="L2578" i="15"/>
  <c r="M2578" i="15" s="1"/>
  <c r="L2577" i="15"/>
  <c r="M2577" i="15" s="1"/>
  <c r="L2576" i="15"/>
  <c r="M2576" i="15" s="1"/>
  <c r="L2575" i="15"/>
  <c r="M2575" i="15" s="1"/>
  <c r="L2574" i="15"/>
  <c r="M2574" i="15" s="1"/>
  <c r="L2573" i="15"/>
  <c r="M2573" i="15" s="1"/>
  <c r="L2572" i="15"/>
  <c r="M2572" i="15" s="1"/>
  <c r="L2571" i="15"/>
  <c r="M2571" i="15" s="1"/>
  <c r="L2570" i="15"/>
  <c r="M2570" i="15" s="1"/>
  <c r="L2569" i="15"/>
  <c r="M2569" i="15" s="1"/>
  <c r="L2568" i="15"/>
  <c r="M2568" i="15" s="1"/>
  <c r="L2567" i="15"/>
  <c r="M2567" i="15" s="1"/>
  <c r="L2566" i="15"/>
  <c r="M2566" i="15" s="1"/>
  <c r="L2565" i="15"/>
  <c r="M2565" i="15" s="1"/>
  <c r="L2564" i="15"/>
  <c r="M2564" i="15" s="1"/>
  <c r="L2563" i="15"/>
  <c r="M2563" i="15" s="1"/>
  <c r="L2562" i="15"/>
  <c r="M2562" i="15" s="1"/>
  <c r="L2561" i="15"/>
  <c r="M2561" i="15" s="1"/>
  <c r="L2560" i="15"/>
  <c r="M2560" i="15" s="1"/>
  <c r="L2559" i="15"/>
  <c r="M2559" i="15" s="1"/>
  <c r="L2558" i="15"/>
  <c r="M2558" i="15" s="1"/>
  <c r="L2557" i="15"/>
  <c r="M2557" i="15" s="1"/>
  <c r="L2556" i="15"/>
  <c r="M2556" i="15" s="1"/>
  <c r="L2555" i="15"/>
  <c r="M2555" i="15" s="1"/>
  <c r="L2554" i="15"/>
  <c r="M2554" i="15" s="1"/>
  <c r="L2553" i="15"/>
  <c r="M2553" i="15" s="1"/>
  <c r="L2552" i="15"/>
  <c r="M2552" i="15" s="1"/>
  <c r="L2551" i="15"/>
  <c r="M2551" i="15" s="1"/>
  <c r="L2550" i="15"/>
  <c r="M2550" i="15" s="1"/>
  <c r="L2549" i="15"/>
  <c r="M2549" i="15" s="1"/>
  <c r="L2548" i="15"/>
  <c r="M2548" i="15" s="1"/>
  <c r="L2547" i="15"/>
  <c r="M2547" i="15" s="1"/>
  <c r="L2546" i="15"/>
  <c r="M2546" i="15" s="1"/>
  <c r="L2545" i="15"/>
  <c r="M2545" i="15" s="1"/>
  <c r="L2544" i="15"/>
  <c r="M2544" i="15" s="1"/>
  <c r="L2543" i="15"/>
  <c r="M2543" i="15" s="1"/>
  <c r="L2542" i="15"/>
  <c r="M2542" i="15" s="1"/>
  <c r="L2541" i="15"/>
  <c r="M2541" i="15" s="1"/>
  <c r="L2540" i="15"/>
  <c r="M2540" i="15" s="1"/>
  <c r="L2539" i="15"/>
  <c r="M2539" i="15" s="1"/>
  <c r="L2538" i="15"/>
  <c r="M2538" i="15" s="1"/>
  <c r="L2537" i="15"/>
  <c r="M2537" i="15" s="1"/>
  <c r="L2536" i="15"/>
  <c r="M2536" i="15" s="1"/>
  <c r="L2535" i="15"/>
  <c r="M2535" i="15" s="1"/>
  <c r="L2534" i="15"/>
  <c r="M2534" i="15" s="1"/>
  <c r="L2533" i="15"/>
  <c r="M2533" i="15" s="1"/>
  <c r="L2532" i="15"/>
  <c r="M2532" i="15" s="1"/>
  <c r="L2531" i="15"/>
  <c r="M2531" i="15" s="1"/>
  <c r="L2530" i="15"/>
  <c r="M2530" i="15" s="1"/>
  <c r="L2529" i="15"/>
  <c r="M2529" i="15" s="1"/>
  <c r="L2528" i="15"/>
  <c r="M2528" i="15" s="1"/>
  <c r="L2527" i="15"/>
  <c r="M2527" i="15" s="1"/>
  <c r="L2526" i="15"/>
  <c r="M2526" i="15" s="1"/>
  <c r="L2525" i="15"/>
  <c r="M2525" i="15" s="1"/>
  <c r="L2524" i="15"/>
  <c r="M2524" i="15" s="1"/>
  <c r="L2523" i="15"/>
  <c r="M2523" i="15" s="1"/>
  <c r="L2522" i="15"/>
  <c r="M2522" i="15" s="1"/>
  <c r="L2521" i="15"/>
  <c r="M2521" i="15" s="1"/>
  <c r="L2520" i="15"/>
  <c r="M2520" i="15" s="1"/>
  <c r="L2519" i="15"/>
  <c r="M2519" i="15" s="1"/>
  <c r="L2518" i="15"/>
  <c r="M2518" i="15" s="1"/>
  <c r="L2517" i="15"/>
  <c r="M2517" i="15" s="1"/>
  <c r="L2516" i="15"/>
  <c r="M2516" i="15" s="1"/>
  <c r="L2515" i="15"/>
  <c r="M2515" i="15" s="1"/>
  <c r="L2514" i="15"/>
  <c r="M2514" i="15" s="1"/>
  <c r="L2513" i="15"/>
  <c r="M2513" i="15" s="1"/>
  <c r="L2512" i="15"/>
  <c r="M2512" i="15" s="1"/>
  <c r="L2511" i="15"/>
  <c r="M2511" i="15" s="1"/>
  <c r="L2510" i="15"/>
  <c r="M2510" i="15" s="1"/>
  <c r="L2509" i="15"/>
  <c r="M2509" i="15" s="1"/>
  <c r="L2508" i="15"/>
  <c r="M2508" i="15" s="1"/>
  <c r="L2507" i="15"/>
  <c r="M2507" i="15" s="1"/>
  <c r="L2506" i="15"/>
  <c r="M2506" i="15" s="1"/>
  <c r="L2505" i="15"/>
  <c r="M2505" i="15" s="1"/>
  <c r="L2504" i="15"/>
  <c r="M2504" i="15" s="1"/>
  <c r="L2503" i="15"/>
  <c r="M2503" i="15" s="1"/>
  <c r="L2502" i="15"/>
  <c r="M2502" i="15" s="1"/>
  <c r="L2501" i="15"/>
  <c r="M2501" i="15" s="1"/>
  <c r="L2500" i="15"/>
  <c r="M2500" i="15" s="1"/>
  <c r="L2499" i="15"/>
  <c r="M2499" i="15" s="1"/>
  <c r="L2498" i="15"/>
  <c r="M2498" i="15" s="1"/>
  <c r="L2497" i="15"/>
  <c r="M2497" i="15" s="1"/>
  <c r="L2496" i="15"/>
  <c r="M2496" i="15" s="1"/>
  <c r="L2495" i="15"/>
  <c r="M2495" i="15" s="1"/>
  <c r="L2494" i="15"/>
  <c r="M2494" i="15" s="1"/>
  <c r="L2493" i="15"/>
  <c r="M2493" i="15" s="1"/>
  <c r="L2492" i="15"/>
  <c r="M2492" i="15" s="1"/>
  <c r="L2491" i="15"/>
  <c r="M2491" i="15" s="1"/>
  <c r="L2490" i="15"/>
  <c r="M2490" i="15" s="1"/>
  <c r="L2489" i="15"/>
  <c r="M2489" i="15" s="1"/>
  <c r="L2488" i="15"/>
  <c r="M2488" i="15" s="1"/>
  <c r="L2487" i="15"/>
  <c r="M2487" i="15" s="1"/>
  <c r="L2486" i="15"/>
  <c r="M2486" i="15" s="1"/>
  <c r="L2485" i="15"/>
  <c r="M2485" i="15" s="1"/>
  <c r="L2484" i="15"/>
  <c r="M2484" i="15" s="1"/>
  <c r="L2483" i="15"/>
  <c r="M2483" i="15" s="1"/>
  <c r="L2482" i="15"/>
  <c r="M2482" i="15" s="1"/>
  <c r="L2481" i="15"/>
  <c r="M2481" i="15" s="1"/>
  <c r="L2480" i="15"/>
  <c r="M2480" i="15" s="1"/>
  <c r="L2479" i="15"/>
  <c r="M2479" i="15" s="1"/>
  <c r="L2478" i="15"/>
  <c r="M2478" i="15" s="1"/>
  <c r="L2477" i="15"/>
  <c r="M2477" i="15" s="1"/>
  <c r="L2476" i="15"/>
  <c r="M2476" i="15" s="1"/>
  <c r="L2475" i="15"/>
  <c r="M2475" i="15" s="1"/>
  <c r="L2474" i="15"/>
  <c r="M2474" i="15" s="1"/>
  <c r="L2473" i="15"/>
  <c r="M2473" i="15" s="1"/>
  <c r="L2472" i="15"/>
  <c r="M2472" i="15" s="1"/>
  <c r="L2471" i="15"/>
  <c r="M2471" i="15" s="1"/>
  <c r="L2470" i="15"/>
  <c r="M2470" i="15" s="1"/>
  <c r="L2469" i="15"/>
  <c r="M2469" i="15" s="1"/>
  <c r="L2468" i="15"/>
  <c r="M2468" i="15" s="1"/>
  <c r="L2467" i="15"/>
  <c r="M2467" i="15" s="1"/>
  <c r="L2466" i="15"/>
  <c r="M2466" i="15" s="1"/>
  <c r="L2465" i="15"/>
  <c r="M2465" i="15" s="1"/>
  <c r="L2464" i="15"/>
  <c r="M2464" i="15" s="1"/>
  <c r="L2463" i="15"/>
  <c r="M2463" i="15" s="1"/>
  <c r="L2462" i="15"/>
  <c r="M2462" i="15" s="1"/>
  <c r="L2461" i="15"/>
  <c r="M2461" i="15" s="1"/>
  <c r="L2460" i="15"/>
  <c r="M2460" i="15" s="1"/>
  <c r="L2459" i="15"/>
  <c r="M2459" i="15" s="1"/>
  <c r="L2458" i="15"/>
  <c r="M2458" i="15" s="1"/>
  <c r="L2457" i="15"/>
  <c r="M2457" i="15" s="1"/>
  <c r="L2456" i="15"/>
  <c r="M2456" i="15" s="1"/>
  <c r="L2455" i="15"/>
  <c r="M2455" i="15" s="1"/>
  <c r="L2454" i="15"/>
  <c r="M2454" i="15" s="1"/>
  <c r="L2453" i="15"/>
  <c r="M2453" i="15" s="1"/>
  <c r="L2452" i="15"/>
  <c r="M2452" i="15" s="1"/>
  <c r="L2451" i="15"/>
  <c r="M2451" i="15" s="1"/>
  <c r="L2450" i="15"/>
  <c r="M2450" i="15" s="1"/>
  <c r="L2449" i="15"/>
  <c r="M2449" i="15" s="1"/>
  <c r="L2448" i="15"/>
  <c r="M2448" i="15" s="1"/>
  <c r="L2447" i="15"/>
  <c r="M2447" i="15" s="1"/>
  <c r="L2446" i="15"/>
  <c r="M2446" i="15" s="1"/>
  <c r="L2445" i="15"/>
  <c r="M2445" i="15" s="1"/>
  <c r="L2444" i="15"/>
  <c r="M2444" i="15" s="1"/>
  <c r="L2443" i="15"/>
  <c r="M2443" i="15" s="1"/>
  <c r="L2442" i="15"/>
  <c r="M2442" i="15" s="1"/>
  <c r="L2441" i="15"/>
  <c r="M2441" i="15" s="1"/>
  <c r="L2440" i="15"/>
  <c r="M2440" i="15" s="1"/>
  <c r="L2439" i="15"/>
  <c r="M2439" i="15" s="1"/>
  <c r="L2438" i="15"/>
  <c r="M2438" i="15" s="1"/>
  <c r="L2437" i="15"/>
  <c r="M2437" i="15" s="1"/>
  <c r="L2436" i="15"/>
  <c r="M2436" i="15" s="1"/>
  <c r="L2435" i="15"/>
  <c r="M2435" i="15" s="1"/>
  <c r="L2434" i="15"/>
  <c r="M2434" i="15" s="1"/>
  <c r="L2433" i="15"/>
  <c r="M2433" i="15" s="1"/>
  <c r="L2432" i="15"/>
  <c r="M2432" i="15" s="1"/>
  <c r="L2431" i="15"/>
  <c r="M2431" i="15" s="1"/>
  <c r="L2430" i="15"/>
  <c r="M2430" i="15" s="1"/>
  <c r="L2429" i="15"/>
  <c r="M2429" i="15" s="1"/>
  <c r="L2428" i="15"/>
  <c r="M2428" i="15" s="1"/>
  <c r="L2427" i="15"/>
  <c r="M2427" i="15" s="1"/>
  <c r="L2426" i="15"/>
  <c r="M2426" i="15" s="1"/>
  <c r="L2425" i="15"/>
  <c r="M2425" i="15" s="1"/>
  <c r="L2424" i="15"/>
  <c r="M2424" i="15" s="1"/>
  <c r="L2423" i="15"/>
  <c r="M2423" i="15" s="1"/>
  <c r="L2422" i="15"/>
  <c r="M2422" i="15" s="1"/>
  <c r="L2421" i="15"/>
  <c r="M2421" i="15" s="1"/>
  <c r="L2420" i="15"/>
  <c r="M2420" i="15" s="1"/>
  <c r="L2419" i="15"/>
  <c r="M2419" i="15" s="1"/>
  <c r="L2418" i="15"/>
  <c r="M2418" i="15" s="1"/>
  <c r="L2417" i="15"/>
  <c r="M2417" i="15" s="1"/>
  <c r="L2416" i="15"/>
  <c r="M2416" i="15" s="1"/>
  <c r="L2415" i="15"/>
  <c r="M2415" i="15" s="1"/>
  <c r="L2414" i="15"/>
  <c r="M2414" i="15" s="1"/>
  <c r="L2413" i="15"/>
  <c r="M2413" i="15" s="1"/>
  <c r="L2412" i="15"/>
  <c r="M2412" i="15" s="1"/>
  <c r="L2411" i="15"/>
  <c r="M2411" i="15" s="1"/>
  <c r="L2410" i="15"/>
  <c r="M2410" i="15" s="1"/>
  <c r="L2409" i="15"/>
  <c r="M2409" i="15" s="1"/>
  <c r="L2408" i="15"/>
  <c r="M2408" i="15" s="1"/>
  <c r="L2407" i="15"/>
  <c r="M2407" i="15" s="1"/>
  <c r="L2406" i="15"/>
  <c r="M2406" i="15" s="1"/>
  <c r="L2405" i="15"/>
  <c r="M2405" i="15" s="1"/>
  <c r="L2404" i="15"/>
  <c r="M2404" i="15" s="1"/>
  <c r="L2403" i="15"/>
  <c r="M2403" i="15" s="1"/>
  <c r="L2402" i="15"/>
  <c r="M2402" i="15" s="1"/>
  <c r="L2401" i="15"/>
  <c r="M2401" i="15" s="1"/>
  <c r="L2400" i="15"/>
  <c r="M2400" i="15" s="1"/>
  <c r="L2399" i="15"/>
  <c r="M2399" i="15" s="1"/>
  <c r="L2398" i="15"/>
  <c r="M2398" i="15" s="1"/>
  <c r="L2397" i="15"/>
  <c r="M2397" i="15" s="1"/>
  <c r="L2396" i="15"/>
  <c r="M2396" i="15" s="1"/>
  <c r="L2395" i="15"/>
  <c r="M2395" i="15" s="1"/>
  <c r="L2394" i="15"/>
  <c r="M2394" i="15" s="1"/>
  <c r="L2393" i="15"/>
  <c r="M2393" i="15" s="1"/>
  <c r="L2392" i="15"/>
  <c r="M2392" i="15" s="1"/>
  <c r="L2391" i="15"/>
  <c r="M2391" i="15" s="1"/>
  <c r="L2390" i="15"/>
  <c r="M2390" i="15" s="1"/>
  <c r="L2389" i="15"/>
  <c r="M2389" i="15" s="1"/>
  <c r="L2388" i="15"/>
  <c r="M2388" i="15" s="1"/>
  <c r="L2387" i="15"/>
  <c r="M2387" i="15" s="1"/>
  <c r="L2386" i="15"/>
  <c r="M2386" i="15" s="1"/>
  <c r="L2385" i="15"/>
  <c r="M2385" i="15" s="1"/>
  <c r="L2384" i="15"/>
  <c r="M2384" i="15" s="1"/>
  <c r="L2383" i="15"/>
  <c r="M2383" i="15" s="1"/>
  <c r="L2382" i="15"/>
  <c r="M2382" i="15" s="1"/>
  <c r="L2381" i="15"/>
  <c r="M2381" i="15" s="1"/>
  <c r="L2380" i="15"/>
  <c r="M2380" i="15" s="1"/>
  <c r="L2379" i="15"/>
  <c r="M2379" i="15" s="1"/>
  <c r="L2378" i="15"/>
  <c r="M2378" i="15" s="1"/>
  <c r="L2377" i="15"/>
  <c r="M2377" i="15" s="1"/>
  <c r="L2376" i="15"/>
  <c r="M2376" i="15" s="1"/>
  <c r="L2375" i="15"/>
  <c r="M2375" i="15" s="1"/>
  <c r="L2374" i="15"/>
  <c r="M2374" i="15" s="1"/>
  <c r="L2373" i="15"/>
  <c r="M2373" i="15" s="1"/>
  <c r="L2372" i="15"/>
  <c r="M2372" i="15" s="1"/>
  <c r="L2371" i="15"/>
  <c r="M2371" i="15" s="1"/>
  <c r="L2370" i="15"/>
  <c r="M2370" i="15" s="1"/>
  <c r="L2369" i="15"/>
  <c r="M2369" i="15" s="1"/>
  <c r="L2368" i="15"/>
  <c r="M2368" i="15" s="1"/>
  <c r="L2367" i="15"/>
  <c r="M2367" i="15" s="1"/>
  <c r="L2366" i="15"/>
  <c r="M2366" i="15" s="1"/>
  <c r="L2365" i="15"/>
  <c r="M2365" i="15" s="1"/>
  <c r="L2364" i="15"/>
  <c r="M2364" i="15" s="1"/>
  <c r="L2363" i="15"/>
  <c r="M2363" i="15" s="1"/>
  <c r="L2362" i="15"/>
  <c r="M2362" i="15" s="1"/>
  <c r="L2361" i="15"/>
  <c r="M2361" i="15" s="1"/>
  <c r="L2360" i="15"/>
  <c r="M2360" i="15" s="1"/>
  <c r="L2359" i="15"/>
  <c r="M2359" i="15" s="1"/>
  <c r="L2358" i="15"/>
  <c r="M2358" i="15" s="1"/>
  <c r="L2357" i="15"/>
  <c r="M2357" i="15" s="1"/>
  <c r="L2356" i="15"/>
  <c r="M2356" i="15" s="1"/>
  <c r="L2355" i="15"/>
  <c r="M2355" i="15" s="1"/>
  <c r="L2354" i="15"/>
  <c r="M2354" i="15" s="1"/>
  <c r="L2353" i="15"/>
  <c r="M2353" i="15" s="1"/>
  <c r="L2352" i="15"/>
  <c r="M2352" i="15" s="1"/>
  <c r="L2351" i="15"/>
  <c r="M2351" i="15" s="1"/>
  <c r="L2350" i="15"/>
  <c r="M2350" i="15" s="1"/>
  <c r="L2349" i="15"/>
  <c r="M2349" i="15" s="1"/>
  <c r="L2348" i="15"/>
  <c r="M2348" i="15" s="1"/>
  <c r="L2347" i="15"/>
  <c r="M2347" i="15" s="1"/>
  <c r="L2346" i="15"/>
  <c r="M2346" i="15" s="1"/>
  <c r="L2345" i="15"/>
  <c r="M2345" i="15" s="1"/>
  <c r="L2344" i="15"/>
  <c r="M2344" i="15" s="1"/>
  <c r="L2343" i="15"/>
  <c r="M2343" i="15" s="1"/>
  <c r="L2342" i="15"/>
  <c r="M2342" i="15" s="1"/>
  <c r="L2341" i="15"/>
  <c r="M2341" i="15" s="1"/>
  <c r="L2340" i="15"/>
  <c r="M2340" i="15" s="1"/>
  <c r="L2339" i="15"/>
  <c r="M2339" i="15" s="1"/>
  <c r="L2338" i="15"/>
  <c r="M2338" i="15" s="1"/>
  <c r="L2337" i="15"/>
  <c r="M2337" i="15" s="1"/>
  <c r="L2336" i="15"/>
  <c r="M2336" i="15" s="1"/>
  <c r="L2335" i="15"/>
  <c r="M2335" i="15" s="1"/>
  <c r="L2334" i="15"/>
  <c r="M2334" i="15" s="1"/>
  <c r="L2333" i="15"/>
  <c r="M2333" i="15" s="1"/>
  <c r="L2332" i="15"/>
  <c r="M2332" i="15" s="1"/>
  <c r="L2331" i="15"/>
  <c r="M2331" i="15" s="1"/>
  <c r="L2330" i="15"/>
  <c r="M2330" i="15" s="1"/>
  <c r="L2329" i="15"/>
  <c r="M2329" i="15" s="1"/>
  <c r="L2328" i="15"/>
  <c r="M2328" i="15" s="1"/>
  <c r="L2327" i="15"/>
  <c r="M2327" i="15" s="1"/>
  <c r="L2326" i="15"/>
  <c r="M2326" i="15" s="1"/>
  <c r="L2325" i="15"/>
  <c r="M2325" i="15" s="1"/>
  <c r="L2324" i="15"/>
  <c r="M2324" i="15" s="1"/>
  <c r="L2323" i="15"/>
  <c r="M2323" i="15" s="1"/>
  <c r="L2322" i="15"/>
  <c r="M2322" i="15" s="1"/>
  <c r="L2321" i="15"/>
  <c r="M2321" i="15" s="1"/>
  <c r="L2320" i="15"/>
  <c r="M2320" i="15" s="1"/>
  <c r="L2319" i="15"/>
  <c r="M2319" i="15" s="1"/>
  <c r="L2318" i="15"/>
  <c r="M2318" i="15" s="1"/>
  <c r="L2317" i="15"/>
  <c r="M2317" i="15" s="1"/>
  <c r="L2316" i="15"/>
  <c r="M2316" i="15" s="1"/>
  <c r="L2315" i="15"/>
  <c r="M2315" i="15" s="1"/>
  <c r="L2314" i="15"/>
  <c r="M2314" i="15" s="1"/>
  <c r="L2313" i="15"/>
  <c r="M2313" i="15" s="1"/>
  <c r="L2312" i="15"/>
  <c r="M2312" i="15" s="1"/>
  <c r="L2311" i="15"/>
  <c r="M2311" i="15" s="1"/>
  <c r="L2310" i="15"/>
  <c r="M2310" i="15" s="1"/>
  <c r="L2309" i="15"/>
  <c r="M2309" i="15" s="1"/>
  <c r="L2308" i="15"/>
  <c r="M2308" i="15" s="1"/>
  <c r="L2307" i="15"/>
  <c r="M2307" i="15" s="1"/>
  <c r="L2306" i="15"/>
  <c r="M2306" i="15" s="1"/>
  <c r="L2305" i="15"/>
  <c r="M2305" i="15" s="1"/>
  <c r="L2304" i="15"/>
  <c r="M2304" i="15" s="1"/>
  <c r="L2303" i="15"/>
  <c r="M2303" i="15" s="1"/>
  <c r="L2302" i="15"/>
  <c r="M2302" i="15" s="1"/>
  <c r="L2301" i="15"/>
  <c r="M2301" i="15" s="1"/>
  <c r="L2300" i="15"/>
  <c r="M2300" i="15" s="1"/>
  <c r="L2299" i="15"/>
  <c r="M2299" i="15" s="1"/>
  <c r="L2298" i="15"/>
  <c r="M2298" i="15" s="1"/>
  <c r="L2297" i="15"/>
  <c r="M2297" i="15" s="1"/>
  <c r="L2296" i="15"/>
  <c r="M2296" i="15" s="1"/>
  <c r="L2295" i="15"/>
  <c r="M2295" i="15" s="1"/>
  <c r="L2294" i="15"/>
  <c r="M2294" i="15" s="1"/>
  <c r="L2293" i="15"/>
  <c r="M2293" i="15" s="1"/>
  <c r="L2292" i="15"/>
  <c r="M2292" i="15" s="1"/>
  <c r="L2291" i="15"/>
  <c r="M2291" i="15" s="1"/>
  <c r="L2290" i="15"/>
  <c r="M2290" i="15" s="1"/>
  <c r="L2289" i="15"/>
  <c r="M2289" i="15" s="1"/>
  <c r="L2288" i="15"/>
  <c r="M2288" i="15" s="1"/>
  <c r="L2287" i="15"/>
  <c r="M2287" i="15" s="1"/>
  <c r="L2286" i="15"/>
  <c r="M2286" i="15" s="1"/>
  <c r="L2285" i="15"/>
  <c r="M2285" i="15" s="1"/>
  <c r="L2284" i="15"/>
  <c r="M2284" i="15" s="1"/>
  <c r="L2283" i="15"/>
  <c r="M2283" i="15" s="1"/>
  <c r="L2282" i="15"/>
  <c r="M2282" i="15" s="1"/>
  <c r="L2281" i="15"/>
  <c r="M2281" i="15" s="1"/>
  <c r="L2280" i="15"/>
  <c r="M2280" i="15" s="1"/>
  <c r="L2279" i="15"/>
  <c r="M2279" i="15" s="1"/>
  <c r="L2278" i="15"/>
  <c r="M2278" i="15" s="1"/>
  <c r="L2277" i="15"/>
  <c r="M2277" i="15" s="1"/>
  <c r="L2276" i="15"/>
  <c r="M2276" i="15" s="1"/>
  <c r="L2275" i="15"/>
  <c r="M2275" i="15" s="1"/>
  <c r="L2274" i="15"/>
  <c r="M2274" i="15" s="1"/>
  <c r="L2273" i="15"/>
  <c r="M2273" i="15" s="1"/>
  <c r="L2272" i="15"/>
  <c r="M2272" i="15" s="1"/>
  <c r="L2271" i="15"/>
  <c r="M2271" i="15" s="1"/>
  <c r="L2270" i="15"/>
  <c r="M2270" i="15" s="1"/>
  <c r="L2269" i="15"/>
  <c r="M2269" i="15" s="1"/>
  <c r="L2268" i="15"/>
  <c r="M2268" i="15" s="1"/>
  <c r="L2267" i="15"/>
  <c r="M2267" i="15" s="1"/>
  <c r="L2266" i="15"/>
  <c r="M2266" i="15" s="1"/>
  <c r="L2265" i="15"/>
  <c r="M2265" i="15" s="1"/>
  <c r="L2264" i="15"/>
  <c r="M2264" i="15" s="1"/>
  <c r="L2263" i="15"/>
  <c r="M2263" i="15" s="1"/>
  <c r="L2262" i="15"/>
  <c r="M2262" i="15" s="1"/>
  <c r="L2261" i="15"/>
  <c r="M2261" i="15" s="1"/>
  <c r="L2260" i="15"/>
  <c r="M2260" i="15" s="1"/>
  <c r="L2259" i="15"/>
  <c r="M2259" i="15" s="1"/>
  <c r="L2258" i="15"/>
  <c r="M2258" i="15" s="1"/>
  <c r="L2257" i="15"/>
  <c r="M2257" i="15" s="1"/>
  <c r="L2256" i="15"/>
  <c r="M2256" i="15" s="1"/>
  <c r="L2255" i="15"/>
  <c r="M2255" i="15" s="1"/>
  <c r="L2254" i="15"/>
  <c r="M2254" i="15" s="1"/>
  <c r="L2253" i="15"/>
  <c r="M2253" i="15" s="1"/>
  <c r="L2252" i="15"/>
  <c r="M2252" i="15" s="1"/>
  <c r="L2251" i="15"/>
  <c r="M2251" i="15" s="1"/>
  <c r="L2250" i="15"/>
  <c r="M2250" i="15" s="1"/>
  <c r="L2249" i="15"/>
  <c r="M2249" i="15" s="1"/>
  <c r="L2248" i="15"/>
  <c r="M2248" i="15" s="1"/>
  <c r="L2247" i="15"/>
  <c r="M2247" i="15" s="1"/>
  <c r="L2246" i="15"/>
  <c r="M2246" i="15" s="1"/>
  <c r="L2245" i="15"/>
  <c r="M2245" i="15" s="1"/>
  <c r="L2244" i="15"/>
  <c r="M2244" i="15" s="1"/>
  <c r="L2243" i="15"/>
  <c r="M2243" i="15" s="1"/>
  <c r="L2242" i="15"/>
  <c r="M2242" i="15" s="1"/>
  <c r="L2241" i="15"/>
  <c r="M2241" i="15" s="1"/>
  <c r="L2240" i="15"/>
  <c r="M2240" i="15" s="1"/>
  <c r="L2239" i="15"/>
  <c r="M2239" i="15" s="1"/>
  <c r="L2238" i="15"/>
  <c r="M2238" i="15" s="1"/>
  <c r="L2237" i="15"/>
  <c r="M2237" i="15" s="1"/>
  <c r="L2236" i="15"/>
  <c r="M2236" i="15" s="1"/>
  <c r="L2235" i="15"/>
  <c r="M2235" i="15" s="1"/>
  <c r="L2234" i="15"/>
  <c r="M2234" i="15" s="1"/>
  <c r="L2233" i="15"/>
  <c r="M2233" i="15" s="1"/>
  <c r="L2232" i="15"/>
  <c r="M2232" i="15" s="1"/>
  <c r="L2231" i="15"/>
  <c r="M2231" i="15" s="1"/>
  <c r="L2230" i="15"/>
  <c r="M2230" i="15" s="1"/>
  <c r="L2229" i="15"/>
  <c r="M2229" i="15" s="1"/>
  <c r="L2228" i="15"/>
  <c r="M2228" i="15" s="1"/>
  <c r="L2227" i="15"/>
  <c r="M2227" i="15" s="1"/>
  <c r="L2226" i="15"/>
  <c r="M2226" i="15" s="1"/>
  <c r="L2225" i="15"/>
  <c r="M2225" i="15" s="1"/>
  <c r="L2224" i="15"/>
  <c r="M2224" i="15" s="1"/>
  <c r="L2223" i="15"/>
  <c r="M2223" i="15" s="1"/>
  <c r="L2222" i="15"/>
  <c r="M2222" i="15" s="1"/>
  <c r="L2221" i="15"/>
  <c r="M2221" i="15" s="1"/>
  <c r="L2220" i="15"/>
  <c r="M2220" i="15" s="1"/>
  <c r="L2219" i="15"/>
  <c r="M2219" i="15" s="1"/>
  <c r="L2218" i="15"/>
  <c r="M2218" i="15" s="1"/>
  <c r="L2217" i="15"/>
  <c r="M2217" i="15" s="1"/>
  <c r="L2216" i="15"/>
  <c r="M2216" i="15" s="1"/>
  <c r="L2215" i="15"/>
  <c r="M2215" i="15" s="1"/>
  <c r="L2214" i="15"/>
  <c r="M2214" i="15" s="1"/>
  <c r="L2213" i="15"/>
  <c r="M2213" i="15" s="1"/>
  <c r="L2212" i="15"/>
  <c r="M2212" i="15" s="1"/>
  <c r="L2211" i="15"/>
  <c r="M2211" i="15" s="1"/>
  <c r="L2210" i="15"/>
  <c r="M2210" i="15" s="1"/>
  <c r="L2209" i="15"/>
  <c r="M2209" i="15" s="1"/>
  <c r="L2208" i="15"/>
  <c r="M2208" i="15" s="1"/>
  <c r="L2207" i="15"/>
  <c r="M2207" i="15" s="1"/>
  <c r="L2206" i="15"/>
  <c r="M2206" i="15" s="1"/>
  <c r="L2205" i="15"/>
  <c r="M2205" i="15" s="1"/>
  <c r="L2204" i="15"/>
  <c r="M2204" i="15" s="1"/>
  <c r="L2203" i="15"/>
  <c r="M2203" i="15" s="1"/>
  <c r="L2202" i="15"/>
  <c r="M2202" i="15" s="1"/>
  <c r="L2201" i="15"/>
  <c r="M2201" i="15" s="1"/>
  <c r="L2200" i="15"/>
  <c r="M2200" i="15" s="1"/>
  <c r="L2199" i="15"/>
  <c r="M2199" i="15" s="1"/>
  <c r="L2198" i="15"/>
  <c r="M2198" i="15" s="1"/>
  <c r="L2197" i="15"/>
  <c r="M2197" i="15" s="1"/>
  <c r="L2196" i="15"/>
  <c r="M2196" i="15" s="1"/>
  <c r="L2195" i="15"/>
  <c r="M2195" i="15" s="1"/>
  <c r="L2194" i="15"/>
  <c r="M2194" i="15" s="1"/>
  <c r="L2193" i="15"/>
  <c r="M2193" i="15" s="1"/>
  <c r="L2192" i="15"/>
  <c r="M2192" i="15" s="1"/>
  <c r="L2191" i="15"/>
  <c r="M2191" i="15" s="1"/>
  <c r="L2190" i="15"/>
  <c r="M2190" i="15" s="1"/>
  <c r="L2189" i="15"/>
  <c r="M2189" i="15" s="1"/>
  <c r="L2188" i="15"/>
  <c r="M2188" i="15" s="1"/>
  <c r="L2187" i="15"/>
  <c r="M2187" i="15" s="1"/>
  <c r="L2186" i="15"/>
  <c r="M2186" i="15" s="1"/>
  <c r="L2185" i="15"/>
  <c r="M2185" i="15" s="1"/>
  <c r="L2184" i="15"/>
  <c r="M2184" i="15" s="1"/>
  <c r="L2183" i="15"/>
  <c r="M2183" i="15" s="1"/>
  <c r="L2182" i="15"/>
  <c r="M2182" i="15" s="1"/>
  <c r="L2181" i="15"/>
  <c r="M2181" i="15" s="1"/>
  <c r="L2180" i="15"/>
  <c r="M2180" i="15" s="1"/>
  <c r="L2179" i="15"/>
  <c r="M2179" i="15" s="1"/>
  <c r="L2178" i="15"/>
  <c r="M2178" i="15" s="1"/>
  <c r="L2177" i="15"/>
  <c r="M2177" i="15" s="1"/>
  <c r="L2176" i="15"/>
  <c r="M2176" i="15" s="1"/>
  <c r="L2175" i="15"/>
  <c r="M2175" i="15" s="1"/>
  <c r="L2174" i="15"/>
  <c r="M2174" i="15" s="1"/>
  <c r="L2173" i="15"/>
  <c r="M2173" i="15" s="1"/>
  <c r="L2172" i="15"/>
  <c r="M2172" i="15" s="1"/>
  <c r="L2171" i="15"/>
  <c r="M2171" i="15" s="1"/>
  <c r="L2170" i="15"/>
  <c r="M2170" i="15" s="1"/>
  <c r="L2169" i="15"/>
  <c r="M2169" i="15" s="1"/>
  <c r="L2168" i="15"/>
  <c r="M2168" i="15" s="1"/>
  <c r="L2167" i="15"/>
  <c r="M2167" i="15" s="1"/>
  <c r="L2166" i="15"/>
  <c r="M2166" i="15" s="1"/>
  <c r="L2165" i="15"/>
  <c r="M2165" i="15" s="1"/>
  <c r="L2164" i="15"/>
  <c r="M2164" i="15" s="1"/>
  <c r="L2163" i="15"/>
  <c r="M2163" i="15" s="1"/>
  <c r="L2162" i="15"/>
  <c r="M2162" i="15" s="1"/>
  <c r="L2161" i="15"/>
  <c r="M2161" i="15" s="1"/>
  <c r="L2160" i="15"/>
  <c r="M2160" i="15" s="1"/>
  <c r="L2159" i="15"/>
  <c r="M2159" i="15" s="1"/>
  <c r="L2158" i="15"/>
  <c r="M2158" i="15" s="1"/>
  <c r="L2157" i="15"/>
  <c r="M2157" i="15" s="1"/>
  <c r="L2156" i="15"/>
  <c r="M2156" i="15" s="1"/>
  <c r="L2155" i="15"/>
  <c r="M2155" i="15" s="1"/>
  <c r="L2154" i="15"/>
  <c r="M2154" i="15" s="1"/>
  <c r="L2153" i="15"/>
  <c r="M2153" i="15" s="1"/>
  <c r="L2152" i="15"/>
  <c r="M2152" i="15" s="1"/>
  <c r="L2151" i="15"/>
  <c r="M2151" i="15" s="1"/>
  <c r="L2150" i="15"/>
  <c r="M2150" i="15" s="1"/>
  <c r="L2149" i="15"/>
  <c r="M2149" i="15" s="1"/>
  <c r="L2148" i="15"/>
  <c r="M2148" i="15" s="1"/>
  <c r="L2147" i="15"/>
  <c r="M2147" i="15" s="1"/>
  <c r="L2146" i="15"/>
  <c r="M2146" i="15" s="1"/>
  <c r="L2145" i="15"/>
  <c r="M2145" i="15" s="1"/>
  <c r="L2144" i="15"/>
  <c r="M2144" i="15" s="1"/>
  <c r="L2143" i="15"/>
  <c r="M2143" i="15" s="1"/>
  <c r="L2142" i="15"/>
  <c r="M2142" i="15" s="1"/>
  <c r="L2141" i="15"/>
  <c r="M2141" i="15" s="1"/>
  <c r="L2140" i="15"/>
  <c r="M2140" i="15" s="1"/>
  <c r="L2139" i="15"/>
  <c r="M2139" i="15" s="1"/>
  <c r="L2138" i="15"/>
  <c r="M2138" i="15" s="1"/>
  <c r="L2137" i="15"/>
  <c r="M2137" i="15" s="1"/>
  <c r="L2136" i="15"/>
  <c r="M2136" i="15" s="1"/>
  <c r="L2135" i="15"/>
  <c r="M2135" i="15" s="1"/>
  <c r="L2134" i="15"/>
  <c r="M2134" i="15" s="1"/>
  <c r="L2133" i="15"/>
  <c r="M2133" i="15" s="1"/>
  <c r="L2132" i="15"/>
  <c r="M2132" i="15" s="1"/>
  <c r="L2131" i="15"/>
  <c r="M2131" i="15" s="1"/>
  <c r="L2130" i="15"/>
  <c r="M2130" i="15" s="1"/>
  <c r="L2129" i="15"/>
  <c r="M2129" i="15" s="1"/>
  <c r="L2128" i="15"/>
  <c r="M2128" i="15" s="1"/>
  <c r="L2127" i="15"/>
  <c r="M2127" i="15" s="1"/>
  <c r="L2126" i="15"/>
  <c r="M2126" i="15" s="1"/>
  <c r="L2125" i="15"/>
  <c r="M2125" i="15" s="1"/>
  <c r="L2124" i="15"/>
  <c r="M2124" i="15" s="1"/>
  <c r="L2123" i="15"/>
  <c r="M2123" i="15" s="1"/>
  <c r="L2122" i="15"/>
  <c r="M2122" i="15" s="1"/>
  <c r="L2121" i="15"/>
  <c r="M2121" i="15" s="1"/>
  <c r="L2120" i="15"/>
  <c r="M2120" i="15" s="1"/>
  <c r="L2119" i="15"/>
  <c r="M2119" i="15" s="1"/>
  <c r="L2118" i="15"/>
  <c r="M2118" i="15" s="1"/>
  <c r="L2117" i="15"/>
  <c r="M2117" i="15" s="1"/>
  <c r="L2116" i="15"/>
  <c r="M2116" i="15" s="1"/>
  <c r="L2115" i="15"/>
  <c r="M2115" i="15" s="1"/>
  <c r="L2114" i="15"/>
  <c r="M2114" i="15" s="1"/>
  <c r="L2113" i="15"/>
  <c r="M2113" i="15" s="1"/>
  <c r="L2112" i="15"/>
  <c r="M2112" i="15" s="1"/>
  <c r="L2111" i="15"/>
  <c r="M2111" i="15" s="1"/>
  <c r="L2110" i="15"/>
  <c r="M2110" i="15" s="1"/>
  <c r="L2109" i="15"/>
  <c r="M2109" i="15" s="1"/>
  <c r="L2108" i="15"/>
  <c r="M2108" i="15" s="1"/>
  <c r="L2107" i="15"/>
  <c r="M2107" i="15" s="1"/>
  <c r="L2106" i="15"/>
  <c r="M2106" i="15" s="1"/>
  <c r="L2105" i="15"/>
  <c r="M2105" i="15" s="1"/>
  <c r="L2104" i="15"/>
  <c r="M2104" i="15" s="1"/>
  <c r="L2103" i="15"/>
  <c r="M2103" i="15" s="1"/>
  <c r="L2102" i="15"/>
  <c r="M2102" i="15" s="1"/>
  <c r="L2101" i="15"/>
  <c r="M2101" i="15" s="1"/>
  <c r="L2100" i="15"/>
  <c r="M2100" i="15" s="1"/>
  <c r="L2099" i="15"/>
  <c r="M2099" i="15" s="1"/>
  <c r="L2098" i="15"/>
  <c r="M2098" i="15" s="1"/>
  <c r="L2097" i="15"/>
  <c r="M2097" i="15" s="1"/>
  <c r="L2096" i="15"/>
  <c r="M2096" i="15" s="1"/>
  <c r="L2095" i="15"/>
  <c r="M2095" i="15" s="1"/>
  <c r="L2094" i="15"/>
  <c r="M2094" i="15" s="1"/>
  <c r="L2093" i="15"/>
  <c r="M2093" i="15" s="1"/>
  <c r="L2092" i="15"/>
  <c r="M2092" i="15" s="1"/>
  <c r="L2091" i="15"/>
  <c r="M2091" i="15" s="1"/>
  <c r="L2090" i="15"/>
  <c r="M2090" i="15" s="1"/>
  <c r="L2089" i="15"/>
  <c r="M2089" i="15" s="1"/>
  <c r="L2088" i="15"/>
  <c r="M2088" i="15" s="1"/>
  <c r="L2087" i="15"/>
  <c r="M2087" i="15" s="1"/>
  <c r="L2086" i="15"/>
  <c r="M2086" i="15" s="1"/>
  <c r="L2085" i="15"/>
  <c r="M2085" i="15" s="1"/>
  <c r="L2084" i="15"/>
  <c r="M2084" i="15" s="1"/>
  <c r="L2083" i="15"/>
  <c r="M2083" i="15" s="1"/>
  <c r="L2082" i="15"/>
  <c r="M2082" i="15" s="1"/>
  <c r="L2081" i="15"/>
  <c r="M2081" i="15" s="1"/>
  <c r="L2080" i="15"/>
  <c r="M2080" i="15" s="1"/>
  <c r="L2079" i="15"/>
  <c r="M2079" i="15" s="1"/>
  <c r="L2078" i="15"/>
  <c r="M2078" i="15" s="1"/>
  <c r="L2077" i="15"/>
  <c r="M2077" i="15" s="1"/>
  <c r="L2076" i="15"/>
  <c r="M2076" i="15" s="1"/>
  <c r="L2075" i="15"/>
  <c r="M2075" i="15" s="1"/>
  <c r="L2074" i="15"/>
  <c r="M2074" i="15" s="1"/>
  <c r="L2073" i="15"/>
  <c r="M2073" i="15" s="1"/>
  <c r="L2072" i="15"/>
  <c r="M2072" i="15" s="1"/>
  <c r="L2071" i="15"/>
  <c r="M2071" i="15" s="1"/>
  <c r="L2070" i="15"/>
  <c r="M2070" i="15" s="1"/>
  <c r="L2069" i="15"/>
  <c r="M2069" i="15" s="1"/>
  <c r="L2068" i="15"/>
  <c r="M2068" i="15" s="1"/>
  <c r="L2067" i="15"/>
  <c r="M2067" i="15" s="1"/>
  <c r="L2066" i="15"/>
  <c r="M2066" i="15" s="1"/>
  <c r="L2065" i="15"/>
  <c r="M2065" i="15" s="1"/>
  <c r="L2064" i="15"/>
  <c r="M2064" i="15" s="1"/>
  <c r="L2063" i="15"/>
  <c r="M2063" i="15" s="1"/>
  <c r="L2062" i="15"/>
  <c r="M2062" i="15" s="1"/>
  <c r="L2061" i="15"/>
  <c r="M2061" i="15" s="1"/>
  <c r="L2060" i="15"/>
  <c r="M2060" i="15" s="1"/>
  <c r="L2059" i="15"/>
  <c r="M2059" i="15" s="1"/>
  <c r="L2058" i="15"/>
  <c r="M2058" i="15" s="1"/>
  <c r="L2057" i="15"/>
  <c r="M2057" i="15" s="1"/>
  <c r="L2056" i="15"/>
  <c r="M2056" i="15" s="1"/>
  <c r="L2055" i="15"/>
  <c r="M2055" i="15" s="1"/>
  <c r="L2054" i="15"/>
  <c r="M2054" i="15" s="1"/>
  <c r="L2053" i="15"/>
  <c r="M2053" i="15" s="1"/>
  <c r="L2052" i="15"/>
  <c r="M2052" i="15" s="1"/>
  <c r="L2051" i="15"/>
  <c r="M2051" i="15" s="1"/>
  <c r="L2050" i="15"/>
  <c r="M2050" i="15" s="1"/>
  <c r="L2049" i="15"/>
  <c r="M2049" i="15" s="1"/>
  <c r="L2048" i="15"/>
  <c r="M2048" i="15" s="1"/>
  <c r="L2047" i="15"/>
  <c r="M2047" i="15" s="1"/>
  <c r="L2046" i="15"/>
  <c r="M2046" i="15" s="1"/>
  <c r="L2045" i="15"/>
  <c r="M2045" i="15" s="1"/>
  <c r="L2044" i="15"/>
  <c r="M2044" i="15" s="1"/>
  <c r="L2043" i="15"/>
  <c r="M2043" i="15" s="1"/>
  <c r="L2042" i="15"/>
  <c r="M2042" i="15" s="1"/>
  <c r="L2041" i="15"/>
  <c r="M2041" i="15" s="1"/>
  <c r="L2040" i="15"/>
  <c r="M2040" i="15" s="1"/>
  <c r="L2039" i="15"/>
  <c r="M2039" i="15" s="1"/>
  <c r="L2038" i="15"/>
  <c r="M2038" i="15" s="1"/>
  <c r="L2037" i="15"/>
  <c r="M2037" i="15" s="1"/>
  <c r="L2036" i="15"/>
  <c r="M2036" i="15" s="1"/>
  <c r="L2035" i="15"/>
  <c r="M2035" i="15" s="1"/>
  <c r="L2034" i="15"/>
  <c r="M2034" i="15" s="1"/>
  <c r="L2033" i="15"/>
  <c r="M2033" i="15" s="1"/>
  <c r="L2032" i="15"/>
  <c r="M2032" i="15" s="1"/>
  <c r="L2031" i="15"/>
  <c r="M2031" i="15" s="1"/>
  <c r="L2030" i="15"/>
  <c r="M2030" i="15" s="1"/>
  <c r="L2029" i="15"/>
  <c r="M2029" i="15" s="1"/>
  <c r="L2028" i="15"/>
  <c r="M2028" i="15" s="1"/>
  <c r="L2027" i="15"/>
  <c r="M2027" i="15" s="1"/>
  <c r="L2026" i="15"/>
  <c r="M2026" i="15" s="1"/>
  <c r="L2025" i="15"/>
  <c r="M2025" i="15" s="1"/>
  <c r="L2024" i="15"/>
  <c r="M2024" i="15" s="1"/>
  <c r="L2023" i="15"/>
  <c r="M2023" i="15" s="1"/>
  <c r="L2022" i="15"/>
  <c r="M2022" i="15" s="1"/>
  <c r="L2021" i="15"/>
  <c r="M2021" i="15" s="1"/>
  <c r="L2020" i="15"/>
  <c r="M2020" i="15" s="1"/>
  <c r="L2019" i="15"/>
  <c r="M2019" i="15" s="1"/>
  <c r="L2018" i="15"/>
  <c r="M2018" i="15" s="1"/>
  <c r="L2017" i="15"/>
  <c r="M2017" i="15" s="1"/>
  <c r="L2016" i="15"/>
  <c r="M2016" i="15" s="1"/>
  <c r="L2015" i="15"/>
  <c r="M2015" i="15" s="1"/>
  <c r="L2014" i="15"/>
  <c r="M2014" i="15" s="1"/>
  <c r="L2013" i="15"/>
  <c r="M2013" i="15" s="1"/>
  <c r="L2012" i="15"/>
  <c r="M2012" i="15" s="1"/>
  <c r="L2011" i="15"/>
  <c r="M2011" i="15" s="1"/>
  <c r="L2010" i="15"/>
  <c r="M2010" i="15" s="1"/>
  <c r="L2009" i="15"/>
  <c r="M2009" i="15" s="1"/>
  <c r="L2008" i="15"/>
  <c r="M2008" i="15" s="1"/>
  <c r="L2007" i="15"/>
  <c r="M2007" i="15" s="1"/>
  <c r="L2006" i="15"/>
  <c r="M2006" i="15" s="1"/>
  <c r="L2005" i="15"/>
  <c r="M2005" i="15" s="1"/>
  <c r="L2004" i="15"/>
  <c r="M2004" i="15" s="1"/>
  <c r="L2003" i="15"/>
  <c r="M2003" i="15" s="1"/>
  <c r="L2002" i="15"/>
  <c r="M2002" i="15" s="1"/>
  <c r="L2001" i="15"/>
  <c r="M2001" i="15" s="1"/>
  <c r="L2000" i="15"/>
  <c r="M2000" i="15" s="1"/>
  <c r="L1999" i="15"/>
  <c r="M1999" i="15" s="1"/>
  <c r="L1998" i="15"/>
  <c r="M1998" i="15" s="1"/>
  <c r="L1997" i="15"/>
  <c r="M1997" i="15" s="1"/>
  <c r="L1996" i="15"/>
  <c r="M1996" i="15" s="1"/>
  <c r="L1995" i="15"/>
  <c r="M1995" i="15" s="1"/>
  <c r="L1994" i="15"/>
  <c r="M1994" i="15" s="1"/>
  <c r="L1993" i="15"/>
  <c r="M1993" i="15" s="1"/>
  <c r="L1992" i="15"/>
  <c r="M1992" i="15" s="1"/>
  <c r="L1991" i="15"/>
  <c r="M1991" i="15" s="1"/>
  <c r="L1990" i="15"/>
  <c r="M1990" i="15" s="1"/>
  <c r="L1989" i="15"/>
  <c r="M1989" i="15" s="1"/>
  <c r="L1988" i="15"/>
  <c r="M1988" i="15" s="1"/>
  <c r="L1987" i="15"/>
  <c r="M1987" i="15" s="1"/>
  <c r="L1986" i="15"/>
  <c r="M1986" i="15" s="1"/>
  <c r="L1985" i="15"/>
  <c r="M1985" i="15" s="1"/>
  <c r="L1984" i="15"/>
  <c r="M1984" i="15" s="1"/>
  <c r="L1983" i="15"/>
  <c r="M1983" i="15" s="1"/>
  <c r="L1982" i="15"/>
  <c r="M1982" i="15" s="1"/>
  <c r="L1981" i="15"/>
  <c r="M1981" i="15" s="1"/>
  <c r="L1980" i="15"/>
  <c r="M1980" i="15" s="1"/>
  <c r="L1979" i="15"/>
  <c r="M1979" i="15" s="1"/>
  <c r="L1978" i="15"/>
  <c r="M1978" i="15" s="1"/>
  <c r="L1977" i="15"/>
  <c r="M1977" i="15" s="1"/>
  <c r="L1976" i="15"/>
  <c r="M1976" i="15" s="1"/>
  <c r="L1975" i="15"/>
  <c r="M1975" i="15" s="1"/>
  <c r="L1974" i="15"/>
  <c r="M1974" i="15" s="1"/>
  <c r="L1973" i="15"/>
  <c r="M1973" i="15" s="1"/>
  <c r="L1972" i="15"/>
  <c r="M1972" i="15" s="1"/>
  <c r="L1971" i="15"/>
  <c r="M1971" i="15" s="1"/>
  <c r="L1970" i="15"/>
  <c r="M1970" i="15" s="1"/>
  <c r="L1969" i="15"/>
  <c r="M1969" i="15" s="1"/>
  <c r="L1968" i="15"/>
  <c r="M1968" i="15" s="1"/>
  <c r="L1967" i="15"/>
  <c r="M1967" i="15" s="1"/>
  <c r="L1966" i="15"/>
  <c r="M1966" i="15" s="1"/>
  <c r="L1965" i="15"/>
  <c r="M1965" i="15" s="1"/>
  <c r="L1964" i="15"/>
  <c r="M1964" i="15" s="1"/>
  <c r="L1963" i="15"/>
  <c r="M1963" i="15" s="1"/>
  <c r="L1962" i="15"/>
  <c r="M1962" i="15" s="1"/>
  <c r="L1961" i="15"/>
  <c r="M1961" i="15" s="1"/>
  <c r="L1960" i="15"/>
  <c r="M1960" i="15" s="1"/>
  <c r="L1959" i="15"/>
  <c r="M1959" i="15" s="1"/>
  <c r="L1958" i="15"/>
  <c r="M1958" i="15" s="1"/>
  <c r="L1957" i="15"/>
  <c r="M1957" i="15" s="1"/>
  <c r="L1956" i="15"/>
  <c r="M1956" i="15" s="1"/>
  <c r="L1955" i="15"/>
  <c r="M1955" i="15" s="1"/>
  <c r="L1954" i="15"/>
  <c r="M1954" i="15" s="1"/>
  <c r="L1953" i="15"/>
  <c r="M1953" i="15" s="1"/>
  <c r="L1952" i="15"/>
  <c r="M1952" i="15" s="1"/>
  <c r="L1951" i="15"/>
  <c r="M1951" i="15" s="1"/>
  <c r="L1950" i="15"/>
  <c r="M1950" i="15" s="1"/>
  <c r="L1949" i="15"/>
  <c r="M1949" i="15" s="1"/>
  <c r="L1948" i="15"/>
  <c r="M1948" i="15" s="1"/>
  <c r="L1947" i="15"/>
  <c r="M1947" i="15" s="1"/>
  <c r="L1946" i="15"/>
  <c r="M1946" i="15" s="1"/>
  <c r="L1945" i="15"/>
  <c r="M1945" i="15" s="1"/>
  <c r="L1944" i="15"/>
  <c r="M1944" i="15" s="1"/>
  <c r="L1943" i="15"/>
  <c r="M1943" i="15" s="1"/>
  <c r="L1942" i="15"/>
  <c r="M1942" i="15" s="1"/>
  <c r="L1941" i="15"/>
  <c r="M1941" i="15" s="1"/>
  <c r="L1940" i="15"/>
  <c r="M1940" i="15" s="1"/>
  <c r="L1939" i="15"/>
  <c r="M1939" i="15" s="1"/>
  <c r="L1938" i="15"/>
  <c r="M1938" i="15" s="1"/>
  <c r="L1937" i="15"/>
  <c r="M1937" i="15" s="1"/>
  <c r="L1936" i="15"/>
  <c r="M1936" i="15" s="1"/>
  <c r="L1935" i="15"/>
  <c r="M1935" i="15" s="1"/>
  <c r="L1934" i="15"/>
  <c r="M1934" i="15" s="1"/>
  <c r="L1933" i="15"/>
  <c r="M1933" i="15" s="1"/>
  <c r="L1932" i="15"/>
  <c r="M1932" i="15" s="1"/>
  <c r="L1931" i="15"/>
  <c r="M1931" i="15" s="1"/>
  <c r="L1930" i="15"/>
  <c r="M1930" i="15" s="1"/>
  <c r="L1929" i="15"/>
  <c r="M1929" i="15" s="1"/>
  <c r="L1928" i="15"/>
  <c r="M1928" i="15" s="1"/>
  <c r="L1927" i="15"/>
  <c r="M1927" i="15" s="1"/>
  <c r="L1926" i="15"/>
  <c r="M1926" i="15" s="1"/>
  <c r="L1925" i="15"/>
  <c r="M1925" i="15" s="1"/>
  <c r="L1924" i="15"/>
  <c r="M1924" i="15" s="1"/>
  <c r="L1923" i="15"/>
  <c r="M1923" i="15" s="1"/>
  <c r="L1922" i="15"/>
  <c r="M1922" i="15" s="1"/>
  <c r="L1921" i="15"/>
  <c r="M1921" i="15" s="1"/>
  <c r="L1920" i="15"/>
  <c r="M1920" i="15" s="1"/>
  <c r="L1919" i="15"/>
  <c r="M1919" i="15" s="1"/>
  <c r="L1918" i="15"/>
  <c r="M1918" i="15" s="1"/>
  <c r="L1917" i="15"/>
  <c r="M1917" i="15" s="1"/>
  <c r="L1916" i="15"/>
  <c r="M1916" i="15" s="1"/>
  <c r="L1915" i="15"/>
  <c r="M1915" i="15" s="1"/>
  <c r="L1914" i="15"/>
  <c r="M1914" i="15" s="1"/>
  <c r="L1913" i="15"/>
  <c r="M1913" i="15" s="1"/>
  <c r="L1912" i="15"/>
  <c r="M1912" i="15" s="1"/>
  <c r="L1911" i="15"/>
  <c r="M1911" i="15" s="1"/>
  <c r="L1910" i="15"/>
  <c r="M1910" i="15" s="1"/>
  <c r="L1909" i="15"/>
  <c r="M1909" i="15" s="1"/>
  <c r="L1908" i="15"/>
  <c r="M1908" i="15" s="1"/>
  <c r="L1907" i="15"/>
  <c r="M1907" i="15" s="1"/>
  <c r="L1906" i="15"/>
  <c r="M1906" i="15" s="1"/>
  <c r="L1905" i="15"/>
  <c r="M1905" i="15" s="1"/>
  <c r="L1904" i="15"/>
  <c r="M1904" i="15" s="1"/>
  <c r="L1903" i="15"/>
  <c r="M1903" i="15" s="1"/>
  <c r="L1902" i="15"/>
  <c r="M1902" i="15" s="1"/>
  <c r="L1901" i="15"/>
  <c r="M1901" i="15" s="1"/>
  <c r="L1900" i="15"/>
  <c r="M1900" i="15" s="1"/>
  <c r="L1899" i="15"/>
  <c r="M1899" i="15" s="1"/>
  <c r="L1898" i="15"/>
  <c r="M1898" i="15" s="1"/>
  <c r="L1897" i="15"/>
  <c r="M1897" i="15" s="1"/>
  <c r="L1896" i="15"/>
  <c r="M1896" i="15" s="1"/>
  <c r="L1895" i="15"/>
  <c r="M1895" i="15" s="1"/>
  <c r="L1894" i="15"/>
  <c r="M1894" i="15" s="1"/>
  <c r="L1893" i="15"/>
  <c r="M1893" i="15" s="1"/>
  <c r="L1892" i="15"/>
  <c r="M1892" i="15" s="1"/>
  <c r="L1891" i="15"/>
  <c r="M1891" i="15" s="1"/>
  <c r="L1890" i="15"/>
  <c r="M1890" i="15" s="1"/>
  <c r="L1889" i="15"/>
  <c r="M1889" i="15" s="1"/>
  <c r="L1888" i="15"/>
  <c r="M1888" i="15" s="1"/>
  <c r="L1887" i="15"/>
  <c r="M1887" i="15" s="1"/>
  <c r="L1886" i="15"/>
  <c r="M1886" i="15" s="1"/>
  <c r="L1885" i="15"/>
  <c r="M1885" i="15" s="1"/>
  <c r="L1884" i="15"/>
  <c r="M1884" i="15" s="1"/>
  <c r="L1883" i="15"/>
  <c r="M1883" i="15" s="1"/>
  <c r="L1882" i="15"/>
  <c r="M1882" i="15" s="1"/>
  <c r="L1881" i="15"/>
  <c r="M1881" i="15" s="1"/>
  <c r="L1880" i="15"/>
  <c r="M1880" i="15" s="1"/>
  <c r="L1879" i="15"/>
  <c r="M1879" i="15" s="1"/>
  <c r="L1878" i="15"/>
  <c r="M1878" i="15" s="1"/>
  <c r="L1877" i="15"/>
  <c r="M1877" i="15" s="1"/>
  <c r="L1876" i="15"/>
  <c r="M1876" i="15" s="1"/>
  <c r="L1875" i="15"/>
  <c r="M1875" i="15" s="1"/>
  <c r="L1874" i="15"/>
  <c r="M1874" i="15" s="1"/>
  <c r="L1873" i="15"/>
  <c r="M1873" i="15" s="1"/>
  <c r="L1872" i="15"/>
  <c r="M1872" i="15" s="1"/>
  <c r="L1871" i="15"/>
  <c r="M1871" i="15" s="1"/>
  <c r="L1870" i="15"/>
  <c r="M1870" i="15" s="1"/>
  <c r="L1869" i="15"/>
  <c r="M1869" i="15" s="1"/>
  <c r="L1868" i="15"/>
  <c r="M1868" i="15" s="1"/>
  <c r="L1867" i="15"/>
  <c r="M1867" i="15" s="1"/>
  <c r="L1866" i="15"/>
  <c r="M1866" i="15" s="1"/>
  <c r="L1865" i="15"/>
  <c r="M1865" i="15" s="1"/>
  <c r="L1864" i="15"/>
  <c r="M1864" i="15" s="1"/>
  <c r="L1863" i="15"/>
  <c r="M1863" i="15" s="1"/>
  <c r="L1862" i="15"/>
  <c r="M1862" i="15" s="1"/>
  <c r="L1861" i="15"/>
  <c r="M1861" i="15" s="1"/>
  <c r="L1860" i="15"/>
  <c r="M1860" i="15" s="1"/>
  <c r="L1859" i="15"/>
  <c r="M1859" i="15" s="1"/>
  <c r="L1858" i="15"/>
  <c r="M1858" i="15" s="1"/>
  <c r="L1857" i="15"/>
  <c r="M1857" i="15" s="1"/>
  <c r="L1856" i="15"/>
  <c r="M1856" i="15" s="1"/>
  <c r="L1855" i="15"/>
  <c r="M1855" i="15" s="1"/>
  <c r="L1854" i="15"/>
  <c r="M1854" i="15" s="1"/>
  <c r="L1853" i="15"/>
  <c r="M1853" i="15" s="1"/>
  <c r="L1852" i="15"/>
  <c r="M1852" i="15" s="1"/>
  <c r="L1851" i="15"/>
  <c r="M1851" i="15" s="1"/>
  <c r="L1850" i="15"/>
  <c r="M1850" i="15" s="1"/>
  <c r="L1849" i="15"/>
  <c r="M1849" i="15" s="1"/>
  <c r="L1848" i="15"/>
  <c r="M1848" i="15" s="1"/>
  <c r="L1847" i="15"/>
  <c r="M1847" i="15" s="1"/>
  <c r="L1846" i="15"/>
  <c r="M1846" i="15" s="1"/>
  <c r="L1845" i="15"/>
  <c r="M1845" i="15" s="1"/>
  <c r="L1844" i="15"/>
  <c r="M1844" i="15" s="1"/>
  <c r="L1843" i="15"/>
  <c r="M1843" i="15" s="1"/>
  <c r="L1842" i="15"/>
  <c r="M1842" i="15" s="1"/>
  <c r="L1841" i="15"/>
  <c r="M1841" i="15" s="1"/>
  <c r="L1840" i="15"/>
  <c r="M1840" i="15" s="1"/>
  <c r="L1839" i="15"/>
  <c r="M1839" i="15" s="1"/>
  <c r="L1838" i="15"/>
  <c r="M1838" i="15" s="1"/>
  <c r="L1837" i="15"/>
  <c r="M1837" i="15" s="1"/>
  <c r="L1836" i="15"/>
  <c r="M1836" i="15" s="1"/>
  <c r="L1835" i="15"/>
  <c r="M1835" i="15" s="1"/>
  <c r="L1834" i="15"/>
  <c r="M1834" i="15" s="1"/>
  <c r="L1833" i="15"/>
  <c r="M1833" i="15" s="1"/>
  <c r="L1832" i="15"/>
  <c r="M1832" i="15" s="1"/>
  <c r="L1831" i="15"/>
  <c r="M1831" i="15" s="1"/>
  <c r="L1830" i="15"/>
  <c r="M1830" i="15" s="1"/>
  <c r="L1829" i="15"/>
  <c r="M1829" i="15" s="1"/>
  <c r="L1828" i="15"/>
  <c r="M1828" i="15" s="1"/>
  <c r="L1827" i="15"/>
  <c r="M1827" i="15" s="1"/>
  <c r="L1826" i="15"/>
  <c r="M1826" i="15" s="1"/>
  <c r="L1825" i="15"/>
  <c r="M1825" i="15" s="1"/>
  <c r="L1824" i="15"/>
  <c r="M1824" i="15" s="1"/>
  <c r="L1823" i="15"/>
  <c r="M1823" i="15" s="1"/>
  <c r="L1822" i="15"/>
  <c r="M1822" i="15" s="1"/>
  <c r="L1821" i="15"/>
  <c r="M1821" i="15" s="1"/>
  <c r="L1820" i="15"/>
  <c r="M1820" i="15" s="1"/>
  <c r="L1819" i="15"/>
  <c r="M1819" i="15" s="1"/>
  <c r="L1818" i="15"/>
  <c r="M1818" i="15" s="1"/>
  <c r="L1817" i="15"/>
  <c r="M1817" i="15" s="1"/>
  <c r="L1816" i="15"/>
  <c r="M1816" i="15" s="1"/>
  <c r="L1815" i="15"/>
  <c r="M1815" i="15" s="1"/>
  <c r="L1814" i="15"/>
  <c r="M1814" i="15" s="1"/>
  <c r="L1813" i="15"/>
  <c r="M1813" i="15" s="1"/>
  <c r="L1812" i="15"/>
  <c r="M1812" i="15" s="1"/>
  <c r="L1811" i="15"/>
  <c r="M1811" i="15" s="1"/>
  <c r="L1810" i="15"/>
  <c r="M1810" i="15" s="1"/>
  <c r="L1809" i="15"/>
  <c r="M1809" i="15" s="1"/>
  <c r="L1808" i="15"/>
  <c r="M1808" i="15" s="1"/>
  <c r="L1807" i="15"/>
  <c r="M1807" i="15" s="1"/>
  <c r="L1806" i="15"/>
  <c r="M1806" i="15" s="1"/>
  <c r="L1805" i="15"/>
  <c r="M1805" i="15" s="1"/>
  <c r="L1804" i="15"/>
  <c r="M1804" i="15" s="1"/>
  <c r="L1803" i="15"/>
  <c r="M1803" i="15" s="1"/>
  <c r="L1802" i="15"/>
  <c r="M1802" i="15" s="1"/>
  <c r="L1801" i="15"/>
  <c r="M1801" i="15" s="1"/>
  <c r="L1800" i="15"/>
  <c r="M1800" i="15" s="1"/>
  <c r="L1799" i="15"/>
  <c r="M1799" i="15" s="1"/>
  <c r="L1798" i="15"/>
  <c r="M1798" i="15" s="1"/>
  <c r="L1797" i="15"/>
  <c r="M1797" i="15" s="1"/>
  <c r="L1796" i="15"/>
  <c r="M1796" i="15" s="1"/>
  <c r="L1795" i="15"/>
  <c r="M1795" i="15" s="1"/>
  <c r="L1794" i="15"/>
  <c r="M1794" i="15" s="1"/>
  <c r="L1793" i="15"/>
  <c r="M1793" i="15" s="1"/>
  <c r="L1792" i="15"/>
  <c r="M1792" i="15" s="1"/>
  <c r="L1791" i="15"/>
  <c r="M1791" i="15" s="1"/>
  <c r="L1790" i="15"/>
  <c r="M1790" i="15" s="1"/>
  <c r="L1789" i="15"/>
  <c r="M1789" i="15" s="1"/>
  <c r="L1788" i="15"/>
  <c r="M1788" i="15" s="1"/>
  <c r="L1787" i="15"/>
  <c r="M1787" i="15" s="1"/>
  <c r="L1786" i="15"/>
  <c r="M1786" i="15" s="1"/>
  <c r="L1785" i="15"/>
  <c r="M1785" i="15" s="1"/>
  <c r="L1784" i="15"/>
  <c r="M1784" i="15" s="1"/>
  <c r="L1783" i="15"/>
  <c r="M1783" i="15" s="1"/>
  <c r="L1782" i="15"/>
  <c r="M1782" i="15" s="1"/>
  <c r="L1781" i="15"/>
  <c r="M1781" i="15" s="1"/>
  <c r="L1780" i="15"/>
  <c r="M1780" i="15" s="1"/>
  <c r="L1779" i="15"/>
  <c r="M1779" i="15" s="1"/>
  <c r="L1778" i="15"/>
  <c r="M1778" i="15" s="1"/>
  <c r="L1777" i="15"/>
  <c r="M1777" i="15" s="1"/>
  <c r="L1776" i="15"/>
  <c r="M1776" i="15" s="1"/>
  <c r="L1775" i="15"/>
  <c r="M1775" i="15" s="1"/>
  <c r="L1774" i="15"/>
  <c r="M1774" i="15" s="1"/>
  <c r="L1773" i="15"/>
  <c r="M1773" i="15" s="1"/>
  <c r="L1772" i="15"/>
  <c r="M1772" i="15" s="1"/>
  <c r="L1771" i="15"/>
  <c r="M1771" i="15" s="1"/>
  <c r="L1770" i="15"/>
  <c r="M1770" i="15" s="1"/>
  <c r="L1769" i="15"/>
  <c r="M1769" i="15" s="1"/>
  <c r="L1768" i="15"/>
  <c r="M1768" i="15" s="1"/>
  <c r="L1767" i="15"/>
  <c r="M1767" i="15" s="1"/>
  <c r="L1766" i="15"/>
  <c r="M1766" i="15" s="1"/>
  <c r="L1765" i="15"/>
  <c r="M1765" i="15" s="1"/>
  <c r="L1764" i="15"/>
  <c r="M1764" i="15" s="1"/>
  <c r="L1763" i="15"/>
  <c r="M1763" i="15" s="1"/>
  <c r="L1762" i="15"/>
  <c r="M1762" i="15" s="1"/>
  <c r="L1761" i="15"/>
  <c r="M1761" i="15" s="1"/>
  <c r="L1760" i="15"/>
  <c r="M1760" i="15" s="1"/>
  <c r="L1759" i="15"/>
  <c r="M1759" i="15" s="1"/>
  <c r="L1758" i="15"/>
  <c r="M1758" i="15" s="1"/>
  <c r="L1757" i="15"/>
  <c r="M1757" i="15" s="1"/>
  <c r="L1756" i="15"/>
  <c r="M1756" i="15" s="1"/>
  <c r="L1755" i="15"/>
  <c r="M1755" i="15" s="1"/>
  <c r="L1754" i="15"/>
  <c r="M1754" i="15" s="1"/>
  <c r="L1753" i="15"/>
  <c r="M1753" i="15" s="1"/>
  <c r="L1752" i="15"/>
  <c r="M1752" i="15" s="1"/>
  <c r="L1751" i="15"/>
  <c r="M1751" i="15" s="1"/>
  <c r="L1750" i="15"/>
  <c r="M1750" i="15" s="1"/>
  <c r="L1749" i="15"/>
  <c r="M1749" i="15" s="1"/>
  <c r="L1748" i="15"/>
  <c r="M1748" i="15" s="1"/>
  <c r="L1747" i="15"/>
  <c r="M1747" i="15" s="1"/>
  <c r="L1746" i="15"/>
  <c r="M1746" i="15" s="1"/>
  <c r="L1745" i="15"/>
  <c r="M1745" i="15" s="1"/>
  <c r="L1744" i="15"/>
  <c r="M1744" i="15" s="1"/>
  <c r="L1743" i="15"/>
  <c r="M1743" i="15" s="1"/>
  <c r="L1742" i="15"/>
  <c r="M1742" i="15" s="1"/>
  <c r="L1741" i="15"/>
  <c r="M1741" i="15" s="1"/>
  <c r="L1740" i="15"/>
  <c r="M1740" i="15" s="1"/>
  <c r="L1739" i="15"/>
  <c r="M1739" i="15" s="1"/>
  <c r="L1738" i="15"/>
  <c r="M1738" i="15" s="1"/>
  <c r="L1737" i="15"/>
  <c r="M1737" i="15" s="1"/>
  <c r="L1736" i="15"/>
  <c r="M1736" i="15" s="1"/>
  <c r="L1735" i="15"/>
  <c r="M1735" i="15" s="1"/>
  <c r="L1734" i="15"/>
  <c r="M1734" i="15" s="1"/>
  <c r="L1733" i="15"/>
  <c r="M1733" i="15" s="1"/>
  <c r="L1732" i="15"/>
  <c r="M1732" i="15" s="1"/>
  <c r="L1731" i="15"/>
  <c r="M1731" i="15" s="1"/>
  <c r="L1730" i="15"/>
  <c r="M1730" i="15" s="1"/>
  <c r="L1729" i="15"/>
  <c r="M1729" i="15" s="1"/>
  <c r="L1728" i="15"/>
  <c r="M1728" i="15" s="1"/>
  <c r="L1727" i="15"/>
  <c r="M1727" i="15" s="1"/>
  <c r="L1726" i="15"/>
  <c r="M1726" i="15" s="1"/>
  <c r="L1725" i="15"/>
  <c r="M1725" i="15" s="1"/>
  <c r="L1724" i="15"/>
  <c r="M1724" i="15" s="1"/>
  <c r="L1723" i="15"/>
  <c r="M1723" i="15" s="1"/>
  <c r="L1722" i="15"/>
  <c r="M1722" i="15" s="1"/>
  <c r="L1721" i="15"/>
  <c r="M1721" i="15" s="1"/>
  <c r="L1720" i="15"/>
  <c r="M1720" i="15" s="1"/>
  <c r="L1719" i="15"/>
  <c r="M1719" i="15" s="1"/>
  <c r="L1718" i="15"/>
  <c r="M1718" i="15" s="1"/>
  <c r="L1717" i="15"/>
  <c r="M1717" i="15" s="1"/>
  <c r="L1716" i="15"/>
  <c r="M1716" i="15" s="1"/>
  <c r="L1715" i="15"/>
  <c r="M1715" i="15" s="1"/>
  <c r="L1714" i="15"/>
  <c r="M1714" i="15" s="1"/>
  <c r="L1713" i="15"/>
  <c r="M1713" i="15" s="1"/>
  <c r="L1712" i="15"/>
  <c r="M1712" i="15" s="1"/>
  <c r="L1711" i="15"/>
  <c r="M1711" i="15" s="1"/>
  <c r="L1710" i="15"/>
  <c r="M1710" i="15" s="1"/>
  <c r="L1709" i="15"/>
  <c r="M1709" i="15" s="1"/>
  <c r="L1708" i="15"/>
  <c r="M1708" i="15" s="1"/>
  <c r="L1707" i="15"/>
  <c r="M1707" i="15" s="1"/>
  <c r="L1706" i="15"/>
  <c r="M1706" i="15" s="1"/>
  <c r="L1705" i="15"/>
  <c r="M1705" i="15" s="1"/>
  <c r="L1704" i="15"/>
  <c r="M1704" i="15" s="1"/>
  <c r="L1703" i="15"/>
  <c r="M1703" i="15" s="1"/>
  <c r="L1702" i="15"/>
  <c r="M1702" i="15" s="1"/>
  <c r="L1701" i="15"/>
  <c r="M1701" i="15" s="1"/>
  <c r="L1700" i="15"/>
  <c r="M1700" i="15" s="1"/>
  <c r="L1699" i="15"/>
  <c r="M1699" i="15" s="1"/>
  <c r="L1698" i="15"/>
  <c r="M1698" i="15" s="1"/>
  <c r="L1697" i="15"/>
  <c r="M1697" i="15" s="1"/>
  <c r="L1696" i="15"/>
  <c r="M1696" i="15" s="1"/>
  <c r="L1695" i="15"/>
  <c r="M1695" i="15" s="1"/>
  <c r="L1694" i="15"/>
  <c r="M1694" i="15" s="1"/>
  <c r="L1693" i="15"/>
  <c r="M1693" i="15" s="1"/>
  <c r="L1692" i="15"/>
  <c r="M1692" i="15" s="1"/>
  <c r="L1691" i="15"/>
  <c r="M1691" i="15" s="1"/>
  <c r="L1690" i="15"/>
  <c r="M1690" i="15" s="1"/>
  <c r="L1689" i="15"/>
  <c r="M1689" i="15" s="1"/>
  <c r="L1688" i="15"/>
  <c r="M1688" i="15" s="1"/>
  <c r="L1687" i="15"/>
  <c r="M1687" i="15" s="1"/>
  <c r="L1686" i="15"/>
  <c r="M1686" i="15" s="1"/>
  <c r="L1685" i="15"/>
  <c r="M1685" i="15" s="1"/>
  <c r="L1684" i="15"/>
  <c r="M1684" i="15" s="1"/>
  <c r="L1683" i="15"/>
  <c r="M1683" i="15" s="1"/>
  <c r="L1682" i="15"/>
  <c r="M1682" i="15" s="1"/>
  <c r="L1681" i="15"/>
  <c r="M1681" i="15" s="1"/>
  <c r="L1680" i="15"/>
  <c r="M1680" i="15" s="1"/>
  <c r="L1679" i="15"/>
  <c r="M1679" i="15" s="1"/>
  <c r="L1678" i="15"/>
  <c r="M1678" i="15" s="1"/>
  <c r="L1677" i="15"/>
  <c r="M1677" i="15" s="1"/>
  <c r="L1676" i="15"/>
  <c r="M1676" i="15" s="1"/>
  <c r="L1675" i="15"/>
  <c r="M1675" i="15" s="1"/>
  <c r="L1674" i="15"/>
  <c r="M1674" i="15" s="1"/>
  <c r="L1673" i="15"/>
  <c r="M1673" i="15" s="1"/>
  <c r="L1672" i="15"/>
  <c r="M1672" i="15" s="1"/>
  <c r="L1671" i="15"/>
  <c r="M1671" i="15" s="1"/>
  <c r="L1670" i="15"/>
  <c r="M1670" i="15" s="1"/>
  <c r="L1669" i="15"/>
  <c r="M1669" i="15" s="1"/>
  <c r="L1668" i="15"/>
  <c r="M1668" i="15" s="1"/>
  <c r="L1667" i="15"/>
  <c r="M1667" i="15" s="1"/>
  <c r="L1666" i="15"/>
  <c r="M1666" i="15" s="1"/>
  <c r="L1665" i="15"/>
  <c r="M1665" i="15" s="1"/>
  <c r="L1664" i="15"/>
  <c r="M1664" i="15" s="1"/>
  <c r="L1663" i="15"/>
  <c r="M1663" i="15" s="1"/>
  <c r="L1662" i="15"/>
  <c r="M1662" i="15" s="1"/>
  <c r="L1661" i="15"/>
  <c r="M1661" i="15" s="1"/>
  <c r="L1660" i="15"/>
  <c r="M1660" i="15" s="1"/>
  <c r="L1659" i="15"/>
  <c r="M1659" i="15" s="1"/>
  <c r="L1658" i="15"/>
  <c r="M1658" i="15" s="1"/>
  <c r="L1657" i="15"/>
  <c r="M1657" i="15" s="1"/>
  <c r="L1656" i="15"/>
  <c r="M1656" i="15" s="1"/>
  <c r="L1655" i="15"/>
  <c r="M1655" i="15" s="1"/>
  <c r="L1654" i="15"/>
  <c r="M1654" i="15" s="1"/>
  <c r="L1653" i="15"/>
  <c r="M1653" i="15" s="1"/>
  <c r="L1652" i="15"/>
  <c r="M1652" i="15" s="1"/>
  <c r="L1651" i="15"/>
  <c r="M1651" i="15" s="1"/>
  <c r="L1650" i="15"/>
  <c r="M1650" i="15" s="1"/>
  <c r="L1649" i="15"/>
  <c r="M1649" i="15" s="1"/>
  <c r="L1648" i="15"/>
  <c r="M1648" i="15" s="1"/>
  <c r="L1647" i="15"/>
  <c r="M1647" i="15" s="1"/>
  <c r="L1646" i="15"/>
  <c r="M1646" i="15" s="1"/>
  <c r="L1645" i="15"/>
  <c r="M1645" i="15" s="1"/>
  <c r="L1644" i="15"/>
  <c r="M1644" i="15" s="1"/>
  <c r="L1643" i="15"/>
  <c r="M1643" i="15" s="1"/>
  <c r="L1642" i="15"/>
  <c r="M1642" i="15" s="1"/>
  <c r="L1641" i="15"/>
  <c r="M1641" i="15" s="1"/>
  <c r="L1640" i="15"/>
  <c r="M1640" i="15" s="1"/>
  <c r="L1639" i="15"/>
  <c r="M1639" i="15" s="1"/>
  <c r="L1638" i="15"/>
  <c r="M1638" i="15" s="1"/>
  <c r="L1637" i="15"/>
  <c r="M1637" i="15" s="1"/>
  <c r="L1636" i="15"/>
  <c r="M1636" i="15" s="1"/>
  <c r="L1635" i="15"/>
  <c r="M1635" i="15" s="1"/>
  <c r="L1634" i="15"/>
  <c r="M1634" i="15" s="1"/>
  <c r="L1633" i="15"/>
  <c r="M1633" i="15" s="1"/>
  <c r="L1632" i="15"/>
  <c r="M1632" i="15" s="1"/>
  <c r="L1631" i="15"/>
  <c r="M1631" i="15" s="1"/>
  <c r="L1630" i="15"/>
  <c r="M1630" i="15" s="1"/>
  <c r="L1629" i="15"/>
  <c r="M1629" i="15" s="1"/>
  <c r="L1628" i="15"/>
  <c r="M1628" i="15" s="1"/>
  <c r="L1627" i="15"/>
  <c r="M1627" i="15" s="1"/>
  <c r="L1626" i="15"/>
  <c r="M1626" i="15" s="1"/>
  <c r="L1625" i="15"/>
  <c r="M1625" i="15" s="1"/>
  <c r="L1624" i="15"/>
  <c r="M1624" i="15" s="1"/>
  <c r="L1623" i="15"/>
  <c r="M1623" i="15" s="1"/>
  <c r="L1622" i="15"/>
  <c r="M1622" i="15" s="1"/>
  <c r="L1621" i="15"/>
  <c r="M1621" i="15" s="1"/>
  <c r="L1620" i="15"/>
  <c r="M1620" i="15" s="1"/>
  <c r="L1619" i="15"/>
  <c r="M1619" i="15" s="1"/>
  <c r="L1618" i="15"/>
  <c r="M1618" i="15" s="1"/>
  <c r="L1617" i="15"/>
  <c r="M1617" i="15" s="1"/>
  <c r="L1616" i="15"/>
  <c r="M1616" i="15" s="1"/>
  <c r="L1615" i="15"/>
  <c r="M1615" i="15" s="1"/>
  <c r="L1614" i="15"/>
  <c r="M1614" i="15" s="1"/>
  <c r="L1613" i="15"/>
  <c r="M1613" i="15" s="1"/>
  <c r="L1612" i="15"/>
  <c r="M1612" i="15" s="1"/>
  <c r="L1611" i="15"/>
  <c r="M1611" i="15" s="1"/>
  <c r="L1610" i="15"/>
  <c r="M1610" i="15" s="1"/>
  <c r="L1609" i="15"/>
  <c r="M1609" i="15" s="1"/>
  <c r="L1608" i="15"/>
  <c r="M1608" i="15" s="1"/>
  <c r="L1607" i="15"/>
  <c r="M1607" i="15" s="1"/>
  <c r="L1606" i="15"/>
  <c r="M1606" i="15" s="1"/>
  <c r="L1605" i="15"/>
  <c r="M1605" i="15" s="1"/>
  <c r="L1604" i="15"/>
  <c r="M1604" i="15" s="1"/>
  <c r="L1603" i="15"/>
  <c r="M1603" i="15" s="1"/>
  <c r="L1602" i="15"/>
  <c r="M1602" i="15" s="1"/>
  <c r="L1601" i="15"/>
  <c r="M1601" i="15" s="1"/>
  <c r="L1600" i="15"/>
  <c r="M1600" i="15" s="1"/>
  <c r="L1599" i="15"/>
  <c r="M1599" i="15" s="1"/>
  <c r="L1598" i="15"/>
  <c r="M1598" i="15" s="1"/>
  <c r="L1597" i="15"/>
  <c r="M1597" i="15" s="1"/>
  <c r="L1596" i="15"/>
  <c r="M1596" i="15" s="1"/>
  <c r="L1595" i="15"/>
  <c r="M1595" i="15" s="1"/>
  <c r="L1594" i="15"/>
  <c r="M1594" i="15" s="1"/>
  <c r="L1593" i="15"/>
  <c r="M1593" i="15" s="1"/>
  <c r="L1592" i="15"/>
  <c r="M1592" i="15" s="1"/>
  <c r="L1591" i="15"/>
  <c r="M1591" i="15" s="1"/>
  <c r="L1590" i="15"/>
  <c r="M1590" i="15" s="1"/>
  <c r="L1589" i="15"/>
  <c r="M1589" i="15" s="1"/>
  <c r="L1588" i="15"/>
  <c r="M1588" i="15" s="1"/>
  <c r="L1587" i="15"/>
  <c r="M1587" i="15" s="1"/>
  <c r="L1586" i="15"/>
  <c r="M1586" i="15" s="1"/>
  <c r="L1585" i="15"/>
  <c r="M1585" i="15" s="1"/>
  <c r="L1584" i="15"/>
  <c r="M1584" i="15" s="1"/>
  <c r="L1583" i="15"/>
  <c r="M1583" i="15" s="1"/>
  <c r="L1582" i="15"/>
  <c r="M1582" i="15" s="1"/>
  <c r="L1581" i="15"/>
  <c r="M1581" i="15" s="1"/>
  <c r="L1580" i="15"/>
  <c r="M1580" i="15" s="1"/>
  <c r="L1579" i="15"/>
  <c r="M1579" i="15" s="1"/>
  <c r="L1578" i="15"/>
  <c r="M1578" i="15" s="1"/>
  <c r="L1577" i="15"/>
  <c r="M1577" i="15" s="1"/>
  <c r="L1576" i="15"/>
  <c r="M1576" i="15" s="1"/>
  <c r="L1575" i="15"/>
  <c r="M1575" i="15" s="1"/>
  <c r="L1574" i="15"/>
  <c r="M1574" i="15" s="1"/>
  <c r="L1573" i="15"/>
  <c r="M1573" i="15" s="1"/>
  <c r="L1572" i="15"/>
  <c r="M1572" i="15" s="1"/>
  <c r="L1571" i="15"/>
  <c r="M1571" i="15" s="1"/>
  <c r="L1570" i="15"/>
  <c r="M1570" i="15" s="1"/>
  <c r="L1569" i="15"/>
  <c r="M1569" i="15" s="1"/>
  <c r="L1568" i="15"/>
  <c r="M1568" i="15" s="1"/>
  <c r="L1567" i="15"/>
  <c r="M1567" i="15" s="1"/>
  <c r="L1566" i="15"/>
  <c r="M1566" i="15" s="1"/>
  <c r="L1565" i="15"/>
  <c r="M1565" i="15" s="1"/>
  <c r="L1564" i="15"/>
  <c r="M1564" i="15" s="1"/>
  <c r="L1563" i="15"/>
  <c r="M1563" i="15" s="1"/>
  <c r="L1562" i="15"/>
  <c r="M1562" i="15" s="1"/>
  <c r="L1561" i="15"/>
  <c r="M1561" i="15" s="1"/>
  <c r="L1560" i="15"/>
  <c r="M1560" i="15" s="1"/>
  <c r="L1559" i="15"/>
  <c r="M1559" i="15" s="1"/>
  <c r="L1558" i="15"/>
  <c r="M1558" i="15" s="1"/>
  <c r="L1557" i="15"/>
  <c r="M1557" i="15" s="1"/>
  <c r="L1556" i="15"/>
  <c r="M1556" i="15" s="1"/>
  <c r="L1555" i="15"/>
  <c r="M1555" i="15" s="1"/>
  <c r="L1554" i="15"/>
  <c r="M1554" i="15" s="1"/>
  <c r="L1553" i="15"/>
  <c r="M1553" i="15" s="1"/>
  <c r="L1552" i="15"/>
  <c r="M1552" i="15" s="1"/>
  <c r="L1551" i="15"/>
  <c r="M1551" i="15" s="1"/>
  <c r="L1550" i="15"/>
  <c r="M1550" i="15" s="1"/>
  <c r="L1549" i="15"/>
  <c r="M1549" i="15" s="1"/>
  <c r="L1548" i="15"/>
  <c r="M1548" i="15" s="1"/>
  <c r="L1547" i="15"/>
  <c r="M1547" i="15" s="1"/>
  <c r="L1546" i="15"/>
  <c r="M1546" i="15" s="1"/>
  <c r="L1545" i="15"/>
  <c r="M1545" i="15" s="1"/>
  <c r="L1544" i="15"/>
  <c r="M1544" i="15" s="1"/>
  <c r="L1543" i="15"/>
  <c r="M1543" i="15" s="1"/>
  <c r="L1542" i="15"/>
  <c r="M1542" i="15" s="1"/>
  <c r="L1541" i="15"/>
  <c r="M1541" i="15" s="1"/>
  <c r="L1540" i="15"/>
  <c r="M1540" i="15" s="1"/>
  <c r="L1539" i="15"/>
  <c r="M1539" i="15" s="1"/>
  <c r="L1538" i="15"/>
  <c r="M1538" i="15" s="1"/>
  <c r="L1537" i="15"/>
  <c r="M1537" i="15" s="1"/>
  <c r="L1536" i="15"/>
  <c r="M1536" i="15" s="1"/>
  <c r="L1535" i="15"/>
  <c r="M1535" i="15" s="1"/>
  <c r="L1534" i="15"/>
  <c r="M1534" i="15" s="1"/>
  <c r="L1533" i="15"/>
  <c r="M1533" i="15" s="1"/>
  <c r="L1532" i="15"/>
  <c r="M1532" i="15" s="1"/>
  <c r="L1531" i="15"/>
  <c r="M1531" i="15" s="1"/>
  <c r="L1530" i="15"/>
  <c r="M1530" i="15" s="1"/>
  <c r="L1529" i="15"/>
  <c r="M1529" i="15" s="1"/>
  <c r="L1528" i="15"/>
  <c r="M1528" i="15" s="1"/>
  <c r="L1527" i="15"/>
  <c r="M1527" i="15" s="1"/>
  <c r="L1526" i="15"/>
  <c r="M1526" i="15" s="1"/>
  <c r="L1525" i="15"/>
  <c r="M1525" i="15" s="1"/>
  <c r="L1524" i="15"/>
  <c r="M1524" i="15" s="1"/>
  <c r="L1523" i="15"/>
  <c r="M1523" i="15" s="1"/>
  <c r="L1522" i="15"/>
  <c r="M1522" i="15" s="1"/>
  <c r="L1521" i="15"/>
  <c r="M1521" i="15" s="1"/>
  <c r="L1520" i="15"/>
  <c r="M1520" i="15" s="1"/>
  <c r="L1519" i="15"/>
  <c r="M1519" i="15" s="1"/>
  <c r="L1518" i="15"/>
  <c r="M1518" i="15" s="1"/>
  <c r="L1517" i="15"/>
  <c r="M1517" i="15" s="1"/>
  <c r="L1516" i="15"/>
  <c r="M1516" i="15" s="1"/>
  <c r="L1515" i="15"/>
  <c r="M1515" i="15" s="1"/>
  <c r="L1514" i="15"/>
  <c r="M1514" i="15" s="1"/>
  <c r="L1513" i="15"/>
  <c r="M1513" i="15" s="1"/>
  <c r="L1512" i="15"/>
  <c r="M1512" i="15" s="1"/>
  <c r="L1511" i="15"/>
  <c r="M1511" i="15" s="1"/>
  <c r="L1510" i="15"/>
  <c r="M1510" i="15" s="1"/>
  <c r="L1509" i="15"/>
  <c r="M1509" i="15" s="1"/>
  <c r="L1508" i="15"/>
  <c r="M1508" i="15" s="1"/>
  <c r="L1507" i="15"/>
  <c r="M1507" i="15" s="1"/>
  <c r="L1506" i="15"/>
  <c r="M1506" i="15" s="1"/>
  <c r="L1505" i="15"/>
  <c r="M1505" i="15" s="1"/>
  <c r="L1504" i="15"/>
  <c r="M1504" i="15" s="1"/>
  <c r="L1503" i="15"/>
  <c r="M1503" i="15" s="1"/>
  <c r="L1502" i="15"/>
  <c r="M1502" i="15" s="1"/>
  <c r="L1501" i="15"/>
  <c r="M1501" i="15" s="1"/>
  <c r="L1500" i="15"/>
  <c r="M1500" i="15" s="1"/>
  <c r="L1499" i="15"/>
  <c r="M1499" i="15" s="1"/>
  <c r="L1498" i="15"/>
  <c r="M1498" i="15" s="1"/>
  <c r="L1497" i="15"/>
  <c r="M1497" i="15" s="1"/>
  <c r="L1496" i="15"/>
  <c r="M1496" i="15" s="1"/>
  <c r="L1495" i="15"/>
  <c r="M1495" i="15" s="1"/>
  <c r="L1494" i="15"/>
  <c r="M1494" i="15" s="1"/>
  <c r="L1493" i="15"/>
  <c r="M1493" i="15" s="1"/>
  <c r="L1492" i="15"/>
  <c r="M1492" i="15" s="1"/>
  <c r="L1491" i="15"/>
  <c r="M1491" i="15" s="1"/>
  <c r="L1490" i="15"/>
  <c r="M1490" i="15" s="1"/>
  <c r="L1489" i="15"/>
  <c r="M1489" i="15" s="1"/>
  <c r="L1488" i="15"/>
  <c r="M1488" i="15" s="1"/>
  <c r="L1487" i="15"/>
  <c r="M1487" i="15" s="1"/>
  <c r="L1486" i="15"/>
  <c r="M1486" i="15" s="1"/>
  <c r="L1485" i="15"/>
  <c r="M1485" i="15" s="1"/>
  <c r="L1484" i="15"/>
  <c r="M1484" i="15" s="1"/>
  <c r="L1483" i="15"/>
  <c r="M1483" i="15" s="1"/>
  <c r="L1482" i="15"/>
  <c r="M1482" i="15" s="1"/>
  <c r="L1481" i="15"/>
  <c r="M1481" i="15" s="1"/>
  <c r="L1480" i="15"/>
  <c r="M1480" i="15" s="1"/>
  <c r="L1479" i="15"/>
  <c r="M1479" i="15" s="1"/>
  <c r="L1478" i="15"/>
  <c r="M1478" i="15" s="1"/>
  <c r="L1477" i="15"/>
  <c r="M1477" i="15" s="1"/>
  <c r="L1476" i="15"/>
  <c r="M1476" i="15" s="1"/>
  <c r="L1475" i="15"/>
  <c r="M1475" i="15" s="1"/>
  <c r="L1474" i="15"/>
  <c r="M1474" i="15" s="1"/>
  <c r="L1473" i="15"/>
  <c r="M1473" i="15" s="1"/>
  <c r="L1472" i="15"/>
  <c r="M1472" i="15" s="1"/>
  <c r="L1471" i="15"/>
  <c r="M1471" i="15" s="1"/>
  <c r="L1470" i="15"/>
  <c r="M1470" i="15" s="1"/>
  <c r="L1469" i="15"/>
  <c r="M1469" i="15" s="1"/>
  <c r="L1468" i="15"/>
  <c r="M1468" i="15" s="1"/>
  <c r="L1467" i="15"/>
  <c r="M1467" i="15" s="1"/>
  <c r="L1466" i="15"/>
  <c r="M1466" i="15" s="1"/>
  <c r="L1465" i="15"/>
  <c r="M1465" i="15" s="1"/>
  <c r="L1464" i="15"/>
  <c r="M1464" i="15" s="1"/>
  <c r="L1463" i="15"/>
  <c r="M1463" i="15" s="1"/>
  <c r="L1462" i="15"/>
  <c r="M1462" i="15" s="1"/>
  <c r="L1461" i="15"/>
  <c r="M1461" i="15" s="1"/>
  <c r="L1460" i="15"/>
  <c r="M1460" i="15" s="1"/>
  <c r="L1459" i="15"/>
  <c r="M1459" i="15" s="1"/>
  <c r="L1458" i="15"/>
  <c r="M1458" i="15" s="1"/>
  <c r="L1457" i="15"/>
  <c r="M1457" i="15" s="1"/>
  <c r="L1456" i="15"/>
  <c r="M1456" i="15" s="1"/>
  <c r="L1455" i="15"/>
  <c r="M1455" i="15" s="1"/>
  <c r="L1454" i="15"/>
  <c r="M1454" i="15" s="1"/>
  <c r="L1453" i="15"/>
  <c r="M1453" i="15" s="1"/>
  <c r="L1452" i="15"/>
  <c r="M1452" i="15" s="1"/>
  <c r="L1451" i="15"/>
  <c r="M1451" i="15" s="1"/>
  <c r="L1450" i="15"/>
  <c r="M1450" i="15" s="1"/>
  <c r="L1449" i="15"/>
  <c r="M1449" i="15" s="1"/>
  <c r="L1448" i="15"/>
  <c r="M1448" i="15" s="1"/>
  <c r="L1447" i="15"/>
  <c r="M1447" i="15" s="1"/>
  <c r="L1446" i="15"/>
  <c r="M1446" i="15" s="1"/>
  <c r="L1445" i="15"/>
  <c r="M1445" i="15" s="1"/>
  <c r="L1444" i="15"/>
  <c r="M1444" i="15" s="1"/>
  <c r="L1443" i="15"/>
  <c r="M1443" i="15" s="1"/>
  <c r="L1442" i="15"/>
  <c r="M1442" i="15" s="1"/>
  <c r="L1441" i="15"/>
  <c r="M1441" i="15" s="1"/>
  <c r="L1440" i="15"/>
  <c r="M1440" i="15" s="1"/>
  <c r="L1439" i="15"/>
  <c r="M1439" i="15" s="1"/>
  <c r="L1438" i="15"/>
  <c r="M1438" i="15" s="1"/>
  <c r="L1437" i="15"/>
  <c r="M1437" i="15" s="1"/>
  <c r="L1436" i="15"/>
  <c r="M1436" i="15" s="1"/>
  <c r="L1435" i="15"/>
  <c r="M1435" i="15" s="1"/>
  <c r="L1434" i="15"/>
  <c r="M1434" i="15" s="1"/>
  <c r="L1433" i="15"/>
  <c r="M1433" i="15" s="1"/>
  <c r="L1432" i="15"/>
  <c r="M1432" i="15" s="1"/>
  <c r="L1431" i="15"/>
  <c r="M1431" i="15" s="1"/>
  <c r="L1430" i="15"/>
  <c r="M1430" i="15" s="1"/>
  <c r="L1429" i="15"/>
  <c r="M1429" i="15" s="1"/>
  <c r="L1428" i="15"/>
  <c r="M1428" i="15" s="1"/>
  <c r="L1427" i="15"/>
  <c r="M1427" i="15" s="1"/>
  <c r="L1426" i="15"/>
  <c r="M1426" i="15" s="1"/>
  <c r="L1425" i="15"/>
  <c r="M1425" i="15" s="1"/>
  <c r="L1424" i="15"/>
  <c r="M1424" i="15" s="1"/>
  <c r="L1423" i="15"/>
  <c r="M1423" i="15" s="1"/>
  <c r="L1422" i="15"/>
  <c r="M1422" i="15" s="1"/>
  <c r="L1421" i="15"/>
  <c r="M1421" i="15" s="1"/>
  <c r="L1420" i="15"/>
  <c r="M1420" i="15" s="1"/>
  <c r="L1419" i="15"/>
  <c r="M1419" i="15" s="1"/>
  <c r="L1418" i="15"/>
  <c r="M1418" i="15" s="1"/>
  <c r="L1417" i="15"/>
  <c r="M1417" i="15" s="1"/>
  <c r="L1416" i="15"/>
  <c r="M1416" i="15" s="1"/>
  <c r="L1415" i="15"/>
  <c r="M1415" i="15" s="1"/>
  <c r="L1414" i="15"/>
  <c r="M1414" i="15" s="1"/>
  <c r="L1413" i="15"/>
  <c r="M1413" i="15" s="1"/>
  <c r="L1412" i="15"/>
  <c r="M1412" i="15" s="1"/>
  <c r="L1411" i="15"/>
  <c r="M1411" i="15" s="1"/>
  <c r="L1410" i="15"/>
  <c r="M1410" i="15" s="1"/>
  <c r="L1409" i="15"/>
  <c r="M1409" i="15" s="1"/>
  <c r="L1408" i="15"/>
  <c r="M1408" i="15" s="1"/>
  <c r="L1407" i="15"/>
  <c r="M1407" i="15" s="1"/>
  <c r="L1406" i="15"/>
  <c r="M1406" i="15" s="1"/>
  <c r="L1405" i="15"/>
  <c r="M1405" i="15" s="1"/>
  <c r="L1404" i="15"/>
  <c r="M1404" i="15" s="1"/>
  <c r="L1403" i="15"/>
  <c r="M1403" i="15" s="1"/>
  <c r="L1402" i="15"/>
  <c r="M1402" i="15" s="1"/>
  <c r="L1401" i="15"/>
  <c r="M1401" i="15" s="1"/>
  <c r="L1400" i="15"/>
  <c r="M1400" i="15" s="1"/>
  <c r="L1399" i="15"/>
  <c r="M1399" i="15" s="1"/>
  <c r="L1398" i="15"/>
  <c r="M1398" i="15" s="1"/>
  <c r="L1397" i="15"/>
  <c r="M1397" i="15" s="1"/>
  <c r="L1396" i="15"/>
  <c r="M1396" i="15" s="1"/>
  <c r="L1395" i="15"/>
  <c r="M1395" i="15" s="1"/>
  <c r="L1394" i="15"/>
  <c r="M1394" i="15" s="1"/>
  <c r="L1393" i="15"/>
  <c r="M1393" i="15" s="1"/>
  <c r="L1392" i="15"/>
  <c r="M1392" i="15" s="1"/>
  <c r="L1391" i="15"/>
  <c r="M1391" i="15" s="1"/>
  <c r="L1390" i="15"/>
  <c r="M1390" i="15" s="1"/>
  <c r="L1389" i="15"/>
  <c r="M1389" i="15" s="1"/>
  <c r="L1388" i="15"/>
  <c r="M1388" i="15" s="1"/>
  <c r="L1387" i="15"/>
  <c r="M1387" i="15" s="1"/>
  <c r="L1386" i="15"/>
  <c r="M1386" i="15" s="1"/>
  <c r="L1385" i="15"/>
  <c r="M1385" i="15" s="1"/>
  <c r="L1384" i="15"/>
  <c r="M1384" i="15" s="1"/>
  <c r="L1383" i="15"/>
  <c r="M1383" i="15" s="1"/>
  <c r="L1382" i="15"/>
  <c r="M1382" i="15" s="1"/>
  <c r="L1381" i="15"/>
  <c r="M1381" i="15" s="1"/>
  <c r="L1380" i="15"/>
  <c r="M1380" i="15" s="1"/>
  <c r="L1379" i="15"/>
  <c r="M1379" i="15" s="1"/>
  <c r="L1378" i="15"/>
  <c r="M1378" i="15" s="1"/>
  <c r="L1377" i="15"/>
  <c r="M1377" i="15" s="1"/>
  <c r="L1376" i="15"/>
  <c r="M1376" i="15" s="1"/>
  <c r="L1375" i="15"/>
  <c r="M1375" i="15" s="1"/>
  <c r="L1374" i="15"/>
  <c r="M1374" i="15" s="1"/>
  <c r="L1373" i="15"/>
  <c r="M1373" i="15" s="1"/>
  <c r="L1372" i="15"/>
  <c r="M1372" i="15" s="1"/>
  <c r="L1371" i="15"/>
  <c r="M1371" i="15" s="1"/>
  <c r="L1370" i="15"/>
  <c r="M1370" i="15" s="1"/>
  <c r="L1369" i="15"/>
  <c r="M1369" i="15" s="1"/>
  <c r="L1368" i="15"/>
  <c r="M1368" i="15" s="1"/>
  <c r="L1367" i="15"/>
  <c r="M1367" i="15" s="1"/>
  <c r="L1366" i="15"/>
  <c r="M1366" i="15" s="1"/>
  <c r="L1365" i="15"/>
  <c r="M1365" i="15" s="1"/>
  <c r="L1364" i="15"/>
  <c r="M1364" i="15" s="1"/>
  <c r="L1363" i="15"/>
  <c r="M1363" i="15" s="1"/>
  <c r="L1362" i="15"/>
  <c r="M1362" i="15" s="1"/>
  <c r="L1361" i="15"/>
  <c r="M1361" i="15" s="1"/>
  <c r="L1360" i="15"/>
  <c r="M1360" i="15" s="1"/>
  <c r="L1359" i="15"/>
  <c r="M1359" i="15" s="1"/>
  <c r="L1358" i="15"/>
  <c r="M1358" i="15" s="1"/>
  <c r="L1357" i="15"/>
  <c r="M1357" i="15" s="1"/>
  <c r="L1356" i="15"/>
  <c r="M1356" i="15" s="1"/>
  <c r="L1355" i="15"/>
  <c r="M1355" i="15" s="1"/>
  <c r="L1354" i="15"/>
  <c r="M1354" i="15" s="1"/>
  <c r="L1353" i="15"/>
  <c r="M1353" i="15" s="1"/>
  <c r="L1352" i="15"/>
  <c r="M1352" i="15" s="1"/>
  <c r="L1351" i="15"/>
  <c r="M1351" i="15" s="1"/>
  <c r="L1350" i="15"/>
  <c r="M1350" i="15" s="1"/>
  <c r="L1349" i="15"/>
  <c r="M1349" i="15" s="1"/>
  <c r="L1348" i="15"/>
  <c r="M1348" i="15" s="1"/>
  <c r="L1347" i="15"/>
  <c r="M1347" i="15" s="1"/>
  <c r="L1346" i="15"/>
  <c r="M1346" i="15" s="1"/>
  <c r="L1345" i="15"/>
  <c r="M1345" i="15" s="1"/>
  <c r="L1344" i="15"/>
  <c r="M1344" i="15" s="1"/>
  <c r="L1343" i="15"/>
  <c r="M1343" i="15" s="1"/>
  <c r="L1342" i="15"/>
  <c r="M1342" i="15" s="1"/>
  <c r="L1341" i="15"/>
  <c r="M1341" i="15" s="1"/>
  <c r="L1340" i="15"/>
  <c r="M1340" i="15" s="1"/>
  <c r="L1339" i="15"/>
  <c r="M1339" i="15" s="1"/>
  <c r="L1338" i="15"/>
  <c r="M1338" i="15" s="1"/>
  <c r="L1337" i="15"/>
  <c r="M1337" i="15" s="1"/>
  <c r="L1336" i="15"/>
  <c r="M1336" i="15" s="1"/>
  <c r="L1335" i="15"/>
  <c r="M1335" i="15" s="1"/>
  <c r="L1334" i="15"/>
  <c r="M1334" i="15" s="1"/>
  <c r="L1333" i="15"/>
  <c r="M1333" i="15" s="1"/>
  <c r="L1332" i="15"/>
  <c r="M1332" i="15" s="1"/>
  <c r="L1331" i="15"/>
  <c r="M1331" i="15" s="1"/>
  <c r="L1330" i="15"/>
  <c r="M1330" i="15" s="1"/>
  <c r="L1329" i="15"/>
  <c r="M1329" i="15" s="1"/>
  <c r="L1328" i="15"/>
  <c r="M1328" i="15" s="1"/>
  <c r="L1327" i="15"/>
  <c r="M1327" i="15" s="1"/>
  <c r="L1326" i="15"/>
  <c r="M1326" i="15" s="1"/>
  <c r="L1325" i="15"/>
  <c r="M1325" i="15" s="1"/>
  <c r="L1324" i="15"/>
  <c r="M1324" i="15" s="1"/>
  <c r="L1323" i="15"/>
  <c r="M1323" i="15" s="1"/>
  <c r="L1322" i="15"/>
  <c r="M1322" i="15" s="1"/>
  <c r="L1321" i="15"/>
  <c r="M1321" i="15" s="1"/>
  <c r="L1320" i="15"/>
  <c r="M1320" i="15" s="1"/>
  <c r="L1319" i="15"/>
  <c r="M1319" i="15" s="1"/>
  <c r="L1318" i="15"/>
  <c r="M1318" i="15" s="1"/>
  <c r="L1317" i="15"/>
  <c r="M1317" i="15" s="1"/>
  <c r="L1316" i="15"/>
  <c r="M1316" i="15" s="1"/>
  <c r="L1315" i="15"/>
  <c r="M1315" i="15" s="1"/>
  <c r="L1314" i="15"/>
  <c r="M1314" i="15" s="1"/>
  <c r="L1313" i="15"/>
  <c r="M1313" i="15" s="1"/>
  <c r="L1312" i="15"/>
  <c r="M1312" i="15" s="1"/>
  <c r="L1311" i="15"/>
  <c r="M1311" i="15" s="1"/>
  <c r="L1310" i="15"/>
  <c r="M1310" i="15" s="1"/>
  <c r="L1309" i="15"/>
  <c r="M1309" i="15" s="1"/>
  <c r="L1308" i="15"/>
  <c r="M1308" i="15" s="1"/>
  <c r="L1307" i="15"/>
  <c r="M1307" i="15" s="1"/>
  <c r="L1306" i="15"/>
  <c r="M1306" i="15" s="1"/>
  <c r="L1305" i="15"/>
  <c r="M1305" i="15" s="1"/>
  <c r="L1304" i="15"/>
  <c r="M1304" i="15" s="1"/>
  <c r="L1303" i="15"/>
  <c r="M1303" i="15" s="1"/>
  <c r="L1302" i="15"/>
  <c r="M1302" i="15" s="1"/>
  <c r="L1301" i="15"/>
  <c r="M1301" i="15" s="1"/>
  <c r="L1300" i="15"/>
  <c r="M1300" i="15" s="1"/>
  <c r="L1299" i="15"/>
  <c r="M1299" i="15" s="1"/>
  <c r="L1298" i="15"/>
  <c r="M1298" i="15" s="1"/>
  <c r="L1297" i="15"/>
  <c r="M1297" i="15" s="1"/>
  <c r="L1296" i="15"/>
  <c r="M1296" i="15" s="1"/>
  <c r="L1295" i="15"/>
  <c r="M1295" i="15" s="1"/>
  <c r="L1294" i="15"/>
  <c r="M1294" i="15" s="1"/>
  <c r="L1293" i="15"/>
  <c r="M1293" i="15" s="1"/>
  <c r="L1292" i="15"/>
  <c r="M1292" i="15" s="1"/>
  <c r="L1291" i="15"/>
  <c r="M1291" i="15" s="1"/>
  <c r="L1290" i="15"/>
  <c r="M1290" i="15" s="1"/>
  <c r="L1289" i="15"/>
  <c r="M1289" i="15" s="1"/>
  <c r="L1288" i="15"/>
  <c r="M1288" i="15" s="1"/>
  <c r="L1287" i="15"/>
  <c r="M1287" i="15" s="1"/>
  <c r="L1286" i="15"/>
  <c r="M1286" i="15" s="1"/>
  <c r="L1285" i="15"/>
  <c r="M1285" i="15" s="1"/>
  <c r="L1284" i="15"/>
  <c r="M1284" i="15" s="1"/>
  <c r="L1283" i="15"/>
  <c r="M1283" i="15" s="1"/>
  <c r="L1282" i="15"/>
  <c r="M1282" i="15" s="1"/>
  <c r="L1281" i="15"/>
  <c r="M1281" i="15" s="1"/>
  <c r="L1280" i="15"/>
  <c r="M1280" i="15" s="1"/>
  <c r="L1279" i="15"/>
  <c r="M1279" i="15" s="1"/>
  <c r="L1278" i="15"/>
  <c r="M1278" i="15" s="1"/>
  <c r="L1277" i="15"/>
  <c r="M1277" i="15" s="1"/>
  <c r="L1276" i="15"/>
  <c r="M1276" i="15" s="1"/>
  <c r="L1275" i="15"/>
  <c r="M1275" i="15" s="1"/>
  <c r="L1274" i="15"/>
  <c r="M1274" i="15" s="1"/>
  <c r="L1273" i="15"/>
  <c r="M1273" i="15" s="1"/>
  <c r="L1272" i="15"/>
  <c r="M1272" i="15" s="1"/>
  <c r="L1271" i="15"/>
  <c r="M1271" i="15" s="1"/>
  <c r="L1270" i="15"/>
  <c r="M1270" i="15" s="1"/>
  <c r="L1269" i="15"/>
  <c r="M1269" i="15" s="1"/>
  <c r="L1268" i="15"/>
  <c r="M1268" i="15" s="1"/>
  <c r="L1267" i="15"/>
  <c r="M1267" i="15" s="1"/>
  <c r="L1266" i="15"/>
  <c r="M1266" i="15" s="1"/>
  <c r="L1265" i="15"/>
  <c r="M1265" i="15" s="1"/>
  <c r="L1264" i="15"/>
  <c r="M1264" i="15" s="1"/>
  <c r="L1263" i="15"/>
  <c r="M1263" i="15" s="1"/>
  <c r="L1262" i="15"/>
  <c r="M1262" i="15" s="1"/>
  <c r="L1261" i="15"/>
  <c r="M1261" i="15" s="1"/>
  <c r="L1260" i="15"/>
  <c r="M1260" i="15" s="1"/>
  <c r="L1259" i="15"/>
  <c r="M1259" i="15" s="1"/>
  <c r="L1258" i="15"/>
  <c r="M1258" i="15" s="1"/>
  <c r="L1257" i="15"/>
  <c r="M1257" i="15" s="1"/>
  <c r="L1256" i="15"/>
  <c r="M1256" i="15" s="1"/>
  <c r="L1255" i="15"/>
  <c r="M1255" i="15" s="1"/>
  <c r="L1254" i="15"/>
  <c r="M1254" i="15" s="1"/>
  <c r="L1253" i="15"/>
  <c r="M1253" i="15" s="1"/>
  <c r="L1252" i="15"/>
  <c r="M1252" i="15" s="1"/>
  <c r="L1251" i="15"/>
  <c r="M1251" i="15" s="1"/>
  <c r="L1250" i="15"/>
  <c r="M1250" i="15" s="1"/>
  <c r="L1249" i="15"/>
  <c r="M1249" i="15" s="1"/>
  <c r="L1248" i="15"/>
  <c r="M1248" i="15" s="1"/>
  <c r="L1247" i="15"/>
  <c r="M1247" i="15" s="1"/>
  <c r="L1246" i="15"/>
  <c r="M1246" i="15" s="1"/>
  <c r="L1245" i="15"/>
  <c r="M1245" i="15" s="1"/>
  <c r="L1244" i="15"/>
  <c r="M1244" i="15" s="1"/>
  <c r="L1243" i="15"/>
  <c r="M1243" i="15" s="1"/>
  <c r="L1242" i="15"/>
  <c r="M1242" i="15" s="1"/>
  <c r="L1241" i="15"/>
  <c r="M1241" i="15" s="1"/>
  <c r="L1240" i="15"/>
  <c r="M1240" i="15" s="1"/>
  <c r="L1239" i="15"/>
  <c r="M1239" i="15" s="1"/>
  <c r="L1238" i="15"/>
  <c r="M1238" i="15" s="1"/>
  <c r="L1237" i="15"/>
  <c r="M1237" i="15" s="1"/>
  <c r="L1236" i="15"/>
  <c r="M1236" i="15" s="1"/>
  <c r="L1235" i="15"/>
  <c r="M1235" i="15" s="1"/>
  <c r="L1234" i="15"/>
  <c r="M1234" i="15" s="1"/>
  <c r="L1233" i="15"/>
  <c r="M1233" i="15" s="1"/>
  <c r="L1232" i="15"/>
  <c r="M1232" i="15" s="1"/>
  <c r="L1231" i="15"/>
  <c r="M1231" i="15" s="1"/>
  <c r="L1230" i="15"/>
  <c r="M1230" i="15" s="1"/>
  <c r="L1229" i="15"/>
  <c r="M1229" i="15" s="1"/>
  <c r="L1228" i="15"/>
  <c r="M1228" i="15" s="1"/>
  <c r="L1227" i="15"/>
  <c r="M1227" i="15" s="1"/>
  <c r="L1226" i="15"/>
  <c r="M1226" i="15" s="1"/>
  <c r="L1225" i="15"/>
  <c r="M1225" i="15" s="1"/>
  <c r="L1224" i="15"/>
  <c r="M1224" i="15" s="1"/>
  <c r="L1223" i="15"/>
  <c r="M1223" i="15" s="1"/>
  <c r="L1222" i="15"/>
  <c r="M1222" i="15" s="1"/>
  <c r="L1221" i="15"/>
  <c r="M1221" i="15" s="1"/>
  <c r="L1220" i="15"/>
  <c r="M1220" i="15" s="1"/>
  <c r="L1219" i="15"/>
  <c r="M1219" i="15" s="1"/>
  <c r="L1218" i="15"/>
  <c r="M1218" i="15" s="1"/>
  <c r="L1217" i="15"/>
  <c r="M1217" i="15" s="1"/>
  <c r="L1216" i="15"/>
  <c r="M1216" i="15" s="1"/>
  <c r="L1215" i="15"/>
  <c r="M1215" i="15" s="1"/>
  <c r="L1214" i="15"/>
  <c r="M1214" i="15" s="1"/>
  <c r="L1213" i="15"/>
  <c r="M1213" i="15" s="1"/>
  <c r="L1212" i="15"/>
  <c r="M1212" i="15" s="1"/>
  <c r="L1211" i="15"/>
  <c r="M1211" i="15" s="1"/>
  <c r="L1210" i="15"/>
  <c r="M1210" i="15" s="1"/>
  <c r="L1209" i="15"/>
  <c r="M1209" i="15" s="1"/>
  <c r="L1208" i="15"/>
  <c r="M1208" i="15" s="1"/>
  <c r="L1207" i="15"/>
  <c r="M1207" i="15" s="1"/>
  <c r="L1206" i="15"/>
  <c r="M1206" i="15" s="1"/>
  <c r="L1205" i="15"/>
  <c r="M1205" i="15" s="1"/>
  <c r="L1204" i="15"/>
  <c r="M1204" i="15" s="1"/>
  <c r="L1203" i="15"/>
  <c r="M1203" i="15" s="1"/>
  <c r="L1202" i="15"/>
  <c r="M1202" i="15" s="1"/>
  <c r="L1201" i="15"/>
  <c r="M1201" i="15" s="1"/>
  <c r="L1200" i="15"/>
  <c r="M1200" i="15" s="1"/>
  <c r="L1199" i="15"/>
  <c r="M1199" i="15" s="1"/>
  <c r="L1198" i="15"/>
  <c r="M1198" i="15" s="1"/>
  <c r="L1197" i="15"/>
  <c r="M1197" i="15" s="1"/>
  <c r="L1196" i="15"/>
  <c r="M1196" i="15" s="1"/>
  <c r="L1195" i="15"/>
  <c r="M1195" i="15" s="1"/>
  <c r="L1194" i="15"/>
  <c r="M1194" i="15" s="1"/>
  <c r="L1193" i="15"/>
  <c r="M1193" i="15" s="1"/>
  <c r="L1192" i="15"/>
  <c r="M1192" i="15" s="1"/>
  <c r="L1191" i="15"/>
  <c r="M1191" i="15" s="1"/>
  <c r="L1190" i="15"/>
  <c r="M1190" i="15" s="1"/>
  <c r="L1189" i="15"/>
  <c r="M1189" i="15" s="1"/>
  <c r="L1188" i="15"/>
  <c r="M1188" i="15" s="1"/>
  <c r="L1187" i="15"/>
  <c r="M1187" i="15" s="1"/>
  <c r="L1186" i="15"/>
  <c r="M1186" i="15" s="1"/>
  <c r="L1185" i="15"/>
  <c r="M1185" i="15" s="1"/>
  <c r="L1184" i="15"/>
  <c r="M1184" i="15" s="1"/>
  <c r="L1183" i="15"/>
  <c r="M1183" i="15" s="1"/>
  <c r="L1182" i="15"/>
  <c r="M1182" i="15" s="1"/>
  <c r="L1181" i="15"/>
  <c r="M1181" i="15" s="1"/>
  <c r="L1180" i="15"/>
  <c r="M1180" i="15" s="1"/>
  <c r="L1179" i="15"/>
  <c r="M1179" i="15" s="1"/>
  <c r="L1178" i="15"/>
  <c r="M1178" i="15" s="1"/>
  <c r="L1177" i="15"/>
  <c r="M1177" i="15" s="1"/>
  <c r="L1176" i="15"/>
  <c r="M1176" i="15" s="1"/>
  <c r="L1175" i="15"/>
  <c r="M1175" i="15" s="1"/>
  <c r="L1174" i="15"/>
  <c r="M1174" i="15" s="1"/>
  <c r="L1173" i="15"/>
  <c r="M1173" i="15" s="1"/>
  <c r="L1172" i="15"/>
  <c r="M1172" i="15" s="1"/>
  <c r="L1171" i="15"/>
  <c r="M1171" i="15" s="1"/>
  <c r="L1170" i="15"/>
  <c r="M1170" i="15" s="1"/>
  <c r="L1169" i="15"/>
  <c r="M1169" i="15" s="1"/>
  <c r="L1168" i="15"/>
  <c r="M1168" i="15" s="1"/>
  <c r="L1167" i="15"/>
  <c r="M1167" i="15" s="1"/>
  <c r="L1166" i="15"/>
  <c r="M1166" i="15" s="1"/>
  <c r="L1165" i="15"/>
  <c r="M1165" i="15" s="1"/>
  <c r="L1164" i="15"/>
  <c r="M1164" i="15" s="1"/>
  <c r="L1163" i="15"/>
  <c r="M1163" i="15" s="1"/>
  <c r="L1162" i="15"/>
  <c r="M1162" i="15" s="1"/>
  <c r="L1161" i="15"/>
  <c r="M1161" i="15" s="1"/>
  <c r="L1160" i="15"/>
  <c r="M1160" i="15" s="1"/>
  <c r="L1159" i="15"/>
  <c r="M1159" i="15" s="1"/>
  <c r="L1158" i="15"/>
  <c r="M1158" i="15" s="1"/>
  <c r="L1157" i="15"/>
  <c r="M1157" i="15" s="1"/>
  <c r="L1156" i="15"/>
  <c r="M1156" i="15" s="1"/>
  <c r="L1155" i="15"/>
  <c r="M1155" i="15" s="1"/>
  <c r="L1154" i="15"/>
  <c r="M1154" i="15" s="1"/>
  <c r="L1153" i="15"/>
  <c r="M1153" i="15" s="1"/>
  <c r="L1152" i="15"/>
  <c r="M1152" i="15" s="1"/>
  <c r="L1151" i="15"/>
  <c r="M1151" i="15" s="1"/>
  <c r="L1150" i="15"/>
  <c r="M1150" i="15" s="1"/>
  <c r="L1149" i="15"/>
  <c r="M1149" i="15" s="1"/>
  <c r="L1148" i="15"/>
  <c r="M1148" i="15" s="1"/>
  <c r="L1147" i="15"/>
  <c r="M1147" i="15" s="1"/>
  <c r="L1146" i="15"/>
  <c r="M1146" i="15" s="1"/>
  <c r="L1145" i="15"/>
  <c r="M1145" i="15" s="1"/>
  <c r="L1144" i="15"/>
  <c r="M1144" i="15" s="1"/>
  <c r="L1143" i="15"/>
  <c r="M1143" i="15" s="1"/>
  <c r="L1142" i="15"/>
  <c r="M1142" i="15" s="1"/>
  <c r="L1141" i="15"/>
  <c r="M1141" i="15" s="1"/>
  <c r="L1140" i="15"/>
  <c r="M1140" i="15" s="1"/>
  <c r="L1139" i="15"/>
  <c r="M1139" i="15" s="1"/>
  <c r="L1138" i="15"/>
  <c r="M1138" i="15" s="1"/>
  <c r="L1137" i="15"/>
  <c r="M1137" i="15" s="1"/>
  <c r="L1136" i="15"/>
  <c r="M1136" i="15" s="1"/>
  <c r="L1135" i="15"/>
  <c r="M1135" i="15" s="1"/>
  <c r="L1134" i="15"/>
  <c r="M1134" i="15" s="1"/>
  <c r="L1133" i="15"/>
  <c r="M1133" i="15" s="1"/>
  <c r="L1132" i="15"/>
  <c r="M1132" i="15" s="1"/>
  <c r="L1131" i="15"/>
  <c r="M1131" i="15" s="1"/>
  <c r="L1130" i="15"/>
  <c r="M1130" i="15" s="1"/>
  <c r="L1129" i="15"/>
  <c r="M1129" i="15" s="1"/>
  <c r="L1128" i="15"/>
  <c r="M1128" i="15" s="1"/>
  <c r="L1127" i="15"/>
  <c r="M1127" i="15" s="1"/>
  <c r="L1126" i="15"/>
  <c r="M1126" i="15" s="1"/>
  <c r="L1125" i="15"/>
  <c r="M1125" i="15" s="1"/>
  <c r="L1124" i="15"/>
  <c r="M1124" i="15" s="1"/>
  <c r="L1123" i="15"/>
  <c r="M1123" i="15" s="1"/>
  <c r="L1122" i="15"/>
  <c r="M1122" i="15" s="1"/>
  <c r="L1121" i="15"/>
  <c r="M1121" i="15" s="1"/>
  <c r="L1120" i="15"/>
  <c r="M1120" i="15" s="1"/>
  <c r="L1119" i="15"/>
  <c r="M1119" i="15" s="1"/>
  <c r="L1118" i="15"/>
  <c r="M1118" i="15" s="1"/>
  <c r="L1117" i="15"/>
  <c r="M1117" i="15" s="1"/>
  <c r="L1116" i="15"/>
  <c r="M1116" i="15" s="1"/>
  <c r="L1115" i="15"/>
  <c r="M1115" i="15" s="1"/>
  <c r="L1114" i="15"/>
  <c r="M1114" i="15" s="1"/>
  <c r="L1113" i="15"/>
  <c r="M1113" i="15" s="1"/>
  <c r="L1112" i="15"/>
  <c r="M1112" i="15" s="1"/>
  <c r="L1111" i="15"/>
  <c r="M1111" i="15" s="1"/>
  <c r="L1110" i="15"/>
  <c r="M1110" i="15" s="1"/>
  <c r="L1109" i="15"/>
  <c r="M1109" i="15" s="1"/>
  <c r="L1108" i="15"/>
  <c r="M1108" i="15" s="1"/>
  <c r="L1107" i="15"/>
  <c r="M1107" i="15" s="1"/>
  <c r="L1106" i="15"/>
  <c r="M1106" i="15" s="1"/>
  <c r="L1105" i="15"/>
  <c r="M1105" i="15" s="1"/>
  <c r="L1104" i="15"/>
  <c r="M1104" i="15" s="1"/>
  <c r="L1103" i="15"/>
  <c r="M1103" i="15" s="1"/>
  <c r="L1102" i="15"/>
  <c r="M1102" i="15" s="1"/>
  <c r="L1101" i="15"/>
  <c r="M1101" i="15" s="1"/>
  <c r="L1100" i="15"/>
  <c r="M1100" i="15" s="1"/>
  <c r="L1099" i="15"/>
  <c r="M1099" i="15" s="1"/>
  <c r="L1098" i="15"/>
  <c r="M1098" i="15" s="1"/>
  <c r="L1097" i="15"/>
  <c r="M1097" i="15" s="1"/>
  <c r="L1096" i="15"/>
  <c r="M1096" i="15" s="1"/>
  <c r="L1095" i="15"/>
  <c r="M1095" i="15" s="1"/>
  <c r="L1094" i="15"/>
  <c r="M1094" i="15" s="1"/>
  <c r="L1093" i="15"/>
  <c r="M1093" i="15" s="1"/>
  <c r="L1092" i="15"/>
  <c r="M1092" i="15" s="1"/>
  <c r="L1091" i="15"/>
  <c r="M1091" i="15" s="1"/>
  <c r="L1090" i="15"/>
  <c r="M1090" i="15" s="1"/>
  <c r="L1089" i="15"/>
  <c r="M1089" i="15" s="1"/>
  <c r="L1088" i="15"/>
  <c r="M1088" i="15" s="1"/>
  <c r="L1087" i="15"/>
  <c r="M1087" i="15" s="1"/>
  <c r="L1086" i="15"/>
  <c r="M1086" i="15" s="1"/>
  <c r="L1085" i="15"/>
  <c r="M1085" i="15" s="1"/>
  <c r="L1084" i="15"/>
  <c r="M1084" i="15" s="1"/>
  <c r="L1083" i="15"/>
  <c r="M1083" i="15" s="1"/>
  <c r="L1082" i="15"/>
  <c r="M1082" i="15" s="1"/>
  <c r="L1081" i="15"/>
  <c r="M1081" i="15" s="1"/>
  <c r="L1080" i="15"/>
  <c r="M1080" i="15" s="1"/>
  <c r="L1079" i="15"/>
  <c r="M1079" i="15" s="1"/>
  <c r="L1078" i="15"/>
  <c r="M1078" i="15" s="1"/>
  <c r="L1077" i="15"/>
  <c r="M1077" i="15" s="1"/>
  <c r="L1076" i="15"/>
  <c r="M1076" i="15" s="1"/>
  <c r="L1075" i="15"/>
  <c r="M1075" i="15" s="1"/>
  <c r="L1074" i="15"/>
  <c r="M1074" i="15" s="1"/>
  <c r="L1073" i="15"/>
  <c r="M1073" i="15" s="1"/>
  <c r="L1072" i="15"/>
  <c r="M1072" i="15" s="1"/>
  <c r="L1071" i="15"/>
  <c r="M1071" i="15" s="1"/>
  <c r="L1070" i="15"/>
  <c r="M1070" i="15" s="1"/>
  <c r="L1069" i="15"/>
  <c r="M1069" i="15" s="1"/>
  <c r="L1068" i="15"/>
  <c r="M1068" i="15" s="1"/>
  <c r="L1067" i="15"/>
  <c r="M1067" i="15" s="1"/>
  <c r="L1066" i="15"/>
  <c r="M1066" i="15" s="1"/>
  <c r="L1065" i="15"/>
  <c r="M1065" i="15" s="1"/>
  <c r="L1064" i="15"/>
  <c r="M1064" i="15" s="1"/>
  <c r="L1063" i="15"/>
  <c r="M1063" i="15" s="1"/>
  <c r="L1062" i="15"/>
  <c r="M1062" i="15" s="1"/>
  <c r="L1061" i="15"/>
  <c r="M1061" i="15" s="1"/>
  <c r="L1060" i="15"/>
  <c r="M1060" i="15" s="1"/>
  <c r="L1059" i="15"/>
  <c r="M1059" i="15" s="1"/>
  <c r="L1058" i="15"/>
  <c r="M1058" i="15" s="1"/>
  <c r="L1057" i="15"/>
  <c r="M1057" i="15" s="1"/>
  <c r="L1056" i="15"/>
  <c r="M1056" i="15" s="1"/>
  <c r="L1055" i="15"/>
  <c r="M1055" i="15" s="1"/>
  <c r="L1054" i="15"/>
  <c r="M1054" i="15" s="1"/>
  <c r="L1053" i="15"/>
  <c r="M1053" i="15" s="1"/>
  <c r="L1052" i="15"/>
  <c r="M1052" i="15" s="1"/>
  <c r="L1051" i="15"/>
  <c r="M1051" i="15" s="1"/>
  <c r="L1050" i="15"/>
  <c r="M1050" i="15" s="1"/>
  <c r="L1049" i="15"/>
  <c r="M1049" i="15" s="1"/>
  <c r="L1048" i="15"/>
  <c r="M1048" i="15" s="1"/>
  <c r="L1047" i="15"/>
  <c r="M1047" i="15" s="1"/>
  <c r="L1046" i="15"/>
  <c r="M1046" i="15" s="1"/>
  <c r="L1045" i="15"/>
  <c r="M1045" i="15" s="1"/>
  <c r="L1044" i="15"/>
  <c r="M1044" i="15" s="1"/>
  <c r="L1043" i="15"/>
  <c r="M1043" i="15" s="1"/>
  <c r="L1042" i="15"/>
  <c r="M1042" i="15" s="1"/>
  <c r="L1041" i="15"/>
  <c r="M1041" i="15" s="1"/>
  <c r="L1040" i="15"/>
  <c r="M1040" i="15" s="1"/>
  <c r="L1039" i="15"/>
  <c r="M1039" i="15" s="1"/>
  <c r="L1038" i="15"/>
  <c r="M1038" i="15" s="1"/>
  <c r="L1037" i="15"/>
  <c r="M1037" i="15" s="1"/>
  <c r="L1036" i="15"/>
  <c r="M1036" i="15" s="1"/>
  <c r="L1035" i="15"/>
  <c r="M1035" i="15" s="1"/>
  <c r="L1034" i="15"/>
  <c r="M1034" i="15" s="1"/>
  <c r="L1033" i="15"/>
  <c r="M1033" i="15" s="1"/>
  <c r="L1032" i="15"/>
  <c r="M1032" i="15" s="1"/>
  <c r="L1031" i="15"/>
  <c r="M1031" i="15" s="1"/>
  <c r="L1030" i="15"/>
  <c r="M1030" i="15" s="1"/>
  <c r="L1029" i="15"/>
  <c r="M1029" i="15" s="1"/>
  <c r="L1028" i="15"/>
  <c r="M1028" i="15" s="1"/>
  <c r="L1027" i="15"/>
  <c r="M1027" i="15" s="1"/>
  <c r="L1026" i="15"/>
  <c r="M1026" i="15" s="1"/>
  <c r="L1025" i="15"/>
  <c r="M1025" i="15" s="1"/>
  <c r="L1024" i="15"/>
  <c r="M1024" i="15" s="1"/>
  <c r="L1023" i="15"/>
  <c r="M1023" i="15" s="1"/>
  <c r="L1022" i="15"/>
  <c r="M1022" i="15" s="1"/>
  <c r="L1021" i="15"/>
  <c r="M1021" i="15" s="1"/>
  <c r="L1020" i="15"/>
  <c r="M1020" i="15" s="1"/>
  <c r="L1019" i="15"/>
  <c r="M1019" i="15" s="1"/>
  <c r="L1018" i="15"/>
  <c r="M1018" i="15" s="1"/>
  <c r="L1017" i="15"/>
  <c r="M1017" i="15" s="1"/>
  <c r="L1016" i="15"/>
  <c r="M1016" i="15" s="1"/>
  <c r="L1015" i="15"/>
  <c r="M1015" i="15" s="1"/>
  <c r="L1014" i="15"/>
  <c r="M1014" i="15" s="1"/>
  <c r="L1013" i="15"/>
  <c r="M1013" i="15" s="1"/>
  <c r="L1012" i="15"/>
  <c r="M1012" i="15" s="1"/>
  <c r="L1011" i="15"/>
  <c r="M1011" i="15" s="1"/>
  <c r="L1010" i="15"/>
  <c r="M1010" i="15" s="1"/>
  <c r="L1009" i="15"/>
  <c r="M1009" i="15" s="1"/>
  <c r="L1008" i="15"/>
  <c r="M1008" i="15" s="1"/>
  <c r="L1007" i="15"/>
  <c r="M1007" i="15" s="1"/>
  <c r="L1006" i="15"/>
  <c r="M1006" i="15" s="1"/>
  <c r="L1005" i="15"/>
  <c r="M1005" i="15" s="1"/>
  <c r="L1004" i="15"/>
  <c r="M1004" i="15" s="1"/>
  <c r="L1003" i="15"/>
  <c r="M1003" i="15" s="1"/>
  <c r="L1002" i="15"/>
  <c r="M1002" i="15" s="1"/>
  <c r="L1001" i="15"/>
  <c r="M1001" i="15" s="1"/>
  <c r="L1000" i="15"/>
  <c r="M1000" i="15" s="1"/>
  <c r="L999" i="15"/>
  <c r="M999" i="15" s="1"/>
  <c r="L998" i="15"/>
  <c r="M998" i="15" s="1"/>
  <c r="L997" i="15"/>
  <c r="M997" i="15" s="1"/>
  <c r="L996" i="15"/>
  <c r="M996" i="15" s="1"/>
  <c r="L995" i="15"/>
  <c r="M995" i="15" s="1"/>
  <c r="L994" i="15"/>
  <c r="M994" i="15" s="1"/>
  <c r="L993" i="15"/>
  <c r="M993" i="15" s="1"/>
  <c r="L992" i="15"/>
  <c r="M992" i="15" s="1"/>
  <c r="L991" i="15"/>
  <c r="M991" i="15" s="1"/>
  <c r="L990" i="15"/>
  <c r="M990" i="15" s="1"/>
  <c r="L989" i="15"/>
  <c r="M989" i="15" s="1"/>
  <c r="L988" i="15"/>
  <c r="M988" i="15" s="1"/>
  <c r="L987" i="15"/>
  <c r="M987" i="15" s="1"/>
  <c r="L986" i="15"/>
  <c r="M986" i="15" s="1"/>
  <c r="L985" i="15"/>
  <c r="M985" i="15" s="1"/>
  <c r="L984" i="15"/>
  <c r="M984" i="15" s="1"/>
  <c r="L983" i="15"/>
  <c r="M983" i="15" s="1"/>
  <c r="L982" i="15"/>
  <c r="M982" i="15" s="1"/>
  <c r="L981" i="15"/>
  <c r="M981" i="15" s="1"/>
  <c r="L980" i="15"/>
  <c r="M980" i="15" s="1"/>
  <c r="L979" i="15"/>
  <c r="M979" i="15" s="1"/>
  <c r="L978" i="15"/>
  <c r="M978" i="15" s="1"/>
  <c r="L977" i="15"/>
  <c r="M977" i="15" s="1"/>
  <c r="L976" i="15"/>
  <c r="M976" i="15" s="1"/>
  <c r="L975" i="15"/>
  <c r="M975" i="15" s="1"/>
  <c r="L974" i="15"/>
  <c r="M974" i="15" s="1"/>
  <c r="L973" i="15"/>
  <c r="M973" i="15" s="1"/>
  <c r="L972" i="15"/>
  <c r="M972" i="15" s="1"/>
  <c r="L971" i="15"/>
  <c r="M971" i="15" s="1"/>
  <c r="L970" i="15"/>
  <c r="M970" i="15" s="1"/>
  <c r="L969" i="15"/>
  <c r="M969" i="15" s="1"/>
  <c r="L968" i="15"/>
  <c r="M968" i="15" s="1"/>
  <c r="L967" i="15"/>
  <c r="M967" i="15" s="1"/>
  <c r="L966" i="15"/>
  <c r="M966" i="15" s="1"/>
  <c r="L965" i="15"/>
  <c r="M965" i="15" s="1"/>
  <c r="L964" i="15"/>
  <c r="M964" i="15" s="1"/>
  <c r="L963" i="15"/>
  <c r="M963" i="15" s="1"/>
  <c r="L962" i="15"/>
  <c r="M962" i="15" s="1"/>
  <c r="L961" i="15"/>
  <c r="M961" i="15" s="1"/>
  <c r="L960" i="15"/>
  <c r="M960" i="15" s="1"/>
  <c r="L959" i="15"/>
  <c r="M959" i="15" s="1"/>
  <c r="L958" i="15"/>
  <c r="M958" i="15" s="1"/>
  <c r="L957" i="15"/>
  <c r="M957" i="15" s="1"/>
  <c r="L956" i="15"/>
  <c r="M956" i="15" s="1"/>
  <c r="L955" i="15"/>
  <c r="M955" i="15" s="1"/>
  <c r="L954" i="15"/>
  <c r="M954" i="15" s="1"/>
  <c r="L953" i="15"/>
  <c r="M953" i="15" s="1"/>
  <c r="L952" i="15"/>
  <c r="M952" i="15" s="1"/>
  <c r="L951" i="15"/>
  <c r="M951" i="15" s="1"/>
  <c r="L950" i="15"/>
  <c r="M950" i="15" s="1"/>
  <c r="L949" i="15"/>
  <c r="M949" i="15" s="1"/>
  <c r="L948" i="15"/>
  <c r="M948" i="15" s="1"/>
  <c r="L947" i="15"/>
  <c r="M947" i="15" s="1"/>
  <c r="L946" i="15"/>
  <c r="M946" i="15" s="1"/>
  <c r="L945" i="15"/>
  <c r="M945" i="15" s="1"/>
  <c r="L944" i="15"/>
  <c r="M944" i="15" s="1"/>
  <c r="L943" i="15"/>
  <c r="M943" i="15" s="1"/>
  <c r="L942" i="15"/>
  <c r="M942" i="15" s="1"/>
  <c r="L941" i="15"/>
  <c r="M941" i="15" s="1"/>
  <c r="L940" i="15"/>
  <c r="M940" i="15" s="1"/>
  <c r="L939" i="15"/>
  <c r="M939" i="15" s="1"/>
  <c r="L938" i="15"/>
  <c r="M938" i="15" s="1"/>
  <c r="L937" i="15"/>
  <c r="M937" i="15" s="1"/>
  <c r="L936" i="15"/>
  <c r="M936" i="15" s="1"/>
  <c r="L935" i="15"/>
  <c r="M935" i="15" s="1"/>
  <c r="L934" i="15"/>
  <c r="M934" i="15" s="1"/>
  <c r="L933" i="15"/>
  <c r="M933" i="15" s="1"/>
  <c r="L932" i="15"/>
  <c r="M932" i="15" s="1"/>
  <c r="L931" i="15"/>
  <c r="M931" i="15" s="1"/>
  <c r="L930" i="15"/>
  <c r="M930" i="15" s="1"/>
  <c r="L929" i="15"/>
  <c r="M929" i="15" s="1"/>
  <c r="L928" i="15"/>
  <c r="M928" i="15" s="1"/>
  <c r="L927" i="15"/>
  <c r="M927" i="15" s="1"/>
  <c r="L926" i="15"/>
  <c r="M926" i="15" s="1"/>
  <c r="L925" i="15"/>
  <c r="M925" i="15" s="1"/>
  <c r="L924" i="15"/>
  <c r="M924" i="15" s="1"/>
  <c r="L923" i="15"/>
  <c r="M923" i="15" s="1"/>
  <c r="L922" i="15"/>
  <c r="M922" i="15" s="1"/>
  <c r="L921" i="15"/>
  <c r="M921" i="15" s="1"/>
  <c r="L920" i="15"/>
  <c r="M920" i="15" s="1"/>
  <c r="L919" i="15"/>
  <c r="M919" i="15" s="1"/>
  <c r="L918" i="15"/>
  <c r="M918" i="15" s="1"/>
  <c r="L917" i="15"/>
  <c r="M917" i="15" s="1"/>
  <c r="L916" i="15"/>
  <c r="M916" i="15" s="1"/>
  <c r="L915" i="15"/>
  <c r="M915" i="15" s="1"/>
  <c r="L914" i="15"/>
  <c r="M914" i="15" s="1"/>
  <c r="L913" i="15"/>
  <c r="M913" i="15" s="1"/>
  <c r="L912" i="15"/>
  <c r="M912" i="15" s="1"/>
  <c r="L911" i="15"/>
  <c r="M911" i="15" s="1"/>
  <c r="L910" i="15"/>
  <c r="M910" i="15" s="1"/>
  <c r="L909" i="15"/>
  <c r="M909" i="15" s="1"/>
  <c r="L908" i="15"/>
  <c r="M908" i="15" s="1"/>
  <c r="L907" i="15"/>
  <c r="M907" i="15" s="1"/>
  <c r="L906" i="15"/>
  <c r="M906" i="15" s="1"/>
  <c r="L905" i="15"/>
  <c r="M905" i="15" s="1"/>
  <c r="L904" i="15"/>
  <c r="M904" i="15" s="1"/>
  <c r="L903" i="15"/>
  <c r="M903" i="15" s="1"/>
  <c r="L902" i="15"/>
  <c r="M902" i="15" s="1"/>
  <c r="L901" i="15"/>
  <c r="M901" i="15" s="1"/>
  <c r="L900" i="15"/>
  <c r="M900" i="15" s="1"/>
  <c r="L899" i="15"/>
  <c r="M899" i="15" s="1"/>
  <c r="L898" i="15"/>
  <c r="M898" i="15" s="1"/>
  <c r="L897" i="15"/>
  <c r="M897" i="15" s="1"/>
  <c r="L896" i="15"/>
  <c r="M896" i="15" s="1"/>
  <c r="L895" i="15"/>
  <c r="M895" i="15" s="1"/>
  <c r="L894" i="15"/>
  <c r="M894" i="15" s="1"/>
  <c r="L893" i="15"/>
  <c r="M893" i="15" s="1"/>
  <c r="L892" i="15"/>
  <c r="M892" i="15" s="1"/>
  <c r="L891" i="15"/>
  <c r="M891" i="15" s="1"/>
  <c r="L890" i="15"/>
  <c r="M890" i="15" s="1"/>
  <c r="L889" i="15"/>
  <c r="M889" i="15" s="1"/>
  <c r="L888" i="15"/>
  <c r="M888" i="15" s="1"/>
  <c r="L887" i="15"/>
  <c r="M887" i="15" s="1"/>
  <c r="L886" i="15"/>
  <c r="M886" i="15" s="1"/>
  <c r="L885" i="15"/>
  <c r="M885" i="15" s="1"/>
  <c r="L884" i="15"/>
  <c r="M884" i="15" s="1"/>
  <c r="L883" i="15"/>
  <c r="M883" i="15" s="1"/>
  <c r="L882" i="15"/>
  <c r="M882" i="15" s="1"/>
  <c r="L881" i="15"/>
  <c r="M881" i="15" s="1"/>
  <c r="L880" i="15"/>
  <c r="M880" i="15" s="1"/>
  <c r="L879" i="15"/>
  <c r="M879" i="15" s="1"/>
  <c r="L878" i="15"/>
  <c r="M878" i="15" s="1"/>
  <c r="L877" i="15"/>
  <c r="M877" i="15" s="1"/>
  <c r="L876" i="15"/>
  <c r="M876" i="15" s="1"/>
  <c r="L875" i="15"/>
  <c r="M875" i="15" s="1"/>
  <c r="L874" i="15"/>
  <c r="M874" i="15" s="1"/>
  <c r="L873" i="15"/>
  <c r="M873" i="15" s="1"/>
  <c r="L872" i="15"/>
  <c r="M872" i="15" s="1"/>
  <c r="L871" i="15"/>
  <c r="M871" i="15" s="1"/>
  <c r="L870" i="15"/>
  <c r="M870" i="15" s="1"/>
  <c r="L869" i="15"/>
  <c r="M869" i="15" s="1"/>
  <c r="L868" i="15"/>
  <c r="M868" i="15" s="1"/>
  <c r="L867" i="15"/>
  <c r="M867" i="15" s="1"/>
  <c r="L866" i="15"/>
  <c r="M866" i="15" s="1"/>
  <c r="L865" i="15"/>
  <c r="M865" i="15" s="1"/>
  <c r="L864" i="15"/>
  <c r="M864" i="15" s="1"/>
  <c r="L863" i="15"/>
  <c r="M863" i="15" s="1"/>
  <c r="L862" i="15"/>
  <c r="M862" i="15" s="1"/>
  <c r="L861" i="15"/>
  <c r="M861" i="15" s="1"/>
  <c r="L860" i="15"/>
  <c r="M860" i="15" s="1"/>
  <c r="L859" i="15"/>
  <c r="M859" i="15" s="1"/>
  <c r="L858" i="15"/>
  <c r="M858" i="15" s="1"/>
  <c r="L857" i="15"/>
  <c r="M857" i="15" s="1"/>
  <c r="L856" i="15"/>
  <c r="M856" i="15" s="1"/>
  <c r="L855" i="15"/>
  <c r="M855" i="15" s="1"/>
  <c r="L854" i="15"/>
  <c r="M854" i="15" s="1"/>
  <c r="L853" i="15"/>
  <c r="M853" i="15" s="1"/>
  <c r="L852" i="15"/>
  <c r="M852" i="15" s="1"/>
  <c r="L851" i="15"/>
  <c r="M851" i="15" s="1"/>
  <c r="L850" i="15"/>
  <c r="M850" i="15" s="1"/>
  <c r="L849" i="15"/>
  <c r="M849" i="15" s="1"/>
  <c r="L848" i="15"/>
  <c r="M848" i="15" s="1"/>
  <c r="L847" i="15"/>
  <c r="M847" i="15" s="1"/>
  <c r="L846" i="15"/>
  <c r="M846" i="15" s="1"/>
  <c r="L845" i="15"/>
  <c r="M845" i="15" s="1"/>
  <c r="L844" i="15"/>
  <c r="M844" i="15" s="1"/>
  <c r="L843" i="15"/>
  <c r="M843" i="15" s="1"/>
  <c r="L842" i="15"/>
  <c r="M842" i="15" s="1"/>
  <c r="L841" i="15"/>
  <c r="M841" i="15" s="1"/>
  <c r="L840" i="15"/>
  <c r="M840" i="15" s="1"/>
  <c r="L839" i="15"/>
  <c r="M839" i="15" s="1"/>
  <c r="L838" i="15"/>
  <c r="M838" i="15" s="1"/>
  <c r="L837" i="15"/>
  <c r="M837" i="15" s="1"/>
  <c r="L836" i="15"/>
  <c r="M836" i="15" s="1"/>
  <c r="L835" i="15"/>
  <c r="M835" i="15" s="1"/>
  <c r="L834" i="15"/>
  <c r="M834" i="15" s="1"/>
  <c r="L833" i="15"/>
  <c r="M833" i="15" s="1"/>
  <c r="L832" i="15"/>
  <c r="M832" i="15" s="1"/>
  <c r="L831" i="15"/>
  <c r="M831" i="15" s="1"/>
  <c r="L830" i="15"/>
  <c r="M830" i="15" s="1"/>
  <c r="L829" i="15"/>
  <c r="M829" i="15" s="1"/>
  <c r="L828" i="15"/>
  <c r="M828" i="15" s="1"/>
  <c r="L827" i="15"/>
  <c r="M827" i="15" s="1"/>
  <c r="L826" i="15"/>
  <c r="M826" i="15" s="1"/>
  <c r="L825" i="15"/>
  <c r="M825" i="15" s="1"/>
  <c r="L824" i="15"/>
  <c r="M824" i="15" s="1"/>
  <c r="L823" i="15"/>
  <c r="M823" i="15" s="1"/>
  <c r="L822" i="15"/>
  <c r="M822" i="15" s="1"/>
  <c r="L821" i="15"/>
  <c r="M821" i="15" s="1"/>
  <c r="L820" i="15"/>
  <c r="M820" i="15" s="1"/>
  <c r="L819" i="15"/>
  <c r="M819" i="15" s="1"/>
  <c r="L818" i="15"/>
  <c r="M818" i="15" s="1"/>
  <c r="L817" i="15"/>
  <c r="M817" i="15" s="1"/>
  <c r="L816" i="15"/>
  <c r="M816" i="15" s="1"/>
  <c r="L815" i="15"/>
  <c r="M815" i="15" s="1"/>
  <c r="L814" i="15"/>
  <c r="M814" i="15" s="1"/>
  <c r="L813" i="15"/>
  <c r="M813" i="15" s="1"/>
  <c r="L812" i="15"/>
  <c r="M812" i="15" s="1"/>
  <c r="L811" i="15"/>
  <c r="M811" i="15" s="1"/>
  <c r="L810" i="15"/>
  <c r="M810" i="15" s="1"/>
  <c r="L809" i="15"/>
  <c r="M809" i="15" s="1"/>
  <c r="L808" i="15"/>
  <c r="M808" i="15" s="1"/>
  <c r="L807" i="15"/>
  <c r="M807" i="15" s="1"/>
  <c r="L806" i="15"/>
  <c r="M806" i="15" s="1"/>
  <c r="L805" i="15"/>
  <c r="M805" i="15" s="1"/>
  <c r="L804" i="15"/>
  <c r="M804" i="15" s="1"/>
  <c r="L803" i="15"/>
  <c r="M803" i="15" s="1"/>
  <c r="L802" i="15"/>
  <c r="M802" i="15" s="1"/>
  <c r="L801" i="15"/>
  <c r="M801" i="15" s="1"/>
  <c r="L800" i="15"/>
  <c r="M800" i="15" s="1"/>
  <c r="L799" i="15"/>
  <c r="M799" i="15" s="1"/>
  <c r="L798" i="15"/>
  <c r="M798" i="15" s="1"/>
  <c r="L797" i="15"/>
  <c r="M797" i="15" s="1"/>
  <c r="L796" i="15"/>
  <c r="M796" i="15" s="1"/>
  <c r="L795" i="15"/>
  <c r="M795" i="15" s="1"/>
  <c r="L794" i="15"/>
  <c r="M794" i="15" s="1"/>
  <c r="L793" i="15"/>
  <c r="M793" i="15" s="1"/>
  <c r="L792" i="15"/>
  <c r="M792" i="15" s="1"/>
  <c r="L791" i="15"/>
  <c r="M791" i="15" s="1"/>
  <c r="L790" i="15"/>
  <c r="M790" i="15" s="1"/>
  <c r="L789" i="15"/>
  <c r="M789" i="15" s="1"/>
  <c r="L788" i="15"/>
  <c r="M788" i="15" s="1"/>
  <c r="L787" i="15"/>
  <c r="M787" i="15" s="1"/>
  <c r="L786" i="15"/>
  <c r="M786" i="15" s="1"/>
  <c r="L785" i="15"/>
  <c r="M785" i="15" s="1"/>
  <c r="L784" i="15"/>
  <c r="M784" i="15" s="1"/>
  <c r="L783" i="15"/>
  <c r="M783" i="15" s="1"/>
  <c r="L782" i="15"/>
  <c r="M782" i="15" s="1"/>
  <c r="L781" i="15"/>
  <c r="M781" i="15" s="1"/>
  <c r="L780" i="15"/>
  <c r="M780" i="15" s="1"/>
  <c r="L779" i="15"/>
  <c r="M779" i="15" s="1"/>
  <c r="L778" i="15"/>
  <c r="M778" i="15" s="1"/>
  <c r="L777" i="15"/>
  <c r="M777" i="15" s="1"/>
  <c r="L776" i="15"/>
  <c r="M776" i="15" s="1"/>
  <c r="L775" i="15"/>
  <c r="M775" i="15" s="1"/>
  <c r="L774" i="15"/>
  <c r="M774" i="15" s="1"/>
  <c r="L773" i="15"/>
  <c r="M773" i="15" s="1"/>
  <c r="L772" i="15"/>
  <c r="M772" i="15" s="1"/>
  <c r="L771" i="15"/>
  <c r="M771" i="15" s="1"/>
  <c r="L770" i="15"/>
  <c r="M770" i="15" s="1"/>
  <c r="L769" i="15"/>
  <c r="M769" i="15" s="1"/>
  <c r="L768" i="15"/>
  <c r="M768" i="15" s="1"/>
  <c r="L767" i="15"/>
  <c r="M767" i="15" s="1"/>
  <c r="L766" i="15"/>
  <c r="M766" i="15" s="1"/>
  <c r="L765" i="15"/>
  <c r="M765" i="15" s="1"/>
  <c r="L764" i="15"/>
  <c r="M764" i="15" s="1"/>
  <c r="L763" i="15"/>
  <c r="M763" i="15" s="1"/>
  <c r="L762" i="15"/>
  <c r="M762" i="15" s="1"/>
  <c r="L761" i="15"/>
  <c r="M761" i="15" s="1"/>
  <c r="L760" i="15"/>
  <c r="M760" i="15" s="1"/>
  <c r="L759" i="15"/>
  <c r="M759" i="15" s="1"/>
  <c r="L758" i="15"/>
  <c r="M758" i="15" s="1"/>
  <c r="L757" i="15"/>
  <c r="M757" i="15" s="1"/>
  <c r="L756" i="15"/>
  <c r="M756" i="15" s="1"/>
  <c r="L755" i="15"/>
  <c r="M755" i="15" s="1"/>
  <c r="L754" i="15"/>
  <c r="M754" i="15" s="1"/>
  <c r="L753" i="15"/>
  <c r="M753" i="15" s="1"/>
  <c r="L752" i="15"/>
  <c r="M752" i="15" s="1"/>
  <c r="L751" i="15"/>
  <c r="M751" i="15" s="1"/>
  <c r="L750" i="15"/>
  <c r="M750" i="15" s="1"/>
  <c r="L749" i="15"/>
  <c r="M749" i="15" s="1"/>
  <c r="L748" i="15"/>
  <c r="M748" i="15" s="1"/>
  <c r="L747" i="15"/>
  <c r="M747" i="15" s="1"/>
  <c r="L746" i="15"/>
  <c r="M746" i="15" s="1"/>
  <c r="L745" i="15"/>
  <c r="M745" i="15" s="1"/>
  <c r="L744" i="15"/>
  <c r="M744" i="15" s="1"/>
  <c r="L743" i="15"/>
  <c r="M743" i="15" s="1"/>
  <c r="L742" i="15"/>
  <c r="M742" i="15" s="1"/>
  <c r="L741" i="15"/>
  <c r="M741" i="15" s="1"/>
  <c r="L740" i="15"/>
  <c r="M740" i="15" s="1"/>
  <c r="L739" i="15"/>
  <c r="M739" i="15" s="1"/>
  <c r="L738" i="15"/>
  <c r="M738" i="15" s="1"/>
  <c r="L737" i="15"/>
  <c r="M737" i="15" s="1"/>
  <c r="L736" i="15"/>
  <c r="M736" i="15" s="1"/>
  <c r="L735" i="15"/>
  <c r="M735" i="15" s="1"/>
  <c r="L734" i="15"/>
  <c r="M734" i="15" s="1"/>
  <c r="L733" i="15"/>
  <c r="M733" i="15" s="1"/>
  <c r="L732" i="15"/>
  <c r="M732" i="15" s="1"/>
  <c r="L731" i="15"/>
  <c r="M731" i="15" s="1"/>
  <c r="L730" i="15"/>
  <c r="M730" i="15" s="1"/>
  <c r="L729" i="15"/>
  <c r="M729" i="15" s="1"/>
  <c r="L728" i="15"/>
  <c r="M728" i="15" s="1"/>
  <c r="L727" i="15"/>
  <c r="M727" i="15" s="1"/>
  <c r="L726" i="15"/>
  <c r="M726" i="15" s="1"/>
  <c r="L725" i="15"/>
  <c r="M725" i="15" s="1"/>
  <c r="L724" i="15"/>
  <c r="M724" i="15" s="1"/>
  <c r="L723" i="15"/>
  <c r="M723" i="15" s="1"/>
  <c r="L722" i="15"/>
  <c r="M722" i="15" s="1"/>
  <c r="L721" i="15"/>
  <c r="M721" i="15" s="1"/>
  <c r="L720" i="15"/>
  <c r="M720" i="15" s="1"/>
  <c r="L719" i="15"/>
  <c r="M719" i="15" s="1"/>
  <c r="L718" i="15"/>
  <c r="M718" i="15" s="1"/>
  <c r="L717" i="15"/>
  <c r="M717" i="15" s="1"/>
  <c r="L716" i="15"/>
  <c r="M716" i="15" s="1"/>
  <c r="L715" i="15"/>
  <c r="M715" i="15" s="1"/>
  <c r="L714" i="15"/>
  <c r="M714" i="15" s="1"/>
  <c r="L713" i="15"/>
  <c r="M713" i="15" s="1"/>
  <c r="L712" i="15"/>
  <c r="M712" i="15" s="1"/>
  <c r="L711" i="15"/>
  <c r="M711" i="15" s="1"/>
  <c r="L710" i="15"/>
  <c r="M710" i="15" s="1"/>
  <c r="L709" i="15"/>
  <c r="M709" i="15" s="1"/>
  <c r="L708" i="15"/>
  <c r="M708" i="15" s="1"/>
  <c r="L707" i="15"/>
  <c r="M707" i="15" s="1"/>
  <c r="L706" i="15"/>
  <c r="M706" i="15" s="1"/>
  <c r="L705" i="15"/>
  <c r="M705" i="15" s="1"/>
  <c r="L704" i="15"/>
  <c r="M704" i="15" s="1"/>
  <c r="L703" i="15"/>
  <c r="M703" i="15" s="1"/>
  <c r="L702" i="15"/>
  <c r="M702" i="15" s="1"/>
  <c r="L701" i="15"/>
  <c r="M701" i="15" s="1"/>
  <c r="L700" i="15"/>
  <c r="M700" i="15" s="1"/>
  <c r="L699" i="15"/>
  <c r="M699" i="15" s="1"/>
  <c r="L698" i="15"/>
  <c r="M698" i="15" s="1"/>
  <c r="L697" i="15"/>
  <c r="M697" i="15" s="1"/>
  <c r="L696" i="15"/>
  <c r="M696" i="15" s="1"/>
  <c r="L695" i="15"/>
  <c r="M695" i="15" s="1"/>
  <c r="L694" i="15"/>
  <c r="M694" i="15" s="1"/>
  <c r="L693" i="15"/>
  <c r="M693" i="15" s="1"/>
  <c r="L692" i="15"/>
  <c r="M692" i="15" s="1"/>
  <c r="L691" i="15"/>
  <c r="M691" i="15" s="1"/>
  <c r="L690" i="15"/>
  <c r="M690" i="15" s="1"/>
  <c r="L689" i="15"/>
  <c r="M689" i="15" s="1"/>
  <c r="L688" i="15"/>
  <c r="M688" i="15" s="1"/>
  <c r="L687" i="15"/>
  <c r="M687" i="15" s="1"/>
  <c r="L686" i="15"/>
  <c r="M686" i="15" s="1"/>
  <c r="L685" i="15"/>
  <c r="M685" i="15" s="1"/>
  <c r="L684" i="15"/>
  <c r="M684" i="15" s="1"/>
  <c r="L683" i="15"/>
  <c r="M683" i="15" s="1"/>
  <c r="L682" i="15"/>
  <c r="M682" i="15" s="1"/>
  <c r="L681" i="15"/>
  <c r="M681" i="15" s="1"/>
  <c r="L680" i="15"/>
  <c r="M680" i="15" s="1"/>
  <c r="L679" i="15"/>
  <c r="M679" i="15" s="1"/>
  <c r="L678" i="15"/>
  <c r="M678" i="15" s="1"/>
  <c r="L677" i="15"/>
  <c r="M677" i="15" s="1"/>
  <c r="L676" i="15"/>
  <c r="M676" i="15" s="1"/>
  <c r="L675" i="15"/>
  <c r="M675" i="15" s="1"/>
  <c r="L674" i="15"/>
  <c r="M674" i="15" s="1"/>
  <c r="L673" i="15"/>
  <c r="M673" i="15" s="1"/>
  <c r="L672" i="15"/>
  <c r="M672" i="15" s="1"/>
  <c r="L671" i="15"/>
  <c r="M671" i="15" s="1"/>
  <c r="L670" i="15"/>
  <c r="M670" i="15" s="1"/>
  <c r="L669" i="15"/>
  <c r="M669" i="15" s="1"/>
  <c r="L668" i="15"/>
  <c r="M668" i="15" s="1"/>
  <c r="L667" i="15"/>
  <c r="M667" i="15" s="1"/>
  <c r="L666" i="15"/>
  <c r="M666" i="15" s="1"/>
  <c r="L665" i="15"/>
  <c r="M665" i="15" s="1"/>
  <c r="L664" i="15"/>
  <c r="M664" i="15" s="1"/>
  <c r="L663" i="15"/>
  <c r="M663" i="15" s="1"/>
  <c r="L662" i="15"/>
  <c r="M662" i="15" s="1"/>
  <c r="L661" i="15"/>
  <c r="M661" i="15" s="1"/>
  <c r="L660" i="15"/>
  <c r="M660" i="15" s="1"/>
  <c r="L659" i="15"/>
  <c r="M659" i="15" s="1"/>
  <c r="L658" i="15"/>
  <c r="M658" i="15" s="1"/>
  <c r="L657" i="15"/>
  <c r="M657" i="15" s="1"/>
  <c r="L656" i="15"/>
  <c r="M656" i="15" s="1"/>
  <c r="L655" i="15"/>
  <c r="M655" i="15" s="1"/>
  <c r="L654" i="15"/>
  <c r="M654" i="15" s="1"/>
  <c r="L653" i="15"/>
  <c r="M653" i="15" s="1"/>
  <c r="L652" i="15"/>
  <c r="M652" i="15" s="1"/>
  <c r="L651" i="15"/>
  <c r="M651" i="15" s="1"/>
  <c r="L650" i="15"/>
  <c r="M650" i="15" s="1"/>
  <c r="L649" i="15"/>
  <c r="M649" i="15" s="1"/>
  <c r="L648" i="15"/>
  <c r="M648" i="15" s="1"/>
  <c r="L647" i="15"/>
  <c r="M647" i="15" s="1"/>
  <c r="L646" i="15"/>
  <c r="M646" i="15" s="1"/>
  <c r="L645" i="15"/>
  <c r="M645" i="15" s="1"/>
  <c r="L644" i="15"/>
  <c r="M644" i="15" s="1"/>
  <c r="L643" i="15"/>
  <c r="M643" i="15" s="1"/>
  <c r="L642" i="15"/>
  <c r="M642" i="15" s="1"/>
  <c r="L641" i="15"/>
  <c r="M641" i="15" s="1"/>
  <c r="L640" i="15"/>
  <c r="M640" i="15" s="1"/>
  <c r="L639" i="15"/>
  <c r="M639" i="15" s="1"/>
  <c r="L638" i="15"/>
  <c r="M638" i="15" s="1"/>
  <c r="L637" i="15"/>
  <c r="M637" i="15" s="1"/>
  <c r="L636" i="15"/>
  <c r="M636" i="15" s="1"/>
  <c r="L635" i="15"/>
  <c r="M635" i="15" s="1"/>
  <c r="L634" i="15"/>
  <c r="M634" i="15" s="1"/>
  <c r="L633" i="15"/>
  <c r="M633" i="15" s="1"/>
  <c r="L632" i="15"/>
  <c r="M632" i="15" s="1"/>
  <c r="L631" i="15"/>
  <c r="M631" i="15" s="1"/>
  <c r="L630" i="15"/>
  <c r="M630" i="15" s="1"/>
  <c r="L629" i="15"/>
  <c r="M629" i="15" s="1"/>
  <c r="L628" i="15"/>
  <c r="M628" i="15" s="1"/>
  <c r="L627" i="15"/>
  <c r="M627" i="15" s="1"/>
  <c r="L626" i="15"/>
  <c r="M626" i="15" s="1"/>
  <c r="L625" i="15"/>
  <c r="M625" i="15" s="1"/>
  <c r="L624" i="15"/>
  <c r="M624" i="15" s="1"/>
  <c r="L623" i="15"/>
  <c r="M623" i="15" s="1"/>
  <c r="L622" i="15"/>
  <c r="M622" i="15" s="1"/>
  <c r="L621" i="15"/>
  <c r="M621" i="15" s="1"/>
  <c r="L620" i="15"/>
  <c r="M620" i="15" s="1"/>
  <c r="L619" i="15"/>
  <c r="M619" i="15" s="1"/>
  <c r="L618" i="15"/>
  <c r="M618" i="15" s="1"/>
  <c r="L617" i="15"/>
  <c r="M617" i="15" s="1"/>
  <c r="L616" i="15"/>
  <c r="M616" i="15" s="1"/>
  <c r="L615" i="15"/>
  <c r="M615" i="15" s="1"/>
  <c r="L614" i="15"/>
  <c r="M614" i="15" s="1"/>
  <c r="L613" i="15"/>
  <c r="M613" i="15" s="1"/>
  <c r="L612" i="15"/>
  <c r="M612" i="15" s="1"/>
  <c r="L611" i="15"/>
  <c r="M611" i="15" s="1"/>
  <c r="L610" i="15"/>
  <c r="M610" i="15" s="1"/>
  <c r="L609" i="15"/>
  <c r="M609" i="15" s="1"/>
  <c r="L608" i="15"/>
  <c r="M608" i="15" s="1"/>
  <c r="L607" i="15"/>
  <c r="M607" i="15" s="1"/>
  <c r="L606" i="15"/>
  <c r="M606" i="15" s="1"/>
  <c r="L605" i="15"/>
  <c r="M605" i="15" s="1"/>
  <c r="L604" i="15"/>
  <c r="M604" i="15" s="1"/>
  <c r="L603" i="15"/>
  <c r="M603" i="15" s="1"/>
  <c r="L602" i="15"/>
  <c r="M602" i="15" s="1"/>
  <c r="L601" i="15"/>
  <c r="M601" i="15" s="1"/>
  <c r="L600" i="15"/>
  <c r="M600" i="15" s="1"/>
  <c r="L599" i="15"/>
  <c r="M599" i="15" s="1"/>
  <c r="L598" i="15"/>
  <c r="M598" i="15" s="1"/>
  <c r="L597" i="15"/>
  <c r="M597" i="15" s="1"/>
  <c r="L596" i="15"/>
  <c r="M596" i="15" s="1"/>
  <c r="L595" i="15"/>
  <c r="M595" i="15" s="1"/>
  <c r="L594" i="15"/>
  <c r="M594" i="15" s="1"/>
  <c r="L593" i="15"/>
  <c r="M593" i="15" s="1"/>
  <c r="L592" i="15"/>
  <c r="M592" i="15" s="1"/>
  <c r="L591" i="15"/>
  <c r="M591" i="15" s="1"/>
  <c r="L590" i="15"/>
  <c r="M590" i="15" s="1"/>
  <c r="L589" i="15"/>
  <c r="M589" i="15" s="1"/>
  <c r="L588" i="15"/>
  <c r="M588" i="15" s="1"/>
  <c r="L587" i="15"/>
  <c r="M587" i="15" s="1"/>
  <c r="L586" i="15"/>
  <c r="M586" i="15" s="1"/>
  <c r="L585" i="15"/>
  <c r="M585" i="15" s="1"/>
  <c r="L584" i="15"/>
  <c r="M584" i="15" s="1"/>
  <c r="L583" i="15"/>
  <c r="M583" i="15" s="1"/>
  <c r="L582" i="15"/>
  <c r="M582" i="15" s="1"/>
  <c r="L581" i="15"/>
  <c r="M581" i="15" s="1"/>
  <c r="L580" i="15"/>
  <c r="M580" i="15" s="1"/>
  <c r="L579" i="15"/>
  <c r="M579" i="15" s="1"/>
  <c r="L578" i="15"/>
  <c r="M578" i="15" s="1"/>
  <c r="L577" i="15"/>
  <c r="M577" i="15" s="1"/>
  <c r="L576" i="15"/>
  <c r="M576" i="15" s="1"/>
  <c r="L575" i="15"/>
  <c r="M575" i="15" s="1"/>
  <c r="L574" i="15"/>
  <c r="M574" i="15" s="1"/>
  <c r="L573" i="15"/>
  <c r="M573" i="15" s="1"/>
  <c r="L572" i="15"/>
  <c r="M572" i="15" s="1"/>
  <c r="L571" i="15"/>
  <c r="M571" i="15" s="1"/>
  <c r="L570" i="15"/>
  <c r="M570" i="15" s="1"/>
  <c r="L569" i="15"/>
  <c r="M569" i="15" s="1"/>
  <c r="L568" i="15"/>
  <c r="M568" i="15" s="1"/>
  <c r="L567" i="15"/>
  <c r="M567" i="15" s="1"/>
  <c r="L566" i="15"/>
  <c r="M566" i="15" s="1"/>
  <c r="L565" i="15"/>
  <c r="M565" i="15" s="1"/>
  <c r="L564" i="15"/>
  <c r="M564" i="15" s="1"/>
  <c r="L563" i="15"/>
  <c r="M563" i="15" s="1"/>
  <c r="L562" i="15"/>
  <c r="M562" i="15" s="1"/>
  <c r="L561" i="15"/>
  <c r="M561" i="15" s="1"/>
  <c r="L560" i="15"/>
  <c r="M560" i="15" s="1"/>
  <c r="L559" i="15"/>
  <c r="M559" i="15" s="1"/>
  <c r="L558" i="15"/>
  <c r="M558" i="15" s="1"/>
  <c r="L557" i="15"/>
  <c r="M557" i="15" s="1"/>
  <c r="L556" i="15"/>
  <c r="M556" i="15" s="1"/>
  <c r="L555" i="15"/>
  <c r="M555" i="15" s="1"/>
  <c r="L554" i="15"/>
  <c r="M554" i="15" s="1"/>
  <c r="L553" i="15"/>
  <c r="M553" i="15" s="1"/>
  <c r="L552" i="15"/>
  <c r="M552" i="15" s="1"/>
  <c r="L551" i="15"/>
  <c r="M551" i="15" s="1"/>
  <c r="L550" i="15"/>
  <c r="M550" i="15" s="1"/>
  <c r="L549" i="15"/>
  <c r="M549" i="15" s="1"/>
  <c r="L548" i="15"/>
  <c r="M548" i="15" s="1"/>
  <c r="L547" i="15"/>
  <c r="M547" i="15" s="1"/>
  <c r="L546" i="15"/>
  <c r="M546" i="15" s="1"/>
  <c r="L545" i="15"/>
  <c r="M545" i="15" s="1"/>
  <c r="L544" i="15"/>
  <c r="M544" i="15" s="1"/>
  <c r="L543" i="15"/>
  <c r="M543" i="15" s="1"/>
  <c r="L542" i="15"/>
  <c r="M542" i="15" s="1"/>
  <c r="L541" i="15"/>
  <c r="M541" i="15" s="1"/>
  <c r="L540" i="15"/>
  <c r="M540" i="15" s="1"/>
  <c r="L539" i="15"/>
  <c r="M539" i="15" s="1"/>
  <c r="L538" i="15"/>
  <c r="M538" i="15" s="1"/>
  <c r="L537" i="15"/>
  <c r="M537" i="15" s="1"/>
  <c r="L536" i="15"/>
  <c r="M536" i="15" s="1"/>
  <c r="L535" i="15"/>
  <c r="M535" i="15" s="1"/>
  <c r="L534" i="15"/>
  <c r="M534" i="15" s="1"/>
  <c r="L533" i="15"/>
  <c r="M533" i="15" s="1"/>
  <c r="L532" i="15"/>
  <c r="M532" i="15" s="1"/>
  <c r="L531" i="15"/>
  <c r="M531" i="15" s="1"/>
  <c r="L530" i="15"/>
  <c r="M530" i="15" s="1"/>
  <c r="L529" i="15"/>
  <c r="M529" i="15" s="1"/>
  <c r="L528" i="15"/>
  <c r="M528" i="15" s="1"/>
  <c r="L527" i="15"/>
  <c r="M527" i="15" s="1"/>
  <c r="L526" i="15"/>
  <c r="M526" i="15" s="1"/>
  <c r="L525" i="15"/>
  <c r="M525" i="15" s="1"/>
  <c r="L524" i="15"/>
  <c r="M524" i="15" s="1"/>
  <c r="L523" i="15"/>
  <c r="M523" i="15" s="1"/>
  <c r="L522" i="15"/>
  <c r="M522" i="15" s="1"/>
  <c r="L521" i="15"/>
  <c r="M521" i="15" s="1"/>
  <c r="L520" i="15"/>
  <c r="M520" i="15" s="1"/>
  <c r="L519" i="15"/>
  <c r="M519" i="15" s="1"/>
  <c r="L518" i="15"/>
  <c r="M518" i="15" s="1"/>
  <c r="L517" i="15"/>
  <c r="M517" i="15" s="1"/>
  <c r="L516" i="15"/>
  <c r="M516" i="15" s="1"/>
  <c r="L515" i="15"/>
  <c r="M515" i="15" s="1"/>
  <c r="L514" i="15"/>
  <c r="M514" i="15" s="1"/>
  <c r="L513" i="15"/>
  <c r="M513" i="15" s="1"/>
  <c r="L512" i="15"/>
  <c r="M512" i="15" s="1"/>
  <c r="L511" i="15"/>
  <c r="M511" i="15" s="1"/>
  <c r="L510" i="15"/>
  <c r="M510" i="15" s="1"/>
  <c r="L509" i="15"/>
  <c r="M509" i="15" s="1"/>
  <c r="L508" i="15"/>
  <c r="M508" i="15" s="1"/>
  <c r="L507" i="15"/>
  <c r="M507" i="15" s="1"/>
  <c r="L506" i="15"/>
  <c r="M506" i="15" s="1"/>
  <c r="L505" i="15"/>
  <c r="M505" i="15" s="1"/>
  <c r="L504" i="15"/>
  <c r="M504" i="15" s="1"/>
  <c r="L503" i="15"/>
  <c r="M503" i="15" s="1"/>
  <c r="L502" i="15"/>
  <c r="M502" i="15" s="1"/>
  <c r="L501" i="15"/>
  <c r="M501" i="15" s="1"/>
  <c r="L500" i="15"/>
  <c r="M500" i="15" s="1"/>
  <c r="L499" i="15"/>
  <c r="M499" i="15" s="1"/>
  <c r="L498" i="15"/>
  <c r="M498" i="15" s="1"/>
  <c r="L497" i="15"/>
  <c r="M497" i="15" s="1"/>
  <c r="L496" i="15"/>
  <c r="M496" i="15" s="1"/>
  <c r="L495" i="15"/>
  <c r="M495" i="15" s="1"/>
  <c r="L494" i="15"/>
  <c r="M494" i="15" s="1"/>
  <c r="L493" i="15"/>
  <c r="M493" i="15" s="1"/>
  <c r="L492" i="15"/>
  <c r="M492" i="15" s="1"/>
  <c r="L491" i="15"/>
  <c r="M491" i="15" s="1"/>
  <c r="L490" i="15"/>
  <c r="M490" i="15" s="1"/>
  <c r="L489" i="15"/>
  <c r="M489" i="15" s="1"/>
  <c r="L488" i="15"/>
  <c r="M488" i="15" s="1"/>
  <c r="L487" i="15"/>
  <c r="M487" i="15" s="1"/>
  <c r="L486" i="15"/>
  <c r="M486" i="15" s="1"/>
  <c r="L485" i="15"/>
  <c r="M485" i="15" s="1"/>
  <c r="L484" i="15"/>
  <c r="M484" i="15" s="1"/>
  <c r="L483" i="15"/>
  <c r="M483" i="15" s="1"/>
  <c r="L482" i="15"/>
  <c r="M482" i="15" s="1"/>
  <c r="L481" i="15"/>
  <c r="M481" i="15" s="1"/>
  <c r="L480" i="15"/>
  <c r="M480" i="15" s="1"/>
  <c r="L479" i="15"/>
  <c r="M479" i="15" s="1"/>
  <c r="L478" i="15"/>
  <c r="M478" i="15" s="1"/>
  <c r="L477" i="15"/>
  <c r="M477" i="15" s="1"/>
  <c r="L476" i="15"/>
  <c r="M476" i="15" s="1"/>
  <c r="L475" i="15"/>
  <c r="M475" i="15" s="1"/>
  <c r="L474" i="15"/>
  <c r="M474" i="15" s="1"/>
  <c r="L473" i="15"/>
  <c r="M473" i="15" s="1"/>
  <c r="L472" i="15"/>
  <c r="M472" i="15" s="1"/>
  <c r="L471" i="15"/>
  <c r="M471" i="15" s="1"/>
  <c r="L470" i="15"/>
  <c r="M470" i="15" s="1"/>
  <c r="L469" i="15"/>
  <c r="M469" i="15" s="1"/>
  <c r="L468" i="15"/>
  <c r="M468" i="15" s="1"/>
  <c r="L467" i="15"/>
  <c r="M467" i="15" s="1"/>
  <c r="L466" i="15"/>
  <c r="M466" i="15" s="1"/>
  <c r="L465" i="15"/>
  <c r="M465" i="15" s="1"/>
  <c r="L464" i="15"/>
  <c r="M464" i="15" s="1"/>
  <c r="L463" i="15"/>
  <c r="M463" i="15" s="1"/>
  <c r="L462" i="15"/>
  <c r="M462" i="15" s="1"/>
  <c r="L461" i="15"/>
  <c r="M461" i="15" s="1"/>
  <c r="L460" i="15"/>
  <c r="M460" i="15" s="1"/>
  <c r="L459" i="15"/>
  <c r="M459" i="15" s="1"/>
  <c r="L458" i="15"/>
  <c r="M458" i="15" s="1"/>
  <c r="L457" i="15"/>
  <c r="M457" i="15" s="1"/>
  <c r="L456" i="15"/>
  <c r="M456" i="15" s="1"/>
  <c r="L455" i="15"/>
  <c r="M455" i="15" s="1"/>
  <c r="L454" i="15"/>
  <c r="M454" i="15" s="1"/>
  <c r="L453" i="15"/>
  <c r="M453" i="15" s="1"/>
  <c r="L452" i="15"/>
  <c r="M452" i="15" s="1"/>
  <c r="L451" i="15"/>
  <c r="M451" i="15" s="1"/>
  <c r="L450" i="15"/>
  <c r="M450" i="15" s="1"/>
  <c r="L449" i="15"/>
  <c r="M449" i="15" s="1"/>
  <c r="L448" i="15"/>
  <c r="M448" i="15" s="1"/>
  <c r="L447" i="15"/>
  <c r="M447" i="15" s="1"/>
  <c r="L446" i="15"/>
  <c r="M446" i="15" s="1"/>
  <c r="L445" i="15"/>
  <c r="M445" i="15" s="1"/>
  <c r="L444" i="15"/>
  <c r="M444" i="15" s="1"/>
  <c r="L443" i="15"/>
  <c r="M443" i="15" s="1"/>
  <c r="L442" i="15"/>
  <c r="M442" i="15" s="1"/>
  <c r="L441" i="15"/>
  <c r="M441" i="15" s="1"/>
  <c r="L440" i="15"/>
  <c r="M440" i="15" s="1"/>
  <c r="L439" i="15"/>
  <c r="M439" i="15" s="1"/>
  <c r="L438" i="15"/>
  <c r="M438" i="15" s="1"/>
  <c r="L437" i="15"/>
  <c r="M437" i="15" s="1"/>
  <c r="L436" i="15"/>
  <c r="M436" i="15" s="1"/>
  <c r="L435" i="15"/>
  <c r="M435" i="15" s="1"/>
  <c r="L434" i="15"/>
  <c r="M434" i="15" s="1"/>
  <c r="L433" i="15"/>
  <c r="M433" i="15" s="1"/>
  <c r="L432" i="15"/>
  <c r="M432" i="15" s="1"/>
  <c r="L431" i="15"/>
  <c r="M431" i="15" s="1"/>
  <c r="L430" i="15"/>
  <c r="M430" i="15" s="1"/>
  <c r="L429" i="15"/>
  <c r="M429" i="15" s="1"/>
  <c r="L428" i="15"/>
  <c r="M428" i="15" s="1"/>
  <c r="L427" i="15"/>
  <c r="M427" i="15" s="1"/>
  <c r="L426" i="15"/>
  <c r="M426" i="15" s="1"/>
  <c r="L425" i="15"/>
  <c r="M425" i="15" s="1"/>
  <c r="L424" i="15"/>
  <c r="M424" i="15" s="1"/>
  <c r="L423" i="15"/>
  <c r="M423" i="15" s="1"/>
  <c r="L422" i="15"/>
  <c r="M422" i="15" s="1"/>
  <c r="L421" i="15"/>
  <c r="M421" i="15" s="1"/>
  <c r="L420" i="15"/>
  <c r="M420" i="15" s="1"/>
  <c r="L419" i="15"/>
  <c r="M419" i="15" s="1"/>
  <c r="L418" i="15"/>
  <c r="M418" i="15" s="1"/>
  <c r="L417" i="15"/>
  <c r="M417" i="15" s="1"/>
  <c r="L416" i="15"/>
  <c r="M416" i="15" s="1"/>
  <c r="L415" i="15"/>
  <c r="M415" i="15" s="1"/>
  <c r="L414" i="15"/>
  <c r="M414" i="15" s="1"/>
  <c r="L413" i="15"/>
  <c r="M413" i="15" s="1"/>
  <c r="L412" i="15"/>
  <c r="M412" i="15" s="1"/>
  <c r="L411" i="15"/>
  <c r="M411" i="15" s="1"/>
  <c r="L410" i="15"/>
  <c r="M410" i="15" s="1"/>
  <c r="L409" i="15"/>
  <c r="M409" i="15" s="1"/>
  <c r="L408" i="15"/>
  <c r="M408" i="15" s="1"/>
  <c r="L407" i="15"/>
  <c r="M407" i="15" s="1"/>
  <c r="L406" i="15"/>
  <c r="M406" i="15" s="1"/>
  <c r="L405" i="15"/>
  <c r="M405" i="15" s="1"/>
  <c r="L404" i="15"/>
  <c r="M404" i="15" s="1"/>
  <c r="L403" i="15"/>
  <c r="M403" i="15" s="1"/>
  <c r="L402" i="15"/>
  <c r="M402" i="15" s="1"/>
  <c r="L401" i="15"/>
  <c r="M401" i="15" s="1"/>
  <c r="L400" i="15"/>
  <c r="M400" i="15" s="1"/>
  <c r="L399" i="15"/>
  <c r="M399" i="15" s="1"/>
  <c r="L398" i="15"/>
  <c r="M398" i="15" s="1"/>
  <c r="L397" i="15"/>
  <c r="M397" i="15" s="1"/>
  <c r="L396" i="15"/>
  <c r="M396" i="15" s="1"/>
  <c r="L395" i="15"/>
  <c r="M395" i="15" s="1"/>
  <c r="L394" i="15"/>
  <c r="M394" i="15" s="1"/>
  <c r="L393" i="15"/>
  <c r="M393" i="15" s="1"/>
  <c r="L392" i="15"/>
  <c r="M392" i="15" s="1"/>
  <c r="L391" i="15"/>
  <c r="M391" i="15" s="1"/>
  <c r="L390" i="15"/>
  <c r="M390" i="15" s="1"/>
  <c r="L389" i="15"/>
  <c r="M389" i="15" s="1"/>
  <c r="L388" i="15"/>
  <c r="M388" i="15" s="1"/>
  <c r="L387" i="15"/>
  <c r="M387" i="15" s="1"/>
  <c r="L386" i="15"/>
  <c r="M386" i="15" s="1"/>
  <c r="L385" i="15"/>
  <c r="M385" i="15" s="1"/>
  <c r="L384" i="15"/>
  <c r="M384" i="15" s="1"/>
  <c r="L383" i="15"/>
  <c r="M383" i="15" s="1"/>
  <c r="L382" i="15"/>
  <c r="M382" i="15" s="1"/>
  <c r="L381" i="15"/>
  <c r="M381" i="15" s="1"/>
  <c r="L380" i="15"/>
  <c r="M380" i="15" s="1"/>
  <c r="L379" i="15"/>
  <c r="M379" i="15" s="1"/>
  <c r="L378" i="15"/>
  <c r="M378" i="15" s="1"/>
  <c r="L377" i="15"/>
  <c r="M377" i="15" s="1"/>
  <c r="L376" i="15"/>
  <c r="M376" i="15" s="1"/>
  <c r="L375" i="15"/>
  <c r="M375" i="15" s="1"/>
  <c r="L374" i="15"/>
  <c r="M374" i="15" s="1"/>
  <c r="L373" i="15"/>
  <c r="M373" i="15" s="1"/>
  <c r="L372" i="15"/>
  <c r="M372" i="15" s="1"/>
  <c r="L371" i="15"/>
  <c r="M371" i="15" s="1"/>
  <c r="L370" i="15"/>
  <c r="M370" i="15" s="1"/>
  <c r="L369" i="15"/>
  <c r="M369" i="15" s="1"/>
  <c r="L368" i="15"/>
  <c r="M368" i="15" s="1"/>
  <c r="L367" i="15"/>
  <c r="M367" i="15" s="1"/>
  <c r="L366" i="15"/>
  <c r="M366" i="15" s="1"/>
  <c r="L365" i="15"/>
  <c r="M365" i="15" s="1"/>
  <c r="L364" i="15"/>
  <c r="M364" i="15" s="1"/>
  <c r="L363" i="15"/>
  <c r="M363" i="15" s="1"/>
  <c r="L362" i="15"/>
  <c r="M362" i="15" s="1"/>
  <c r="L361" i="15"/>
  <c r="M361" i="15" s="1"/>
  <c r="L360" i="15"/>
  <c r="M360" i="15" s="1"/>
  <c r="L359" i="15"/>
  <c r="M359" i="15" s="1"/>
  <c r="L358" i="15"/>
  <c r="M358" i="15" s="1"/>
  <c r="L357" i="15"/>
  <c r="M357" i="15" s="1"/>
  <c r="L356" i="15"/>
  <c r="M356" i="15" s="1"/>
  <c r="L355" i="15"/>
  <c r="M355" i="15" s="1"/>
  <c r="L354" i="15"/>
  <c r="M354" i="15" s="1"/>
  <c r="L353" i="15"/>
  <c r="M353" i="15" s="1"/>
  <c r="L352" i="15"/>
  <c r="M352" i="15" s="1"/>
  <c r="L351" i="15"/>
  <c r="M351" i="15" s="1"/>
  <c r="L350" i="15"/>
  <c r="M350" i="15" s="1"/>
  <c r="L349" i="15"/>
  <c r="M349" i="15" s="1"/>
  <c r="L348" i="15"/>
  <c r="M348" i="15" s="1"/>
  <c r="L347" i="15"/>
  <c r="M347" i="15" s="1"/>
  <c r="L346" i="15"/>
  <c r="M346" i="15" s="1"/>
  <c r="L345" i="15"/>
  <c r="M345" i="15" s="1"/>
  <c r="L344" i="15"/>
  <c r="M344" i="15" s="1"/>
  <c r="L343" i="15"/>
  <c r="M343" i="15" s="1"/>
  <c r="L342" i="15"/>
  <c r="M342" i="15" s="1"/>
  <c r="L341" i="15"/>
  <c r="M341" i="15" s="1"/>
  <c r="L340" i="15"/>
  <c r="M340" i="15" s="1"/>
  <c r="L339" i="15"/>
  <c r="M339" i="15" s="1"/>
  <c r="L338" i="15"/>
  <c r="M338" i="15" s="1"/>
  <c r="L337" i="15"/>
  <c r="M337" i="15" s="1"/>
  <c r="L336" i="15"/>
  <c r="M336" i="15" s="1"/>
  <c r="L335" i="15"/>
  <c r="M335" i="15" s="1"/>
  <c r="L334" i="15"/>
  <c r="M334" i="15" s="1"/>
  <c r="L333" i="15"/>
  <c r="M333" i="15" s="1"/>
  <c r="L332" i="15"/>
  <c r="M332" i="15" s="1"/>
  <c r="L331" i="15"/>
  <c r="M331" i="15" s="1"/>
  <c r="L330" i="15"/>
  <c r="M330" i="15" s="1"/>
  <c r="L329" i="15"/>
  <c r="M329" i="15" s="1"/>
  <c r="L328" i="15"/>
  <c r="M328" i="15" s="1"/>
  <c r="L327" i="15"/>
  <c r="M327" i="15" s="1"/>
  <c r="L326" i="15"/>
  <c r="M326" i="15" s="1"/>
  <c r="L325" i="15"/>
  <c r="M325" i="15" s="1"/>
  <c r="L324" i="15"/>
  <c r="M324" i="15" s="1"/>
  <c r="L323" i="15"/>
  <c r="M323" i="15" s="1"/>
  <c r="L322" i="15"/>
  <c r="M322" i="15" s="1"/>
  <c r="L321" i="15"/>
  <c r="M321" i="15" s="1"/>
  <c r="L320" i="15"/>
  <c r="M320" i="15" s="1"/>
  <c r="L319" i="15"/>
  <c r="M319" i="15" s="1"/>
  <c r="L318" i="15"/>
  <c r="M318" i="15" s="1"/>
  <c r="L317" i="15"/>
  <c r="M317" i="15" s="1"/>
  <c r="L316" i="15"/>
  <c r="M316" i="15" s="1"/>
  <c r="L315" i="15"/>
  <c r="M315" i="15" s="1"/>
  <c r="L314" i="15"/>
  <c r="M314" i="15" s="1"/>
  <c r="L313" i="15"/>
  <c r="M313" i="15" s="1"/>
  <c r="L312" i="15"/>
  <c r="M312" i="15" s="1"/>
  <c r="L311" i="15"/>
  <c r="M311" i="15" s="1"/>
  <c r="L310" i="15"/>
  <c r="M310" i="15" s="1"/>
  <c r="L309" i="15"/>
  <c r="M309" i="15" s="1"/>
  <c r="L308" i="15"/>
  <c r="M308" i="15" s="1"/>
  <c r="L307" i="15"/>
  <c r="M307" i="15" s="1"/>
  <c r="L306" i="15"/>
  <c r="M306" i="15" s="1"/>
  <c r="L305" i="15"/>
  <c r="M305" i="15" s="1"/>
  <c r="L304" i="15"/>
  <c r="M304" i="15" s="1"/>
  <c r="L303" i="15"/>
  <c r="M303" i="15" s="1"/>
  <c r="L302" i="15"/>
  <c r="M302" i="15" s="1"/>
  <c r="L301" i="15"/>
  <c r="M301" i="15" s="1"/>
  <c r="L300" i="15"/>
  <c r="M300" i="15" s="1"/>
  <c r="L299" i="15"/>
  <c r="M299" i="15" s="1"/>
  <c r="L298" i="15"/>
  <c r="M298" i="15" s="1"/>
  <c r="L297" i="15"/>
  <c r="M297" i="15" s="1"/>
  <c r="L296" i="15"/>
  <c r="M296" i="15" s="1"/>
  <c r="L295" i="15"/>
  <c r="M295" i="15" s="1"/>
  <c r="L294" i="15"/>
  <c r="M294" i="15" s="1"/>
  <c r="L293" i="15"/>
  <c r="M293" i="15" s="1"/>
  <c r="L292" i="15"/>
  <c r="M292" i="15" s="1"/>
  <c r="L291" i="15"/>
  <c r="M291" i="15" s="1"/>
  <c r="L290" i="15"/>
  <c r="M290" i="15" s="1"/>
  <c r="L289" i="15"/>
  <c r="M289" i="15" s="1"/>
  <c r="L288" i="15"/>
  <c r="M288" i="15" s="1"/>
  <c r="L287" i="15"/>
  <c r="M287" i="15" s="1"/>
  <c r="L286" i="15"/>
  <c r="M286" i="15" s="1"/>
  <c r="L285" i="15"/>
  <c r="M285" i="15" s="1"/>
  <c r="L284" i="15"/>
  <c r="M284" i="15" s="1"/>
  <c r="L283" i="15"/>
  <c r="M283" i="15" s="1"/>
  <c r="L282" i="15"/>
  <c r="M282" i="15" s="1"/>
  <c r="L281" i="15"/>
  <c r="M281" i="15" s="1"/>
  <c r="L280" i="15"/>
  <c r="M280" i="15" s="1"/>
  <c r="L279" i="15"/>
  <c r="M279" i="15" s="1"/>
  <c r="L278" i="15"/>
  <c r="M278" i="15" s="1"/>
  <c r="L277" i="15"/>
  <c r="M277" i="15" s="1"/>
  <c r="L276" i="15"/>
  <c r="M276" i="15" s="1"/>
  <c r="L275" i="15"/>
  <c r="M275" i="15" s="1"/>
  <c r="L274" i="15"/>
  <c r="M274" i="15" s="1"/>
  <c r="L273" i="15"/>
  <c r="M273" i="15" s="1"/>
  <c r="L272" i="15"/>
  <c r="M272" i="15" s="1"/>
  <c r="L271" i="15"/>
  <c r="M271" i="15" s="1"/>
  <c r="L270" i="15"/>
  <c r="M270" i="15" s="1"/>
  <c r="L269" i="15"/>
  <c r="M269" i="15" s="1"/>
  <c r="L268" i="15"/>
  <c r="M268" i="15" s="1"/>
  <c r="L267" i="15"/>
  <c r="M267" i="15" s="1"/>
  <c r="L266" i="15"/>
  <c r="M266" i="15" s="1"/>
  <c r="L265" i="15"/>
  <c r="M265" i="15" s="1"/>
  <c r="L264" i="15"/>
  <c r="M264" i="15" s="1"/>
  <c r="L263" i="15"/>
  <c r="M263" i="15" s="1"/>
  <c r="L262" i="15"/>
  <c r="M262" i="15" s="1"/>
  <c r="L261" i="15"/>
  <c r="M261" i="15" s="1"/>
  <c r="L260" i="15"/>
  <c r="M260" i="15" s="1"/>
  <c r="L259" i="15"/>
  <c r="M259" i="15" s="1"/>
  <c r="L258" i="15"/>
  <c r="M258" i="15" s="1"/>
  <c r="L257" i="15"/>
  <c r="M257" i="15" s="1"/>
  <c r="L256" i="15"/>
  <c r="M256" i="15" s="1"/>
  <c r="L255" i="15"/>
  <c r="M255" i="15" s="1"/>
  <c r="L254" i="15"/>
  <c r="M254" i="15" s="1"/>
  <c r="L253" i="15"/>
  <c r="M253" i="15" s="1"/>
  <c r="L252" i="15"/>
  <c r="M252" i="15" s="1"/>
  <c r="L251" i="15"/>
  <c r="M251" i="15" s="1"/>
  <c r="L250" i="15"/>
  <c r="M250" i="15" s="1"/>
  <c r="L249" i="15"/>
  <c r="M249" i="15" s="1"/>
  <c r="L248" i="15"/>
  <c r="M248" i="15" s="1"/>
  <c r="L247" i="15"/>
  <c r="M247" i="15" s="1"/>
  <c r="L246" i="15"/>
  <c r="M246" i="15" s="1"/>
  <c r="L245" i="15"/>
  <c r="M245" i="15" s="1"/>
  <c r="L244" i="15"/>
  <c r="M244" i="15" s="1"/>
  <c r="L243" i="15"/>
  <c r="M243" i="15" s="1"/>
  <c r="L242" i="15"/>
  <c r="M242" i="15" s="1"/>
  <c r="L241" i="15"/>
  <c r="M241" i="15" s="1"/>
  <c r="L240" i="15"/>
  <c r="M240" i="15" s="1"/>
  <c r="L239" i="15"/>
  <c r="M239" i="15" s="1"/>
  <c r="L238" i="15"/>
  <c r="M238" i="15" s="1"/>
  <c r="L237" i="15"/>
  <c r="M237" i="15" s="1"/>
  <c r="L236" i="15"/>
  <c r="M236" i="15" s="1"/>
  <c r="L235" i="15"/>
  <c r="M235" i="15" s="1"/>
  <c r="L234" i="15"/>
  <c r="M234" i="15" s="1"/>
  <c r="L233" i="15"/>
  <c r="M233" i="15" s="1"/>
  <c r="L232" i="15"/>
  <c r="M232" i="15" s="1"/>
  <c r="L231" i="15"/>
  <c r="M231" i="15" s="1"/>
  <c r="L230" i="15"/>
  <c r="M230" i="15" s="1"/>
  <c r="L229" i="15"/>
  <c r="M229" i="15" s="1"/>
  <c r="L228" i="15"/>
  <c r="M228" i="15" s="1"/>
  <c r="L227" i="15"/>
  <c r="M227" i="15" s="1"/>
  <c r="L226" i="15"/>
  <c r="M226" i="15" s="1"/>
  <c r="L225" i="15"/>
  <c r="M225" i="15" s="1"/>
  <c r="L224" i="15"/>
  <c r="M224" i="15" s="1"/>
  <c r="L223" i="15"/>
  <c r="M223" i="15" s="1"/>
  <c r="L222" i="15"/>
  <c r="M222" i="15" s="1"/>
  <c r="L221" i="15"/>
  <c r="M221" i="15" s="1"/>
  <c r="L220" i="15"/>
  <c r="M220" i="15" s="1"/>
  <c r="L219" i="15"/>
  <c r="M219" i="15" s="1"/>
  <c r="L218" i="15"/>
  <c r="M218" i="15" s="1"/>
  <c r="L217" i="15"/>
  <c r="M217" i="15" s="1"/>
  <c r="L216" i="15"/>
  <c r="M216" i="15" s="1"/>
  <c r="L215" i="15"/>
  <c r="M215" i="15" s="1"/>
  <c r="L214" i="15"/>
  <c r="M214" i="15" s="1"/>
  <c r="L213" i="15"/>
  <c r="M213" i="15" s="1"/>
  <c r="L212" i="15"/>
  <c r="M212" i="15" s="1"/>
  <c r="L211" i="15"/>
  <c r="M211" i="15" s="1"/>
  <c r="L210" i="15"/>
  <c r="M210" i="15" s="1"/>
  <c r="L209" i="15"/>
  <c r="M209" i="15" s="1"/>
  <c r="L208" i="15"/>
  <c r="M208" i="15" s="1"/>
  <c r="L207" i="15"/>
  <c r="M207" i="15" s="1"/>
  <c r="L206" i="15"/>
  <c r="M206" i="15" s="1"/>
  <c r="L205" i="15"/>
  <c r="M205" i="15" s="1"/>
  <c r="L204" i="15"/>
  <c r="M204" i="15" s="1"/>
  <c r="L203" i="15"/>
  <c r="M203" i="15" s="1"/>
  <c r="L202" i="15"/>
  <c r="M202" i="15" s="1"/>
  <c r="L201" i="15"/>
  <c r="M201" i="15" s="1"/>
  <c r="L200" i="15"/>
  <c r="M200" i="15" s="1"/>
  <c r="L199" i="15"/>
  <c r="M199" i="15" s="1"/>
  <c r="L198" i="15"/>
  <c r="M198" i="15" s="1"/>
  <c r="L197" i="15"/>
  <c r="M197" i="15" s="1"/>
  <c r="L196" i="15"/>
  <c r="M196" i="15" s="1"/>
  <c r="L195" i="15"/>
  <c r="M195" i="15" s="1"/>
  <c r="L194" i="15"/>
  <c r="M194" i="15" s="1"/>
  <c r="L193" i="15"/>
  <c r="M193" i="15" s="1"/>
  <c r="L192" i="15"/>
  <c r="M192" i="15" s="1"/>
  <c r="L191" i="15"/>
  <c r="M191" i="15" s="1"/>
  <c r="L190" i="15"/>
  <c r="M190" i="15" s="1"/>
  <c r="L189" i="15"/>
  <c r="M189" i="15" s="1"/>
  <c r="L188" i="15"/>
  <c r="M188" i="15" s="1"/>
  <c r="L187" i="15"/>
  <c r="M187" i="15" s="1"/>
  <c r="L186" i="15"/>
  <c r="M186" i="15" s="1"/>
  <c r="L185" i="15"/>
  <c r="M185" i="15" s="1"/>
  <c r="L184" i="15"/>
  <c r="M184" i="15" s="1"/>
  <c r="L183" i="15"/>
  <c r="M183" i="15" s="1"/>
  <c r="L182" i="15"/>
  <c r="M182" i="15" s="1"/>
  <c r="L181" i="15"/>
  <c r="M181" i="15" s="1"/>
  <c r="L180" i="15"/>
  <c r="M180" i="15" s="1"/>
  <c r="L179" i="15"/>
  <c r="M179" i="15" s="1"/>
  <c r="L178" i="15"/>
  <c r="M178" i="15" s="1"/>
  <c r="L177" i="15"/>
  <c r="M177" i="15" s="1"/>
  <c r="L176" i="15"/>
  <c r="M176" i="15" s="1"/>
  <c r="L175" i="15"/>
  <c r="M175" i="15" s="1"/>
  <c r="L174" i="15"/>
  <c r="M174" i="15" s="1"/>
  <c r="L173" i="15"/>
  <c r="M173" i="15" s="1"/>
  <c r="L172" i="15"/>
  <c r="M172" i="15" s="1"/>
  <c r="L171" i="15"/>
  <c r="M171" i="15" s="1"/>
  <c r="L170" i="15"/>
  <c r="M170" i="15" s="1"/>
  <c r="L169" i="15"/>
  <c r="M169" i="15" s="1"/>
  <c r="L168" i="15"/>
  <c r="M168" i="15" s="1"/>
  <c r="L167" i="15"/>
  <c r="M167" i="15" s="1"/>
  <c r="L166" i="15"/>
  <c r="M166" i="15" s="1"/>
  <c r="L165" i="15"/>
  <c r="M165" i="15" s="1"/>
  <c r="L164" i="15"/>
  <c r="M164" i="15" s="1"/>
  <c r="L163" i="15"/>
  <c r="M163" i="15" s="1"/>
  <c r="L162" i="15"/>
  <c r="M162" i="15" s="1"/>
  <c r="L161" i="15"/>
  <c r="M161" i="15" s="1"/>
  <c r="L160" i="15"/>
  <c r="M160" i="15" s="1"/>
  <c r="L159" i="15"/>
  <c r="M159" i="15" s="1"/>
  <c r="L158" i="15"/>
  <c r="M158" i="15" s="1"/>
  <c r="L157" i="15"/>
  <c r="M157" i="15" s="1"/>
  <c r="L156" i="15"/>
  <c r="M156" i="15" s="1"/>
  <c r="L155" i="15"/>
  <c r="M155" i="15" s="1"/>
  <c r="L154" i="15"/>
  <c r="M154" i="15" s="1"/>
  <c r="L153" i="15"/>
  <c r="M153" i="15" s="1"/>
  <c r="L152" i="15"/>
  <c r="M152" i="15" s="1"/>
  <c r="L151" i="15"/>
  <c r="M151" i="15" s="1"/>
  <c r="L150" i="15"/>
  <c r="M150" i="15" s="1"/>
  <c r="L149" i="15"/>
  <c r="M149" i="15" s="1"/>
  <c r="L148" i="15"/>
  <c r="M148" i="15" s="1"/>
  <c r="L147" i="15"/>
  <c r="M147" i="15" s="1"/>
  <c r="L146" i="15"/>
  <c r="M146" i="15" s="1"/>
  <c r="L145" i="15"/>
  <c r="M145" i="15" s="1"/>
  <c r="L144" i="15"/>
  <c r="M144" i="15" s="1"/>
  <c r="L143" i="15"/>
  <c r="M143" i="15" s="1"/>
  <c r="L142" i="15"/>
  <c r="M142" i="15" s="1"/>
  <c r="L141" i="15"/>
  <c r="M141" i="15" s="1"/>
  <c r="L140" i="15"/>
  <c r="M140" i="15" s="1"/>
  <c r="L139" i="15"/>
  <c r="M139" i="15" s="1"/>
  <c r="L138" i="15"/>
  <c r="M138" i="15" s="1"/>
  <c r="L137" i="15"/>
  <c r="M137" i="15" s="1"/>
  <c r="L136" i="15"/>
  <c r="M136" i="15" s="1"/>
  <c r="L135" i="15"/>
  <c r="M135" i="15" s="1"/>
  <c r="L134" i="15"/>
  <c r="M134" i="15" s="1"/>
  <c r="L133" i="15"/>
  <c r="M133" i="15" s="1"/>
  <c r="L132" i="15"/>
  <c r="M132" i="15" s="1"/>
  <c r="L131" i="15"/>
  <c r="M131" i="15" s="1"/>
  <c r="L130" i="15"/>
  <c r="M130" i="15" s="1"/>
  <c r="L129" i="15"/>
  <c r="M129" i="15" s="1"/>
  <c r="L128" i="15"/>
  <c r="M128" i="15" s="1"/>
  <c r="L127" i="15"/>
  <c r="M127" i="15" s="1"/>
  <c r="L126" i="15"/>
  <c r="M126" i="15" s="1"/>
  <c r="L125" i="15"/>
  <c r="M125" i="15" s="1"/>
  <c r="L124" i="15"/>
  <c r="M124" i="15" s="1"/>
  <c r="L123" i="15"/>
  <c r="M123" i="15" s="1"/>
  <c r="L122" i="15"/>
  <c r="M122" i="15" s="1"/>
  <c r="L121" i="15"/>
  <c r="M121" i="15" s="1"/>
  <c r="L120" i="15"/>
  <c r="M120" i="15" s="1"/>
  <c r="L119" i="15"/>
  <c r="M119" i="15" s="1"/>
  <c r="L118" i="15"/>
  <c r="M118" i="15" s="1"/>
  <c r="L117" i="15"/>
  <c r="M117" i="15" s="1"/>
  <c r="L116" i="15"/>
  <c r="M116" i="15" s="1"/>
  <c r="L115" i="15"/>
  <c r="M115" i="15" s="1"/>
  <c r="L114" i="15"/>
  <c r="M114" i="15" s="1"/>
  <c r="L113" i="15"/>
  <c r="M113" i="15" s="1"/>
  <c r="L112" i="15"/>
  <c r="M112" i="15" s="1"/>
  <c r="L111" i="15"/>
  <c r="M111" i="15" s="1"/>
  <c r="L110" i="15"/>
  <c r="M110" i="15" s="1"/>
  <c r="L109" i="15"/>
  <c r="M109" i="15" s="1"/>
  <c r="L108" i="15"/>
  <c r="M108" i="15" s="1"/>
  <c r="L107" i="15"/>
  <c r="M107" i="15" s="1"/>
  <c r="L106" i="15"/>
  <c r="M106" i="15" s="1"/>
  <c r="L105" i="15"/>
  <c r="M105" i="15" s="1"/>
  <c r="L104" i="15"/>
  <c r="M104" i="15" s="1"/>
  <c r="L103" i="15"/>
  <c r="M103" i="15" s="1"/>
  <c r="L102" i="15"/>
  <c r="M102" i="15" s="1"/>
  <c r="L101" i="15"/>
  <c r="M101" i="15" s="1"/>
  <c r="L100" i="15"/>
  <c r="M100" i="15" s="1"/>
  <c r="L99" i="15"/>
  <c r="M99" i="15" s="1"/>
  <c r="L98" i="15"/>
  <c r="M98" i="15" s="1"/>
  <c r="L97" i="15"/>
  <c r="M97" i="15" s="1"/>
  <c r="L96" i="15"/>
  <c r="M96" i="15" s="1"/>
  <c r="L95" i="15"/>
  <c r="M95" i="15" s="1"/>
  <c r="L94" i="15"/>
  <c r="M94" i="15" s="1"/>
  <c r="L93" i="15"/>
  <c r="M93" i="15" s="1"/>
  <c r="L92" i="15"/>
  <c r="M92" i="15" s="1"/>
  <c r="L91" i="15"/>
  <c r="M91" i="15" s="1"/>
  <c r="L90" i="15"/>
  <c r="M90" i="15" s="1"/>
  <c r="L89" i="15"/>
  <c r="M89" i="15" s="1"/>
  <c r="L88" i="15"/>
  <c r="M88" i="15" s="1"/>
  <c r="L87" i="15"/>
  <c r="M87" i="15" s="1"/>
  <c r="L86" i="15"/>
  <c r="M86" i="15" s="1"/>
  <c r="L85" i="15"/>
  <c r="M85" i="15" s="1"/>
  <c r="L84" i="15"/>
  <c r="M84" i="15" s="1"/>
  <c r="L83" i="15"/>
  <c r="M83" i="15" s="1"/>
  <c r="L82" i="15"/>
  <c r="M82" i="15" s="1"/>
  <c r="L81" i="15"/>
  <c r="M81" i="15" s="1"/>
  <c r="L80" i="15"/>
  <c r="M80" i="15" s="1"/>
  <c r="L79" i="15"/>
  <c r="M79" i="15" s="1"/>
  <c r="L78" i="15"/>
  <c r="M78" i="15" s="1"/>
  <c r="L77" i="15"/>
  <c r="M77" i="15" s="1"/>
  <c r="L76" i="15"/>
  <c r="M76" i="15" s="1"/>
  <c r="L75" i="15"/>
  <c r="M75" i="15" s="1"/>
  <c r="L74" i="15"/>
  <c r="M74" i="15" s="1"/>
  <c r="L73" i="15"/>
  <c r="M73" i="15" s="1"/>
  <c r="L72" i="15"/>
  <c r="M72" i="15" s="1"/>
  <c r="L71" i="15"/>
  <c r="M71" i="15" s="1"/>
  <c r="L70" i="15"/>
  <c r="M70" i="15" s="1"/>
  <c r="L69" i="15"/>
  <c r="M69" i="15" s="1"/>
  <c r="L68" i="15"/>
  <c r="M68" i="15" s="1"/>
  <c r="L67" i="15"/>
  <c r="M67" i="15" s="1"/>
  <c r="L66" i="15"/>
  <c r="M66" i="15" s="1"/>
  <c r="L65" i="15"/>
  <c r="M65" i="15" s="1"/>
  <c r="L64" i="15"/>
  <c r="M64" i="15" s="1"/>
  <c r="L63" i="15"/>
  <c r="M63" i="15" s="1"/>
  <c r="L62" i="15"/>
  <c r="M62" i="15" s="1"/>
  <c r="L61" i="15"/>
  <c r="M61" i="15" s="1"/>
  <c r="L60" i="15"/>
  <c r="M60" i="15" s="1"/>
  <c r="L59" i="15"/>
  <c r="M59" i="15" s="1"/>
  <c r="L58" i="15"/>
  <c r="M58" i="15" s="1"/>
  <c r="L57" i="15"/>
  <c r="M57" i="15" s="1"/>
  <c r="L56" i="15"/>
  <c r="M56" i="15" s="1"/>
  <c r="L55" i="15"/>
  <c r="M55" i="15" s="1"/>
  <c r="L54" i="15"/>
  <c r="M54" i="15" s="1"/>
  <c r="L53" i="15"/>
  <c r="M53" i="15" s="1"/>
  <c r="L52" i="15"/>
  <c r="M52" i="15" s="1"/>
  <c r="L51" i="15"/>
  <c r="M51" i="15" s="1"/>
  <c r="L50" i="15"/>
  <c r="M50" i="15" s="1"/>
  <c r="L49" i="15"/>
  <c r="M49" i="15" s="1"/>
  <c r="L48" i="15"/>
  <c r="M48" i="15" s="1"/>
  <c r="L47" i="15"/>
  <c r="M47" i="15" s="1"/>
  <c r="L46" i="15"/>
  <c r="M46" i="15" s="1"/>
  <c r="L45" i="15"/>
  <c r="M45" i="15" s="1"/>
  <c r="L44" i="15"/>
  <c r="M44" i="15" s="1"/>
  <c r="L43" i="15"/>
  <c r="M43" i="15" s="1"/>
  <c r="L42" i="15"/>
  <c r="M42" i="15" s="1"/>
  <c r="L41" i="15"/>
  <c r="M41" i="15" s="1"/>
  <c r="L40" i="15"/>
  <c r="M40" i="15" s="1"/>
  <c r="L39" i="15"/>
  <c r="M39" i="15" s="1"/>
  <c r="L38" i="15"/>
  <c r="M38" i="15" s="1"/>
  <c r="L37" i="15"/>
  <c r="M37" i="15" s="1"/>
  <c r="L36" i="15"/>
  <c r="M36" i="15" s="1"/>
  <c r="L35" i="15"/>
  <c r="M35" i="15" s="1"/>
  <c r="L34" i="15"/>
  <c r="M34" i="15" s="1"/>
  <c r="L33" i="15"/>
  <c r="M33" i="15" s="1"/>
  <c r="L32" i="15"/>
  <c r="M32" i="15" s="1"/>
  <c r="L31" i="15"/>
  <c r="M31" i="15" s="1"/>
  <c r="L30" i="15"/>
  <c r="M30" i="15" s="1"/>
  <c r="L29" i="15"/>
  <c r="M29" i="15" s="1"/>
  <c r="L28" i="15"/>
  <c r="M28" i="15" s="1"/>
  <c r="L27" i="15"/>
  <c r="M27" i="15" s="1"/>
  <c r="L26" i="15"/>
  <c r="M26" i="15" s="1"/>
  <c r="L25" i="15"/>
  <c r="M25" i="15" s="1"/>
  <c r="L24" i="15"/>
  <c r="M24" i="15" s="1"/>
  <c r="L23" i="15"/>
  <c r="M23" i="15" s="1"/>
  <c r="L22" i="15"/>
  <c r="M22" i="15" s="1"/>
  <c r="L21" i="15"/>
  <c r="M21" i="15" s="1"/>
  <c r="L20" i="15"/>
  <c r="M20" i="15" s="1"/>
  <c r="L19" i="15"/>
  <c r="M19" i="15" s="1"/>
  <c r="L18" i="15"/>
  <c r="M18" i="15" s="1"/>
  <c r="L17" i="15"/>
  <c r="M17" i="15" s="1"/>
  <c r="L16" i="15"/>
  <c r="M16" i="15" s="1"/>
  <c r="L15" i="15"/>
  <c r="M15" i="15" s="1"/>
  <c r="L14" i="15"/>
  <c r="M14" i="15" s="1"/>
  <c r="L13" i="15"/>
  <c r="M13" i="15" s="1"/>
  <c r="L12" i="15"/>
  <c r="M12" i="15" s="1"/>
  <c r="L11" i="15"/>
  <c r="M11" i="15" s="1"/>
  <c r="L10" i="15"/>
  <c r="M10" i="15" s="1"/>
  <c r="L9" i="15"/>
  <c r="M9" i="15" s="1"/>
  <c r="L8" i="15"/>
  <c r="M8" i="15" s="1"/>
  <c r="L7" i="15"/>
  <c r="M7" i="15" s="1"/>
  <c r="L6" i="15"/>
  <c r="M6" i="15" s="1"/>
  <c r="L5" i="15"/>
  <c r="M5" i="15" s="1"/>
  <c r="L4" i="15"/>
  <c r="M4" i="15" s="1"/>
  <c r="L3" i="15"/>
  <c r="M3" i="15" s="1"/>
  <c r="L2" i="15"/>
  <c r="M2" i="15" s="1"/>
  <c r="U3" i="10" l="1"/>
  <c r="C49" i="19" a="1"/>
  <c r="A50" i="19" s="1"/>
  <c r="B44" i="19" l="1" a="1"/>
  <c r="B44" i="19" s="1"/>
  <c r="A53" i="19"/>
  <c r="A52" i="19"/>
  <c r="C49" i="19"/>
  <c r="A51" i="19"/>
  <c r="A35" i="19"/>
  <c r="G100" i="9"/>
  <c r="G99" i="9"/>
  <c r="G98" i="9"/>
  <c r="G97" i="9"/>
  <c r="G96" i="9"/>
  <c r="G95" i="9"/>
  <c r="G94" i="9"/>
  <c r="G93" i="9"/>
  <c r="G92" i="9"/>
  <c r="G91" i="9"/>
  <c r="G90" i="9"/>
  <c r="G89" i="9"/>
  <c r="G88" i="9"/>
  <c r="G87" i="9"/>
  <c r="G86" i="9"/>
  <c r="G85" i="9"/>
  <c r="G84" i="9"/>
  <c r="G83" i="9"/>
  <c r="G82" i="9"/>
  <c r="G81" i="9"/>
  <c r="G80" i="9"/>
  <c r="G79" i="9"/>
  <c r="G78" i="9"/>
  <c r="G77" i="9"/>
  <c r="G76" i="9"/>
  <c r="G75" i="9"/>
  <c r="G74" i="9"/>
  <c r="G73" i="9"/>
  <c r="G72" i="9"/>
  <c r="G71" i="9"/>
  <c r="G70" i="9"/>
  <c r="G69" i="9"/>
  <c r="G68" i="9"/>
  <c r="G67" i="9"/>
  <c r="G66" i="9"/>
  <c r="G65" i="9"/>
  <c r="G64" i="9"/>
  <c r="G63" i="9"/>
  <c r="G62" i="9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101" i="9"/>
  <c r="C45" i="19" l="1"/>
  <c r="A45" i="19" s="1"/>
  <c r="C46" i="19"/>
  <c r="A46" i="19" s="1"/>
  <c r="C7" i="19"/>
  <c r="A37" i="19"/>
  <c r="A38" i="19"/>
  <c r="A39" i="19"/>
  <c r="A40" i="19"/>
  <c r="A12" i="19" l="1" a="1"/>
  <c r="A12" i="19" s="1"/>
  <c r="B3" i="19"/>
  <c r="C19" i="19" l="1"/>
  <c r="C20" i="19"/>
  <c r="C21" i="19"/>
  <c r="C22" i="19"/>
  <c r="C23" i="19"/>
  <c r="C24" i="19"/>
  <c r="C25" i="19"/>
  <c r="C26" i="19"/>
  <c r="C27" i="19"/>
  <c r="C28" i="19"/>
  <c r="C29" i="19"/>
  <c r="B20" i="19"/>
  <c r="B21" i="19"/>
  <c r="B22" i="19"/>
  <c r="B23" i="19"/>
  <c r="B24" i="19"/>
  <c r="B25" i="19"/>
  <c r="B26" i="19"/>
  <c r="B27" i="19"/>
  <c r="B28" i="19"/>
  <c r="B29" i="19"/>
  <c r="B19" i="19"/>
  <c r="C13" i="19"/>
  <c r="C14" i="19"/>
  <c r="C8" i="19"/>
  <c r="D8" i="19" s="1"/>
  <c r="D7" i="19"/>
  <c r="C6" i="19"/>
  <c r="D6" i="19" s="1"/>
  <c r="B2" i="19"/>
  <c r="A2" i="19"/>
  <c r="D20" i="19" l="1"/>
  <c r="D13" i="19"/>
  <c r="D14" i="19"/>
  <c r="D19" i="19"/>
  <c r="D29" i="19"/>
  <c r="D28" i="19"/>
  <c r="D27" i="19"/>
  <c r="D26" i="19"/>
  <c r="D25" i="19"/>
  <c r="D24" i="19"/>
  <c r="D23" i="19"/>
  <c r="D22" i="19"/>
  <c r="D21" i="19"/>
  <c r="E22" i="8"/>
  <c r="E23" i="8"/>
  <c r="E20" i="8"/>
  <c r="E19" i="8"/>
  <c r="E18" i="8"/>
  <c r="E15" i="8"/>
  <c r="E1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tc={85C6F42C-DA85-423A-8ED0-8166046CB322}</author>
  </authors>
  <commentList>
    <comment ref="B18" authorId="0" shapeId="0" xr:uid="{85C6F42C-DA85-423A-8ED0-8166046CB322}">
      <text>
        <t>[Threaded comment]
Your version of Excel allows you to read this threaded comment; however, any edits to it will get removed if the file is opened in a newer version of Excel. Learn more: https://go.microsoft.com/fwlink/?linkid=870924
Comment:
    Delta in payables +Expenses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tc={8917710F-CEE7-4804-A5C1-67D9EA851351}</author>
    <author>tc={75B8FF39-E3AC-4B63-A9F3-825682E41469}</author>
  </authors>
  <commentList>
    <comment ref="K25" authorId="0" shapeId="0" xr:uid="{8917710F-CEE7-4804-A5C1-67D9EA85135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Formula for summation of expense entries
</t>
      </text>
    </comment>
    <comment ref="L25" authorId="1" shapeId="0" xr:uid="{75B8FF39-E3AC-4B63-A9F3-825682E41469}">
      <text>
        <t>[Threaded comment]
Your version of Excel allows you to read this threaded comment; however, any edits to it will get removed if the file is opened in a newer version of Excel. Learn more: https://go.microsoft.com/fwlink/?linkid=870924
Comment:
    Reconciled against Peoplesoft Data - Sheet Expenses Input - Export from Peoplesoft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6E3955-06CC-4A82-A387-BAD3CE7DD5A7}" keepAlive="1" name="Query - Cash Transaction" description="Connection to the 'Cash Transaction' query in the workbook." type="5" refreshedVersion="0" background="1">
    <dbPr connection="Provider=Microsoft.Mashup.OleDb.1;Data Source=$Workbook$;Location=&quot;Cash Transaction&quot;;Extended Properties=&quot;&quot;" command="SELECT * FROM [Cash Transaction]"/>
  </connection>
  <connection id="2" xr16:uid="{7DD31DB9-2E7F-4B6F-AB12-5FAE7F6FB7BC}" keepAlive="1" name="Query - Cash Transaction (2)" description="Connection to the 'Cash Transaction (2)' query in the workbook." type="5" refreshedVersion="8" background="1" saveData="1">
    <dbPr connection="Provider=Microsoft.Mashup.OleDb.1;Data Source=$Workbook$;Location=&quot;Cash Transaction (2)&quot;;Extended Properties=&quot;&quot;" command="SELECT * FROM [Cash Transaction (2)]"/>
  </connection>
  <connection id="3" xr16:uid="{120668D9-E821-431E-BC51-6EED1DF9DD86}" keepAlive="1" name="Query - Expenses Input" description="Connection to the 'Expenses Input' query in the workbook." type="5" refreshedVersion="8" background="1" saveData="1">
    <dbPr connection="Provider=Microsoft.Mashup.OleDb.1;Data Source=$Workbook$;Location=&quot;Expenses Input&quot;;Extended Properties=&quot;&quot;" command="SELECT * FROM [Expenses Input]"/>
  </connection>
  <connection id="4" xr16:uid="{7E508005-ED5C-4AD6-9168-45EB827D4F23}" keepAlive="1" name="Query - Net Asset Value Analysis Repor" description="Connection to the 'Net Asset Value Analysis Repor' query in the workbook." type="5" refreshedVersion="8" background="1" saveData="1">
    <dbPr connection="Provider=Microsoft.Mashup.OleDb.1;Data Source=$Workbook$;Location=&quot;Net Asset Value Analysis Repor&quot;;Extended Properties=&quot;&quot;" command="SELECT * FROM [Net Asset Value Analysis Repor]"/>
  </connection>
  <connection id="5" xr16:uid="{4F2ACC6E-9E72-462F-B315-79FC4B22C056}" keepAlive="1" name="Query - Portfolio Appraisal Report" description="Connection to the 'Portfolio Appraisal Report' query in the workbook." type="5" refreshedVersion="8" background="1" saveData="1">
    <dbPr connection="Provider=Microsoft.Mashup.OleDb.1;Data Source=$Workbook$;Location=&quot;Portfolio Appraisal Report&quot;;Extended Properties=&quot;&quot;" command="SELECT * FROM [Portfolio Appraisal Report]"/>
  </connection>
  <connection id="6" xr16:uid="{7AEAE8AB-1CDA-4584-96C3-C57F5C0F939A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<sst xmlns="http://schemas.openxmlformats.org/spreadsheetml/2006/main" count="12009" uniqueCount="532">
  <si>
    <t xml:space="preserve">Steps </t>
  </si>
  <si>
    <t xml:space="preserve">Open this file only in Investran Excel </t>
  </si>
  <si>
    <t>Update cells highlighted in yellow.</t>
  </si>
  <si>
    <t>Enable Macros</t>
  </si>
  <si>
    <t>To Run Macro : Press Cntrl + Shift + R</t>
  </si>
  <si>
    <t>Update  Vpm Reports YTD</t>
  </si>
  <si>
    <t xml:space="preserve">Make sure Summary tables are tied out </t>
  </si>
  <si>
    <t>Provide commentary for all break items Highlighted in Red</t>
  </si>
  <si>
    <t>Add supports to summary page</t>
  </si>
  <si>
    <t>Password for protected Cells :</t>
  </si>
  <si>
    <t>BONDCO</t>
  </si>
  <si>
    <t>DO NOT RENAME THIS WORKSHEET</t>
  </si>
  <si>
    <t>Server</t>
  </si>
  <si>
    <t>investran</t>
  </si>
  <si>
    <t>Database</t>
  </si>
  <si>
    <t>investran70master_prod</t>
  </si>
  <si>
    <t>Clear Report Columns Only</t>
  </si>
  <si>
    <t>Yes</t>
  </si>
  <si>
    <t>General Parameters</t>
  </si>
  <si>
    <t>Name</t>
  </si>
  <si>
    <t>Value</t>
  </si>
  <si>
    <t>Legal Entity</t>
  </si>
  <si>
    <t>AP Windsor Co-Invest, L.P.</t>
  </si>
  <si>
    <t>BeginDate</t>
  </si>
  <si>
    <t>EndDate</t>
  </si>
  <si>
    <t>Report-Specific Parameters</t>
  </si>
  <si>
    <t>Book</t>
  </si>
  <si>
    <t>Report</t>
  </si>
  <si>
    <t>Instance</t>
  </si>
  <si>
    <t>PE Debt Program - Coinvest Pack</t>
  </si>
  <si>
    <t>Trial Balance Coinvest pack</t>
  </si>
  <si>
    <t>GLDate</t>
  </si>
  <si>
    <t>StartDate</t>
  </si>
  <si>
    <t>CapActStmnt</t>
  </si>
  <si>
    <t>End Date</t>
  </si>
  <si>
    <t>Schedule of Investments - GAAP</t>
  </si>
  <si>
    <t>Allocation Rule</t>
  </si>
  <si>
    <t>06_SCPC</t>
  </si>
  <si>
    <t>Unfunded Commitment Summary</t>
  </si>
  <si>
    <t>Trial Balance - investor level</t>
  </si>
  <si>
    <t>Report List</t>
  </si>
  <si>
    <t>Worksheet</t>
  </si>
  <si>
    <t>Address (report data starts at this cell)</t>
  </si>
  <si>
    <t>Trial Balance</t>
  </si>
  <si>
    <t>Schedule of Investments</t>
  </si>
  <si>
    <t>SCPC Report</t>
  </si>
  <si>
    <t xml:space="preserve">Supports : </t>
  </si>
  <si>
    <t>Open Supports Folder</t>
  </si>
  <si>
    <t xml:space="preserve">Period </t>
  </si>
  <si>
    <t xml:space="preserve">As per VPM </t>
  </si>
  <si>
    <t>As per Investran</t>
  </si>
  <si>
    <t xml:space="preserve">Check </t>
  </si>
  <si>
    <t xml:space="preserve">NAV Check </t>
  </si>
  <si>
    <t xml:space="preserve">P&amp;L </t>
  </si>
  <si>
    <t xml:space="preserve">Due to TB Clean up </t>
  </si>
  <si>
    <t>Capital Movement</t>
  </si>
  <si>
    <t>WINDSOR PARENT CMMN UNITS</t>
  </si>
  <si>
    <t>WINDSOR PARENT PFD UNITS</t>
  </si>
  <si>
    <t>Expense Recon</t>
  </si>
  <si>
    <t>Quarter 3 2025</t>
  </si>
  <si>
    <t xml:space="preserve">Expense </t>
  </si>
  <si>
    <t>TB Expenses</t>
  </si>
  <si>
    <t xml:space="preserve">exp Schedule </t>
  </si>
  <si>
    <t xml:space="preserve">Update the Allocation Rule used </t>
  </si>
  <si>
    <t xml:space="preserve">Allocation Rule Check </t>
  </si>
  <si>
    <t xml:space="preserve">Status </t>
  </si>
  <si>
    <t>Comment (also Include Count)</t>
  </si>
  <si>
    <t>By Commitment (No Date)</t>
  </si>
  <si>
    <t>Tax Paid for specific investors</t>
  </si>
  <si>
    <t xml:space="preserve">Ending Partner Commitment Ratio Check </t>
  </si>
  <si>
    <t xml:space="preserve">Investor Assets non Negative Check </t>
  </si>
  <si>
    <t xml:space="preserve">Due To Tax Paid for Spefic Investors </t>
  </si>
  <si>
    <t>E-Controller</t>
  </si>
  <si>
    <t>FFHO Classification</t>
  </si>
  <si>
    <t>Account</t>
  </si>
  <si>
    <t>Opening Balance @ #StartDate#</t>
  </si>
  <si>
    <t>Debit</t>
  </si>
  <si>
    <t>Credit</t>
  </si>
  <si>
    <t>Ending Balance @ #GLDate#</t>
  </si>
  <si>
    <t>Classification</t>
  </si>
  <si>
    <t>Source Setup</t>
  </si>
  <si>
    <t>Data Type</t>
  </si>
  <si>
    <t>Destination</t>
  </si>
  <si>
    <t>Activity Check</t>
  </si>
  <si>
    <t xml:space="preserve">Sources </t>
  </si>
  <si>
    <t>Sources and Inputs - E- Controller</t>
  </si>
  <si>
    <t xml:space="preserve">Mapping </t>
  </si>
  <si>
    <t>10010 - Cash - Chase Custody (USD)</t>
  </si>
  <si>
    <t>Cash File</t>
  </si>
  <si>
    <t>Excel</t>
  </si>
  <si>
    <t>J:\BondCo\Funds\Co-Invest &amp; Standalone Funds\2. Co-Invest Funds\14. AP Windsor Co-Invest, L.P\Cash</t>
  </si>
  <si>
    <t>Cash</t>
  </si>
  <si>
    <r>
      <rPr>
        <b/>
        <sz val="11"/>
        <color rgb="FFFF0000"/>
        <rFont val="Calibri"/>
        <family val="2"/>
        <scheme val="minor"/>
      </rPr>
      <t>J:\BondCo\Month end Close &amp; AUM Input\Yearly Close\2025\Q3 - Sep 2025\Bank statements\Sept</t>
    </r>
    <r>
      <rPr>
        <sz val="11"/>
        <color theme="1"/>
        <rFont val="Calibri"/>
        <family val="2"/>
        <scheme val="minor"/>
      </rPr>
      <t xml:space="preserve">          J:\BondCo\Cash\Daily Cash Working\Daily Cash Recs_JPMCB_PDFs\2025\September                                                  J:\BondCo\Funds\Co-Invest &amp; Standalone Funds\2. Co-Invest Funds\14. AP Windsor Co-Invest, L.P\Cash</t>
    </r>
  </si>
  <si>
    <t>Bank Statements/IVP Recon/FTP Feed/Drive</t>
  </si>
  <si>
    <t>Expense: Bank/Custody Fees</t>
  </si>
  <si>
    <t>20004 - Accounts Payable: Bank</t>
  </si>
  <si>
    <t>50040 - Custody Fees</t>
  </si>
  <si>
    <t>10130 - Investments</t>
  </si>
  <si>
    <t>Box</t>
  </si>
  <si>
    <t>C:\Users\gjain\Box\PE Investments\Univar Solutions</t>
  </si>
  <si>
    <t>Fair Value of Investments</t>
  </si>
  <si>
    <t>C:\Users\gjain\Box\PE Investments</t>
  </si>
  <si>
    <t>Valuation memo saved on drive should pickup the value assigned to Co-Invest. Compare the current value with Investran value and book adjusting entry to match Valaution memo</t>
  </si>
  <si>
    <t>Expense: Valuation Services</t>
  </si>
  <si>
    <t>50044 - Valuation Services</t>
  </si>
  <si>
    <t>10140 - Unrealized apprec/(deprec) on Investment (BS)</t>
  </si>
  <si>
    <t>Expense: Expense: Consulting</t>
  </si>
  <si>
    <t>50046 - Expense: Consulting Expense</t>
  </si>
  <si>
    <t>10270 - Bank Interest Receivable</t>
  </si>
  <si>
    <t>Cash File/Bank Statement</t>
  </si>
  <si>
    <t>PDF</t>
  </si>
  <si>
    <t xml:space="preserve">J:\BondCo\Cash\Daily Cash Working\Daily Cash Recs_JPMCB_PDFs\2025\September    </t>
  </si>
  <si>
    <t>Expense: Compensation (Admin)</t>
  </si>
  <si>
    <t>50047 - Compensation Expense (Admin)</t>
  </si>
  <si>
    <t>10310 - Other Receivables</t>
  </si>
  <si>
    <t>Fund Specific</t>
  </si>
  <si>
    <t>20000 - Accounts Payable</t>
  </si>
  <si>
    <t>Drive</t>
  </si>
  <si>
    <t>Data related to expenses like mails, invoices etx can be saved on drive which can be used to review expenses or because of sujective nature we can have manually reviewed</t>
  </si>
  <si>
    <t>Expense: Operating Partners</t>
  </si>
  <si>
    <t>50052 - Operating Partner Expense</t>
  </si>
  <si>
    <t>20001 - Accounts Payable: Audit</t>
  </si>
  <si>
    <t>Expense: Research &amp; Subscriptions</t>
  </si>
  <si>
    <t>50054 - Research &amp; Subscriptions</t>
  </si>
  <si>
    <t>20002 - Accounts Payable: Tax</t>
  </si>
  <si>
    <t>Investor Meetings and Conferences</t>
  </si>
  <si>
    <t>50057 - Investor Meetings &amp; Conferences</t>
  </si>
  <si>
    <t>20003 - Accounts Payable: Legal</t>
  </si>
  <si>
    <t>Expense: T&amp;E</t>
  </si>
  <si>
    <t>50058 - T &amp; E Expense</t>
  </si>
  <si>
    <t>Expense: Software and Systems</t>
  </si>
  <si>
    <t>50059 - Software &amp; Systems Expense</t>
  </si>
  <si>
    <t>20080 - Due To Affiliates</t>
  </si>
  <si>
    <t>Expense: Legal Fees</t>
  </si>
  <si>
    <t>50080 - Legal Fees</t>
  </si>
  <si>
    <t>30020 - Capital Contributions - Investments</t>
  </si>
  <si>
    <t xml:space="preserve">     J:\BondCo\Funds\Co-Invest &amp; Standalone Funds\2. Co-Invest Funds\14. AP Windsor Co-Invest, L.P</t>
  </si>
  <si>
    <t>Bank Statements/IVP Recon/FTP Feed/Cash Files/Capital call notices/Efront</t>
  </si>
  <si>
    <t>Audit Expense</t>
  </si>
  <si>
    <t>50090 - Audit Expense</t>
  </si>
  <si>
    <t>30040 - Capital Contributions - Operating Expenses</t>
  </si>
  <si>
    <t>Expense: Tax Expense</t>
  </si>
  <si>
    <t>50095 - Tax Expense</t>
  </si>
  <si>
    <t>30230 - Distributions - Return of Capital</t>
  </si>
  <si>
    <t>Expense: Professional Fees</t>
  </si>
  <si>
    <t>50030 - Other Professional Fees</t>
  </si>
  <si>
    <t>30250 - Distributions - Portfolio Income</t>
  </si>
  <si>
    <t>31000 - Capital Retained Earnings</t>
  </si>
  <si>
    <t>Not Required</t>
  </si>
  <si>
    <t>Misc</t>
  </si>
  <si>
    <t>50050 - Other Expenses</t>
  </si>
  <si>
    <t>39999 - Partner Transfer</t>
  </si>
  <si>
    <t>Expense: Consulting</t>
  </si>
  <si>
    <t>40010 - Interest Investment Income</t>
  </si>
  <si>
    <t>Notices</t>
  </si>
  <si>
    <t>40020 - Dividend Investment Income</t>
  </si>
  <si>
    <t>40060 - Bank Interest Income</t>
  </si>
  <si>
    <t>40230 - Unrealized Gain/Loss on Investments</t>
  </si>
  <si>
    <t>Expenses Data</t>
  </si>
  <si>
    <t>J:\BondCo\Funds\Co-Invest &amp; Standalone Funds\2. Co-Invest Funds\14. AP Windsor Co-Invest, L.P</t>
  </si>
  <si>
    <t>PeopleSoft Data</t>
  </si>
  <si>
    <t>Check the monthly PeopleSoft Data amount charged to each head</t>
  </si>
  <si>
    <t>50070 - Insurance Expense - D&amp;O</t>
  </si>
  <si>
    <t>50120 - Interest Expense</t>
  </si>
  <si>
    <t>FFHO</t>
  </si>
  <si>
    <t>Investor</t>
  </si>
  <si>
    <t>Sales Logix Investor ID</t>
  </si>
  <si>
    <t>Active or Inactive</t>
  </si>
  <si>
    <t>Capital commitment</t>
  </si>
  <si>
    <t>Investor Contributions</t>
  </si>
  <si>
    <t>Recallable less Uninvested</t>
  </si>
  <si>
    <t>Uninvested Capital (recallable)</t>
  </si>
  <si>
    <t>Recallable Distributions</t>
  </si>
  <si>
    <t>Non Recallable Distributions</t>
  </si>
  <si>
    <t>Realized Proceeds less Uninvested</t>
  </si>
  <si>
    <t>Unpaid Capital Obligation</t>
  </si>
  <si>
    <t>Portfolio Investments</t>
  </si>
  <si>
    <t>Ending Partner's Capital</t>
  </si>
  <si>
    <t xml:space="preserve">% Commitment </t>
  </si>
  <si>
    <t>% Ending NAV</t>
  </si>
  <si>
    <t>Difference</t>
  </si>
  <si>
    <t>Commitment</t>
  </si>
  <si>
    <t>Commitment Type (LP or GP)</t>
  </si>
  <si>
    <t>Uncalled Commitment</t>
  </si>
  <si>
    <t>Athene Entity 
(Yes or No)</t>
  </si>
  <si>
    <t>Athora Entity 
(Yes or No)</t>
  </si>
  <si>
    <t>Altsco ("AAA") Only 
(Yes or No)</t>
  </si>
  <si>
    <t>Apollo Only 
(Yes or No)</t>
  </si>
  <si>
    <t>Apollo Fund or SIA (Yes or No)</t>
  </si>
  <si>
    <t>Apollo Fund or SIA Acronym</t>
  </si>
  <si>
    <t>2016 Evan D. Metropoulos Trust</t>
  </si>
  <si>
    <t>A064N00000KBODWQAC</t>
  </si>
  <si>
    <t>Active</t>
  </si>
  <si>
    <t>LP</t>
  </si>
  <si>
    <t>No</t>
  </si>
  <si>
    <t>2016 J. Daren Metropoulos Trust</t>
  </si>
  <si>
    <t>A064N00000KBOI5QAK</t>
  </si>
  <si>
    <t>2016 Metropoulos Family Trust FBO J. Daren Metropoulos</t>
  </si>
  <si>
    <t>A064N00000KBP27QAC</t>
  </si>
  <si>
    <t>ACE &amp; Company SCSp SICAV-RAIF-ACE Buyout V</t>
  </si>
  <si>
    <t>A064N00000KBVNUQAS</t>
  </si>
  <si>
    <t>Amwal Investments LLC</t>
  </si>
  <si>
    <t>A064N00000KB9WWQAC</t>
  </si>
  <si>
    <t>Amwal Investments LLC - Managed Account</t>
  </si>
  <si>
    <t>A064N00000KBAAAQA4</t>
  </si>
  <si>
    <t>Anand Acharya</t>
  </si>
  <si>
    <t>A064N00000KANAWQAO</t>
  </si>
  <si>
    <t>Apollo CL Co-Invest, L.P.</t>
  </si>
  <si>
    <t>A064N00000KBOZ6QAK</t>
  </si>
  <si>
    <t>CLAL Co-Investment</t>
  </si>
  <si>
    <t>Apollo Excelsior PE Co-Invest, L.P.</t>
  </si>
  <si>
    <t>A064N00000KBOWVQAK</t>
  </si>
  <si>
    <t>Apollo Excelsior, L.P.</t>
  </si>
  <si>
    <t>Inactive</t>
  </si>
  <si>
    <t>Fund X NYC Sidecar Co-Investment</t>
  </si>
  <si>
    <t>Apollo Fund X NYC Sidecar Co-Invest, L.P</t>
  </si>
  <si>
    <t>A064N00000KBW2FQAS</t>
  </si>
  <si>
    <t>Arch Investment Holdings III Ltd.</t>
  </si>
  <si>
    <t>A064N00000KBOISQAS</t>
  </si>
  <si>
    <t>BNYH 2023PE1 LLC</t>
  </si>
  <si>
    <t>A064N00000KANDRQA4</t>
  </si>
  <si>
    <t>Board of Trustees for the Maryland State Retirement and Pension System</t>
  </si>
  <si>
    <t>A064N00000KAN9OQAG</t>
  </si>
  <si>
    <t>C. Dean Metropoulos 2015 Delaware Trust</t>
  </si>
  <si>
    <t>A064N00000KBPI5QAK</t>
  </si>
  <si>
    <t>California State Teachers' Retirement System</t>
  </si>
  <si>
    <t>A064N00000KANBUQAO</t>
  </si>
  <si>
    <t>CI Investment Partners, LLC</t>
  </si>
  <si>
    <t>A064N00000KBOQVQAS</t>
  </si>
  <si>
    <t>Corebridge DECO II, LLC</t>
  </si>
  <si>
    <t>A064N00000KBVNZQAS</t>
  </si>
  <si>
    <t>Dennis M Ellmer Revocable Trust</t>
  </si>
  <si>
    <t>A064N00000KBP6TQAS</t>
  </si>
  <si>
    <t>EJ Funds LP</t>
  </si>
  <si>
    <t>A064N00000KAN9YQAG</t>
  </si>
  <si>
    <t>Employers Reassurance Corporation</t>
  </si>
  <si>
    <t>A064N00000KBP19QAC</t>
  </si>
  <si>
    <t>ESAS PE CO-INVESTMENTS FUND III L.P.</t>
  </si>
  <si>
    <t>A06KY000000C0JKYAI</t>
  </si>
  <si>
    <t>FCM Opportunities Fund III SCS</t>
  </si>
  <si>
    <t>A064N00000KBVNPQAS</t>
  </si>
  <si>
    <t>Flagstone Capital LLC</t>
  </si>
  <si>
    <t>A064N00000KAN9TQAG</t>
  </si>
  <si>
    <t>GF GW LLC</t>
  </si>
  <si>
    <t>A064N00000KBDW7QAG</t>
  </si>
  <si>
    <t>GIM Investment PCC Limited - Chemical Cell</t>
  </si>
  <si>
    <t>A064N00000KBDMMQAW</t>
  </si>
  <si>
    <t>Green Birch Investments LLC</t>
  </si>
  <si>
    <t>A064N00000KANB6QAO</t>
  </si>
  <si>
    <t>iCapital - AP Windsor Co-Invest Access Fund, L.P. (MS)</t>
  </si>
  <si>
    <t>A064N00000KRSIRQAC</t>
  </si>
  <si>
    <t>iCapital - AP Windsor Co-Invest Access Fund, L.P. (PS)</t>
  </si>
  <si>
    <t>A064N00000KRSBWQAC</t>
  </si>
  <si>
    <t>Impact Capital Management, LLC</t>
  </si>
  <si>
    <t>A064N00000KBPSAQAK</t>
  </si>
  <si>
    <t>Jesse P. Waltz</t>
  </si>
  <si>
    <t>A064N00000KB5SSQAC</t>
  </si>
  <si>
    <t>Kayhan Mirza 2021 Family Trust</t>
  </si>
  <si>
    <t>A064N00000KBV4KQAW</t>
  </si>
  <si>
    <t>Korea Investment Corporation for the Ministry of Economy and Finance</t>
  </si>
  <si>
    <t>A064N00000KBZMXQA0</t>
  </si>
  <si>
    <t>Lexington Co-Investment Holdings V, L.P.</t>
  </si>
  <si>
    <t>A064N00000KANBQQA4</t>
  </si>
  <si>
    <t>Markwood Member LLC</t>
  </si>
  <si>
    <t>A064N00000KANAMQAO</t>
  </si>
  <si>
    <t>Martini Enterprises Group Ltd.</t>
  </si>
  <si>
    <t>A064N00000KBVQOQAS</t>
  </si>
  <si>
    <t>MI Partners 2023 LP</t>
  </si>
  <si>
    <t>A064N00000KBAAFQA4</t>
  </si>
  <si>
    <t>Paxton Investments Pte. Ltd.</t>
  </si>
  <si>
    <t>A064N00000KAN95QAG</t>
  </si>
  <si>
    <t>QIA Industrials Holding LLC</t>
  </si>
  <si>
    <t>A064N00000KSYITQAC</t>
  </si>
  <si>
    <t>Red Oak Investments III LLC</t>
  </si>
  <si>
    <t>A064N00000KANBVQA4</t>
  </si>
  <si>
    <t>SJ Opportunity Fund, LLC</t>
  </si>
  <si>
    <t>A064N00000KBPAPQAK</t>
  </si>
  <si>
    <t>SoLu Malta Limited</t>
  </si>
  <si>
    <t>A064N00000KBOCEQAC</t>
  </si>
  <si>
    <t>The 2016 Metropoulos Family Trust FBO Evan</t>
  </si>
  <si>
    <t>A064N00000KBPKUQAK</t>
  </si>
  <si>
    <t>Towson Investments, LLC</t>
  </si>
  <si>
    <t>A064N00000KAN8VQAG</t>
  </si>
  <si>
    <t>TSW Investments LLC</t>
  </si>
  <si>
    <t>A064N00000KAN9EQAG</t>
  </si>
  <si>
    <t>Varma Mutual Pension Insurance Company</t>
  </si>
  <si>
    <t>A064N00000KB6AQQAS</t>
  </si>
  <si>
    <t>VB PTC Establishment as Trustee of Gersec Trust</t>
  </si>
  <si>
    <t>A064N00000KANDCQA4</t>
  </si>
  <si>
    <t>Vista Investments SCS</t>
  </si>
  <si>
    <t>A064N00000KBVODQAS</t>
  </si>
  <si>
    <t>Wansbeck Trade Corp.</t>
  </si>
  <si>
    <t>A064N00000KBAITQA4</t>
  </si>
  <si>
    <t>White Gate Investments LLC</t>
  </si>
  <si>
    <t>A064N00000KANCIQAO</t>
  </si>
  <si>
    <t>Wood Hollow Investments, LLC</t>
  </si>
  <si>
    <t>A064N00000KANCDQAO</t>
  </si>
  <si>
    <t>Investment</t>
  </si>
  <si>
    <t>Position</t>
  </si>
  <si>
    <t># Shares Held</t>
  </si>
  <si>
    <t>Cost @ #BeginDate#</t>
  </si>
  <si>
    <t>FV @ #BeginDate#</t>
  </si>
  <si>
    <t>Cost @ #EndDate#</t>
  </si>
  <si>
    <t>FMV @ #EndDate#</t>
  </si>
  <si>
    <t>Windsor Parent, L.P</t>
  </si>
  <si>
    <t>Univar (Common Equity)</t>
  </si>
  <si>
    <t>Univar (Preferred)</t>
  </si>
  <si>
    <t>GL Date</t>
  </si>
  <si>
    <t>Trans Type</t>
  </si>
  <si>
    <t>GL Account</t>
  </si>
  <si>
    <t>Dr/(Cr) amount</t>
  </si>
  <si>
    <t>iFlow: Cash Expense</t>
  </si>
  <si>
    <t>Investor Commitments</t>
  </si>
  <si>
    <t>User Provided</t>
  </si>
  <si>
    <t>Capital Contributions: Investments</t>
  </si>
  <si>
    <t>Capital Contributions: Operating Expenses</t>
  </si>
  <si>
    <t>Commitment (GL Date)</t>
  </si>
  <si>
    <t>Cash Received: Chase Custody</t>
  </si>
  <si>
    <t>Non-Dominant</t>
  </si>
  <si>
    <t>Cash Disbursed: Chase Custody</t>
  </si>
  <si>
    <t>Income: Bank Interest - Cash</t>
  </si>
  <si>
    <t>Commitment (Dated)</t>
  </si>
  <si>
    <t>Payable: Other</t>
  </si>
  <si>
    <t>Purchase: Investment</t>
  </si>
  <si>
    <t>Unfunded Commitment (Dated)</t>
  </si>
  <si>
    <t>Distributions - Return of Capital - Uninvested Capital (Recallable)</t>
  </si>
  <si>
    <t>Memo: Cost of Carry - Credit</t>
  </si>
  <si>
    <t>Expense: Other</t>
  </si>
  <si>
    <t>Due To: Affiliates</t>
  </si>
  <si>
    <t>Expense: Audit Expense</t>
  </si>
  <si>
    <t>Expense: Insurance D&amp;O</t>
  </si>
  <si>
    <t>Memo: SCPC Rounding (Other Operating Expenses)</t>
  </si>
  <si>
    <t>Memo: SOI Rounding (Other Assets)</t>
  </si>
  <si>
    <t>Payable: Audit</t>
  </si>
  <si>
    <t>Payable: Bank/Custody Fees</t>
  </si>
  <si>
    <t>Payable: Legal</t>
  </si>
  <si>
    <t>Payable: Tax</t>
  </si>
  <si>
    <t>Receivable: Bank Interest - Noncash</t>
  </si>
  <si>
    <t>Income: Investment Interest - Cash</t>
  </si>
  <si>
    <t>Investment Cost Basis (Deal &amp; Position) (GL Date)</t>
  </si>
  <si>
    <t>Return of Capital: Cash</t>
  </si>
  <si>
    <t>Distributions - Income (Non-Recallable)</t>
  </si>
  <si>
    <t>Distributions - Return of Capital - (Non-Recallable)</t>
  </si>
  <si>
    <t>Expense: Compensation</t>
  </si>
  <si>
    <t>Fiscal Year Close</t>
  </si>
  <si>
    <t>Fiscal Year End Close (Allocated)</t>
  </si>
  <si>
    <t>Investment: Unrealized Gain</t>
  </si>
  <si>
    <t>Unrealized Gain: Investments</t>
  </si>
  <si>
    <t>Expense: Tax fee</t>
  </si>
  <si>
    <t>Income: Dividend - Cash</t>
  </si>
  <si>
    <t>Memo: Estimated Taxable Income</t>
  </si>
  <si>
    <t>Memo: FDAP Withholding Tax On Dividend Income</t>
  </si>
  <si>
    <t>Memo: FDAP Withholding Tax Rate For Dividend Income</t>
  </si>
  <si>
    <t>Net Contributed Capital (GL Date)</t>
  </si>
  <si>
    <t>Payable: Comp</t>
  </si>
  <si>
    <t>Payable: D&amp;O</t>
  </si>
  <si>
    <t>Expense: Misc Fee Expense</t>
  </si>
  <si>
    <t>Receivable: Other</t>
  </si>
  <si>
    <t>Expense: Credit Facility Unused Fee</t>
  </si>
  <si>
    <t>50046 - Consulting Expense</t>
  </si>
  <si>
    <t>Expense: Investor Meetings &amp; Conferences</t>
  </si>
  <si>
    <t>Expense: Software &amp; Systems</t>
  </si>
  <si>
    <t>Vehicle</t>
  </si>
  <si>
    <t xml:space="preserve">Classification </t>
  </si>
  <si>
    <t>Status</t>
  </si>
  <si>
    <t>AP WINDSOR CO-INVEST, L.P.</t>
  </si>
  <si>
    <t>Beginning Partner's Capital #BeginDate#</t>
  </si>
  <si>
    <t>Total Contributions</t>
  </si>
  <si>
    <t>Distributions</t>
  </si>
  <si>
    <t>Interest Income</t>
  </si>
  <si>
    <t>Dividend Income</t>
  </si>
  <si>
    <t>Other Income</t>
  </si>
  <si>
    <t>Management Fee Expense</t>
  </si>
  <si>
    <t>Professional fees and other operating expenses</t>
  </si>
  <si>
    <t>Net Investment Income/(loss)</t>
  </si>
  <si>
    <t>Net Realized Gain Loss</t>
  </si>
  <si>
    <t>Net Unrealized Gain Loss</t>
  </si>
  <si>
    <t>Net Realized &amp; Unrealized GL</t>
  </si>
  <si>
    <t>Ending Partner's Capital #End Date#</t>
  </si>
  <si>
    <t>Investor Commitment</t>
  </si>
  <si>
    <t>LTD Contributions</t>
  </si>
  <si>
    <t>LTD Recallable Distriubtions</t>
  </si>
  <si>
    <t>LTD NonRecallable Distirbutions</t>
  </si>
  <si>
    <t>Unfunded Commitment @ #End Date#</t>
  </si>
  <si>
    <t>Investor level</t>
  </si>
  <si>
    <t>Investment level</t>
  </si>
  <si>
    <t>Sum of Dr/(Cr) amount</t>
  </si>
  <si>
    <t>Total</t>
  </si>
  <si>
    <t>Partners Capital Balance</t>
  </si>
  <si>
    <t>Keep Outside - Since numbere of Co-invest is large better to review all instaed one by one</t>
  </si>
  <si>
    <t>Cost @ 1/1/2022</t>
  </si>
  <si>
    <t>FV @ 1/1/2022</t>
  </si>
  <si>
    <t>Purchases</t>
  </si>
  <si>
    <t>Total Return of Capital</t>
  </si>
  <si>
    <t>Investment Interest Income</t>
  </si>
  <si>
    <t>Investment Dividend Income</t>
  </si>
  <si>
    <t>Realized Gain/(Loss)</t>
  </si>
  <si>
    <t xml:space="preserve">Total Realized </t>
  </si>
  <si>
    <t>Unrealized Gains/(Losses)</t>
  </si>
  <si>
    <t>Cost @ 9/30/2025</t>
  </si>
  <si>
    <t>FMV @ 9/30/2025</t>
  </si>
  <si>
    <t>Total Value</t>
  </si>
  <si>
    <t>Gross Realized MOIC</t>
  </si>
  <si>
    <t>Gross MOIC</t>
  </si>
  <si>
    <t>Gross IRR</t>
  </si>
  <si>
    <t>Bank Cash Account Reconciliation</t>
  </si>
  <si>
    <t>Column2</t>
  </si>
  <si>
    <t>Column3</t>
  </si>
  <si>
    <t>Column7</t>
  </si>
  <si>
    <t>AP Windsor Co-Invest S, L.P. Daily Cash File_updated format</t>
  </si>
  <si>
    <t>Date</t>
  </si>
  <si>
    <t>Account #</t>
  </si>
  <si>
    <t>Transaction Type</t>
  </si>
  <si>
    <t>Currency</t>
  </si>
  <si>
    <t>Cash Flow</t>
  </si>
  <si>
    <t>Quarter Close</t>
  </si>
  <si>
    <t>S 18088</t>
  </si>
  <si>
    <t>Capital Contribution</t>
  </si>
  <si>
    <t>USD</t>
  </si>
  <si>
    <t>Purchase of Investment</t>
  </si>
  <si>
    <t xml:space="preserve">Bank Interest </t>
  </si>
  <si>
    <t>Internal Transfer</t>
  </si>
  <si>
    <t>Capital Distribution</t>
  </si>
  <si>
    <t>Expense</t>
  </si>
  <si>
    <t>Tax Withholding</t>
  </si>
  <si>
    <t>Cash Advance</t>
  </si>
  <si>
    <t>Quaterly</t>
  </si>
  <si>
    <t>People Soft Expense Code</t>
  </si>
  <si>
    <t>Amount</t>
  </si>
  <si>
    <t>Quarter 1 2025</t>
  </si>
  <si>
    <t>Expense: Investor Meetings and Conferences</t>
  </si>
  <si>
    <t>Quarter 2 2025</t>
  </si>
  <si>
    <t>Bank Statement</t>
  </si>
  <si>
    <t>IVP Recon</t>
  </si>
  <si>
    <t>Mail</t>
  </si>
  <si>
    <t>pue2vpmap24.APOLLOLP.COM</t>
  </si>
  <si>
    <t>VPM111</t>
  </si>
  <si>
    <t>Windows</t>
  </si>
  <si>
    <r>
      <t xml:space="preserve"> Environment: </t>
    </r>
    <r>
      <rPr>
        <sz val="11"/>
        <color theme="1"/>
        <rFont val="Calibri"/>
        <family val="2"/>
        <scheme val="minor"/>
      </rPr>
      <t>v24PRD</t>
    </r>
    <r>
      <rPr>
        <b/>
        <sz val="11"/>
        <color theme="1"/>
        <rFont val="Calibri"/>
        <family val="2"/>
        <scheme val="minor"/>
      </rPr>
      <t xml:space="preserve">      Report: </t>
    </r>
    <r>
      <rPr>
        <sz val="11"/>
        <color theme="1"/>
        <rFont val="Calibri"/>
        <family val="2"/>
        <scheme val="minor"/>
      </rPr>
      <t>Net Asset Value Analysis Report</t>
    </r>
    <r>
      <rPr>
        <b/>
        <sz val="11"/>
        <color theme="1"/>
        <rFont val="Calibri"/>
        <family val="2"/>
        <scheme val="minor"/>
      </rPr>
      <t xml:space="preserve">      ID: </t>
    </r>
    <r>
      <rPr>
        <sz val="11"/>
        <color theme="1"/>
        <rFont val="Calibri"/>
        <family val="2"/>
        <scheme val="minor"/>
      </rPr>
      <t>1</t>
    </r>
  </si>
  <si>
    <t>GroupOne</t>
  </si>
  <si>
    <t>GroupTwo</t>
  </si>
  <si>
    <t>Fund</t>
  </si>
  <si>
    <t>AccountNumber</t>
  </si>
  <si>
    <t>AccountGroupName</t>
  </si>
  <si>
    <t>AccountName</t>
  </si>
  <si>
    <t>GeneralLedgerAccountId</t>
  </si>
  <si>
    <t>AccountGroupId</t>
  </si>
  <si>
    <t>BeginBalance</t>
  </si>
  <si>
    <t>EndBalance</t>
  </si>
  <si>
    <t>BalanceChange</t>
  </si>
  <si>
    <t>RE</t>
  </si>
  <si>
    <t>CustomLevelOne</t>
  </si>
  <si>
    <t>CustomLevelTwo</t>
  </si>
  <si>
    <t>CustomLevelThree</t>
  </si>
  <si>
    <t>CustomLevelFour</t>
  </si>
  <si>
    <t>Asset/Liability</t>
  </si>
  <si>
    <t>Asset</t>
  </si>
  <si>
    <t>APWIN</t>
  </si>
  <si>
    <t/>
  </si>
  <si>
    <t>Settled Inventory Cost Basis</t>
  </si>
  <si>
    <t>Unrealized Security Inventory Value</t>
  </si>
  <si>
    <t>Other Receivables</t>
  </si>
  <si>
    <t>Liability</t>
  </si>
  <si>
    <t>Other Payables</t>
  </si>
  <si>
    <t>Middle Office Expense Payable</t>
  </si>
  <si>
    <t>Custody / Trustee Fee Payable</t>
  </si>
  <si>
    <t>Audit Fee Payable</t>
  </si>
  <si>
    <t>Tax Services Fee Payable</t>
  </si>
  <si>
    <t>Income/Expense/Shareholder's Equity</t>
  </si>
  <si>
    <t>Income/Expense</t>
  </si>
  <si>
    <t>Unrealized Inventory Security Gain/Loss</t>
  </si>
  <si>
    <t>Margin Interest</t>
  </si>
  <si>
    <t>Dividends</t>
  </si>
  <si>
    <t>Tax Services Fee</t>
  </si>
  <si>
    <t>Legal Fee</t>
  </si>
  <si>
    <t>Professional Fees</t>
  </si>
  <si>
    <t>Software Fee</t>
  </si>
  <si>
    <t>Research/Rating Agency Fees</t>
  </si>
  <si>
    <t>Other Income/Expense</t>
  </si>
  <si>
    <t>Valuation fee</t>
  </si>
  <si>
    <t>Deal/Operating Partners Expense Inc/Exp</t>
  </si>
  <si>
    <t>T&amp;E Expense</t>
  </si>
  <si>
    <t>Consulting Fee</t>
  </si>
  <si>
    <t>Credit Facility Fee</t>
  </si>
  <si>
    <t>Audit Fee</t>
  </si>
  <si>
    <t>Compensation &amp; Overhead Expense</t>
  </si>
  <si>
    <t>Insurance Expense</t>
  </si>
  <si>
    <t>Research Fee</t>
  </si>
  <si>
    <t>Middle Office Expense</t>
  </si>
  <si>
    <t>Misc Expense</t>
  </si>
  <si>
    <t>Custody / Trustee Fee</t>
  </si>
  <si>
    <t>tax fees</t>
  </si>
  <si>
    <t>Shareholder's Equity</t>
  </si>
  <si>
    <t>Owners Equity</t>
  </si>
  <si>
    <t>Retained Earnings</t>
  </si>
  <si>
    <t>Owner Equity - Dividend Distribution</t>
  </si>
  <si>
    <t>Capital Distributed</t>
  </si>
  <si>
    <r>
      <t xml:space="preserve"> Environment: </t>
    </r>
    <r>
      <rPr>
        <sz val="11"/>
        <color theme="1"/>
        <rFont val="Calibri"/>
        <family val="2"/>
        <scheme val="minor"/>
      </rPr>
      <t>v24PRD</t>
    </r>
    <r>
      <rPr>
        <b/>
        <sz val="11"/>
        <color theme="1"/>
        <rFont val="Calibri"/>
        <family val="2"/>
        <scheme val="minor"/>
      </rPr>
      <t xml:space="preserve">      Report: </t>
    </r>
    <r>
      <rPr>
        <sz val="11"/>
        <color theme="1"/>
        <rFont val="Calibri"/>
        <family val="2"/>
        <scheme val="minor"/>
      </rPr>
      <t>Portfolio Appraisal Report</t>
    </r>
    <r>
      <rPr>
        <b/>
        <sz val="11"/>
        <color theme="1"/>
        <rFont val="Calibri"/>
        <family val="2"/>
        <scheme val="minor"/>
      </rPr>
      <t xml:space="preserve">      ID: </t>
    </r>
    <r>
      <rPr>
        <sz val="11"/>
        <color theme="1"/>
        <rFont val="Calibri"/>
        <family val="2"/>
        <scheme val="minor"/>
      </rPr>
      <t>2</t>
    </r>
  </si>
  <si>
    <t>SymbolId</t>
  </si>
  <si>
    <t>SymbolCode</t>
  </si>
  <si>
    <t>SymbolDescription</t>
  </si>
  <si>
    <t>SymbolFlag</t>
  </si>
  <si>
    <t>SecurityTypeRuleCode</t>
  </si>
  <si>
    <t>DealTypeCode</t>
  </si>
  <si>
    <t>CurrencyCode</t>
  </si>
  <si>
    <t>PositionDirection</t>
  </si>
  <si>
    <t>FirstTradeDate</t>
  </si>
  <si>
    <t>Quantity</t>
  </si>
  <si>
    <t>TotalCost</t>
  </si>
  <si>
    <t>Cost</t>
  </si>
  <si>
    <t>MarketValue</t>
  </si>
  <si>
    <t>MarketPrice</t>
  </si>
  <si>
    <t>UnrealizedInventoryValue</t>
  </si>
  <si>
    <t>Accruals</t>
  </si>
  <si>
    <t>PercentageOfAssets</t>
  </si>
  <si>
    <t>PercentageGainLoss</t>
  </si>
  <si>
    <t>UnfundedAmount</t>
  </si>
  <si>
    <t>EndingNAV</t>
  </si>
  <si>
    <t>GroupThree</t>
  </si>
  <si>
    <t>GroupFour</t>
  </si>
  <si>
    <t>DisplayOrder</t>
  </si>
  <si>
    <t>FundedAmount</t>
  </si>
  <si>
    <t>PctFunded</t>
  </si>
  <si>
    <t>WINDSOR PARENT LP COMMON UNITS</t>
  </si>
  <si>
    <t>EQ</t>
  </si>
  <si>
    <t>Long</t>
  </si>
  <si>
    <t>Windsor Parent, L.P.</t>
  </si>
  <si>
    <t>Equity Unit</t>
  </si>
  <si>
    <t>DIST-UNCE</t>
  </si>
  <si>
    <t>WINDSOR PARENT LP PREFERRED UNITS</t>
  </si>
  <si>
    <t>Preferred Stocks</t>
  </si>
  <si>
    <t>DIST-UNPE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</si>
</sst>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;@"/>
    <numFmt numFmtId="165" formatCode="_(* #,##0.0_);_(* \(#,##0.0\);_(* &quot;-&quot;??_);_(@_)"/>
    <numFmt numFmtId="166" formatCode="0.0_);\(0.0\)"/>
    <numFmt numFmtId="167" formatCode="#,##0.0\x_)_);\(#,##0.0\x\)_);#,##0.0\x_)_);@_%_)"/>
    <numFmt numFmtId="168" formatCode="mm/dd/yy"/>
    <numFmt numFmtId="169" formatCode="&quot;$&quot;#,##0.0000"/>
    <numFmt numFmtId="170" formatCode="#,##0\ \ \ ;[Red]\(#,##0\)\ \ ;\—\ \ \ \ "/>
    <numFmt numFmtId="171" formatCode="_([$€-2]* #,##0.00_);_([$€-2]* \(#,##0.00\);_([$€-2]* &quot;-&quot;??_)"/>
    <numFmt numFmtId="172" formatCode=";;;"/>
    <numFmt numFmtId="173" formatCode="#,##0.0_);[Red]\(#,##0.0\)"/>
    <numFmt numFmtId="174" formatCode="_(* #,##0.0%_);_(* \(#,##0.0%\);_(* &quot;--- %&quot;_);_(* @_%_)"/>
    <numFmt numFmtId="175" formatCode="mmmm\ d\,\ yyyy"/>
    <numFmt numFmtId="176" formatCode="_(&quot;$&quot;* #,##0.0_);_(&quot;$&quot;* \(#,##0.0\);_(&quot;$&quot;* &quot;-&quot;_);_(@_)"/>
    <numFmt numFmtId="177" formatCode="0.0_)\%;\(0.0\)\%;0.0_)\%;@_)_%"/>
    <numFmt numFmtId="178" formatCode="_(* #,##0_);_(* \(#,##0\);_(* &quot;-&quot;?_);_(@_)"/>
    <numFmt numFmtId="179" formatCode="#,##0.0_)_%;\(#,##0.0\)_%;0.0_)_%;@_)_%"/>
    <numFmt numFmtId="180" formatCode="0.0%_);\(0.0%\)"/>
    <numFmt numFmtId="181" formatCode="#,##0.0_);\(#,##0.0\)"/>
    <numFmt numFmtId="182" formatCode=";;;@*."/>
    <numFmt numFmtId="183" formatCode="&quot;$&quot;_(#,##0.00_);&quot;$&quot;\(#,##0.00\)"/>
    <numFmt numFmtId="184" formatCode="#,##0.0_)\x;\(#,##0.0\)\x"/>
    <numFmt numFmtId="185" formatCode="#,##0.0_)_x;\(#,##0.0\)_x"/>
    <numFmt numFmtId="186" formatCode="0.0_)\%;\(0.0\)\%"/>
    <numFmt numFmtId="187" formatCode="#,##0.0_)_%;\(#,##0.0\)_%"/>
    <numFmt numFmtId="188" formatCode="_(&quot;$&quot;* #,##0.00_);_(&quot;$&quot;* \(#,##0.00\);_(&quot;$&quot;* &quot;-&quot;_);_(@_)"/>
    <numFmt numFmtId="189" formatCode="_(* #,##0.0\¢_m;[Red]_(* \-#,##0.0\¢_m;[Green]_(* 0.0\¢_m;_(@_)_%"/>
    <numFmt numFmtId="190" formatCode="_(* #,##0.00\¢_m;[Red]_(* \-#,##0.00\¢_m;[Green]_(* 0.00\¢_m;_(@_)_%"/>
    <numFmt numFmtId="191" formatCode="_(* #,##0.000\¢_m;[Red]_(* \-#,##0.000\¢_m;[Green]_(* 0.000\¢_m;_(@_)_%"/>
    <numFmt numFmtId="192" formatCode="\£\ #,##0_);[Red]\(\£\ #,##0\)"/>
    <numFmt numFmtId="193" formatCode="_(_(\£* #,##0_)_%;[Red]_(\(\£* #,##0\)_%;[Green]_(_(\£* #,##0_)_%;_(@_)_%"/>
    <numFmt numFmtId="194" formatCode="_(_(\£* #,##0.0_)_%;[Red]_(\(\£* #,##0.0\)_%;[Green]_(_(\£* #,##0.0_)_%;_(@_)_%"/>
    <numFmt numFmtId="195" formatCode="_(_(\£* #,##0.00_)_%;[Red]_(\(\£* #,##0.00\)_%;[Green]_(_(\£* #,##0.00_)_%;_(@_)_%"/>
    <numFmt numFmtId="196" formatCode="\¥\ #,##0_);[Red]\(\¥\ #,##0\)"/>
    <numFmt numFmtId="197" formatCode="0_)"/>
    <numFmt numFmtId="198" formatCode="0.0"/>
    <numFmt numFmtId="199" formatCode="0.0%"/>
    <numFmt numFmtId="200" formatCode="_(* #,##0_);_(* \(#,##0\);_(* #,##0_);_(@_)"/>
    <numFmt numFmtId="201" formatCode="_(* #,##0.00_);_(* \(#,##0.00\);_(* #,##0.00_);_(@_)"/>
    <numFmt numFmtId="202" formatCode="_(* #,##0.000_);_(* \(#,##0.000\);_(* #,##0.000_);_(@_)"/>
    <numFmt numFmtId="203" formatCode="_(* #,##0.0_);_(* \(#,##0.0\);_(* &quot;--- &quot;_)"/>
    <numFmt numFmtId="204" formatCode="_(&quot;$&quot;* #,##0.0_);_(&quot;$&quot;* \(#,##0.0\);_(&quot;$&quot;* &quot;--- &quot;_)"/>
    <numFmt numFmtId="205" formatCode="General_)"/>
    <numFmt numFmtId="206" formatCode="0.000000000000000%"/>
    <numFmt numFmtId="207" formatCode="&quot;$&quot;#,##0.0_);\(&quot;$&quot;#,##0.0\)"/>
    <numFmt numFmtId="208" formatCode="&quot;$&quot;0.00\ \ \ _);\(&quot;$&quot;0.00\)\ \ \ "/>
    <numFmt numFmtId="209" formatCode="0.0;\(0.0\)"/>
    <numFmt numFmtId="210" formatCode="\ * #,##0\ ;\ * \(#,##0\);\ * &quot;-&quot;\ \ \ ;* \ @\ "/>
    <numFmt numFmtId="211" formatCode="&quot;$&quot;&quot; &quot;#,##0_);\(&quot;$&quot;&quot; &quot;#,##0\);\-_)"/>
    <numFmt numFmtId="212" formatCode="#,##0_);\(#,##0\);\-_)"/>
    <numFmt numFmtId="213" formatCode="&quot;$&quot;&quot; &quot;#,##0.00_);\(&quot;$&quot;&quot; &quot;#,##0.00\);\-_)"/>
    <numFmt numFmtId="214" formatCode="&quot;€&quot;#,##0_);[Red]\(&quot;€&quot;#,##0\);&quot;-&quot;"/>
    <numFmt numFmtId="215" formatCode="[Blue]#,##0.000_);[Blue]\(#,##0.000\)"/>
    <numFmt numFmtId="216" formatCode="[Blue]&quot;$&quot;#,##0.000_);[Blue]\(&quot;$&quot;#,##0.000\)"/>
    <numFmt numFmtId="217" formatCode="&quot;$&quot;#,##0.00000_);\(&quot;$&quot;#,##0.00000\)"/>
    <numFmt numFmtId="218" formatCode="#,##0.000000_);\(#,##0.000000\)"/>
    <numFmt numFmtId="219" formatCode="&quot;$&quot;#,##0.0000_);\(&quot;$&quot;#,##0.0000\)"/>
    <numFmt numFmtId="220" formatCode="#,##0\ ;\(#,##0\);\-\ \ \ \ \ "/>
    <numFmt numFmtId="221" formatCode="#,##0\ ;\(#,##0\);\–\ \ \ \ \ "/>
    <numFmt numFmtId="222" formatCode="_(* #,##0.0_);_(* \(#,##0.0\);_(* &quot;-&quot;?_);_(@_)"/>
    <numFmt numFmtId="223" formatCode="\£#,##0_);\(\£#,##0\)"/>
    <numFmt numFmtId="224" formatCode="0%_);\(0%\)"/>
    <numFmt numFmtId="225" formatCode="#,##0.0000;\-#,##0.0000"/>
    <numFmt numFmtId="226" formatCode="#,##0.00;\-#,##0.00"/>
    <numFmt numFmtId="227" formatCode="_-* #,##0.00_-;\-* #,##0.00_-;_-* &quot;-&quot;??_-;_-@_-"/>
    <numFmt numFmtId="228" formatCode="&quot;$&quot;#,##0.00"/>
    <numFmt numFmtId="229" formatCode="#,##0\ &quot;days&quot;"/>
    <numFmt numFmtId="230" formatCode="0.0%;\(0.0%\)"/>
    <numFmt numFmtId="231" formatCode="0.00_)"/>
    <numFmt numFmtId="232" formatCode=";;;@"/>
    <numFmt numFmtId="233" formatCode="&quot;$&quot;#,##0.0_%_);\(&quot;$&quot;#,##0.0\)_%;&quot;$&quot;#,##0.0_%_);@_%_)"/>
    <numFmt numFmtId="234" formatCode="0.000_)"/>
    <numFmt numFmtId="235" formatCode="#,##0.0"/>
    <numFmt numFmtId="236" formatCode="#,##0_)_%;\(#,##0\)_%;"/>
    <numFmt numFmtId="237" formatCode="_-* \(#,##0\);_-* #,##0_-;_-* &quot;-     &quot;_-;_-@_-"/>
    <numFmt numFmtId="238" formatCode="_(* #,##0_);_(* \(#,##0\);_(* &quot;-     &quot;_);_(@_)"/>
    <numFmt numFmtId="239" formatCode="#,##0.000000;\-#,##0.000000"/>
    <numFmt numFmtId="240" formatCode="_._._(* 0_)%;_._.* \(0\)%"/>
    <numFmt numFmtId="241" formatCode="0.0000_);\(0.0000\);0.0000_)"/>
    <numFmt numFmtId="242" formatCode="#,##0.000;\-#,##0.000"/>
    <numFmt numFmtId="243" formatCode="#,##0_%_);\(#,##0\)_%;#,##0_%_);@_%_)"/>
    <numFmt numFmtId="244" formatCode="_._.* #,##0.0_)_%;_._.* \(#,##0.0\)_%"/>
    <numFmt numFmtId="245" formatCode="#,##0.0_)_%;\(#,##0.0\)_%;\ \ .0_)_%"/>
    <numFmt numFmtId="246" formatCode="#,##0.0_);\(#,##0.0\);"/>
    <numFmt numFmtId="247" formatCode="_._.* #,##0.00_)_%;_._.* \(#,##0.00\)_%"/>
    <numFmt numFmtId="248" formatCode="#,##0.00_)_%;\(#,##0.00\)_%;\ \ .00_)_%"/>
    <numFmt numFmtId="249" formatCode="#,##0.00_);\(#,##0.00\);"/>
    <numFmt numFmtId="250" formatCode="_._.* #,##0.000_)_%;_._.* \(#,##0.000\)_%"/>
    <numFmt numFmtId="251" formatCode="#,##0.000_)_%;\(#,##0.000\)_%;\ \ .000_)_%"/>
    <numFmt numFmtId="252" formatCode="#,##0.000_);\(#,##0.000\);"/>
    <numFmt numFmtId="253" formatCode="_._.* #,##0.0000_)_%;_._.* \(#,##0.0000\)_%"/>
    <numFmt numFmtId="254" formatCode="#,##0.000_);\(#,##0.000\)"/>
    <numFmt numFmtId="255" formatCode="#,##0.00_%_);\(#,##0.00\)_%;#,##0.00_%_);@_%_)"/>
    <numFmt numFmtId="256" formatCode="&quot;$&quot;\ #,##0.00;[Red]&quot;$&quot;\ \-#,##0.00"/>
    <numFmt numFmtId="257" formatCode="_._._(* 0.0000_)%;_._.* \(0.0000\)%"/>
    <numFmt numFmtId="258" formatCode="_._.* \(#,##0\)_%;_._.* #,##0_)_%;_._.* 0_)_%;_._.@_)_%"/>
    <numFmt numFmtId="259" formatCode="\(#,##0\)_%;#,##0_)_%;"/>
    <numFmt numFmtId="260" formatCode="\(#,##0.0\);#,##0.0_);"/>
    <numFmt numFmtId="261" formatCode="\(#,##0.0\)_%;#,##0.0_)_%;"/>
    <numFmt numFmtId="262" formatCode="\(#,##0.00\);#,##0.00_);"/>
    <numFmt numFmtId="263" formatCode="\(#,##0.00\)_%;#,##0.00_)_%;"/>
    <numFmt numFmtId="264" formatCode="\(#,##0.000\);#,##0.000_);"/>
    <numFmt numFmtId="265" formatCode="\(#,##0.000\)_%;#,##0.000_)_%;"/>
    <numFmt numFmtId="266" formatCode="\(#,##0\);#,##0_);&quot;-&quot;??_)"/>
    <numFmt numFmtId="267" formatCode="_._.&quot;$&quot;* \(#,##0\)_%;_._.&quot;$&quot;* #,##0_)_%;_._.&quot;$&quot;* 0_)_%;_._.@_)_%"/>
    <numFmt numFmtId="268" formatCode="&quot;$&quot;* \(#,##0\)_%;&quot;$&quot;* #,##0_)_%;&quot;$&quot;* &quot;-&quot;??_)_%;@_)_%"/>
    <numFmt numFmtId="269" formatCode="&quot;$&quot;* \(#,##0.0\);&quot;$&quot;* #,##0.0_);&quot;$&quot;* &quot;-&quot;??_);@_)"/>
    <numFmt numFmtId="270" formatCode="&quot;$&quot;* \(#,##0.0\)_%;&quot;$&quot;* #,##0.0_)_%;&quot;$&quot;* &quot;-&quot;??_)_%;@_)_%"/>
    <numFmt numFmtId="271" formatCode="&quot;$&quot;* \(#,##0.00\);&quot;$&quot;* #,##0.00_);&quot;$&quot;* &quot;-&quot;??_);@_)"/>
    <numFmt numFmtId="272" formatCode="&quot;$&quot;* \(#,##0.00\)_%;&quot;$&quot;* #,##0.00_)_%;&quot;$&quot;* &quot;-&quot;??_)_%;@_)_%"/>
    <numFmt numFmtId="273" formatCode="&quot;$&quot;* \(#,##0.000\);&quot;$&quot;* #,##0.000_);&quot;$&quot;* &quot;-&quot;??_);@_)"/>
    <numFmt numFmtId="274" formatCode="&quot;$&quot;* \(#,##0.000\)_%;&quot;$&quot;* #,##0.000_)_%;&quot;$&quot;* &quot;-&quot;??_)_%;@_)_%"/>
    <numFmt numFmtId="275" formatCode="&quot;$&quot;* \(#,##0\);&quot;$&quot;* #,##0_);&quot;$&quot;* &quot;-&quot;??_);@_)"/>
    <numFmt numFmtId="276" formatCode="\-0%;0%"/>
    <numFmt numFmtId="277" formatCode="\(0\)%;0_)%"/>
    <numFmt numFmtId="278" formatCode="\(0.0\)%;0.0_)%"/>
    <numFmt numFmtId="279" formatCode="\(0.00\)%;0.00_)%"/>
    <numFmt numFmtId="280" formatCode="\(0.000\)%;0.000_)%"/>
    <numFmt numFmtId="281" formatCode="* \(#,##0\);* #,##0_);&quot;-&quot;??_);@"/>
    <numFmt numFmtId="282" formatCode="0_)%;\(0\)%"/>
    <numFmt numFmtId="283" formatCode="0.00_);\(0.00\);0.00"/>
    <numFmt numFmtId="284" formatCode="&quot;$&quot;* #,##0_)_%;&quot;$&quot;* \(#,##0\)_%;&quot;$&quot;* &quot;-&quot;??_)_%;@_)_%"/>
    <numFmt numFmtId="285" formatCode="_-&quot;$&quot;* \(#,##0\);_-&quot;$&quot;* #,##0_);_-&quot;$&quot;* &quot;-     &quot;_-;_-@_-"/>
    <numFmt numFmtId="286" formatCode="_(&quot;$&quot;* #,##0_);_(&quot;$&quot;* \(#,##0\);_(&quot;$&quot;* &quot;-     &quot;_);_(@_)"/>
    <numFmt numFmtId="287" formatCode="&quot;$&quot;#,##0_%_);\(&quot;$&quot;#,##0\)_%;&quot;$&quot;#,##0_%_);@_%_)"/>
    <numFmt numFmtId="288" formatCode="_._.&quot;$&quot;* #,##0.0_)_%;_._.&quot;$&quot;* \(#,##0.0\)_%"/>
    <numFmt numFmtId="289" formatCode="&quot;$&quot;* #,##0.0_)_%;&quot;$&quot;* \(#,##0.0\)_%;&quot;$&quot;* \ .0_)_%"/>
    <numFmt numFmtId="290" formatCode="&quot;$&quot;* #,##0.0_);&quot;$&quot;* \(#,##0.0\);&quot;$&quot;* &quot;-&quot;??_);@_)"/>
    <numFmt numFmtId="291" formatCode="_._.&quot;$&quot;* #,##0.00_)_%;_._.&quot;$&quot;* \(#,##0.00\)_%"/>
    <numFmt numFmtId="292" formatCode="&quot;$&quot;* #,##0.00_)_%;&quot;$&quot;* \(#,##0.00\)_%;&quot;$&quot;* \ .00_)_%"/>
    <numFmt numFmtId="293" formatCode="&quot;$&quot;* #,##0.00_);&quot;$&quot;* \(#,##0.00\);&quot;$&quot;* &quot;-&quot;??_);@_)"/>
    <numFmt numFmtId="294" formatCode="_._.&quot;$&quot;* #,##0.000_)_%;_._.&quot;$&quot;* \(#,##0.000\)_%"/>
    <numFmt numFmtId="295" formatCode="&quot;$&quot;* #,##0.000_)_%;&quot;$&quot;* \(#,##0.000\)_%;&quot;$&quot;* \ .000_)_%"/>
    <numFmt numFmtId="296" formatCode="&quot;$&quot;* #,##0.000_);&quot;$&quot;* \(#,##0.000\);&quot;$&quot;* &quot;-&quot;??_);@_)"/>
    <numFmt numFmtId="297" formatCode="_._.&quot;$&quot;* #,##0.0000_)_%;_._.&quot;$&quot;* \(#,##0.0000\)_%"/>
    <numFmt numFmtId="298" formatCode="&quot;$&quot;#,##0.00_%_);\(&quot;$&quot;#,##0.00\)_%;&quot;$&quot;#,##0.00_%_);@_%_)"/>
    <numFmt numFmtId="299" formatCode="&quot;$&quot;#,##0.00_%_);\(&quot;$&quot;#,##0.00\)_%;&quot;$&quot;###0.00_%_);@_%_)"/>
    <numFmt numFmtId="300" formatCode="#,##0.00000000_);[Red]\(#,##0.00000000\)"/>
    <numFmt numFmtId="301" formatCode="&quot;$&quot;#,##0\ ;\(&quot;$&quot;#,##0\)"/>
    <numFmt numFmtId="302" formatCode="_(* #,##0.000_);_(* \(#,##0.000\);_(* &quot;-&quot;?_);_(@_)"/>
    <numFmt numFmtId="303" formatCode="d\-mmm\-yy_)"/>
    <numFmt numFmtId="304" formatCode="m/d/yy_%_)"/>
    <numFmt numFmtId="305" formatCode="m/d/yyyy\ h:mm:ss"/>
    <numFmt numFmtId="306" formatCode="_(* #,##0_);_(* \(#,##0\);_(* &quot;-&quot;??_);_(@_)"/>
    <numFmt numFmtId="307" formatCode="_(* #,##0.000_);_(* \(#,##0.000\);_(* &quot;-&quot;??_);_(@_)"/>
    <numFmt numFmtId="308" formatCode="* #,##0_);* \(#,##0\);&quot;-&quot;??_);@"/>
    <numFmt numFmtId="309" formatCode="#,##0.0;\(#,##0.0\)"/>
    <numFmt numFmtId="310" formatCode="0_%_);\(0\)_%;0_%_);@_%_)"/>
    <numFmt numFmtId="311" formatCode="&quot;\&quot;#,##0.00;&quot;\&quot;\-#,##0.00"/>
    <numFmt numFmtId="312" formatCode="0.0\x"/>
    <numFmt numFmtId="313" formatCode="&quot;$&quot;#,##0.0000_%_);\(&quot;$&quot;#,##0.0000\)_%;&quot;$&quot;#,##0.0000_%_);@_%_)"/>
    <numFmt numFmtId="314" formatCode="\$#,##0.00_);[Red]\(\$#,##0.00\)"/>
    <numFmt numFmtId="315" formatCode="#,##0\ ;\(#,##0\)"/>
    <numFmt numFmtId="316" formatCode="dddd"/>
    <numFmt numFmtId="317" formatCode="0.00_);\(0.00\);0.00_)"/>
    <numFmt numFmtId="318" formatCode="_-&quot;£&quot;* #,##0_-;\-&quot;£&quot;* #,##0_-;_-&quot;£&quot;* &quot;-&quot;_-;_-@_-"/>
    <numFmt numFmtId="319" formatCode="&quot;£&quot;#,##0.00;[Red]\-&quot;£&quot;#,##0.00"/>
    <numFmt numFmtId="320" formatCode="_(0.0_)%;\(0.0\)%"/>
    <numFmt numFmtId="321" formatCode="_._._(* 0.0_)%;_._.* \(0.0\)%"/>
    <numFmt numFmtId="322" formatCode="0.0_)%;\(0.0\)%"/>
    <numFmt numFmtId="323" formatCode="#,##0\x_);\(#,##0\x\)"/>
    <numFmt numFmtId="324" formatCode="_(0.00_)%;\(0.00\)%"/>
    <numFmt numFmtId="325" formatCode="#,##0%_);\(#,##0%\)"/>
    <numFmt numFmtId="326" formatCode="_._._(* 0.00_)%;_._.* \(0.00\)%"/>
    <numFmt numFmtId="327" formatCode="0.00_)%;\(0.00\)%"/>
    <numFmt numFmtId="328" formatCode="0.00\x"/>
    <numFmt numFmtId="329" formatCode="#,##0,,;[Red]\-#,##0,,"/>
    <numFmt numFmtId="330" formatCode="#,##0.000000000000_);\(#,##0.000000000000\)"/>
    <numFmt numFmtId="331" formatCode="_(0.000_)%;\(0.000\)%"/>
    <numFmt numFmtId="332" formatCode="#,##0.0;[Red]\(#,##0.0\)"/>
    <numFmt numFmtId="333" formatCode="#,##0.00000;\-#,##0.00000"/>
    <numFmt numFmtId="334" formatCode="#,##0.0\ ;\(#,##0.0\)"/>
    <numFmt numFmtId="335" formatCode="0\ %"/>
    <numFmt numFmtId="336" formatCode="0%;\(0%\)"/>
    <numFmt numFmtId="337" formatCode="_._._(* 0.000_)%;_._.* \(0.000\)%"/>
    <numFmt numFmtId="338" formatCode="0.000_)%;\(0.000\)%"/>
    <numFmt numFmtId="339" formatCode="_(0.0000_)%;\(0.0000\)%"/>
    <numFmt numFmtId="340" formatCode="#,##0.0\%_);\(#,##0.0\%\);#,##0.0\%_);@_)"/>
    <numFmt numFmtId="341" formatCode="0.0*100"/>
    <numFmt numFmtId="342" formatCode="0.00\%;\-0.00\%;0.00\%"/>
    <numFmt numFmtId="343" formatCode="&quot;$&quot;#.##0_);\(&quot;$&quot;#.##0\)"/>
    <numFmt numFmtId="344" formatCode="&quot;$&quot;####.0,;[Red]\(&quot;$&quot;####.0,\)"/>
    <numFmt numFmtId="345" formatCode="#,##0.000%_);\(#,##0.000%\);#,##0.000%_);@_%_)"/>
    <numFmt numFmtId="346" formatCode="0.00\x;\-0.00\x;0.00\x"/>
    <numFmt numFmtId="347" formatCode="##0.00000"/>
    <numFmt numFmtId="348" formatCode="#,##0.000_%_);\(#,##0.000\)_%;#,##0.000_%_);@_%_)"/>
    <numFmt numFmtId="349" formatCode="\ @"/>
    <numFmt numFmtId="350" formatCode="#,##0.00;\(#,##0.00\);_(* &quot;-&quot;_)"/>
    <numFmt numFmtId="351" formatCode="#,##0.0_);\(#,##0.0\);_(* &quot;-&quot;_)"/>
    <numFmt numFmtId="352" formatCode="#,##0.0\x"/>
    <numFmt numFmtId="353" formatCode="###0.00_)"/>
    <numFmt numFmtId="354" formatCode="&quot;\&quot;#,##0;[Red]&quot;\&quot;\-#,##0"/>
    <numFmt numFmtId="355" formatCode="#,##0_);\(#,##0_)"/>
    <numFmt numFmtId="356" formatCode="mmmm\ \-\ yyyy"/>
    <numFmt numFmtId="357" formatCode="d/m"/>
    <numFmt numFmtId="358" formatCode="&quot;$&quot;#,##0.0"/>
    <numFmt numFmtId="359" formatCode="_(&quot;$&quot;* #,##0_);_(&quot;$&quot;* \(#,##0\);_(&quot;$&quot;* &quot;-&quot;??_);_(@_)"/>
    <numFmt numFmtId="360" formatCode="&quot;$&quot;#,##0.0;\(&quot;$&quot;#,##0.0\)"/>
    <numFmt numFmtId="361" formatCode="#,##0.00000000_);\(#,##0.00000000\)"/>
    <numFmt numFmtId="362" formatCode="&quot;$&quot;#,##0;[Red]\-&quot;$&quot;#,##0"/>
    <numFmt numFmtId="363" formatCode="#,##0&quot;\&quot;&quot;\&quot;&quot;\&quot;&quot;\&quot;&quot;\&quot;\ &quot;DM&quot;;&quot;\&quot;&quot;\&quot;&quot;\&quot;&quot;\&quot;&quot;\&quot;\-#,##0&quot;\&quot;&quot;\&quot;&quot;\&quot;&quot;\&quot;&quot;\&quot;\ &quot;DM&quot;"/>
    <numFmt numFmtId="364" formatCode="#,##0.00&quot;\&quot;&quot;\&quot;&quot;\&quot;&quot;\&quot;&quot;\&quot;\ &quot;DM&quot;;&quot;\&quot;&quot;\&quot;&quot;\&quot;&quot;\&quot;&quot;\&quot;\-#,##0.00&quot;\&quot;&quot;\&quot;&quot;\&quot;&quot;\&quot;&quot;\&quot;\ &quot;DM&quot;"/>
    <numFmt numFmtId="365" formatCode="0.0\ \x_);\(0.0\ \x\);@_ _x_)"/>
    <numFmt numFmtId="366" formatCode="_(* #,##0_);_(* \(#,##0\);_(* 0_);_(@_)"/>
    <numFmt numFmtId="367" formatCode="_(&quot;$&quot;* #,##0_);_(&quot;$&quot;* \(#,##0\);_(&quot;$&quot;* 0_);_(@_)"/>
    <numFmt numFmtId="368" formatCode="0.0000000"/>
    <numFmt numFmtId="369" formatCode="m/d/yyyy\ h:mm\ \ AM/PM"/>
  </numFmts>
  <fonts count="2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4"/>
      <name val="Arial"/>
      <family val="2"/>
    </font>
    <font>
      <sz val="12"/>
      <color indexed="8"/>
      <name val="Times New Roman"/>
      <family val="1"/>
    </font>
    <font>
      <b/>
      <sz val="10"/>
      <name val="Arial"/>
      <family val="2"/>
    </font>
    <font>
      <sz val="8"/>
      <color indexed="12"/>
      <name val="Arial"/>
      <family val="2"/>
    </font>
    <font>
      <sz val="9"/>
      <name val="Arial"/>
      <family val="2"/>
    </font>
    <font>
      <b/>
      <sz val="10"/>
      <name val="MS Sans Serif"/>
      <family val="2"/>
    </font>
    <font>
      <sz val="10"/>
      <name val="Geneva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2"/>
      <color indexed="12"/>
      <name val="Times New Roman"/>
      <family val="1"/>
    </font>
    <font>
      <sz val="10"/>
      <color indexed="8"/>
      <name val="MS Sans Serif"/>
      <family val="2"/>
    </font>
    <font>
      <sz val="10"/>
      <name val="Times New Roman"/>
      <family val="1"/>
    </font>
    <font>
      <i/>
      <sz val="10"/>
      <name val="Arial"/>
      <family val="2"/>
    </font>
    <font>
      <i/>
      <sz val="9"/>
      <color indexed="8"/>
      <name val="Arial"/>
      <family val="2"/>
    </font>
    <font>
      <sz val="10"/>
      <name val="Helv"/>
    </font>
    <font>
      <sz val="10"/>
      <name val="Times"/>
      <family val="1"/>
    </font>
    <font>
      <sz val="8"/>
      <color indexed="8"/>
      <name val="Arial"/>
      <family val="2"/>
    </font>
    <font>
      <sz val="10"/>
      <name val="Courier"/>
      <family val="3"/>
    </font>
    <font>
      <sz val="8"/>
      <name val="Helv"/>
    </font>
    <font>
      <sz val="10"/>
      <name val="C Helvetica Condensed"/>
    </font>
    <font>
      <sz val="12"/>
      <name val="Times New Roman"/>
      <family val="1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8"/>
      <name val="Times New Roman"/>
      <family val="2"/>
    </font>
    <font>
      <sz val="11"/>
      <color indexed="9"/>
      <name val="Calibri"/>
      <family val="2"/>
    </font>
    <font>
      <sz val="11"/>
      <color indexed="9"/>
      <name val="Times New Roman"/>
      <family val="2"/>
    </font>
    <font>
      <sz val="12"/>
      <name val="Arial MT"/>
    </font>
    <font>
      <sz val="10"/>
      <color indexed="10"/>
      <name val="Helv"/>
    </font>
    <font>
      <sz val="8"/>
      <name val="Times New Roman"/>
      <family val="1"/>
    </font>
    <font>
      <sz val="9"/>
      <color indexed="12"/>
      <name val="Times New Roman"/>
      <family val="1"/>
    </font>
    <font>
      <sz val="9"/>
      <name val="Times New Roman"/>
      <family val="1"/>
    </font>
    <font>
      <sz val="8"/>
      <name val="Arial"/>
      <family val="2"/>
    </font>
    <font>
      <sz val="8"/>
      <name val="Times"/>
      <family val="1"/>
    </font>
    <font>
      <sz val="8"/>
      <name val="Arial MT"/>
    </font>
    <font>
      <sz val="12"/>
      <name val="Arial"/>
      <family val="2"/>
    </font>
    <font>
      <sz val="10"/>
      <color indexed="12"/>
      <name val="Times New Roman"/>
      <family val="1"/>
    </font>
    <font>
      <sz val="11"/>
      <color indexed="20"/>
      <name val="Calibri"/>
      <family val="2"/>
    </font>
    <font>
      <sz val="11"/>
      <color indexed="20"/>
      <name val="Times New Roman"/>
      <family val="2"/>
    </font>
    <font>
      <sz val="8"/>
      <name val="Tms Rmn"/>
    </font>
    <font>
      <sz val="10"/>
      <color indexed="8"/>
      <name val="Times New Roman"/>
      <family val="1"/>
    </font>
    <font>
      <sz val="8"/>
      <color indexed="12"/>
      <name val="Tms Rmn"/>
    </font>
    <font>
      <sz val="12"/>
      <name val="Tms Rmn"/>
    </font>
    <font>
      <b/>
      <sz val="12"/>
      <name val="Times New Roman"/>
      <family val="1"/>
    </font>
    <font>
      <sz val="11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i/>
      <sz val="14"/>
      <name val="Arial"/>
      <family val="2"/>
    </font>
    <font>
      <b/>
      <sz val="12"/>
      <name val="Arial"/>
      <family val="2"/>
    </font>
    <font>
      <b/>
      <sz val="24"/>
      <name val="Arial Narrow"/>
      <family val="2"/>
    </font>
    <font>
      <b/>
      <i/>
      <sz val="12"/>
      <name val="Arial"/>
      <family val="2"/>
    </font>
    <font>
      <i/>
      <sz val="12"/>
      <name val="Arial"/>
      <family val="2"/>
    </font>
    <font>
      <sz val="9"/>
      <color indexed="18"/>
      <name val="Arial"/>
      <family val="2"/>
    </font>
    <font>
      <i/>
      <sz val="10"/>
      <color indexed="18"/>
      <name val="Arial"/>
      <family val="2"/>
    </font>
    <font>
      <sz val="10"/>
      <color indexed="18"/>
      <name val="Arial"/>
      <family val="2"/>
    </font>
    <font>
      <sz val="8"/>
      <color indexed="18"/>
      <name val="Arial"/>
      <family val="2"/>
    </font>
    <font>
      <i/>
      <sz val="9"/>
      <color indexed="18"/>
      <name val="Arial"/>
      <family val="2"/>
    </font>
    <font>
      <b/>
      <sz val="11"/>
      <color indexed="52"/>
      <name val="Calibri"/>
      <family val="2"/>
    </font>
    <font>
      <b/>
      <sz val="11"/>
      <color indexed="52"/>
      <name val="Times New Roman"/>
      <family val="2"/>
    </font>
    <font>
      <b/>
      <sz val="9"/>
      <name val="Arial"/>
      <family val="2"/>
    </font>
    <font>
      <sz val="10"/>
      <color indexed="59"/>
      <name val="Times New Roman"/>
      <family val="1"/>
    </font>
    <font>
      <b/>
      <sz val="10"/>
      <name val="Helv"/>
    </font>
    <font>
      <b/>
      <sz val="18"/>
      <color indexed="9"/>
      <name val="Times"/>
      <family val="1"/>
    </font>
    <font>
      <sz val="10"/>
      <color indexed="18"/>
      <name val="Times New Roman"/>
      <family val="1"/>
    </font>
    <font>
      <sz val="6"/>
      <name val="Arial Narrow"/>
      <family val="2"/>
    </font>
    <font>
      <b/>
      <sz val="11"/>
      <color indexed="9"/>
      <name val="Calibri"/>
      <family val="2"/>
    </font>
    <font>
      <b/>
      <sz val="11"/>
      <color indexed="9"/>
      <name val="Times New Roman"/>
      <family val="2"/>
    </font>
    <font>
      <sz val="10"/>
      <name val="Book Antiqua"/>
      <family val="1"/>
    </font>
    <font>
      <b/>
      <u/>
      <sz val="10"/>
      <color indexed="18"/>
      <name val="Times New Roman"/>
      <family val="1"/>
    </font>
    <font>
      <b/>
      <u val="singleAccounting"/>
      <sz val="10"/>
      <name val="Arial"/>
      <family val="2"/>
    </font>
    <font>
      <b/>
      <sz val="7"/>
      <name val="GillSans"/>
      <family val="2"/>
    </font>
    <font>
      <b/>
      <sz val="8"/>
      <name val="Arial"/>
      <family val="2"/>
    </font>
    <font>
      <b/>
      <u val="singleAccounting"/>
      <sz val="8"/>
      <color indexed="8"/>
      <name val="Arial"/>
      <family val="2"/>
    </font>
    <font>
      <sz val="11"/>
      <name val="Tms Rmn"/>
      <family val="1"/>
    </font>
    <font>
      <sz val="11"/>
      <name val="Tms Rmn"/>
    </font>
    <font>
      <sz val="8"/>
      <name val="Helvetica"/>
      <family val="2"/>
    </font>
    <font>
      <sz val="8"/>
      <name val="Palatino"/>
      <family val="1"/>
    </font>
    <font>
      <u val="singleAccounting"/>
      <sz val="11"/>
      <name val="Times New Roman"/>
      <family val="1"/>
    </font>
    <font>
      <sz val="10"/>
      <color theme="1"/>
      <name val="Times New Roman"/>
      <family val="2"/>
    </font>
    <font>
      <sz val="10"/>
      <name val="Arial Unicode MS"/>
      <family val="2"/>
    </font>
    <font>
      <sz val="7.9"/>
      <color indexed="8"/>
      <name val="Times New Roman"/>
      <family val="1"/>
    </font>
    <font>
      <sz val="10"/>
      <name val="BERNHARD"/>
    </font>
    <font>
      <sz val="24"/>
      <name val="MS Sans Serif"/>
      <family val="2"/>
    </font>
    <font>
      <b/>
      <sz val="16"/>
      <name val="Times New Roman"/>
      <family val="1"/>
    </font>
    <font>
      <b/>
      <sz val="11"/>
      <color indexed="12"/>
      <name val="Arial"/>
      <family val="2"/>
    </font>
    <font>
      <sz val="10"/>
      <name val="MS Serif"/>
      <family val="1"/>
    </font>
    <font>
      <sz val="11"/>
      <color indexed="12"/>
      <name val="Times New Roman"/>
      <family val="1"/>
    </font>
    <font>
      <sz val="11"/>
      <color indexed="12"/>
      <name val="Book Antiqua"/>
      <family val="1"/>
    </font>
    <font>
      <sz val="12"/>
      <color indexed="9"/>
      <name val="Helvetica"/>
      <family val="2"/>
    </font>
    <font>
      <sz val="8"/>
      <color indexed="12"/>
      <name val="Times New Roman"/>
      <family val="1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i/>
      <sz val="11"/>
      <color indexed="23"/>
      <name val="Calibri"/>
      <family val="2"/>
    </font>
    <font>
      <i/>
      <sz val="11"/>
      <color indexed="23"/>
      <name val="Times New Roman"/>
      <family val="2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i/>
      <sz val="1"/>
      <color indexed="16"/>
      <name val="Courier"/>
      <family val="3"/>
    </font>
    <font>
      <i/>
      <sz val="8"/>
      <name val="Helv"/>
    </font>
    <font>
      <sz val="9"/>
      <name val="GillSans Light"/>
      <family val="2"/>
    </font>
    <font>
      <b/>
      <sz val="8"/>
      <color indexed="12"/>
      <name val="Arial"/>
      <family val="2"/>
    </font>
    <font>
      <b/>
      <sz val="10"/>
      <name val="Times"/>
      <family val="1"/>
    </font>
    <font>
      <sz val="11"/>
      <color indexed="17"/>
      <name val="Calibri"/>
      <family val="2"/>
    </font>
    <font>
      <sz val="11"/>
      <color indexed="17"/>
      <name val="Times New Roman"/>
      <family val="2"/>
    </font>
    <font>
      <b/>
      <u/>
      <sz val="10"/>
      <color indexed="62"/>
      <name val="Times New Roman"/>
      <family val="1"/>
    </font>
    <font>
      <b/>
      <u/>
      <sz val="12"/>
      <name val="Arial"/>
      <family val="2"/>
    </font>
    <font>
      <b/>
      <i/>
      <sz val="10"/>
      <name val="Arial"/>
      <family val="2"/>
    </font>
    <font>
      <b/>
      <i/>
      <sz val="8"/>
      <name val="Arial"/>
      <family val="2"/>
    </font>
    <font>
      <sz val="9"/>
      <name val="Futura UBS Bk"/>
      <family val="2"/>
    </font>
    <font>
      <b/>
      <sz val="10"/>
      <color indexed="9"/>
      <name val="GillSans"/>
      <family val="2"/>
    </font>
    <font>
      <b/>
      <sz val="10"/>
      <color indexed="8"/>
      <name val="GillSans"/>
      <family val="2"/>
    </font>
    <font>
      <b/>
      <sz val="24"/>
      <name val="Arial"/>
      <family val="2"/>
    </font>
    <font>
      <b/>
      <sz val="11"/>
      <color indexed="41"/>
      <name val="Times New Roman"/>
      <family val="1"/>
    </font>
    <font>
      <b/>
      <i/>
      <sz val="8"/>
      <name val="Helv"/>
    </font>
    <font>
      <b/>
      <sz val="18"/>
      <name val="Arial"/>
      <family val="2"/>
    </font>
    <font>
      <b/>
      <sz val="15"/>
      <color indexed="56"/>
      <name val="Times New Roman"/>
      <family val="2"/>
    </font>
    <font>
      <b/>
      <sz val="13"/>
      <color indexed="56"/>
      <name val="Times New Roman"/>
      <family val="2"/>
    </font>
    <font>
      <b/>
      <sz val="11"/>
      <color indexed="56"/>
      <name val="Calibri"/>
      <family val="2"/>
    </font>
    <font>
      <b/>
      <sz val="11"/>
      <color indexed="56"/>
      <name val="Times New Roman"/>
      <family val="2"/>
    </font>
    <font>
      <i/>
      <sz val="14"/>
      <name val="Palatino"/>
      <family val="1"/>
    </font>
    <font>
      <b/>
      <i/>
      <sz val="22"/>
      <name val="Times New Roman"/>
      <family val="1"/>
    </font>
    <font>
      <b/>
      <sz val="8"/>
      <name val="MS Sans Serif"/>
      <family val="2"/>
    </font>
    <font>
      <b/>
      <sz val="9"/>
      <name val="Helv"/>
    </font>
    <font>
      <u/>
      <sz val="10"/>
      <color indexed="12"/>
      <name val="Arial"/>
      <family val="2"/>
    </font>
    <font>
      <sz val="14"/>
      <name val="Times New Roman"/>
      <family val="1"/>
    </font>
    <font>
      <sz val="8"/>
      <color indexed="10"/>
      <name val="Times New Roman"/>
      <family val="1"/>
    </font>
    <font>
      <sz val="11"/>
      <color indexed="62"/>
      <name val="Times New Roman"/>
      <family val="2"/>
    </font>
    <font>
      <sz val="10"/>
      <color indexed="18"/>
      <name val="MS Sans Serif"/>
      <family val="2"/>
    </font>
    <font>
      <sz val="10"/>
      <color indexed="12"/>
      <name val="Arial"/>
      <family val="2"/>
    </font>
    <font>
      <b/>
      <sz val="10"/>
      <color indexed="39"/>
      <name val="Arial"/>
      <family val="2"/>
    </font>
    <font>
      <sz val="8"/>
      <color indexed="12"/>
      <name val="Helv"/>
    </font>
    <font>
      <sz val="1"/>
      <color indexed="9"/>
      <name val="Symbol"/>
      <family val="1"/>
      <charset val="2"/>
    </font>
    <font>
      <sz val="10"/>
      <name val="GillSans Light"/>
      <family val="2"/>
    </font>
    <font>
      <b/>
      <sz val="22"/>
      <color indexed="16"/>
      <name val="Arial"/>
      <family val="2"/>
    </font>
    <font>
      <sz val="11"/>
      <color indexed="52"/>
      <name val="Calibri"/>
      <family val="2"/>
    </font>
    <font>
      <sz val="11"/>
      <color indexed="52"/>
      <name val="Times New Roman"/>
      <family val="2"/>
    </font>
    <font>
      <b/>
      <sz val="36"/>
      <name val="Times New Roman"/>
      <family val="1"/>
    </font>
    <font>
      <b/>
      <sz val="11"/>
      <name val="Helv"/>
    </font>
    <font>
      <sz val="11"/>
      <color indexed="60"/>
      <name val="Calibri"/>
      <family val="2"/>
    </font>
    <font>
      <sz val="11"/>
      <color indexed="60"/>
      <name val="Times New Roman"/>
      <family val="2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sz val="7"/>
      <name val="Small Fonts"/>
      <family val="2"/>
    </font>
    <font>
      <b/>
      <i/>
      <sz val="16"/>
      <name val="Helv"/>
    </font>
    <font>
      <sz val="11"/>
      <color theme="1"/>
      <name val="Times New Roman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b/>
      <sz val="8"/>
      <name val="Times New Roman"/>
      <family val="1"/>
    </font>
    <font>
      <sz val="8"/>
      <color indexed="8"/>
      <name val="Times New Roman"/>
      <family val="1"/>
    </font>
    <font>
      <sz val="14"/>
      <name val="System"/>
      <family val="2"/>
    </font>
    <font>
      <b/>
      <sz val="13.5"/>
      <name val="MS Sans Serif"/>
      <family val="2"/>
    </font>
    <font>
      <b/>
      <sz val="11"/>
      <color indexed="63"/>
      <name val="Calibri"/>
      <family val="2"/>
    </font>
    <font>
      <b/>
      <sz val="11"/>
      <color indexed="63"/>
      <name val="Times New Roman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i/>
      <sz val="10"/>
      <name val="Times New Roman"/>
      <family val="1"/>
    </font>
    <font>
      <b/>
      <sz val="26"/>
      <name val="Times New Roman"/>
      <family val="1"/>
    </font>
    <font>
      <b/>
      <sz val="18"/>
      <name val="Times New Roman"/>
      <family val="1"/>
    </font>
    <font>
      <sz val="10"/>
      <color indexed="16"/>
      <name val="Helvetica-Black"/>
    </font>
    <font>
      <b/>
      <u/>
      <sz val="10"/>
      <name val="Helv"/>
    </font>
    <font>
      <b/>
      <sz val="10"/>
      <name val="Times New Roman"/>
      <family val="1"/>
    </font>
    <font>
      <sz val="22"/>
      <name val="UBSHeadline"/>
      <family val="1"/>
    </font>
    <font>
      <u/>
      <sz val="8"/>
      <color indexed="61"/>
      <name val="Times New Roman"/>
      <family val="1"/>
    </font>
    <font>
      <sz val="10"/>
      <name val="Tms Rmn"/>
    </font>
    <font>
      <b/>
      <sz val="10"/>
      <color indexed="8"/>
      <name val="Arial Narrow"/>
      <family val="2"/>
    </font>
    <font>
      <sz val="12"/>
      <color indexed="10"/>
      <name val="Times New Roman"/>
      <family val="1"/>
    </font>
    <font>
      <sz val="8"/>
      <color indexed="38"/>
      <name val="Arial"/>
      <family val="2"/>
    </font>
    <font>
      <b/>
      <sz val="9"/>
      <name val="Times New Roman"/>
      <family val="1"/>
    </font>
    <font>
      <i/>
      <sz val="11"/>
      <name val="Arial"/>
      <family val="2"/>
    </font>
    <font>
      <sz val="11"/>
      <name val="Arial"/>
      <family val="2"/>
    </font>
    <font>
      <sz val="8"/>
      <name val="Wingdings"/>
      <charset val="2"/>
    </font>
    <font>
      <b/>
      <sz val="8"/>
      <color indexed="56"/>
      <name val="Arial"/>
      <family val="2"/>
    </font>
    <font>
      <sz val="12"/>
      <color indexed="8"/>
      <name val="Arial"/>
      <family val="2"/>
    </font>
    <font>
      <sz val="8"/>
      <color indexed="56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sz val="8"/>
      <color indexed="9"/>
      <name val="Verdana"/>
      <family val="2"/>
    </font>
    <font>
      <b/>
      <sz val="12"/>
      <name val="MS Sans Serif"/>
      <family val="2"/>
    </font>
    <font>
      <b/>
      <sz val="16"/>
      <color indexed="16"/>
      <name val="Arial"/>
      <family val="2"/>
    </font>
    <font>
      <vertAlign val="superscript"/>
      <sz val="12"/>
      <name val="Helv"/>
    </font>
    <font>
      <sz val="8"/>
      <name val="MS Sans Serif"/>
      <family val="2"/>
    </font>
    <font>
      <b/>
      <sz val="12"/>
      <color indexed="8"/>
      <name val="Times New Roman"/>
      <family val="1"/>
    </font>
    <font>
      <sz val="10"/>
      <color indexed="9"/>
      <name val="Arial"/>
      <family val="2"/>
    </font>
    <font>
      <sz val="8"/>
      <name val="MS Serif"/>
      <family val="1"/>
    </font>
    <font>
      <sz val="8"/>
      <color indexed="39"/>
      <name val="Arial"/>
      <family val="2"/>
    </font>
    <font>
      <b/>
      <i/>
      <sz val="12"/>
      <color indexed="8"/>
      <name val="Arial"/>
      <family val="2"/>
    </font>
    <font>
      <b/>
      <sz val="10"/>
      <color indexed="8"/>
      <name val="Arial"/>
      <family val="2"/>
    </font>
    <font>
      <vertAlign val="subscript"/>
      <sz val="8"/>
      <color indexed="8"/>
      <name val="Arial"/>
      <family val="2"/>
    </font>
    <font>
      <b/>
      <sz val="8"/>
      <color indexed="8"/>
      <name val="Helv"/>
    </font>
    <font>
      <vertAlign val="superscript"/>
      <sz val="10"/>
      <name val="Helv"/>
    </font>
    <font>
      <vertAlign val="superscript"/>
      <sz val="8"/>
      <color indexed="8"/>
      <name val="Arial"/>
      <family val="2"/>
    </font>
    <font>
      <sz val="9"/>
      <name val="Helv"/>
    </font>
    <font>
      <b/>
      <sz val="9"/>
      <name val="Palatino"/>
      <family val="1"/>
    </font>
    <font>
      <sz val="9"/>
      <color indexed="21"/>
      <name val="Helvetica-Black"/>
    </font>
    <font>
      <b/>
      <sz val="10"/>
      <color indexed="16"/>
      <name val="Arial"/>
      <family val="2"/>
    </font>
    <font>
      <b/>
      <sz val="14"/>
      <name val="Helv"/>
    </font>
    <font>
      <sz val="7"/>
      <name val="Times New Roman"/>
      <family val="1"/>
    </font>
    <font>
      <b/>
      <u val="singleAccounting"/>
      <sz val="14"/>
      <name val="Times New Roman"/>
      <family val="1"/>
    </font>
    <font>
      <i/>
      <sz val="14"/>
      <name val="Times New Roman"/>
      <family val="1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4"/>
      <name val="Times New Roman"/>
      <family val="1"/>
    </font>
    <font>
      <b/>
      <sz val="10"/>
      <color indexed="10"/>
      <name val="Arial"/>
      <family val="2"/>
    </font>
    <font>
      <b/>
      <u/>
      <sz val="9"/>
      <name val="Arial"/>
      <family val="2"/>
    </font>
    <font>
      <b/>
      <sz val="18"/>
      <color indexed="56"/>
      <name val="Cambria"/>
      <family val="2"/>
    </font>
    <font>
      <b/>
      <sz val="12"/>
      <name val="Helv"/>
    </font>
    <font>
      <b/>
      <sz val="11"/>
      <color indexed="9"/>
      <name val="GillSans"/>
      <family val="2"/>
    </font>
    <font>
      <b/>
      <sz val="11"/>
      <name val="GillSans"/>
      <family val="2"/>
    </font>
    <font>
      <b/>
      <sz val="8"/>
      <name val="Helv"/>
    </font>
    <font>
      <b/>
      <sz val="13"/>
      <color indexed="8"/>
      <name val="Verdana"/>
      <family val="2"/>
    </font>
    <font>
      <b/>
      <sz val="14"/>
      <name val="Times"/>
      <family val="1"/>
    </font>
    <font>
      <b/>
      <sz val="10"/>
      <color indexed="16"/>
      <name val="GillSans"/>
      <family val="2"/>
    </font>
    <font>
      <b/>
      <i/>
      <sz val="24"/>
      <name val="Arial"/>
      <family val="2"/>
    </font>
    <font>
      <u val="double"/>
      <sz val="8"/>
      <color indexed="8"/>
      <name val="Arial"/>
      <family val="2"/>
    </font>
    <font>
      <sz val="10"/>
      <name val="Palatino"/>
      <family val="1"/>
    </font>
    <font>
      <sz val="11"/>
      <color indexed="10"/>
      <name val="Times New Roman"/>
      <family val="2"/>
    </font>
    <font>
      <b/>
      <sz val="9"/>
      <color indexed="10"/>
      <name val="Wingdings"/>
      <charset val="2"/>
    </font>
    <font>
      <b/>
      <sz val="10"/>
      <color indexed="20"/>
      <name val="Geneva"/>
    </font>
    <font>
      <b/>
      <u/>
      <sz val="8"/>
      <name val="Times New Roman"/>
      <family val="1"/>
    </font>
    <font>
      <b/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b/>
      <sz val="8"/>
      <color theme="0"/>
      <name val="Tahoma"/>
      <family val="2"/>
    </font>
    <font>
      <u/>
      <sz val="8"/>
      <color theme="1"/>
      <name val="Tahoma"/>
      <family val="2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</fonts>
  <fills count="9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gray0625">
        <bgColor indexed="23"/>
      </patternFill>
    </fill>
    <fill>
      <patternFill patternType="solid">
        <fgColor indexed="4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60"/>
        <bgColor indexed="64"/>
      </patternFill>
    </fill>
    <fill>
      <patternFill patternType="lightGray">
        <fgColor indexed="12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gray0625"/>
    </fill>
    <fill>
      <patternFill patternType="mediumGray"/>
    </fill>
    <fill>
      <patternFill patternType="solid">
        <fgColor indexed="1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13"/>
      </patternFill>
    </fill>
    <fill>
      <patternFill patternType="solid">
        <fgColor indexed="43"/>
        <bgColor indexed="64"/>
      </patternFill>
    </fill>
    <fill>
      <patternFill patternType="solid">
        <fgColor indexed="13"/>
      </patternFill>
    </fill>
    <fill>
      <patternFill patternType="solid">
        <fgColor indexed="39"/>
        <bgColor indexed="64"/>
      </patternFill>
    </fill>
    <fill>
      <patternFill patternType="solid">
        <fgColor indexed="26"/>
        <bgColor indexed="27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6"/>
      </patternFill>
    </fill>
    <fill>
      <patternFill patternType="solid">
        <fgColor indexed="9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8"/>
      </patternFill>
    </fill>
    <fill>
      <patternFill patternType="lightGray">
        <fgColor indexed="8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55"/>
      </patternFill>
    </fill>
    <fill>
      <patternFill patternType="solid">
        <fgColor rgb="FF007D5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medium">
        <color indexed="2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hair">
        <color indexed="8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5735">
    <xf numFmtId="0" fontId="0" fillId="0" borderId="0"/>
    <xf numFmtId="0" fontId="2" fillId="0" borderId="0"/>
    <xf numFmtId="0" fontId="1" fillId="0" borderId="0"/>
    <xf numFmtId="0" fontId="2" fillId="0" borderId="0"/>
    <xf numFmtId="0" fontId="4" fillId="0" borderId="0" applyFill="0" applyAlignment="0" applyProtection="0">
      <protection locked="0"/>
    </xf>
    <xf numFmtId="0" fontId="5" fillId="0" borderId="0" applyFill="0" applyBorder="0" applyAlignment="0" applyProtection="0">
      <protection locked="0"/>
    </xf>
    <xf numFmtId="0" fontId="4" fillId="0" borderId="1" applyFill="0" applyAlignment="0" applyProtection="0">
      <protection locked="0"/>
    </xf>
    <xf numFmtId="0" fontId="2" fillId="0" borderId="0">
      <alignment horizontal="left" wrapText="1"/>
    </xf>
    <xf numFmtId="165" fontId="6" fillId="0" borderId="0">
      <alignment horizontal="right"/>
    </xf>
    <xf numFmtId="3" fontId="7" fillId="0" borderId="0"/>
    <xf numFmtId="3" fontId="7" fillId="0" borderId="0"/>
    <xf numFmtId="3" fontId="7" fillId="0" borderId="0"/>
    <xf numFmtId="3" fontId="7" fillId="0" borderId="0"/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41" fontId="2" fillId="0" borderId="0" applyFont="0" applyFill="0" applyBorder="0" applyAlignment="0" applyProtection="0"/>
    <xf numFmtId="165" fontId="2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2" fillId="0" borderId="0">
      <alignment horizontal="right"/>
    </xf>
    <xf numFmtId="165" fontId="6" fillId="0" borderId="0">
      <alignment horizontal="right"/>
    </xf>
    <xf numFmtId="164" fontId="9" fillId="0" borderId="0">
      <alignment vertical="top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165" fontId="6" fillId="0" borderId="0">
      <alignment horizontal="right"/>
    </xf>
    <xf numFmtId="0" fontId="10" fillId="0" borderId="0" applyNumberFormat="0" applyFill="0" applyBorder="0" applyAlignment="0" applyProtection="0"/>
    <xf numFmtId="5" fontId="11" fillId="0" borderId="0" applyFont="0" applyFill="0" applyBorder="0" applyAlignment="0" applyProtection="0"/>
    <xf numFmtId="8" fontId="11" fillId="0" borderId="0" applyFont="0" applyFill="0" applyBorder="0" applyAlignment="0" applyProtection="0"/>
    <xf numFmtId="5" fontId="12" fillId="2" borderId="0">
      <alignment horizontal="right"/>
    </xf>
    <xf numFmtId="5" fontId="13" fillId="2" borderId="0">
      <alignment horizontal="right"/>
    </xf>
    <xf numFmtId="166" fontId="2" fillId="2" borderId="0" applyBorder="0">
      <alignment horizontal="right"/>
    </xf>
    <xf numFmtId="167" fontId="2" fillId="0" borderId="0" applyFont="0" applyFill="0" applyBorder="0" applyAlignment="0" applyProtection="0"/>
    <xf numFmtId="168" fontId="2" fillId="0" borderId="0"/>
    <xf numFmtId="169" fontId="2" fillId="0" borderId="0"/>
    <xf numFmtId="170" fontId="2" fillId="0" borderId="0" applyFont="0" applyFill="0" applyBorder="0" applyAlignment="0" applyProtection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0" fontId="11" fillId="0" borderId="0" applyFont="0" applyFill="0" applyBorder="0" applyAlignment="0" applyProtection="0"/>
    <xf numFmtId="164" fontId="2" fillId="0" borderId="0"/>
    <xf numFmtId="164" fontId="2" fillId="0" borderId="0"/>
    <xf numFmtId="10" fontId="14" fillId="0" borderId="0"/>
    <xf numFmtId="164" fontId="2" fillId="0" borderId="0"/>
    <xf numFmtId="9" fontId="11" fillId="0" borderId="0" applyFont="0" applyFill="0" applyBorder="0" applyAlignment="0" applyProtection="0"/>
    <xf numFmtId="10" fontId="2" fillId="0" borderId="0"/>
    <xf numFmtId="10" fontId="14" fillId="0" borderId="0"/>
    <xf numFmtId="10" fontId="2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2" fillId="0" borderId="0"/>
    <xf numFmtId="10" fontId="14" fillId="0" borderId="0"/>
    <xf numFmtId="10" fontId="2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71" fontId="2" fillId="0" borderId="0"/>
    <xf numFmtId="0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0" fontId="2" fillId="0" borderId="0"/>
    <xf numFmtId="10" fontId="14" fillId="0" borderId="0"/>
    <xf numFmtId="10" fontId="2" fillId="0" borderId="0"/>
    <xf numFmtId="164" fontId="2" fillId="0" borderId="0"/>
    <xf numFmtId="10" fontId="2" fillId="0" borderId="0"/>
    <xf numFmtId="10" fontId="14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0" fontId="2" fillId="0" borderId="0"/>
    <xf numFmtId="0" fontId="2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2" fillId="0" borderId="0"/>
    <xf numFmtId="10" fontId="14" fillId="0" borderId="0"/>
    <xf numFmtId="10" fontId="2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9" fontId="11" fillId="0" borderId="0" applyFont="0" applyFill="0" applyBorder="0" applyAlignment="0" applyProtection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164" fontId="2" fillId="0" borderId="0"/>
    <xf numFmtId="9" fontId="11" fillId="0" borderId="0" applyFont="0" applyFill="0" applyBorder="0" applyAlignment="0" applyProtection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71" fontId="2" fillId="0" borderId="0"/>
    <xf numFmtId="171" fontId="2" fillId="0" borderId="0"/>
    <xf numFmtId="164" fontId="2" fillId="0" borderId="0"/>
    <xf numFmtId="10" fontId="14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0" fontId="2" fillId="0" borderId="0"/>
    <xf numFmtId="164" fontId="2" fillId="0" borderId="0"/>
    <xf numFmtId="10" fontId="14" fillId="0" borderId="0"/>
    <xf numFmtId="10" fontId="14" fillId="0" borderId="0"/>
    <xf numFmtId="10" fontId="14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0" fontId="14" fillId="0" borderId="0"/>
    <xf numFmtId="10" fontId="2" fillId="0" borderId="0"/>
    <xf numFmtId="164" fontId="2" fillId="0" borderId="0"/>
    <xf numFmtId="164" fontId="2" fillId="0" borderId="0"/>
    <xf numFmtId="9" fontId="11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/>
    <xf numFmtId="10" fontId="14" fillId="0" borderId="0"/>
    <xf numFmtId="171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71" fontId="2" fillId="0" borderId="0"/>
    <xf numFmtId="164" fontId="2" fillId="0" borderId="0"/>
    <xf numFmtId="171" fontId="2" fillId="0" borderId="0"/>
    <xf numFmtId="171" fontId="2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2" fillId="0" borderId="0"/>
    <xf numFmtId="10" fontId="14" fillId="0" borderId="0"/>
    <xf numFmtId="10" fontId="2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71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71" fontId="2" fillId="0" borderId="0"/>
    <xf numFmtId="164" fontId="2" fillId="0" borderId="0"/>
    <xf numFmtId="10" fontId="14" fillId="0" borderId="0"/>
    <xf numFmtId="10" fontId="2" fillId="0" borderId="0"/>
    <xf numFmtId="9" fontId="11" fillId="0" borderId="0" applyFont="0" applyFill="0" applyBorder="0" applyAlignment="0" applyProtection="0"/>
    <xf numFmtId="10" fontId="14" fillId="0" borderId="0"/>
    <xf numFmtId="10" fontId="2" fillId="0" borderId="0"/>
    <xf numFmtId="9" fontId="11" fillId="0" borderId="0" applyFont="0" applyFill="0" applyBorder="0" applyAlignment="0" applyProtection="0"/>
    <xf numFmtId="10" fontId="14" fillId="0" borderId="0"/>
    <xf numFmtId="171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0" fontId="2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0" fontId="2" fillId="0" borderId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16" fillId="0" borderId="0" applyFont="0" applyFill="0" applyBorder="0" applyAlignment="0"/>
    <xf numFmtId="173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9" fillId="0" borderId="0"/>
    <xf numFmtId="0" fontId="17" fillId="0" borderId="0"/>
    <xf numFmtId="175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9" fontId="2" fillId="0" borderId="0">
      <alignment horizontal="right"/>
    </xf>
    <xf numFmtId="9" fontId="8" fillId="0" borderId="0">
      <alignment horizontal="right"/>
    </xf>
    <xf numFmtId="171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2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2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0" fontId="2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2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0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2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64" fontId="2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2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0" fontId="2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0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2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2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2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0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0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2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2" fillId="0" borderId="0">
      <alignment vertical="top"/>
    </xf>
    <xf numFmtId="164" fontId="13" fillId="0" borderId="0">
      <alignment vertical="top"/>
    </xf>
    <xf numFmtId="164" fontId="2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0" fontId="2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0" fontId="2" fillId="0" borderId="0">
      <alignment vertical="top"/>
    </xf>
    <xf numFmtId="171" fontId="13" fillId="0" borderId="0">
      <alignment vertical="top"/>
    </xf>
    <xf numFmtId="171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13" fillId="0" borderId="0">
      <alignment vertical="top"/>
    </xf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0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0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0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0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0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0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2" fillId="0" borderId="0"/>
    <xf numFmtId="180" fontId="18" fillId="0" borderId="0"/>
    <xf numFmtId="180" fontId="2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0" fontId="19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9" fontId="8" fillId="0" borderId="0">
      <alignment horizontal="right"/>
    </xf>
    <xf numFmtId="3" fontId="2" fillId="0" borderId="0"/>
    <xf numFmtId="9" fontId="2" fillId="0" borderId="0">
      <alignment horizontal="right"/>
    </xf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9" fontId="8" fillId="0" borderId="0">
      <alignment horizontal="right"/>
    </xf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5" fontId="6" fillId="0" borderId="0">
      <alignment horizontal="right"/>
    </xf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64" fontId="2" fillId="0" borderId="0" applyNumberFormat="0" applyFill="0" applyBorder="0" applyAlignment="0" applyProtection="0">
      <alignment horizontal="left" wrapText="1"/>
    </xf>
    <xf numFmtId="164" fontId="2" fillId="0" borderId="0">
      <alignment horizontal="left" wrapText="1"/>
    </xf>
    <xf numFmtId="9" fontId="8" fillId="0" borderId="0">
      <alignment horizontal="right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171" fontId="7" fillId="0" borderId="0" applyNumberFormat="0" applyFill="0" applyBorder="0" applyAlignment="0" applyProtection="0"/>
    <xf numFmtId="165" fontId="6" fillId="0" borderId="0">
      <alignment horizontal="right"/>
    </xf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9" fontId="2" fillId="0" borderId="0">
      <alignment horizontal="right"/>
    </xf>
    <xf numFmtId="9" fontId="2" fillId="0" borderId="0">
      <alignment horizontal="right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0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0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13" fillId="0" borderId="0">
      <alignment vertical="top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64" fontId="2" fillId="0" borderId="0">
      <alignment horizontal="left" wrapText="1"/>
    </xf>
    <xf numFmtId="3" fontId="7" fillId="0" borderId="0"/>
    <xf numFmtId="3" fontId="7" fillId="0" borderId="0"/>
    <xf numFmtId="3" fontId="7" fillId="0" borderId="0"/>
    <xf numFmtId="164" fontId="2" fillId="0" borderId="0">
      <alignment horizontal="left" wrapText="1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2" fillId="0" borderId="0">
      <alignment horizontal="left" wrapText="1"/>
    </xf>
    <xf numFmtId="0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0" fontId="19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9" fontId="8" fillId="0" borderId="0">
      <alignment horizontal="right"/>
    </xf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/>
    <xf numFmtId="164" fontId="2" fillId="0" borderId="0"/>
    <xf numFmtId="164" fontId="2" fillId="0" borderId="0"/>
    <xf numFmtId="164" fontId="2" fillId="0" borderId="0"/>
    <xf numFmtId="3" fontId="2" fillId="0" borderId="0"/>
    <xf numFmtId="3" fontId="2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181" fontId="2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2" fontId="2" fillId="0" borderId="0" applyFont="0" applyFill="0" applyBorder="0" applyAlignment="0" applyProtection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65" fontId="6" fillId="0" borderId="0">
      <alignment horizontal="right"/>
    </xf>
    <xf numFmtId="183" fontId="21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183" fontId="20" fillId="0" borderId="0" applyFont="0" applyFill="0" applyBorder="0" applyAlignment="0" applyProtection="0"/>
    <xf numFmtId="39" fontId="21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39" fontId="20" fillId="0" borderId="0" applyFon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9" fontId="8" fillId="0" borderId="0">
      <alignment horizontal="right"/>
    </xf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2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80" fontId="18" fillId="0" borderId="0"/>
    <xf numFmtId="164" fontId="2" fillId="0" borderId="0" applyNumberFormat="0" applyFill="0" applyBorder="0" applyAlignment="0" applyProtection="0">
      <alignment horizontal="left" wrapText="1"/>
    </xf>
    <xf numFmtId="9" fontId="2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164" fontId="22" fillId="0" borderId="0">
      <alignment vertical="center"/>
    </xf>
    <xf numFmtId="164" fontId="22" fillId="0" borderId="0">
      <alignment vertical="center"/>
    </xf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13" fillId="0" borderId="0">
      <alignment vertical="top"/>
    </xf>
    <xf numFmtId="3" fontId="7" fillId="0" borderId="0"/>
    <xf numFmtId="171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0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3" borderId="0" applyNumberFormat="0" applyFont="0" applyAlignment="0" applyProtection="0"/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164" fontId="13" fillId="0" borderId="0">
      <alignment vertical="top"/>
    </xf>
    <xf numFmtId="164" fontId="2" fillId="0" borderId="0">
      <alignment horizontal="left" wrapText="1"/>
    </xf>
    <xf numFmtId="164" fontId="2" fillId="0" borderId="0"/>
    <xf numFmtId="164" fontId="2" fillId="0" borderId="0"/>
    <xf numFmtId="164" fontId="2" fillId="0" borderId="0"/>
    <xf numFmtId="164" fontId="2" fillId="0" borderId="0">
      <alignment horizontal="left" wrapText="1"/>
    </xf>
    <xf numFmtId="164" fontId="23" fillId="0" borderId="0"/>
    <xf numFmtId="164" fontId="23" fillId="0" borderId="0"/>
    <xf numFmtId="164" fontId="23" fillId="0" borderId="0"/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 applyNumberFormat="0" applyFill="0" applyBorder="0" applyAlignment="0" applyProtection="0">
      <alignment horizontal="left" wrapText="1"/>
    </xf>
    <xf numFmtId="184" fontId="2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4" fontId="20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85" fontId="20" fillId="0" borderId="0" applyFont="0" applyFill="0" applyBorder="0" applyAlignment="0" applyProtection="0"/>
    <xf numFmtId="164" fontId="22" fillId="0" borderId="0">
      <alignment vertical="center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>
      <alignment horizontal="left" wrapText="1"/>
    </xf>
    <xf numFmtId="164" fontId="2" fillId="0" borderId="0" applyNumberFormat="0" applyFill="0" applyBorder="0" applyAlignment="0" applyProtection="0">
      <alignment horizontal="left" wrapText="1"/>
    </xf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9" fontId="8" fillId="0" borderId="0">
      <alignment horizontal="right"/>
    </xf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88" fontId="2" fillId="0" borderId="0" applyFon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>
      <alignment horizontal="left" wrapText="1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9" fontId="8" fillId="0" borderId="0">
      <alignment horizontal="right"/>
    </xf>
    <xf numFmtId="9" fontId="8" fillId="0" borderId="0">
      <alignment horizontal="right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vertical="top"/>
    </xf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>
      <alignment horizontal="left" wrapText="1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164" fontId="2" fillId="0" borderId="0">
      <alignment vertical="top"/>
    </xf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71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71" fontId="7" fillId="0" borderId="0" applyNumberFormat="0" applyFill="0" applyBorder="0" applyAlignment="0" applyProtection="0"/>
    <xf numFmtId="165" fontId="6" fillId="0" borderId="0">
      <alignment horizontal="right"/>
    </xf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64" fontId="2" fillId="0" borderId="0">
      <alignment horizontal="left" wrapText="1"/>
    </xf>
    <xf numFmtId="3" fontId="7" fillId="0" borderId="0"/>
    <xf numFmtId="3" fontId="7" fillId="0" borderId="0"/>
    <xf numFmtId="3" fontId="7" fillId="0" borderId="0"/>
    <xf numFmtId="3" fontId="7" fillId="0" borderId="0"/>
    <xf numFmtId="164" fontId="2" fillId="0" borderId="0">
      <alignment horizontal="left" wrapText="1"/>
    </xf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>
      <alignment horizontal="left" wrapText="1"/>
    </xf>
    <xf numFmtId="171" fontId="7" fillId="0" borderId="0" applyNumberFormat="0" applyFill="0" applyBorder="0" applyAlignment="0" applyProtection="0"/>
    <xf numFmtId="164" fontId="2" fillId="0" borderId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>
      <alignment horizontal="left" wrapText="1"/>
    </xf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>
      <alignment horizontal="left" wrapText="1"/>
    </xf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64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7" fillId="0" borderId="0" applyNumberFormat="0" applyFill="0" applyBorder="0" applyAlignment="0" applyProtection="0"/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71" fontId="2" fillId="0" borderId="0">
      <alignment horizontal="left" wrapText="1"/>
    </xf>
    <xf numFmtId="171" fontId="2" fillId="0" borderId="0">
      <alignment horizontal="left" wrapText="1"/>
    </xf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71" fontId="2" fillId="0" borderId="0"/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13" fillId="0" borderId="0">
      <alignment vertical="top"/>
    </xf>
    <xf numFmtId="164" fontId="2" fillId="0" borderId="0" applyNumberFormat="0" applyFill="0" applyBorder="0" applyAlignment="0" applyProtection="0">
      <alignment horizontal="left" wrapText="1"/>
    </xf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164" fontId="2" fillId="0" borderId="0" applyNumberFormat="0" applyFill="0" applyBorder="0" applyAlignment="0" applyProtection="0">
      <alignment horizontal="left" wrapText="1"/>
    </xf>
    <xf numFmtId="164" fontId="2" fillId="0" borderId="0">
      <alignment horizontal="left" wrapText="1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8" fillId="0" borderId="0">
      <alignment horizontal="right"/>
    </xf>
    <xf numFmtId="9" fontId="2" fillId="0" borderId="0">
      <alignment horizontal="right"/>
    </xf>
    <xf numFmtId="9" fontId="2" fillId="0" borderId="0">
      <alignment horizontal="right"/>
    </xf>
    <xf numFmtId="9" fontId="2" fillId="0" borderId="0">
      <alignment horizontal="right"/>
    </xf>
    <xf numFmtId="164" fontId="2" fillId="0" borderId="0" applyNumberFormat="0" applyFill="0" applyBorder="0" applyAlignment="0" applyProtection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164" fontId="2" fillId="0" borderId="0">
      <alignment horizontal="left" wrapText="1"/>
    </xf>
    <xf numFmtId="44" fontId="16" fillId="0" borderId="0" applyFont="0" applyFill="0" applyBorder="0" applyAlignment="0" applyProtection="0"/>
    <xf numFmtId="42" fontId="16" fillId="0" borderId="0" applyFont="0" applyFill="0" applyBorder="0" applyAlignment="0" applyProtection="0"/>
    <xf numFmtId="189" fontId="24" fillId="0" borderId="0" applyFont="0" applyFill="0" applyBorder="0" applyAlignment="0" applyProtection="0"/>
    <xf numFmtId="190" fontId="24" fillId="0" borderId="0" applyFont="0" applyFill="0" applyBorder="0" applyAlignment="0" applyProtection="0"/>
    <xf numFmtId="191" fontId="24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2" fontId="25" fillId="0" borderId="0" applyFont="0" applyFill="0" applyBorder="0" applyAlignment="0" applyProtection="0"/>
    <xf numFmtId="193" fontId="24" fillId="0" borderId="0" applyFont="0" applyFill="0" applyBorder="0" applyAlignment="0" applyProtection="0"/>
    <xf numFmtId="194" fontId="24" fillId="0" borderId="0" applyFont="0" applyFill="0" applyBorder="0" applyAlignment="0" applyProtection="0"/>
    <xf numFmtId="195" fontId="24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96" fontId="25" fillId="0" borderId="0" applyFont="0" applyFill="0" applyBorder="0" applyAlignment="0" applyProtection="0"/>
    <xf numFmtId="171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>
      <alignment vertical="top"/>
    </xf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>
      <alignment vertical="top"/>
    </xf>
    <xf numFmtId="171" fontId="16" fillId="0" borderId="0"/>
    <xf numFmtId="171" fontId="1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9" fontId="2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8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9" fontId="26" fillId="0" borderId="0"/>
    <xf numFmtId="198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2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10" fontId="26" fillId="0" borderId="0"/>
    <xf numFmtId="2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" fillId="0" borderId="0"/>
    <xf numFmtId="197" fontId="26" fillId="0" borderId="0"/>
    <xf numFmtId="197" fontId="26" fillId="0" borderId="0"/>
    <xf numFmtId="197" fontId="2" fillId="0" borderId="0"/>
    <xf numFmtId="197" fontId="2" fillId="0" borderId="0"/>
    <xf numFmtId="197" fontId="2" fillId="0" borderId="0"/>
    <xf numFmtId="197" fontId="2" fillId="0" borderId="0"/>
    <xf numFmtId="197" fontId="2" fillId="0" borderId="0"/>
    <xf numFmtId="197" fontId="2" fillId="0" borderId="0"/>
    <xf numFmtId="197" fontId="2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197" fontId="26" fillId="0" borderId="0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2" fillId="0" borderId="0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38" fontId="16" fillId="0" borderId="2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2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2" fillId="0" borderId="0" applyAlignment="0"/>
    <xf numFmtId="1" fontId="16" fillId="0" borderId="0" applyAlignment="0"/>
    <xf numFmtId="1" fontId="2" fillId="0" borderId="0" applyAlignment="0"/>
    <xf numFmtId="1" fontId="2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" fontId="2" fillId="0" borderId="0" applyAlignment="0"/>
    <xf numFmtId="1" fontId="2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2" fillId="0" borderId="0" applyAlignment="0"/>
    <xf numFmtId="1" fontId="2" fillId="0" borderId="0" applyAlignment="0"/>
    <xf numFmtId="1" fontId="2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2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" fontId="16" fillId="0" borderId="0" applyAlignment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71" fontId="28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" fillId="0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4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71" fontId="28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" fillId="0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5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71" fontId="28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" fillId="0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6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71" fontId="28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" fillId="0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71" fontId="28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" fillId="0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8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71" fontId="28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" fillId="0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4" fontId="27" fillId="9" borderId="0" applyNumberFormat="0" applyBorder="0" applyAlignment="0" applyProtection="0"/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2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71" fontId="28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" fillId="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71" fontId="28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" fillId="0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1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71" fontId="28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" fillId="0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12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71" fontId="28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" fillId="0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7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71" fontId="28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" fillId="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0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71" fontId="28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" fillId="0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7" fillId="13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71" fontId="30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" fillId="0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4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71" fontId="30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" fillId="0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1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71" fontId="30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" fillId="0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2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71" fontId="30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" fillId="0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71" fontId="30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" fillId="0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71" fontId="30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" fillId="0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164" fontId="29" fillId="17" borderId="0" applyNumberFormat="0" applyBorder="0" applyAlignment="0" applyProtection="0"/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2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37" fontId="31" fillId="0" borderId="0">
      <alignment horizontal="center"/>
    </xf>
    <xf numFmtId="4" fontId="32" fillId="0" borderId="3">
      <alignment horizontal="center"/>
      <protection locked="0"/>
    </xf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71" fontId="30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" fillId="0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71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8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71" fontId="30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" fillId="0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19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71" fontId="30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" fillId="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20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71" fontId="30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" fillId="0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5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71" fontId="30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" fillId="0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16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71" fontId="30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" fillId="0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164" fontId="29" fillId="21" borderId="0" applyNumberFormat="0" applyBorder="0" applyAlignment="0" applyProtection="0"/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2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0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2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1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2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2" fontId="33" fillId="0" borderId="0" applyFont="0" applyFill="0" applyBorder="0" applyAlignment="0" applyProtection="0">
      <alignment vertical="top" wrapText="1"/>
    </xf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2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3" fontId="34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2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204" fontId="35" fillId="0" borderId="0" applyFont="0" applyFill="0" applyBorder="0" applyAlignment="0" applyProtection="0"/>
    <xf numFmtId="171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2" fillId="0" borderId="0" applyNumberFormat="0" applyAlignment="0"/>
    <xf numFmtId="164" fontId="2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2" fillId="0" borderId="0" applyNumberFormat="0" applyAlignment="0"/>
    <xf numFmtId="164" fontId="36" fillId="0" borderId="0" applyNumberFormat="0" applyAlignment="0"/>
    <xf numFmtId="164" fontId="2" fillId="0" borderId="0" applyNumberFormat="0" applyAlignment="0"/>
    <xf numFmtId="164" fontId="2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4" fontId="36" fillId="0" borderId="0" applyNumberFormat="0" applyAlignment="0"/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0" borderId="0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65" fontId="2" fillId="22" borderId="4">
      <alignment horizontal="center" vertical="center"/>
    </xf>
    <xf numFmtId="171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2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2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205" fontId="38" fillId="0" borderId="0">
      <alignment horizontal="left"/>
    </xf>
    <xf numFmtId="171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71" fontId="33" fillId="0" borderId="0">
      <alignment horizontal="center" wrapText="1"/>
      <protection locked="0"/>
    </xf>
    <xf numFmtId="164" fontId="2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2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71" fontId="33" fillId="0" borderId="0">
      <alignment horizontal="center" wrapText="1"/>
      <protection locked="0"/>
    </xf>
    <xf numFmtId="164" fontId="2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64" fontId="33" fillId="0" borderId="0">
      <alignment horizontal="center" wrapText="1"/>
      <protection locked="0"/>
    </xf>
    <xf numFmtId="171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71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64" fontId="39" fillId="0" borderId="0" applyNumberFormat="0" applyFill="0" applyBorder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0" borderId="0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0" borderId="0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0" borderId="0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3" fontId="2" fillId="23" borderId="3" applyNumberFormat="0" applyFont="0" applyAlignment="0" applyProtection="0"/>
    <xf numFmtId="171" fontId="16" fillId="0" borderId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71" fontId="16" fillId="0" borderId="0"/>
    <xf numFmtId="181" fontId="40" fillId="0" borderId="0" applyNumberFormat="0" applyFill="0" applyBorder="0" applyAlignment="0" applyProtection="0"/>
    <xf numFmtId="181" fontId="2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64" fontId="16" fillId="0" borderId="0"/>
    <xf numFmtId="171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64" fontId="2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71" fontId="16" fillId="0" borderId="0"/>
    <xf numFmtId="164" fontId="16" fillId="0" borderId="0"/>
    <xf numFmtId="164" fontId="2" fillId="0" borderId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2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2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64" fontId="2" fillId="0" borderId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2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71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64" fontId="2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71" fontId="16" fillId="0" borderId="0"/>
    <xf numFmtId="164" fontId="16" fillId="0" borderId="0"/>
    <xf numFmtId="164" fontId="2" fillId="0" borderId="0"/>
    <xf numFmtId="164" fontId="2" fillId="0" borderId="0"/>
    <xf numFmtId="164" fontId="16" fillId="0" borderId="0"/>
    <xf numFmtId="164" fontId="16" fillId="0" borderId="0"/>
    <xf numFmtId="164" fontId="16" fillId="0" borderId="0"/>
    <xf numFmtId="164" fontId="2" fillId="0" borderId="0"/>
    <xf numFmtId="164" fontId="16" fillId="0" borderId="0"/>
    <xf numFmtId="171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64" fontId="2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71" fontId="16" fillId="0" borderId="0"/>
    <xf numFmtId="171" fontId="16" fillId="0" borderId="0"/>
    <xf numFmtId="171" fontId="16" fillId="0" borderId="0"/>
    <xf numFmtId="164" fontId="16" fillId="0" borderId="0"/>
    <xf numFmtId="164" fontId="16" fillId="0" borderId="0"/>
    <xf numFmtId="171" fontId="16" fillId="0" borderId="0"/>
    <xf numFmtId="171" fontId="16" fillId="0" borderId="0"/>
    <xf numFmtId="181" fontId="40" fillId="0" borderId="0" applyNumberFormat="0" applyFill="0" applyBorder="0" applyAlignment="0" applyProtection="0"/>
    <xf numFmtId="181" fontId="2" fillId="0" borderId="0" applyNumberFormat="0" applyFill="0" applyBorder="0" applyAlignment="0" applyProtection="0"/>
    <xf numFmtId="164" fontId="16" fillId="0" borderId="0"/>
    <xf numFmtId="164" fontId="16" fillId="0" borderId="0"/>
    <xf numFmtId="171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64" fontId="2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71" fontId="16" fillId="0" borderId="0"/>
    <xf numFmtId="164" fontId="2" fillId="0" borderId="0"/>
    <xf numFmtId="164" fontId="16" fillId="0" borderId="0"/>
    <xf numFmtId="164" fontId="2" fillId="0" borderId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2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64" fontId="16" fillId="0" borderId="0"/>
    <xf numFmtId="181" fontId="2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81" fontId="40" fillId="0" borderId="0" applyNumberFormat="0" applyFill="0" applyBorder="0" applyAlignment="0" applyProtection="0"/>
    <xf numFmtId="171" fontId="16" fillId="0" borderId="0"/>
    <xf numFmtId="171" fontId="16" fillId="0" borderId="0"/>
    <xf numFmtId="164" fontId="16" fillId="0" borderId="0"/>
    <xf numFmtId="164" fontId="16" fillId="0" borderId="0"/>
    <xf numFmtId="171" fontId="16" fillId="0" borderId="0"/>
    <xf numFmtId="171" fontId="16" fillId="0" borderId="0"/>
    <xf numFmtId="164" fontId="16" fillId="0" borderId="0"/>
    <xf numFmtId="181" fontId="40" fillId="0" borderId="0" applyNumberFormat="0" applyFill="0" applyBorder="0" applyAlignment="0" applyProtection="0"/>
    <xf numFmtId="171" fontId="16" fillId="0" borderId="0"/>
    <xf numFmtId="171" fontId="16" fillId="0" borderId="0"/>
    <xf numFmtId="171" fontId="16" fillId="0" borderId="0"/>
    <xf numFmtId="171" fontId="16" fillId="0" borderId="0"/>
    <xf numFmtId="171" fontId="16" fillId="0" borderId="0"/>
    <xf numFmtId="171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64" fontId="2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71" fontId="16" fillId="0" borderId="0"/>
    <xf numFmtId="164" fontId="16" fillId="0" borderId="0"/>
    <xf numFmtId="164" fontId="16" fillId="0" borderId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2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71" fontId="16" fillId="0" borderId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2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2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81" fontId="40" fillId="0" borderId="0" applyNumberFormat="0" applyFill="0" applyBorder="0" applyAlignment="0" applyProtection="0"/>
    <xf numFmtId="171" fontId="16" fillId="0" borderId="0"/>
    <xf numFmtId="171" fontId="16" fillId="0" borderId="0"/>
    <xf numFmtId="164" fontId="16" fillId="0" borderId="0"/>
    <xf numFmtId="164" fontId="16" fillId="0" borderId="0"/>
    <xf numFmtId="171" fontId="16" fillId="0" borderId="0"/>
    <xf numFmtId="171" fontId="16" fillId="0" borderId="0"/>
    <xf numFmtId="181" fontId="40" fillId="0" borderId="0" applyNumberFormat="0" applyFill="0" applyBorder="0" applyAlignment="0" applyProtection="0"/>
    <xf numFmtId="171" fontId="16" fillId="0" borderId="0"/>
    <xf numFmtId="171" fontId="16" fillId="0" borderId="0"/>
    <xf numFmtId="164" fontId="16" fillId="0" borderId="0"/>
    <xf numFmtId="164" fontId="16" fillId="0" borderId="0"/>
    <xf numFmtId="171" fontId="16" fillId="0" borderId="0"/>
    <xf numFmtId="171" fontId="16" fillId="0" borderId="0"/>
    <xf numFmtId="181" fontId="40" fillId="0" borderId="0" applyNumberFormat="0" applyFill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71" fontId="42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2" fillId="0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41" fillId="5" borderId="0" applyNumberFormat="0" applyBorder="0" applyAlignment="0" applyProtection="0"/>
    <xf numFmtId="164" fontId="9" fillId="0" borderId="0"/>
    <xf numFmtId="171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71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206" fontId="2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2" fillId="0" borderId="0"/>
    <xf numFmtId="181" fontId="33" fillId="0" borderId="0"/>
    <xf numFmtId="181" fontId="33" fillId="0" borderId="0"/>
    <xf numFmtId="181" fontId="33" fillId="0" borderId="0"/>
    <xf numFmtId="181" fontId="2" fillId="0" borderId="0"/>
    <xf numFmtId="181" fontId="33" fillId="0" borderId="0"/>
    <xf numFmtId="181" fontId="33" fillId="0" borderId="0"/>
    <xf numFmtId="181" fontId="2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181" fontId="33" fillId="0" borderId="0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7" fontId="2" fillId="0" borderId="0"/>
    <xf numFmtId="207" fontId="33" fillId="0" borderId="5"/>
    <xf numFmtId="207" fontId="33" fillId="0" borderId="5"/>
    <xf numFmtId="207" fontId="33" fillId="0" borderId="5"/>
    <xf numFmtId="207" fontId="2" fillId="0" borderId="0"/>
    <xf numFmtId="207" fontId="33" fillId="0" borderId="5"/>
    <xf numFmtId="207" fontId="33" fillId="0" borderId="5"/>
    <xf numFmtId="207" fontId="2" fillId="0" borderId="0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7" fontId="33" fillId="0" borderId="5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2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8" fontId="43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209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71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71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2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43" fillId="0" borderId="0">
      <alignment horizontal="right"/>
    </xf>
    <xf numFmtId="164" fontId="2" fillId="0" borderId="0">
      <alignment horizontal="right"/>
    </xf>
    <xf numFmtId="171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164" fontId="2" fillId="0" borderId="0">
      <alignment horizontal="right"/>
    </xf>
    <xf numFmtId="210" fontId="9" fillId="0" borderId="0" applyBorder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2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1" fontId="16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2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2" fontId="44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2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213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172" fontId="16" fillId="0" borderId="0" applyFont="0" applyFill="0" applyBorder="0" applyAlignment="0" applyProtection="0"/>
    <xf numFmtId="214" fontId="16" fillId="0" borderId="0" applyFont="0" applyFill="0" applyBorder="0" applyAlignment="0" applyProtection="0"/>
    <xf numFmtId="171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164" fontId="45" fillId="0" borderId="0" applyNumberFormat="0" applyFill="0" applyBorder="0" applyAlignment="0" applyProtection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2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5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2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6" fontId="43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7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8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219" fontId="2" fillId="0" borderId="0"/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2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2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2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7" fontId="40" fillId="0" borderId="0">
      <alignment horizontal="right"/>
      <protection locked="0"/>
    </xf>
    <xf numFmtId="164" fontId="45" fillId="0" borderId="0" applyNumberFormat="0" applyFill="0" applyBorder="0" applyAlignment="0" applyProtection="0"/>
    <xf numFmtId="171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64" fontId="46" fillId="0" borderId="0" applyNumberFormat="0" applyFill="0" applyBorder="0" applyAlignment="0" applyProtection="0"/>
    <xf numFmtId="171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2" fillId="0" borderId="0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64" fontId="47" fillId="0" borderId="1" applyNumberFormat="0" applyFill="0" applyAlignment="0" applyProtection="0"/>
    <xf numFmtId="171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2" fillId="0" borderId="0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164" fontId="33" fillId="0" borderId="6" applyNumberFormat="0" applyFon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0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0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0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7" applyNumberFormat="0" applyFill="0" applyAlignment="0" applyProtection="0"/>
    <xf numFmtId="205" fontId="2" fillId="0" borderId="0" applyNumberFormat="0" applyFill="0" applyAlignment="0" applyProtection="0"/>
    <xf numFmtId="220" fontId="48" fillId="0" borderId="6" applyNumberFormat="0" applyFill="0" applyAlignment="0" applyProtection="0">
      <alignment horizontal="center"/>
    </xf>
    <xf numFmtId="221" fontId="48" fillId="0" borderId="1" applyFill="0" applyAlignment="0" applyProtection="0">
      <alignment horizontal="center"/>
    </xf>
    <xf numFmtId="49" fontId="49" fillId="0" borderId="0" applyFont="0" applyFill="0" applyBorder="0" applyAlignment="0" applyProtection="0">
      <alignment horizontal="left"/>
    </xf>
    <xf numFmtId="222" fontId="9" fillId="0" borderId="0" applyAlignment="0" applyProtection="0"/>
    <xf numFmtId="199" fontId="36" fillId="0" borderId="0" applyFill="0" applyBorder="0" applyAlignment="0" applyProtection="0"/>
    <xf numFmtId="49" fontId="36" fillId="0" borderId="0" applyNumberFormat="0" applyAlignment="0" applyProtection="0">
      <alignment horizontal="left"/>
    </xf>
    <xf numFmtId="49" fontId="50" fillId="0" borderId="8" applyNumberFormat="0" applyAlignment="0" applyProtection="0">
      <alignment horizontal="left" wrapText="1"/>
    </xf>
    <xf numFmtId="49" fontId="50" fillId="0" borderId="0" applyNumberFormat="0" applyAlignment="0" applyProtection="0">
      <alignment horizontal="left" wrapText="1"/>
    </xf>
    <xf numFmtId="49" fontId="51" fillId="0" borderId="0" applyAlignment="0" applyProtection="0">
      <alignment horizontal="left"/>
    </xf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223" fontId="52" fillId="0" borderId="0" applyFont="0" applyFill="0" applyBorder="0" applyAlignment="0" applyProtection="0"/>
    <xf numFmtId="171" fontId="25" fillId="0" borderId="0" applyFont="0" applyFill="0" applyBorder="0" applyAlignment="0" applyProtection="0"/>
    <xf numFmtId="224" fontId="2" fillId="0" borderId="0" applyFont="0" applyFill="0" applyBorder="0" applyProtection="0">
      <alignment horizontal="left"/>
    </xf>
    <xf numFmtId="225" fontId="2" fillId="0" borderId="0" applyFont="0" applyFill="0" applyBorder="0" applyProtection="0">
      <alignment horizontal="left"/>
    </xf>
    <xf numFmtId="226" fontId="2" fillId="0" borderId="0" applyFont="0" applyFill="0" applyBorder="0" applyProtection="0">
      <alignment horizontal="left"/>
    </xf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2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2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2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2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2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2" fillId="0" borderId="0">
      <alignment horizontal="right"/>
    </xf>
    <xf numFmtId="227" fontId="16" fillId="0" borderId="0">
      <alignment horizontal="right"/>
    </xf>
    <xf numFmtId="227" fontId="2" fillId="0" borderId="0">
      <alignment horizontal="right"/>
    </xf>
    <xf numFmtId="227" fontId="2" fillId="0" borderId="0">
      <alignment horizontal="right"/>
    </xf>
    <xf numFmtId="227" fontId="2" fillId="0" borderId="0">
      <alignment horizontal="right"/>
    </xf>
    <xf numFmtId="227" fontId="2" fillId="0" borderId="0">
      <alignment horizontal="right"/>
    </xf>
    <xf numFmtId="227" fontId="2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227" fontId="16" fillId="0" borderId="0">
      <alignment horizontal="right"/>
    </xf>
    <xf numFmtId="43" fontId="16" fillId="0" borderId="0">
      <alignment horizontal="right"/>
    </xf>
    <xf numFmtId="43" fontId="2" fillId="0" borderId="0">
      <alignment horizontal="right"/>
    </xf>
    <xf numFmtId="43" fontId="2" fillId="0" borderId="0">
      <alignment horizontal="right"/>
    </xf>
    <xf numFmtId="43" fontId="2" fillId="0" borderId="0">
      <alignment horizontal="right"/>
    </xf>
    <xf numFmtId="43" fontId="2" fillId="0" borderId="0">
      <alignment horizontal="right"/>
    </xf>
    <xf numFmtId="43" fontId="2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43" fontId="16" fillId="0" borderId="0">
      <alignment horizontal="right"/>
    </xf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2" fillId="0" borderId="0"/>
    <xf numFmtId="164" fontId="1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12" fillId="0" borderId="0"/>
    <xf numFmtId="171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171" fontId="12" fillId="0" borderId="0"/>
    <xf numFmtId="164" fontId="12" fillId="0" borderId="0"/>
    <xf numFmtId="164" fontId="12" fillId="0" borderId="0"/>
    <xf numFmtId="171" fontId="12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2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2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41" fontId="35" fillId="0" borderId="0"/>
    <xf numFmtId="171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2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2" fillId="0" borderId="0" applyFill="0">
      <alignment horizontal="center"/>
    </xf>
    <xf numFmtId="164" fontId="36" fillId="0" borderId="0" applyFill="0">
      <alignment horizontal="center"/>
    </xf>
    <xf numFmtId="164" fontId="2" fillId="0" borderId="0" applyFill="0">
      <alignment horizontal="center"/>
    </xf>
    <xf numFmtId="164" fontId="2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164" fontId="36" fillId="0" borderId="0" applyFill="0">
      <alignment horizontal="center"/>
    </xf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2" fillId="0" borderId="0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41" fontId="35" fillId="0" borderId="9" applyFill="0"/>
    <xf numFmtId="171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64" fontId="2" fillId="0" borderId="0" applyFont="0" applyAlignment="0"/>
    <xf numFmtId="171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2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64" fontId="53" fillId="0" borderId="0" applyFill="0">
      <alignment vertical="top"/>
    </xf>
    <xf numFmtId="171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2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164" fontId="5" fillId="0" borderId="0" applyFill="0">
      <alignment horizontal="left" vertical="top"/>
    </xf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2" fillId="0" borderId="0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228" fontId="54" fillId="0" borderId="5" applyFill="0"/>
    <xf numFmtId="171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64" fontId="2" fillId="0" borderId="0" applyNumberFormat="0" applyFont="0" applyAlignment="0"/>
    <xf numFmtId="171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2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64" fontId="53" fillId="0" borderId="0" applyFill="0">
      <alignment wrapText="1"/>
    </xf>
    <xf numFmtId="171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2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164" fontId="5" fillId="0" borderId="0" applyFill="0">
      <alignment horizontal="left" vertical="top" wrapText="1"/>
    </xf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2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228" fontId="4" fillId="0" borderId="0" applyFill="0"/>
    <xf numFmtId="171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2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71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2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64" fontId="56" fillId="0" borderId="0" applyFill="0">
      <alignment vertical="top" wrapText="1"/>
    </xf>
    <xf numFmtId="171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71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2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164" fontId="54" fillId="0" borderId="0" applyFill="0">
      <alignment horizontal="left" vertical="top" wrapText="1"/>
    </xf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228" fontId="2" fillId="0" borderId="0" applyFill="0"/>
    <xf numFmtId="171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2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71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2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64" fontId="57" fillId="0" borderId="0" applyFill="0">
      <alignment vertical="center" wrapText="1"/>
    </xf>
    <xf numFmtId="171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71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2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164" fontId="39" fillId="0" borderId="0">
      <alignment horizontal="left" vertical="center" wrapText="1"/>
    </xf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2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228" fontId="9" fillId="0" borderId="0" applyFill="0"/>
    <xf numFmtId="171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2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71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64" fontId="17" fillId="0" borderId="0" applyFill="0">
      <alignment horizontal="center" vertical="center" wrapText="1"/>
    </xf>
    <xf numFmtId="171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71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71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2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228" fontId="58" fillId="0" borderId="0" applyFill="0"/>
    <xf numFmtId="171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2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71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64" fontId="59" fillId="0" borderId="0" applyFill="0">
      <alignment horizontal="center" vertical="center" wrapText="1"/>
    </xf>
    <xf numFmtId="171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2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164" fontId="60" fillId="0" borderId="0" applyFill="0">
      <alignment horizontal="center" vertical="center" wrapText="1"/>
    </xf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2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228" fontId="61" fillId="0" borderId="0" applyFill="0"/>
    <xf numFmtId="171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2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64" fontId="55" fillId="0" borderId="0" applyNumberFormat="0" applyFont="0" applyAlignment="0">
      <alignment horizontal="center"/>
    </xf>
    <xf numFmtId="171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64" fontId="62" fillId="0" borderId="0">
      <alignment horizontal="center" wrapText="1"/>
    </xf>
    <xf numFmtId="171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2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164" fontId="58" fillId="0" borderId="0" applyFill="0">
      <alignment horizontal="center" wrapText="1"/>
    </xf>
    <xf numFmtId="229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229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71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71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230" fontId="2" fillId="0" borderId="0" applyFill="0" applyBorder="0" applyAlignment="0"/>
    <xf numFmtId="171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71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71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71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0" borderId="0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38" fontId="2" fillId="24" borderId="2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71" fontId="64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2" fillId="0" borderId="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64" fontId="63" fillId="25" borderId="10" applyNumberFormat="0" applyAlignment="0" applyProtection="0"/>
    <xf numFmtId="171" fontId="2" fillId="0" borderId="0" applyFill="0" applyBorder="0" applyAlignment="0"/>
    <xf numFmtId="171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2" fillId="0" borderId="0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64" fontId="65" fillId="0" borderId="11" applyBorder="0">
      <alignment horizontal="left" wrapText="1"/>
    </xf>
    <xf numFmtId="181" fontId="66" fillId="0" borderId="0" applyNumberFormat="0" applyFont="0" applyFill="0" applyBorder="0" applyProtection="0">
      <alignment horizontal="centerContinuous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2" fillId="0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231" fontId="36" fillId="26" borderId="0" applyNumberFormat="0" applyFont="0" applyBorder="0" applyAlignment="0">
      <protection locked="0"/>
    </xf>
    <xf numFmtId="171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2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64" fontId="67" fillId="0" borderId="0"/>
    <xf numFmtId="171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2" fillId="0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64" fontId="68" fillId="27" borderId="0">
      <alignment horizontal="centerContinuous" vertical="center"/>
    </xf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2" fillId="0" borderId="0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64" fontId="47" fillId="0" borderId="1" applyNumberFormat="0" applyFont="0" applyFill="0" applyProtection="0">
      <alignment horizontal="centerContinuous" vertical="center"/>
    </xf>
    <xf numFmtId="171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2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64" fontId="4" fillId="0" borderId="0" applyFill="0" applyBorder="0" applyProtection="0">
      <alignment horizontal="center"/>
      <protection locked="0"/>
    </xf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2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" fontId="69" fillId="0" borderId="0"/>
    <xf numFmtId="171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2" fillId="0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64" fontId="70" fillId="28" borderId="0"/>
    <xf numFmtId="171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71" fontId="13" fillId="0" borderId="0"/>
    <xf numFmtId="164" fontId="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71" fontId="13" fillId="0" borderId="0"/>
    <xf numFmtId="164" fontId="2" fillId="0" borderId="0"/>
    <xf numFmtId="164" fontId="13" fillId="0" borderId="0"/>
    <xf numFmtId="164" fontId="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71" fontId="72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2" fillId="0" borderId="0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164" fontId="71" fillId="29" borderId="12" applyNumberFormat="0" applyAlignment="0" applyProtection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2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171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71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71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64" fontId="36" fillId="0" borderId="0" applyNumberFormat="0" applyFill="0" applyBorder="0" applyAlignment="0" applyProtection="0"/>
    <xf numFmtId="171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2" fillId="0" borderId="0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164" fontId="73" fillId="0" borderId="1" applyNumberFormat="0" applyFill="0" applyBorder="0" applyAlignment="0" applyProtection="0">
      <alignment horizontal="center"/>
    </xf>
    <xf numFmtId="232" fontId="74" fillId="30" borderId="9">
      <alignment horizontal="center" vertical="center" wrapText="1"/>
    </xf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2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2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2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49" fontId="7" fillId="0" borderId="0" applyNumberFormat="0" applyFill="0" applyBorder="0" applyProtection="0"/>
    <xf numFmtId="171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164" fontId="26" fillId="0" borderId="0">
      <alignment horizontal="center" wrapText="1"/>
      <protection hidden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2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49" fontId="75" fillId="0" borderId="0" applyNumberFormat="0" applyFill="0" applyBorder="0" applyProtection="0">
      <alignment wrapText="1"/>
    </xf>
    <xf numFmtId="171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2" fillId="0" borderId="0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64" fontId="76" fillId="0" borderId="1" applyNumberFormat="0" applyFill="0" applyBorder="0" applyProtection="0">
      <alignment horizontal="left" vertical="center"/>
    </xf>
    <xf numFmtId="171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2" fillId="0" borderId="0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64" fontId="76" fillId="0" borderId="1" applyNumberFormat="0" applyFill="0" applyBorder="0" applyProtection="0">
      <alignment horizontal="right" vertical="center"/>
    </xf>
    <xf numFmtId="171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2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64" fontId="47" fillId="0" borderId="0" applyNumberFormat="0" applyFill="0" applyBorder="0" applyProtection="0">
      <alignment horizontal="center" vertical="center"/>
    </xf>
    <xf numFmtId="171" fontId="77" fillId="0" borderId="13">
      <alignment horizontal="center"/>
    </xf>
    <xf numFmtId="171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2" fillId="0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64" fontId="78" fillId="31" borderId="0"/>
    <xf numFmtId="171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2" fillId="0" borderId="0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164" fontId="7" fillId="30" borderId="3">
      <alignment horizontal="center" vertical="center" wrapText="1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2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2" fillId="0" borderId="0">
      <alignment horizontal="right"/>
    </xf>
    <xf numFmtId="233" fontId="16" fillId="0" borderId="0">
      <alignment horizontal="right"/>
    </xf>
    <xf numFmtId="233" fontId="2" fillId="0" borderId="0">
      <alignment horizontal="right"/>
    </xf>
    <xf numFmtId="233" fontId="2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3" fontId="16" fillId="0" borderId="0">
      <alignment horizontal="right"/>
    </xf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2" fillId="0" borderId="0"/>
    <xf numFmtId="234" fontId="79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2" fillId="0" borderId="0"/>
    <xf numFmtId="234" fontId="79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2" fillId="0" borderId="0"/>
    <xf numFmtId="234" fontId="79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2" fillId="0" borderId="0"/>
    <xf numFmtId="234" fontId="79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2" fillId="0" borderId="0"/>
    <xf numFmtId="234" fontId="79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2" fillId="0" borderId="0"/>
    <xf numFmtId="234" fontId="79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2" fillId="0" borderId="0"/>
    <xf numFmtId="234" fontId="79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80" fillId="0" borderId="0"/>
    <xf numFmtId="234" fontId="80" fillId="0" borderId="0"/>
    <xf numFmtId="234" fontId="79" fillId="0" borderId="0"/>
    <xf numFmtId="234" fontId="79" fillId="0" borderId="0"/>
    <xf numFmtId="234" fontId="79" fillId="0" borderId="0"/>
    <xf numFmtId="234" fontId="79" fillId="0" borderId="0"/>
    <xf numFmtId="234" fontId="2" fillId="0" borderId="0"/>
    <xf numFmtId="234" fontId="79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80" fillId="0" borderId="0"/>
    <xf numFmtId="234" fontId="79" fillId="0" borderId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2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5" fontId="81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6" fontId="2" fillId="0" borderId="0" applyFont="0" applyFill="0" applyBorder="0" applyAlignment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2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7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2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238" fontId="48" fillId="0" borderId="0" applyFont="0" applyFill="0" applyBorder="0" applyProtection="0"/>
    <xf numFmtId="44" fontId="19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239" fontId="2" fillId="0" borderId="0" applyFont="0" applyFill="0" applyBorder="0" applyAlignment="0" applyProtection="0"/>
    <xf numFmtId="240" fontId="2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0" fontId="2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2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1" fontId="36" fillId="0" borderId="0" applyFont="0" applyFill="0" applyBorder="0" applyAlignment="0" applyProtection="0"/>
    <xf numFmtId="242" fontId="2" fillId="0" borderId="0" applyFont="0" applyFill="0" applyBorder="0" applyAlignment="0" applyProtection="0"/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243" fontId="82" fillId="0" borderId="0" applyFont="0" applyFill="0" applyBorder="0" applyAlignment="0" applyProtection="0">
      <alignment horizontal="right"/>
    </xf>
    <xf numFmtId="164" fontId="21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2" fillId="0" borderId="0" applyFont="0" applyFill="0" applyBorder="0" applyAlignment="0" applyProtection="0"/>
    <xf numFmtId="244" fontId="83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48" fillId="0" borderId="0" applyFont="0" applyFill="0" applyBorder="0" applyAlignment="0" applyProtection="0"/>
    <xf numFmtId="244" fontId="83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2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5" fontId="9" fillId="0" borderId="0" applyFont="0" applyFill="0" applyBorder="0" applyAlignment="0" applyProtection="0"/>
    <xf numFmtId="246" fontId="2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2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7" fontId="83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2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8" fontId="9" fillId="0" borderId="0" applyFont="0" applyFill="0" applyBorder="0" applyAlignment="0" applyProtection="0"/>
    <xf numFmtId="249" fontId="2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2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0" fontId="83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2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1" fontId="9" fillId="0" borderId="0" applyFont="0" applyFill="0" applyBorder="0" applyAlignment="0" applyProtection="0"/>
    <xf numFmtId="252" fontId="2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2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3" fontId="83" fillId="0" borderId="0" applyFont="0" applyFill="0" applyBorder="0" applyAlignment="0" applyProtection="0"/>
    <xf numFmtId="254" fontId="21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4" fillId="0" borderId="0" applyFont="0" applyFill="0" applyBorder="0" applyAlignment="0" applyProtection="0"/>
    <xf numFmtId="43" fontId="8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255" fontId="82" fillId="0" borderId="0" applyFont="0" applyFill="0" applyBorder="0" applyAlignment="0" applyProtection="0">
      <alignment horizontal="right"/>
    </xf>
    <xf numFmtId="255" fontId="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255" fontId="82" fillId="0" borderId="0" applyFont="0" applyFill="0" applyBorder="0" applyAlignment="0" applyProtection="0">
      <alignment horizontal="right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5" fillId="0" borderId="0" applyFont="0" applyFill="0" applyBorder="0" applyAlignment="0" applyProtection="0"/>
    <xf numFmtId="43" fontId="1" fillId="0" borderId="0" applyFont="0" applyFill="0" applyBorder="0" applyAlignment="0" applyProtection="0"/>
    <xf numFmtId="256" fontId="16" fillId="0" borderId="0" applyFont="0" applyFill="0" applyBorder="0" applyAlignment="0" applyProtection="0"/>
    <xf numFmtId="256" fontId="16" fillId="0" borderId="0" applyFont="0" applyFill="0" applyBorder="0" applyAlignment="0" applyProtection="0"/>
    <xf numFmtId="256" fontId="2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" fillId="0" borderId="0" applyFont="0" applyFill="0" applyBorder="0" applyAlignment="0" applyProtection="0"/>
    <xf numFmtId="256" fontId="16" fillId="0" borderId="0" applyFont="0" applyFill="0" applyBorder="0" applyAlignment="0" applyProtection="0"/>
    <xf numFmtId="256" fontId="16" fillId="0" borderId="0" applyFont="0" applyFill="0" applyBorder="0" applyAlignment="0" applyProtection="0"/>
    <xf numFmtId="256" fontId="16" fillId="0" borderId="0" applyFont="0" applyFill="0" applyBorder="0" applyAlignment="0" applyProtection="0"/>
    <xf numFmtId="256" fontId="2" fillId="0" borderId="0" applyFont="0" applyFill="0" applyBorder="0" applyAlignment="0" applyProtection="0"/>
    <xf numFmtId="4" fontId="39" fillId="0" borderId="0" applyFont="0" applyFill="0" applyAlignment="0" applyProtection="0"/>
    <xf numFmtId="43" fontId="1" fillId="0" borderId="0" applyFont="0" applyFill="0" applyBorder="0" applyAlignment="0" applyProtection="0"/>
    <xf numFmtId="4" fontId="39" fillId="0" borderId="0" applyFont="0" applyFill="0" applyAlignment="0" applyProtection="0"/>
    <xf numFmtId="4" fontId="39" fillId="0" borderId="0" applyFont="0" applyFill="0" applyAlignment="0" applyProtection="0"/>
    <xf numFmtId="4" fontId="39" fillId="0" borderId="0" applyFont="0" applyFill="0" applyAlignment="0" applyProtection="0"/>
    <xf numFmtId="4" fontId="39" fillId="0" borderId="0" applyFont="0" applyFill="0" applyAlignment="0" applyProtection="0"/>
    <xf numFmtId="256" fontId="1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171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2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235" fontId="11" fillId="0" borderId="0" applyFont="0" applyFill="0" applyBorder="0" applyAlignment="0" applyProtection="0"/>
    <xf numFmtId="171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2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2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235" fontId="11" fillId="0" borderId="0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2" fillId="0" borderId="0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4" fontId="73" fillId="0" borderId="3" applyFont="0" applyFill="0" applyBorder="0" applyAlignment="0" applyProtection="0"/>
    <xf numFmtId="171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71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2" fillId="0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88" fillId="32" borderId="0">
      <alignment horizontal="center" vertical="center" wrapText="1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71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2" fillId="0" borderId="0" applyFill="0" applyBorder="0" applyAlignment="0" applyProtection="0">
      <protection locked="0"/>
    </xf>
    <xf numFmtId="164" fontId="5" fillId="0" borderId="0" applyFill="0" applyBorder="0" applyAlignment="0" applyProtection="0">
      <protection locked="0"/>
    </xf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89" fillId="0" borderId="0" applyNumberFormat="0" applyFill="0" applyBorder="0" applyAlignment="0" applyProtection="0"/>
    <xf numFmtId="164" fontId="5" fillId="0" borderId="0" applyFill="0" applyBorder="0" applyAlignment="0" applyProtection="0">
      <protection locked="0"/>
    </xf>
    <xf numFmtId="164" fontId="88" fillId="32" borderId="0">
      <alignment horizontal="center" vertical="center" wrapText="1"/>
    </xf>
    <xf numFmtId="171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2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64" fontId="90" fillId="0" borderId="0">
      <alignment horizontal="left" vertical="center" indent="1"/>
    </xf>
    <xf numFmtId="10" fontId="2" fillId="0" borderId="0"/>
    <xf numFmtId="171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2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164" fontId="91" fillId="0" borderId="0" applyNumberFormat="0" applyAlignment="0">
      <alignment horizontal="left"/>
    </xf>
    <xf numFmtId="257" fontId="2" fillId="0" borderId="0" applyFont="0" applyFill="0" applyBorder="0" applyAlignment="0" applyProtection="0"/>
    <xf numFmtId="258" fontId="92" fillId="0" borderId="0" applyFill="0" applyBorder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2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59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2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0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2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1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2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2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2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3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2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4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2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65" fontId="48" fillId="0" borderId="0" applyFont="0" applyFill="0" applyBorder="0" applyAlignment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58" fontId="92" fillId="0" borderId="0" applyFill="0" applyBorder="0" applyProtection="0"/>
    <xf numFmtId="266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2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8" fontId="48" fillId="0" borderId="0" applyFont="0" applyFill="0" applyBorder="0" applyAlignment="0" applyProtection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2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69" fontId="48" fillId="0" borderId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2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0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2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1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2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2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2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3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2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74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2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67" fontId="48" fillId="0" borderId="0" applyFont="0" applyFill="0" applyBorder="0" applyAlignment="0" applyProtection="0"/>
    <xf numFmtId="275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2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7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2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8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2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79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2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80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2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76" fontId="48" fillId="0" borderId="0" applyFont="0" applyFill="0" applyBorder="0" applyAlignment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2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2" fillId="0" borderId="0" applyFill="0" applyBorder="0" applyProtection="0"/>
    <xf numFmtId="281" fontId="2" fillId="0" borderId="0" applyFill="0" applyBorder="0" applyProtection="0"/>
    <xf numFmtId="281" fontId="16" fillId="0" borderId="0" applyFill="0" applyBorder="0" applyProtection="0"/>
    <xf numFmtId="281" fontId="2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0" applyFill="0" applyBorder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2" fillId="0" borderId="0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2" fillId="0" borderId="0" applyFill="0" applyProtection="0"/>
    <xf numFmtId="281" fontId="2" fillId="0" borderId="0" applyFill="0" applyProtection="0"/>
    <xf numFmtId="281" fontId="16" fillId="0" borderId="5" applyFill="0" applyProtection="0"/>
    <xf numFmtId="281" fontId="2" fillId="0" borderId="0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5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2" fillId="0" borderId="0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2" fillId="0" borderId="0" applyFill="0" applyProtection="0"/>
    <xf numFmtId="281" fontId="2" fillId="0" borderId="0" applyFill="0" applyProtection="0"/>
    <xf numFmtId="281" fontId="16" fillId="0" borderId="14" applyFill="0" applyProtection="0"/>
    <xf numFmtId="281" fontId="2" fillId="0" borderId="0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16" fillId="0" borderId="14" applyFill="0" applyProtection="0"/>
    <xf numFmtId="281" fontId="2" fillId="0" borderId="0" applyFill="0" applyBorder="0" applyProtection="0"/>
    <xf numFmtId="282" fontId="2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2" fontId="2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283" fontId="26" fillId="0" borderId="0" applyFill="0" applyBorder="0">
      <alignment horizontal="right"/>
      <protection locked="0"/>
    </xf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84" fontId="2" fillId="0" borderId="0" applyFont="0" applyFill="0" applyBorder="0" applyAlignment="0" applyProtection="0"/>
    <xf numFmtId="219" fontId="2" fillId="0" borderId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2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5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2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286" fontId="48" fillId="0" borderId="0" applyFont="0" applyFill="0" applyBorder="0" applyProtection="0"/>
    <xf numFmtId="181" fontId="19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235" fontId="2" fillId="0" borderId="0" applyFont="0" applyFill="0" applyBorder="0" applyAlignment="0" applyProtection="0"/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73" fillId="0" borderId="15">
      <protection locked="0"/>
    </xf>
    <xf numFmtId="8" fontId="2" fillId="0" borderId="0">
      <protection locked="0"/>
    </xf>
    <xf numFmtId="8" fontId="7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93" fillId="0" borderId="15">
      <protection locked="0"/>
    </xf>
    <xf numFmtId="8" fontId="73" fillId="0" borderId="15">
      <protection locked="0"/>
    </xf>
    <xf numFmtId="254" fontId="2" fillId="0" borderId="0" applyFont="0" applyFill="0" applyBorder="0" applyAlignment="0" applyProtection="0"/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7" fontId="82" fillId="0" borderId="0" applyFont="0" applyFill="0" applyBorder="0" applyAlignment="0" applyProtection="0">
      <alignment horizontal="right"/>
    </xf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2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8" fontId="83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2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89" fontId="9" fillId="0" borderId="0" applyFont="0" applyFill="0" applyBorder="0" applyAlignment="0" applyProtection="0"/>
    <xf numFmtId="290" fontId="2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2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1" fontId="83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2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2" fontId="9" fillId="0" borderId="0" applyFont="0" applyFill="0" applyBorder="0" applyAlignment="0" applyProtection="0"/>
    <xf numFmtId="293" fontId="2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2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4" fontId="83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2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5" fontId="9" fillId="0" borderId="0" applyFont="0" applyFill="0" applyBorder="0" applyAlignment="0" applyProtection="0"/>
    <xf numFmtId="296" fontId="2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2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97" fontId="83" fillId="0" borderId="0" applyFont="0" applyFill="0" applyBorder="0" applyAlignment="0" applyProtection="0"/>
    <xf numFmtId="263" fontId="2" fillId="0" borderId="0" applyFont="0" applyFill="0" applyBorder="0" applyAlignment="0" applyProtection="0">
      <alignment horizontal="right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298" fontId="82" fillId="0" borderId="0" applyFont="0" applyFill="0" applyBorder="0" applyAlignment="0" applyProtection="0">
      <alignment horizontal="right"/>
    </xf>
    <xf numFmtId="4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2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2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2" fillId="0" borderId="0" applyFont="0" applyFill="0" applyBorder="0" applyProtection="0">
      <alignment horizontal="right"/>
    </xf>
    <xf numFmtId="299" fontId="2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299" fontId="16" fillId="0" borderId="0" applyFont="0" applyFill="0" applyBorder="0" applyProtection="0">
      <alignment horizontal="right"/>
    </xf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0" borderId="0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300" fontId="2" fillId="30" borderId="2"/>
    <xf numFmtId="17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5" fontId="2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2" fillId="0" borderId="0" applyFont="0" applyFill="0" applyBorder="0" applyAlignment="0" applyProtection="0"/>
    <xf numFmtId="5" fontId="2" fillId="0" borderId="0" applyFont="0" applyFill="0" applyBorder="0" applyAlignment="0" applyProtection="0"/>
    <xf numFmtId="5" fontId="7" fillId="0" borderId="0" applyFont="0" applyFill="0" applyBorder="0" applyAlignment="0" applyProtection="0"/>
    <xf numFmtId="5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5" fontId="7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301" fontId="2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181" fontId="11" fillId="0" borderId="0" applyFont="0" applyFill="0" applyBorder="0" applyAlignment="0" applyProtection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2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254" fontId="11" fillId="0" borderId="0" applyFont="0" applyFill="0" applyBorder="0" applyAlignment="0" applyProtection="0"/>
    <xf numFmtId="171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2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71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71" fontId="1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71" fontId="1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17" fillId="0" borderId="0" applyNumberFormat="0" applyFill="0" applyBorder="0" applyAlignment="0" applyProtection="0"/>
    <xf numFmtId="164" fontId="2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2" fillId="0" borderId="0" applyNumberFormat="0" applyFill="0" applyBorder="0" applyProtection="0">
      <alignment vertical="top" wrapText="1"/>
    </xf>
    <xf numFmtId="164" fontId="2" fillId="0" borderId="0" applyNumberFormat="0" applyFill="0" applyBorder="0" applyProtection="0">
      <alignment vertical="top" wrapText="1"/>
    </xf>
    <xf numFmtId="164" fontId="2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33" fillId="0" borderId="0" applyNumberFormat="0" applyFill="0" applyBorder="0" applyProtection="0">
      <alignment vertical="top" wrapText="1"/>
    </xf>
    <xf numFmtId="164" fontId="2" fillId="0" borderId="0" applyNumberFormat="0" applyFill="0" applyBorder="0" applyProtection="0">
      <alignment vertical="top" wrapText="1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2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5" fontId="14" fillId="0" borderId="0" applyNumberFormat="0" applyAlignment="0">
      <alignment horizontal="right"/>
    </xf>
    <xf numFmtId="164" fontId="33" fillId="0" borderId="0" applyNumberFormat="0" applyFill="0" applyBorder="0" applyProtection="0">
      <alignment vertical="top" wrapText="1"/>
    </xf>
    <xf numFmtId="171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2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2" fillId="0" borderId="0" applyNumberFormat="0" applyFill="0" applyBorder="0" applyProtection="0">
      <alignment vertical="top"/>
    </xf>
    <xf numFmtId="164" fontId="2" fillId="0" borderId="0" applyNumberFormat="0" applyFill="0" applyBorder="0" applyProtection="0">
      <alignment vertical="top"/>
    </xf>
    <xf numFmtId="164" fontId="2" fillId="0" borderId="0" applyNumberFormat="0" applyFill="0" applyBorder="0" applyProtection="0">
      <alignment vertical="top"/>
    </xf>
    <xf numFmtId="164" fontId="2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2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4" fontId="33" fillId="0" borderId="0" applyNumberFormat="0" applyFill="0" applyBorder="0" applyProtection="0">
      <alignment vertical="top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2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2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5" fontId="14" fillId="0" borderId="0">
      <alignment horizontal="right"/>
    </xf>
    <xf numFmtId="164" fontId="33" fillId="0" borderId="0" applyNumberFormat="0" applyFill="0" applyBorder="0" applyProtection="0">
      <alignment vertical="top" wrapText="1"/>
    </xf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71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164" fontId="25" fillId="0" borderId="0" applyFont="0" applyFill="0" applyBorder="0" applyAlignment="0" applyProtection="0"/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" fillId="0" borderId="0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3" fontId="23" fillId="0" borderId="7">
      <alignment horizontal="right"/>
    </xf>
    <xf numFmtId="171" fontId="39" fillId="0" borderId="0" applyNumberFormat="0" applyFont="0" applyFill="0" applyAlignment="0" applyProtection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2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303" fontId="16" fillId="0" borderId="0" applyFont="0" applyFill="0" applyBorder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4" fontId="2" fillId="0" borderId="0" applyFont="0" applyFill="0" applyBorder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4" fontId="7" fillId="0" borderId="0" applyFont="0" applyFill="0" applyBorder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164" fontId="39" fillId="0" borderId="0" applyNumberFormat="0" applyFont="0" applyFill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304" fontId="82" fillId="0" borderId="0" applyFont="0" applyFill="0" applyBorder="0" applyAlignment="0" applyProtection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2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2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2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4" fontId="13" fillId="0" borderId="0" applyFill="0" applyBorder="0" applyAlignment="0"/>
    <xf numFmtId="164" fontId="2" fillId="0" borderId="0" applyNumberFormat="0" applyFont="0" applyFill="0" applyAlignment="0" applyProtection="0"/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2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14" fontId="16" fillId="0" borderId="0">
      <alignment horizontal="right"/>
      <protection locked="0"/>
    </xf>
    <xf numFmtId="305" fontId="33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305" fontId="2" fillId="0" borderId="0"/>
    <xf numFmtId="305" fontId="33" fillId="0" borderId="0"/>
    <xf numFmtId="305" fontId="33" fillId="0" borderId="0"/>
    <xf numFmtId="305" fontId="33" fillId="0" borderId="0"/>
    <xf numFmtId="305" fontId="2" fillId="0" borderId="0"/>
    <xf numFmtId="305" fontId="33" fillId="0" borderId="0"/>
    <xf numFmtId="305" fontId="33" fillId="0" borderId="0"/>
    <xf numFmtId="305" fontId="2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305" fontId="33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14" fontId="2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2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6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2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7" fontId="14" fillId="0" borderId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2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2" fillId="0" borderId="0" applyFill="0" applyBorder="0" applyProtection="0"/>
    <xf numFmtId="308" fontId="2" fillId="0" borderId="0" applyFill="0" applyBorder="0" applyProtection="0"/>
    <xf numFmtId="308" fontId="16" fillId="0" borderId="0" applyFill="0" applyBorder="0" applyProtection="0"/>
    <xf numFmtId="308" fontId="2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0" applyFill="0" applyBorder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2" fillId="0" borderId="0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2" fillId="0" borderId="0" applyFill="0" applyProtection="0"/>
    <xf numFmtId="308" fontId="2" fillId="0" borderId="0" applyFill="0" applyProtection="0"/>
    <xf numFmtId="308" fontId="16" fillId="0" borderId="5" applyFill="0" applyProtection="0"/>
    <xf numFmtId="308" fontId="2" fillId="0" borderId="0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5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2" fillId="0" borderId="0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2" fillId="0" borderId="0" applyFill="0" applyProtection="0"/>
    <xf numFmtId="308" fontId="2" fillId="0" borderId="0" applyFill="0" applyProtection="0"/>
    <xf numFmtId="308" fontId="16" fillId="0" borderId="14" applyFill="0" applyProtection="0"/>
    <xf numFmtId="308" fontId="2" fillId="0" borderId="0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16" fillId="0" borderId="14" applyFill="0" applyProtection="0"/>
    <xf numFmtId="308" fontId="2" fillId="0" borderId="0" applyFill="0" applyBorder="0" applyProtection="0"/>
    <xf numFmtId="171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2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164" fontId="94" fillId="0" borderId="0">
      <protection locked="0"/>
    </xf>
    <xf numFmtId="224" fontId="2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224" fontId="2" fillId="0" borderId="0">
      <protection locked="0"/>
    </xf>
    <xf numFmtId="309" fontId="2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2" fillId="0" borderId="0">
      <protection locked="0"/>
    </xf>
    <xf numFmtId="309" fontId="2" fillId="0" borderId="0">
      <protection locked="0"/>
    </xf>
    <xf numFmtId="309" fontId="58" fillId="0" borderId="0">
      <protection locked="0"/>
    </xf>
    <xf numFmtId="309" fontId="2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09" fontId="58" fillId="0" borderId="0">
      <protection locked="0"/>
    </xf>
    <xf numFmtId="38" fontId="26" fillId="0" borderId="0" applyFont="0" applyFill="0" applyBorder="0" applyAlignment="0" applyProtection="0"/>
    <xf numFmtId="40" fontId="26" fillId="0" borderId="0" applyFont="0" applyFill="0" applyBorder="0" applyAlignment="0" applyProtection="0"/>
    <xf numFmtId="171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64" fontId="15" fillId="0" borderId="0" applyNumberFormat="0" applyFont="0" applyFill="0" applyBorder="0" applyAlignment="0" applyProtection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7" fontId="2" fillId="0" borderId="0" applyFont="0" applyFill="0" applyBorder="0" applyAlignment="0" applyProtection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7" fontId="2" fillId="0" borderId="0" applyFont="0" applyFill="0" applyBorder="0" applyAlignment="0" applyProtection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2" fillId="0" borderId="0"/>
    <xf numFmtId="207" fontId="33" fillId="0" borderId="0"/>
    <xf numFmtId="207" fontId="33" fillId="0" borderId="0"/>
    <xf numFmtId="207" fontId="33" fillId="0" borderId="0"/>
    <xf numFmtId="207" fontId="2" fillId="0" borderId="0"/>
    <xf numFmtId="207" fontId="33" fillId="0" borderId="0"/>
    <xf numFmtId="207" fontId="33" fillId="0" borderId="0"/>
    <xf numFmtId="207" fontId="2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33" fillId="0" borderId="0"/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2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207" fontId="95" fillId="0" borderId="0">
      <protection locked="0"/>
    </xf>
    <xf numFmtId="7" fontId="33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7" fontId="2" fillId="0" borderId="0"/>
    <xf numFmtId="7" fontId="33" fillId="0" borderId="0"/>
    <xf numFmtId="7" fontId="33" fillId="0" borderId="0"/>
    <xf numFmtId="7" fontId="33" fillId="0" borderId="0"/>
    <xf numFmtId="7" fontId="2" fillId="0" borderId="0"/>
    <xf numFmtId="7" fontId="33" fillId="0" borderId="0"/>
    <xf numFmtId="7" fontId="33" fillId="0" borderId="0"/>
    <xf numFmtId="7" fontId="2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7" fontId="33" fillId="0" borderId="0"/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2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2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2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5" fontId="13" fillId="0" borderId="0" applyFont="0" applyFill="0" applyBorder="0" applyAlignment="0" applyProtection="0">
      <protection locked="0"/>
    </xf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2" fillId="0" borderId="0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310" fontId="82" fillId="0" borderId="16" applyNumberFormat="0" applyFont="0" applyFill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2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42" fontId="96" fillId="0" borderId="0" applyFill="0" applyBorder="0" applyAlignment="0" applyProtection="0"/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2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2" fillId="0" borderId="0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165" fontId="14" fillId="0" borderId="5">
      <alignment horizontal="right"/>
    </xf>
    <xf numFmtId="44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81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44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230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81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71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2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64" fontId="97" fillId="0" borderId="0" applyNumberFormat="0" applyAlignment="0">
      <alignment horizontal="left"/>
    </xf>
    <xf numFmtId="17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71" fontId="99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4" fontId="98" fillId="0" borderId="0" applyNumberFormat="0" applyFill="0" applyBorder="0" applyAlignment="0" applyProtection="0"/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2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65" fontId="6" fillId="0" borderId="0">
      <alignment horizontal="right"/>
    </xf>
    <xf numFmtId="171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2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71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2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71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2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71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2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64" fontId="101" fillId="0" borderId="0">
      <protection locked="0"/>
    </xf>
    <xf numFmtId="171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2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64" fontId="100" fillId="0" borderId="0">
      <protection locked="0"/>
    </xf>
    <xf numFmtId="171" fontId="100" fillId="0" borderId="0">
      <protection locked="0"/>
    </xf>
    <xf numFmtId="171" fontId="102" fillId="0" borderId="0">
      <protection locked="0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2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6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2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307" fontId="6" fillId="0" borderId="0">
      <alignment horizontal="right"/>
    </xf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2" fillId="0" borderId="0" applyFont="0" applyFill="0" applyAlignment="0" applyProtection="0"/>
    <xf numFmtId="2" fontId="2" fillId="0" borderId="0" applyFont="0" applyFill="0" applyBorder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2" fillId="0" borderId="0" applyFont="0" applyFill="0" applyAlignment="0" applyProtection="0"/>
    <xf numFmtId="2" fontId="2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2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7" fillId="0" borderId="0" applyFont="0" applyFill="0" applyBorder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2" fontId="39" fillId="0" borderId="0" applyFont="0" applyFill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2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" fontId="11" fillId="0" borderId="0" applyFont="0" applyFill="0" applyBorder="0" applyAlignment="0" applyProtection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311" fontId="2" fillId="0" borderId="0" applyProtection="0">
      <alignment horizontal="left"/>
    </xf>
    <xf numFmtId="171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2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64" fontId="103" fillId="0" borderId="0"/>
    <xf numFmtId="171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2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64" fontId="104" fillId="0" borderId="0" applyNumberFormat="0" applyFill="0" applyBorder="0" applyProtection="0">
      <alignment horizontal="left" vertical="center"/>
    </xf>
    <xf numFmtId="171" fontId="105" fillId="33" borderId="3">
      <alignment horizontal="center" vertical="center"/>
      <protection locked="0"/>
    </xf>
    <xf numFmtId="171" fontId="2" fillId="34" borderId="3"/>
    <xf numFmtId="164" fontId="2" fillId="34" borderId="3"/>
    <xf numFmtId="164" fontId="2" fillId="34" borderId="3"/>
    <xf numFmtId="164" fontId="2" fillId="34" borderId="3"/>
    <xf numFmtId="164" fontId="2" fillId="34" borderId="3"/>
    <xf numFmtId="164" fontId="2" fillId="34" borderId="3"/>
    <xf numFmtId="164" fontId="2" fillId="34" borderId="3"/>
    <xf numFmtId="164" fontId="2" fillId="34" borderId="3"/>
    <xf numFmtId="164" fontId="2" fillId="34" borderId="3"/>
    <xf numFmtId="164" fontId="2" fillId="34" borderId="3"/>
    <xf numFmtId="164" fontId="2" fillId="34" borderId="3"/>
    <xf numFmtId="171" fontId="2" fillId="34" borderId="3"/>
    <xf numFmtId="164" fontId="2" fillId="0" borderId="0"/>
    <xf numFmtId="164" fontId="2" fillId="34" borderId="3"/>
    <xf numFmtId="164" fontId="2" fillId="34" borderId="3"/>
    <xf numFmtId="164" fontId="2" fillId="34" borderId="3"/>
    <xf numFmtId="164" fontId="2" fillId="0" borderId="0"/>
    <xf numFmtId="164" fontId="2" fillId="34" borderId="3"/>
    <xf numFmtId="171" fontId="2" fillId="34" borderId="3"/>
    <xf numFmtId="164" fontId="2" fillId="0" borderId="0"/>
    <xf numFmtId="164" fontId="2" fillId="34" borderId="3"/>
    <xf numFmtId="164" fontId="2" fillId="34" borderId="3"/>
    <xf numFmtId="164" fontId="2" fillId="34" borderId="3"/>
    <xf numFmtId="164" fontId="2" fillId="34" borderId="3"/>
    <xf numFmtId="164" fontId="2" fillId="34" borderId="3"/>
    <xf numFmtId="164" fontId="2" fillId="34" borderId="3"/>
    <xf numFmtId="171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2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164" fontId="106" fillId="0" borderId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312" fontId="2" fillId="0" borderId="17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2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312" fontId="2" fillId="0" borderId="13" applyFont="0" applyFill="0" applyBorder="0" applyAlignment="0" applyProtection="0"/>
    <xf numFmtId="164" fontId="2" fillId="0" borderId="0" applyFont="0" applyFill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71" fontId="108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2" fillId="0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164" fontId="107" fillId="6" borderId="0" applyNumberFormat="0" applyBorder="0" applyAlignment="0" applyProtection="0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2" fillId="0" borderId="0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7" fillId="0" borderId="14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2" fillId="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2" fillId="0" borderId="0" applyNumberFormat="0" applyBorder="0" applyAlignment="0" applyProtection="0"/>
    <xf numFmtId="38" fontId="2" fillId="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2" fillId="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38" fontId="36" fillId="30" borderId="0" applyNumberFormat="0" applyBorder="0" applyAlignment="0" applyProtection="0"/>
    <xf numFmtId="232" fontId="109" fillId="30" borderId="9">
      <alignment horizontal="center" vertical="center" wrapText="1"/>
    </xf>
    <xf numFmtId="171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2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64" fontId="110" fillId="0" borderId="0" applyNumberFormat="0" applyFill="0" applyBorder="0" applyProtection="0"/>
    <xf numFmtId="171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71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2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2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2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2" fillId="0" borderId="0" applyNumberFormat="0" applyFill="0" applyProtection="0">
      <alignment horizontal="left"/>
    </xf>
    <xf numFmtId="164" fontId="2" fillId="0" borderId="0" applyNumberFormat="0" applyFill="0" applyProtection="0">
      <alignment horizontal="left"/>
    </xf>
    <xf numFmtId="164" fontId="2" fillId="0" borderId="0" applyNumberFormat="0" applyFill="0" applyProtection="0">
      <alignment horizontal="left"/>
    </xf>
    <xf numFmtId="164" fontId="2" fillId="0" borderId="0" applyNumberFormat="0" applyFill="0" applyProtection="0">
      <alignment horizontal="left"/>
    </xf>
    <xf numFmtId="164" fontId="2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71" fontId="16" fillId="0" borderId="0" applyNumberFormat="0" applyFill="0" applyProtection="0">
      <alignment horizontal="left"/>
    </xf>
    <xf numFmtId="171" fontId="16" fillId="0" borderId="0" applyNumberFormat="0" applyFill="0" applyProtection="0">
      <alignment horizontal="left"/>
    </xf>
    <xf numFmtId="171" fontId="16" fillId="0" borderId="0" applyNumberFormat="0" applyFill="0" applyProtection="0">
      <alignment horizontal="left"/>
    </xf>
    <xf numFmtId="171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64" fontId="16" fillId="0" borderId="0" applyNumberFormat="0" applyFill="0" applyProtection="0">
      <alignment horizontal="left"/>
    </xf>
    <xf numFmtId="171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71" fontId="54" fillId="0" borderId="0" applyNumberFormat="0" applyFill="0" applyBorder="0" applyProtection="0"/>
    <xf numFmtId="164" fontId="54" fillId="0" borderId="0" applyNumberFormat="0" applyFill="0" applyBorder="0" applyProtection="0"/>
    <xf numFmtId="164" fontId="2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64" fontId="54" fillId="0" borderId="0" applyNumberFormat="0" applyFill="0" applyBorder="0" applyProtection="0"/>
    <xf numFmtId="171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71" fontId="56" fillId="0" borderId="0" applyNumberFormat="0" applyFill="0" applyBorder="0" applyProtection="0"/>
    <xf numFmtId="164" fontId="2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2" fillId="0" borderId="0" applyNumberFormat="0" applyFill="0" applyBorder="0" applyProtection="0"/>
    <xf numFmtId="164" fontId="56" fillId="0" borderId="0" applyNumberFormat="0" applyFill="0" applyBorder="0" applyProtection="0"/>
    <xf numFmtId="171" fontId="56" fillId="0" borderId="0" applyNumberFormat="0" applyFill="0" applyBorder="0" applyProtection="0"/>
    <xf numFmtId="164" fontId="2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64" fontId="56" fillId="0" borderId="0" applyNumberFormat="0" applyFill="0" applyBorder="0" applyProtection="0"/>
    <xf numFmtId="171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71" fontId="39" fillId="0" borderId="0" applyNumberFormat="0" applyFill="0" applyBorder="0" applyProtection="0"/>
    <xf numFmtId="164" fontId="39" fillId="0" borderId="0" applyNumberFormat="0" applyFill="0" applyBorder="0" applyProtection="0"/>
    <xf numFmtId="164" fontId="2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64" fontId="39" fillId="0" borderId="0" applyNumberFormat="0" applyFill="0" applyBorder="0" applyProtection="0"/>
    <xf numFmtId="171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2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64" fontId="7" fillId="0" borderId="0" applyNumberFormat="0" applyFill="0" applyBorder="0" applyProtection="0"/>
    <xf numFmtId="171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2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64" fontId="111" fillId="0" borderId="0" applyNumberFormat="0" applyFill="0" applyBorder="0" applyProtection="0"/>
    <xf numFmtId="171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71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71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71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71" fontId="77" fillId="0" borderId="0" applyNumberFormat="0" applyFill="0" applyBorder="0" applyProtection="0"/>
    <xf numFmtId="164" fontId="2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2" fillId="0" borderId="0" applyNumberFormat="0" applyFill="0" applyBorder="0" applyProtection="0"/>
    <xf numFmtId="164" fontId="77" fillId="0" borderId="0" applyNumberFormat="0" applyFill="0" applyBorder="0" applyProtection="0"/>
    <xf numFmtId="164" fontId="2" fillId="0" borderId="0" applyNumberFormat="0" applyFill="0" applyBorder="0" applyProtection="0"/>
    <xf numFmtId="164" fontId="2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64" fontId="77" fillId="0" borderId="0" applyNumberFormat="0" applyFill="0" applyBorder="0" applyProtection="0"/>
    <xf numFmtId="171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164" fontId="112" fillId="0" borderId="0" applyNumberFormat="0" applyFill="0" applyBorder="0" applyProtection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2" fillId="0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2" fontId="40" fillId="35" borderId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0" borderId="0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0" borderId="0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0" borderId="0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199" fontId="2" fillId="28" borderId="3" applyNumberFormat="0" applyFont="0" applyBorder="0" applyAlignment="0" applyProtection="0"/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313" fontId="2" fillId="0" borderId="0" applyFont="0" applyFill="0" applyBorder="0" applyAlignment="0" applyProtection="0">
      <alignment horizontal="right"/>
    </xf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2" fillId="0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81" fontId="113" fillId="28" borderId="0" applyNumberFormat="0" applyFont="0" applyAlignment="0"/>
    <xf numFmtId="171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2" fillId="0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64" fontId="114" fillId="36" borderId="0" applyNumberFormat="0" applyBorder="0" applyProtection="0">
      <alignment horizontal="left" vertical="center"/>
    </xf>
    <xf numFmtId="171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2" fillId="0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64" fontId="115" fillId="1" borderId="0" applyNumberFormat="0" applyBorder="0" applyProtection="0">
      <alignment horizontal="left" vertical="center"/>
    </xf>
    <xf numFmtId="171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2" fillId="0" borderId="0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64" fontId="116" fillId="0" borderId="6" applyFill="0" applyProtection="0"/>
    <xf numFmtId="171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71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2" fillId="0" borderId="0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64" fontId="54" fillId="0" borderId="18" applyNumberFormat="0" applyAlignment="0" applyProtection="0">
      <alignment horizontal="left" vertical="center"/>
    </xf>
    <xf numFmtId="171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71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2" fillId="0" borderId="0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64" fontId="54" fillId="0" borderId="9">
      <alignment horizontal="left" vertical="center"/>
    </xf>
    <xf numFmtId="171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2" fillId="0" borderId="0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64" fontId="117" fillId="37" borderId="1"/>
    <xf numFmtId="171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2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71" fontId="118" fillId="0" borderId="1">
      <alignment horizontal="center"/>
    </xf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Border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171" fontId="120" fillId="0" borderId="19" applyNumberForma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119" fillId="0" borderId="0" applyNumberFormat="0" applyFont="0" applyFill="0" applyAlignment="0" applyProtection="0"/>
    <xf numFmtId="4" fontId="2" fillId="0" borderId="0" applyNumberFormat="0" applyFont="0" applyFill="0" applyAlignment="0" applyProtection="0"/>
    <xf numFmtId="4" fontId="119" fillId="0" borderId="0" applyNumberFormat="0" applyFont="0" applyBorder="0" applyAlignment="0" applyProtection="0"/>
    <xf numFmtId="4" fontId="119" fillId="0" borderId="0" applyNumberFormat="0" applyFont="0" applyFill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164" fontId="119" fillId="0" borderId="0" applyNumberFormat="0" applyFill="0" applyBorder="0" applyAlignment="0" applyProtection="0"/>
    <xf numFmtId="4" fontId="119" fillId="0" borderId="0" applyNumberFormat="0" applyFont="0" applyFill="0" applyAlignment="0" applyProtection="0"/>
    <xf numFmtId="164" fontId="119" fillId="0" borderId="0" applyNumberFormat="0" applyFill="0" applyBorder="0" applyAlignment="0" applyProtection="0"/>
    <xf numFmtId="4" fontId="119" fillId="0" borderId="0" applyNumberFormat="0" applyFont="0" applyFill="0" applyAlignment="0" applyProtection="0"/>
    <xf numFmtId="164" fontId="119" fillId="0" borderId="0" applyNumberFormat="0" applyFill="0" applyBorder="0" applyAlignment="0" applyProtection="0"/>
    <xf numFmtId="4" fontId="119" fillId="0" borderId="0" applyNumberFormat="0" applyFont="0" applyFill="0" applyAlignment="0" applyProtection="0"/>
    <xf numFmtId="164" fontId="119" fillId="0" borderId="0" applyNumberFormat="0" applyFill="0" applyBorder="0" applyAlignment="0" applyProtection="0"/>
    <xf numFmtId="4" fontId="119" fillId="0" borderId="0" applyNumberFormat="0" applyFont="0" applyFill="0" applyAlignment="0" applyProtection="0"/>
    <xf numFmtId="164" fontId="119" fillId="0" borderId="0" applyNumberFormat="0" applyFill="0" applyBorder="0" applyAlignment="0" applyProtection="0"/>
    <xf numFmtId="4" fontId="119" fillId="0" borderId="0" applyNumberFormat="0" applyFont="0" applyFill="0" applyAlignment="0" applyProtection="0"/>
    <xf numFmtId="164" fontId="119" fillId="0" borderId="0" applyNumberFormat="0" applyFill="0" applyBorder="0" applyAlignment="0" applyProtection="0"/>
    <xf numFmtId="4" fontId="119" fillId="0" borderId="0" applyNumberFormat="0" applyFont="0" applyFill="0" applyAlignment="0" applyProtection="0"/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4" fontId="54" fillId="0" borderId="0" applyNumberFormat="0" applyFont="0" applyFill="0" applyAlignment="0" applyProtection="0"/>
    <xf numFmtId="164" fontId="54" fillId="0" borderId="0" applyNumberFormat="0" applyFill="0" applyBorder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Border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171" fontId="121" fillId="0" borderId="20" applyNumberForma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164" fontId="54" fillId="0" borderId="0" applyNumberFormat="0" applyFill="0" applyBorder="0" applyAlignment="0" applyProtection="0"/>
    <xf numFmtId="164" fontId="54" fillId="0" borderId="0" applyNumberFormat="0" applyFill="0" applyBorder="0" applyAlignment="0" applyProtection="0"/>
    <xf numFmtId="164" fontId="54" fillId="0" borderId="0" applyNumberFormat="0" applyFill="0" applyBorder="0" applyAlignment="0" applyProtection="0"/>
    <xf numFmtId="164" fontId="54" fillId="0" borderId="0" applyNumberFormat="0" applyFill="0" applyBorder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2" fillId="0" borderId="0" applyNumberFormat="0" applyFont="0" applyFill="0" applyAlignment="0" applyProtection="0"/>
    <xf numFmtId="4" fontId="54" fillId="0" borderId="0" applyNumberFormat="0" applyFont="0" applyFill="0" applyAlignment="0" applyProtection="0"/>
    <xf numFmtId="4" fontId="2" fillId="0" borderId="0" applyNumberFormat="0" applyFont="0" applyFill="0" applyAlignment="0" applyProtection="0"/>
    <xf numFmtId="4" fontId="54" fillId="0" borderId="0" applyNumberFormat="0" applyFont="0" applyBorder="0" applyAlignment="0" applyProtection="0"/>
    <xf numFmtId="164" fontId="54" fillId="0" borderId="0" applyNumberFormat="0" applyFill="0" applyBorder="0" applyAlignment="0" applyProtection="0"/>
    <xf numFmtId="164" fontId="54" fillId="0" borderId="0" applyNumberFormat="0" applyFill="0" applyBorder="0" applyAlignment="0" applyProtection="0"/>
    <xf numFmtId="164" fontId="54" fillId="0" borderId="0" applyNumberFormat="0" applyFill="0" applyBorder="0" applyAlignment="0" applyProtection="0"/>
    <xf numFmtId="164" fontId="54" fillId="0" borderId="0" applyNumberFormat="0" applyFill="0" applyBorder="0" applyAlignment="0" applyProtection="0"/>
    <xf numFmtId="164" fontId="54" fillId="0" borderId="0" applyNumberFormat="0" applyFill="0" applyBorder="0" applyAlignment="0" applyProtection="0"/>
    <xf numFmtId="164" fontId="54" fillId="0" borderId="0" applyNumberFormat="0" applyFill="0" applyBorder="0" applyAlignment="0" applyProtection="0"/>
    <xf numFmtId="164" fontId="54" fillId="0" borderId="0" applyNumberFormat="0" applyFill="0" applyBorder="0" applyAlignment="0" applyProtection="0"/>
    <xf numFmtId="164" fontId="54" fillId="0" borderId="0" applyNumberFormat="0" applyFill="0" applyBorder="0" applyAlignment="0" applyProtection="0"/>
    <xf numFmtId="4" fontId="54" fillId="0" borderId="0" applyNumberFormat="0" applyFont="0" applyFill="0" applyAlignment="0" applyProtection="0"/>
    <xf numFmtId="164" fontId="54" fillId="0" borderId="0" applyNumberFormat="0" applyFill="0" applyBorder="0" applyAlignment="0" applyProtection="0"/>
    <xf numFmtId="4" fontId="54" fillId="0" borderId="0" applyNumberFormat="0" applyFont="0" applyFill="0" applyAlignment="0" applyProtection="0"/>
    <xf numFmtId="164" fontId="54" fillId="0" borderId="0" applyNumberFormat="0" applyFill="0" applyBorder="0" applyAlignment="0" applyProtection="0"/>
    <xf numFmtId="4" fontId="54" fillId="0" borderId="0" applyNumberFormat="0" applyFont="0" applyFill="0" applyAlignment="0" applyProtection="0"/>
    <xf numFmtId="164" fontId="54" fillId="0" borderId="0" applyNumberFormat="0" applyFill="0" applyBorder="0" applyAlignment="0" applyProtection="0"/>
    <xf numFmtId="4" fontId="54" fillId="0" borderId="0" applyNumberFormat="0" applyFont="0" applyFill="0" applyAlignment="0" applyProtection="0"/>
    <xf numFmtId="164" fontId="54" fillId="0" borderId="0" applyNumberFormat="0" applyFill="0" applyBorder="0" applyAlignment="0" applyProtection="0"/>
    <xf numFmtId="4" fontId="54" fillId="0" borderId="0" applyNumberFormat="0" applyFont="0" applyFill="0" applyAlignment="0" applyProtection="0"/>
    <xf numFmtId="164" fontId="54" fillId="0" borderId="0" applyNumberFormat="0" applyFill="0" applyBorder="0" applyAlignment="0" applyProtection="0"/>
    <xf numFmtId="4" fontId="54" fillId="0" borderId="0" applyNumberFormat="0" applyFont="0" applyFill="0" applyAlignment="0" applyProtection="0"/>
    <xf numFmtId="164" fontId="54" fillId="0" borderId="0" applyNumberFormat="0" applyFill="0" applyBorder="0" applyAlignment="0" applyProtection="0"/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71" fontId="123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4" fillId="0" borderId="0" applyProtection="0">
      <alignment horizontal="left"/>
    </xf>
    <xf numFmtId="164" fontId="124" fillId="0" borderId="0" applyProtection="0">
      <alignment horizontal="left"/>
    </xf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2" fillId="0" borderId="0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4" fillId="0" borderId="0" applyProtection="0">
      <alignment horizontal="left"/>
    </xf>
    <xf numFmtId="164" fontId="124" fillId="0" borderId="0" applyProtection="0">
      <alignment horizontal="left"/>
    </xf>
    <xf numFmtId="164" fontId="124" fillId="0" borderId="0" applyProtection="0">
      <alignment horizontal="left"/>
    </xf>
    <xf numFmtId="164" fontId="124" fillId="0" borderId="0" applyProtection="0">
      <alignment horizontal="left"/>
    </xf>
    <xf numFmtId="164" fontId="124" fillId="0" borderId="0" applyProtection="0">
      <alignment horizontal="left"/>
    </xf>
    <xf numFmtId="164" fontId="124" fillId="0" borderId="0" applyProtection="0">
      <alignment horizontal="left"/>
    </xf>
    <xf numFmtId="164" fontId="124" fillId="0" borderId="0" applyProtection="0">
      <alignment horizontal="left"/>
    </xf>
    <xf numFmtId="164" fontId="124" fillId="0" borderId="0" applyProtection="0">
      <alignment horizontal="left"/>
    </xf>
    <xf numFmtId="164" fontId="124" fillId="0" borderId="0" applyProtection="0">
      <alignment horizontal="left"/>
    </xf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64" fontId="122" fillId="0" borderId="21" applyNumberFormat="0" applyFill="0" applyAlignment="0" applyProtection="0"/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2" fillId="0" borderId="0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71" fontId="123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64" fontId="122" fillId="0" borderId="0" applyNumberFormat="0" applyFill="0" applyBorder="0" applyAlignment="0" applyProtection="0"/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4" fontId="7" fillId="38" borderId="6">
      <alignment horizontal="center" vertical="center" wrapText="1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2" fillId="0" borderId="0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2" fillId="0" borderId="0">
      <alignment horizontal="right" vertical="center"/>
    </xf>
    <xf numFmtId="181" fontId="36" fillId="0" borderId="1">
      <alignment horizontal="right" vertical="center"/>
    </xf>
    <xf numFmtId="181" fontId="2" fillId="0" borderId="0">
      <alignment horizontal="right" vertical="center"/>
    </xf>
    <xf numFmtId="181" fontId="2" fillId="0" borderId="0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181" fontId="36" fillId="0" borderId="1">
      <alignment horizontal="right" vertical="center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2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205" fontId="89" fillId="0" borderId="0">
      <alignment horizontal="right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2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164" fontId="4" fillId="0" borderId="0" applyFill="0" applyAlignment="0" applyProtection="0">
      <protection locked="0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2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205" fontId="89" fillId="0" borderId="0">
      <alignment horizontal="left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2" fillId="0" borderId="0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64" fontId="4" fillId="0" borderId="1" applyFill="0" applyAlignment="0" applyProtection="0">
      <protection locked="0"/>
    </xf>
    <xf numFmtId="171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64" fontId="119" fillId="0" borderId="0" applyNumberFormat="0" applyFont="0" applyFill="0" applyAlignment="0" applyProtection="0"/>
    <xf numFmtId="171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2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64" fontId="54" fillId="0" borderId="0" applyNumberFormat="0" applyFont="0" applyFill="0" applyAlignment="0" applyProtection="0"/>
    <xf numFmtId="171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2" fillId="0" borderId="0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64" fontId="125" fillId="0" borderId="22" applyNumberFormat="0" applyFill="0" applyBorder="0" applyAlignment="0" applyProtection="0">
      <alignment horizontal="left"/>
    </xf>
    <xf numFmtId="171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2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64" fontId="126" fillId="0" borderId="0">
      <alignment horizontal="center"/>
    </xf>
    <xf numFmtId="171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2" fillId="0" borderId="0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64" fontId="67" fillId="0" borderId="23">
      <alignment horizontal="left" vertical="center"/>
    </xf>
    <xf numFmtId="171" fontId="67" fillId="39" borderId="0">
      <alignment horizontal="centerContinuous" wrapText="1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2" fillId="0" borderId="0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49" fontId="127" fillId="39" borderId="1">
      <alignment horizontal="left" vertical="center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2" fillId="0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164" fontId="67" fillId="39" borderId="0">
      <alignment horizontal="centerContinuous" wrapText="1"/>
    </xf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43" fontId="2" fillId="0" borderId="0" applyFill="0" applyBorder="0" applyAlignment="0" applyProtection="0"/>
    <xf numFmtId="171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71" fontId="16" fillId="0" borderId="6">
      <alignment horizontal="centerContinuous"/>
    </xf>
    <xf numFmtId="164" fontId="16" fillId="0" borderId="6">
      <alignment horizontal="centerContinuous"/>
    </xf>
    <xf numFmtId="164" fontId="2" fillId="0" borderId="0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64" fontId="16" fillId="0" borderId="6">
      <alignment horizontal="centerContinuous"/>
    </xf>
    <xf numFmtId="171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71" fontId="47" fillId="0" borderId="0" applyFont="0" applyAlignment="0">
      <alignment horizontal="centerContinuous"/>
    </xf>
    <xf numFmtId="164" fontId="2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2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71" fontId="47" fillId="0" borderId="0" applyFont="0" applyAlignment="0">
      <alignment horizontal="centerContinuous"/>
    </xf>
    <xf numFmtId="164" fontId="2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47" fillId="0" borderId="0" applyFont="0" applyAlignment="0">
      <alignment horizontal="centerContinuous"/>
    </xf>
    <xf numFmtId="164" fontId="128" fillId="0" borderId="0" applyNumberFormat="0" applyFill="0" applyBorder="0" applyAlignment="0" applyProtection="0">
      <alignment vertical="top"/>
      <protection locked="0"/>
    </xf>
    <xf numFmtId="171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2" fillId="0" borderId="0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64" fontId="2" fillId="0" borderId="3">
      <alignment horizontal="centerContinuous"/>
    </xf>
    <xf numFmtId="164" fontId="2" fillId="0" borderId="3">
      <alignment horizontal="centerContinuous"/>
    </xf>
    <xf numFmtId="164" fontId="2" fillId="0" borderId="3">
      <alignment horizontal="centerContinuous"/>
    </xf>
    <xf numFmtId="164" fontId="14" fillId="0" borderId="3">
      <alignment horizontal="centerContinuous"/>
    </xf>
    <xf numFmtId="164" fontId="2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171" fontId="14" fillId="0" borderId="3">
      <alignment horizontal="centerContinuous"/>
    </xf>
    <xf numFmtId="164" fontId="14" fillId="0" borderId="3">
      <alignment horizontal="centerContinuous"/>
    </xf>
    <xf numFmtId="164" fontId="14" fillId="0" borderId="3">
      <alignment horizontal="centerContinuous"/>
    </xf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2" fillId="0" borderId="0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24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2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6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2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49" fontId="129" fillId="0" borderId="0"/>
    <xf numFmtId="171" fontId="25" fillId="0" borderId="0"/>
    <xf numFmtId="164" fontId="25" fillId="0" borderId="0"/>
    <xf numFmtId="164" fontId="25" fillId="0" borderId="0"/>
    <xf numFmtId="164" fontId="25" fillId="0" borderId="0"/>
    <xf numFmtId="164" fontId="25" fillId="0" borderId="0"/>
    <xf numFmtId="164" fontId="25" fillId="0" borderId="0"/>
    <xf numFmtId="164" fontId="25" fillId="0" borderId="0"/>
    <xf numFmtId="164" fontId="25" fillId="0" borderId="0"/>
    <xf numFmtId="164" fontId="25" fillId="0" borderId="0"/>
    <xf numFmtId="164" fontId="25" fillId="0" borderId="0"/>
    <xf numFmtId="164" fontId="25" fillId="0" borderId="0"/>
    <xf numFmtId="171" fontId="25" fillId="0" borderId="0"/>
    <xf numFmtId="164" fontId="2" fillId="0" borderId="0"/>
    <xf numFmtId="164" fontId="25" fillId="0" borderId="0"/>
    <xf numFmtId="164" fontId="25" fillId="0" borderId="0"/>
    <xf numFmtId="164" fontId="25" fillId="0" borderId="0"/>
    <xf numFmtId="164" fontId="2" fillId="0" borderId="0"/>
    <xf numFmtId="164" fontId="25" fillId="0" borderId="0"/>
    <xf numFmtId="171" fontId="25" fillId="0" borderId="0"/>
    <xf numFmtId="164" fontId="2" fillId="0" borderId="0"/>
    <xf numFmtId="164" fontId="25" fillId="0" borderId="0"/>
    <xf numFmtId="164" fontId="25" fillId="0" borderId="0"/>
    <xf numFmtId="164" fontId="25" fillId="0" borderId="0"/>
    <xf numFmtId="164" fontId="25" fillId="0" borderId="0"/>
    <xf numFmtId="164" fontId="25" fillId="0" borderId="0"/>
    <xf numFmtId="164" fontId="25" fillId="0" borderId="0"/>
    <xf numFmtId="171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64" fontId="2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71" fontId="16" fillId="0" borderId="0"/>
    <xf numFmtId="164" fontId="16" fillId="0" borderId="0"/>
    <xf numFmtId="164" fontId="2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164" fontId="16" fillId="0" borderId="0"/>
    <xf numFmtId="314" fontId="2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4" fontId="2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2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315" fontId="130" fillId="0" borderId="0" applyNumberFormat="0" applyFill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2" fillId="0" borderId="0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2" fillId="0" borderId="0" applyNumberFormat="0" applyBorder="0" applyAlignment="0" applyProtection="0"/>
    <xf numFmtId="10" fontId="2" fillId="0" borderId="0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2" fillId="0" borderId="0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10" fontId="36" fillId="33" borderId="3" applyNumberForma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171" fontId="131" fillId="9" borderId="10" applyNumberFormat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16" fontId="132" fillId="0" borderId="0" applyNumberFormat="0" applyFill="0" applyBorder="0" applyAlignment="0" applyProtection="0">
      <alignment horizontal="right"/>
    </xf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44" fontId="2" fillId="40" borderId="0" applyNumberFormat="0" applyFont="0" applyBorder="0" applyAlignment="0" applyProtection="0"/>
    <xf numFmtId="16" fontId="132" fillId="0" borderId="0" applyNumberFormat="0" applyFill="0" applyBorder="0" applyAlignment="0" applyProtection="0">
      <alignment horizontal="right"/>
    </xf>
    <xf numFmtId="44" fontId="2" fillId="40" borderId="0" applyNumberFormat="0" applyFont="0" applyBorder="0" applyAlignment="0" applyProtection="0"/>
    <xf numFmtId="16" fontId="132" fillId="0" borderId="0" applyNumberFormat="0" applyFill="0" applyBorder="0" applyAlignment="0" applyProtection="0">
      <alignment horizontal="right"/>
    </xf>
    <xf numFmtId="44" fontId="2" fillId="40" borderId="0" applyNumberFormat="0" applyFont="0" applyBorder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2" fillId="0" borderId="0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199" fontId="73" fillId="0" borderId="3" applyNumberFormat="0" applyFill="0" applyAlignment="0" applyProtection="0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0" borderId="0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300" fontId="2" fillId="41" borderId="2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1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71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2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64" fontId="133" fillId="0" borderId="0" applyNumberFormat="0" applyFill="0" applyBorder="0" applyAlignment="0">
      <protection locked="0"/>
    </xf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302" fontId="2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2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5" fontId="134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2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99" fontId="135" fillId="0" borderId="0"/>
    <xf numFmtId="171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64" fontId="26" fillId="0" borderId="0" applyFill="0" applyBorder="0">
      <alignment horizontal="right"/>
      <protection locked="0"/>
    </xf>
    <xf numFmtId="171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2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164" fontId="13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2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40" fontId="16" fillId="0" borderId="0"/>
    <xf numFmtId="316" fontId="2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6" fontId="2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317" fontId="26" fillId="0" borderId="0" applyFill="0" applyBorder="0">
      <alignment horizontal="right"/>
      <protection locked="0"/>
    </xf>
    <xf numFmtId="171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2" fillId="0" borderId="0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164" fontId="10" fillId="42" borderId="25">
      <alignment horizontal="left" vertical="center" wrapText="1"/>
    </xf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2" fillId="0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4" fontId="40" fillId="35" borderId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2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181" fontId="66" fillId="0" borderId="0" applyNumberForma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1" fontId="137" fillId="0" borderId="0" applyNumberFormat="0" applyFill="0" applyBorder="0" applyProtection="0">
      <alignment horizontal="left" vertical="center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2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2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2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231" fontId="33" fillId="0" borderId="0">
      <alignment horizontal="left"/>
    </xf>
    <xf numFmtId="164" fontId="138" fillId="0" borderId="0" applyNumberFormat="0">
      <alignment horizontal="left"/>
    </xf>
    <xf numFmtId="171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71" fontId="16" fillId="0" borderId="0">
      <alignment horizontal="left"/>
    </xf>
    <xf numFmtId="164" fontId="16" fillId="0" borderId="0">
      <alignment horizontal="left"/>
    </xf>
    <xf numFmtId="164" fontId="2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71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71" fontId="16" fillId="0" borderId="0">
      <alignment horizontal="left"/>
    </xf>
    <xf numFmtId="164" fontId="16" fillId="0" borderId="0">
      <alignment horizontal="left"/>
    </xf>
    <xf numFmtId="164" fontId="2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71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71" fontId="16" fillId="0" borderId="0">
      <alignment horizontal="left"/>
    </xf>
    <xf numFmtId="164" fontId="16" fillId="0" borderId="0">
      <alignment horizontal="left"/>
    </xf>
    <xf numFmtId="164" fontId="2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71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71" fontId="16" fillId="0" borderId="0">
      <alignment horizontal="left"/>
    </xf>
    <xf numFmtId="164" fontId="16" fillId="0" borderId="0">
      <alignment horizontal="left"/>
    </xf>
    <xf numFmtId="164" fontId="2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64" fontId="16" fillId="0" borderId="0">
      <alignment horizontal="left"/>
    </xf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82" fontId="33" fillId="0" borderId="0" applyFont="0" applyFill="0" applyBorder="0" applyAlignment="0" applyProtection="0"/>
    <xf numFmtId="171" fontId="36" fillId="3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164" fontId="2" fillId="0" borderId="0"/>
    <xf numFmtId="164" fontId="36" fillId="30" borderId="0"/>
    <xf numFmtId="164" fontId="36" fillId="30" borderId="0"/>
    <xf numFmtId="164" fontId="36" fillId="30" borderId="0"/>
    <xf numFmtId="164" fontId="2" fillId="0" borderId="0"/>
    <xf numFmtId="164" fontId="36" fillId="30" borderId="0"/>
    <xf numFmtId="164" fontId="2" fillId="0" borderId="0"/>
    <xf numFmtId="164" fontId="2" fillId="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164" fontId="36" fillId="30" borderId="0"/>
    <xf numFmtId="44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81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44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230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81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71" fontId="140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2" fillId="0" borderId="0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64" fontId="139" fillId="0" borderId="26" applyNumberFormat="0" applyFill="0" applyAlignment="0" applyProtection="0"/>
    <xf numFmtId="171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164" fontId="2" fillId="0" borderId="0">
      <alignment horizontal="lef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318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272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8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319" fontId="2" fillId="0" borderId="0">
      <alignment horizontal="right"/>
    </xf>
    <xf numFmtId="171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71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71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71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71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164" fontId="141" fillId="0" borderId="0" applyNumberFormat="0" applyFill="0" applyBorder="0" applyAlignment="0" applyProtection="0"/>
    <xf numFmtId="38" fontId="26" fillId="0" borderId="0" applyFont="0" applyFill="0" applyBorder="0" applyAlignment="0" applyProtection="0"/>
    <xf numFmtId="41" fontId="2" fillId="0" borderId="0" applyFont="0" applyFill="0" applyBorder="0" applyAlignment="0" applyProtection="0"/>
    <xf numFmtId="40" fontId="26" fillId="0" borderId="0" applyFont="0" applyFill="0" applyBorder="0" applyAlignment="0" applyProtection="0"/>
    <xf numFmtId="320" fontId="2" fillId="0" borderId="0" applyFont="0" applyFill="0" applyBorder="0" applyAlignment="0" applyProtection="0"/>
    <xf numFmtId="32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199" fontId="2" fillId="0" borderId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2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2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2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322" fontId="2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2" fontId="2" fillId="0" borderId="0" applyFont="0" applyFill="0" applyBorder="0" applyAlignment="0" applyProtection="0"/>
    <xf numFmtId="323" fontId="2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2" fillId="0" borderId="0" applyFont="0" applyFill="0" applyBorder="0" applyAlignment="0" applyProtection="0"/>
    <xf numFmtId="323" fontId="2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2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3" fontId="73" fillId="0" borderId="0" applyFont="0" applyFill="0" applyBorder="0" applyAlignment="0" applyProtection="0"/>
    <xf numFmtId="324" fontId="2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4" fontId="2" fillId="0" borderId="0" applyFont="0" applyFill="0" applyBorder="0" applyAlignment="0" applyProtection="0"/>
    <xf numFmtId="325" fontId="2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2" fillId="0" borderId="0" applyFont="0" applyFill="0" applyBorder="0" applyAlignment="0" applyProtection="0"/>
    <xf numFmtId="325" fontId="2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2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325" fontId="73" fillId="0" borderId="0" applyFont="0" applyFill="0" applyBorder="0" applyAlignment="0" applyProtection="0"/>
    <xf numFmtId="171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2" fillId="0" borderId="0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164" fontId="142" fillId="0" borderId="6"/>
    <xf numFmtId="326" fontId="2" fillId="0" borderId="0" applyFont="0" applyFill="0" applyBorder="0" applyAlignment="0" applyProtection="0"/>
    <xf numFmtId="327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7" fillId="0" borderId="0" applyNumberFormat="0" applyFill="0" applyBorder="0" applyAlignment="0" applyProtection="0"/>
    <xf numFmtId="171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71" fontId="133" fillId="0" borderId="0"/>
    <xf numFmtId="164" fontId="133" fillId="0" borderId="0"/>
    <xf numFmtId="164" fontId="2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164" fontId="133" fillId="0" borderId="0"/>
    <xf numFmtId="328" fontId="77" fillId="43" borderId="0" applyFont="0" applyFill="0" applyBorder="0" applyAlignment="0" applyProtection="0">
      <alignment horizontal="centerContinuous" vertical="center"/>
    </xf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2" fillId="0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2" fillId="0" borderId="0" applyFont="0" applyFill="0" applyBorder="0" applyAlignment="0" applyProtection="0">
      <alignment horizontal="centerContinuous" vertical="center"/>
    </xf>
    <xf numFmtId="328" fontId="2" fillId="0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8" fontId="2" fillId="0" borderId="0" applyFont="0" applyFill="0" applyBorder="0" applyAlignment="0" applyProtection="0">
      <alignment horizontal="centerContinuous" vertical="center"/>
    </xf>
    <xf numFmtId="328" fontId="77" fillId="43" borderId="0" applyFont="0" applyFill="0" applyBorder="0" applyAlignment="0" applyProtection="0">
      <alignment horizontal="centerContinuous" vertical="center"/>
    </xf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8" fontId="77" fillId="43" borderId="0" applyFont="0" applyFill="0" applyBorder="0" applyAlignment="0" applyProtection="0">
      <alignment horizontal="centerContinuous" vertical="center"/>
    </xf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29" fontId="36" fillId="0" borderId="0" applyFont="0" applyFill="0" applyBorder="0" applyAlignment="0" applyProtection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330" fontId="2" fillId="0" borderId="0"/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81" fontId="2" fillId="0" borderId="0" applyFont="0" applyFill="0" applyBorder="0" applyAlignment="0" applyProtection="0"/>
    <xf numFmtId="171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2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0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7" fontId="2" fillId="44" borderId="0" applyNumberFormat="0" applyFont="0" applyBorder="0" applyAlignment="0">
      <protection locked="0"/>
    </xf>
    <xf numFmtId="331" fontId="2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1" fontId="2" fillId="0" borderId="27" applyBorder="0" applyAlignment="0" applyProtection="0">
      <alignment horizontal="center"/>
    </xf>
    <xf numFmtId="332" fontId="2" fillId="0" borderId="0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2" fillId="0" borderId="0" applyBorder="0" applyAlignment="0" applyProtection="0">
      <alignment horizontal="center"/>
    </xf>
    <xf numFmtId="332" fontId="2" fillId="0" borderId="0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2" fillId="0" borderId="0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332" fontId="34" fillId="0" borderId="27" applyBorder="0" applyAlignment="0" applyProtection="0">
      <alignment horizontal="center"/>
    </xf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71" fontId="144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2" fillId="0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64" fontId="143" fillId="3" borderId="0" applyNumberFormat="0" applyBorder="0" applyAlignment="0" applyProtection="0"/>
    <xf numFmtId="171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2" fillId="0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64" fontId="145" fillId="45" borderId="0"/>
    <xf numFmtId="171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2" fillId="0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64" fontId="146" fillId="46" borderId="0"/>
    <xf numFmtId="171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2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164" fontId="147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2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2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37" fontId="148" fillId="0" borderId="0"/>
    <xf numFmtId="171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64" fontId="22" fillId="0" borderId="0"/>
    <xf numFmtId="171" fontId="22" fillId="0" borderId="0"/>
    <xf numFmtId="167" fontId="2" fillId="0" borderId="0">
      <alignment horizontal="right"/>
    </xf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2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231" fontId="149" fillId="0" borderId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71" fontId="1" fillId="0" borderId="0"/>
    <xf numFmtId="167" fontId="2" fillId="0" borderId="0">
      <alignment horizontal="right"/>
    </xf>
    <xf numFmtId="164" fontId="2" fillId="0" borderId="0"/>
    <xf numFmtId="0" fontId="85" fillId="0" borderId="0"/>
    <xf numFmtId="171" fontId="1" fillId="0" borderId="0"/>
    <xf numFmtId="167" fontId="2" fillId="0" borderId="0">
      <alignment horizontal="right"/>
    </xf>
    <xf numFmtId="0" fontId="2" fillId="0" borderId="0"/>
    <xf numFmtId="171" fontId="2" fillId="0" borderId="0">
      <alignment horizontal="left" wrapText="1"/>
    </xf>
    <xf numFmtId="167" fontId="2" fillId="0" borderId="0">
      <alignment horizontal="right"/>
    </xf>
    <xf numFmtId="0" fontId="2" fillId="0" borderId="0"/>
    <xf numFmtId="0" fontId="2" fillId="0" borderId="0"/>
    <xf numFmtId="167" fontId="2" fillId="0" borderId="0">
      <alignment horizontal="right"/>
    </xf>
    <xf numFmtId="164" fontId="2" fillId="0" borderId="0"/>
    <xf numFmtId="0" fontId="1" fillId="0" borderId="0"/>
    <xf numFmtId="164" fontId="1" fillId="0" borderId="0"/>
    <xf numFmtId="167" fontId="2" fillId="0" borderId="0">
      <alignment horizontal="right"/>
    </xf>
    <xf numFmtId="0" fontId="1" fillId="0" borderId="0"/>
    <xf numFmtId="164" fontId="1" fillId="0" borderId="0"/>
    <xf numFmtId="167" fontId="2" fillId="0" borderId="0">
      <alignment horizontal="right"/>
    </xf>
    <xf numFmtId="0" fontId="1" fillId="0" borderId="0"/>
    <xf numFmtId="164" fontId="27" fillId="0" borderId="0"/>
    <xf numFmtId="167" fontId="2" fillId="0" borderId="0">
      <alignment horizontal="right"/>
    </xf>
    <xf numFmtId="164" fontId="1" fillId="0" borderId="0"/>
    <xf numFmtId="167" fontId="2" fillId="0" borderId="0">
      <alignment horizontal="right"/>
    </xf>
    <xf numFmtId="0" fontId="84" fillId="0" borderId="0"/>
    <xf numFmtId="164" fontId="1" fillId="0" borderId="0"/>
    <xf numFmtId="167" fontId="2" fillId="0" borderId="0">
      <alignment horizontal="right"/>
    </xf>
    <xf numFmtId="164" fontId="1" fillId="0" borderId="0"/>
    <xf numFmtId="164" fontId="1" fillId="0" borderId="0"/>
    <xf numFmtId="164" fontId="1" fillId="0" borderId="0"/>
    <xf numFmtId="167" fontId="2" fillId="0" borderId="0">
      <alignment horizontal="right"/>
    </xf>
    <xf numFmtId="171" fontId="2" fillId="0" borderId="0"/>
    <xf numFmtId="167" fontId="2" fillId="0" borderId="0">
      <alignment horizontal="right"/>
    </xf>
    <xf numFmtId="164" fontId="2" fillId="0" borderId="0"/>
    <xf numFmtId="164" fontId="2" fillId="0" borderId="0"/>
    <xf numFmtId="171" fontId="2" fillId="0" borderId="0"/>
    <xf numFmtId="167" fontId="2" fillId="0" borderId="0">
      <alignment horizontal="right"/>
    </xf>
    <xf numFmtId="164" fontId="1" fillId="0" borderId="0"/>
    <xf numFmtId="164" fontId="1" fillId="0" borderId="0"/>
    <xf numFmtId="164" fontId="1" fillId="0" borderId="0"/>
    <xf numFmtId="171" fontId="2" fillId="0" borderId="0"/>
    <xf numFmtId="164" fontId="2" fillId="0" borderId="0"/>
    <xf numFmtId="171" fontId="2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2" fillId="0" borderId="0"/>
    <xf numFmtId="171" fontId="2" fillId="0" borderId="0"/>
    <xf numFmtId="164" fontId="2" fillId="0" borderId="0"/>
    <xf numFmtId="0" fontId="2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1" fillId="0" borderId="0"/>
    <xf numFmtId="164" fontId="2" fillId="0" borderId="0"/>
    <xf numFmtId="0" fontId="2" fillId="0" borderId="0"/>
    <xf numFmtId="0" fontId="85" fillId="0" borderId="0"/>
    <xf numFmtId="0" fontId="85" fillId="0" borderId="0"/>
    <xf numFmtId="164" fontId="2" fillId="0" borderId="0"/>
    <xf numFmtId="0" fontId="85" fillId="0" borderId="0"/>
    <xf numFmtId="0" fontId="85" fillId="0" borderId="0"/>
    <xf numFmtId="0" fontId="85" fillId="0" borderId="0"/>
    <xf numFmtId="164" fontId="2" fillId="0" borderId="0"/>
    <xf numFmtId="0" fontId="26" fillId="0" borderId="0"/>
    <xf numFmtId="0" fontId="85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" fillId="0" borderId="0"/>
    <xf numFmtId="167" fontId="2" fillId="0" borderId="0">
      <alignment horizontal="right"/>
    </xf>
    <xf numFmtId="164" fontId="84" fillId="0" borderId="0"/>
    <xf numFmtId="167" fontId="2" fillId="0" borderId="0">
      <alignment horizontal="right"/>
    </xf>
    <xf numFmtId="164" fontId="2" fillId="0" borderId="0"/>
    <xf numFmtId="167" fontId="2" fillId="0" borderId="0">
      <alignment horizontal="right"/>
    </xf>
    <xf numFmtId="164" fontId="2" fillId="0" borderId="0"/>
    <xf numFmtId="167" fontId="2" fillId="0" borderId="0">
      <alignment horizontal="right"/>
    </xf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" fillId="0" borderId="0"/>
    <xf numFmtId="171" fontId="2" fillId="0" borderId="0"/>
    <xf numFmtId="167" fontId="2" fillId="0" borderId="0">
      <alignment horizontal="right"/>
    </xf>
    <xf numFmtId="164" fontId="77" fillId="0" borderId="0">
      <alignment vertical="top"/>
    </xf>
    <xf numFmtId="167" fontId="2" fillId="0" borderId="0">
      <alignment horizontal="right"/>
    </xf>
    <xf numFmtId="0" fontId="85" fillId="0" borderId="0"/>
    <xf numFmtId="164" fontId="77" fillId="0" borderId="0">
      <alignment vertical="top"/>
    </xf>
    <xf numFmtId="0" fontId="2" fillId="0" borderId="0"/>
    <xf numFmtId="0" fontId="85" fillId="0" borderId="0"/>
    <xf numFmtId="164" fontId="77" fillId="0" borderId="0">
      <alignment vertical="top"/>
    </xf>
    <xf numFmtId="0" fontId="1" fillId="0" borderId="0"/>
    <xf numFmtId="164" fontId="77" fillId="0" borderId="0">
      <alignment vertical="top"/>
    </xf>
    <xf numFmtId="164" fontId="77" fillId="0" borderId="0">
      <alignment vertical="top"/>
    </xf>
    <xf numFmtId="164" fontId="77" fillId="0" borderId="0">
      <alignment vertical="top"/>
    </xf>
    <xf numFmtId="164" fontId="2" fillId="0" borderId="0"/>
    <xf numFmtId="164" fontId="77" fillId="0" borderId="0">
      <alignment vertical="top"/>
    </xf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71" fontId="85" fillId="0" borderId="0"/>
    <xf numFmtId="167" fontId="2" fillId="0" borderId="0">
      <alignment horizontal="right"/>
    </xf>
    <xf numFmtId="171" fontId="85" fillId="0" borderId="0"/>
    <xf numFmtId="171" fontId="15" fillId="0" borderId="0"/>
    <xf numFmtId="164" fontId="1" fillId="0" borderId="0"/>
    <xf numFmtId="164" fontId="1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150" fillId="0" borderId="0"/>
    <xf numFmtId="164" fontId="2" fillId="0" borderId="0"/>
    <xf numFmtId="164" fontId="2" fillId="0" borderId="0"/>
    <xf numFmtId="164" fontId="2" fillId="0" borderId="0"/>
    <xf numFmtId="171" fontId="1" fillId="0" borderId="0"/>
    <xf numFmtId="167" fontId="2" fillId="0" borderId="0">
      <alignment horizontal="right"/>
    </xf>
    <xf numFmtId="164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1" fontId="1" fillId="0" borderId="0"/>
    <xf numFmtId="167" fontId="2" fillId="0" borderId="0">
      <alignment horizontal="right"/>
    </xf>
    <xf numFmtId="164" fontId="2" fillId="0" borderId="0"/>
    <xf numFmtId="164" fontId="2" fillId="0" borderId="0"/>
    <xf numFmtId="171" fontId="1" fillId="0" borderId="0"/>
    <xf numFmtId="167" fontId="2" fillId="0" borderId="0">
      <alignment horizontal="right"/>
    </xf>
    <xf numFmtId="164" fontId="84" fillId="0" borderId="0"/>
    <xf numFmtId="0" fontId="2" fillId="0" borderId="0"/>
    <xf numFmtId="0" fontId="1" fillId="0" borderId="0"/>
    <xf numFmtId="0" fontId="1" fillId="0" borderId="0"/>
    <xf numFmtId="171" fontId="1" fillId="0" borderId="0"/>
    <xf numFmtId="167" fontId="2" fillId="0" borderId="0">
      <alignment horizontal="right"/>
    </xf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85" fillId="0" borderId="0"/>
    <xf numFmtId="0" fontId="85" fillId="0" borderId="0"/>
    <xf numFmtId="0" fontId="2" fillId="0" borderId="0"/>
    <xf numFmtId="171" fontId="1" fillId="0" borderId="0"/>
    <xf numFmtId="167" fontId="2" fillId="0" borderId="0">
      <alignment horizontal="right"/>
    </xf>
    <xf numFmtId="0" fontId="2" fillId="0" borderId="0"/>
    <xf numFmtId="171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2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64" fontId="151" fillId="0" borderId="0" applyFill="0" applyBorder="0" applyAlignment="0" applyProtection="0"/>
    <xf numFmtId="171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64" fontId="152" fillId="0" borderId="0" applyFill="0" applyBorder="0" applyAlignment="0" applyProtection="0"/>
    <xf numFmtId="171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2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164" fontId="153" fillId="0" borderId="0" applyFill="0" applyBorder="0" applyAlignment="0" applyProtection="0"/>
    <xf numFmtId="274" fontId="2" fillId="0" borderId="0">
      <alignment horizontal="right"/>
    </xf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8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69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8" fontId="2" fillId="0" borderId="0"/>
    <xf numFmtId="171" fontId="26" fillId="0" borderId="0"/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71" fontId="2" fillId="47" borderId="28" applyNumberFormat="0" applyFont="0" applyAlignment="0" applyProtection="0"/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27" fillId="47" borderId="28" applyNumberFormat="0" applyFont="0" applyAlignment="0" applyProtection="0"/>
    <xf numFmtId="164" fontId="27" fillId="47" borderId="28" applyNumberFormat="0" applyFont="0" applyAlignment="0" applyProtection="0"/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2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71" fontId="2" fillId="47" borderId="28" applyNumberFormat="0" applyFont="0" applyAlignment="0" applyProtection="0"/>
    <xf numFmtId="164" fontId="27" fillId="47" borderId="28" applyNumberFormat="0" applyFont="0" applyAlignment="0" applyProtection="0"/>
    <xf numFmtId="164" fontId="27" fillId="47" borderId="28" applyNumberFormat="0" applyFont="0" applyAlignment="0" applyProtection="0"/>
    <xf numFmtId="164" fontId="27" fillId="47" borderId="28" applyNumberFormat="0" applyFont="0" applyAlignment="0" applyProtection="0"/>
    <xf numFmtId="164" fontId="27" fillId="47" borderId="28" applyNumberFormat="0" applyFont="0" applyAlignment="0" applyProtection="0"/>
    <xf numFmtId="164" fontId="27" fillId="47" borderId="28" applyNumberFormat="0" applyFont="0" applyAlignment="0" applyProtection="0"/>
    <xf numFmtId="164" fontId="27" fillId="47" borderId="28" applyNumberFormat="0" applyFont="0" applyAlignment="0" applyProtection="0"/>
    <xf numFmtId="164" fontId="27" fillId="47" borderId="28" applyNumberFormat="0" applyFont="0" applyAlignment="0" applyProtection="0"/>
    <xf numFmtId="164" fontId="27" fillId="47" borderId="28" applyNumberFormat="0" applyFont="0" applyAlignment="0" applyProtection="0"/>
    <xf numFmtId="164" fontId="27" fillId="47" borderId="28" applyNumberFormat="0" applyFont="0" applyAlignment="0" applyProtection="0"/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64" fontId="154" fillId="0" borderId="0" applyNumberFormat="0" applyFill="0" applyBorder="0" applyProtection="0">
      <alignment vertical="top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2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" fontId="9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2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98" fontId="155" fillId="0" borderId="0">
      <alignment horizontal="right"/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2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181" fontId="95" fillId="0" borderId="0"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2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15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2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2" fontId="95" fillId="0" borderId="0">
      <alignment horizontal="right"/>
      <protection locked="0"/>
    </xf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48" fillId="0" borderId="0" applyFill="0" applyBorder="0" applyAlignment="0" applyProtection="0"/>
    <xf numFmtId="170" fontId="2" fillId="0" borderId="0" applyFill="0" applyBorder="0" applyAlignment="0" applyProtection="0"/>
    <xf numFmtId="170" fontId="48" fillId="0" borderId="0" applyFill="0" applyBorder="0" applyAlignment="0" applyProtection="0"/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222" fontId="8" fillId="0" borderId="0" applyFont="0" applyFill="0" applyBorder="0" applyProtection="0">
      <alignment horizontal="right"/>
    </xf>
    <xf numFmtId="170" fontId="48" fillId="0" borderId="0" applyFill="0" applyBorder="0" applyAlignment="0" applyProtection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26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42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225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333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239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37" fontId="2" fillId="0" borderId="0"/>
    <xf numFmtId="43" fontId="133" fillId="0" borderId="0" applyFont="0" applyFill="0" applyBorder="0" applyAlignment="0" applyProtection="0"/>
    <xf numFmtId="171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71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164" fontId="77" fillId="0" borderId="0" applyNumberForma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13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33" fillId="0" borderId="0" applyFon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334" fontId="36" fillId="0" borderId="0" applyNumberFormat="0" applyFill="0" applyBorder="0" applyAlignment="0" applyProtection="0"/>
    <xf numFmtId="43" fontId="133" fillId="0" borderId="0" applyFont="0" applyFill="0" applyBorder="0" applyAlignment="0" applyProtection="0"/>
    <xf numFmtId="334" fontId="2" fillId="0" borderId="0" applyNumberFormat="0" applyFill="0" applyBorder="0" applyAlignment="0" applyProtection="0"/>
    <xf numFmtId="3" fontId="156" fillId="0" borderId="0" applyFont="0" applyFill="0" applyBorder="0" applyAlignment="0" applyProtection="0"/>
    <xf numFmtId="41" fontId="16" fillId="0" borderId="0" applyFont="0" applyFill="0" applyBorder="0" applyAlignment="0" applyProtection="0"/>
    <xf numFmtId="171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2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7" fillId="0" borderId="0">
      <alignment horizontal="left"/>
    </xf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71" fontId="159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164" fontId="2" fillId="0" borderId="0" applyNumberFormat="0" applyAlignment="0" applyProtection="0"/>
    <xf numFmtId="164" fontId="158" fillId="25" borderId="29" applyNumberFormat="0" applyAlignment="0" applyProtection="0"/>
    <xf numFmtId="164" fontId="158" fillId="25" borderId="29" applyNumberFormat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315" fontId="33" fillId="0" borderId="0" applyNumberFormat="0" applyFill="0" applyBorder="0" applyAlignment="0" applyProtection="0"/>
    <xf numFmtId="164" fontId="158" fillId="25" borderId="29" applyNumberFormat="0" applyAlignment="0" applyProtection="0"/>
    <xf numFmtId="315" fontId="33" fillId="0" borderId="0" applyNumberFormat="0" applyFill="0" applyBorder="0" applyAlignment="0" applyProtection="0"/>
    <xf numFmtId="164" fontId="158" fillId="25" borderId="29" applyNumberFormat="0" applyAlignment="0" applyProtection="0"/>
    <xf numFmtId="315" fontId="33" fillId="0" borderId="0" applyNumberFormat="0" applyFill="0" applyBorder="0" applyAlignment="0" applyProtection="0"/>
    <xf numFmtId="164" fontId="158" fillId="25" borderId="29" applyNumberFormat="0" applyAlignment="0" applyProtection="0"/>
    <xf numFmtId="315" fontId="33" fillId="0" borderId="0" applyNumberFormat="0" applyFill="0" applyBorder="0" applyAlignment="0" applyProtection="0"/>
    <xf numFmtId="164" fontId="158" fillId="25" borderId="29" applyNumberFormat="0" applyAlignment="0" applyProtection="0"/>
    <xf numFmtId="315" fontId="33" fillId="0" borderId="0" applyNumberFormat="0" applyFill="0" applyBorder="0" applyAlignment="0" applyProtection="0"/>
    <xf numFmtId="164" fontId="158" fillId="25" borderId="29" applyNumberFormat="0" applyAlignment="0" applyProtection="0"/>
    <xf numFmtId="315" fontId="33" fillId="0" borderId="0" applyNumberFormat="0" applyFill="0" applyBorder="0" applyAlignment="0" applyProtection="0"/>
    <xf numFmtId="164" fontId="158" fillId="25" borderId="29" applyNumberFormat="0" applyAlignment="0" applyProtection="0"/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2" fillId="0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40" fontId="160" fillId="2" borderId="0">
      <alignment horizontal="right"/>
    </xf>
    <xf numFmtId="171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2" fillId="0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64" fontId="161" fillId="2" borderId="0">
      <alignment horizontal="right"/>
    </xf>
    <xf numFmtId="171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2" fillId="0" borderId="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64" fontId="162" fillId="2" borderId="30"/>
    <xf numFmtId="171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64" fontId="162" fillId="0" borderId="0" applyBorder="0">
      <alignment horizontal="centerContinuous"/>
    </xf>
    <xf numFmtId="171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2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64" fontId="163" fillId="0" borderId="0" applyBorder="0">
      <alignment horizontal="centerContinuous"/>
    </xf>
    <xf numFmtId="199" fontId="164" fillId="0" borderId="0" applyProtection="0">
      <alignment horizontal="right"/>
    </xf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2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2" fillId="0" borderId="0" applyBorder="0">
      <protection locked="0"/>
    </xf>
    <xf numFmtId="37" fontId="36" fillId="0" borderId="0" applyBorder="0">
      <protection locked="0"/>
    </xf>
    <xf numFmtId="37" fontId="2" fillId="0" borderId="0" applyBorder="0">
      <protection locked="0"/>
    </xf>
    <xf numFmtId="37" fontId="2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37" fontId="36" fillId="0" borderId="0" applyBorder="0">
      <protection locked="0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2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2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2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2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199" fontId="164" fillId="0" borderId="0" applyProtection="0">
      <alignment horizontal="right"/>
    </xf>
    <xf numFmtId="199" fontId="2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2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199" fontId="164" fillId="0" borderId="0" applyProtection="0">
      <alignment horizontal="right"/>
    </xf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230" fontId="2" fillId="0" borderId="0" applyFont="0" applyFill="0" applyBorder="0" applyAlignment="0" applyProtection="0"/>
    <xf numFmtId="199" fontId="164" fillId="0" borderId="0" applyProtection="0">
      <alignment horizontal="right"/>
    </xf>
    <xf numFmtId="199" fontId="2" fillId="0" borderId="0" applyProtection="0">
      <alignment horizontal="right"/>
    </xf>
    <xf numFmtId="199" fontId="164" fillId="0" borderId="0" applyProtection="0">
      <alignment horizontal="right"/>
    </xf>
    <xf numFmtId="199" fontId="2" fillId="0" borderId="0" applyProtection="0">
      <alignment horizontal="right"/>
    </xf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2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99" fontId="6" fillId="0" borderId="0"/>
    <xf numFmtId="171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2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64" fontId="165" fillId="0" borderId="0" applyFill="0" applyBorder="0" applyProtection="0">
      <alignment horizontal="left"/>
    </xf>
    <xf numFmtId="171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2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64" fontId="166" fillId="0" borderId="0" applyFill="0" applyBorder="0" applyProtection="0">
      <alignment horizontal="left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2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" fontId="167" fillId="0" borderId="0" applyProtection="0">
      <alignment horizontal="right" vertical="center"/>
    </xf>
    <xf numFmtId="171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64" fontId="23" fillId="0" borderId="0">
      <alignment horizontal="center"/>
    </xf>
    <xf numFmtId="171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2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64" fontId="168" fillId="0" borderId="0">
      <alignment horizontal="center"/>
    </xf>
    <xf numFmtId="171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2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64" fontId="7" fillId="0" borderId="0" applyFill="0" applyBorder="0" applyAlignment="0" applyProtection="0"/>
    <xf numFmtId="171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71" fontId="16" fillId="0" borderId="31" applyNumberFormat="0" applyAlignment="0" applyProtection="0"/>
    <xf numFmtId="164" fontId="2" fillId="0" borderId="0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2" fillId="0" borderId="0" applyNumberFormat="0" applyAlignment="0" applyProtection="0"/>
    <xf numFmtId="164" fontId="2" fillId="0" borderId="0" applyNumberFormat="0" applyAlignment="0" applyProtection="0"/>
    <xf numFmtId="164" fontId="16" fillId="0" borderId="31" applyNumberFormat="0" applyAlignment="0" applyProtection="0"/>
    <xf numFmtId="164" fontId="2" fillId="0" borderId="0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64" fontId="16" fillId="0" borderId="31" applyNumberFormat="0" applyAlignment="0" applyProtection="0"/>
    <xf numFmtId="171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2" fillId="0" borderId="0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164" fontId="169" fillId="0" borderId="32" applyNumberFormat="0" applyAlignment="0" applyProtection="0"/>
    <xf numFmtId="49" fontId="170" fillId="0" borderId="1" applyFill="0" applyProtection="0">
      <alignment vertical="center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2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74" fontId="35" fillId="0" borderId="0" applyFont="0" applyFill="0" applyBorder="0" applyAlignment="0" applyProtection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2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99" fontId="16" fillId="0" borderId="0">
      <alignment horizontal="right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2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2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2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4" fontId="33" fillId="0" borderId="0">
      <alignment horizontal="center" wrapText="1"/>
      <protection locked="0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2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2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2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99" fontId="33" fillId="0" borderId="0">
      <alignment horizontal="right"/>
    </xf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71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2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83" fillId="0" borderId="0" applyFont="0" applyFill="0" applyBorder="0" applyAlignment="0" applyProtection="0"/>
    <xf numFmtId="335" fontId="2" fillId="0" borderId="0" applyFont="0" applyFill="0" applyBorder="0" applyAlignment="0" applyProtection="0"/>
    <xf numFmtId="335" fontId="83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282" fontId="4" fillId="0" borderId="0" applyFont="0" applyFill="0" applyBorder="0" applyAlignment="0" applyProtection="0"/>
    <xf numFmtId="335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2" fillId="0" borderId="0" applyFont="0" applyFill="0" applyBorder="0" applyAlignment="0" applyProtection="0"/>
    <xf numFmtId="240" fontId="83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48" fillId="0" borderId="0" applyFont="0" applyFill="0" applyBorder="0" applyAlignment="0" applyProtection="0"/>
    <xf numFmtId="240" fontId="83" fillId="0" borderId="0" applyFont="0" applyFill="0" applyBorder="0" applyAlignment="0" applyProtection="0"/>
    <xf numFmtId="282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164" fontId="26" fillId="0" borderId="0" applyFont="0" applyFill="0" applyBorder="0" applyAlignment="0" applyProtection="0"/>
    <xf numFmtId="224" fontId="2" fillId="0" borderId="0" applyFont="0" applyFill="0" applyBorder="0" applyAlignment="0" applyProtection="0"/>
    <xf numFmtId="314" fontId="26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316" fontId="26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336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2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0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2" fillId="0" borderId="0" applyFont="0" applyFill="0" applyBorder="0" applyAlignment="0" applyProtection="0"/>
    <xf numFmtId="321" fontId="83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48" fillId="0" borderId="0" applyFont="0" applyFill="0" applyBorder="0" applyAlignment="0" applyProtection="0"/>
    <xf numFmtId="321" fontId="83" fillId="0" borderId="0" applyFont="0" applyFill="0" applyBorder="0" applyAlignment="0" applyProtection="0"/>
    <xf numFmtId="322" fontId="4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2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4" fontId="83" fillId="0" borderId="0" applyFont="0" applyFill="0" applyBorder="0" applyAlignment="0" applyProtection="0"/>
    <xf numFmtId="326" fontId="83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2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6" fontId="48" fillId="0" borderId="0" applyFont="0" applyFill="0" applyBorder="0" applyAlignment="0" applyProtection="0"/>
    <xf numFmtId="327" fontId="4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2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1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2" fillId="0" borderId="0" applyFont="0" applyFill="0" applyBorder="0" applyAlignment="0" applyProtection="0"/>
    <xf numFmtId="337" fontId="83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48" fillId="0" borderId="0" applyFont="0" applyFill="0" applyBorder="0" applyAlignment="0" applyProtection="0"/>
    <xf numFmtId="337" fontId="83" fillId="0" borderId="0" applyFont="0" applyFill="0" applyBorder="0" applyAlignment="0" applyProtection="0"/>
    <xf numFmtId="338" fontId="4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2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339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2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257" fontId="8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2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2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2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340" fontId="33" fillId="0" borderId="0" applyFont="0" applyFill="0" applyBorder="0" applyProtection="0">
      <alignment horizontal="right"/>
    </xf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2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11" fillId="0" borderId="0" applyFont="0" applyFill="0" applyBorder="0" applyAlignment="0" applyProtection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2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99" fontId="95" fillId="0" borderId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2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2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10" fontId="95" fillId="0" borderId="0">
      <protection locked="0"/>
    </xf>
    <xf numFmtId="338" fontId="2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2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41" fontId="73" fillId="0" borderId="0"/>
    <xf numFmtId="339" fontId="2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342" fontId="26" fillId="0" borderId="0" applyFill="0" applyBorder="0">
      <alignment horizontal="right"/>
      <protection locked="0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2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255" fontId="44" fillId="0" borderId="0">
      <alignment horizontal="right"/>
    </xf>
    <xf numFmtId="171" fontId="171" fillId="30" borderId="0">
      <alignment horizontal="center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2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99" fontId="164" fillId="0" borderId="0">
      <alignment horizontal="right"/>
    </xf>
    <xf numFmtId="171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71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71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64" fontId="2" fillId="0" borderId="0">
      <protection locked="0"/>
    </xf>
    <xf numFmtId="171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2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10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2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9" fontId="14" fillId="0" borderId="0"/>
    <xf numFmtId="44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81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343" fontId="15" fillId="0" borderId="0" applyFill="0" applyBorder="0" applyAlignment="0"/>
    <xf numFmtId="44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230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81" fontId="19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 applyProtection="0">
      <alignment horizontal="right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15" fontId="2" fillId="0" borderId="0">
      <alignment horizontal="right"/>
      <protection locked="0"/>
    </xf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5" fontId="172" fillId="0" borderId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2" fillId="0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2" fillId="0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2" fillId="0" borderId="0" applyNumberFormat="0" applyFont="0" applyFill="0" applyBorder="0" applyAlignment="0" applyProtection="0"/>
    <xf numFmtId="37" fontId="2" fillId="0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37" fontId="39" fillId="48" borderId="0" applyNumberFormat="0" applyFont="0" applyFill="0" applyBorder="0" applyAlignment="0" applyProtection="0"/>
    <xf numFmtId="171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2" fillId="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164" fontId="173" fillId="30" borderId="0"/>
    <xf numFmtId="344" fontId="39" fillId="0" borderId="0">
      <alignment horizontal="left"/>
    </xf>
    <xf numFmtId="171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64" fontId="26" fillId="0" borderId="0" applyNumberFormat="0" applyFont="0" applyFill="0" applyBorder="0" applyAlignment="0" applyProtection="0">
      <alignment horizontal="left"/>
    </xf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15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4" fontId="26" fillId="0" borderId="0" applyFont="0" applyFill="0" applyBorder="0" applyAlignment="0" applyProtection="0"/>
    <xf numFmtId="171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2" fillId="0" borderId="0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164" fontId="10" fillId="0" borderId="6">
      <alignment horizontal="center"/>
    </xf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3" fontId="26" fillId="0" borderId="0" applyFont="0" applyFill="0" applyBorder="0" applyAlignment="0" applyProtection="0"/>
    <xf numFmtId="171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" fillId="0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64" fontId="26" fillId="49" borderId="0" applyNumberFormat="0" applyFont="0" applyBorder="0" applyAlignment="0" applyProtection="0"/>
    <xf numFmtId="171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2" fillId="0" borderId="0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71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2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4" fontId="17" fillId="0" borderId="0"/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2" fillId="0" borderId="0">
      <alignment horizontal="right"/>
    </xf>
    <xf numFmtId="165" fontId="174" fillId="0" borderId="0">
      <alignment horizontal="right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65" fontId="174" fillId="0" borderId="0">
      <alignment horizontal="right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65" fontId="174" fillId="0" borderId="0">
      <alignment horizontal="right"/>
    </xf>
    <xf numFmtId="181" fontId="16" fillId="0" borderId="0">
      <alignment vertical="top"/>
    </xf>
    <xf numFmtId="165" fontId="174" fillId="0" borderId="0">
      <alignment horizontal="right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65" fontId="174" fillId="0" borderId="0">
      <alignment horizontal="right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16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181" fontId="2" fillId="0" borderId="0">
      <alignment vertical="top"/>
    </xf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2" fillId="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41" fontId="35" fillId="30" borderId="0" applyFill="0"/>
    <xf numFmtId="171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2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64" fontId="175" fillId="0" borderId="0">
      <alignment horizontal="left"/>
    </xf>
    <xf numFmtId="171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2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164" fontId="35" fillId="0" borderId="0" applyFill="0">
      <alignment horizontal="left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2" fillId="0" borderId="0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41" fontId="35" fillId="0" borderId="9">
      <alignment horizontal="right" vertical="top"/>
    </xf>
    <xf numFmtId="171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2" fillId="0" borderId="0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164" fontId="7" fillId="0" borderId="3" applyNumberFormat="0" applyFont="0" applyBorder="0">
      <alignment horizontal="right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2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41" fontId="35" fillId="0" borderId="0">
      <alignment vertical="top"/>
    </xf>
    <xf numFmtId="171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2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164" fontId="176" fillId="0" borderId="0" applyFill="0">
      <alignment horizontal="left" vertical="top" indent="2"/>
    </xf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2" fillId="0" borderId="0" applyFill="0"/>
    <xf numFmtId="41" fontId="16" fillId="0" borderId="1" applyFill="0"/>
    <xf numFmtId="41" fontId="16" fillId="0" borderId="1" applyFill="0"/>
    <xf numFmtId="41" fontId="16" fillId="0" borderId="1" applyFill="0"/>
    <xf numFmtId="41" fontId="2" fillId="0" borderId="0" applyFill="0"/>
    <xf numFmtId="41" fontId="16" fillId="0" borderId="1" applyFill="0"/>
    <xf numFmtId="41" fontId="2" fillId="0" borderId="0" applyFill="0"/>
    <xf numFmtId="41" fontId="2" fillId="0" borderId="0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41" fontId="16" fillId="0" borderId="1" applyFill="0"/>
    <xf numFmtId="171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71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2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64" fontId="56" fillId="0" borderId="0" applyFill="0">
      <alignment horizontal="left" indent="1"/>
    </xf>
    <xf numFmtId="171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2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164" fontId="169" fillId="0" borderId="0" applyFill="0">
      <alignment horizontal="left" indent="4"/>
    </xf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2" fillId="0" borderId="0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41" fontId="169" fillId="0" borderId="9" applyFill="0"/>
    <xf numFmtId="171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71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2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64" fontId="56" fillId="0" borderId="0" applyFill="0">
      <alignment horizontal="left" indent="2"/>
    </xf>
    <xf numFmtId="171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2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164" fontId="151" fillId="0" borderId="0" applyFill="0">
      <alignment horizontal="left" wrapText="1" indent="2"/>
    </xf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2" fillId="0" borderId="0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41" fontId="169" fillId="41" borderId="14"/>
    <xf numFmtId="171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71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2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64" fontId="177" fillId="0" borderId="0">
      <alignment horizontal="left" indent="3"/>
    </xf>
    <xf numFmtId="171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2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164" fontId="178" fillId="0" borderId="0" applyFill="0">
      <alignment horizontal="left" indent="3"/>
    </xf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2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4" fontId="9" fillId="0" borderId="0" applyFill="0"/>
    <xf numFmtId="171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71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2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64" fontId="17" fillId="0" borderId="0">
      <alignment horizontal="left" indent="4"/>
    </xf>
    <xf numFmtId="171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71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71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164" fontId="2" fillId="0" borderId="0" applyFill="0">
      <alignment horizontal="left" indent="4"/>
    </xf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2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4" fontId="58" fillId="0" borderId="0" applyFill="0"/>
    <xf numFmtId="171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64" fontId="2" fillId="0" borderId="0" applyNumberFormat="0" applyFont="0" applyBorder="0" applyAlignment="0"/>
    <xf numFmtId="171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2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64" fontId="59" fillId="0" borderId="0">
      <alignment horizontal="left" indent="5"/>
    </xf>
    <xf numFmtId="171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2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164" fontId="60" fillId="0" borderId="0" applyFill="0">
      <alignment horizontal="left" indent="5"/>
    </xf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2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4" fontId="61" fillId="0" borderId="0" applyFill="0"/>
    <xf numFmtId="171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64" fontId="2" fillId="0" borderId="0" applyNumberFormat="0" applyFont="0" applyFill="0" applyBorder="0" applyAlignment="0"/>
    <xf numFmtId="171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64" fontId="62" fillId="0" borderId="0" applyFill="0">
      <alignment horizontal="left" indent="6"/>
    </xf>
    <xf numFmtId="171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2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164" fontId="58" fillId="0" borderId="0" applyFill="0">
      <alignment horizontal="left" indent="6"/>
    </xf>
    <xf numFmtId="345" fontId="44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87" fontId="2" fillId="0" borderId="0" applyFont="0" applyFill="0" applyBorder="0" applyAlignment="0" applyProtection="0">
      <alignment horizontal="right"/>
    </xf>
    <xf numFmtId="252" fontId="2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346" fontId="26" fillId="0" borderId="0">
      <alignment horizontal="right"/>
      <protection locked="0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2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65" fontId="174" fillId="0" borderId="0">
      <alignment horizontal="right"/>
    </xf>
    <xf numFmtId="171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2" fillId="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4" fontId="179" fillId="50" borderId="0" applyNumberFormat="0" applyFont="0" applyBorder="0" applyAlignment="0">
      <alignment horizontal="center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68" fontId="23" fillId="0" borderId="0" applyNumberFormat="0" applyFill="0" applyBorder="0" applyAlignment="0" applyProtection="0">
      <alignment horizontal="left"/>
    </xf>
    <xf numFmtId="171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2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164" fontId="137" fillId="0" borderId="0" applyNumberFormat="0" applyFill="0" applyBorder="0" applyProtection="0">
      <alignment horizontal="right" vertical="center"/>
    </xf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38" fontId="23" fillId="0" borderId="0"/>
    <xf numFmtId="171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71" fontId="77" fillId="0" borderId="0" applyNumberFormat="0" applyFill="0" applyBorder="0"/>
    <xf numFmtId="164" fontId="2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2" fillId="0" borderId="0" applyNumberFormat="0" applyFill="0" applyBorder="0"/>
    <xf numFmtId="164" fontId="77" fillId="0" borderId="0" applyNumberFormat="0" applyFill="0" applyBorder="0"/>
    <xf numFmtId="164" fontId="2" fillId="0" borderId="0" applyNumberFormat="0" applyFill="0" applyBorder="0"/>
    <xf numFmtId="164" fontId="2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64" fontId="77" fillId="0" borderId="0" applyNumberFormat="0" applyFill="0" applyBorder="0"/>
    <xf numFmtId="171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2" fillId="0" borderId="0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64" fontId="7" fillId="0" borderId="33">
      <alignment horizontal="center" vertical="center" wrapText="1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71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71" fontId="44" fillId="0" borderId="0"/>
    <xf numFmtId="164" fontId="2" fillId="0" borderId="0"/>
    <xf numFmtId="164" fontId="44" fillId="0" borderId="0"/>
    <xf numFmtId="164" fontId="44" fillId="0" borderId="0"/>
    <xf numFmtId="164" fontId="44" fillId="0" borderId="0"/>
    <xf numFmtId="164" fontId="2" fillId="0" borderId="0"/>
    <xf numFmtId="164" fontId="44" fillId="0" borderId="0"/>
    <xf numFmtId="171" fontId="44" fillId="0" borderId="0"/>
    <xf numFmtId="164" fontId="2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2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64" fontId="2" fillId="0" borderId="0"/>
    <xf numFmtId="171" fontId="44" fillId="0" borderId="0"/>
    <xf numFmtId="164" fontId="44" fillId="0" borderId="0"/>
    <xf numFmtId="164" fontId="44" fillId="0" borderId="0"/>
    <xf numFmtId="171" fontId="44" fillId="0" borderId="0"/>
    <xf numFmtId="171" fontId="44" fillId="0" borderId="0"/>
    <xf numFmtId="164" fontId="44" fillId="0" borderId="0"/>
    <xf numFmtId="164" fontId="44" fillId="0" borderId="0"/>
    <xf numFmtId="164" fontId="44" fillId="0" borderId="0"/>
    <xf numFmtId="164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2" fillId="0" borderId="0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2" fillId="0" borderId="5">
      <alignment horizontal="right"/>
    </xf>
    <xf numFmtId="165" fontId="2" fillId="0" borderId="5">
      <alignment horizontal="right"/>
    </xf>
    <xf numFmtId="165" fontId="2" fillId="0" borderId="5">
      <alignment horizontal="right"/>
    </xf>
    <xf numFmtId="165" fontId="2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2" fillId="0" borderId="5">
      <alignment horizontal="right"/>
    </xf>
    <xf numFmtId="165" fontId="2" fillId="0" borderId="5">
      <alignment horizontal="right"/>
    </xf>
    <xf numFmtId="165" fontId="2" fillId="0" borderId="5">
      <alignment horizontal="right"/>
    </xf>
    <xf numFmtId="165" fontId="2" fillId="0" borderId="5">
      <alignment horizontal="right"/>
    </xf>
    <xf numFmtId="165" fontId="2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65" fontId="16" fillId="0" borderId="5">
      <alignment horizontal="right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2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81" fontId="44" fillId="0" borderId="0"/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71" fontId="44" fillId="0" borderId="34">
      <protection locked="0"/>
    </xf>
    <xf numFmtId="164" fontId="2" fillId="0" borderId="0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64" fontId="2" fillId="0" borderId="0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71" fontId="44" fillId="0" borderId="34">
      <alignment horizontal="centerContinuous"/>
    </xf>
    <xf numFmtId="171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alignment horizontal="centerContinuous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64" fontId="2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71" fontId="44" fillId="0" borderId="34">
      <protection locked="0"/>
    </xf>
    <xf numFmtId="171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164" fontId="44" fillId="0" borderId="34">
      <protection locked="0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2" fillId="0" borderId="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3" fontId="180" fillId="51" borderId="20" applyNumberFormat="0" applyProtection="0">
      <alignment vertical="center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2" fillId="0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1" fillId="52" borderId="0" applyNumberFormat="0" applyProtection="0">
      <alignment horizontal="left" vertical="center" indent="1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2" fillId="0" borderId="0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2" fillId="2" borderId="35" applyNumberFormat="0" applyProtection="0">
      <alignment vertical="center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2" fillId="0" borderId="0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4" fontId="183" fillId="22" borderId="36" applyNumberFormat="0" applyProtection="0">
      <alignment horizontal="left" vertical="center" indent="1"/>
    </xf>
    <xf numFmtId="171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2" fillId="0" borderId="0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164" fontId="172" fillId="0" borderId="37"/>
    <xf numFmtId="253" fontId="2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2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347" fontId="184" fillId="0" borderId="0" applyFill="0" applyBorder="0">
      <alignment horizontal="right"/>
      <protection hidden="1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2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81" fontId="16" fillId="0" borderId="0">
      <protection locked="0"/>
    </xf>
    <xf numFmtId="171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2" fillId="0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64" fontId="185" fillId="53" borderId="0"/>
    <xf numFmtId="171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2" fillId="0" borderId="0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64" fontId="186" fillId="32" borderId="3">
      <alignment horizontal="center" vertical="center" wrapText="1"/>
      <protection hidden="1"/>
    </xf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2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181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2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37" fontId="16" fillId="0" borderId="0"/>
    <xf numFmtId="171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71" fontId="16" fillId="46" borderId="0" applyNumberFormat="0" applyFont="0" applyBorder="0" applyAlignment="0" applyProtection="0"/>
    <xf numFmtId="164" fontId="2" fillId="0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2" fillId="0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2" fillId="0" borderId="0" applyNumberFormat="0" applyFont="0" applyBorder="0" applyAlignment="0" applyProtection="0"/>
    <xf numFmtId="164" fontId="2" fillId="0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64" fontId="16" fillId="46" borderId="0" applyNumberFormat="0" applyFont="0" applyBorder="0" applyAlignment="0" applyProtection="0"/>
    <xf numFmtId="171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2" fillId="0" borderId="0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164" fontId="179" fillId="1" borderId="9" applyNumberFormat="0" applyFont="0" applyAlignment="0">
      <alignment horizontal="center"/>
    </xf>
    <xf numFmtId="348" fontId="44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288" fontId="2" fillId="0" borderId="0">
      <alignment horizontal="right"/>
    </xf>
    <xf numFmtId="171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2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64" fontId="4" fillId="0" borderId="0">
      <alignment horizontal="left"/>
    </xf>
    <xf numFmtId="171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2" fillId="0" borderId="0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164" fontId="4" fillId="0" borderId="38"/>
    <xf numFmtId="255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349" fontId="2" fillId="0" borderId="0" applyFill="0" applyBorder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42" fontId="52" fillId="0" borderId="0" applyFill="0" applyBorder="0" applyAlignment="0" applyProtection="0"/>
    <xf numFmtId="164" fontId="187" fillId="0" borderId="0" applyNumberFormat="0">
      <alignment horizontal="left"/>
    </xf>
    <xf numFmtId="171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164" fontId="23" fillId="0" borderId="0">
      <alignment horizontal="right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49" fontId="23" fillId="0" borderId="0">
      <alignment horizontal="center"/>
    </xf>
    <xf numFmtId="171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2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64" fontId="188" fillId="0" borderId="0">
      <alignment horizontal="right"/>
    </xf>
    <xf numFmtId="171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64" fontId="23" fillId="0" borderId="0">
      <alignment horizontal="left"/>
    </xf>
    <xf numFmtId="171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2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4" fontId="189" fillId="0" borderId="0" applyNumberFormat="0" applyFill="0" applyBorder="0" applyAlignment="0">
      <alignment horizontal="center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2" fillId="0" borderId="0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65" fontId="190" fillId="0" borderId="39">
      <alignment horizontal="right"/>
    </xf>
    <xf numFmtId="171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2" fillId="0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71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64" fontId="2" fillId="0" borderId="0" applyNumberFormat="0" applyFont="0" applyFill="0" applyBorder="0" applyAlignment="0" applyProtection="0"/>
    <xf numFmtId="171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2" fillId="0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71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71" fontId="2" fillId="33" borderId="0" applyNumberFormat="0" applyAlignment="0" applyProtection="0"/>
    <xf numFmtId="164" fontId="2" fillId="0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0" borderId="0" applyNumberFormat="0" applyAlignment="0" applyProtection="0"/>
    <xf numFmtId="164" fontId="2" fillId="33" borderId="0" applyNumberFormat="0" applyAlignment="0" applyProtection="0"/>
    <xf numFmtId="171" fontId="2" fillId="33" borderId="0" applyNumberFormat="0" applyAlignment="0" applyProtection="0"/>
    <xf numFmtId="164" fontId="2" fillId="0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164" fontId="2" fillId="33" borderId="0" applyNumberFormat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171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2" fillId="0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64" fontId="191" fillId="45" borderId="0" applyNumberFormat="0" applyBorder="0" applyAlignment="0" applyProtection="0"/>
    <xf numFmtId="171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71" fontId="2" fillId="33" borderId="0" applyNumberFormat="0" applyBorder="0" applyAlignment="0" applyProtection="0"/>
    <xf numFmtId="164" fontId="2" fillId="0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0" borderId="0" applyNumberFormat="0" applyBorder="0" applyAlignment="0" applyProtection="0"/>
    <xf numFmtId="164" fontId="2" fillId="33" borderId="0" applyNumberFormat="0" applyBorder="0" applyAlignment="0" applyProtection="0"/>
    <xf numFmtId="171" fontId="2" fillId="33" borderId="0" applyNumberFormat="0" applyBorder="0" applyAlignment="0" applyProtection="0"/>
    <xf numFmtId="164" fontId="2" fillId="0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164" fontId="2" fillId="33" borderId="0" applyNumberFormat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171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71" fontId="2" fillId="54" borderId="0" applyNumberFormat="0" applyBorder="0" applyAlignment="0" applyProtection="0"/>
    <xf numFmtId="164" fontId="2" fillId="0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0" borderId="0" applyNumberFormat="0" applyBorder="0" applyAlignment="0" applyProtection="0"/>
    <xf numFmtId="164" fontId="2" fillId="54" borderId="0" applyNumberFormat="0" applyBorder="0" applyAlignment="0" applyProtection="0"/>
    <xf numFmtId="171" fontId="2" fillId="54" borderId="0" applyNumberFormat="0" applyBorder="0" applyAlignment="0" applyProtection="0"/>
    <xf numFmtId="164" fontId="2" fillId="0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64" fontId="2" fillId="54" borderId="0" applyNumberFormat="0" applyBorder="0" applyAlignment="0" applyProtection="0"/>
    <xf numFmtId="171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2" fillId="0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164" fontId="191" fillId="54" borderId="0" applyNumberFormat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2" fillId="0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2" fillId="0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191" fillId="55" borderId="0" applyNumberFormat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2" fillId="0" borderId="0" applyNumberFormat="0" applyFont="0" applyFill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2" fillId="0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2" fillId="0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3" fontId="191" fillId="56" borderId="0" applyNumberFormat="0" applyBorder="0" applyAlignment="0" applyProtection="0"/>
    <xf numFmtId="17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3" fontId="2" fillId="30" borderId="0" applyFont="0" applyBorder="0" applyAlignment="0" applyProtection="0"/>
    <xf numFmtId="171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0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164" fontId="2" fillId="56" borderId="0" applyNumberFormat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4" fontId="2" fillId="30" borderId="0" applyFont="0" applyBorder="0" applyAlignment="0" applyProtection="0"/>
    <xf numFmtId="165" fontId="190" fillId="0" borderId="39">
      <alignment horizontal="right"/>
    </xf>
    <xf numFmtId="171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71" fontId="47" fillId="0" borderId="0">
      <alignment horizontal="centerContinuous"/>
    </xf>
    <xf numFmtId="164" fontId="2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2" fillId="0" borderId="0">
      <alignment horizontal="centerContinuous"/>
    </xf>
    <xf numFmtId="164" fontId="47" fillId="0" borderId="0">
      <alignment horizontal="centerContinuous"/>
    </xf>
    <xf numFmtId="171" fontId="47" fillId="0" borderId="0">
      <alignment horizontal="centerContinuous"/>
    </xf>
    <xf numFmtId="164" fontId="2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64" fontId="47" fillId="0" borderId="0">
      <alignment horizontal="centerContinuous"/>
    </xf>
    <xf numFmtId="171" fontId="16" fillId="0" borderId="0"/>
    <xf numFmtId="171" fontId="26" fillId="0" borderId="0"/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38" fontId="192" fillId="0" borderId="0">
      <alignment horizontal="right" vertical="center"/>
    </xf>
    <xf numFmtId="171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2" fillId="0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64" fontId="73" fillId="57" borderId="0"/>
    <xf numFmtId="171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2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71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2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64" fontId="73" fillId="0" borderId="0"/>
    <xf numFmtId="171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2" fillId="0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71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2" fillId="0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164" fontId="73" fillId="58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2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3" fontId="7" fillId="0" borderId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350" fontId="36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350" fontId="36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350" fontId="36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289" fontId="2" fillId="0" borderId="0" applyFill="0" applyBorder="0" applyProtection="0">
      <alignment horizontal="right" wrapText="1"/>
    </xf>
    <xf numFmtId="351" fontId="36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351" fontId="36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351" fontId="36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290" fontId="2" fillId="0" borderId="0" applyFill="0" applyBorder="0" applyProtection="0">
      <alignment horizontal="right" wrapText="1"/>
    </xf>
    <xf numFmtId="352" fontId="36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352" fontId="36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352" fontId="36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292" fontId="2" fillId="0" borderId="0" applyFill="0" applyBorder="0" applyProtection="0">
      <alignment horizontal="right"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2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4" fontId="36" fillId="0" borderId="0" applyFill="0" applyBorder="0" applyProtection="0">
      <alignment wrapText="1"/>
    </xf>
    <xf numFmtId="171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2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64" fontId="9" fillId="0" borderId="0">
      <alignment vertical="top"/>
    </xf>
    <xf numFmtId="171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71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2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71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164" fontId="36" fillId="0" borderId="0" applyNumberFormat="0" applyFill="0" applyBorder="0" applyProtection="0">
      <alignment horizontal="left" vertical="top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2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37" fontId="193" fillId="0" borderId="0" applyFill="0" applyBorder="0" applyProtection="0">
      <alignment horizontal="center" wrapText="1"/>
    </xf>
    <xf numFmtId="171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71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2" fillId="0" borderId="0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64" fontId="77" fillId="0" borderId="22" applyNumberFormat="0" applyFill="0" applyProtection="0">
      <alignment wrapText="1"/>
    </xf>
    <xf numFmtId="171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71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2" fillId="0" borderId="0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64" fontId="77" fillId="0" borderId="22" applyNumberFormat="0" applyFill="0" applyProtection="0">
      <alignment horizontal="center" wrapText="1"/>
    </xf>
    <xf numFmtId="171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71" fontId="13" fillId="0" borderId="0" applyNumberFormat="0" applyBorder="0" applyAlignment="0"/>
    <xf numFmtId="164" fontId="2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2" fillId="0" borderId="0" applyNumberFormat="0" applyBorder="0" applyAlignment="0"/>
    <xf numFmtId="164" fontId="13" fillId="0" borderId="0" applyNumberFormat="0" applyBorder="0" applyAlignment="0"/>
    <xf numFmtId="171" fontId="13" fillId="0" borderId="0" applyNumberFormat="0" applyBorder="0" applyAlignment="0"/>
    <xf numFmtId="164" fontId="2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64" fontId="13" fillId="0" borderId="0" applyNumberFormat="0" applyBorder="0" applyAlignment="0"/>
    <xf numFmtId="171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2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64" fontId="194" fillId="0" borderId="0" applyNumberFormat="0" applyBorder="0" applyAlignment="0"/>
    <xf numFmtId="171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2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71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2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64" fontId="195" fillId="0" borderId="0" applyNumberFormat="0" applyBorder="0" applyAlignment="0"/>
    <xf numFmtId="171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71" fontId="47" fillId="0" borderId="0" applyNumberFormat="0" applyFill="0" applyBorder="0" applyProtection="0">
      <alignment horizontal="left" vertical="center"/>
    </xf>
    <xf numFmtId="164" fontId="2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2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71" fontId="47" fillId="0" borderId="0" applyNumberFormat="0" applyFill="0" applyBorder="0" applyProtection="0">
      <alignment horizontal="left" vertical="center"/>
    </xf>
    <xf numFmtId="164" fontId="2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64" fontId="47" fillId="0" borderId="0" applyNumberFormat="0" applyFill="0" applyBorder="0" applyProtection="0">
      <alignment horizontal="left" vertical="center"/>
    </xf>
    <xf numFmtId="171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2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64" fontId="196" fillId="0" borderId="0"/>
    <xf numFmtId="171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71" fontId="166" fillId="0" borderId="0"/>
    <xf numFmtId="164" fontId="2" fillId="0" borderId="0"/>
    <xf numFmtId="164" fontId="166" fillId="0" borderId="0"/>
    <xf numFmtId="164" fontId="166" fillId="0" borderId="0"/>
    <xf numFmtId="164" fontId="166" fillId="0" borderId="0"/>
    <xf numFmtId="164" fontId="2" fillId="0" borderId="0"/>
    <xf numFmtId="164" fontId="166" fillId="0" borderId="0"/>
    <xf numFmtId="171" fontId="166" fillId="0" borderId="0"/>
    <xf numFmtId="164" fontId="2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2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0" fontId="197" fillId="0" borderId="0" applyBorder="0">
      <alignment horizontal="righ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164" fontId="199" fillId="0" borderId="0"/>
    <xf numFmtId="164" fontId="199" fillId="0" borderId="0"/>
    <xf numFmtId="164" fontId="199" fillId="0" borderId="0"/>
    <xf numFmtId="164" fontId="199" fillId="0" borderId="0"/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198" fillId="0" borderId="7" applyFill="0">
      <alignment horizontal="left"/>
    </xf>
    <xf numFmtId="49" fontId="2" fillId="0" borderId="0" applyFill="0">
      <alignment horizontal="left"/>
    </xf>
    <xf numFmtId="49" fontId="198" fillId="0" borderId="7" applyFill="0">
      <alignment horizontal="left"/>
    </xf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164" fontId="199" fillId="0" borderId="0"/>
    <xf numFmtId="49" fontId="198" fillId="0" borderId="7" applyFill="0">
      <alignment horizontal="left"/>
    </xf>
    <xf numFmtId="171" fontId="47" fillId="0" borderId="34">
      <alignment horizontal="centerContinuous"/>
    </xf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71" fontId="47" fillId="0" borderId="34">
      <alignment horizontal="centerContinuous"/>
    </xf>
    <xf numFmtId="164" fontId="2" fillId="0" borderId="5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5" applyNumberFormat="0" applyFont="0" applyFill="0" applyAlignment="0" applyProtection="0"/>
    <xf numFmtId="171" fontId="47" fillId="0" borderId="34">
      <alignment horizontal="centerContinuous"/>
    </xf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71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71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71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71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71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2" fillId="0" borderId="0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71" fontId="2" fillId="0" borderId="5" applyNumberFormat="0" applyFont="0" applyFill="0" applyAlignment="0" applyProtection="0"/>
    <xf numFmtId="164" fontId="2" fillId="0" borderId="0" applyNumberFormat="0" applyFont="0" applyFill="0" applyAlignment="0" applyProtection="0"/>
    <xf numFmtId="164" fontId="47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2" fillId="0" borderId="0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2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47" fillId="0" borderId="34">
      <alignment horizontal="centerContinuous"/>
    </xf>
    <xf numFmtId="171" fontId="2" fillId="0" borderId="5" applyNumberFormat="0" applyFont="0" applyFill="0" applyAlignment="0" applyProtection="0"/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34">
      <alignment horizontal="centerContinuous"/>
    </xf>
    <xf numFmtId="164" fontId="2" fillId="0" borderId="5" applyNumberFormat="0" applyFont="0" applyFill="0" applyAlignment="0" applyProtection="0"/>
    <xf numFmtId="171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71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47" fillId="0" borderId="34">
      <alignment horizontal="centerContinuous"/>
    </xf>
    <xf numFmtId="171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71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0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64" fontId="2" fillId="0" borderId="5" applyNumberFormat="0" applyFont="0" applyFill="0" applyAlignment="0" applyProtection="0"/>
    <xf numFmtId="171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164" fontId="2" fillId="0" borderId="0">
      <alignment horizontal="centerContinuous"/>
    </xf>
    <xf numFmtId="171" fontId="47" fillId="0" borderId="34">
      <alignment horizontal="centerContinuous"/>
    </xf>
    <xf numFmtId="164" fontId="47" fillId="0" borderId="34">
      <alignment horizontal="centerContinuous"/>
    </xf>
    <xf numFmtId="171" fontId="47" fillId="0" borderId="34">
      <alignment horizontal="centerContinuous"/>
    </xf>
    <xf numFmtId="171" fontId="47" fillId="0" borderId="34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2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2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2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9" fontId="47" fillId="0" borderId="0">
      <alignment horizontal="centerContinuous"/>
    </xf>
    <xf numFmtId="171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2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164" fontId="65" fillId="0" borderId="0" applyFill="0" applyBorder="0" applyProtection="0">
      <alignment horizontal="center" vertical="center"/>
    </xf>
    <xf numFmtId="353" fontId="200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353" fontId="2" fillId="0" borderId="0" applyNumberFormat="0">
      <alignment horizontal="right"/>
    </xf>
    <xf numFmtId="353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353" fontId="200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99" fontId="2" fillId="0" borderId="0" applyNumberFormat="0">
      <alignment horizontal="right"/>
    </xf>
    <xf numFmtId="171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164" fontId="201" fillId="0" borderId="0" applyBorder="0" applyProtection="0">
      <alignment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" fillId="0" borderId="0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310" fontId="201" fillId="0" borderId="1" applyBorder="0" applyProtection="0">
      <alignment horizontal="right" vertical="center"/>
    </xf>
    <xf numFmtId="171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" fillId="0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64" fontId="202" fillId="59" borderId="0" applyBorder="0" applyProtection="0">
      <alignment horizontal="centerContinuous" vertical="center"/>
    </xf>
    <xf numFmtId="171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" fillId="0" borderId="0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64" fontId="202" fillId="60" borderId="1" applyBorder="0" applyProtection="0">
      <alignment horizontal="centerContinuous" vertical="center"/>
    </xf>
    <xf numFmtId="171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2" fillId="0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64" fontId="127" fillId="61" borderId="0">
      <alignment horizontal="centerContinuous" vertical="center" wrapText="1"/>
    </xf>
    <xf numFmtId="171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71" fontId="77" fillId="0" borderId="0" applyBorder="0" applyProtection="0">
      <alignment horizontal="left"/>
    </xf>
    <xf numFmtId="164" fontId="2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2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2" fillId="0" borderId="0" applyBorder="0" applyProtection="0">
      <alignment horizontal="left"/>
    </xf>
    <xf numFmtId="164" fontId="2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64" fontId="77" fillId="0" borderId="0" applyBorder="0" applyProtection="0">
      <alignment horizontal="left"/>
    </xf>
    <xf numFmtId="171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2" fillId="0" borderId="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64" fontId="127" fillId="0" borderId="40">
      <alignment horizontal="left" vertical="center"/>
    </xf>
    <xf numFmtId="171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2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64" fontId="65" fillId="0" borderId="0" applyFill="0" applyBorder="0" applyProtection="0"/>
    <xf numFmtId="171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64" fontId="203" fillId="0" borderId="0" applyNumberFormat="0">
      <alignment horizontal="left"/>
    </xf>
    <xf numFmtId="171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64" fontId="204" fillId="0" borderId="0">
      <alignment horizontal="left" vertical="top"/>
    </xf>
    <xf numFmtId="171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64" fontId="205" fillId="0" borderId="0" applyFill="0" applyBorder="0" applyProtection="0">
      <alignment horizontal="left" vertical="top"/>
    </xf>
    <xf numFmtId="171" fontId="169" fillId="0" borderId="0">
      <alignment horizontal="centerContinuous"/>
    </xf>
    <xf numFmtId="171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64" fontId="206" fillId="0" borderId="0" applyFill="0" applyBorder="0" applyProtection="0">
      <alignment horizontal="center" vertical="center"/>
    </xf>
    <xf numFmtId="171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" fillId="0" borderId="0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64" fontId="21" fillId="2" borderId="41" applyNumberFormat="0" applyFont="0" applyFill="0" applyAlignment="0" applyProtection="0">
      <protection locked="0"/>
    </xf>
    <xf numFmtId="171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64" fontId="207" fillId="0" borderId="0" applyFill="0" applyBorder="0" applyProtection="0">
      <alignment vertical="top"/>
    </xf>
    <xf numFmtId="171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2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64" fontId="129" fillId="0" borderId="0" applyFill="0" applyBorder="0" applyProtection="0">
      <alignment vertical="center"/>
    </xf>
    <xf numFmtId="171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2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164" fontId="47" fillId="0" borderId="0" applyFill="0" applyBorder="0" applyProtection="0"/>
    <xf numFmtId="49" fontId="2" fillId="0" borderId="0" applyFont="0" applyFill="0" applyBorder="0" applyAlignment="0" applyProtection="0"/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2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205" fontId="95" fillId="0" borderId="0">
      <alignment horizontal="left"/>
      <protection locked="0"/>
    </xf>
    <xf numFmtId="171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2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164" fontId="33" fillId="0" borderId="0">
      <alignment horizontal="left" vertical="top"/>
    </xf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2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2" fillId="0" borderId="0" applyFill="0" applyBorder="0" applyAlignment="0"/>
    <xf numFmtId="49" fontId="13" fillId="0" borderId="0" applyFill="0" applyBorder="0" applyAlignment="0"/>
    <xf numFmtId="49" fontId="2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49" fontId="13" fillId="0" borderId="0" applyFill="0" applyBorder="0" applyAlignment="0"/>
    <xf numFmtId="354" fontId="26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2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2" fillId="0" borderId="0" applyFill="0" applyBorder="0" applyAlignment="0"/>
    <xf numFmtId="164" fontId="13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164" fontId="13" fillId="0" borderId="0" applyFill="0" applyBorder="0" applyAlignment="0"/>
    <xf numFmtId="311" fontId="26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355" fontId="2" fillId="0" borderId="0" applyFill="0" applyBorder="0" applyAlignment="0"/>
    <xf numFmtId="355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355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64" fontId="2" fillId="0" borderId="0" applyFill="0" applyBorder="0" applyAlignment="0"/>
    <xf numFmtId="171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64" fontId="208" fillId="0" borderId="0"/>
    <xf numFmtId="171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64" fontId="209" fillId="0" borderId="0"/>
    <xf numFmtId="171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71" fontId="21" fillId="0" borderId="0"/>
    <xf numFmtId="164" fontId="2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71" fontId="21" fillId="0" borderId="0"/>
    <xf numFmtId="164" fontId="2" fillId="0" borderId="0"/>
    <xf numFmtId="164" fontId="21" fillId="0" borderId="0"/>
    <xf numFmtId="164" fontId="2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64" fontId="21" fillId="0" borderId="0"/>
    <xf numFmtId="171" fontId="210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49" fontId="2" fillId="0" borderId="0"/>
    <xf numFmtId="171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164" fontId="211" fillId="0" borderId="0" applyFill="0" applyBorder="0" applyProtection="0">
      <alignment horizontal="left" vertical="top"/>
    </xf>
    <xf numFmtId="340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357" fontId="48" fillId="0" borderId="0"/>
    <xf numFmtId="357" fontId="2" fillId="0" borderId="0"/>
    <xf numFmtId="356" fontId="2" fillId="0" borderId="0"/>
    <xf numFmtId="356" fontId="2" fillId="0" borderId="0"/>
    <xf numFmtId="356" fontId="2" fillId="0" borderId="0"/>
    <xf numFmtId="358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356" fontId="2" fillId="0" borderId="0"/>
    <xf numFmtId="171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71" fontId="16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64" fontId="16" fillId="0" borderId="0" applyNumberFormat="0" applyFill="0" applyBorder="0" applyAlignment="0" applyProtection="0"/>
    <xf numFmtId="171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71" fontId="25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71" fontId="25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164" fontId="25" fillId="0" borderId="0" applyNumberFormat="0" applyFill="0" applyBorder="0" applyAlignment="0" applyProtection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2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40" fontId="151" fillId="0" borderId="0"/>
    <xf numFmtId="171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71" fontId="16" fillId="0" borderId="0">
      <alignment horizontal="center"/>
    </xf>
    <xf numFmtId="164" fontId="2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2" fillId="0" borderId="0">
      <alignment horizontal="center"/>
    </xf>
    <xf numFmtId="164" fontId="2" fillId="0" borderId="0">
      <alignment horizontal="center"/>
    </xf>
    <xf numFmtId="164" fontId="16" fillId="0" borderId="0">
      <alignment horizontal="center"/>
    </xf>
    <xf numFmtId="164" fontId="2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64" fontId="16" fillId="0" borderId="0">
      <alignment horizontal="center"/>
    </xf>
    <xf numFmtId="171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2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71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64" fontId="213" fillId="0" borderId="0" applyNumberFormat="0" applyFill="0" applyBorder="0" applyAlignment="0" applyProtection="0"/>
    <xf numFmtId="171" fontId="67" fillId="0" borderId="0">
      <alignment horizontal="left"/>
    </xf>
    <xf numFmtId="171" fontId="214" fillId="0" borderId="0">
      <alignment horizontal="left"/>
    </xf>
    <xf numFmtId="171" fontId="19" fillId="0" borderId="0">
      <alignment horizontal="left"/>
    </xf>
    <xf numFmtId="171" fontId="215" fillId="36" borderId="0" applyNumberFormat="0" applyBorder="0" applyProtection="0">
      <alignment horizontal="left" vertical="center"/>
    </xf>
    <xf numFmtId="171" fontId="204" fillId="0" borderId="0">
      <alignment horizontal="left" vertical="top"/>
    </xf>
    <xf numFmtId="231" fontId="169" fillId="0" borderId="0">
      <alignment horizontal="centerContinuous"/>
    </xf>
    <xf numFmtId="231" fontId="169" fillId="0" borderId="0">
      <alignment horizontal="centerContinuous"/>
    </xf>
    <xf numFmtId="231" fontId="169" fillId="0" borderId="0">
      <alignment horizontal="centerContinuous"/>
    </xf>
    <xf numFmtId="171" fontId="216" fillId="1" borderId="0" applyNumberFormat="0" applyBorder="0" applyProtection="0">
      <alignment horizontal="left" vertical="center"/>
    </xf>
    <xf numFmtId="171" fontId="214" fillId="0" borderId="0">
      <alignment horizontal="left"/>
    </xf>
    <xf numFmtId="171" fontId="19" fillId="0" borderId="0">
      <alignment horizontal="left"/>
    </xf>
    <xf numFmtId="231" fontId="154" fillId="0" borderId="0">
      <alignment horizontal="centerContinuous"/>
      <protection locked="0"/>
    </xf>
    <xf numFmtId="231" fontId="154" fillId="0" borderId="0">
      <alignment horizontal="centerContinuous"/>
      <protection locked="0"/>
    </xf>
    <xf numFmtId="231" fontId="154" fillId="0" borderId="0">
      <alignment horizontal="left"/>
    </xf>
    <xf numFmtId="231" fontId="154" fillId="0" borderId="0">
      <alignment horizontal="left"/>
    </xf>
    <xf numFmtId="205" fontId="217" fillId="0" borderId="0">
      <alignment horizontal="center"/>
    </xf>
    <xf numFmtId="205" fontId="217" fillId="0" borderId="0">
      <alignment horizontal="left"/>
    </xf>
    <xf numFmtId="171" fontId="218" fillId="0" borderId="0"/>
    <xf numFmtId="171" fontId="26" fillId="0" borderId="0" applyBorder="0"/>
    <xf numFmtId="171" fontId="65" fillId="0" borderId="0" applyNumberFormat="0" applyFill="0" applyBorder="0" applyAlignment="0" applyProtection="0"/>
    <xf numFmtId="171" fontId="65" fillId="0" borderId="0" applyNumberFormat="0" applyFill="0" applyBorder="0" applyAlignment="0" applyProtection="0"/>
    <xf numFmtId="171" fontId="65" fillId="0" borderId="0" applyNumberFormat="0" applyFill="0" applyBorder="0" applyAlignment="0" applyProtection="0"/>
    <xf numFmtId="171" fontId="26" fillId="0" borderId="0" applyBorder="0"/>
    <xf numFmtId="171" fontId="219" fillId="0" borderId="0"/>
    <xf numFmtId="171" fontId="220" fillId="0" borderId="0" applyNumberFormat="0" applyFont="0" applyFill="0" applyBorder="0" applyAlignment="0">
      <alignment horizontal="left" vertical="center"/>
    </xf>
    <xf numFmtId="359" fontId="176" fillId="0" borderId="5" applyNumberFormat="0" applyFont="0" applyFill="0" applyAlignment="0" applyProtection="0"/>
    <xf numFmtId="171" fontId="221" fillId="0" borderId="0"/>
    <xf numFmtId="360" fontId="33" fillId="0" borderId="0">
      <alignment horizontal="right"/>
    </xf>
    <xf numFmtId="360" fontId="33" fillId="0" borderId="0">
      <alignment horizontal="right"/>
    </xf>
    <xf numFmtId="360" fontId="33" fillId="0" borderId="0">
      <alignment horizontal="right"/>
    </xf>
    <xf numFmtId="171" fontId="47" fillId="0" borderId="0">
      <alignment horizontal="centerContinuous"/>
    </xf>
    <xf numFmtId="171" fontId="47" fillId="0" borderId="0">
      <alignment horizontal="centerContinuous"/>
    </xf>
    <xf numFmtId="171" fontId="47" fillId="0" borderId="0">
      <alignment horizontal="centerContinuous"/>
    </xf>
    <xf numFmtId="306" fontId="14" fillId="0" borderId="0" applyFont="0" applyFill="0" applyBorder="0">
      <alignment horizontal="right"/>
    </xf>
    <xf numFmtId="306" fontId="14" fillId="0" borderId="0" applyFont="0" applyFill="0" applyBorder="0">
      <alignment horizontal="right"/>
    </xf>
    <xf numFmtId="171" fontId="2" fillId="0" borderId="1" applyNumberFormat="0" applyFont="0" applyFill="0" applyAlignment="0" applyProtection="0"/>
    <xf numFmtId="171" fontId="2" fillId="0" borderId="1" applyNumberFormat="0" applyFont="0" applyFill="0" applyAlignment="0" applyProtection="0"/>
    <xf numFmtId="171" fontId="2" fillId="0" borderId="1" applyNumberFormat="0" applyFont="0" applyFill="0" applyAlignment="0" applyProtection="0"/>
    <xf numFmtId="306" fontId="14" fillId="0" borderId="0" applyFont="0" applyFill="0" applyBorder="0">
      <alignment horizontal="right"/>
    </xf>
    <xf numFmtId="306" fontId="14" fillId="0" borderId="0" applyFont="0" applyFill="0" applyBorder="0">
      <alignment horizontal="right"/>
    </xf>
    <xf numFmtId="306" fontId="14" fillId="0" borderId="0" applyFont="0" applyFill="0" applyBorder="0">
      <alignment horizontal="right"/>
    </xf>
    <xf numFmtId="171" fontId="2" fillId="0" borderId="1" applyNumberFormat="0" applyFont="0" applyFill="0" applyAlignment="0" applyProtection="0"/>
    <xf numFmtId="306" fontId="14" fillId="0" borderId="0" applyFont="0" applyFill="0" applyBorder="0">
      <alignment horizontal="right"/>
    </xf>
    <xf numFmtId="171" fontId="2" fillId="0" borderId="1" applyNumberFormat="0" applyFont="0" applyFill="0" applyAlignment="0" applyProtection="0"/>
    <xf numFmtId="171" fontId="2" fillId="0" borderId="1" applyNumberFormat="0" applyFont="0" applyFill="0" applyAlignment="0" applyProtection="0"/>
    <xf numFmtId="306" fontId="14" fillId="0" borderId="0" applyFont="0" applyFill="0" applyBorder="0">
      <alignment horizontal="right"/>
    </xf>
    <xf numFmtId="306" fontId="14" fillId="0" borderId="0" applyFont="0" applyFill="0" applyBorder="0">
      <alignment horizontal="right"/>
    </xf>
    <xf numFmtId="171" fontId="2" fillId="0" borderId="1" applyNumberFormat="0" applyFont="0" applyFill="0" applyAlignment="0" applyProtection="0"/>
    <xf numFmtId="171" fontId="2" fillId="0" borderId="1" applyNumberFormat="0" applyFont="0" applyFill="0" applyAlignment="0" applyProtection="0"/>
    <xf numFmtId="171" fontId="2" fillId="0" borderId="1" applyNumberFormat="0" applyFont="0" applyFill="0" applyAlignment="0" applyProtection="0"/>
    <xf numFmtId="306" fontId="14" fillId="0" borderId="0" applyFont="0" applyFill="0" applyBorder="0">
      <alignment horizontal="right"/>
    </xf>
    <xf numFmtId="306" fontId="14" fillId="0" borderId="0" applyFont="0" applyFill="0" applyBorder="0">
      <alignment horizontal="right"/>
    </xf>
    <xf numFmtId="171" fontId="222" fillId="0" borderId="0">
      <alignment horizontal="fill"/>
    </xf>
    <xf numFmtId="361" fontId="33" fillId="0" borderId="0" applyNumberFormat="0"/>
    <xf numFmtId="361" fontId="33" fillId="0" borderId="0" applyNumberFormat="0"/>
    <xf numFmtId="361" fontId="33" fillId="0" borderId="0" applyNumberFormat="0"/>
    <xf numFmtId="362" fontId="26" fillId="0" borderId="0" applyFont="0" applyFill="0" applyBorder="0" applyAlignment="0" applyProtection="0"/>
    <xf numFmtId="42" fontId="2" fillId="0" borderId="0" applyFont="0" applyFill="0" applyBorder="0" applyAlignment="0" applyProtection="0"/>
    <xf numFmtId="362" fontId="26" fillId="0" borderId="0" applyFont="0" applyFill="0" applyBorder="0" applyAlignment="0" applyProtection="0"/>
    <xf numFmtId="171" fontId="174" fillId="0" borderId="3"/>
    <xf numFmtId="171" fontId="223" fillId="0" borderId="0" applyNumberFormat="0"/>
    <xf numFmtId="165" fontId="174" fillId="0" borderId="0">
      <alignment horizontal="right"/>
    </xf>
    <xf numFmtId="171" fontId="223" fillId="0" borderId="0" applyNumberFormat="0"/>
    <xf numFmtId="363" fontId="2" fillId="0" borderId="0" applyFont="0" applyFill="0" applyBorder="0" applyAlignment="0" applyProtection="0"/>
    <xf numFmtId="364" fontId="2" fillId="0" borderId="0" applyFont="0" applyFill="0" applyBorder="0" applyAlignment="0" applyProtection="0"/>
    <xf numFmtId="171" fontId="224" fillId="0" borderId="0" applyNumberFormat="0" applyFill="0" applyBorder="0" applyAlignment="0" applyProtection="0"/>
    <xf numFmtId="171" fontId="7" fillId="0" borderId="0">
      <alignment horizontal="left"/>
    </xf>
    <xf numFmtId="171" fontId="225" fillId="30" borderId="0">
      <alignment horizontal="center"/>
    </xf>
    <xf numFmtId="49" fontId="23" fillId="0" borderId="7">
      <alignment horizontal="left"/>
    </xf>
    <xf numFmtId="171" fontId="217" fillId="0" borderId="7">
      <alignment horizontal="left"/>
    </xf>
    <xf numFmtId="171" fontId="67" fillId="0" borderId="0">
      <alignment horizontal="left" vertical="center"/>
    </xf>
    <xf numFmtId="171" fontId="226" fillId="0" borderId="42" applyNumberFormat="0" applyBorder="0">
      <alignment wrapText="1"/>
    </xf>
    <xf numFmtId="178" fontId="2" fillId="0" borderId="0" applyFont="0" applyFill="0" applyBorder="0" applyAlignment="0" applyProtection="0"/>
    <xf numFmtId="18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97" fontId="2" fillId="0" borderId="0" applyFont="0" applyFill="0" applyBorder="0" applyAlignment="0" applyProtection="0"/>
    <xf numFmtId="297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97" fontId="2" fillId="0" borderId="0" applyFont="0" applyFill="0" applyBorder="0" applyAlignment="0" applyProtection="0"/>
    <xf numFmtId="297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97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24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297" fontId="2" fillId="0" borderId="0" applyFont="0" applyFill="0" applyBorder="0" applyAlignment="0" applyProtection="0"/>
    <xf numFmtId="297" fontId="2" fillId="0" borderId="0" applyFont="0" applyFill="0" applyBorder="0" applyAlignment="0" applyProtection="0"/>
    <xf numFmtId="297" fontId="2" fillId="0" borderId="0" applyFont="0" applyFill="0" applyBorder="0" applyAlignment="0" applyProtection="0"/>
    <xf numFmtId="297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65" fontId="40" fillId="0" borderId="0" applyFont="0" applyFill="0" applyBorder="0" applyAlignment="0" applyProtection="0"/>
    <xf numFmtId="365" fontId="40" fillId="0" borderId="0" applyFont="0" applyFill="0" applyBorder="0" applyAlignment="0" applyProtection="0"/>
    <xf numFmtId="312" fontId="2" fillId="0" borderId="0" applyFont="0" applyFill="0" applyBorder="0" applyAlignment="0" applyProtection="0"/>
    <xf numFmtId="312" fontId="2" fillId="0" borderId="0" applyFont="0" applyFill="0" applyBorder="0" applyAlignment="0" applyProtection="0"/>
    <xf numFmtId="318" fontId="2" fillId="0" borderId="0" applyFont="0" applyFill="0" applyBorder="0" applyAlignment="0" applyProtection="0"/>
    <xf numFmtId="319" fontId="2" fillId="0" borderId="0" applyFont="0" applyFill="0" applyBorder="0" applyAlignment="0" applyProtection="0"/>
    <xf numFmtId="362" fontId="2" fillId="0" borderId="0" applyFont="0" applyFill="0" applyBorder="0" applyAlignment="0" applyProtection="0"/>
    <xf numFmtId="328" fontId="2" fillId="0" borderId="0" applyFont="0" applyFill="0" applyBorder="0" applyAlignment="0" applyProtection="0"/>
    <xf numFmtId="330" fontId="2" fillId="0" borderId="0" applyFont="0" applyFill="0" applyBorder="0" applyAlignment="0" applyProtection="0"/>
    <xf numFmtId="366" fontId="83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367" fontId="83" fillId="0" borderId="0" applyFont="0" applyFill="0" applyBorder="0" applyAlignment="0" applyProtection="0"/>
    <xf numFmtId="197" fontId="227" fillId="0" borderId="0">
      <alignment horizontal="right"/>
      <protection locked="0"/>
    </xf>
    <xf numFmtId="174" fontId="2" fillId="0" borderId="0" applyFont="0" applyFill="0" applyBorder="0" applyAlignment="0" applyProtection="0"/>
    <xf numFmtId="335" fontId="2" fillId="0" borderId="0" applyFont="0" applyFill="0" applyBorder="0" applyProtection="0">
      <alignment horizontal="right"/>
    </xf>
    <xf numFmtId="171" fontId="47" fillId="0" borderId="0">
      <alignment horizontal="centerContinuous"/>
    </xf>
    <xf numFmtId="171" fontId="47" fillId="0" borderId="0">
      <alignment horizontal="centerContinuous"/>
    </xf>
    <xf numFmtId="171" fontId="47" fillId="0" borderId="0">
      <alignment horizontal="centerContinuous"/>
    </xf>
    <xf numFmtId="9" fontId="6" fillId="0" borderId="0">
      <alignment horizontal="left"/>
    </xf>
    <xf numFmtId="171" fontId="16" fillId="0" borderId="0">
      <alignment horizontal="left"/>
    </xf>
    <xf numFmtId="171" fontId="16" fillId="0" borderId="0">
      <alignment horizontal="left"/>
    </xf>
    <xf numFmtId="171" fontId="16" fillId="0" borderId="0">
      <alignment horizontal="left"/>
    </xf>
    <xf numFmtId="171" fontId="16" fillId="0" borderId="0">
      <alignment horizontal="left"/>
    </xf>
    <xf numFmtId="171" fontId="16" fillId="0" borderId="0">
      <alignment horizontal="left"/>
    </xf>
    <xf numFmtId="171" fontId="16" fillId="0" borderId="0">
      <alignment horizontal="left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1" fontId="2" fillId="0" borderId="0"/>
    <xf numFmtId="164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29" fillId="0" borderId="0" applyNumberFormat="0" applyFill="0" applyBorder="0" applyAlignment="0" applyProtection="0"/>
    <xf numFmtId="0" fontId="230" fillId="0" borderId="43" applyNumberFormat="0" applyFill="0" applyAlignment="0" applyProtection="0"/>
    <xf numFmtId="0" fontId="231" fillId="0" borderId="44" applyNumberFormat="0" applyFill="0" applyAlignment="0" applyProtection="0"/>
    <xf numFmtId="0" fontId="232" fillId="0" borderId="45" applyNumberFormat="0" applyFill="0" applyAlignment="0" applyProtection="0"/>
    <xf numFmtId="0" fontId="232" fillId="0" borderId="0" applyNumberFormat="0" applyFill="0" applyBorder="0" applyAlignment="0" applyProtection="0"/>
    <xf numFmtId="0" fontId="233" fillId="63" borderId="0" applyNumberFormat="0" applyBorder="0" applyAlignment="0" applyProtection="0"/>
    <xf numFmtId="0" fontId="234" fillId="64" borderId="0" applyNumberFormat="0" applyBorder="0" applyAlignment="0" applyProtection="0"/>
    <xf numFmtId="0" fontId="235" fillId="65" borderId="0" applyNumberFormat="0" applyBorder="0" applyAlignment="0" applyProtection="0"/>
    <xf numFmtId="0" fontId="236" fillId="66" borderId="46" applyNumberFormat="0" applyAlignment="0" applyProtection="0"/>
    <xf numFmtId="0" fontId="237" fillId="67" borderId="47" applyNumberFormat="0" applyAlignment="0" applyProtection="0"/>
    <xf numFmtId="0" fontId="238" fillId="67" borderId="46" applyNumberFormat="0" applyAlignment="0" applyProtection="0"/>
    <xf numFmtId="0" fontId="239" fillId="0" borderId="48" applyNumberFormat="0" applyFill="0" applyAlignment="0" applyProtection="0"/>
    <xf numFmtId="0" fontId="228" fillId="68" borderId="49" applyNumberFormat="0" applyAlignment="0" applyProtection="0"/>
    <xf numFmtId="0" fontId="240" fillId="0" borderId="0" applyNumberFormat="0" applyFill="0" applyBorder="0" applyAlignment="0" applyProtection="0"/>
    <xf numFmtId="0" fontId="1" fillId="69" borderId="50" applyNumberFormat="0" applyFont="0" applyAlignment="0" applyProtection="0"/>
    <xf numFmtId="0" fontId="241" fillId="0" borderId="0" applyNumberFormat="0" applyFill="0" applyBorder="0" applyAlignment="0" applyProtection="0"/>
    <xf numFmtId="0" fontId="3" fillId="0" borderId="51" applyNumberFormat="0" applyFill="0" applyAlignment="0" applyProtection="0"/>
    <xf numFmtId="0" fontId="242" fillId="70" borderId="0" applyNumberFormat="0" applyBorder="0" applyAlignment="0" applyProtection="0"/>
    <xf numFmtId="0" fontId="1" fillId="71" borderId="0" applyNumberFormat="0" applyBorder="0" applyAlignment="0" applyProtection="0"/>
    <xf numFmtId="0" fontId="1" fillId="72" borderId="0" applyNumberFormat="0" applyBorder="0" applyAlignment="0" applyProtection="0"/>
    <xf numFmtId="0" fontId="1" fillId="73" borderId="0" applyNumberFormat="0" applyBorder="0" applyAlignment="0" applyProtection="0"/>
    <xf numFmtId="0" fontId="242" fillId="74" borderId="0" applyNumberFormat="0" applyBorder="0" applyAlignment="0" applyProtection="0"/>
    <xf numFmtId="0" fontId="1" fillId="75" borderId="0" applyNumberFormat="0" applyBorder="0" applyAlignment="0" applyProtection="0"/>
    <xf numFmtId="0" fontId="1" fillId="76" borderId="0" applyNumberFormat="0" applyBorder="0" applyAlignment="0" applyProtection="0"/>
    <xf numFmtId="0" fontId="1" fillId="77" borderId="0" applyNumberFormat="0" applyBorder="0" applyAlignment="0" applyProtection="0"/>
    <xf numFmtId="0" fontId="242" fillId="78" borderId="0" applyNumberFormat="0" applyBorder="0" applyAlignment="0" applyProtection="0"/>
    <xf numFmtId="0" fontId="1" fillId="79" borderId="0" applyNumberFormat="0" applyBorder="0" applyAlignment="0" applyProtection="0"/>
    <xf numFmtId="0" fontId="1" fillId="80" borderId="0" applyNumberFormat="0" applyBorder="0" applyAlignment="0" applyProtection="0"/>
    <xf numFmtId="0" fontId="1" fillId="81" borderId="0" applyNumberFormat="0" applyBorder="0" applyAlignment="0" applyProtection="0"/>
    <xf numFmtId="0" fontId="242" fillId="82" borderId="0" applyNumberFormat="0" applyBorder="0" applyAlignment="0" applyProtection="0"/>
    <xf numFmtId="0" fontId="1" fillId="83" borderId="0" applyNumberFormat="0" applyBorder="0" applyAlignment="0" applyProtection="0"/>
    <xf numFmtId="0" fontId="1" fillId="84" borderId="0" applyNumberFormat="0" applyBorder="0" applyAlignment="0" applyProtection="0"/>
    <xf numFmtId="0" fontId="1" fillId="85" borderId="0" applyNumberFormat="0" applyBorder="0" applyAlignment="0" applyProtection="0"/>
    <xf numFmtId="0" fontId="242" fillId="86" borderId="0" applyNumberFormat="0" applyBorder="0" applyAlignment="0" applyProtection="0"/>
    <xf numFmtId="0" fontId="1" fillId="87" borderId="0" applyNumberFormat="0" applyBorder="0" applyAlignment="0" applyProtection="0"/>
    <xf numFmtId="0" fontId="1" fillId="88" borderId="0" applyNumberFormat="0" applyBorder="0" applyAlignment="0" applyProtection="0"/>
    <xf numFmtId="0" fontId="1" fillId="89" borderId="0" applyNumberFormat="0" applyBorder="0" applyAlignment="0" applyProtection="0"/>
    <xf numFmtId="0" fontId="242" fillId="90" borderId="0" applyNumberFormat="0" applyBorder="0" applyAlignment="0" applyProtection="0"/>
    <xf numFmtId="0" fontId="1" fillId="91" borderId="0" applyNumberFormat="0" applyBorder="0" applyAlignment="0" applyProtection="0"/>
    <xf numFmtId="0" fontId="1" fillId="92" borderId="0" applyNumberFormat="0" applyBorder="0" applyAlignment="0" applyProtection="0"/>
    <xf numFmtId="0" fontId="1" fillId="93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243" fillId="0" borderId="0" xfId="0" applyFont="1"/>
    <xf numFmtId="0" fontId="244" fillId="0" borderId="0" xfId="0" applyFont="1"/>
    <xf numFmtId="14" fontId="243" fillId="0" borderId="0" xfId="0" applyNumberFormat="1" applyFont="1"/>
    <xf numFmtId="0" fontId="245" fillId="62" borderId="0" xfId="0" applyFont="1" applyFill="1"/>
    <xf numFmtId="164" fontId="243" fillId="0" borderId="0" xfId="0" applyNumberFormat="1" applyFont="1"/>
    <xf numFmtId="0" fontId="246" fillId="0" borderId="0" xfId="0" applyFont="1"/>
    <xf numFmtId="14" fontId="243" fillId="0" borderId="0" xfId="0" applyNumberFormat="1" applyFont="1" applyAlignment="1">
      <alignment horizontal="right"/>
    </xf>
    <xf numFmtId="0" fontId="243" fillId="94" borderId="0" xfId="0" applyFont="1" applyFill="1"/>
    <xf numFmtId="14" fontId="243" fillId="94" borderId="0" xfId="0" applyNumberFormat="1" applyFont="1" applyFill="1" applyAlignment="1">
      <alignment horizontal="left"/>
    </xf>
    <xf numFmtId="14" fontId="0" fillId="0" borderId="0" xfId="0" applyNumberFormat="1"/>
    <xf numFmtId="0" fontId="247" fillId="0" borderId="0" xfId="0" applyFont="1"/>
    <xf numFmtId="0" fontId="0" fillId="0" borderId="0" xfId="0" applyNumberFormat="1"/>
    <xf numFmtId="0" fontId="248" fillId="94" borderId="0" xfId="0" applyFont="1" applyFill="1"/>
    <xf numFmtId="0" fontId="248" fillId="0" borderId="0" xfId="0" applyFont="1"/>
    <xf numFmtId="0" fontId="248" fillId="0" borderId="3" xfId="0" applyFont="1" applyBorder="1"/>
    <xf numFmtId="0" fontId="249" fillId="0" borderId="3" xfId="0" applyFont="1" applyBorder="1"/>
    <xf numFmtId="43" fontId="248" fillId="0" borderId="3" xfId="35732" applyFont="1" applyBorder="1"/>
    <xf numFmtId="0" fontId="0" fillId="0" borderId="0" xfId="0" applyProtection="1">
      <protection locked="0"/>
    </xf>
    <xf numFmtId="0" fontId="247" fillId="0" borderId="0" xfId="0" applyFont="1" applyProtection="1">
      <protection locked="0"/>
    </xf>
    <xf numFmtId="0" fontId="0" fillId="94" borderId="0" xfId="0" applyFill="1" applyProtection="1"/>
    <xf numFmtId="0" fontId="249" fillId="0" borderId="0" xfId="0" applyFont="1"/>
    <xf numFmtId="0" fontId="250" fillId="0" borderId="0" xfId="0" applyFont="1"/>
    <xf numFmtId="368" fontId="0" fillId="94" borderId="0" xfId="0" applyNumberFormat="1" applyFill="1" applyProtection="1"/>
    <xf numFmtId="0" fontId="249" fillId="0" borderId="0" xfId="0" applyFont="1" applyAlignment="1">
      <alignment horizontal="right"/>
    </xf>
    <xf numFmtId="43" fontId="248" fillId="0" borderId="0" xfId="0" applyNumberFormat="1" applyFont="1"/>
    <xf numFmtId="2" fontId="248" fillId="0" borderId="0" xfId="0" applyNumberFormat="1" applyFont="1"/>
    <xf numFmtId="0" fontId="248" fillId="0" borderId="0" xfId="0" applyFont="1" applyBorder="1"/>
    <xf numFmtId="0" fontId="0" fillId="94" borderId="0" xfId="0" applyFill="1"/>
    <xf numFmtId="49" fontId="0" fillId="0" borderId="0" xfId="0" applyNumberFormat="1" applyAlignment="1">
      <alignment horizontal="right"/>
    </xf>
    <xf numFmtId="369" fontId="0" fillId="0" borderId="0" xfId="0" applyNumberFormat="1"/>
    <xf numFmtId="0" fontId="251" fillId="0" borderId="0" xfId="35733"/>
    <xf numFmtId="43" fontId="0" fillId="0" borderId="0" xfId="35732" applyFont="1" applyProtection="1">
      <protection locked="0"/>
    </xf>
    <xf numFmtId="10" fontId="0" fillId="0" borderId="0" xfId="35734" applyNumberFormat="1" applyFont="1" applyProtection="1">
      <protection locked="0"/>
    </xf>
    <xf numFmtId="43" fontId="0" fillId="0" borderId="0" xfId="0" applyNumberFormat="1" applyProtection="1">
      <protection locked="0"/>
    </xf>
    <xf numFmtId="0" fontId="0" fillId="94" borderId="0" xfId="0" applyFill="1" applyProtection="1">
      <protection locked="0"/>
    </xf>
    <xf numFmtId="43" fontId="0" fillId="94" borderId="0" xfId="35732" applyFont="1" applyFill="1" applyProtection="1">
      <protection locked="0"/>
    </xf>
    <xf numFmtId="43" fontId="0" fillId="94" borderId="0" xfId="0" applyNumberFormat="1" applyFill="1" applyProtection="1"/>
    <xf numFmtId="0" fontId="0" fillId="0" borderId="0" xfId="0" applyAlignment="1" applyProtection="1">
      <alignment horizontal="center"/>
      <protection locked="0"/>
    </xf>
    <xf numFmtId="0" fontId="3" fillId="0" borderId="52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  <protection locked="0"/>
    </xf>
    <xf numFmtId="43" fontId="0" fillId="0" borderId="0" xfId="35732" applyFont="1" applyAlignment="1" applyProtection="1">
      <alignment vertical="center"/>
      <protection locked="0"/>
    </xf>
    <xf numFmtId="0" fontId="0" fillId="94" borderId="0" xfId="0" applyFill="1" applyAlignment="1" applyProtection="1">
      <alignment vertical="center"/>
    </xf>
    <xf numFmtId="0" fontId="0" fillId="0" borderId="0" xfId="0" applyAlignment="1" applyProtection="1">
      <alignment vertical="center" wrapText="1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95" borderId="52" xfId="0" applyFont="1" applyFill="1" applyBorder="1" applyAlignment="1" applyProtection="1">
      <alignment horizontal="center"/>
      <protection locked="0"/>
    </xf>
    <xf numFmtId="43" fontId="0" fillId="0" borderId="0" xfId="35732" applyFont="1"/>
    <xf numFmtId="0" fontId="3" fillId="0" borderId="0" xfId="0" applyFont="1"/>
    <xf numFmtId="43" fontId="0" fillId="0" borderId="0" xfId="35732" applyFont="1" applyAlignment="1" applyProtection="1">
      <alignment vertical="center" wrapText="1"/>
      <protection locked="0"/>
    </xf>
    <xf numFmtId="15" fontId="0" fillId="0" borderId="0" xfId="0" applyNumberFormat="1" applyAlignment="1" applyProtection="1">
      <alignment horizontal="center"/>
      <protection locked="0"/>
    </xf>
    <xf numFmtId="0" fontId="0" fillId="96" borderId="0" xfId="0" applyFill="1" applyProtection="1">
      <protection locked="0"/>
    </xf>
    <xf numFmtId="0" fontId="3" fillId="0" borderId="0" xfId="0" applyFont="1" applyProtection="1">
      <protection locked="0"/>
    </xf>
    <xf numFmtId="4" fontId="0" fillId="0" borderId="0" xfId="0" applyNumberFormat="1"/>
    <xf numFmtId="0" fontId="0" fillId="97" borderId="0" xfId="0" applyFill="1"/>
    <xf numFmtId="43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/>
    <xf numFmtId="10" fontId="0" fillId="0" borderId="0" xfId="35734" applyNumberFormat="1" applyFont="1"/>
    <xf numFmtId="0" fontId="3" fillId="0" borderId="0" xfId="0" applyFont="1" applyAlignment="1">
      <alignment horizontal="center"/>
    </xf>
    <xf numFmtId="43" fontId="3" fillId="0" borderId="0" xfId="35732" applyFont="1" applyAlignment="1">
      <alignment horizontal="center"/>
    </xf>
    <xf numFmtId="0" fontId="0" fillId="0" borderId="0" xfId="0" applyFill="1" applyProtection="1">
      <protection locked="0"/>
    </xf>
    <xf numFmtId="43" fontId="0" fillId="0" borderId="0" xfId="35732" applyFont="1" applyFill="1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50" fillId="0" borderId="0" xfId="0" applyFont="1" applyAlignment="1">
      <alignment horizontal="left"/>
    </xf>
    <xf numFmtId="2" fontId="250" fillId="0" borderId="0" xfId="0" applyNumberFormat="1" applyFont="1" applyAlignment="1">
      <alignment horizontal="left"/>
    </xf>
    <xf numFmtId="0" fontId="253" fillId="0" borderId="1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54" fillId="0" borderId="0" xfId="0" applyFont="1" applyAlignment="1">
      <alignment horizontal="center"/>
    </xf>
    <xf numFmtId="0" fontId="3" fillId="22" borderId="0" xfId="0" applyFont="1" applyFill="1" applyAlignment="1">
      <alignment vertical="center"/>
    </xf>
  </cellXfs>
  <cellStyles count="35735">
    <cellStyle name="-" xfId="8" xr:uid="{00000000-0005-0000-0000-000000000000}"/>
    <cellStyle name=" 1" xfId="9" xr:uid="{00000000-0005-0000-0000-000001000000}"/>
    <cellStyle name=" 1 2" xfId="10" xr:uid="{00000000-0005-0000-0000-000002000000}"/>
    <cellStyle name=" 1 3" xfId="11" xr:uid="{00000000-0005-0000-0000-000003000000}"/>
    <cellStyle name=" 1_Cash Input" xfId="12" xr:uid="{00000000-0005-0000-0000-000004000000}"/>
    <cellStyle name="- 10" xfId="13" xr:uid="{00000000-0005-0000-0000-000005000000}"/>
    <cellStyle name="- 11" xfId="14" xr:uid="{00000000-0005-0000-0000-000006000000}"/>
    <cellStyle name="- 12" xfId="15" xr:uid="{00000000-0005-0000-0000-000007000000}"/>
    <cellStyle name="- 13" xfId="16" xr:uid="{00000000-0005-0000-0000-000008000000}"/>
    <cellStyle name="- 14" xfId="17" xr:uid="{00000000-0005-0000-0000-000009000000}"/>
    <cellStyle name="- 15" xfId="18" xr:uid="{00000000-0005-0000-0000-00000A000000}"/>
    <cellStyle name="- 16" xfId="19" xr:uid="{00000000-0005-0000-0000-00000B000000}"/>
    <cellStyle name="- 17" xfId="20" xr:uid="{00000000-0005-0000-0000-00000C000000}"/>
    <cellStyle name="- 18" xfId="21" xr:uid="{00000000-0005-0000-0000-00000D000000}"/>
    <cellStyle name="- 19" xfId="22" xr:uid="{00000000-0005-0000-0000-00000E000000}"/>
    <cellStyle name=" 2" xfId="23" xr:uid="{00000000-0005-0000-0000-00000F000000}"/>
    <cellStyle name="- 2" xfId="24" xr:uid="{00000000-0005-0000-0000-000010000000}"/>
    <cellStyle name="- 20" xfId="25" xr:uid="{00000000-0005-0000-0000-000011000000}"/>
    <cellStyle name="- 21" xfId="26" xr:uid="{00000000-0005-0000-0000-000012000000}"/>
    <cellStyle name="- 22" xfId="27" xr:uid="{00000000-0005-0000-0000-000013000000}"/>
    <cellStyle name="- 23" xfId="28" xr:uid="{00000000-0005-0000-0000-000014000000}"/>
    <cellStyle name="- 24" xfId="29" xr:uid="{00000000-0005-0000-0000-000015000000}"/>
    <cellStyle name="- 25" xfId="30" xr:uid="{00000000-0005-0000-0000-000016000000}"/>
    <cellStyle name="- 26" xfId="31" xr:uid="{00000000-0005-0000-0000-000017000000}"/>
    <cellStyle name="- 27" xfId="32" xr:uid="{00000000-0005-0000-0000-000018000000}"/>
    <cellStyle name="- 28" xfId="33" xr:uid="{00000000-0005-0000-0000-000019000000}"/>
    <cellStyle name="- 29" xfId="34" xr:uid="{00000000-0005-0000-0000-00001A000000}"/>
    <cellStyle name="- 29 2" xfId="35" xr:uid="{00000000-0005-0000-0000-00001B000000}"/>
    <cellStyle name=" 3" xfId="36" xr:uid="{00000000-0005-0000-0000-00001C000000}"/>
    <cellStyle name="- 3" xfId="37" xr:uid="{00000000-0005-0000-0000-00001D000000}"/>
    <cellStyle name="- 30" xfId="38" xr:uid="{00000000-0005-0000-0000-00001E000000}"/>
    <cellStyle name="- 31" xfId="39" xr:uid="{00000000-0005-0000-0000-00001F000000}"/>
    <cellStyle name="- 32" xfId="40" xr:uid="{00000000-0005-0000-0000-000020000000}"/>
    <cellStyle name="- 33" xfId="41" xr:uid="{00000000-0005-0000-0000-000021000000}"/>
    <cellStyle name="- 34" xfId="42" xr:uid="{00000000-0005-0000-0000-000022000000}"/>
    <cellStyle name="- 35" xfId="43" xr:uid="{00000000-0005-0000-0000-000023000000}"/>
    <cellStyle name="- 36" xfId="44" xr:uid="{00000000-0005-0000-0000-000024000000}"/>
    <cellStyle name="- 37" xfId="45" xr:uid="{00000000-0005-0000-0000-000025000000}"/>
    <cellStyle name="- 38" xfId="46" xr:uid="{00000000-0005-0000-0000-000026000000}"/>
    <cellStyle name="- 4" xfId="47" xr:uid="{00000000-0005-0000-0000-000027000000}"/>
    <cellStyle name="- 5" xfId="48" xr:uid="{00000000-0005-0000-0000-000028000000}"/>
    <cellStyle name="- 6" xfId="49" xr:uid="{00000000-0005-0000-0000-000029000000}"/>
    <cellStyle name="- 7" xfId="50" xr:uid="{00000000-0005-0000-0000-00002A000000}"/>
    <cellStyle name="- 8" xfId="51" xr:uid="{00000000-0005-0000-0000-00002B000000}"/>
    <cellStyle name="- 9" xfId="52" xr:uid="{00000000-0005-0000-0000-00002C000000}"/>
    <cellStyle name="_x000a_386grabber=M" xfId="53" xr:uid="{00000000-0005-0000-0000-00002D000000}"/>
    <cellStyle name="$" xfId="54" xr:uid="{00000000-0005-0000-0000-00002E000000}"/>
    <cellStyle name="$ &amp; ¢" xfId="55" xr:uid="{00000000-0005-0000-0000-00002F000000}"/>
    <cellStyle name="$ Bold Output Amounts" xfId="56" xr:uid="{00000000-0005-0000-0000-000030000000}"/>
    <cellStyle name="$ Output Amounts" xfId="57" xr:uid="{00000000-0005-0000-0000-000031000000}"/>
    <cellStyle name="$ Reverse variance" xfId="58" xr:uid="{00000000-0005-0000-0000-000032000000}"/>
    <cellStyle name="$000s1Place" xfId="59" xr:uid="{00000000-0005-0000-0000-000033000000}"/>
    <cellStyle name="$MM 0.0" xfId="60" xr:uid="{00000000-0005-0000-0000-000034000000}"/>
    <cellStyle name="$MMs1Place" xfId="61" xr:uid="{00000000-0005-0000-0000-000035000000}"/>
    <cellStyle name="$MMs2Places" xfId="62" xr:uid="{00000000-0005-0000-0000-000036000000}"/>
    <cellStyle name="%" xfId="63" xr:uid="{00000000-0005-0000-0000-000037000000}"/>
    <cellStyle name="% 10" xfId="64" xr:uid="{00000000-0005-0000-0000-000038000000}"/>
    <cellStyle name="% 11" xfId="65" xr:uid="{00000000-0005-0000-0000-000039000000}"/>
    <cellStyle name="% 12" xfId="66" xr:uid="{00000000-0005-0000-0000-00003A000000}"/>
    <cellStyle name="% 13" xfId="67" xr:uid="{00000000-0005-0000-0000-00003B000000}"/>
    <cellStyle name="% 14" xfId="68" xr:uid="{00000000-0005-0000-0000-00003C000000}"/>
    <cellStyle name="% 15" xfId="69" xr:uid="{00000000-0005-0000-0000-00003D000000}"/>
    <cellStyle name="% 16" xfId="70" xr:uid="{00000000-0005-0000-0000-00003E000000}"/>
    <cellStyle name="% 17" xfId="71" xr:uid="{00000000-0005-0000-0000-00003F000000}"/>
    <cellStyle name="% 18" xfId="72" xr:uid="{00000000-0005-0000-0000-000040000000}"/>
    <cellStyle name="% 19" xfId="73" xr:uid="{00000000-0005-0000-0000-000041000000}"/>
    <cellStyle name="% 2" xfId="74" xr:uid="{00000000-0005-0000-0000-000042000000}"/>
    <cellStyle name="% 20" xfId="75" xr:uid="{00000000-0005-0000-0000-000043000000}"/>
    <cellStyle name="% 21" xfId="76" xr:uid="{00000000-0005-0000-0000-000044000000}"/>
    <cellStyle name="% 22" xfId="77" xr:uid="{00000000-0005-0000-0000-000045000000}"/>
    <cellStyle name="% 23" xfId="78" xr:uid="{00000000-0005-0000-0000-000046000000}"/>
    <cellStyle name="% 23 2" xfId="79" xr:uid="{00000000-0005-0000-0000-000047000000}"/>
    <cellStyle name="% 24" xfId="80" xr:uid="{00000000-0005-0000-0000-000048000000}"/>
    <cellStyle name="% 24 2" xfId="81" xr:uid="{00000000-0005-0000-0000-000049000000}"/>
    <cellStyle name="% 25" xfId="82" xr:uid="{00000000-0005-0000-0000-00004A000000}"/>
    <cellStyle name="% 26" xfId="83" xr:uid="{00000000-0005-0000-0000-00004B000000}"/>
    <cellStyle name="% 27" xfId="84" xr:uid="{00000000-0005-0000-0000-00004C000000}"/>
    <cellStyle name="% 28" xfId="85" xr:uid="{00000000-0005-0000-0000-00004D000000}"/>
    <cellStyle name="% 29" xfId="86" xr:uid="{00000000-0005-0000-0000-00004E000000}"/>
    <cellStyle name="% 29 2" xfId="87" xr:uid="{00000000-0005-0000-0000-00004F000000}"/>
    <cellStyle name="% 3" xfId="88" xr:uid="{00000000-0005-0000-0000-000050000000}"/>
    <cellStyle name="% 3 2" xfId="89" xr:uid="{00000000-0005-0000-0000-000051000000}"/>
    <cellStyle name="% 30" xfId="90" xr:uid="{00000000-0005-0000-0000-000052000000}"/>
    <cellStyle name="% 31" xfId="91" xr:uid="{00000000-0005-0000-0000-000053000000}"/>
    <cellStyle name="% 32" xfId="92" xr:uid="{00000000-0005-0000-0000-000054000000}"/>
    <cellStyle name="% 33" xfId="93" xr:uid="{00000000-0005-0000-0000-000055000000}"/>
    <cellStyle name="% 34" xfId="94" xr:uid="{00000000-0005-0000-0000-000056000000}"/>
    <cellStyle name="% 35" xfId="95" xr:uid="{00000000-0005-0000-0000-000057000000}"/>
    <cellStyle name="% 36" xfId="96" xr:uid="{00000000-0005-0000-0000-000058000000}"/>
    <cellStyle name="% 37" xfId="97" xr:uid="{00000000-0005-0000-0000-000059000000}"/>
    <cellStyle name="% 38" xfId="98" xr:uid="{00000000-0005-0000-0000-00005A000000}"/>
    <cellStyle name="% 4" xfId="99" xr:uid="{00000000-0005-0000-0000-00005B000000}"/>
    <cellStyle name="% 4 2" xfId="100" xr:uid="{00000000-0005-0000-0000-00005C000000}"/>
    <cellStyle name="% 5" xfId="101" xr:uid="{00000000-0005-0000-0000-00005D000000}"/>
    <cellStyle name="% 5 2" xfId="102" xr:uid="{00000000-0005-0000-0000-00005E000000}"/>
    <cellStyle name="% 6" xfId="103" xr:uid="{00000000-0005-0000-0000-00005F000000}"/>
    <cellStyle name="% 6 2" xfId="104" xr:uid="{00000000-0005-0000-0000-000060000000}"/>
    <cellStyle name="% 7" xfId="105" xr:uid="{00000000-0005-0000-0000-000061000000}"/>
    <cellStyle name="% 7 2" xfId="106" xr:uid="{00000000-0005-0000-0000-000062000000}"/>
    <cellStyle name="% 8" xfId="107" xr:uid="{00000000-0005-0000-0000-000063000000}"/>
    <cellStyle name="% 8 2" xfId="108" xr:uid="{00000000-0005-0000-0000-000064000000}"/>
    <cellStyle name="% 9" xfId="109" xr:uid="{00000000-0005-0000-0000-000065000000}"/>
    <cellStyle name="%.00" xfId="110" xr:uid="{00000000-0005-0000-0000-000066000000}"/>
    <cellStyle name="%_{6} Carry" xfId="111" xr:uid="{00000000-0005-0000-0000-000067000000}"/>
    <cellStyle name="%_{6} Clawback" xfId="112" xr:uid="{00000000-0005-0000-0000-000068000000}"/>
    <cellStyle name="%_2007 NYC tax payable 1 8 08" xfId="113" xr:uid="{00000000-0005-0000-0000-000069000000}"/>
    <cellStyle name="%_2011 Q1 Monitoring Fees v3" xfId="114" xr:uid="{00000000-0005-0000-0000-00006A000000}"/>
    <cellStyle name="%_ABP Holding LP 9.30.2008" xfId="115" xr:uid="{00000000-0005-0000-0000-00006B000000}"/>
    <cellStyle name="%_Advisors VII DECEMBER on 3-31-09 8pm" xfId="116" xr:uid="{00000000-0005-0000-0000-00006C000000}"/>
    <cellStyle name="%_AGM tax file 3 25 08" xfId="117" xr:uid="{00000000-0005-0000-0000-00006D000000}"/>
    <cellStyle name="%_AIF IV Financial Highlights 12-31-08 v4" xfId="118" xr:uid="{00000000-0005-0000-0000-00006E000000}"/>
    <cellStyle name="%_AIF V 1Q09 Cash - FINAL" xfId="119" xr:uid="{00000000-0005-0000-0000-00006F000000}"/>
    <cellStyle name="%_AIF VI  VII Summary Dec 2008 v3" xfId="120" xr:uid="{00000000-0005-0000-0000-000070000000}"/>
    <cellStyle name="%_AIF VI  VII Summary Dec 2008 v3 10" xfId="121" xr:uid="{00000000-0005-0000-0000-000071000000}"/>
    <cellStyle name="%_AIF VI  VII Summary Dec 2008 v3 11" xfId="122" xr:uid="{00000000-0005-0000-0000-000072000000}"/>
    <cellStyle name="%_AIF VI  VII Summary Dec 2008 v3 12" xfId="123" xr:uid="{00000000-0005-0000-0000-000073000000}"/>
    <cellStyle name="%_AIF VI  VII Summary Dec 2008 v3 13" xfId="124" xr:uid="{00000000-0005-0000-0000-000074000000}"/>
    <cellStyle name="%_AIF VI  VII Summary Dec 2008 v3 14" xfId="125" xr:uid="{00000000-0005-0000-0000-000075000000}"/>
    <cellStyle name="%_AIF VI  VII Summary Dec 2008 v3 15" xfId="126" xr:uid="{00000000-0005-0000-0000-000076000000}"/>
    <cellStyle name="%_AIF VI  VII Summary Dec 2008 v3 16" xfId="127" xr:uid="{00000000-0005-0000-0000-000077000000}"/>
    <cellStyle name="%_AIF VI  VII Summary Dec 2008 v3 17" xfId="128" xr:uid="{00000000-0005-0000-0000-000078000000}"/>
    <cellStyle name="%_AIF VI  VII Summary Dec 2008 v3 18" xfId="129" xr:uid="{00000000-0005-0000-0000-000079000000}"/>
    <cellStyle name="%_AIF VI  VII Summary Dec 2008 v3 19" xfId="130" xr:uid="{00000000-0005-0000-0000-00007A000000}"/>
    <cellStyle name="%_AIF VI  VII Summary Dec 2008 v3 2" xfId="131" xr:uid="{00000000-0005-0000-0000-00007B000000}"/>
    <cellStyle name="%_AIF VI  VII Summary Dec 2008 v3 20" xfId="132" xr:uid="{00000000-0005-0000-0000-00007C000000}"/>
    <cellStyle name="%_AIF VI  VII Summary Dec 2008 v3 21" xfId="133" xr:uid="{00000000-0005-0000-0000-00007D000000}"/>
    <cellStyle name="%_AIF VI  VII Summary Dec 2008 v3 3" xfId="134" xr:uid="{00000000-0005-0000-0000-00007E000000}"/>
    <cellStyle name="%_AIF VI  VII Summary Dec 2008 v3 4" xfId="135" xr:uid="{00000000-0005-0000-0000-00007F000000}"/>
    <cellStyle name="%_AIF VI  VII Summary Dec 2008 v3 5" xfId="136" xr:uid="{00000000-0005-0000-0000-000080000000}"/>
    <cellStyle name="%_AIF VI  VII Summary Dec 2008 v3 6" xfId="137" xr:uid="{00000000-0005-0000-0000-000081000000}"/>
    <cellStyle name="%_AIF VI  VII Summary Dec 2008 v3 7" xfId="138" xr:uid="{00000000-0005-0000-0000-000082000000}"/>
    <cellStyle name="%_AIF VI  VII Summary Dec 2008 v3 8" xfId="139" xr:uid="{00000000-0005-0000-0000-000083000000}"/>
    <cellStyle name="%_AIF VI  VII Summary Dec 2008 v3 9" xfId="140" xr:uid="{00000000-0005-0000-0000-000084000000}"/>
    <cellStyle name="%_AIF VI CBA  11-13-08 After Cash Adj (2)" xfId="141" xr:uid="{00000000-0005-0000-0000-000085000000}"/>
    <cellStyle name="%_AIF VI CBA 3.20.08" xfId="142" xr:uid="{00000000-0005-0000-0000-000086000000}"/>
    <cellStyle name="%_AIF VII Capital Balance Analysis INCEPTION to 09-30-08 on 10-13-08 8am" xfId="143" xr:uid="{00000000-0005-0000-0000-000087000000}"/>
    <cellStyle name="%_AIF VII Capital Balance Analysis INCEPTION to 09-30-08 on 10-13-08 8am 2" xfId="144" xr:uid="{00000000-0005-0000-0000-000088000000}"/>
    <cellStyle name="%_AIF VII Capital Balance Analysis INCEPTION to 09-30-08 on 10-13-08 8am_Broadleaf Watefall 12-31-09" xfId="145" xr:uid="{00000000-0005-0000-0000-000089000000}"/>
    <cellStyle name="%_AIF VII Capital Balance Analysis INCEPTION to 09-30-08 on 10-13-08 8am_Dist Summary_11.XX.09" xfId="146" xr:uid="{00000000-0005-0000-0000-00008A000000}"/>
    <cellStyle name="%_AIF VII Capital Balance Analysis INCEPTION to 09-30-08 on 10-13-08 8am_IC Balance" xfId="147" xr:uid="{00000000-0005-0000-0000-00008B000000}"/>
    <cellStyle name="%_AIF VII Capital Balance Analysis INCEPTION to 09-30-08 on 10-13-08 8am_Invested Capital Debt Worksheet" xfId="148" xr:uid="{00000000-0005-0000-0000-00008C000000}"/>
    <cellStyle name="%_Andy Affrick - Schedulev2" xfId="149" xr:uid="{00000000-0005-0000-0000-00008D000000}"/>
    <cellStyle name="%_Apollo 2007 Q4 Tax Est 03 03 08 Sherley" xfId="150" xr:uid="{00000000-0005-0000-0000-00008E000000}"/>
    <cellStyle name="%_Apollo 2007 Q4 Tax Est 2 28 08" xfId="151" xr:uid="{00000000-0005-0000-0000-00008F000000}"/>
    <cellStyle name="%_Apollo Advisors IV 12-31-08 GAAP TB Final" xfId="152" xr:uid="{00000000-0005-0000-0000-000090000000}"/>
    <cellStyle name="%_Apollo Advisors IV 12-31-08 TB (Revised for Aggr PR)" xfId="153" xr:uid="{00000000-0005-0000-0000-000091000000}"/>
    <cellStyle name="%_Apollo Advisors IV 6-30-09 GAAP TB" xfId="154" xr:uid="{00000000-0005-0000-0000-000092000000}"/>
    <cellStyle name="%_Apollo Advisors V 09-30-08 CURRENT" xfId="155" xr:uid="{00000000-0005-0000-0000-000093000000}"/>
    <cellStyle name="%_Apollo Investment Fund IV  April Priority Return" xfId="156" xr:uid="{00000000-0005-0000-0000-000094000000}"/>
    <cellStyle name="%_Apollo Investment Fund IV  Q1 2009 Capital Analysis 5-22-09 with GAAP" xfId="157" xr:uid="{00000000-0005-0000-0000-000095000000}"/>
    <cellStyle name="%_Apollo Investment Fund IV  Q1 2009 Capital Analysis GAAP" xfId="158" xr:uid="{00000000-0005-0000-0000-000096000000}"/>
    <cellStyle name="%_Apollo Investment Fund IV  Q2 2009 Capital Analysis CURRENT" xfId="159" xr:uid="{00000000-0005-0000-0000-000097000000}"/>
    <cellStyle name="%_Apollo Investment Fund IV  Q3 2009 Capital Analysis CURRENT" xfId="160" xr:uid="{00000000-0005-0000-0000-000098000000}"/>
    <cellStyle name="%_Apollo Investment Fund IV  Q3 2009 Capital Analysis iPCS &amp; URI Distribution" xfId="161" xr:uid="{00000000-0005-0000-0000-000099000000}"/>
    <cellStyle name="%_Apollo Investment Fund IV Priority Return 6-30-09" xfId="162" xr:uid="{00000000-0005-0000-0000-00009A000000}"/>
    <cellStyle name="%_Apollo Investment Fund IV Q1 2009 Capital Analysis PR CORRECTED 6-30-09" xfId="163" xr:uid="{00000000-0005-0000-0000-00009B000000}"/>
    <cellStyle name="%_Bonco Analysis" xfId="164" xr:uid="{00000000-0005-0000-0000-00009C000000}"/>
    <cellStyle name="%_Bonco Analysis Projection" xfId="165" xr:uid="{00000000-0005-0000-0000-00009D000000}"/>
    <cellStyle name="%_Book1" xfId="166" xr:uid="{00000000-0005-0000-0000-00009E000000}"/>
    <cellStyle name="%_Book4" xfId="167" xr:uid="{00000000-0005-0000-0000-00009F000000}"/>
    <cellStyle name="%_Book4 10" xfId="168" xr:uid="{00000000-0005-0000-0000-0000A0000000}"/>
    <cellStyle name="%_Book4 11" xfId="169" xr:uid="{00000000-0005-0000-0000-0000A1000000}"/>
    <cellStyle name="%_Book4 12" xfId="170" xr:uid="{00000000-0005-0000-0000-0000A2000000}"/>
    <cellStyle name="%_Book4 13" xfId="171" xr:uid="{00000000-0005-0000-0000-0000A3000000}"/>
    <cellStyle name="%_Book4 14" xfId="172" xr:uid="{00000000-0005-0000-0000-0000A4000000}"/>
    <cellStyle name="%_Book4 15" xfId="173" xr:uid="{00000000-0005-0000-0000-0000A5000000}"/>
    <cellStyle name="%_Book4 16" xfId="174" xr:uid="{00000000-0005-0000-0000-0000A6000000}"/>
    <cellStyle name="%_Book4 17" xfId="175" xr:uid="{00000000-0005-0000-0000-0000A7000000}"/>
    <cellStyle name="%_Book4 18" xfId="176" xr:uid="{00000000-0005-0000-0000-0000A8000000}"/>
    <cellStyle name="%_Book4 19" xfId="177" xr:uid="{00000000-0005-0000-0000-0000A9000000}"/>
    <cellStyle name="%_Book4 2" xfId="178" xr:uid="{00000000-0005-0000-0000-0000AA000000}"/>
    <cellStyle name="%_Book4 20" xfId="179" xr:uid="{00000000-0005-0000-0000-0000AB000000}"/>
    <cellStyle name="%_Book4 21" xfId="180" xr:uid="{00000000-0005-0000-0000-0000AC000000}"/>
    <cellStyle name="%_Book4 21 2" xfId="181" xr:uid="{00000000-0005-0000-0000-0000AD000000}"/>
    <cellStyle name="%_Book4 3" xfId="182" xr:uid="{00000000-0005-0000-0000-0000AE000000}"/>
    <cellStyle name="%_Book4 4" xfId="183" xr:uid="{00000000-0005-0000-0000-0000AF000000}"/>
    <cellStyle name="%_Book4 5" xfId="184" xr:uid="{00000000-0005-0000-0000-0000B0000000}"/>
    <cellStyle name="%_Book4 6" xfId="185" xr:uid="{00000000-0005-0000-0000-0000B1000000}"/>
    <cellStyle name="%_Book4 7" xfId="186" xr:uid="{00000000-0005-0000-0000-0000B2000000}"/>
    <cellStyle name="%_Book4 8" xfId="187" xr:uid="{00000000-0005-0000-0000-0000B3000000}"/>
    <cellStyle name="%_Book4 9" xfId="188" xr:uid="{00000000-0005-0000-0000-0000B4000000}"/>
    <cellStyle name="%_Book4_Copy of AGM Dec '09 YTD COF I and II Dep  Liab (1-13-10) (2)" xfId="189" xr:uid="{00000000-0005-0000-0000-0000B5000000}"/>
    <cellStyle name="%_Broadleaf - Taxable Income_4-19 to 9-30-08 (Draft 11-6-08)" xfId="190" xr:uid="{00000000-0005-0000-0000-0000B6000000}"/>
    <cellStyle name="%_Broadleaf Watefall 9-30-09" xfId="191" xr:uid="{00000000-0005-0000-0000-0000B7000000}"/>
    <cellStyle name="%_CALCS" xfId="192" xr:uid="{00000000-0005-0000-0000-0000B8000000}"/>
    <cellStyle name="%_CALCS 10" xfId="193" xr:uid="{00000000-0005-0000-0000-0000B9000000}"/>
    <cellStyle name="%_CALCS 11" xfId="194" xr:uid="{00000000-0005-0000-0000-0000BA000000}"/>
    <cellStyle name="%_CALCS 12" xfId="195" xr:uid="{00000000-0005-0000-0000-0000BB000000}"/>
    <cellStyle name="%_CALCS 13" xfId="196" xr:uid="{00000000-0005-0000-0000-0000BC000000}"/>
    <cellStyle name="%_CALCS 14" xfId="197" xr:uid="{00000000-0005-0000-0000-0000BD000000}"/>
    <cellStyle name="%_CALCS 15" xfId="198" xr:uid="{00000000-0005-0000-0000-0000BE000000}"/>
    <cellStyle name="%_CALCS 16" xfId="199" xr:uid="{00000000-0005-0000-0000-0000BF000000}"/>
    <cellStyle name="%_CALCS 17" xfId="200" xr:uid="{00000000-0005-0000-0000-0000C0000000}"/>
    <cellStyle name="%_CALCS 18" xfId="201" xr:uid="{00000000-0005-0000-0000-0000C1000000}"/>
    <cellStyle name="%_CALCS 19" xfId="202" xr:uid="{00000000-0005-0000-0000-0000C2000000}"/>
    <cellStyle name="%_CALCS 2" xfId="203" xr:uid="{00000000-0005-0000-0000-0000C3000000}"/>
    <cellStyle name="%_CALCS 20" xfId="204" xr:uid="{00000000-0005-0000-0000-0000C4000000}"/>
    <cellStyle name="%_CALCS 21" xfId="205" xr:uid="{00000000-0005-0000-0000-0000C5000000}"/>
    <cellStyle name="%_CALCS 3" xfId="206" xr:uid="{00000000-0005-0000-0000-0000C6000000}"/>
    <cellStyle name="%_CALCS 4" xfId="207" xr:uid="{00000000-0005-0000-0000-0000C7000000}"/>
    <cellStyle name="%_CALCS 5" xfId="208" xr:uid="{00000000-0005-0000-0000-0000C8000000}"/>
    <cellStyle name="%_CALCS 6" xfId="209" xr:uid="{00000000-0005-0000-0000-0000C9000000}"/>
    <cellStyle name="%_CALCS 7" xfId="210" xr:uid="{00000000-0005-0000-0000-0000CA000000}"/>
    <cellStyle name="%_CALCS 8" xfId="211" xr:uid="{00000000-0005-0000-0000-0000CB000000}"/>
    <cellStyle name="%_CALCS 9" xfId="212" xr:uid="{00000000-0005-0000-0000-0000CC000000}"/>
    <cellStyle name="%_CALCS_Broadleaf Watefall 9-30-09" xfId="213" xr:uid="{00000000-0005-0000-0000-0000CD000000}"/>
    <cellStyle name="%_CALCS_Cash Input" xfId="214" xr:uid="{00000000-0005-0000-0000-0000CE000000}"/>
    <cellStyle name="%_CALCS_COF I CAS" xfId="215" xr:uid="{00000000-0005-0000-0000-0000CF000000}"/>
    <cellStyle name="%_CALCS_COF II CAS" xfId="216" xr:uid="{00000000-0005-0000-0000-0000D0000000}"/>
    <cellStyle name="%_CALCS_Dist Summary_11.XX.09" xfId="217" xr:uid="{00000000-0005-0000-0000-0000D1000000}"/>
    <cellStyle name="%_CALCS_IC Balance" xfId="218" xr:uid="{00000000-0005-0000-0000-0000D2000000}"/>
    <cellStyle name="%_CALCS_Invested Capital Debt Worksheet" xfId="219" xr:uid="{00000000-0005-0000-0000-0000D3000000}"/>
    <cellStyle name="%_Carry Calculation" xfId="220" xr:uid="{00000000-0005-0000-0000-0000D4000000}"/>
    <cellStyle name="%_Cash Input" xfId="221" xr:uid="{00000000-0005-0000-0000-0000D5000000}"/>
    <cellStyle name="%_Co Inv D Valuation 12-31-08" xfId="222" xr:uid="{00000000-0005-0000-0000-0000D6000000}"/>
    <cellStyle name="%_COF I CAS" xfId="223" xr:uid="{00000000-0005-0000-0000-0000D7000000}"/>
    <cellStyle name="%_COF II CAS" xfId="224" xr:uid="{00000000-0005-0000-0000-0000D8000000}"/>
    <cellStyle name="%_Co-Invest Estimates_03282008v2" xfId="225" xr:uid="{00000000-0005-0000-0000-0000D9000000}"/>
    <cellStyle name="%_Copy of AGM Dec '09 YTD COF I and II Dep  Liab (1-13-10) (2)" xfId="226" xr:uid="{00000000-0005-0000-0000-0000DA000000}"/>
    <cellStyle name="%_Dist Summary_11.XX.09" xfId="227" xr:uid="{00000000-0005-0000-0000-0000DB000000}"/>
    <cellStyle name="%_Domestic FS 12-31-08 v3-20-09" xfId="228" xr:uid="{00000000-0005-0000-0000-0000DC000000}"/>
    <cellStyle name="%_Domestic FS 12-31-08 v3-20-09_Broadleaf Watefall 12-31-09" xfId="229" xr:uid="{00000000-0005-0000-0000-0000DD000000}"/>
    <cellStyle name="%_Domestic FS 12-31-08 v3-20-09_Dist Summary_11.XX.09" xfId="230" xr:uid="{00000000-0005-0000-0000-0000DE000000}"/>
    <cellStyle name="%_Domestic FS 12-31-08 v3-20-09_IC Balance" xfId="231" xr:uid="{00000000-0005-0000-0000-0000DF000000}"/>
    <cellStyle name="%_Domestic FS 12-31-08 v3-20-09_Invested Capital Debt Worksheet" xfId="232" xr:uid="{00000000-0005-0000-0000-0000E0000000}"/>
    <cellStyle name="%_Domestic TB" xfId="233" xr:uid="{00000000-0005-0000-0000-0000E1000000}"/>
    <cellStyle name="%_Domestic TB 2" xfId="234" xr:uid="{00000000-0005-0000-0000-0000E2000000}"/>
    <cellStyle name="%_Fund IV" xfId="235" xr:uid="{00000000-0005-0000-0000-0000E3000000}"/>
    <cellStyle name="%_Fund IV 2008" xfId="236" xr:uid="{00000000-0005-0000-0000-0000E4000000}"/>
    <cellStyle name="%_Fund IV 9.30.08" xfId="237" xr:uid="{00000000-0005-0000-0000-0000E5000000}"/>
    <cellStyle name="%_Fund IV_1" xfId="238" xr:uid="{00000000-0005-0000-0000-0000E6000000}"/>
    <cellStyle name="%_Fund IV_1_AIF IV - Waterfall 3 31 09 vs  6 30 09" xfId="239" xr:uid="{00000000-0005-0000-0000-0000E7000000}"/>
    <cellStyle name="%_Fund IV_1_AIF IV, V, VI, VII, COF - Waterfall 3 31 09 vs  6 30 09" xfId="240" xr:uid="{00000000-0005-0000-0000-0000E8000000}"/>
    <cellStyle name="%_Fund IV_1_Fund IV" xfId="241" xr:uid="{00000000-0005-0000-0000-0000E9000000}"/>
    <cellStyle name="%_Fund IV_1_Funds IV Clawback Value Adjustment" xfId="242" xr:uid="{00000000-0005-0000-0000-0000EA000000}"/>
    <cellStyle name="%_Fund IV_2" xfId="243" xr:uid="{00000000-0005-0000-0000-0000EB000000}"/>
    <cellStyle name="%_Fund IV_3" xfId="244" xr:uid="{00000000-0005-0000-0000-0000EC000000}"/>
    <cellStyle name="%_Fund V 2007 tax return file 3 23 08" xfId="245" xr:uid="{00000000-0005-0000-0000-0000ED000000}"/>
    <cellStyle name="%_Fund V 2008 tax return file" xfId="246" xr:uid="{00000000-0005-0000-0000-0000EE000000}"/>
    <cellStyle name="%_Fund V Co-Investors" xfId="247" xr:uid="{00000000-0005-0000-0000-0000EF000000}"/>
    <cellStyle name="%_Fund VII subtier K-1 flow through" xfId="248" xr:uid="{00000000-0005-0000-0000-0000F0000000}"/>
    <cellStyle name="%_Fund VII subtier K-1 flow through (3)" xfId="249" xr:uid="{00000000-0005-0000-0000-0000F1000000}"/>
    <cellStyle name="%_Funds IV Clawback Adjustment Summary" xfId="250" xr:uid="{00000000-0005-0000-0000-0000F2000000}"/>
    <cellStyle name="%_GP commitApollo Entities" xfId="251" xr:uid="{00000000-0005-0000-0000-0000F3000000}"/>
    <cellStyle name="%_Hexicon Adj" xfId="252" xr:uid="{00000000-0005-0000-0000-0000F4000000}"/>
    <cellStyle name="%_Hexicon Adj_COF I CAS" xfId="253" xr:uid="{00000000-0005-0000-0000-0000F5000000}"/>
    <cellStyle name="%_Hexicon Adj_COF II CAS" xfId="254" xr:uid="{00000000-0005-0000-0000-0000F6000000}"/>
    <cellStyle name="%_IC Balance" xfId="255" xr:uid="{00000000-0005-0000-0000-0000F7000000}"/>
    <cellStyle name="%_Inv Cap Roll" xfId="256" xr:uid="{00000000-0005-0000-0000-0000F8000000}"/>
    <cellStyle name="%_Inv Cap Roll 2" xfId="257" xr:uid="{00000000-0005-0000-0000-0000F9000000}"/>
    <cellStyle name="%_Invested Capital Debt Worksheet" xfId="258" xr:uid="{00000000-0005-0000-0000-0000FA000000}"/>
    <cellStyle name="%_iPCs#1-Remaining" xfId="259" xr:uid="{00000000-0005-0000-0000-0000FB000000}"/>
    <cellStyle name="%_Leverage Source Market Discount Calculation" xfId="260" xr:uid="{00000000-0005-0000-0000-0000FC000000}"/>
    <cellStyle name="%_LeverageSource Analysis" xfId="261" xr:uid="{00000000-0005-0000-0000-0000FD000000}"/>
    <cellStyle name="%_LeverageSource Analysis Projection 11 17 2008" xfId="262" xr:uid="{00000000-0005-0000-0000-0000FE000000}"/>
    <cellStyle name="%_LS, LP - Dec  2010 Trial Balance Summary" xfId="263" xr:uid="{00000000-0005-0000-0000-0000FF000000}"/>
    <cellStyle name="%_Noranda Holdings LP 2008 - TB v2" xfId="264" xr:uid="{00000000-0005-0000-0000-000000010000}"/>
    <cellStyle name="%_Partners Capital Q1 2009" xfId="265" xr:uid="{00000000-0005-0000-0000-000001010000}"/>
    <cellStyle name="%_Partners Capital Q1 2009 2" xfId="266" xr:uid="{00000000-0005-0000-0000-000002010000}"/>
    <cellStyle name="%_Partners Capital Q1 2009 3" xfId="267" xr:uid="{00000000-0005-0000-0000-000003010000}"/>
    <cellStyle name="%_Partners Capital Q1 2009_Broadleaf Watefall 12-31-09" xfId="268" xr:uid="{00000000-0005-0000-0000-000004010000}"/>
    <cellStyle name="%_PR Calc" xfId="269" xr:uid="{00000000-0005-0000-0000-000005010000}"/>
    <cellStyle name="%_PR Calc - DOMESTIC" xfId="270" xr:uid="{00000000-0005-0000-0000-000006010000}"/>
    <cellStyle name="%_Priority Return" xfId="271" xr:uid="{00000000-0005-0000-0000-000007010000}"/>
    <cellStyle name="%_Priority Return 10" xfId="272" xr:uid="{00000000-0005-0000-0000-000008010000}"/>
    <cellStyle name="%_Priority Return 11" xfId="273" xr:uid="{00000000-0005-0000-0000-000009010000}"/>
    <cellStyle name="%_Priority Return 12" xfId="274" xr:uid="{00000000-0005-0000-0000-00000A010000}"/>
    <cellStyle name="%_Priority Return 13" xfId="275" xr:uid="{00000000-0005-0000-0000-00000B010000}"/>
    <cellStyle name="%_Priority Return 14" xfId="276" xr:uid="{00000000-0005-0000-0000-00000C010000}"/>
    <cellStyle name="%_Priority Return 15" xfId="277" xr:uid="{00000000-0005-0000-0000-00000D010000}"/>
    <cellStyle name="%_Priority Return 16" xfId="278" xr:uid="{00000000-0005-0000-0000-00000E010000}"/>
    <cellStyle name="%_Priority Return 17" xfId="279" xr:uid="{00000000-0005-0000-0000-00000F010000}"/>
    <cellStyle name="%_Priority Return 18" xfId="280" xr:uid="{00000000-0005-0000-0000-000010010000}"/>
    <cellStyle name="%_Priority Return 19" xfId="281" xr:uid="{00000000-0005-0000-0000-000011010000}"/>
    <cellStyle name="%_Priority Return 2" xfId="282" xr:uid="{00000000-0005-0000-0000-000012010000}"/>
    <cellStyle name="%_Priority Return 20" xfId="283" xr:uid="{00000000-0005-0000-0000-000013010000}"/>
    <cellStyle name="%_Priority Return 21" xfId="284" xr:uid="{00000000-0005-0000-0000-000014010000}"/>
    <cellStyle name="%_Priority Return 3" xfId="285" xr:uid="{00000000-0005-0000-0000-000015010000}"/>
    <cellStyle name="%_Priority Return 4" xfId="286" xr:uid="{00000000-0005-0000-0000-000016010000}"/>
    <cellStyle name="%_Priority Return 5" xfId="287" xr:uid="{00000000-0005-0000-0000-000017010000}"/>
    <cellStyle name="%_Priority Return 6" xfId="288" xr:uid="{00000000-0005-0000-0000-000018010000}"/>
    <cellStyle name="%_Priority Return 7" xfId="289" xr:uid="{00000000-0005-0000-0000-000019010000}"/>
    <cellStyle name="%_Priority Return 8" xfId="290" xr:uid="{00000000-0005-0000-0000-00001A010000}"/>
    <cellStyle name="%_Priority Return 9" xfId="291" xr:uid="{00000000-0005-0000-0000-00001B010000}"/>
    <cellStyle name="%_Priority Return_Broadleaf Watefall 9-30-09" xfId="292" xr:uid="{00000000-0005-0000-0000-00001C010000}"/>
    <cellStyle name="%_Priority Return_Cash Input" xfId="293" xr:uid="{00000000-0005-0000-0000-00001D010000}"/>
    <cellStyle name="%_Priority Return_Dist Summary_11.XX.09" xfId="294" xr:uid="{00000000-0005-0000-0000-00001E010000}"/>
    <cellStyle name="%_Priority Return_IC Balance" xfId="295" xr:uid="{00000000-0005-0000-0000-00001F010000}"/>
    <cellStyle name="%_Priority Return_Invested Capital Debt Worksheet" xfId="296" xr:uid="{00000000-0005-0000-0000-000020010000}"/>
    <cellStyle name="%_RCIV Q3 2009 Capital Analysis CURRENT" xfId="297" xr:uid="{00000000-0005-0000-0000-000021010000}"/>
    <cellStyle name="%_RCIV Q3 2009 Capital Analysis CURRENT 2" xfId="298" xr:uid="{00000000-0005-0000-0000-000022010000}"/>
    <cellStyle name="%_Revenue breakout" xfId="299" xr:uid="{00000000-0005-0000-0000-000023010000}"/>
    <cellStyle name="%_Revenue breakout 10" xfId="300" xr:uid="{00000000-0005-0000-0000-000024010000}"/>
    <cellStyle name="%_Revenue breakout 11" xfId="301" xr:uid="{00000000-0005-0000-0000-000025010000}"/>
    <cellStyle name="%_Revenue breakout 12" xfId="302" xr:uid="{00000000-0005-0000-0000-000026010000}"/>
    <cellStyle name="%_Revenue breakout 13" xfId="303" xr:uid="{00000000-0005-0000-0000-000027010000}"/>
    <cellStyle name="%_Revenue breakout 14" xfId="304" xr:uid="{00000000-0005-0000-0000-000028010000}"/>
    <cellStyle name="%_Revenue breakout 15" xfId="305" xr:uid="{00000000-0005-0000-0000-000029010000}"/>
    <cellStyle name="%_Revenue breakout 16" xfId="306" xr:uid="{00000000-0005-0000-0000-00002A010000}"/>
    <cellStyle name="%_Revenue breakout 17" xfId="307" xr:uid="{00000000-0005-0000-0000-00002B010000}"/>
    <cellStyle name="%_Revenue breakout 18" xfId="308" xr:uid="{00000000-0005-0000-0000-00002C010000}"/>
    <cellStyle name="%_Revenue breakout 19" xfId="309" xr:uid="{00000000-0005-0000-0000-00002D010000}"/>
    <cellStyle name="%_Revenue breakout 2" xfId="310" xr:uid="{00000000-0005-0000-0000-00002E010000}"/>
    <cellStyle name="%_Revenue breakout 20" xfId="311" xr:uid="{00000000-0005-0000-0000-00002F010000}"/>
    <cellStyle name="%_Revenue breakout 21" xfId="312" xr:uid="{00000000-0005-0000-0000-000030010000}"/>
    <cellStyle name="%_Revenue breakout 21 2" xfId="313" xr:uid="{00000000-0005-0000-0000-000031010000}"/>
    <cellStyle name="%_Revenue breakout 3" xfId="314" xr:uid="{00000000-0005-0000-0000-000032010000}"/>
    <cellStyle name="%_Revenue breakout 4" xfId="315" xr:uid="{00000000-0005-0000-0000-000033010000}"/>
    <cellStyle name="%_Revenue breakout 5" xfId="316" xr:uid="{00000000-0005-0000-0000-000034010000}"/>
    <cellStyle name="%_Revenue breakout 6" xfId="317" xr:uid="{00000000-0005-0000-0000-000035010000}"/>
    <cellStyle name="%_Revenue breakout 7" xfId="318" xr:uid="{00000000-0005-0000-0000-000036010000}"/>
    <cellStyle name="%_Revenue breakout 8" xfId="319" xr:uid="{00000000-0005-0000-0000-000037010000}"/>
    <cellStyle name="%_Revenue breakout 9" xfId="320" xr:uid="{00000000-0005-0000-0000-000038010000}"/>
    <cellStyle name="%_Revenue breakout_Copy of AGM Dec '09 YTD COF I and II Dep  Liab (1-13-10) (2)" xfId="321" xr:uid="{00000000-0005-0000-0000-000039010000}"/>
    <cellStyle name="%_sharing percentages 12 3 07" xfId="322" xr:uid="{00000000-0005-0000-0000-00003A010000}"/>
    <cellStyle name="%_Sheet1" xfId="323" xr:uid="{00000000-0005-0000-0000-00003B010000}"/>
    <cellStyle name="%_Sheet1 10" xfId="324" xr:uid="{00000000-0005-0000-0000-00003C010000}"/>
    <cellStyle name="%_Sheet1 11" xfId="325" xr:uid="{00000000-0005-0000-0000-00003D010000}"/>
    <cellStyle name="%_Sheet1 12" xfId="326" xr:uid="{00000000-0005-0000-0000-00003E010000}"/>
    <cellStyle name="%_Sheet1 13" xfId="327" xr:uid="{00000000-0005-0000-0000-00003F010000}"/>
    <cellStyle name="%_Sheet1 14" xfId="328" xr:uid="{00000000-0005-0000-0000-000040010000}"/>
    <cellStyle name="%_Sheet1 15" xfId="329" xr:uid="{00000000-0005-0000-0000-000041010000}"/>
    <cellStyle name="%_Sheet1 16" xfId="330" xr:uid="{00000000-0005-0000-0000-000042010000}"/>
    <cellStyle name="%_Sheet1 17" xfId="331" xr:uid="{00000000-0005-0000-0000-000043010000}"/>
    <cellStyle name="%_Sheet1 18" xfId="332" xr:uid="{00000000-0005-0000-0000-000044010000}"/>
    <cellStyle name="%_Sheet1 19" xfId="333" xr:uid="{00000000-0005-0000-0000-000045010000}"/>
    <cellStyle name="%_Sheet1 2" xfId="334" xr:uid="{00000000-0005-0000-0000-000046010000}"/>
    <cellStyle name="%_Sheet1 20" xfId="335" xr:uid="{00000000-0005-0000-0000-000047010000}"/>
    <cellStyle name="%_Sheet1 21" xfId="336" xr:uid="{00000000-0005-0000-0000-000048010000}"/>
    <cellStyle name="%_Sheet1 3" xfId="337" xr:uid="{00000000-0005-0000-0000-000049010000}"/>
    <cellStyle name="%_Sheet1 4" xfId="338" xr:uid="{00000000-0005-0000-0000-00004A010000}"/>
    <cellStyle name="%_Sheet1 5" xfId="339" xr:uid="{00000000-0005-0000-0000-00004B010000}"/>
    <cellStyle name="%_Sheet1 6" xfId="340" xr:uid="{00000000-0005-0000-0000-00004C010000}"/>
    <cellStyle name="%_Sheet1 7" xfId="341" xr:uid="{00000000-0005-0000-0000-00004D010000}"/>
    <cellStyle name="%_Sheet1 8" xfId="342" xr:uid="{00000000-0005-0000-0000-00004E010000}"/>
    <cellStyle name="%_Sheet1 9" xfId="343" xr:uid="{00000000-0005-0000-0000-00004F010000}"/>
    <cellStyle name="%_Sheet1_Broadleaf Watefall 9-30-09" xfId="344" xr:uid="{00000000-0005-0000-0000-000050010000}"/>
    <cellStyle name="%_Sheet1_Cash Input" xfId="345" xr:uid="{00000000-0005-0000-0000-000051010000}"/>
    <cellStyle name="%_Sheet1_Dist Summary_11.XX.09" xfId="346" xr:uid="{00000000-0005-0000-0000-000052010000}"/>
    <cellStyle name="%_Sheet1_IC Balance" xfId="347" xr:uid="{00000000-0005-0000-0000-000053010000}"/>
    <cellStyle name="%_Sheet1_Invested Capital Debt Worksheet" xfId="348" xr:uid="{00000000-0005-0000-0000-000054010000}"/>
    <cellStyle name="%_Sheet2" xfId="349" xr:uid="{00000000-0005-0000-0000-000055010000}"/>
    <cellStyle name="%_Sheet2 10" xfId="350" xr:uid="{00000000-0005-0000-0000-000056010000}"/>
    <cellStyle name="%_Sheet2 11" xfId="351" xr:uid="{00000000-0005-0000-0000-000057010000}"/>
    <cellStyle name="%_Sheet2 12" xfId="352" xr:uid="{00000000-0005-0000-0000-000058010000}"/>
    <cellStyle name="%_Sheet2 13" xfId="353" xr:uid="{00000000-0005-0000-0000-000059010000}"/>
    <cellStyle name="%_Sheet2 14" xfId="354" xr:uid="{00000000-0005-0000-0000-00005A010000}"/>
    <cellStyle name="%_Sheet2 15" xfId="355" xr:uid="{00000000-0005-0000-0000-00005B010000}"/>
    <cellStyle name="%_Sheet2 16" xfId="356" xr:uid="{00000000-0005-0000-0000-00005C010000}"/>
    <cellStyle name="%_Sheet2 17" xfId="357" xr:uid="{00000000-0005-0000-0000-00005D010000}"/>
    <cellStyle name="%_Sheet2 18" xfId="358" xr:uid="{00000000-0005-0000-0000-00005E010000}"/>
    <cellStyle name="%_Sheet2 19" xfId="359" xr:uid="{00000000-0005-0000-0000-00005F010000}"/>
    <cellStyle name="%_Sheet2 2" xfId="360" xr:uid="{00000000-0005-0000-0000-000060010000}"/>
    <cellStyle name="%_Sheet2 20" xfId="361" xr:uid="{00000000-0005-0000-0000-000061010000}"/>
    <cellStyle name="%_Sheet2 21" xfId="362" xr:uid="{00000000-0005-0000-0000-000062010000}"/>
    <cellStyle name="%_Sheet2 3" xfId="363" xr:uid="{00000000-0005-0000-0000-000063010000}"/>
    <cellStyle name="%_Sheet2 4" xfId="364" xr:uid="{00000000-0005-0000-0000-000064010000}"/>
    <cellStyle name="%_Sheet2 5" xfId="365" xr:uid="{00000000-0005-0000-0000-000065010000}"/>
    <cellStyle name="%_Sheet2 6" xfId="366" xr:uid="{00000000-0005-0000-0000-000066010000}"/>
    <cellStyle name="%_Sheet2 7" xfId="367" xr:uid="{00000000-0005-0000-0000-000067010000}"/>
    <cellStyle name="%_Sheet2 8" xfId="368" xr:uid="{00000000-0005-0000-0000-000068010000}"/>
    <cellStyle name="%_Sheet2 9" xfId="369" xr:uid="{00000000-0005-0000-0000-000069010000}"/>
    <cellStyle name="%_Sheet2_Broadleaf Watefall 9-30-09" xfId="370" xr:uid="{00000000-0005-0000-0000-00006A010000}"/>
    <cellStyle name="%_Sheet2_Cash Input" xfId="371" xr:uid="{00000000-0005-0000-0000-00006B010000}"/>
    <cellStyle name="%_Sheet2_Dist Summary_11.XX.09" xfId="372" xr:uid="{00000000-0005-0000-0000-00006C010000}"/>
    <cellStyle name="%_Sheet2_IC Balance" xfId="373" xr:uid="{00000000-0005-0000-0000-00006D010000}"/>
    <cellStyle name="%_Sheet2_Invested Capital Debt Worksheet" xfId="374" xr:uid="{00000000-0005-0000-0000-00006E010000}"/>
    <cellStyle name="%_Sheet3" xfId="375" xr:uid="{00000000-0005-0000-0000-00006F010000}"/>
    <cellStyle name="%_Sheet3 2" xfId="376" xr:uid="{00000000-0005-0000-0000-000070010000}"/>
    <cellStyle name="%_SOMA_ASIA_VIF Advisors Taxable Projection" xfId="377" xr:uid="{00000000-0005-0000-0000-000071010000}"/>
    <cellStyle name="%_Summary" xfId="378" xr:uid="{00000000-0005-0000-0000-000072010000}"/>
    <cellStyle name="%_Summary 2" xfId="379" xr:uid="{00000000-0005-0000-0000-000073010000}"/>
    <cellStyle name="%_SVF Advisors" xfId="380" xr:uid="{00000000-0005-0000-0000-000074010000}"/>
    <cellStyle name="%_TRA-9_30_07 upd 11 25 for 41% 64 385%" xfId="381" xr:uid="{00000000-0005-0000-0000-000075010000}"/>
    <cellStyle name="******************************************" xfId="382" xr:uid="{00000000-0005-0000-0000-000076010000}"/>
    <cellStyle name="****************************************** 10" xfId="383" xr:uid="{00000000-0005-0000-0000-000077010000}"/>
    <cellStyle name="****************************************** 11" xfId="384" xr:uid="{00000000-0005-0000-0000-000078010000}"/>
    <cellStyle name="****************************************** 12" xfId="385" xr:uid="{00000000-0005-0000-0000-000079010000}"/>
    <cellStyle name="****************************************** 13" xfId="386" xr:uid="{00000000-0005-0000-0000-00007A010000}"/>
    <cellStyle name="****************************************** 14" xfId="387" xr:uid="{00000000-0005-0000-0000-00007B010000}"/>
    <cellStyle name="****************************************** 15" xfId="388" xr:uid="{00000000-0005-0000-0000-00007C010000}"/>
    <cellStyle name="****************************************** 16" xfId="389" xr:uid="{00000000-0005-0000-0000-00007D010000}"/>
    <cellStyle name="****************************************** 17" xfId="390" xr:uid="{00000000-0005-0000-0000-00007E010000}"/>
    <cellStyle name="****************************************** 18" xfId="391" xr:uid="{00000000-0005-0000-0000-00007F010000}"/>
    <cellStyle name="****************************************** 19" xfId="392" xr:uid="{00000000-0005-0000-0000-000080010000}"/>
    <cellStyle name="****************************************** 2" xfId="393" xr:uid="{00000000-0005-0000-0000-000081010000}"/>
    <cellStyle name="****************************************** 20" xfId="394" xr:uid="{00000000-0005-0000-0000-000082010000}"/>
    <cellStyle name="****************************************** 21" xfId="395" xr:uid="{00000000-0005-0000-0000-000083010000}"/>
    <cellStyle name="****************************************** 21 2" xfId="396" xr:uid="{00000000-0005-0000-0000-000084010000}"/>
    <cellStyle name="****************************************** 3" xfId="397" xr:uid="{00000000-0005-0000-0000-000085010000}"/>
    <cellStyle name="****************************************** 4" xfId="398" xr:uid="{00000000-0005-0000-0000-000086010000}"/>
    <cellStyle name="****************************************** 5" xfId="399" xr:uid="{00000000-0005-0000-0000-000087010000}"/>
    <cellStyle name="****************************************** 6" xfId="400" xr:uid="{00000000-0005-0000-0000-000088010000}"/>
    <cellStyle name="****************************************** 7" xfId="401" xr:uid="{00000000-0005-0000-0000-000089010000}"/>
    <cellStyle name="****************************************** 8" xfId="402" xr:uid="{00000000-0005-0000-0000-00008A010000}"/>
    <cellStyle name="****************************************** 9" xfId="403" xr:uid="{00000000-0005-0000-0000-00008B010000}"/>
    <cellStyle name="､@ｯ・templete" xfId="404" xr:uid="{00000000-0005-0000-0000-00008C010000}"/>
    <cellStyle name="､@ｯ・templete 10" xfId="405" xr:uid="{00000000-0005-0000-0000-00008D010000}"/>
    <cellStyle name="､@ｯ・templete 11" xfId="406" xr:uid="{00000000-0005-0000-0000-00008E010000}"/>
    <cellStyle name="､@ｯ・templete 12" xfId="407" xr:uid="{00000000-0005-0000-0000-00008F010000}"/>
    <cellStyle name="､@ｯ・templete 13" xfId="408" xr:uid="{00000000-0005-0000-0000-000090010000}"/>
    <cellStyle name="､@ｯ・templete 14" xfId="409" xr:uid="{00000000-0005-0000-0000-000091010000}"/>
    <cellStyle name="､@ｯ・templete 15" xfId="410" xr:uid="{00000000-0005-0000-0000-000092010000}"/>
    <cellStyle name="､@ｯ・templete 16" xfId="411" xr:uid="{00000000-0005-0000-0000-000093010000}"/>
    <cellStyle name="､@ｯ・templete 17" xfId="412" xr:uid="{00000000-0005-0000-0000-000094010000}"/>
    <cellStyle name="､@ｯ・templete 18" xfId="413" xr:uid="{00000000-0005-0000-0000-000095010000}"/>
    <cellStyle name="､@ｯ・templete 19" xfId="414" xr:uid="{00000000-0005-0000-0000-000096010000}"/>
    <cellStyle name="､@ｯ・templete 2" xfId="415" xr:uid="{00000000-0005-0000-0000-000097010000}"/>
    <cellStyle name="､@ｯ・templete 2 2" xfId="416" xr:uid="{00000000-0005-0000-0000-000098010000}"/>
    <cellStyle name="､@ｯ・templete 20" xfId="417" xr:uid="{00000000-0005-0000-0000-000099010000}"/>
    <cellStyle name="､@ｯ・templete 21" xfId="418" xr:uid="{00000000-0005-0000-0000-00009A010000}"/>
    <cellStyle name="､@ｯ・templete 22" xfId="419" xr:uid="{00000000-0005-0000-0000-00009B010000}"/>
    <cellStyle name="､@ｯ・templete 23" xfId="420" xr:uid="{00000000-0005-0000-0000-00009C010000}"/>
    <cellStyle name="､@ｯ・templete 24" xfId="421" xr:uid="{00000000-0005-0000-0000-00009D010000}"/>
    <cellStyle name="､@ｯ・templete 25" xfId="422" xr:uid="{00000000-0005-0000-0000-00009E010000}"/>
    <cellStyle name="､@ｯ・templete 26" xfId="423" xr:uid="{00000000-0005-0000-0000-00009F010000}"/>
    <cellStyle name="､@ｯ・templete 27" xfId="424" xr:uid="{00000000-0005-0000-0000-0000A0010000}"/>
    <cellStyle name="､@ｯ・templete 28" xfId="425" xr:uid="{00000000-0005-0000-0000-0000A1010000}"/>
    <cellStyle name="､@ｯ・templete 29" xfId="426" xr:uid="{00000000-0005-0000-0000-0000A2010000}"/>
    <cellStyle name="､@ｯ・templete 3" xfId="427" xr:uid="{00000000-0005-0000-0000-0000A3010000}"/>
    <cellStyle name="､@ｯ・templete 3 2" xfId="428" xr:uid="{00000000-0005-0000-0000-0000A4010000}"/>
    <cellStyle name="､@ｯ・templete 30" xfId="429" xr:uid="{00000000-0005-0000-0000-0000A5010000}"/>
    <cellStyle name="､@ｯ・templete 31" xfId="430" xr:uid="{00000000-0005-0000-0000-0000A6010000}"/>
    <cellStyle name="､@ｯ・templete 31 2" xfId="431" xr:uid="{00000000-0005-0000-0000-0000A7010000}"/>
    <cellStyle name="､@ｯ・templete 32" xfId="432" xr:uid="{00000000-0005-0000-0000-0000A8010000}"/>
    <cellStyle name="､@ｯ・templete 33" xfId="433" xr:uid="{00000000-0005-0000-0000-0000A9010000}"/>
    <cellStyle name="､@ｯ・templete 34" xfId="434" xr:uid="{00000000-0005-0000-0000-0000AA010000}"/>
    <cellStyle name="､@ｯ・templete 35" xfId="435" xr:uid="{00000000-0005-0000-0000-0000AB010000}"/>
    <cellStyle name="､@ｯ・templete 36" xfId="436" xr:uid="{00000000-0005-0000-0000-0000AC010000}"/>
    <cellStyle name="､@ｯ・templete 37" xfId="437" xr:uid="{00000000-0005-0000-0000-0000AD010000}"/>
    <cellStyle name="､@ｯ・templete 38" xfId="438" xr:uid="{00000000-0005-0000-0000-0000AE010000}"/>
    <cellStyle name="､@ｯ・templete 39" xfId="439" xr:uid="{00000000-0005-0000-0000-0000AF010000}"/>
    <cellStyle name="､@ｯ・templete 4" xfId="440" xr:uid="{00000000-0005-0000-0000-0000B0010000}"/>
    <cellStyle name="､@ｯ・templete 40" xfId="441" xr:uid="{00000000-0005-0000-0000-0000B1010000}"/>
    <cellStyle name="､@ｯ・templete 5" xfId="442" xr:uid="{00000000-0005-0000-0000-0000B2010000}"/>
    <cellStyle name="､@ｯ・templete 6" xfId="443" xr:uid="{00000000-0005-0000-0000-0000B3010000}"/>
    <cellStyle name="､@ｯ・templete 7" xfId="444" xr:uid="{00000000-0005-0000-0000-0000B4010000}"/>
    <cellStyle name="､@ｯ・templete 8" xfId="445" xr:uid="{00000000-0005-0000-0000-0000B5010000}"/>
    <cellStyle name="､@ｯ・templete 9" xfId="446" xr:uid="{00000000-0005-0000-0000-0000B6010000}"/>
    <cellStyle name="､@ｯ・templete_Cash Input" xfId="447" xr:uid="{00000000-0005-0000-0000-0000B7010000}"/>
    <cellStyle name="､d､ﾀｦ・0]_templete" xfId="448" xr:uid="{00000000-0005-0000-0000-0000B8010000}"/>
    <cellStyle name="､d､ﾀｦ・templete" xfId="449" xr:uid="{00000000-0005-0000-0000-0000B9010000}"/>
    <cellStyle name="､d､ﾀｦ・templete 10" xfId="450" xr:uid="{00000000-0005-0000-0000-0000BA010000}"/>
    <cellStyle name="､d､ﾀｦ・templete 11" xfId="451" xr:uid="{00000000-0005-0000-0000-0000BB010000}"/>
    <cellStyle name="､d､ﾀｦ・templete 12" xfId="452" xr:uid="{00000000-0005-0000-0000-0000BC010000}"/>
    <cellStyle name="､d､ﾀｦ・templete 13" xfId="453" xr:uid="{00000000-0005-0000-0000-0000BD010000}"/>
    <cellStyle name="､d､ﾀｦ・templete 14" xfId="454" xr:uid="{00000000-0005-0000-0000-0000BE010000}"/>
    <cellStyle name="､d､ﾀｦ・templete 15" xfId="455" xr:uid="{00000000-0005-0000-0000-0000BF010000}"/>
    <cellStyle name="､d､ﾀｦ・templete 16" xfId="456" xr:uid="{00000000-0005-0000-0000-0000C0010000}"/>
    <cellStyle name="､d､ﾀｦ・templete 17" xfId="457" xr:uid="{00000000-0005-0000-0000-0000C1010000}"/>
    <cellStyle name="､d､ﾀｦ・templete 18" xfId="458" xr:uid="{00000000-0005-0000-0000-0000C2010000}"/>
    <cellStyle name="､d､ﾀｦ・templete 19" xfId="459" xr:uid="{00000000-0005-0000-0000-0000C3010000}"/>
    <cellStyle name="､d､ﾀｦ・templete 2" xfId="460" xr:uid="{00000000-0005-0000-0000-0000C4010000}"/>
    <cellStyle name="､d､ﾀｦ・templete 2 2" xfId="461" xr:uid="{00000000-0005-0000-0000-0000C5010000}"/>
    <cellStyle name="､d､ﾀｦ・templete 20" xfId="462" xr:uid="{00000000-0005-0000-0000-0000C6010000}"/>
    <cellStyle name="､d､ﾀｦ・templete 21" xfId="463" xr:uid="{00000000-0005-0000-0000-0000C7010000}"/>
    <cellStyle name="､d､ﾀｦ・templete 22" xfId="464" xr:uid="{00000000-0005-0000-0000-0000C8010000}"/>
    <cellStyle name="､d､ﾀｦ・templete 23" xfId="465" xr:uid="{00000000-0005-0000-0000-0000C9010000}"/>
    <cellStyle name="､d､ﾀｦ・templete 24" xfId="466" xr:uid="{00000000-0005-0000-0000-0000CA010000}"/>
    <cellStyle name="､d､ﾀｦ・templete 25" xfId="467" xr:uid="{00000000-0005-0000-0000-0000CB010000}"/>
    <cellStyle name="､d､ﾀｦ・templete 26" xfId="468" xr:uid="{00000000-0005-0000-0000-0000CC010000}"/>
    <cellStyle name="､d､ﾀｦ・templete 27" xfId="469" xr:uid="{00000000-0005-0000-0000-0000CD010000}"/>
    <cellStyle name="､d､ﾀｦ・templete 28" xfId="470" xr:uid="{00000000-0005-0000-0000-0000CE010000}"/>
    <cellStyle name="､d､ﾀｦ・templete 29" xfId="471" xr:uid="{00000000-0005-0000-0000-0000CF010000}"/>
    <cellStyle name="､d､ﾀｦ・templete 3" xfId="472" xr:uid="{00000000-0005-0000-0000-0000D0010000}"/>
    <cellStyle name="､d､ﾀｦ・templete 3 2" xfId="473" xr:uid="{00000000-0005-0000-0000-0000D1010000}"/>
    <cellStyle name="､d､ﾀｦ・templete 30" xfId="474" xr:uid="{00000000-0005-0000-0000-0000D2010000}"/>
    <cellStyle name="､d､ﾀｦ・templete 31" xfId="475" xr:uid="{00000000-0005-0000-0000-0000D3010000}"/>
    <cellStyle name="､d､ﾀｦ・templete 32" xfId="476" xr:uid="{00000000-0005-0000-0000-0000D4010000}"/>
    <cellStyle name="､d､ﾀｦ・templete 33" xfId="477" xr:uid="{00000000-0005-0000-0000-0000D5010000}"/>
    <cellStyle name="､d､ﾀｦ・templete 34" xfId="478" xr:uid="{00000000-0005-0000-0000-0000D6010000}"/>
    <cellStyle name="､d､ﾀｦ・templete 35" xfId="479" xr:uid="{00000000-0005-0000-0000-0000D7010000}"/>
    <cellStyle name="､d､ﾀｦ・templete 36" xfId="480" xr:uid="{00000000-0005-0000-0000-0000D8010000}"/>
    <cellStyle name="､d､ﾀｦ・templete 37" xfId="481" xr:uid="{00000000-0005-0000-0000-0000D9010000}"/>
    <cellStyle name="､d､ﾀｦ・templete 38" xfId="482" xr:uid="{00000000-0005-0000-0000-0000DA010000}"/>
    <cellStyle name="､d､ﾀｦ・templete 39" xfId="483" xr:uid="{00000000-0005-0000-0000-0000DB010000}"/>
    <cellStyle name="､d､ﾀｦ・templete 4" xfId="484" xr:uid="{00000000-0005-0000-0000-0000DC010000}"/>
    <cellStyle name="､d､ﾀｦ・templete 40" xfId="485" xr:uid="{00000000-0005-0000-0000-0000DD010000}"/>
    <cellStyle name="､d､ﾀｦ・templete 5" xfId="486" xr:uid="{00000000-0005-0000-0000-0000DE010000}"/>
    <cellStyle name="､d､ﾀｦ・templete 6" xfId="487" xr:uid="{00000000-0005-0000-0000-0000DF010000}"/>
    <cellStyle name="､d､ﾀｦ・templete 7" xfId="488" xr:uid="{00000000-0005-0000-0000-0000E0010000}"/>
    <cellStyle name="､d､ﾀｦ・templete 8" xfId="489" xr:uid="{00000000-0005-0000-0000-0000E1010000}"/>
    <cellStyle name="､d､ﾀｦ・templete 9" xfId="490" xr:uid="{00000000-0005-0000-0000-0000E2010000}"/>
    <cellStyle name=";;;" xfId="491" xr:uid="{00000000-0005-0000-0000-0000E3010000}"/>
    <cellStyle name="?? [0]_RESULTS" xfId="492" xr:uid="{00000000-0005-0000-0000-0000E4010000}"/>
    <cellStyle name="???[0]_RESULTS" xfId="493" xr:uid="{00000000-0005-0000-0000-0000E5010000}"/>
    <cellStyle name="???_RESULTS" xfId="494" xr:uid="{00000000-0005-0000-0000-0000E6010000}"/>
    <cellStyle name="??_iij_base_bs(2" xfId="495" xr:uid="{00000000-0005-0000-0000-0000E7010000}"/>
    <cellStyle name="?Q\?1@" xfId="496" xr:uid="{00000000-0005-0000-0000-0000E8010000}"/>
    <cellStyle name="_" xfId="497" xr:uid="{00000000-0005-0000-0000-0000E9010000}"/>
    <cellStyle name="_%(SignOnly)" xfId="498" xr:uid="{00000000-0005-0000-0000-0000EA010000}"/>
    <cellStyle name="_%(SignOnly)_AGM tax file 3 25 08" xfId="499" xr:uid="{00000000-0005-0000-0000-0000EB010000}"/>
    <cellStyle name="_%(SignOnly)_AIF VII Partner Allocations tax 11-21-08 (Draft)" xfId="500" xr:uid="{00000000-0005-0000-0000-0000EC010000}"/>
    <cellStyle name="_%(SignOnly)_Apollo 2007 Year end tax estimate" xfId="501" xr:uid="{00000000-0005-0000-0000-0000ED010000}"/>
    <cellStyle name="_%(SignOnly)_LeverageSource Analysis" xfId="502" xr:uid="{00000000-0005-0000-0000-0000EE010000}"/>
    <cellStyle name="_%(SignSpaceOnly)" xfId="503" xr:uid="{00000000-0005-0000-0000-0000EF010000}"/>
    <cellStyle name="_%(SignSpaceOnly)_AGM tax file 3 25 08" xfId="504" xr:uid="{00000000-0005-0000-0000-0000F0010000}"/>
    <cellStyle name="_%(SignSpaceOnly)_AIF VII Partner Allocations tax 11-21-08 (Draft)" xfId="505" xr:uid="{00000000-0005-0000-0000-0000F1010000}"/>
    <cellStyle name="_%(SignSpaceOnly)_Apollo 2007 Year end tax estimate" xfId="506" xr:uid="{00000000-0005-0000-0000-0000F2010000}"/>
    <cellStyle name="_%(SignSpaceOnly)_LeverageSource Analysis" xfId="507" xr:uid="{00000000-0005-0000-0000-0000F3010000}"/>
    <cellStyle name="-_{6} Carry" xfId="508" xr:uid="{00000000-0005-0000-0000-0000F4010000}"/>
    <cellStyle name="-_{6} Clawback" xfId="509" xr:uid="{00000000-0005-0000-0000-0000F5010000}"/>
    <cellStyle name="_~7048524" xfId="510" xr:uid="{00000000-0005-0000-0000-0000F6010000}"/>
    <cellStyle name="_~7048524 10" xfId="511" xr:uid="{00000000-0005-0000-0000-0000F7010000}"/>
    <cellStyle name="_~7048524 11" xfId="512" xr:uid="{00000000-0005-0000-0000-0000F8010000}"/>
    <cellStyle name="_~7048524 12" xfId="513" xr:uid="{00000000-0005-0000-0000-0000F9010000}"/>
    <cellStyle name="_~7048524 13" xfId="514" xr:uid="{00000000-0005-0000-0000-0000FA010000}"/>
    <cellStyle name="_~7048524 14" xfId="515" xr:uid="{00000000-0005-0000-0000-0000FB010000}"/>
    <cellStyle name="_~7048524 15" xfId="516" xr:uid="{00000000-0005-0000-0000-0000FC010000}"/>
    <cellStyle name="_~7048524 16" xfId="517" xr:uid="{00000000-0005-0000-0000-0000FD010000}"/>
    <cellStyle name="_~7048524 17" xfId="518" xr:uid="{00000000-0005-0000-0000-0000FE010000}"/>
    <cellStyle name="_~7048524 18" xfId="519" xr:uid="{00000000-0005-0000-0000-0000FF010000}"/>
    <cellStyle name="_~7048524 19" xfId="520" xr:uid="{00000000-0005-0000-0000-000000020000}"/>
    <cellStyle name="_~7048524 2" xfId="521" xr:uid="{00000000-0005-0000-0000-000001020000}"/>
    <cellStyle name="_~7048524 20" xfId="522" xr:uid="{00000000-0005-0000-0000-000002020000}"/>
    <cellStyle name="_~7048524 21" xfId="523" xr:uid="{00000000-0005-0000-0000-000003020000}"/>
    <cellStyle name="_~7048524 21 2" xfId="524" xr:uid="{00000000-0005-0000-0000-000004020000}"/>
    <cellStyle name="_~7048524 3" xfId="525" xr:uid="{00000000-0005-0000-0000-000005020000}"/>
    <cellStyle name="_~7048524 4" xfId="526" xr:uid="{00000000-0005-0000-0000-000006020000}"/>
    <cellStyle name="_~7048524 5" xfId="527" xr:uid="{00000000-0005-0000-0000-000007020000}"/>
    <cellStyle name="_~7048524 6" xfId="528" xr:uid="{00000000-0005-0000-0000-000008020000}"/>
    <cellStyle name="_~7048524 7" xfId="529" xr:uid="{00000000-0005-0000-0000-000009020000}"/>
    <cellStyle name="_~7048524 8" xfId="530" xr:uid="{00000000-0005-0000-0000-00000A020000}"/>
    <cellStyle name="_~7048524 9" xfId="531" xr:uid="{00000000-0005-0000-0000-00000B020000}"/>
    <cellStyle name="_~7048524_{6} Clawback" xfId="532" xr:uid="{00000000-0005-0000-0000-00000C020000}"/>
    <cellStyle name="_~7048524_2.10.10 LS Distribution" xfId="533" xr:uid="{00000000-0005-0000-0000-00000D020000}"/>
    <cellStyle name="_~7048524_2007 NYC tax payable 1 8 08" xfId="534" xr:uid="{00000000-0005-0000-0000-00000E020000}"/>
    <cellStyle name="_~7048524_2007 NYC tax payable 1 8 08_Cash Summary AIF IV and AIF VI - 05.14.09 v2" xfId="535" xr:uid="{00000000-0005-0000-0000-00000F020000}"/>
    <cellStyle name="_~7048524_2007 NYC tax payable 1 8 08_PE Funds Cash 04 17 09 Ken V Portrait 4-30-09v4" xfId="536" xr:uid="{00000000-0005-0000-0000-000010020000}"/>
    <cellStyle name="_~7048524_2011 Q1 Monitoring Fees v3" xfId="537" xr:uid="{00000000-0005-0000-0000-000011020000}"/>
    <cellStyle name="_~7048524_Advisors VII DECEMBER on 3-31-09 8pm" xfId="538" xr:uid="{00000000-0005-0000-0000-000012020000}"/>
    <cellStyle name="_~7048524_AGM tax file 3 25 08" xfId="539" xr:uid="{00000000-0005-0000-0000-000013020000}"/>
    <cellStyle name="_~7048524_AGM tax file 3 25 08_Cash Summary AIF IV and AIF VI - 05.14.09 v2" xfId="540" xr:uid="{00000000-0005-0000-0000-000014020000}"/>
    <cellStyle name="_~7048524_AGM tax file 3 25 08_PE Funds Cash 04 17 09 Ken V Portrait 4-30-09v4" xfId="541" xr:uid="{00000000-0005-0000-0000-000015020000}"/>
    <cellStyle name="_~7048524_AIF IV Financial Highlights 12-31-08 v4" xfId="542" xr:uid="{00000000-0005-0000-0000-000016020000}"/>
    <cellStyle name="_~7048524_AIF IV Financial Highlights 12-31-08 v4_Apollo Investment Fund IV  Q3 2009 Capital Analysis CURRENT" xfId="543" xr:uid="{00000000-0005-0000-0000-000017020000}"/>
    <cellStyle name="_~7048524_AIF IV Financial Highlights 12-31-08 v4_Apollo Investment Fund IV  Q3 2009 Capital Analysis iPCS &amp; URI Distribution" xfId="544" xr:uid="{00000000-0005-0000-0000-000018020000}"/>
    <cellStyle name="_~7048524_AIF IV Financial Highlights 12-31-08 v4_iPCs#1-Remaining" xfId="545" xr:uid="{00000000-0005-0000-0000-000019020000}"/>
    <cellStyle name="_~7048524_AIF V 1Q09 Cash - FINAL" xfId="546" xr:uid="{00000000-0005-0000-0000-00001A020000}"/>
    <cellStyle name="_~7048524_AIF V Professional Fees and other operating expenses(5)" xfId="547" xr:uid="{00000000-0005-0000-0000-00001B020000}"/>
    <cellStyle name="_~7048524_AIF VI  VII Summary Dec 2008 v3" xfId="548" xr:uid="{00000000-0005-0000-0000-00001C020000}"/>
    <cellStyle name="_~7048524_AIF VI  VII Summary Dec 2008 v3 10" xfId="549" xr:uid="{00000000-0005-0000-0000-00001D020000}"/>
    <cellStyle name="_~7048524_AIF VI  VII Summary Dec 2008 v3 11" xfId="550" xr:uid="{00000000-0005-0000-0000-00001E020000}"/>
    <cellStyle name="_~7048524_AIF VI  VII Summary Dec 2008 v3 12" xfId="551" xr:uid="{00000000-0005-0000-0000-00001F020000}"/>
    <cellStyle name="_~7048524_AIF VI  VII Summary Dec 2008 v3 13" xfId="552" xr:uid="{00000000-0005-0000-0000-000020020000}"/>
    <cellStyle name="_~7048524_AIF VI  VII Summary Dec 2008 v3 14" xfId="553" xr:uid="{00000000-0005-0000-0000-000021020000}"/>
    <cellStyle name="_~7048524_AIF VI  VII Summary Dec 2008 v3 15" xfId="554" xr:uid="{00000000-0005-0000-0000-000022020000}"/>
    <cellStyle name="_~7048524_AIF VI  VII Summary Dec 2008 v3 16" xfId="555" xr:uid="{00000000-0005-0000-0000-000023020000}"/>
    <cellStyle name="_~7048524_AIF VI  VII Summary Dec 2008 v3 17" xfId="556" xr:uid="{00000000-0005-0000-0000-000024020000}"/>
    <cellStyle name="_~7048524_AIF VI  VII Summary Dec 2008 v3 18" xfId="557" xr:uid="{00000000-0005-0000-0000-000025020000}"/>
    <cellStyle name="_~7048524_AIF VI  VII Summary Dec 2008 v3 19" xfId="558" xr:uid="{00000000-0005-0000-0000-000026020000}"/>
    <cellStyle name="_~7048524_AIF VI  VII Summary Dec 2008 v3 2" xfId="559" xr:uid="{00000000-0005-0000-0000-000027020000}"/>
    <cellStyle name="_~7048524_AIF VI  VII Summary Dec 2008 v3 20" xfId="560" xr:uid="{00000000-0005-0000-0000-000028020000}"/>
    <cellStyle name="_~7048524_AIF VI  VII Summary Dec 2008 v3 21" xfId="561" xr:uid="{00000000-0005-0000-0000-000029020000}"/>
    <cellStyle name="_~7048524_AIF VI  VII Summary Dec 2008 v3 3" xfId="562" xr:uid="{00000000-0005-0000-0000-00002A020000}"/>
    <cellStyle name="_~7048524_AIF VI  VII Summary Dec 2008 v3 4" xfId="563" xr:uid="{00000000-0005-0000-0000-00002B020000}"/>
    <cellStyle name="_~7048524_AIF VI  VII Summary Dec 2008 v3 5" xfId="564" xr:uid="{00000000-0005-0000-0000-00002C020000}"/>
    <cellStyle name="_~7048524_AIF VI  VII Summary Dec 2008 v3 6" xfId="565" xr:uid="{00000000-0005-0000-0000-00002D020000}"/>
    <cellStyle name="_~7048524_AIF VI  VII Summary Dec 2008 v3 7" xfId="566" xr:uid="{00000000-0005-0000-0000-00002E020000}"/>
    <cellStyle name="_~7048524_AIF VI  VII Summary Dec 2008 v3 8" xfId="567" xr:uid="{00000000-0005-0000-0000-00002F020000}"/>
    <cellStyle name="_~7048524_AIF VI  VII Summary Dec 2008 v3 9" xfId="568" xr:uid="{00000000-0005-0000-0000-000030020000}"/>
    <cellStyle name="_~7048524_AIF VI  VII Summary Dec 2008 v3_Cash Input" xfId="569" xr:uid="{00000000-0005-0000-0000-000031020000}"/>
    <cellStyle name="_~7048524_AIF VI  VII Summary Dec 2008 v3_MMF Income" xfId="570" xr:uid="{00000000-0005-0000-0000-000032020000}"/>
    <cellStyle name="_~7048524_AIF VI  VII Summary Dec 2008 v3_Realized Gain Loss" xfId="571" xr:uid="{00000000-0005-0000-0000-000033020000}"/>
    <cellStyle name="_~7048524_AIF VI CBA  11-13-08 After Cash Adj (2)" xfId="572" xr:uid="{00000000-0005-0000-0000-000034020000}"/>
    <cellStyle name="_~7048524_AIF VI CBA  11-13-08 After Cash Adj (2)_Cash Summary AIF IV and AIF VI - 05.14.09 v2" xfId="573" xr:uid="{00000000-0005-0000-0000-000035020000}"/>
    <cellStyle name="_~7048524_AIF VI CBA  11-13-08 After Cash Adj (2)_PE Funds Cash 04 17 09 Ken V Portrait 4-30-09v4" xfId="574" xr:uid="{00000000-0005-0000-0000-000036020000}"/>
    <cellStyle name="_~7048524_AIF VI CBA 3.20.08" xfId="575" xr:uid="{00000000-0005-0000-0000-000037020000}"/>
    <cellStyle name="_~7048524_AIF VI CBA 3.20.08_MMF Income" xfId="576" xr:uid="{00000000-0005-0000-0000-000038020000}"/>
    <cellStyle name="_~7048524_AIF VI CBA 3.20.08_Realized Gain Loss" xfId="577" xr:uid="{00000000-0005-0000-0000-000039020000}"/>
    <cellStyle name="_~7048524_AIF VII Capital Balance Analysis INCEPTION to 09-30-08 on 10-13-08 8am" xfId="578" xr:uid="{00000000-0005-0000-0000-00003A020000}"/>
    <cellStyle name="_~7048524_AIF VII Capital Balance Analysis INCEPTION to 09-30-08 on 10-13-08 8am 2" xfId="579" xr:uid="{00000000-0005-0000-0000-00003B020000}"/>
    <cellStyle name="_~7048524_AIF VII Capital Balance Analysis INCEPTION to 09-30-08 on 10-13-08 8am_MMF Income" xfId="580" xr:uid="{00000000-0005-0000-0000-00003C020000}"/>
    <cellStyle name="_~7048524_AIF VII Capital Balance Analysis INCEPTION to 09-30-08 on 10-13-08 8am_Realized Gain Loss" xfId="581" xr:uid="{00000000-0005-0000-0000-00003D020000}"/>
    <cellStyle name="_~7048524_Andy Affrick - Schedulev2" xfId="582" xr:uid="{00000000-0005-0000-0000-00003E020000}"/>
    <cellStyle name="_~7048524_Apollo 2007 Q4 Tax Est 03 03 08 Sherley" xfId="583" xr:uid="{00000000-0005-0000-0000-00003F020000}"/>
    <cellStyle name="_~7048524_Apollo 2007 Q4 Tax Est 03 03 08 Sherley_Cash Summary AIF IV and AIF VI - 05.14.09 v2" xfId="584" xr:uid="{00000000-0005-0000-0000-000040020000}"/>
    <cellStyle name="_~7048524_Apollo 2007 Q4 Tax Est 03 03 08 Sherley_PE Funds Cash 04 17 09 Ken V Portrait 4-30-09v4" xfId="585" xr:uid="{00000000-0005-0000-0000-000041020000}"/>
    <cellStyle name="_~7048524_Apollo 2007 Q4 Tax Est 2 28 08" xfId="586" xr:uid="{00000000-0005-0000-0000-000042020000}"/>
    <cellStyle name="_~7048524_Apollo 2007 Q4 Tax Est 2 28 08_Cash Summary AIF IV and AIF VI - 05.14.09 v2" xfId="587" xr:uid="{00000000-0005-0000-0000-000043020000}"/>
    <cellStyle name="_~7048524_Apollo 2007 Q4 Tax Est 2 28 08_PE Funds Cash 04 17 09 Ken V Portrait 4-30-09v4" xfId="588" xr:uid="{00000000-0005-0000-0000-000044020000}"/>
    <cellStyle name="_~7048524_Apollo Advisors IV 12-31-08 GAAP TB Final" xfId="589" xr:uid="{00000000-0005-0000-0000-000045020000}"/>
    <cellStyle name="_~7048524_Apollo Advisors IV 12-31-08 TB (Revised for Aggr PR)" xfId="590" xr:uid="{00000000-0005-0000-0000-000046020000}"/>
    <cellStyle name="_~7048524_Apollo Advisors IV 6-30-09 GAAP TB" xfId="591" xr:uid="{00000000-0005-0000-0000-000047020000}"/>
    <cellStyle name="_~7048524_Apollo Advisors V 09-30-08 CURRENT" xfId="592" xr:uid="{00000000-0005-0000-0000-000048020000}"/>
    <cellStyle name="_~7048524_Apollo Investment Fund IV  April Priority Return" xfId="593" xr:uid="{00000000-0005-0000-0000-000049020000}"/>
    <cellStyle name="_~7048524_Apollo Investment Fund IV  Q1 2009 Capital Analysis 5-22-09 with GAAP" xfId="594" xr:uid="{00000000-0005-0000-0000-00004A020000}"/>
    <cellStyle name="_~7048524_Apollo Investment Fund IV  Q1 2009 Capital Analysis GAAP" xfId="595" xr:uid="{00000000-0005-0000-0000-00004B020000}"/>
    <cellStyle name="_~7048524_Apollo Investment Fund IV  Q2 2009 Capital Analysis CURRENT" xfId="596" xr:uid="{00000000-0005-0000-0000-00004C020000}"/>
    <cellStyle name="_~7048524_Apollo Investment Fund IV  Q3 2009 Capital Analysis CURRENT" xfId="597" xr:uid="{00000000-0005-0000-0000-00004D020000}"/>
    <cellStyle name="_~7048524_Apollo Investment Fund IV  Q3 2009 Capital Analysis iPCS &amp; URI Distribution" xfId="598" xr:uid="{00000000-0005-0000-0000-00004E020000}"/>
    <cellStyle name="_~7048524_Apollo Investment Fund IV Priority Return 6-30-09" xfId="599" xr:uid="{00000000-0005-0000-0000-00004F020000}"/>
    <cellStyle name="_~7048524_Apollo Investment Fund IV Q1 2009 Capital Analysis PR CORRECTED 6-30-09" xfId="600" xr:uid="{00000000-0005-0000-0000-000050020000}"/>
    <cellStyle name="_~7048524_Book4" xfId="601" xr:uid="{00000000-0005-0000-0000-000051020000}"/>
    <cellStyle name="_~7048524_Book4 10" xfId="602" xr:uid="{00000000-0005-0000-0000-000052020000}"/>
    <cellStyle name="_~7048524_Book4 11" xfId="603" xr:uid="{00000000-0005-0000-0000-000053020000}"/>
    <cellStyle name="_~7048524_Book4 12" xfId="604" xr:uid="{00000000-0005-0000-0000-000054020000}"/>
    <cellStyle name="_~7048524_Book4 13" xfId="605" xr:uid="{00000000-0005-0000-0000-000055020000}"/>
    <cellStyle name="_~7048524_Book4 14" xfId="606" xr:uid="{00000000-0005-0000-0000-000056020000}"/>
    <cellStyle name="_~7048524_Book4 15" xfId="607" xr:uid="{00000000-0005-0000-0000-000057020000}"/>
    <cellStyle name="_~7048524_Book4 16" xfId="608" xr:uid="{00000000-0005-0000-0000-000058020000}"/>
    <cellStyle name="_~7048524_Book4 17" xfId="609" xr:uid="{00000000-0005-0000-0000-000059020000}"/>
    <cellStyle name="_~7048524_Book4 18" xfId="610" xr:uid="{00000000-0005-0000-0000-00005A020000}"/>
    <cellStyle name="_~7048524_Book4 19" xfId="611" xr:uid="{00000000-0005-0000-0000-00005B020000}"/>
    <cellStyle name="_~7048524_Book4 2" xfId="612" xr:uid="{00000000-0005-0000-0000-00005C020000}"/>
    <cellStyle name="_~7048524_Book4 20" xfId="613" xr:uid="{00000000-0005-0000-0000-00005D020000}"/>
    <cellStyle name="_~7048524_Book4 21" xfId="614" xr:uid="{00000000-0005-0000-0000-00005E020000}"/>
    <cellStyle name="_~7048524_Book4 21 2" xfId="615" xr:uid="{00000000-0005-0000-0000-00005F020000}"/>
    <cellStyle name="_~7048524_Book4 3" xfId="616" xr:uid="{00000000-0005-0000-0000-000060020000}"/>
    <cellStyle name="_~7048524_Book4 4" xfId="617" xr:uid="{00000000-0005-0000-0000-000061020000}"/>
    <cellStyle name="_~7048524_Book4 5" xfId="618" xr:uid="{00000000-0005-0000-0000-000062020000}"/>
    <cellStyle name="_~7048524_Book4 6" xfId="619" xr:uid="{00000000-0005-0000-0000-000063020000}"/>
    <cellStyle name="_~7048524_Book4 7" xfId="620" xr:uid="{00000000-0005-0000-0000-000064020000}"/>
    <cellStyle name="_~7048524_Book4 8" xfId="621" xr:uid="{00000000-0005-0000-0000-000065020000}"/>
    <cellStyle name="_~7048524_Book4 9" xfId="622" xr:uid="{00000000-0005-0000-0000-000066020000}"/>
    <cellStyle name="_~7048524_Book4_2.10.10 LS Distribution" xfId="623" xr:uid="{00000000-0005-0000-0000-000067020000}"/>
    <cellStyle name="_~7048524_Book4_Cash Input" xfId="624" xr:uid="{00000000-0005-0000-0000-000068020000}"/>
    <cellStyle name="_~7048524_Book4_Cash Summary AIF IV and AIF VI - 05.14.09 v2" xfId="625" xr:uid="{00000000-0005-0000-0000-000069020000}"/>
    <cellStyle name="_~7048524_Book4_Copy of AGM Dec '09 YTD COF I and II Dep  Liab (1-13-10) (2)" xfId="626" xr:uid="{00000000-0005-0000-0000-00006A020000}"/>
    <cellStyle name="_~7048524_Book4_MMF Income" xfId="627" xr:uid="{00000000-0005-0000-0000-00006B020000}"/>
    <cellStyle name="_~7048524_Book4_PE Funds Cash 04 17 09 Ken V Portrait 4-30-09v4" xfId="628" xr:uid="{00000000-0005-0000-0000-00006C020000}"/>
    <cellStyle name="_~7048524_Book4_Realized Gain Loss" xfId="629" xr:uid="{00000000-0005-0000-0000-00006D020000}"/>
    <cellStyle name="_~7048524_Book4_TX Details" xfId="630" xr:uid="{00000000-0005-0000-0000-00006E020000}"/>
    <cellStyle name="_~7048524_CALCS" xfId="631" xr:uid="{00000000-0005-0000-0000-00006F020000}"/>
    <cellStyle name="_~7048524_CALCS 10" xfId="632" xr:uid="{00000000-0005-0000-0000-000070020000}"/>
    <cellStyle name="_~7048524_CALCS 11" xfId="633" xr:uid="{00000000-0005-0000-0000-000071020000}"/>
    <cellStyle name="_~7048524_CALCS 12" xfId="634" xr:uid="{00000000-0005-0000-0000-000072020000}"/>
    <cellStyle name="_~7048524_CALCS 13" xfId="635" xr:uid="{00000000-0005-0000-0000-000073020000}"/>
    <cellStyle name="_~7048524_CALCS 14" xfId="636" xr:uid="{00000000-0005-0000-0000-000074020000}"/>
    <cellStyle name="_~7048524_CALCS 15" xfId="637" xr:uid="{00000000-0005-0000-0000-000075020000}"/>
    <cellStyle name="_~7048524_CALCS 16" xfId="638" xr:uid="{00000000-0005-0000-0000-000076020000}"/>
    <cellStyle name="_~7048524_CALCS 17" xfId="639" xr:uid="{00000000-0005-0000-0000-000077020000}"/>
    <cellStyle name="_~7048524_CALCS 18" xfId="640" xr:uid="{00000000-0005-0000-0000-000078020000}"/>
    <cellStyle name="_~7048524_CALCS 19" xfId="641" xr:uid="{00000000-0005-0000-0000-000079020000}"/>
    <cellStyle name="_~7048524_CALCS 2" xfId="642" xr:uid="{00000000-0005-0000-0000-00007A020000}"/>
    <cellStyle name="_~7048524_CALCS 20" xfId="643" xr:uid="{00000000-0005-0000-0000-00007B020000}"/>
    <cellStyle name="_~7048524_CALCS 21" xfId="644" xr:uid="{00000000-0005-0000-0000-00007C020000}"/>
    <cellStyle name="_~7048524_CALCS 3" xfId="645" xr:uid="{00000000-0005-0000-0000-00007D020000}"/>
    <cellStyle name="_~7048524_CALCS 4" xfId="646" xr:uid="{00000000-0005-0000-0000-00007E020000}"/>
    <cellStyle name="_~7048524_CALCS 5" xfId="647" xr:uid="{00000000-0005-0000-0000-00007F020000}"/>
    <cellStyle name="_~7048524_CALCS 6" xfId="648" xr:uid="{00000000-0005-0000-0000-000080020000}"/>
    <cellStyle name="_~7048524_CALCS 7" xfId="649" xr:uid="{00000000-0005-0000-0000-000081020000}"/>
    <cellStyle name="_~7048524_CALCS 8" xfId="650" xr:uid="{00000000-0005-0000-0000-000082020000}"/>
    <cellStyle name="_~7048524_CALCS 9" xfId="651" xr:uid="{00000000-0005-0000-0000-000083020000}"/>
    <cellStyle name="_~7048524_CALCS_Cash Input" xfId="652" xr:uid="{00000000-0005-0000-0000-000084020000}"/>
    <cellStyle name="_~7048524_CALCS_MMF Income" xfId="653" xr:uid="{00000000-0005-0000-0000-000085020000}"/>
    <cellStyle name="_~7048524_CALCS_Realized Gain Loss" xfId="654" xr:uid="{00000000-0005-0000-0000-000086020000}"/>
    <cellStyle name="_~7048524_Carry Calculation" xfId="655" xr:uid="{00000000-0005-0000-0000-000087020000}"/>
    <cellStyle name="_~7048524_Cash Input" xfId="656" xr:uid="{00000000-0005-0000-0000-000088020000}"/>
    <cellStyle name="_~7048524_Cash Summary AIF IV and AIF VI - 05.14.09 v2" xfId="657" xr:uid="{00000000-0005-0000-0000-000089020000}"/>
    <cellStyle name="_~7048524_Co Inv D Valuation 12-31-08" xfId="658" xr:uid="{00000000-0005-0000-0000-00008A020000}"/>
    <cellStyle name="_~7048524_Copy of AGM Dec '09 YTD COF I and II Dep  Liab (1-13-10) (2)" xfId="659" xr:uid="{00000000-0005-0000-0000-00008B020000}"/>
    <cellStyle name="_~7048524_Domestic FS 12-31-08 v3-20-09" xfId="660" xr:uid="{00000000-0005-0000-0000-00008C020000}"/>
    <cellStyle name="_~7048524_Domestic FS 12-31-08 v3-20-09_MMF Income" xfId="661" xr:uid="{00000000-0005-0000-0000-00008D020000}"/>
    <cellStyle name="_~7048524_Domestic FS 12-31-08 v3-20-09_Realized Gain Loss" xfId="662" xr:uid="{00000000-0005-0000-0000-00008E020000}"/>
    <cellStyle name="_~7048524_Fund IV" xfId="663" xr:uid="{00000000-0005-0000-0000-00008F020000}"/>
    <cellStyle name="_~7048524_Fund IV 2008" xfId="664" xr:uid="{00000000-0005-0000-0000-000090020000}"/>
    <cellStyle name="_~7048524_Fund IV 2008_Cash Summary AIF IV and AIF VI - 05.14.09 v2" xfId="665" xr:uid="{00000000-0005-0000-0000-000091020000}"/>
    <cellStyle name="_~7048524_Fund IV 2008_PE Funds Cash 04 17 09 Ken V Portrait 4-30-09v4" xfId="666" xr:uid="{00000000-0005-0000-0000-000092020000}"/>
    <cellStyle name="_~7048524_Fund IV_1" xfId="667" xr:uid="{00000000-0005-0000-0000-000093020000}"/>
    <cellStyle name="_~7048524_Fund IV_2" xfId="668" xr:uid="{00000000-0005-0000-0000-000094020000}"/>
    <cellStyle name="_~7048524_Fund IV_AIF IV - Waterfall 3 31 09 vs  6 30 09" xfId="669" xr:uid="{00000000-0005-0000-0000-000095020000}"/>
    <cellStyle name="_~7048524_Fund IV_AIF IV, V, VI, VII, COF - Waterfall 3 31 09 vs  6 30 09" xfId="670" xr:uid="{00000000-0005-0000-0000-000096020000}"/>
    <cellStyle name="_~7048524_Fund IV_Fund IV" xfId="671" xr:uid="{00000000-0005-0000-0000-000097020000}"/>
    <cellStyle name="_~7048524_Fund IV_Funds IV Clawback Value Adjustment" xfId="672" xr:uid="{00000000-0005-0000-0000-000098020000}"/>
    <cellStyle name="_~7048524_Fund V 2007 tax return file 3 23 08" xfId="673" xr:uid="{00000000-0005-0000-0000-000099020000}"/>
    <cellStyle name="_~7048524_Fund V 2007 tax return file 3 23 08_Cash Summary AIF IV and AIF VI - 05.14.09 v2" xfId="674" xr:uid="{00000000-0005-0000-0000-00009A020000}"/>
    <cellStyle name="_~7048524_Fund V 2007 tax return file 3 23 08_PE Funds Cash 04 17 09 Ken V Portrait 4-30-09v4" xfId="675" xr:uid="{00000000-0005-0000-0000-00009B020000}"/>
    <cellStyle name="_~7048524_Fund V 2008 tax return file" xfId="676" xr:uid="{00000000-0005-0000-0000-00009C020000}"/>
    <cellStyle name="_~7048524_Fund V 2008 tax return file_Cash Summary AIF IV and AIF VI - 05.14.09 v2" xfId="677" xr:uid="{00000000-0005-0000-0000-00009D020000}"/>
    <cellStyle name="_~7048524_Fund V 2008 tax return file_PE Funds Cash 04 17 09 Ken V Portrait 4-30-09v4" xfId="678" xr:uid="{00000000-0005-0000-0000-00009E020000}"/>
    <cellStyle name="_~7048524_Fund V Co-Investors" xfId="679" xr:uid="{00000000-0005-0000-0000-00009F020000}"/>
    <cellStyle name="_~7048524_Fund V Co-Investors_Cash Summary AIF IV and AIF VI - 05.14.09 v2" xfId="680" xr:uid="{00000000-0005-0000-0000-0000A0020000}"/>
    <cellStyle name="_~7048524_Fund V Co-Investors_PE Funds Cash 04 17 09 Ken V Portrait 4-30-09v4" xfId="681" xr:uid="{00000000-0005-0000-0000-0000A1020000}"/>
    <cellStyle name="_~7048524_Fund VII subtier K-1 flow through" xfId="682" xr:uid="{00000000-0005-0000-0000-0000A2020000}"/>
    <cellStyle name="_~7048524_Fund VII subtier K-1 flow through (3)" xfId="683" xr:uid="{00000000-0005-0000-0000-0000A3020000}"/>
    <cellStyle name="_~7048524_Fund VII subtier K-1 flow through (3)_Cash Summary AIF IV and AIF VI - 05.14.09 v2" xfId="684" xr:uid="{00000000-0005-0000-0000-0000A4020000}"/>
    <cellStyle name="_~7048524_Fund VII subtier K-1 flow through (3)_PE Funds Cash 04 17 09 Ken V Portrait 4-30-09v4" xfId="685" xr:uid="{00000000-0005-0000-0000-0000A5020000}"/>
    <cellStyle name="_~7048524_Fund VII subtier K-1 flow through_Cash Summary AIF IV and AIF VI - 05.14.09 v2" xfId="686" xr:uid="{00000000-0005-0000-0000-0000A6020000}"/>
    <cellStyle name="_~7048524_Fund VII subtier K-1 flow through_PE Funds Cash 04 17 09 Ken V Portrait 4-30-09v4" xfId="687" xr:uid="{00000000-0005-0000-0000-0000A7020000}"/>
    <cellStyle name="_~7048524_Funds IV Clawback Adjustment Summary" xfId="688" xr:uid="{00000000-0005-0000-0000-0000A8020000}"/>
    <cellStyle name="_~7048524_GP commitApollo Entities" xfId="689" xr:uid="{00000000-0005-0000-0000-0000A9020000}"/>
    <cellStyle name="_~7048524_Hexicon Adj" xfId="690" xr:uid="{00000000-0005-0000-0000-0000AA020000}"/>
    <cellStyle name="_~7048524_Inv Cap Roll" xfId="691" xr:uid="{00000000-0005-0000-0000-0000AB020000}"/>
    <cellStyle name="_~7048524_Inv Cap Roll 2" xfId="692" xr:uid="{00000000-0005-0000-0000-0000AC020000}"/>
    <cellStyle name="_~7048524_Inv Cap Roll_MMF Income" xfId="693" xr:uid="{00000000-0005-0000-0000-0000AD020000}"/>
    <cellStyle name="_~7048524_Inv Cap Roll_Realized Gain Loss" xfId="694" xr:uid="{00000000-0005-0000-0000-0000AE020000}"/>
    <cellStyle name="_~7048524_iPCs#1-Remaining" xfId="695" xr:uid="{00000000-0005-0000-0000-0000AF020000}"/>
    <cellStyle name="_~7048524_LS, LP - Dec  2010 Trial Balance Summary" xfId="696" xr:uid="{00000000-0005-0000-0000-0000B0020000}"/>
    <cellStyle name="_~7048524_MMF Income" xfId="697" xr:uid="{00000000-0005-0000-0000-0000B1020000}"/>
    <cellStyle name="_~7048524_Partners Capital Q1 2009" xfId="698" xr:uid="{00000000-0005-0000-0000-0000B2020000}"/>
    <cellStyle name="_~7048524_Partners Capital Q1 2009 2" xfId="699" xr:uid="{00000000-0005-0000-0000-0000B3020000}"/>
    <cellStyle name="_~7048524_Partners Capital Q1 2009 3" xfId="700" xr:uid="{00000000-0005-0000-0000-0000B4020000}"/>
    <cellStyle name="_~7048524_Partners Capital Q1 2009_AIF VI - BondcoVI_Entities Invested Capital (CURRENT)" xfId="701" xr:uid="{00000000-0005-0000-0000-0000B5020000}"/>
    <cellStyle name="_~7048524_Partners Capital Q1 2009_Domestic TB" xfId="702" xr:uid="{00000000-0005-0000-0000-0000B6020000}"/>
    <cellStyle name="_~7048524_Partners Capital Q1 2009_Invested Capital Debt Worksheet" xfId="703" xr:uid="{00000000-0005-0000-0000-0000B7020000}"/>
    <cellStyle name="_~7048524_Partners Capital Q1 2009_MMF Income" xfId="704" xr:uid="{00000000-0005-0000-0000-0000B8020000}"/>
    <cellStyle name="_~7048524_Partners Capital Q1 2009_Partners Capital Q3 2009" xfId="705" xr:uid="{00000000-0005-0000-0000-0000B9020000}"/>
    <cellStyle name="_~7048524_Partners Capital Q1 2009_Realized Gain Loss" xfId="706" xr:uid="{00000000-0005-0000-0000-0000BA020000}"/>
    <cellStyle name="_~7048524_PE Funds Cash 04 17 09 Ken V Portrait 4-30-09v4" xfId="707" xr:uid="{00000000-0005-0000-0000-0000BB020000}"/>
    <cellStyle name="_~7048524_Placement Fee Summary 05-14-09 - Current (2)" xfId="708" xr:uid="{00000000-0005-0000-0000-0000BC020000}"/>
    <cellStyle name="_~7048524_PR Calc" xfId="709" xr:uid="{00000000-0005-0000-0000-0000BD020000}"/>
    <cellStyle name="_~7048524_Priority Return" xfId="710" xr:uid="{00000000-0005-0000-0000-0000BE020000}"/>
    <cellStyle name="_~7048524_Priority Return 10" xfId="711" xr:uid="{00000000-0005-0000-0000-0000BF020000}"/>
    <cellStyle name="_~7048524_Priority Return 11" xfId="712" xr:uid="{00000000-0005-0000-0000-0000C0020000}"/>
    <cellStyle name="_~7048524_Priority Return 12" xfId="713" xr:uid="{00000000-0005-0000-0000-0000C1020000}"/>
    <cellStyle name="_~7048524_Priority Return 13" xfId="714" xr:uid="{00000000-0005-0000-0000-0000C2020000}"/>
    <cellStyle name="_~7048524_Priority Return 14" xfId="715" xr:uid="{00000000-0005-0000-0000-0000C3020000}"/>
    <cellStyle name="_~7048524_Priority Return 15" xfId="716" xr:uid="{00000000-0005-0000-0000-0000C4020000}"/>
    <cellStyle name="_~7048524_Priority Return 16" xfId="717" xr:uid="{00000000-0005-0000-0000-0000C5020000}"/>
    <cellStyle name="_~7048524_Priority Return 17" xfId="718" xr:uid="{00000000-0005-0000-0000-0000C6020000}"/>
    <cellStyle name="_~7048524_Priority Return 18" xfId="719" xr:uid="{00000000-0005-0000-0000-0000C7020000}"/>
    <cellStyle name="_~7048524_Priority Return 19" xfId="720" xr:uid="{00000000-0005-0000-0000-0000C8020000}"/>
    <cellStyle name="_~7048524_Priority Return 2" xfId="721" xr:uid="{00000000-0005-0000-0000-0000C9020000}"/>
    <cellStyle name="_~7048524_Priority Return 20" xfId="722" xr:uid="{00000000-0005-0000-0000-0000CA020000}"/>
    <cellStyle name="_~7048524_Priority Return 21" xfId="723" xr:uid="{00000000-0005-0000-0000-0000CB020000}"/>
    <cellStyle name="_~7048524_Priority Return 3" xfId="724" xr:uid="{00000000-0005-0000-0000-0000CC020000}"/>
    <cellStyle name="_~7048524_Priority Return 4" xfId="725" xr:uid="{00000000-0005-0000-0000-0000CD020000}"/>
    <cellStyle name="_~7048524_Priority Return 5" xfId="726" xr:uid="{00000000-0005-0000-0000-0000CE020000}"/>
    <cellStyle name="_~7048524_Priority Return 6" xfId="727" xr:uid="{00000000-0005-0000-0000-0000CF020000}"/>
    <cellStyle name="_~7048524_Priority Return 7" xfId="728" xr:uid="{00000000-0005-0000-0000-0000D0020000}"/>
    <cellStyle name="_~7048524_Priority Return 8" xfId="729" xr:uid="{00000000-0005-0000-0000-0000D1020000}"/>
    <cellStyle name="_~7048524_Priority Return 9" xfId="730" xr:uid="{00000000-0005-0000-0000-0000D2020000}"/>
    <cellStyle name="_~7048524_Priority Return_Cash Input" xfId="731" xr:uid="{00000000-0005-0000-0000-0000D3020000}"/>
    <cellStyle name="_~7048524_Priority Return_MMF Income" xfId="732" xr:uid="{00000000-0005-0000-0000-0000D4020000}"/>
    <cellStyle name="_~7048524_Priority Return_Realized Gain Loss" xfId="733" xr:uid="{00000000-0005-0000-0000-0000D5020000}"/>
    <cellStyle name="_~7048524_Q1 2011 Pmts" xfId="734" xr:uid="{00000000-0005-0000-0000-0000D6020000}"/>
    <cellStyle name="_~7048524_RCIV Q3 2009 Capital Analysis CURRENT" xfId="735" xr:uid="{00000000-0005-0000-0000-0000D7020000}"/>
    <cellStyle name="_~7048524_Realized Gain Loss" xfId="736" xr:uid="{00000000-0005-0000-0000-0000D8020000}"/>
    <cellStyle name="_~7048524_Revenue breakout" xfId="737" xr:uid="{00000000-0005-0000-0000-0000D9020000}"/>
    <cellStyle name="_~7048524_Revenue breakout 10" xfId="738" xr:uid="{00000000-0005-0000-0000-0000DA020000}"/>
    <cellStyle name="_~7048524_Revenue breakout 11" xfId="739" xr:uid="{00000000-0005-0000-0000-0000DB020000}"/>
    <cellStyle name="_~7048524_Revenue breakout 12" xfId="740" xr:uid="{00000000-0005-0000-0000-0000DC020000}"/>
    <cellStyle name="_~7048524_Revenue breakout 13" xfId="741" xr:uid="{00000000-0005-0000-0000-0000DD020000}"/>
    <cellStyle name="_~7048524_Revenue breakout 14" xfId="742" xr:uid="{00000000-0005-0000-0000-0000DE020000}"/>
    <cellStyle name="_~7048524_Revenue breakout 15" xfId="743" xr:uid="{00000000-0005-0000-0000-0000DF020000}"/>
    <cellStyle name="_~7048524_Revenue breakout 16" xfId="744" xr:uid="{00000000-0005-0000-0000-0000E0020000}"/>
    <cellStyle name="_~7048524_Revenue breakout 17" xfId="745" xr:uid="{00000000-0005-0000-0000-0000E1020000}"/>
    <cellStyle name="_~7048524_Revenue breakout 18" xfId="746" xr:uid="{00000000-0005-0000-0000-0000E2020000}"/>
    <cellStyle name="_~7048524_Revenue breakout 19" xfId="747" xr:uid="{00000000-0005-0000-0000-0000E3020000}"/>
    <cellStyle name="_~7048524_Revenue breakout 2" xfId="748" xr:uid="{00000000-0005-0000-0000-0000E4020000}"/>
    <cellStyle name="_~7048524_Revenue breakout 20" xfId="749" xr:uid="{00000000-0005-0000-0000-0000E5020000}"/>
    <cellStyle name="_~7048524_Revenue breakout 21" xfId="750" xr:uid="{00000000-0005-0000-0000-0000E6020000}"/>
    <cellStyle name="_~7048524_Revenue breakout 21 2" xfId="751" xr:uid="{00000000-0005-0000-0000-0000E7020000}"/>
    <cellStyle name="_~7048524_Revenue breakout 3" xfId="752" xr:uid="{00000000-0005-0000-0000-0000E8020000}"/>
    <cellStyle name="_~7048524_Revenue breakout 4" xfId="753" xr:uid="{00000000-0005-0000-0000-0000E9020000}"/>
    <cellStyle name="_~7048524_Revenue breakout 5" xfId="754" xr:uid="{00000000-0005-0000-0000-0000EA020000}"/>
    <cellStyle name="_~7048524_Revenue breakout 6" xfId="755" xr:uid="{00000000-0005-0000-0000-0000EB020000}"/>
    <cellStyle name="_~7048524_Revenue breakout 7" xfId="756" xr:uid="{00000000-0005-0000-0000-0000EC020000}"/>
    <cellStyle name="_~7048524_Revenue breakout 8" xfId="757" xr:uid="{00000000-0005-0000-0000-0000ED020000}"/>
    <cellStyle name="_~7048524_Revenue breakout 9" xfId="758" xr:uid="{00000000-0005-0000-0000-0000EE020000}"/>
    <cellStyle name="_~7048524_Revenue breakout_2.10.10 LS Distribution" xfId="759" xr:uid="{00000000-0005-0000-0000-0000EF020000}"/>
    <cellStyle name="_~7048524_Revenue breakout_2007 Revenue - RE fees" xfId="760" xr:uid="{00000000-0005-0000-0000-0000F0020000}"/>
    <cellStyle name="_~7048524_Revenue breakout_2007 Revenue - RE fees 10" xfId="761" xr:uid="{00000000-0005-0000-0000-0000F1020000}"/>
    <cellStyle name="_~7048524_Revenue breakout_2007 Revenue - RE fees 11" xfId="762" xr:uid="{00000000-0005-0000-0000-0000F2020000}"/>
    <cellStyle name="_~7048524_Revenue breakout_2007 Revenue - RE fees 12" xfId="763" xr:uid="{00000000-0005-0000-0000-0000F3020000}"/>
    <cellStyle name="_~7048524_Revenue breakout_2007 Revenue - RE fees 13" xfId="764" xr:uid="{00000000-0005-0000-0000-0000F4020000}"/>
    <cellStyle name="_~7048524_Revenue breakout_2007 Revenue - RE fees 14" xfId="765" xr:uid="{00000000-0005-0000-0000-0000F5020000}"/>
    <cellStyle name="_~7048524_Revenue breakout_2007 Revenue - RE fees 15" xfId="766" xr:uid="{00000000-0005-0000-0000-0000F6020000}"/>
    <cellStyle name="_~7048524_Revenue breakout_2007 Revenue - RE fees 16" xfId="767" xr:uid="{00000000-0005-0000-0000-0000F7020000}"/>
    <cellStyle name="_~7048524_Revenue breakout_2007 Revenue - RE fees 17" xfId="768" xr:uid="{00000000-0005-0000-0000-0000F8020000}"/>
    <cellStyle name="_~7048524_Revenue breakout_2007 Revenue - RE fees 18" xfId="769" xr:uid="{00000000-0005-0000-0000-0000F9020000}"/>
    <cellStyle name="_~7048524_Revenue breakout_2007 Revenue - RE fees 19" xfId="770" xr:uid="{00000000-0005-0000-0000-0000FA020000}"/>
    <cellStyle name="_~7048524_Revenue breakout_2007 Revenue - RE fees 2" xfId="771" xr:uid="{00000000-0005-0000-0000-0000FB020000}"/>
    <cellStyle name="_~7048524_Revenue breakout_2007 Revenue - RE fees 20" xfId="772" xr:uid="{00000000-0005-0000-0000-0000FC020000}"/>
    <cellStyle name="_~7048524_Revenue breakout_2007 Revenue - RE fees 21" xfId="773" xr:uid="{00000000-0005-0000-0000-0000FD020000}"/>
    <cellStyle name="_~7048524_Revenue breakout_2007 Revenue - RE fees 21 2" xfId="774" xr:uid="{00000000-0005-0000-0000-0000FE020000}"/>
    <cellStyle name="_~7048524_Revenue breakout_2007 Revenue - RE fees 3" xfId="775" xr:uid="{00000000-0005-0000-0000-0000FF020000}"/>
    <cellStyle name="_~7048524_Revenue breakout_2007 Revenue - RE fees 4" xfId="776" xr:uid="{00000000-0005-0000-0000-000000030000}"/>
    <cellStyle name="_~7048524_Revenue breakout_2007 Revenue - RE fees 5" xfId="777" xr:uid="{00000000-0005-0000-0000-000001030000}"/>
    <cellStyle name="_~7048524_Revenue breakout_2007 Revenue - RE fees 6" xfId="778" xr:uid="{00000000-0005-0000-0000-000002030000}"/>
    <cellStyle name="_~7048524_Revenue breakout_2007 Revenue - RE fees 7" xfId="779" xr:uid="{00000000-0005-0000-0000-000003030000}"/>
    <cellStyle name="_~7048524_Revenue breakout_2007 Revenue - RE fees 8" xfId="780" xr:uid="{00000000-0005-0000-0000-000004030000}"/>
    <cellStyle name="_~7048524_Revenue breakout_2007 Revenue - RE fees 9" xfId="781" xr:uid="{00000000-0005-0000-0000-000005030000}"/>
    <cellStyle name="_~7048524_Revenue breakout_2007 Revenue - RE fees_2011 Q1 Monitoring Fees v3" xfId="782" xr:uid="{00000000-0005-0000-0000-000006030000}"/>
    <cellStyle name="_~7048524_Revenue breakout_2007 Revenue - RE fees_Cash Input" xfId="783" xr:uid="{00000000-0005-0000-0000-000007030000}"/>
    <cellStyle name="_~7048524_Revenue breakout_2007 Revenue - RE fees_Cash Summary AIF IV and AIF VI - 05.14.09 v2" xfId="784" xr:uid="{00000000-0005-0000-0000-000008030000}"/>
    <cellStyle name="_~7048524_Revenue breakout_2007 Revenue - RE fees_Copy of AGM Dec '09 YTD COF I and II Dep  Liab (1-13-10) (2)" xfId="785" xr:uid="{00000000-0005-0000-0000-000009030000}"/>
    <cellStyle name="_~7048524_Revenue breakout_2007 Revenue - RE fees_MMF Income" xfId="786" xr:uid="{00000000-0005-0000-0000-00000A030000}"/>
    <cellStyle name="_~7048524_Revenue breakout_2007 Revenue - RE fees_PE Funds Cash 04 17 09 Ken V Portrait 4-30-09v4" xfId="787" xr:uid="{00000000-0005-0000-0000-00000B030000}"/>
    <cellStyle name="_~7048524_Revenue breakout_2007 Revenue - RE fees_Placement Fee Summary 05-14-09 - Current (2)" xfId="788" xr:uid="{00000000-0005-0000-0000-00000C030000}"/>
    <cellStyle name="_~7048524_Revenue breakout_2007 Revenue - RE fees_Realized Gain Loss" xfId="789" xr:uid="{00000000-0005-0000-0000-00000D030000}"/>
    <cellStyle name="_~7048524_Revenue breakout_2011 Q1 Monitoring Fees v3" xfId="790" xr:uid="{00000000-0005-0000-0000-00000E030000}"/>
    <cellStyle name="_~7048524_Revenue breakout_Cash Input" xfId="791" xr:uid="{00000000-0005-0000-0000-00000F030000}"/>
    <cellStyle name="_~7048524_Revenue breakout_Cash Summary AIF IV and AIF VI - 05.14.09 v2" xfId="792" xr:uid="{00000000-0005-0000-0000-000010030000}"/>
    <cellStyle name="_~7048524_Revenue breakout_Copy of AGM Dec '09 YTD COF I and II Dep  Liab (1-13-10) (2)" xfId="793" xr:uid="{00000000-0005-0000-0000-000011030000}"/>
    <cellStyle name="_~7048524_Revenue breakout_LS, LP - Dec  2010 Trial Balance Summary" xfId="794" xr:uid="{00000000-0005-0000-0000-000012030000}"/>
    <cellStyle name="_~7048524_Revenue breakout_MMF Income" xfId="795" xr:uid="{00000000-0005-0000-0000-000013030000}"/>
    <cellStyle name="_~7048524_Revenue breakout_PE Funds Cash 04 17 09 Ken V Portrait 4-30-09v4" xfId="796" xr:uid="{00000000-0005-0000-0000-000014030000}"/>
    <cellStyle name="_~7048524_Revenue breakout_Placement Fee Summary 05-14-09 - Current (2)" xfId="797" xr:uid="{00000000-0005-0000-0000-000015030000}"/>
    <cellStyle name="_~7048524_Revenue breakout_Q1 2011 Pmts" xfId="798" xr:uid="{00000000-0005-0000-0000-000016030000}"/>
    <cellStyle name="_~7048524_Revenue breakout_Realized Gain Loss" xfId="799" xr:uid="{00000000-0005-0000-0000-000017030000}"/>
    <cellStyle name="_~7048524_Revenue breakout_TX Details" xfId="800" xr:uid="{00000000-0005-0000-0000-000018030000}"/>
    <cellStyle name="_~7048524_sharing percentages 12 3 07" xfId="801" xr:uid="{00000000-0005-0000-0000-000019030000}"/>
    <cellStyle name="_~7048524_sharing percentages 12 3 07_Cash Summary AIF IV and AIF VI - 05.14.09 v2" xfId="802" xr:uid="{00000000-0005-0000-0000-00001A030000}"/>
    <cellStyle name="_~7048524_sharing percentages 12 3 07_PE Funds Cash 04 17 09 Ken V Portrait 4-30-09v4" xfId="803" xr:uid="{00000000-0005-0000-0000-00001B030000}"/>
    <cellStyle name="_~7048524_Sheet1" xfId="804" xr:uid="{00000000-0005-0000-0000-00001C030000}"/>
    <cellStyle name="_~7048524_Sheet1 10" xfId="805" xr:uid="{00000000-0005-0000-0000-00001D030000}"/>
    <cellStyle name="_~7048524_Sheet1 11" xfId="806" xr:uid="{00000000-0005-0000-0000-00001E030000}"/>
    <cellStyle name="_~7048524_Sheet1 12" xfId="807" xr:uid="{00000000-0005-0000-0000-00001F030000}"/>
    <cellStyle name="_~7048524_Sheet1 13" xfId="808" xr:uid="{00000000-0005-0000-0000-000020030000}"/>
    <cellStyle name="_~7048524_Sheet1 14" xfId="809" xr:uid="{00000000-0005-0000-0000-000021030000}"/>
    <cellStyle name="_~7048524_Sheet1 15" xfId="810" xr:uid="{00000000-0005-0000-0000-000022030000}"/>
    <cellStyle name="_~7048524_Sheet1 16" xfId="811" xr:uid="{00000000-0005-0000-0000-000023030000}"/>
    <cellStyle name="_~7048524_Sheet1 17" xfId="812" xr:uid="{00000000-0005-0000-0000-000024030000}"/>
    <cellStyle name="_~7048524_Sheet1 18" xfId="813" xr:uid="{00000000-0005-0000-0000-000025030000}"/>
    <cellStyle name="_~7048524_Sheet1 19" xfId="814" xr:uid="{00000000-0005-0000-0000-000026030000}"/>
    <cellStyle name="_~7048524_Sheet1 2" xfId="815" xr:uid="{00000000-0005-0000-0000-000027030000}"/>
    <cellStyle name="_~7048524_Sheet1 20" xfId="816" xr:uid="{00000000-0005-0000-0000-000028030000}"/>
    <cellStyle name="_~7048524_Sheet1 21" xfId="817" xr:uid="{00000000-0005-0000-0000-000029030000}"/>
    <cellStyle name="_~7048524_Sheet1 3" xfId="818" xr:uid="{00000000-0005-0000-0000-00002A030000}"/>
    <cellStyle name="_~7048524_Sheet1 4" xfId="819" xr:uid="{00000000-0005-0000-0000-00002B030000}"/>
    <cellStyle name="_~7048524_Sheet1 5" xfId="820" xr:uid="{00000000-0005-0000-0000-00002C030000}"/>
    <cellStyle name="_~7048524_Sheet1 6" xfId="821" xr:uid="{00000000-0005-0000-0000-00002D030000}"/>
    <cellStyle name="_~7048524_Sheet1 7" xfId="822" xr:uid="{00000000-0005-0000-0000-00002E030000}"/>
    <cellStyle name="_~7048524_Sheet1 8" xfId="823" xr:uid="{00000000-0005-0000-0000-00002F030000}"/>
    <cellStyle name="_~7048524_Sheet1 9" xfId="824" xr:uid="{00000000-0005-0000-0000-000030030000}"/>
    <cellStyle name="_~7048524_Sheet1_Cash Input" xfId="825" xr:uid="{00000000-0005-0000-0000-000031030000}"/>
    <cellStyle name="_~7048524_Sheet1_MMF Income" xfId="826" xr:uid="{00000000-0005-0000-0000-000032030000}"/>
    <cellStyle name="_~7048524_Sheet1_Realized Gain Loss" xfId="827" xr:uid="{00000000-0005-0000-0000-000033030000}"/>
    <cellStyle name="_~7048524_Sheet2" xfId="828" xr:uid="{00000000-0005-0000-0000-000034030000}"/>
    <cellStyle name="_~7048524_Sheet2 10" xfId="829" xr:uid="{00000000-0005-0000-0000-000035030000}"/>
    <cellStyle name="_~7048524_Sheet2 11" xfId="830" xr:uid="{00000000-0005-0000-0000-000036030000}"/>
    <cellStyle name="_~7048524_Sheet2 12" xfId="831" xr:uid="{00000000-0005-0000-0000-000037030000}"/>
    <cellStyle name="_~7048524_Sheet2 13" xfId="832" xr:uid="{00000000-0005-0000-0000-000038030000}"/>
    <cellStyle name="_~7048524_Sheet2 14" xfId="833" xr:uid="{00000000-0005-0000-0000-000039030000}"/>
    <cellStyle name="_~7048524_Sheet2 15" xfId="834" xr:uid="{00000000-0005-0000-0000-00003A030000}"/>
    <cellStyle name="_~7048524_Sheet2 16" xfId="835" xr:uid="{00000000-0005-0000-0000-00003B030000}"/>
    <cellStyle name="_~7048524_Sheet2 17" xfId="836" xr:uid="{00000000-0005-0000-0000-00003C030000}"/>
    <cellStyle name="_~7048524_Sheet2 18" xfId="837" xr:uid="{00000000-0005-0000-0000-00003D030000}"/>
    <cellStyle name="_~7048524_Sheet2 19" xfId="838" xr:uid="{00000000-0005-0000-0000-00003E030000}"/>
    <cellStyle name="_~7048524_Sheet2 2" xfId="839" xr:uid="{00000000-0005-0000-0000-00003F030000}"/>
    <cellStyle name="_~7048524_Sheet2 20" xfId="840" xr:uid="{00000000-0005-0000-0000-000040030000}"/>
    <cellStyle name="_~7048524_Sheet2 21" xfId="841" xr:uid="{00000000-0005-0000-0000-000041030000}"/>
    <cellStyle name="_~7048524_Sheet2 3" xfId="842" xr:uid="{00000000-0005-0000-0000-000042030000}"/>
    <cellStyle name="_~7048524_Sheet2 4" xfId="843" xr:uid="{00000000-0005-0000-0000-000043030000}"/>
    <cellStyle name="_~7048524_Sheet2 5" xfId="844" xr:uid="{00000000-0005-0000-0000-000044030000}"/>
    <cellStyle name="_~7048524_Sheet2 6" xfId="845" xr:uid="{00000000-0005-0000-0000-000045030000}"/>
    <cellStyle name="_~7048524_Sheet2 7" xfId="846" xr:uid="{00000000-0005-0000-0000-000046030000}"/>
    <cellStyle name="_~7048524_Sheet2 8" xfId="847" xr:uid="{00000000-0005-0000-0000-000047030000}"/>
    <cellStyle name="_~7048524_Sheet2 9" xfId="848" xr:uid="{00000000-0005-0000-0000-000048030000}"/>
    <cellStyle name="_~7048524_Sheet2_Cash Input" xfId="849" xr:uid="{00000000-0005-0000-0000-000049030000}"/>
    <cellStyle name="_~7048524_Sheet2_MMF Income" xfId="850" xr:uid="{00000000-0005-0000-0000-00004A030000}"/>
    <cellStyle name="_~7048524_Sheet2_Realized Gain Loss" xfId="851" xr:uid="{00000000-0005-0000-0000-00004B030000}"/>
    <cellStyle name="_~7048524_Sheet3" xfId="852" xr:uid="{00000000-0005-0000-0000-00004C030000}"/>
    <cellStyle name="_~7048524_Sheet3 2" xfId="853" xr:uid="{00000000-0005-0000-0000-00004D030000}"/>
    <cellStyle name="_~7048524_Sheet3_MMF Income" xfId="854" xr:uid="{00000000-0005-0000-0000-00004E030000}"/>
    <cellStyle name="_~7048524_Sheet3_Realized Gain Loss" xfId="855" xr:uid="{00000000-0005-0000-0000-00004F030000}"/>
    <cellStyle name="_~7048524_Summary" xfId="856" xr:uid="{00000000-0005-0000-0000-000050030000}"/>
    <cellStyle name="_~7048524_Summary 2" xfId="857" xr:uid="{00000000-0005-0000-0000-000051030000}"/>
    <cellStyle name="_~7048524_Summary_MMF Income" xfId="858" xr:uid="{00000000-0005-0000-0000-000052030000}"/>
    <cellStyle name="_~7048524_Summary_Realized Gain Loss" xfId="859" xr:uid="{00000000-0005-0000-0000-000053030000}"/>
    <cellStyle name="_~7048524_TRA-9_30_07 upd 11 25 for 41% 64 385%" xfId="860" xr:uid="{00000000-0005-0000-0000-000054030000}"/>
    <cellStyle name="_~7048524_TRA-9_30_07 upd 11 25 for 41% 64 385%_Cash Summary AIF IV and AIF VI - 05.14.09 v2" xfId="861" xr:uid="{00000000-0005-0000-0000-000055030000}"/>
    <cellStyle name="_~7048524_TRA-9_30_07 upd 11 25 for 41% 64 385%_PE Funds Cash 04 17 09 Ken V Portrait 4-30-09v4" xfId="862" xr:uid="{00000000-0005-0000-0000-000056030000}"/>
    <cellStyle name="_~7048524_TX Details" xfId="863" xr:uid="{00000000-0005-0000-0000-000057030000}"/>
    <cellStyle name="_09-30-07 AAA Consol TB - FINAL" xfId="864" xr:uid="{00000000-0005-0000-0000-000058030000}"/>
    <cellStyle name="_09-30-07 AAA Consol TB - FINAL_Bonco Analysis" xfId="865" xr:uid="{00000000-0005-0000-0000-000059030000}"/>
    <cellStyle name="_09-30-07 AAA Consol TB - FINAL_Bonco Analysis Projection" xfId="866" xr:uid="{00000000-0005-0000-0000-00005A030000}"/>
    <cellStyle name="_09-30-07 AAA Consol TB - FINAL_Bonco Analysis Projection_Cash Summary AIF IV and AIF VI - 05.14.09 v2" xfId="867" xr:uid="{00000000-0005-0000-0000-00005B030000}"/>
    <cellStyle name="_09-30-07 AAA Consol TB - FINAL_Bonco Analysis Projection_PE Funds Cash 04 17 09 Ken V Portrait 4-30-09v4" xfId="868" xr:uid="{00000000-0005-0000-0000-00005C030000}"/>
    <cellStyle name="_09-30-07 AAA Consol TB - FINAL_Bonco Analysis_Cash Summary AIF IV and AIF VI - 05.14.09 v2" xfId="869" xr:uid="{00000000-0005-0000-0000-00005D030000}"/>
    <cellStyle name="_09-30-07 AAA Consol TB - FINAL_Bonco Analysis_PE Funds Cash 04 17 09 Ken V Portrait 4-30-09v4" xfId="870" xr:uid="{00000000-0005-0000-0000-00005E030000}"/>
    <cellStyle name="_09-30-07 AAA Consol TB - FINAL_Book Capital Allocation 9 30_Broadleaf_DT" xfId="871" xr:uid="{00000000-0005-0000-0000-00005F030000}"/>
    <cellStyle name="_09-30-07 AAA Consol TB - FINAL_Book Capital Allocation 9 30_Broadleaf_DT_Cash Summary AIF IV and AIF VI - 05.14.09 v2" xfId="872" xr:uid="{00000000-0005-0000-0000-000060030000}"/>
    <cellStyle name="_09-30-07 AAA Consol TB - FINAL_Book Capital Allocation 9 30_Broadleaf_DT_PE Funds Cash 04 17 09 Ken V Portrait 4-30-09v4" xfId="873" xr:uid="{00000000-0005-0000-0000-000061030000}"/>
    <cellStyle name="_09-30-07 AAA Consol TB - FINAL_Broadleaf - Partner Capital Account Analysis" xfId="874" xr:uid="{00000000-0005-0000-0000-000062030000}"/>
    <cellStyle name="_09-30-07 AAA Consol TB - FINAL_Broadleaf - Partner Capital Account Analysis_Cash Summary AIF IV and AIF VI - 05.14.09 v2" xfId="875" xr:uid="{00000000-0005-0000-0000-000063030000}"/>
    <cellStyle name="_09-30-07 AAA Consol TB - FINAL_Broadleaf - Partner Capital Account Analysis_PE Funds Cash 04 17 09 Ken V Portrait 4-30-09v4" xfId="876" xr:uid="{00000000-0005-0000-0000-000064030000}"/>
    <cellStyle name="_09-30-07 AAA Consol TB - FINAL_Cash Summary AIF IV and AIF VI - 05.14.09 v2" xfId="877" xr:uid="{00000000-0005-0000-0000-000065030000}"/>
    <cellStyle name="_09-30-07 AAA Consol TB - FINAL_Foward 704(c) All. June 08  (2)" xfId="878" xr:uid="{00000000-0005-0000-0000-000066030000}"/>
    <cellStyle name="_09-30-07 AAA Consol TB - FINAL_Foward 704(c) All. June 08  (2)_Cash Summary AIF IV and AIF VI - 05.14.09 v2" xfId="879" xr:uid="{00000000-0005-0000-0000-000067030000}"/>
    <cellStyle name="_09-30-07 AAA Consol TB - FINAL_Foward 704(c) All. June 08  (2)_PE Funds Cash 04 17 09 Ken V Portrait 4-30-09v4" xfId="880" xr:uid="{00000000-0005-0000-0000-000068030000}"/>
    <cellStyle name="_09-30-07 AAA Consol TB - FINAL_LeverageSource Analysis" xfId="881" xr:uid="{00000000-0005-0000-0000-000069030000}"/>
    <cellStyle name="_09-30-07 AAA Consol TB - FINAL_LeverageSource Analysis Projection 11 17 2008" xfId="882" xr:uid="{00000000-0005-0000-0000-00006A030000}"/>
    <cellStyle name="_09-30-07 AAA Consol TB - FINAL_LeverageSource Analysis Projection 11 17 2008_Cash Summary AIF IV and AIF VI - 05.14.09 v2" xfId="883" xr:uid="{00000000-0005-0000-0000-00006B030000}"/>
    <cellStyle name="_09-30-07 AAA Consol TB - FINAL_LeverageSource Analysis Projection 11 17 2008_PE Funds Cash 04 17 09 Ken V Portrait 4-30-09v4" xfId="884" xr:uid="{00000000-0005-0000-0000-00006C030000}"/>
    <cellStyle name="_09-30-07 AAA Consol TB - FINAL_LeverageSource Analysis_Cash Summary AIF IV and AIF VI - 05.14.09 v2" xfId="885" xr:uid="{00000000-0005-0000-0000-00006D030000}"/>
    <cellStyle name="_09-30-07 AAA Consol TB - FINAL_LeverageSource Analysis_PE Funds Cash 04 17 09 Ken V Portrait 4-30-09v4" xfId="886" xr:uid="{00000000-0005-0000-0000-00006E030000}"/>
    <cellStyle name="_09-30-07 AAA Consol TB - FINAL_PE Funds Cash 04 17 09 Ken V Portrait 4-30-09v4" xfId="887" xr:uid="{00000000-0005-0000-0000-00006F030000}"/>
    <cellStyle name="_10-31-07 AAA Consol TB - FINAL" xfId="888" xr:uid="{00000000-0005-0000-0000-000070030000}"/>
    <cellStyle name="_10-31-07 AAA Consol TB - FINAL_Bonco Analysis" xfId="889" xr:uid="{00000000-0005-0000-0000-000071030000}"/>
    <cellStyle name="_10-31-07 AAA Consol TB - FINAL_Bonco Analysis Projection" xfId="890" xr:uid="{00000000-0005-0000-0000-000072030000}"/>
    <cellStyle name="_10-31-07 AAA Consol TB - FINAL_Bonco Analysis Projection_Cash Summary AIF IV and AIF VI - 05.14.09 v2" xfId="891" xr:uid="{00000000-0005-0000-0000-000073030000}"/>
    <cellStyle name="_10-31-07 AAA Consol TB - FINAL_Bonco Analysis Projection_PE Funds Cash 04 17 09 Ken V Portrait 4-30-09v4" xfId="892" xr:uid="{00000000-0005-0000-0000-000074030000}"/>
    <cellStyle name="_10-31-07 AAA Consol TB - FINAL_Bonco Analysis_Cash Summary AIF IV and AIF VI - 05.14.09 v2" xfId="893" xr:uid="{00000000-0005-0000-0000-000075030000}"/>
    <cellStyle name="_10-31-07 AAA Consol TB - FINAL_Bonco Analysis_PE Funds Cash 04 17 09 Ken V Portrait 4-30-09v4" xfId="894" xr:uid="{00000000-0005-0000-0000-000076030000}"/>
    <cellStyle name="_10-31-07 AAA Consol TB - FINAL_Book Capital Allocation 9 30_Broadleaf_DT" xfId="895" xr:uid="{00000000-0005-0000-0000-000077030000}"/>
    <cellStyle name="_10-31-07 AAA Consol TB - FINAL_Book Capital Allocation 9 30_Broadleaf_DT_Cash Summary AIF IV and AIF VI - 05.14.09 v2" xfId="896" xr:uid="{00000000-0005-0000-0000-000078030000}"/>
    <cellStyle name="_10-31-07 AAA Consol TB - FINAL_Book Capital Allocation 9 30_Broadleaf_DT_PE Funds Cash 04 17 09 Ken V Portrait 4-30-09v4" xfId="897" xr:uid="{00000000-0005-0000-0000-000079030000}"/>
    <cellStyle name="_10-31-07 AAA Consol TB - FINAL_Broadleaf - Partner Capital Account Analysis" xfId="898" xr:uid="{00000000-0005-0000-0000-00007A030000}"/>
    <cellStyle name="_10-31-07 AAA Consol TB - FINAL_Broadleaf - Partner Capital Account Analysis_Cash Summary AIF IV and AIF VI - 05.14.09 v2" xfId="899" xr:uid="{00000000-0005-0000-0000-00007B030000}"/>
    <cellStyle name="_10-31-07 AAA Consol TB - FINAL_Broadleaf - Partner Capital Account Analysis_PE Funds Cash 04 17 09 Ken V Portrait 4-30-09v4" xfId="900" xr:uid="{00000000-0005-0000-0000-00007C030000}"/>
    <cellStyle name="_10-31-07 AAA Consol TB - FINAL_Cash Summary AIF IV and AIF VI - 05.14.09 v2" xfId="901" xr:uid="{00000000-0005-0000-0000-00007D030000}"/>
    <cellStyle name="_10-31-07 AAA Consol TB - FINAL_Foward 704(c) All. June 08  (2)" xfId="902" xr:uid="{00000000-0005-0000-0000-00007E030000}"/>
    <cellStyle name="_10-31-07 AAA Consol TB - FINAL_Foward 704(c) All. June 08  (2)_Cash Summary AIF IV and AIF VI - 05.14.09 v2" xfId="903" xr:uid="{00000000-0005-0000-0000-00007F030000}"/>
    <cellStyle name="_10-31-07 AAA Consol TB - FINAL_Foward 704(c) All. June 08  (2)_PE Funds Cash 04 17 09 Ken V Portrait 4-30-09v4" xfId="904" xr:uid="{00000000-0005-0000-0000-000080030000}"/>
    <cellStyle name="_10-31-07 AAA Consol TB - FINAL_LeverageSource Analysis" xfId="905" xr:uid="{00000000-0005-0000-0000-000081030000}"/>
    <cellStyle name="_10-31-07 AAA Consol TB - FINAL_LeverageSource Analysis Projection 11 17 2008" xfId="906" xr:uid="{00000000-0005-0000-0000-000082030000}"/>
    <cellStyle name="_10-31-07 AAA Consol TB - FINAL_LeverageSource Analysis Projection 11 17 2008_Cash Summary AIF IV and AIF VI - 05.14.09 v2" xfId="907" xr:uid="{00000000-0005-0000-0000-000083030000}"/>
    <cellStyle name="_10-31-07 AAA Consol TB - FINAL_LeverageSource Analysis Projection 11 17 2008_PE Funds Cash 04 17 09 Ken V Portrait 4-30-09v4" xfId="908" xr:uid="{00000000-0005-0000-0000-000084030000}"/>
    <cellStyle name="_10-31-07 AAA Consol TB - FINAL_LeverageSource Analysis_Cash Summary AIF IV and AIF VI - 05.14.09 v2" xfId="909" xr:uid="{00000000-0005-0000-0000-000085030000}"/>
    <cellStyle name="_10-31-07 AAA Consol TB - FINAL_LeverageSource Analysis_PE Funds Cash 04 17 09 Ken V Portrait 4-30-09v4" xfId="910" xr:uid="{00000000-0005-0000-0000-000086030000}"/>
    <cellStyle name="_10-31-07 AAA Consol TB - FINAL_PE Funds Cash 04 17 09 Ken V Portrait 4-30-09v4" xfId="911" xr:uid="{00000000-0005-0000-0000-000087030000}"/>
    <cellStyle name="_11-30-07 AAA Consol TB - FINAL" xfId="912" xr:uid="{00000000-0005-0000-0000-000088030000}"/>
    <cellStyle name="_11-30-07 AAA Consol TB - FINAL_Bonco Analysis" xfId="913" xr:uid="{00000000-0005-0000-0000-000089030000}"/>
    <cellStyle name="_11-30-07 AAA Consol TB - FINAL_Bonco Analysis Projection" xfId="914" xr:uid="{00000000-0005-0000-0000-00008A030000}"/>
    <cellStyle name="_11-30-07 AAA Consol TB - FINAL_Bonco Analysis Projection_Cash Summary AIF IV and AIF VI - 05.14.09 v2" xfId="915" xr:uid="{00000000-0005-0000-0000-00008B030000}"/>
    <cellStyle name="_11-30-07 AAA Consol TB - FINAL_Bonco Analysis Projection_PE Funds Cash 04 17 09 Ken V Portrait 4-30-09v4" xfId="916" xr:uid="{00000000-0005-0000-0000-00008C030000}"/>
    <cellStyle name="_11-30-07 AAA Consol TB - FINAL_Bonco Analysis_Cash Summary AIF IV and AIF VI - 05.14.09 v2" xfId="917" xr:uid="{00000000-0005-0000-0000-00008D030000}"/>
    <cellStyle name="_11-30-07 AAA Consol TB - FINAL_Bonco Analysis_PE Funds Cash 04 17 09 Ken V Portrait 4-30-09v4" xfId="918" xr:uid="{00000000-0005-0000-0000-00008E030000}"/>
    <cellStyle name="_11-30-07 AAA Consol TB - FINAL_Book Capital Allocation 9 30_Broadleaf_DT" xfId="919" xr:uid="{00000000-0005-0000-0000-00008F030000}"/>
    <cellStyle name="_11-30-07 AAA Consol TB - FINAL_Book Capital Allocation 9 30_Broadleaf_DT_Cash Summary AIF IV and AIF VI - 05.14.09 v2" xfId="920" xr:uid="{00000000-0005-0000-0000-000090030000}"/>
    <cellStyle name="_11-30-07 AAA Consol TB - FINAL_Book Capital Allocation 9 30_Broadleaf_DT_PE Funds Cash 04 17 09 Ken V Portrait 4-30-09v4" xfId="921" xr:uid="{00000000-0005-0000-0000-000091030000}"/>
    <cellStyle name="_11-30-07 AAA Consol TB - FINAL_Broadleaf - Partner Capital Account Analysis" xfId="922" xr:uid="{00000000-0005-0000-0000-000092030000}"/>
    <cellStyle name="_11-30-07 AAA Consol TB - FINAL_Broadleaf - Partner Capital Account Analysis_Cash Summary AIF IV and AIF VI - 05.14.09 v2" xfId="923" xr:uid="{00000000-0005-0000-0000-000093030000}"/>
    <cellStyle name="_11-30-07 AAA Consol TB - FINAL_Broadleaf - Partner Capital Account Analysis_PE Funds Cash 04 17 09 Ken V Portrait 4-30-09v4" xfId="924" xr:uid="{00000000-0005-0000-0000-000094030000}"/>
    <cellStyle name="_11-30-07 AAA Consol TB - FINAL_Cash Summary AIF IV and AIF VI - 05.14.09 v2" xfId="925" xr:uid="{00000000-0005-0000-0000-000095030000}"/>
    <cellStyle name="_11-30-07 AAA Consol TB - FINAL_Foward 704(c) All. June 08  (2)" xfId="926" xr:uid="{00000000-0005-0000-0000-000096030000}"/>
    <cellStyle name="_11-30-07 AAA Consol TB - FINAL_Foward 704(c) All. June 08  (2)_Cash Summary AIF IV and AIF VI - 05.14.09 v2" xfId="927" xr:uid="{00000000-0005-0000-0000-000097030000}"/>
    <cellStyle name="_11-30-07 AAA Consol TB - FINAL_Foward 704(c) All. June 08  (2)_PE Funds Cash 04 17 09 Ken V Portrait 4-30-09v4" xfId="928" xr:uid="{00000000-0005-0000-0000-000098030000}"/>
    <cellStyle name="_11-30-07 AAA Consol TB - FINAL_LeverageSource Analysis" xfId="929" xr:uid="{00000000-0005-0000-0000-000099030000}"/>
    <cellStyle name="_11-30-07 AAA Consol TB - FINAL_LeverageSource Analysis Projection 11 17 2008" xfId="930" xr:uid="{00000000-0005-0000-0000-00009A030000}"/>
    <cellStyle name="_11-30-07 AAA Consol TB - FINAL_LeverageSource Analysis Projection 11 17 2008_Cash Summary AIF IV and AIF VI - 05.14.09 v2" xfId="931" xr:uid="{00000000-0005-0000-0000-00009B030000}"/>
    <cellStyle name="_11-30-07 AAA Consol TB - FINAL_LeverageSource Analysis Projection 11 17 2008_PE Funds Cash 04 17 09 Ken V Portrait 4-30-09v4" xfId="932" xr:uid="{00000000-0005-0000-0000-00009C030000}"/>
    <cellStyle name="_11-30-07 AAA Consol TB - FINAL_LeverageSource Analysis_Cash Summary AIF IV and AIF VI - 05.14.09 v2" xfId="933" xr:uid="{00000000-0005-0000-0000-00009D030000}"/>
    <cellStyle name="_11-30-07 AAA Consol TB - FINAL_LeverageSource Analysis_PE Funds Cash 04 17 09 Ken V Portrait 4-30-09v4" xfId="934" xr:uid="{00000000-0005-0000-0000-00009E030000}"/>
    <cellStyle name="_11-30-07 AAA Consol TB - FINAL_PE Funds Cash 04 17 09 Ken V Portrait 4-30-09v4" xfId="935" xr:uid="{00000000-0005-0000-0000-00009F030000}"/>
    <cellStyle name="_20051231 FRIT  FCF FS" xfId="936" xr:uid="{00000000-0005-0000-0000-0000A0030000}"/>
    <cellStyle name="_20051231 FRIT  FCF FS 10" xfId="937" xr:uid="{00000000-0005-0000-0000-0000A1030000}"/>
    <cellStyle name="_20051231 FRIT  FCF FS 11" xfId="938" xr:uid="{00000000-0005-0000-0000-0000A2030000}"/>
    <cellStyle name="_20051231 FRIT  FCF FS 12" xfId="939" xr:uid="{00000000-0005-0000-0000-0000A3030000}"/>
    <cellStyle name="_20051231 FRIT  FCF FS 13" xfId="940" xr:uid="{00000000-0005-0000-0000-0000A4030000}"/>
    <cellStyle name="_20051231 FRIT  FCF FS 14" xfId="941" xr:uid="{00000000-0005-0000-0000-0000A5030000}"/>
    <cellStyle name="_20051231 FRIT  FCF FS 15" xfId="942" xr:uid="{00000000-0005-0000-0000-0000A6030000}"/>
    <cellStyle name="_20051231 FRIT  FCF FS 16" xfId="943" xr:uid="{00000000-0005-0000-0000-0000A7030000}"/>
    <cellStyle name="_20051231 FRIT  FCF FS 17" xfId="944" xr:uid="{00000000-0005-0000-0000-0000A8030000}"/>
    <cellStyle name="_20051231 FRIT  FCF FS 18" xfId="945" xr:uid="{00000000-0005-0000-0000-0000A9030000}"/>
    <cellStyle name="_20051231 FRIT  FCF FS 19" xfId="946" xr:uid="{00000000-0005-0000-0000-0000AA030000}"/>
    <cellStyle name="_20051231 FRIT  FCF FS 2" xfId="947" xr:uid="{00000000-0005-0000-0000-0000AB030000}"/>
    <cellStyle name="_20051231 FRIT  FCF FS 20" xfId="948" xr:uid="{00000000-0005-0000-0000-0000AC030000}"/>
    <cellStyle name="_20051231 FRIT  FCF FS 21" xfId="949" xr:uid="{00000000-0005-0000-0000-0000AD030000}"/>
    <cellStyle name="_20051231 FRIT  FCF FS 21 2" xfId="950" xr:uid="{00000000-0005-0000-0000-0000AE030000}"/>
    <cellStyle name="_20051231 FRIT  FCF FS 3" xfId="951" xr:uid="{00000000-0005-0000-0000-0000AF030000}"/>
    <cellStyle name="_20051231 FRIT  FCF FS 4" xfId="952" xr:uid="{00000000-0005-0000-0000-0000B0030000}"/>
    <cellStyle name="_20051231 FRIT  FCF FS 5" xfId="953" xr:uid="{00000000-0005-0000-0000-0000B1030000}"/>
    <cellStyle name="_20051231 FRIT  FCF FS 6" xfId="954" xr:uid="{00000000-0005-0000-0000-0000B2030000}"/>
    <cellStyle name="_20051231 FRIT  FCF FS 7" xfId="955" xr:uid="{00000000-0005-0000-0000-0000B3030000}"/>
    <cellStyle name="_20051231 FRIT  FCF FS 8" xfId="956" xr:uid="{00000000-0005-0000-0000-0000B4030000}"/>
    <cellStyle name="_20051231 FRIT  FCF FS 9" xfId="957" xr:uid="{00000000-0005-0000-0000-0000B5030000}"/>
    <cellStyle name="_20051231 FRIT  FCF FS_{6} Carry" xfId="958" xr:uid="{00000000-0005-0000-0000-0000B6030000}"/>
    <cellStyle name="_20051231 FRIT  FCF FS_{6} Clawback" xfId="959" xr:uid="{00000000-0005-0000-0000-0000B7030000}"/>
    <cellStyle name="_20051231 FRIT  FCF FS_2011 Q1 Monitoring Fees v3" xfId="960" xr:uid="{00000000-0005-0000-0000-0000B8030000}"/>
    <cellStyle name="_20051231 FRIT  FCF FS_AIF IV Financial Highlights 12-31-08 v4" xfId="961" xr:uid="{00000000-0005-0000-0000-0000B9030000}"/>
    <cellStyle name="_20051231 FRIT  FCF FS_AIF IV Financial Highlights 12-31-08 v4_Apollo Investment Fund IV  Q3 2009 Capital Analysis CURRENT" xfId="962" xr:uid="{00000000-0005-0000-0000-0000BA030000}"/>
    <cellStyle name="_20051231 FRIT  FCF FS_AIF IV Financial Highlights 12-31-08 v4_Apollo Investment Fund IV  Q3 2009 Capital Analysis iPCS &amp; URI Distribution" xfId="963" xr:uid="{00000000-0005-0000-0000-0000BB030000}"/>
    <cellStyle name="_20051231 FRIT  FCF FS_AIF IV Financial Highlights 12-31-08 v4_iPCs#1-Remaining" xfId="964" xr:uid="{00000000-0005-0000-0000-0000BC030000}"/>
    <cellStyle name="_20051231 FRIT  FCF FS_Andy Affrick - Schedulev2" xfId="965" xr:uid="{00000000-0005-0000-0000-0000BD030000}"/>
    <cellStyle name="_20051231 FRIT  FCF FS_Apollo Investment Fund IV  April Priority Return" xfId="966" xr:uid="{00000000-0005-0000-0000-0000BE030000}"/>
    <cellStyle name="_20051231 FRIT  FCF FS_Apollo Investment Fund IV  Q1 2009 Capital Analysis 5-22-09 with GAAP" xfId="967" xr:uid="{00000000-0005-0000-0000-0000BF030000}"/>
    <cellStyle name="_20051231 FRIT  FCF FS_Apollo Investment Fund IV  Q1 2009 Capital Analysis GAAP" xfId="968" xr:uid="{00000000-0005-0000-0000-0000C0030000}"/>
    <cellStyle name="_20051231 FRIT  FCF FS_Apollo Investment Fund IV  Q2 2009 Capital Analysis CURRENT" xfId="969" xr:uid="{00000000-0005-0000-0000-0000C1030000}"/>
    <cellStyle name="_20051231 FRIT  FCF FS_Apollo Investment Fund IV  Q3 2009 Capital Analysis CURRENT" xfId="970" xr:uid="{00000000-0005-0000-0000-0000C2030000}"/>
    <cellStyle name="_20051231 FRIT  FCF FS_Apollo Investment Fund IV  Q3 2009 Capital Analysis iPCS &amp; URI Distribution" xfId="971" xr:uid="{00000000-0005-0000-0000-0000C3030000}"/>
    <cellStyle name="_20051231 FRIT  FCF FS_Apollo Investment Fund IV Priority Return 6-30-09" xfId="972" xr:uid="{00000000-0005-0000-0000-0000C4030000}"/>
    <cellStyle name="_20051231 FRIT  FCF FS_Apollo Investment Fund IV Q1 2009 Capital Analysis PR CORRECTED 6-30-09" xfId="973" xr:uid="{00000000-0005-0000-0000-0000C5030000}"/>
    <cellStyle name="_20051231 FRIT  FCF FS_Broadleaf Watefall 9-30-09" xfId="974" xr:uid="{00000000-0005-0000-0000-0000C6030000}"/>
    <cellStyle name="_20051231 FRIT  FCF FS_Carry Calculation" xfId="975" xr:uid="{00000000-0005-0000-0000-0000C7030000}"/>
    <cellStyle name="_20051231 FRIT  FCF FS_Cash Input" xfId="976" xr:uid="{00000000-0005-0000-0000-0000C8030000}"/>
    <cellStyle name="_20051231 FRIT  FCF FS_COF I CAS" xfId="977" xr:uid="{00000000-0005-0000-0000-0000C9030000}"/>
    <cellStyle name="_20051231 FRIT  FCF FS_COF II CAS" xfId="978" xr:uid="{00000000-0005-0000-0000-0000CA030000}"/>
    <cellStyle name="_20051231 FRIT  FCF FS_Copy of AGM Dec '09 YTD COF I and II Dep  Liab (1-13-10) (2)" xfId="979" xr:uid="{00000000-0005-0000-0000-0000CB030000}"/>
    <cellStyle name="_20051231 FRIT  FCF FS_Dist Summary_11.XX.09" xfId="980" xr:uid="{00000000-0005-0000-0000-0000CC030000}"/>
    <cellStyle name="_20051231 FRIT  FCF FS_Domestic TB" xfId="981" xr:uid="{00000000-0005-0000-0000-0000CD030000}"/>
    <cellStyle name="_20051231 FRIT  FCF FS_Domestic TB 2" xfId="982" xr:uid="{00000000-0005-0000-0000-0000CE030000}"/>
    <cellStyle name="_20051231 FRIT  FCF FS_Fund IV" xfId="983" xr:uid="{00000000-0005-0000-0000-0000CF030000}"/>
    <cellStyle name="_20051231 FRIT  FCF FS_Fund IV 9.30.08" xfId="984" xr:uid="{00000000-0005-0000-0000-0000D0030000}"/>
    <cellStyle name="_20051231 FRIT  FCF FS_Fund IV_1" xfId="985" xr:uid="{00000000-0005-0000-0000-0000D1030000}"/>
    <cellStyle name="_20051231 FRIT  FCF FS_Fund IV_AIF IV - Waterfall 3 31 09 vs  6 30 09" xfId="986" xr:uid="{00000000-0005-0000-0000-0000D2030000}"/>
    <cellStyle name="_20051231 FRIT  FCF FS_Fund IV_AIF IV, V, VI, VII, COF - Waterfall 3 31 09 vs  6 30 09" xfId="987" xr:uid="{00000000-0005-0000-0000-0000D3030000}"/>
    <cellStyle name="_20051231 FRIT  FCF FS_Fund IV_Fund IV" xfId="988" xr:uid="{00000000-0005-0000-0000-0000D4030000}"/>
    <cellStyle name="_20051231 FRIT  FCF FS_Fund IV_Funds IV Clawback Value Adjustment" xfId="989" xr:uid="{00000000-0005-0000-0000-0000D5030000}"/>
    <cellStyle name="_20051231 FRIT  FCF FS_GP commitApollo Entities" xfId="990" xr:uid="{00000000-0005-0000-0000-0000D6030000}"/>
    <cellStyle name="_20051231 FRIT  FCF FS_IC Balance" xfId="991" xr:uid="{00000000-0005-0000-0000-0000D7030000}"/>
    <cellStyle name="_20051231 FRIT  FCF FS_Invested Capital Debt Worksheet" xfId="992" xr:uid="{00000000-0005-0000-0000-0000D8030000}"/>
    <cellStyle name="_20051231 FRIT  FCF FS_iPCs#1-Remaining" xfId="993" xr:uid="{00000000-0005-0000-0000-0000D9030000}"/>
    <cellStyle name="_20051231 FRIT  FCF FS_LS, LP - Dec  2010 Trial Balance Summary" xfId="994" xr:uid="{00000000-0005-0000-0000-0000DA030000}"/>
    <cellStyle name="_20051231 FRIT  FCF FS_Partners Capital Q1 2009" xfId="995" xr:uid="{00000000-0005-0000-0000-0000DB030000}"/>
    <cellStyle name="_20051231 FRIT  FCF FS_Partners Capital Q1 2009 2" xfId="996" xr:uid="{00000000-0005-0000-0000-0000DC030000}"/>
    <cellStyle name="_20051231 FRIT  FCF FS_Partners Capital Q1 2009 3" xfId="997" xr:uid="{00000000-0005-0000-0000-0000DD030000}"/>
    <cellStyle name="_20051231 FRIT  FCF FS_Partners Capital Q1 2009_Broadleaf Watefall 12-31-09" xfId="998" xr:uid="{00000000-0005-0000-0000-0000DE030000}"/>
    <cellStyle name="_20051231 FRIT  FCF FS_PR Calc" xfId="999" xr:uid="{00000000-0005-0000-0000-0000DF030000}"/>
    <cellStyle name="_20051231 FRIT  FCF FS_PR Calc - DOMESTIC" xfId="1000" xr:uid="{00000000-0005-0000-0000-0000E0030000}"/>
    <cellStyle name="_20051231 FRIT  FCF FS_RCIV Q3 2009 Capital Analysis CURRENT" xfId="1001" xr:uid="{00000000-0005-0000-0000-0000E1030000}"/>
    <cellStyle name="_20051231 FRIT  FCF FS_RCIV Q3 2009 Capital Analysis CURRENT 2" xfId="1002" xr:uid="{00000000-0005-0000-0000-0000E2030000}"/>
    <cellStyle name="_2006 Apollo Proforma Tax Template V4 6-20" xfId="1003" xr:uid="{00000000-0005-0000-0000-0000E3030000}"/>
    <cellStyle name="_2006 Apollo Proforma Tax Template V4 6-20 10" xfId="1004" xr:uid="{00000000-0005-0000-0000-0000E4030000}"/>
    <cellStyle name="_2006 Apollo Proforma Tax Template V4 6-20 11" xfId="1005" xr:uid="{00000000-0005-0000-0000-0000E5030000}"/>
    <cellStyle name="_2006 Apollo Proforma Tax Template V4 6-20 12" xfId="1006" xr:uid="{00000000-0005-0000-0000-0000E6030000}"/>
    <cellStyle name="_2006 Apollo Proforma Tax Template V4 6-20 13" xfId="1007" xr:uid="{00000000-0005-0000-0000-0000E7030000}"/>
    <cellStyle name="_2006 Apollo Proforma Tax Template V4 6-20 14" xfId="1008" xr:uid="{00000000-0005-0000-0000-0000E8030000}"/>
    <cellStyle name="_2006 Apollo Proforma Tax Template V4 6-20 15" xfId="1009" xr:uid="{00000000-0005-0000-0000-0000E9030000}"/>
    <cellStyle name="_2006 Apollo Proforma Tax Template V4 6-20 16" xfId="1010" xr:uid="{00000000-0005-0000-0000-0000EA030000}"/>
    <cellStyle name="_2006 Apollo Proforma Tax Template V4 6-20 17" xfId="1011" xr:uid="{00000000-0005-0000-0000-0000EB030000}"/>
    <cellStyle name="_2006 Apollo Proforma Tax Template V4 6-20 18" xfId="1012" xr:uid="{00000000-0005-0000-0000-0000EC030000}"/>
    <cellStyle name="_2006 Apollo Proforma Tax Template V4 6-20 19" xfId="1013" xr:uid="{00000000-0005-0000-0000-0000ED030000}"/>
    <cellStyle name="_2006 Apollo Proforma Tax Template V4 6-20 2" xfId="1014" xr:uid="{00000000-0005-0000-0000-0000EE030000}"/>
    <cellStyle name="_2006 Apollo Proforma Tax Template V4 6-20 20" xfId="1015" xr:uid="{00000000-0005-0000-0000-0000EF030000}"/>
    <cellStyle name="_2006 Apollo Proforma Tax Template V4 6-20 21" xfId="1016" xr:uid="{00000000-0005-0000-0000-0000F0030000}"/>
    <cellStyle name="_2006 Apollo Proforma Tax Template V4 6-20 21 2" xfId="1017" xr:uid="{00000000-0005-0000-0000-0000F1030000}"/>
    <cellStyle name="_2006 Apollo Proforma Tax Template V4 6-20 3" xfId="1018" xr:uid="{00000000-0005-0000-0000-0000F2030000}"/>
    <cellStyle name="_2006 Apollo Proforma Tax Template V4 6-20 4" xfId="1019" xr:uid="{00000000-0005-0000-0000-0000F3030000}"/>
    <cellStyle name="_2006 Apollo Proforma Tax Template V4 6-20 5" xfId="1020" xr:uid="{00000000-0005-0000-0000-0000F4030000}"/>
    <cellStyle name="_2006 Apollo Proforma Tax Template V4 6-20 6" xfId="1021" xr:uid="{00000000-0005-0000-0000-0000F5030000}"/>
    <cellStyle name="_2006 Apollo Proforma Tax Template V4 6-20 7" xfId="1022" xr:uid="{00000000-0005-0000-0000-0000F6030000}"/>
    <cellStyle name="_2006 Apollo Proforma Tax Template V4 6-20 8" xfId="1023" xr:uid="{00000000-0005-0000-0000-0000F7030000}"/>
    <cellStyle name="_2006 Apollo Proforma Tax Template V4 6-20 9" xfId="1024" xr:uid="{00000000-0005-0000-0000-0000F8030000}"/>
    <cellStyle name="_2006 Apollo Proforma Tax Template V4 6-20 rita" xfId="1025" xr:uid="{00000000-0005-0000-0000-0000F9030000}"/>
    <cellStyle name="_2006 Apollo Proforma Tax Template V4 6-20 rita 10" xfId="1026" xr:uid="{00000000-0005-0000-0000-0000FA030000}"/>
    <cellStyle name="_2006 Apollo Proforma Tax Template V4 6-20 rita 11" xfId="1027" xr:uid="{00000000-0005-0000-0000-0000FB030000}"/>
    <cellStyle name="_2006 Apollo Proforma Tax Template V4 6-20 rita 12" xfId="1028" xr:uid="{00000000-0005-0000-0000-0000FC030000}"/>
    <cellStyle name="_2006 Apollo Proforma Tax Template V4 6-20 rita 13" xfId="1029" xr:uid="{00000000-0005-0000-0000-0000FD030000}"/>
    <cellStyle name="_2006 Apollo Proforma Tax Template V4 6-20 rita 14" xfId="1030" xr:uid="{00000000-0005-0000-0000-0000FE030000}"/>
    <cellStyle name="_2006 Apollo Proforma Tax Template V4 6-20 rita 15" xfId="1031" xr:uid="{00000000-0005-0000-0000-0000FF030000}"/>
    <cellStyle name="_2006 Apollo Proforma Tax Template V4 6-20 rita 16" xfId="1032" xr:uid="{00000000-0005-0000-0000-000000040000}"/>
    <cellStyle name="_2006 Apollo Proforma Tax Template V4 6-20 rita 17" xfId="1033" xr:uid="{00000000-0005-0000-0000-000001040000}"/>
    <cellStyle name="_2006 Apollo Proforma Tax Template V4 6-20 rita 18" xfId="1034" xr:uid="{00000000-0005-0000-0000-000002040000}"/>
    <cellStyle name="_2006 Apollo Proforma Tax Template V4 6-20 rita 19" xfId="1035" xr:uid="{00000000-0005-0000-0000-000003040000}"/>
    <cellStyle name="_2006 Apollo Proforma Tax Template V4 6-20 rita 2" xfId="1036" xr:uid="{00000000-0005-0000-0000-000004040000}"/>
    <cellStyle name="_2006 Apollo Proforma Tax Template V4 6-20 rita 20" xfId="1037" xr:uid="{00000000-0005-0000-0000-000005040000}"/>
    <cellStyle name="_2006 Apollo Proforma Tax Template V4 6-20 rita 21" xfId="1038" xr:uid="{00000000-0005-0000-0000-000006040000}"/>
    <cellStyle name="_2006 Apollo Proforma Tax Template V4 6-20 rita 21 2" xfId="1039" xr:uid="{00000000-0005-0000-0000-000007040000}"/>
    <cellStyle name="_2006 Apollo Proforma Tax Template V4 6-20 rita 3" xfId="1040" xr:uid="{00000000-0005-0000-0000-000008040000}"/>
    <cellStyle name="_2006 Apollo Proforma Tax Template V4 6-20 rita 4" xfId="1041" xr:uid="{00000000-0005-0000-0000-000009040000}"/>
    <cellStyle name="_2006 Apollo Proforma Tax Template V4 6-20 rita 5" xfId="1042" xr:uid="{00000000-0005-0000-0000-00000A040000}"/>
    <cellStyle name="_2006 Apollo Proforma Tax Template V4 6-20 rita 6" xfId="1043" xr:uid="{00000000-0005-0000-0000-00000B040000}"/>
    <cellStyle name="_2006 Apollo Proforma Tax Template V4 6-20 rita 7" xfId="1044" xr:uid="{00000000-0005-0000-0000-00000C040000}"/>
    <cellStyle name="_2006 Apollo Proforma Tax Template V4 6-20 rita 8" xfId="1045" xr:uid="{00000000-0005-0000-0000-00000D040000}"/>
    <cellStyle name="_2006 Apollo Proforma Tax Template V4 6-20 rita 9" xfId="1046" xr:uid="{00000000-0005-0000-0000-00000E040000}"/>
    <cellStyle name="_2006 Apollo Proforma Tax Template V4 6-20 rita_{6} Carry" xfId="1047" xr:uid="{00000000-0005-0000-0000-00000F040000}"/>
    <cellStyle name="_2006 Apollo Proforma Tax Template V4 6-20 rita_{6} Clawback" xfId="1048" xr:uid="{00000000-0005-0000-0000-000010040000}"/>
    <cellStyle name="_2006 Apollo Proforma Tax Template V4 6-20 rita_2011 Q1 Monitoring Fees v3" xfId="1049" xr:uid="{00000000-0005-0000-0000-000011040000}"/>
    <cellStyle name="_2006 Apollo Proforma Tax Template V4 6-20 rita_AIF IV Financial Highlights 12-31-08 v4" xfId="1050" xr:uid="{00000000-0005-0000-0000-000012040000}"/>
    <cellStyle name="_2006 Apollo Proforma Tax Template V4 6-20 rita_AIF IV Financial Highlights 12-31-08 v4_Apollo Investment Fund IV  Q3 2009 Capital Analysis CURRENT" xfId="1051" xr:uid="{00000000-0005-0000-0000-000013040000}"/>
    <cellStyle name="_2006 Apollo Proforma Tax Template V4 6-20 rita_AIF IV Financial Highlights 12-31-08 v4_Apollo Investment Fund IV  Q3 2009 Capital Analysis iPCS &amp; URI Distribution" xfId="1052" xr:uid="{00000000-0005-0000-0000-000014040000}"/>
    <cellStyle name="_2006 Apollo Proforma Tax Template V4 6-20 rita_AIF IV Financial Highlights 12-31-08 v4_iPCs#1-Remaining" xfId="1053" xr:uid="{00000000-0005-0000-0000-000015040000}"/>
    <cellStyle name="_2006 Apollo Proforma Tax Template V4 6-20 rita_Andy Affrick - Schedulev2" xfId="1054" xr:uid="{00000000-0005-0000-0000-000016040000}"/>
    <cellStyle name="_2006 Apollo Proforma Tax Template V4 6-20 rita_Apollo Investment Fund IV  April Priority Return" xfId="1055" xr:uid="{00000000-0005-0000-0000-000017040000}"/>
    <cellStyle name="_2006 Apollo Proforma Tax Template V4 6-20 rita_Apollo Investment Fund IV  Q1 2009 Capital Analysis 5-22-09 with GAAP" xfId="1056" xr:uid="{00000000-0005-0000-0000-000018040000}"/>
    <cellStyle name="_2006 Apollo Proforma Tax Template V4 6-20 rita_Apollo Investment Fund IV  Q1 2009 Capital Analysis GAAP" xfId="1057" xr:uid="{00000000-0005-0000-0000-000019040000}"/>
    <cellStyle name="_2006 Apollo Proforma Tax Template V4 6-20 rita_Apollo Investment Fund IV  Q2 2009 Capital Analysis CURRENT" xfId="1058" xr:uid="{00000000-0005-0000-0000-00001A040000}"/>
    <cellStyle name="_2006 Apollo Proforma Tax Template V4 6-20 rita_Apollo Investment Fund IV  Q3 2009 Capital Analysis CURRENT" xfId="1059" xr:uid="{00000000-0005-0000-0000-00001B040000}"/>
    <cellStyle name="_2006 Apollo Proforma Tax Template V4 6-20 rita_Apollo Investment Fund IV  Q3 2009 Capital Analysis iPCS &amp; URI Distribution" xfId="1060" xr:uid="{00000000-0005-0000-0000-00001C040000}"/>
    <cellStyle name="_2006 Apollo Proforma Tax Template V4 6-20 rita_Apollo Investment Fund IV Priority Return 6-30-09" xfId="1061" xr:uid="{00000000-0005-0000-0000-00001D040000}"/>
    <cellStyle name="_2006 Apollo Proforma Tax Template V4 6-20 rita_Apollo Investment Fund IV Q1 2009 Capital Analysis PR CORRECTED 6-30-09" xfId="1062" xr:uid="{00000000-0005-0000-0000-00001E040000}"/>
    <cellStyle name="_2006 Apollo Proforma Tax Template V4 6-20 rita_Broadleaf Watefall 9-30-09" xfId="1063" xr:uid="{00000000-0005-0000-0000-00001F040000}"/>
    <cellStyle name="_2006 Apollo Proforma Tax Template V4 6-20 rita_Carry Calculation" xfId="1064" xr:uid="{00000000-0005-0000-0000-000020040000}"/>
    <cellStyle name="_2006 Apollo Proforma Tax Template V4 6-20 rita_Cash Input" xfId="1065" xr:uid="{00000000-0005-0000-0000-000021040000}"/>
    <cellStyle name="_2006 Apollo Proforma Tax Template V4 6-20 rita_COF I CAS" xfId="1066" xr:uid="{00000000-0005-0000-0000-000022040000}"/>
    <cellStyle name="_2006 Apollo Proforma Tax Template V4 6-20 rita_COF II CAS" xfId="1067" xr:uid="{00000000-0005-0000-0000-000023040000}"/>
    <cellStyle name="_2006 Apollo Proforma Tax Template V4 6-20 rita_Copy of AGM Dec '09 YTD COF I and II Dep  Liab (1-13-10) (2)" xfId="1068" xr:uid="{00000000-0005-0000-0000-000024040000}"/>
    <cellStyle name="_2006 Apollo Proforma Tax Template V4 6-20 rita_Dist Summary_11.XX.09" xfId="1069" xr:uid="{00000000-0005-0000-0000-000025040000}"/>
    <cellStyle name="_2006 Apollo Proforma Tax Template V4 6-20 rita_Domestic TB" xfId="1070" xr:uid="{00000000-0005-0000-0000-000026040000}"/>
    <cellStyle name="_2006 Apollo Proforma Tax Template V4 6-20 rita_Domestic TB 2" xfId="1071" xr:uid="{00000000-0005-0000-0000-000027040000}"/>
    <cellStyle name="_2006 Apollo Proforma Tax Template V4 6-20 rita_Fund IV" xfId="1072" xr:uid="{00000000-0005-0000-0000-000028040000}"/>
    <cellStyle name="_2006 Apollo Proforma Tax Template V4 6-20 rita_Fund IV 9.30.08" xfId="1073" xr:uid="{00000000-0005-0000-0000-000029040000}"/>
    <cellStyle name="_2006 Apollo Proforma Tax Template V4 6-20 rita_Fund IV_1" xfId="1074" xr:uid="{00000000-0005-0000-0000-00002A040000}"/>
    <cellStyle name="_2006 Apollo Proforma Tax Template V4 6-20 rita_Fund IV_AIF IV - Waterfall 3 31 09 vs  6 30 09" xfId="1075" xr:uid="{00000000-0005-0000-0000-00002B040000}"/>
    <cellStyle name="_2006 Apollo Proforma Tax Template V4 6-20 rita_Fund IV_AIF IV, V, VI, VII, COF - Waterfall 3 31 09 vs  6 30 09" xfId="1076" xr:uid="{00000000-0005-0000-0000-00002C040000}"/>
    <cellStyle name="_2006 Apollo Proforma Tax Template V4 6-20 rita_Fund IV_Fund IV" xfId="1077" xr:uid="{00000000-0005-0000-0000-00002D040000}"/>
    <cellStyle name="_2006 Apollo Proforma Tax Template V4 6-20 rita_Fund IV_Funds IV Clawback Value Adjustment" xfId="1078" xr:uid="{00000000-0005-0000-0000-00002E040000}"/>
    <cellStyle name="_2006 Apollo Proforma Tax Template V4 6-20 rita_GP commitApollo Entities" xfId="1079" xr:uid="{00000000-0005-0000-0000-00002F040000}"/>
    <cellStyle name="_2006 Apollo Proforma Tax Template V4 6-20 rita_IC Balance" xfId="1080" xr:uid="{00000000-0005-0000-0000-000030040000}"/>
    <cellStyle name="_2006 Apollo Proforma Tax Template V4 6-20 rita_Invested Capital Debt Worksheet" xfId="1081" xr:uid="{00000000-0005-0000-0000-000031040000}"/>
    <cellStyle name="_2006 Apollo Proforma Tax Template V4 6-20 rita_iPCs#1-Remaining" xfId="1082" xr:uid="{00000000-0005-0000-0000-000032040000}"/>
    <cellStyle name="_2006 Apollo Proforma Tax Template V4 6-20 rita_LS, LP - Dec  2010 Trial Balance Summary" xfId="1083" xr:uid="{00000000-0005-0000-0000-000033040000}"/>
    <cellStyle name="_2006 Apollo Proforma Tax Template V4 6-20 rita_Partners Capital Q1 2009" xfId="1084" xr:uid="{00000000-0005-0000-0000-000034040000}"/>
    <cellStyle name="_2006 Apollo Proforma Tax Template V4 6-20 rita_Partners Capital Q1 2009 2" xfId="1085" xr:uid="{00000000-0005-0000-0000-000035040000}"/>
    <cellStyle name="_2006 Apollo Proforma Tax Template V4 6-20 rita_Partners Capital Q1 2009 3" xfId="1086" xr:uid="{00000000-0005-0000-0000-000036040000}"/>
    <cellStyle name="_2006 Apollo Proforma Tax Template V4 6-20 rita_Partners Capital Q1 2009_Broadleaf Watefall 12-31-09" xfId="1087" xr:uid="{00000000-0005-0000-0000-000037040000}"/>
    <cellStyle name="_2006 Apollo Proforma Tax Template V4 6-20 rita_PR Calc" xfId="1088" xr:uid="{00000000-0005-0000-0000-000038040000}"/>
    <cellStyle name="_2006 Apollo Proforma Tax Template V4 6-20 rita_PR Calc - DOMESTIC" xfId="1089" xr:uid="{00000000-0005-0000-0000-000039040000}"/>
    <cellStyle name="_2006 Apollo Proforma Tax Template V4 6-20 rita_RCIV Q3 2009 Capital Analysis CURRENT" xfId="1090" xr:uid="{00000000-0005-0000-0000-00003A040000}"/>
    <cellStyle name="_2006 Apollo Proforma Tax Template V4 6-20 rita_RCIV Q3 2009 Capital Analysis CURRENT 2" xfId="1091" xr:uid="{00000000-0005-0000-0000-00003B040000}"/>
    <cellStyle name="_2006 Apollo Proforma Tax Template V4 6-20_{6} Carry" xfId="1092" xr:uid="{00000000-0005-0000-0000-00003C040000}"/>
    <cellStyle name="_2006 Apollo Proforma Tax Template V4 6-20_{6} Clawback" xfId="1093" xr:uid="{00000000-0005-0000-0000-00003D040000}"/>
    <cellStyle name="_2006 Apollo Proforma Tax Template V4 6-20_2011 Q1 Monitoring Fees v3" xfId="1094" xr:uid="{00000000-0005-0000-0000-00003E040000}"/>
    <cellStyle name="_2006 Apollo Proforma Tax Template V4 6-20_AIF IV Financial Highlights 12-31-08 v4" xfId="1095" xr:uid="{00000000-0005-0000-0000-00003F040000}"/>
    <cellStyle name="_2006 Apollo Proforma Tax Template V4 6-20_AIF IV Financial Highlights 12-31-08 v4_Apollo Investment Fund IV  Q3 2009 Capital Analysis CURRENT" xfId="1096" xr:uid="{00000000-0005-0000-0000-000040040000}"/>
    <cellStyle name="_2006 Apollo Proforma Tax Template V4 6-20_AIF IV Financial Highlights 12-31-08 v4_Apollo Investment Fund IV  Q3 2009 Capital Analysis iPCS &amp; URI Distribution" xfId="1097" xr:uid="{00000000-0005-0000-0000-000041040000}"/>
    <cellStyle name="_2006 Apollo Proforma Tax Template V4 6-20_AIF IV Financial Highlights 12-31-08 v4_iPCs#1-Remaining" xfId="1098" xr:uid="{00000000-0005-0000-0000-000042040000}"/>
    <cellStyle name="_2006 Apollo Proforma Tax Template V4 6-20_Andy Affrick - Schedulev2" xfId="1099" xr:uid="{00000000-0005-0000-0000-000043040000}"/>
    <cellStyle name="_2006 Apollo Proforma Tax Template V4 6-20_Apollo Investment Fund IV  April Priority Return" xfId="1100" xr:uid="{00000000-0005-0000-0000-000044040000}"/>
    <cellStyle name="_2006 Apollo Proforma Tax Template V4 6-20_Apollo Investment Fund IV  Q1 2009 Capital Analysis 5-22-09 with GAAP" xfId="1101" xr:uid="{00000000-0005-0000-0000-000045040000}"/>
    <cellStyle name="_2006 Apollo Proforma Tax Template V4 6-20_Apollo Investment Fund IV  Q1 2009 Capital Analysis GAAP" xfId="1102" xr:uid="{00000000-0005-0000-0000-000046040000}"/>
    <cellStyle name="_2006 Apollo Proforma Tax Template V4 6-20_Apollo Investment Fund IV  Q2 2009 Capital Analysis CURRENT" xfId="1103" xr:uid="{00000000-0005-0000-0000-000047040000}"/>
    <cellStyle name="_2006 Apollo Proforma Tax Template V4 6-20_Apollo Investment Fund IV  Q3 2009 Capital Analysis CURRENT" xfId="1104" xr:uid="{00000000-0005-0000-0000-000048040000}"/>
    <cellStyle name="_2006 Apollo Proforma Tax Template V4 6-20_Apollo Investment Fund IV  Q3 2009 Capital Analysis iPCS &amp; URI Distribution" xfId="1105" xr:uid="{00000000-0005-0000-0000-000049040000}"/>
    <cellStyle name="_2006 Apollo Proforma Tax Template V4 6-20_Apollo Investment Fund IV Priority Return 6-30-09" xfId="1106" xr:uid="{00000000-0005-0000-0000-00004A040000}"/>
    <cellStyle name="_2006 Apollo Proforma Tax Template V4 6-20_Apollo Investment Fund IV Q1 2009 Capital Analysis PR CORRECTED 6-30-09" xfId="1107" xr:uid="{00000000-0005-0000-0000-00004B040000}"/>
    <cellStyle name="_2006 Apollo Proforma Tax Template V4 6-20_Broadleaf Watefall 9-30-09" xfId="1108" xr:uid="{00000000-0005-0000-0000-00004C040000}"/>
    <cellStyle name="_2006 Apollo Proforma Tax Template V4 6-20_Carry Calculation" xfId="1109" xr:uid="{00000000-0005-0000-0000-00004D040000}"/>
    <cellStyle name="_2006 Apollo Proforma Tax Template V4 6-20_Cash Input" xfId="1110" xr:uid="{00000000-0005-0000-0000-00004E040000}"/>
    <cellStyle name="_2006 Apollo Proforma Tax Template V4 6-20_COF I CAS" xfId="1111" xr:uid="{00000000-0005-0000-0000-00004F040000}"/>
    <cellStyle name="_2006 Apollo Proforma Tax Template V4 6-20_COF II CAS" xfId="1112" xr:uid="{00000000-0005-0000-0000-000050040000}"/>
    <cellStyle name="_2006 Apollo Proforma Tax Template V4 6-20_Copy of AGM Dec '09 YTD COF I and II Dep  Liab (1-13-10) (2)" xfId="1113" xr:uid="{00000000-0005-0000-0000-000051040000}"/>
    <cellStyle name="_2006 Apollo Proforma Tax Template V4 6-20_Dist Summary_11.XX.09" xfId="1114" xr:uid="{00000000-0005-0000-0000-000052040000}"/>
    <cellStyle name="_2006 Apollo Proforma Tax Template V4 6-20_Domestic TB" xfId="1115" xr:uid="{00000000-0005-0000-0000-000053040000}"/>
    <cellStyle name="_2006 Apollo Proforma Tax Template V4 6-20_Domestic TB 2" xfId="1116" xr:uid="{00000000-0005-0000-0000-000054040000}"/>
    <cellStyle name="_2006 Apollo Proforma Tax Template V4 6-20_Fund IV" xfId="1117" xr:uid="{00000000-0005-0000-0000-000055040000}"/>
    <cellStyle name="_2006 Apollo Proforma Tax Template V4 6-20_Fund IV 9.30.08" xfId="1118" xr:uid="{00000000-0005-0000-0000-000056040000}"/>
    <cellStyle name="_2006 Apollo Proforma Tax Template V4 6-20_Fund IV_1" xfId="1119" xr:uid="{00000000-0005-0000-0000-000057040000}"/>
    <cellStyle name="_2006 Apollo Proforma Tax Template V4 6-20_Fund IV_AIF IV - Waterfall 3 31 09 vs  6 30 09" xfId="1120" xr:uid="{00000000-0005-0000-0000-000058040000}"/>
    <cellStyle name="_2006 Apollo Proforma Tax Template V4 6-20_Fund IV_AIF IV, V, VI, VII, COF - Waterfall 3 31 09 vs  6 30 09" xfId="1121" xr:uid="{00000000-0005-0000-0000-000059040000}"/>
    <cellStyle name="_2006 Apollo Proforma Tax Template V4 6-20_Fund IV_Fund IV" xfId="1122" xr:uid="{00000000-0005-0000-0000-00005A040000}"/>
    <cellStyle name="_2006 Apollo Proforma Tax Template V4 6-20_Fund IV_Funds IV Clawback Value Adjustment" xfId="1123" xr:uid="{00000000-0005-0000-0000-00005B040000}"/>
    <cellStyle name="_2006 Apollo Proforma Tax Template V4 6-20_GP commitApollo Entities" xfId="1124" xr:uid="{00000000-0005-0000-0000-00005C040000}"/>
    <cellStyle name="_2006 Apollo Proforma Tax Template V4 6-20_IC Balance" xfId="1125" xr:uid="{00000000-0005-0000-0000-00005D040000}"/>
    <cellStyle name="_2006 Apollo Proforma Tax Template V4 6-20_Invested Capital Debt Worksheet" xfId="1126" xr:uid="{00000000-0005-0000-0000-00005E040000}"/>
    <cellStyle name="_2006 Apollo Proforma Tax Template V4 6-20_iPCs#1-Remaining" xfId="1127" xr:uid="{00000000-0005-0000-0000-00005F040000}"/>
    <cellStyle name="_2006 Apollo Proforma Tax Template V4 6-20_LS, LP - Dec  2010 Trial Balance Summary" xfId="1128" xr:uid="{00000000-0005-0000-0000-000060040000}"/>
    <cellStyle name="_2006 Apollo Proforma Tax Template V4 6-20_Partners Capital Q1 2009" xfId="1129" xr:uid="{00000000-0005-0000-0000-000061040000}"/>
    <cellStyle name="_2006 Apollo Proforma Tax Template V4 6-20_Partners Capital Q1 2009 2" xfId="1130" xr:uid="{00000000-0005-0000-0000-000062040000}"/>
    <cellStyle name="_2006 Apollo Proforma Tax Template V4 6-20_Partners Capital Q1 2009 3" xfId="1131" xr:uid="{00000000-0005-0000-0000-000063040000}"/>
    <cellStyle name="_2006 Apollo Proforma Tax Template V4 6-20_Partners Capital Q1 2009_Broadleaf Watefall 12-31-09" xfId="1132" xr:uid="{00000000-0005-0000-0000-000064040000}"/>
    <cellStyle name="_2006 Apollo Proforma Tax Template V4 6-20_PR Calc" xfId="1133" xr:uid="{00000000-0005-0000-0000-000065040000}"/>
    <cellStyle name="_2006 Apollo Proforma Tax Template V4 6-20_PR Calc - DOMESTIC" xfId="1134" xr:uid="{00000000-0005-0000-0000-000066040000}"/>
    <cellStyle name="_2006 Apollo Proforma Tax Template V4 6-20_RCIV Q3 2009 Capital Analysis CURRENT" xfId="1135" xr:uid="{00000000-0005-0000-0000-000067040000}"/>
    <cellStyle name="_2006 Apollo Proforma Tax Template V4 6-20_RCIV Q3 2009 Capital Analysis CURRENT 2" xfId="1136" xr:uid="{00000000-0005-0000-0000-000068040000}"/>
    <cellStyle name="_4Q05 Board Business Review FINAL (2)" xfId="1137" xr:uid="{00000000-0005-0000-0000-000069040000}"/>
    <cellStyle name="_4Q05 Board Business Review FINAL (2) 10" xfId="1138" xr:uid="{00000000-0005-0000-0000-00006A040000}"/>
    <cellStyle name="_4Q05 Board Business Review FINAL (2) 11" xfId="1139" xr:uid="{00000000-0005-0000-0000-00006B040000}"/>
    <cellStyle name="_4Q05 Board Business Review FINAL (2) 12" xfId="1140" xr:uid="{00000000-0005-0000-0000-00006C040000}"/>
    <cellStyle name="_4Q05 Board Business Review FINAL (2) 13" xfId="1141" xr:uid="{00000000-0005-0000-0000-00006D040000}"/>
    <cellStyle name="_4Q05 Board Business Review FINAL (2) 14" xfId="1142" xr:uid="{00000000-0005-0000-0000-00006E040000}"/>
    <cellStyle name="_4Q05 Board Business Review FINAL (2) 15" xfId="1143" xr:uid="{00000000-0005-0000-0000-00006F040000}"/>
    <cellStyle name="_4Q05 Board Business Review FINAL (2) 16" xfId="1144" xr:uid="{00000000-0005-0000-0000-000070040000}"/>
    <cellStyle name="_4Q05 Board Business Review FINAL (2) 17" xfId="1145" xr:uid="{00000000-0005-0000-0000-000071040000}"/>
    <cellStyle name="_4Q05 Board Business Review FINAL (2) 18" xfId="1146" xr:uid="{00000000-0005-0000-0000-000072040000}"/>
    <cellStyle name="_4Q05 Board Business Review FINAL (2) 19" xfId="1147" xr:uid="{00000000-0005-0000-0000-000073040000}"/>
    <cellStyle name="_4Q05 Board Business Review FINAL (2) 2" xfId="1148" xr:uid="{00000000-0005-0000-0000-000074040000}"/>
    <cellStyle name="_4Q05 Board Business Review FINAL (2) 20" xfId="1149" xr:uid="{00000000-0005-0000-0000-000075040000}"/>
    <cellStyle name="_4Q05 Board Business Review FINAL (2) 21" xfId="1150" xr:uid="{00000000-0005-0000-0000-000076040000}"/>
    <cellStyle name="_4Q05 Board Business Review FINAL (2) 21 2" xfId="1151" xr:uid="{00000000-0005-0000-0000-000077040000}"/>
    <cellStyle name="_4Q05 Board Business Review FINAL (2) 3" xfId="1152" xr:uid="{00000000-0005-0000-0000-000078040000}"/>
    <cellStyle name="_4Q05 Board Business Review FINAL (2) 4" xfId="1153" xr:uid="{00000000-0005-0000-0000-000079040000}"/>
    <cellStyle name="_4Q05 Board Business Review FINAL (2) 5" xfId="1154" xr:uid="{00000000-0005-0000-0000-00007A040000}"/>
    <cellStyle name="_4Q05 Board Business Review FINAL (2) 6" xfId="1155" xr:uid="{00000000-0005-0000-0000-00007B040000}"/>
    <cellStyle name="_4Q05 Board Business Review FINAL (2) 7" xfId="1156" xr:uid="{00000000-0005-0000-0000-00007C040000}"/>
    <cellStyle name="_4Q05 Board Business Review FINAL (2) 8" xfId="1157" xr:uid="{00000000-0005-0000-0000-00007D040000}"/>
    <cellStyle name="_4Q05 Board Business Review FINAL (2) 9" xfId="1158" xr:uid="{00000000-0005-0000-0000-00007E040000}"/>
    <cellStyle name="_4Q05 Board Business Review FINAL (2)_AIF V 2008 Capital Analysis 1Q08 FINAL" xfId="1159" xr:uid="{00000000-0005-0000-0000-00007F040000}"/>
    <cellStyle name="_4Q05 Board Business Review FINAL (2)_Copy of AGM Dec '09 YTD COF I and II Dep  Liab (1-13-10) (2)" xfId="1160" xr:uid="{00000000-0005-0000-0000-000080040000}"/>
    <cellStyle name="_AAA Cash 2007" xfId="1161" xr:uid="{00000000-0005-0000-0000-000081040000}"/>
    <cellStyle name="_AAA Cash 2007_Bonco Analysis" xfId="1162" xr:uid="{00000000-0005-0000-0000-000082040000}"/>
    <cellStyle name="_AAA Cash 2007_Bonco Analysis Projection" xfId="1163" xr:uid="{00000000-0005-0000-0000-000083040000}"/>
    <cellStyle name="_AAA Cash 2007_Bonco Analysis Projection_Cash Summary AIF IV and AIF VI - 05.14.09 v2" xfId="1164" xr:uid="{00000000-0005-0000-0000-000084040000}"/>
    <cellStyle name="_AAA Cash 2007_Bonco Analysis Projection_PE Funds Cash 04 17 09 Ken V Portrait 4-30-09v4" xfId="1165" xr:uid="{00000000-0005-0000-0000-000085040000}"/>
    <cellStyle name="_AAA Cash 2007_Bonco Analysis_Cash Summary AIF IV and AIF VI - 05.14.09 v2" xfId="1166" xr:uid="{00000000-0005-0000-0000-000086040000}"/>
    <cellStyle name="_AAA Cash 2007_Bonco Analysis_PE Funds Cash 04 17 09 Ken V Portrait 4-30-09v4" xfId="1167" xr:uid="{00000000-0005-0000-0000-000087040000}"/>
    <cellStyle name="_AAA Cash 2007_Book Capital Allocation 9 30_Broadleaf_DT" xfId="1168" xr:uid="{00000000-0005-0000-0000-000088040000}"/>
    <cellStyle name="_AAA Cash 2007_Book Capital Allocation 9 30_Broadleaf_DT_Cash Summary AIF IV and AIF VI - 05.14.09 v2" xfId="1169" xr:uid="{00000000-0005-0000-0000-000089040000}"/>
    <cellStyle name="_AAA Cash 2007_Book Capital Allocation 9 30_Broadleaf_DT_PE Funds Cash 04 17 09 Ken V Portrait 4-30-09v4" xfId="1170" xr:uid="{00000000-0005-0000-0000-00008A040000}"/>
    <cellStyle name="_AAA Cash 2007_Broadleaf - Partner Capital Account Analysis" xfId="1171" xr:uid="{00000000-0005-0000-0000-00008B040000}"/>
    <cellStyle name="_AAA Cash 2007_Broadleaf - Partner Capital Account Analysis_Cash Summary AIF IV and AIF VI - 05.14.09 v2" xfId="1172" xr:uid="{00000000-0005-0000-0000-00008C040000}"/>
    <cellStyle name="_AAA Cash 2007_Broadleaf - Partner Capital Account Analysis_PE Funds Cash 04 17 09 Ken V Portrait 4-30-09v4" xfId="1173" xr:uid="{00000000-0005-0000-0000-00008D040000}"/>
    <cellStyle name="_AAA Cash 2007_Cash Summary AIF IV and AIF VI - 05.14.09 v2" xfId="1174" xr:uid="{00000000-0005-0000-0000-00008E040000}"/>
    <cellStyle name="_AAA Cash 2007_Foward 704(c) All. June 08  (2)" xfId="1175" xr:uid="{00000000-0005-0000-0000-00008F040000}"/>
    <cellStyle name="_AAA Cash 2007_Foward 704(c) All. June 08  (2)_Cash Summary AIF IV and AIF VI - 05.14.09 v2" xfId="1176" xr:uid="{00000000-0005-0000-0000-000090040000}"/>
    <cellStyle name="_AAA Cash 2007_Foward 704(c) All. June 08  (2)_PE Funds Cash 04 17 09 Ken V Portrait 4-30-09v4" xfId="1177" xr:uid="{00000000-0005-0000-0000-000091040000}"/>
    <cellStyle name="_AAA Cash 2007_LeverageSource Analysis" xfId="1178" xr:uid="{00000000-0005-0000-0000-000092040000}"/>
    <cellStyle name="_AAA Cash 2007_LeverageSource Analysis Projection 11 17 2008" xfId="1179" xr:uid="{00000000-0005-0000-0000-000093040000}"/>
    <cellStyle name="_AAA Cash 2007_LeverageSource Analysis Projection 11 17 2008_Cash Summary AIF IV and AIF VI - 05.14.09 v2" xfId="1180" xr:uid="{00000000-0005-0000-0000-000094040000}"/>
    <cellStyle name="_AAA Cash 2007_LeverageSource Analysis Projection 11 17 2008_PE Funds Cash 04 17 09 Ken V Portrait 4-30-09v4" xfId="1181" xr:uid="{00000000-0005-0000-0000-000095040000}"/>
    <cellStyle name="_AAA Cash 2007_LeverageSource Analysis_Cash Summary AIF IV and AIF VI - 05.14.09 v2" xfId="1182" xr:uid="{00000000-0005-0000-0000-000096040000}"/>
    <cellStyle name="_AAA Cash 2007_LeverageSource Analysis_PE Funds Cash 04 17 09 Ken V Portrait 4-30-09v4" xfId="1183" xr:uid="{00000000-0005-0000-0000-000097040000}"/>
    <cellStyle name="_AAA Cash 2007_PE Funds Cash 04 17 09 Ken V Portrait 4-30-09v4" xfId="1184" xr:uid="{00000000-0005-0000-0000-000098040000}"/>
    <cellStyle name="_AAA Profit Sharing 9_30_07" xfId="1185" xr:uid="{00000000-0005-0000-0000-000099040000}"/>
    <cellStyle name="_AAA Profit Sharing 9_30_07 10" xfId="1186" xr:uid="{00000000-0005-0000-0000-00009A040000}"/>
    <cellStyle name="_AAA Profit Sharing 9_30_07 11" xfId="1187" xr:uid="{00000000-0005-0000-0000-00009B040000}"/>
    <cellStyle name="_AAA Profit Sharing 9_30_07 12" xfId="1188" xr:uid="{00000000-0005-0000-0000-00009C040000}"/>
    <cellStyle name="_AAA Profit Sharing 9_30_07 13" xfId="1189" xr:uid="{00000000-0005-0000-0000-00009D040000}"/>
    <cellStyle name="_AAA Profit Sharing 9_30_07 14" xfId="1190" xr:uid="{00000000-0005-0000-0000-00009E040000}"/>
    <cellStyle name="_AAA Profit Sharing 9_30_07 15" xfId="1191" xr:uid="{00000000-0005-0000-0000-00009F040000}"/>
    <cellStyle name="_AAA Profit Sharing 9_30_07 16" xfId="1192" xr:uid="{00000000-0005-0000-0000-0000A0040000}"/>
    <cellStyle name="_AAA Profit Sharing 9_30_07 17" xfId="1193" xr:uid="{00000000-0005-0000-0000-0000A1040000}"/>
    <cellStyle name="_AAA Profit Sharing 9_30_07 18" xfId="1194" xr:uid="{00000000-0005-0000-0000-0000A2040000}"/>
    <cellStyle name="_AAA Profit Sharing 9_30_07 19" xfId="1195" xr:uid="{00000000-0005-0000-0000-0000A3040000}"/>
    <cellStyle name="_AAA Profit Sharing 9_30_07 2" xfId="1196" xr:uid="{00000000-0005-0000-0000-0000A4040000}"/>
    <cellStyle name="_AAA Profit Sharing 9_30_07 2 2" xfId="1197" xr:uid="{00000000-0005-0000-0000-0000A5040000}"/>
    <cellStyle name="_AAA Profit Sharing 9_30_07 2_Cash Input" xfId="1198" xr:uid="{00000000-0005-0000-0000-0000A6040000}"/>
    <cellStyle name="_AAA Profit Sharing 9_30_07 20" xfId="1199" xr:uid="{00000000-0005-0000-0000-0000A7040000}"/>
    <cellStyle name="_AAA Profit Sharing 9_30_07 21" xfId="1200" xr:uid="{00000000-0005-0000-0000-0000A8040000}"/>
    <cellStyle name="_AAA Profit Sharing 9_30_07 22" xfId="1201" xr:uid="{00000000-0005-0000-0000-0000A9040000}"/>
    <cellStyle name="_AAA Profit Sharing 9_30_07 23" xfId="1202" xr:uid="{00000000-0005-0000-0000-0000AA040000}"/>
    <cellStyle name="_AAA Profit Sharing 9_30_07 23 2" xfId="1203" xr:uid="{00000000-0005-0000-0000-0000AB040000}"/>
    <cellStyle name="_AAA Profit Sharing 9_30_07 3" xfId="1204" xr:uid="{00000000-0005-0000-0000-0000AC040000}"/>
    <cellStyle name="_AAA Profit Sharing 9_30_07 3 2" xfId="1205" xr:uid="{00000000-0005-0000-0000-0000AD040000}"/>
    <cellStyle name="_AAA Profit Sharing 9_30_07 4" xfId="1206" xr:uid="{00000000-0005-0000-0000-0000AE040000}"/>
    <cellStyle name="_AAA Profit Sharing 9_30_07 5" xfId="1207" xr:uid="{00000000-0005-0000-0000-0000AF040000}"/>
    <cellStyle name="_AAA Profit Sharing 9_30_07 6" xfId="1208" xr:uid="{00000000-0005-0000-0000-0000B0040000}"/>
    <cellStyle name="_AAA Profit Sharing 9_30_07 7" xfId="1209" xr:uid="{00000000-0005-0000-0000-0000B1040000}"/>
    <cellStyle name="_AAA Profit Sharing 9_30_07 8" xfId="1210" xr:uid="{00000000-0005-0000-0000-0000B2040000}"/>
    <cellStyle name="_AAA Profit Sharing 9_30_07 9" xfId="1211" xr:uid="{00000000-0005-0000-0000-0000B3040000}"/>
    <cellStyle name="_AAA Profit Sharing 9_30_07_2.10.10 LS Distribution" xfId="1212" xr:uid="{00000000-0005-0000-0000-0000B4040000}"/>
    <cellStyle name="_AAA Profit Sharing 9_30_07_2011 Q1 Monitoring Fees v3" xfId="1213" xr:uid="{00000000-0005-0000-0000-0000B5040000}"/>
    <cellStyle name="_AAA Profit Sharing 9_30_07_AIF VI - BondcoVI_Entities Invested Capital (CURRENT)" xfId="1214" xr:uid="{00000000-0005-0000-0000-0000B6040000}"/>
    <cellStyle name="_AAA Profit Sharing 9_30_07_AIF VI Broadleaf Watefall Summary as of 6-30-09 FINAL" xfId="1215" xr:uid="{00000000-0005-0000-0000-0000B7040000}"/>
    <cellStyle name="_AAA Profit Sharing 9_30_07_AIF VI Broadleaf Watefall Summary as of 9-30-09" xfId="1216" xr:uid="{00000000-0005-0000-0000-0000B8040000}"/>
    <cellStyle name="_AAA Profit Sharing 9_30_07_Broadleaf Watefall 12-31-09" xfId="1217" xr:uid="{00000000-0005-0000-0000-0000B9040000}"/>
    <cellStyle name="_AAA Profit Sharing 9_30_07_Broadleaf Watefall 6-30-09" xfId="1218" xr:uid="{00000000-0005-0000-0000-0000BA040000}"/>
    <cellStyle name="_AAA Profit Sharing 9_30_07_Broadleaf Watefall 9-30-09" xfId="1219" xr:uid="{00000000-0005-0000-0000-0000BB040000}"/>
    <cellStyle name="_AAA Profit Sharing 9_30_07_Cash Input" xfId="1220" xr:uid="{00000000-0005-0000-0000-0000BC040000}"/>
    <cellStyle name="_AAA Profit Sharing 9_30_07_Cash Summary AIF IV and AIF VI - 05.14.09 v2" xfId="1221" xr:uid="{00000000-0005-0000-0000-0000BD040000}"/>
    <cellStyle name="_AAA Profit Sharing 9_30_07_Copy of AGM Dec '09 YTD COF I and II Dep  Liab (1-13-10) (2)" xfId="1222" xr:uid="{00000000-0005-0000-0000-0000BE040000}"/>
    <cellStyle name="_AAA Profit Sharing 9_30_07_Domestic TB" xfId="1223" xr:uid="{00000000-0005-0000-0000-0000BF040000}"/>
    <cellStyle name="_AAA Profit Sharing 9_30_07_IC Balance" xfId="1224" xr:uid="{00000000-0005-0000-0000-0000C0040000}"/>
    <cellStyle name="_AAA Profit Sharing 9_30_07_Invested Capital Debt Worksheet" xfId="1225" xr:uid="{00000000-0005-0000-0000-0000C1040000}"/>
    <cellStyle name="_AAA Profit Sharing 9_30_07_LS, LP - Dec  2010 Trial Balance Summary" xfId="1226" xr:uid="{00000000-0005-0000-0000-0000C2040000}"/>
    <cellStyle name="_AAA Profit Sharing 9_30_07_MMF Income" xfId="1227" xr:uid="{00000000-0005-0000-0000-0000C3040000}"/>
    <cellStyle name="_AAA Profit Sharing 9_30_07_Partners Capital Q3 2009" xfId="1228" xr:uid="{00000000-0005-0000-0000-0000C4040000}"/>
    <cellStyle name="_AAA Profit Sharing 9_30_07_PE Funds Cash 04 17 09 Ken V Portrait 4-30-09v4" xfId="1229" xr:uid="{00000000-0005-0000-0000-0000C5040000}"/>
    <cellStyle name="_AAA Profit Sharing 9_30_07_Placement Fee Summary 05-14-09 - Current (2)" xfId="1230" xr:uid="{00000000-0005-0000-0000-0000C6040000}"/>
    <cellStyle name="_AAA Profit Sharing 9_30_07_Q1 2011 Pmts" xfId="1231" xr:uid="{00000000-0005-0000-0000-0000C7040000}"/>
    <cellStyle name="_AAA Profit Sharing 9_30_07_Realized Gain Loss" xfId="1232" xr:uid="{00000000-0005-0000-0000-0000C8040000}"/>
    <cellStyle name="_AAA Profit Sharing 9_30_07_Revenue breakout" xfId="1233" xr:uid="{00000000-0005-0000-0000-0000C9040000}"/>
    <cellStyle name="_AAA Profit Sharing 9_30_07_Revenue breakout 10" xfId="1234" xr:uid="{00000000-0005-0000-0000-0000CA040000}"/>
    <cellStyle name="_AAA Profit Sharing 9_30_07_Revenue breakout 11" xfId="1235" xr:uid="{00000000-0005-0000-0000-0000CB040000}"/>
    <cellStyle name="_AAA Profit Sharing 9_30_07_Revenue breakout 12" xfId="1236" xr:uid="{00000000-0005-0000-0000-0000CC040000}"/>
    <cellStyle name="_AAA Profit Sharing 9_30_07_Revenue breakout 13" xfId="1237" xr:uid="{00000000-0005-0000-0000-0000CD040000}"/>
    <cellStyle name="_AAA Profit Sharing 9_30_07_Revenue breakout 14" xfId="1238" xr:uid="{00000000-0005-0000-0000-0000CE040000}"/>
    <cellStyle name="_AAA Profit Sharing 9_30_07_Revenue breakout 15" xfId="1239" xr:uid="{00000000-0005-0000-0000-0000CF040000}"/>
    <cellStyle name="_AAA Profit Sharing 9_30_07_Revenue breakout 16" xfId="1240" xr:uid="{00000000-0005-0000-0000-0000D0040000}"/>
    <cellStyle name="_AAA Profit Sharing 9_30_07_Revenue breakout 17" xfId="1241" xr:uid="{00000000-0005-0000-0000-0000D1040000}"/>
    <cellStyle name="_AAA Profit Sharing 9_30_07_Revenue breakout 18" xfId="1242" xr:uid="{00000000-0005-0000-0000-0000D2040000}"/>
    <cellStyle name="_AAA Profit Sharing 9_30_07_Revenue breakout 19" xfId="1243" xr:uid="{00000000-0005-0000-0000-0000D3040000}"/>
    <cellStyle name="_AAA Profit Sharing 9_30_07_Revenue breakout 2" xfId="1244" xr:uid="{00000000-0005-0000-0000-0000D4040000}"/>
    <cellStyle name="_AAA Profit Sharing 9_30_07_Revenue breakout 2 2" xfId="1245" xr:uid="{00000000-0005-0000-0000-0000D5040000}"/>
    <cellStyle name="_AAA Profit Sharing 9_30_07_Revenue breakout 2_Cash Input" xfId="1246" xr:uid="{00000000-0005-0000-0000-0000D6040000}"/>
    <cellStyle name="_AAA Profit Sharing 9_30_07_Revenue breakout 20" xfId="1247" xr:uid="{00000000-0005-0000-0000-0000D7040000}"/>
    <cellStyle name="_AAA Profit Sharing 9_30_07_Revenue breakout 21" xfId="1248" xr:uid="{00000000-0005-0000-0000-0000D8040000}"/>
    <cellStyle name="_AAA Profit Sharing 9_30_07_Revenue breakout 22" xfId="1249" xr:uid="{00000000-0005-0000-0000-0000D9040000}"/>
    <cellStyle name="_AAA Profit Sharing 9_30_07_Revenue breakout 23" xfId="1250" xr:uid="{00000000-0005-0000-0000-0000DA040000}"/>
    <cellStyle name="_AAA Profit Sharing 9_30_07_Revenue breakout 23 2" xfId="1251" xr:uid="{00000000-0005-0000-0000-0000DB040000}"/>
    <cellStyle name="_AAA Profit Sharing 9_30_07_Revenue breakout 3" xfId="1252" xr:uid="{00000000-0005-0000-0000-0000DC040000}"/>
    <cellStyle name="_AAA Profit Sharing 9_30_07_Revenue breakout 3 2" xfId="1253" xr:uid="{00000000-0005-0000-0000-0000DD040000}"/>
    <cellStyle name="_AAA Profit Sharing 9_30_07_Revenue breakout 4" xfId="1254" xr:uid="{00000000-0005-0000-0000-0000DE040000}"/>
    <cellStyle name="_AAA Profit Sharing 9_30_07_Revenue breakout 5" xfId="1255" xr:uid="{00000000-0005-0000-0000-0000DF040000}"/>
    <cellStyle name="_AAA Profit Sharing 9_30_07_Revenue breakout 6" xfId="1256" xr:uid="{00000000-0005-0000-0000-0000E0040000}"/>
    <cellStyle name="_AAA Profit Sharing 9_30_07_Revenue breakout 7" xfId="1257" xr:uid="{00000000-0005-0000-0000-0000E1040000}"/>
    <cellStyle name="_AAA Profit Sharing 9_30_07_Revenue breakout 8" xfId="1258" xr:uid="{00000000-0005-0000-0000-0000E2040000}"/>
    <cellStyle name="_AAA Profit Sharing 9_30_07_Revenue breakout 9" xfId="1259" xr:uid="{00000000-0005-0000-0000-0000E3040000}"/>
    <cellStyle name="_AAA Profit Sharing 9_30_07_Revenue breakout_2.10.10 LS Distribution" xfId="1260" xr:uid="{00000000-0005-0000-0000-0000E4040000}"/>
    <cellStyle name="_AAA Profit Sharing 9_30_07_Revenue breakout_2007 Revenue - RE fees" xfId="1261" xr:uid="{00000000-0005-0000-0000-0000E5040000}"/>
    <cellStyle name="_AAA Profit Sharing 9_30_07_Revenue breakout_2007 Revenue - RE fees 10" xfId="1262" xr:uid="{00000000-0005-0000-0000-0000E6040000}"/>
    <cellStyle name="_AAA Profit Sharing 9_30_07_Revenue breakout_2007 Revenue - RE fees 11" xfId="1263" xr:uid="{00000000-0005-0000-0000-0000E7040000}"/>
    <cellStyle name="_AAA Profit Sharing 9_30_07_Revenue breakout_2007 Revenue - RE fees 12" xfId="1264" xr:uid="{00000000-0005-0000-0000-0000E8040000}"/>
    <cellStyle name="_AAA Profit Sharing 9_30_07_Revenue breakout_2007 Revenue - RE fees 13" xfId="1265" xr:uid="{00000000-0005-0000-0000-0000E9040000}"/>
    <cellStyle name="_AAA Profit Sharing 9_30_07_Revenue breakout_2007 Revenue - RE fees 14" xfId="1266" xr:uid="{00000000-0005-0000-0000-0000EA040000}"/>
    <cellStyle name="_AAA Profit Sharing 9_30_07_Revenue breakout_2007 Revenue - RE fees 15" xfId="1267" xr:uid="{00000000-0005-0000-0000-0000EB040000}"/>
    <cellStyle name="_AAA Profit Sharing 9_30_07_Revenue breakout_2007 Revenue - RE fees 16" xfId="1268" xr:uid="{00000000-0005-0000-0000-0000EC040000}"/>
    <cellStyle name="_AAA Profit Sharing 9_30_07_Revenue breakout_2007 Revenue - RE fees 17" xfId="1269" xr:uid="{00000000-0005-0000-0000-0000ED040000}"/>
    <cellStyle name="_AAA Profit Sharing 9_30_07_Revenue breakout_2007 Revenue - RE fees 18" xfId="1270" xr:uid="{00000000-0005-0000-0000-0000EE040000}"/>
    <cellStyle name="_AAA Profit Sharing 9_30_07_Revenue breakout_2007 Revenue - RE fees 19" xfId="1271" xr:uid="{00000000-0005-0000-0000-0000EF040000}"/>
    <cellStyle name="_AAA Profit Sharing 9_30_07_Revenue breakout_2007 Revenue - RE fees 2" xfId="1272" xr:uid="{00000000-0005-0000-0000-0000F0040000}"/>
    <cellStyle name="_AAA Profit Sharing 9_30_07_Revenue breakout_2007 Revenue - RE fees 2 2" xfId="1273" xr:uid="{00000000-0005-0000-0000-0000F1040000}"/>
    <cellStyle name="_AAA Profit Sharing 9_30_07_Revenue breakout_2007 Revenue - RE fees 2_Cash Input" xfId="1274" xr:uid="{00000000-0005-0000-0000-0000F2040000}"/>
    <cellStyle name="_AAA Profit Sharing 9_30_07_Revenue breakout_2007 Revenue - RE fees 20" xfId="1275" xr:uid="{00000000-0005-0000-0000-0000F3040000}"/>
    <cellStyle name="_AAA Profit Sharing 9_30_07_Revenue breakout_2007 Revenue - RE fees 21" xfId="1276" xr:uid="{00000000-0005-0000-0000-0000F4040000}"/>
    <cellStyle name="_AAA Profit Sharing 9_30_07_Revenue breakout_2007 Revenue - RE fees 22" xfId="1277" xr:uid="{00000000-0005-0000-0000-0000F5040000}"/>
    <cellStyle name="_AAA Profit Sharing 9_30_07_Revenue breakout_2007 Revenue - RE fees 23" xfId="1278" xr:uid="{00000000-0005-0000-0000-0000F6040000}"/>
    <cellStyle name="_AAA Profit Sharing 9_30_07_Revenue breakout_2007 Revenue - RE fees 23 2" xfId="1279" xr:uid="{00000000-0005-0000-0000-0000F7040000}"/>
    <cellStyle name="_AAA Profit Sharing 9_30_07_Revenue breakout_2007 Revenue - RE fees 3" xfId="1280" xr:uid="{00000000-0005-0000-0000-0000F8040000}"/>
    <cellStyle name="_AAA Profit Sharing 9_30_07_Revenue breakout_2007 Revenue - RE fees 3 2" xfId="1281" xr:uid="{00000000-0005-0000-0000-0000F9040000}"/>
    <cellStyle name="_AAA Profit Sharing 9_30_07_Revenue breakout_2007 Revenue - RE fees 4" xfId="1282" xr:uid="{00000000-0005-0000-0000-0000FA040000}"/>
    <cellStyle name="_AAA Profit Sharing 9_30_07_Revenue breakout_2007 Revenue - RE fees 5" xfId="1283" xr:uid="{00000000-0005-0000-0000-0000FB040000}"/>
    <cellStyle name="_AAA Profit Sharing 9_30_07_Revenue breakout_2007 Revenue - RE fees 6" xfId="1284" xr:uid="{00000000-0005-0000-0000-0000FC040000}"/>
    <cellStyle name="_AAA Profit Sharing 9_30_07_Revenue breakout_2007 Revenue - RE fees 7" xfId="1285" xr:uid="{00000000-0005-0000-0000-0000FD040000}"/>
    <cellStyle name="_AAA Profit Sharing 9_30_07_Revenue breakout_2007 Revenue - RE fees 8" xfId="1286" xr:uid="{00000000-0005-0000-0000-0000FE040000}"/>
    <cellStyle name="_AAA Profit Sharing 9_30_07_Revenue breakout_2007 Revenue - RE fees 9" xfId="1287" xr:uid="{00000000-0005-0000-0000-0000FF040000}"/>
    <cellStyle name="_AAA Profit Sharing 9_30_07_Revenue breakout_2007 Revenue - RE fees_2011 Q1 Monitoring Fees v3" xfId="1288" xr:uid="{00000000-0005-0000-0000-000000050000}"/>
    <cellStyle name="_AAA Profit Sharing 9_30_07_Revenue breakout_2007 Revenue - RE fees_AIF VI - BondcoVI_Entities Invested Capital (CURRENT)" xfId="1289" xr:uid="{00000000-0005-0000-0000-000001050000}"/>
    <cellStyle name="_AAA Profit Sharing 9_30_07_Revenue breakout_2007 Revenue - RE fees_AIF VI Broadleaf Watefall Summary as of 6-30-09 FINAL" xfId="1290" xr:uid="{00000000-0005-0000-0000-000002050000}"/>
    <cellStyle name="_AAA Profit Sharing 9_30_07_Revenue breakout_2007 Revenue - RE fees_AIF VI Broadleaf Watefall Summary as of 9-30-09" xfId="1291" xr:uid="{00000000-0005-0000-0000-000003050000}"/>
    <cellStyle name="_AAA Profit Sharing 9_30_07_Revenue breakout_2007 Revenue - RE fees_Broadleaf Watefall 12-31-09" xfId="1292" xr:uid="{00000000-0005-0000-0000-000004050000}"/>
    <cellStyle name="_AAA Profit Sharing 9_30_07_Revenue breakout_2007 Revenue - RE fees_Broadleaf Watefall 6-30-09" xfId="1293" xr:uid="{00000000-0005-0000-0000-000005050000}"/>
    <cellStyle name="_AAA Profit Sharing 9_30_07_Revenue breakout_2007 Revenue - RE fees_Broadleaf Watefall 9-30-09" xfId="1294" xr:uid="{00000000-0005-0000-0000-000006050000}"/>
    <cellStyle name="_AAA Profit Sharing 9_30_07_Revenue breakout_2007 Revenue - RE fees_Cash Input" xfId="1295" xr:uid="{00000000-0005-0000-0000-000007050000}"/>
    <cellStyle name="_AAA Profit Sharing 9_30_07_Revenue breakout_2007 Revenue - RE fees_Cash Summary AIF IV and AIF VI - 05.14.09 v2" xfId="1296" xr:uid="{00000000-0005-0000-0000-000008050000}"/>
    <cellStyle name="_AAA Profit Sharing 9_30_07_Revenue breakout_2007 Revenue - RE fees_Copy of AGM Dec '09 YTD COF I and II Dep  Liab (1-13-10) (2)" xfId="1297" xr:uid="{00000000-0005-0000-0000-000009050000}"/>
    <cellStyle name="_AAA Profit Sharing 9_30_07_Revenue breakout_2007 Revenue - RE fees_Domestic TB" xfId="1298" xr:uid="{00000000-0005-0000-0000-00000A050000}"/>
    <cellStyle name="_AAA Profit Sharing 9_30_07_Revenue breakout_2007 Revenue - RE fees_IC Balance" xfId="1299" xr:uid="{00000000-0005-0000-0000-00000B050000}"/>
    <cellStyle name="_AAA Profit Sharing 9_30_07_Revenue breakout_2007 Revenue - RE fees_Invested Capital Debt Worksheet" xfId="1300" xr:uid="{00000000-0005-0000-0000-00000C050000}"/>
    <cellStyle name="_AAA Profit Sharing 9_30_07_Revenue breakout_2007 Revenue - RE fees_MMF Income" xfId="1301" xr:uid="{00000000-0005-0000-0000-00000D050000}"/>
    <cellStyle name="_AAA Profit Sharing 9_30_07_Revenue breakout_2007 Revenue - RE fees_Partners Capital Q3 2009" xfId="1302" xr:uid="{00000000-0005-0000-0000-00000E050000}"/>
    <cellStyle name="_AAA Profit Sharing 9_30_07_Revenue breakout_2007 Revenue - RE fees_PE Funds Cash 04 17 09 Ken V Portrait 4-30-09v4" xfId="1303" xr:uid="{00000000-0005-0000-0000-00000F050000}"/>
    <cellStyle name="_AAA Profit Sharing 9_30_07_Revenue breakout_2007 Revenue - RE fees_Placement Fee Summary 05-14-09 - Current (2)" xfId="1304" xr:uid="{00000000-0005-0000-0000-000010050000}"/>
    <cellStyle name="_AAA Profit Sharing 9_30_07_Revenue breakout_2007 Revenue - RE fees_Realized Gain Loss" xfId="1305" xr:uid="{00000000-0005-0000-0000-000011050000}"/>
    <cellStyle name="_AAA Profit Sharing 9_30_07_Revenue breakout_2011 Q1 Monitoring Fees v3" xfId="1306" xr:uid="{00000000-0005-0000-0000-000012050000}"/>
    <cellStyle name="_AAA Profit Sharing 9_30_07_Revenue breakout_AIF VI - BondcoVI_Entities Invested Capital (CURRENT)" xfId="1307" xr:uid="{00000000-0005-0000-0000-000013050000}"/>
    <cellStyle name="_AAA Profit Sharing 9_30_07_Revenue breakout_AIF VI Broadleaf Watefall Summary as of 6-30-09 FINAL" xfId="1308" xr:uid="{00000000-0005-0000-0000-000014050000}"/>
    <cellStyle name="_AAA Profit Sharing 9_30_07_Revenue breakout_AIF VI Broadleaf Watefall Summary as of 9-30-09" xfId="1309" xr:uid="{00000000-0005-0000-0000-000015050000}"/>
    <cellStyle name="_AAA Profit Sharing 9_30_07_Revenue breakout_Broadleaf Watefall 12-31-09" xfId="1310" xr:uid="{00000000-0005-0000-0000-000016050000}"/>
    <cellStyle name="_AAA Profit Sharing 9_30_07_Revenue breakout_Broadleaf Watefall 6-30-09" xfId="1311" xr:uid="{00000000-0005-0000-0000-000017050000}"/>
    <cellStyle name="_AAA Profit Sharing 9_30_07_Revenue breakout_Broadleaf Watefall 9-30-09" xfId="1312" xr:uid="{00000000-0005-0000-0000-000018050000}"/>
    <cellStyle name="_AAA Profit Sharing 9_30_07_Revenue breakout_Cash Input" xfId="1313" xr:uid="{00000000-0005-0000-0000-000019050000}"/>
    <cellStyle name="_AAA Profit Sharing 9_30_07_Revenue breakout_Cash Summary AIF IV and AIF VI - 05.14.09 v2" xfId="1314" xr:uid="{00000000-0005-0000-0000-00001A050000}"/>
    <cellStyle name="_AAA Profit Sharing 9_30_07_Revenue breakout_Copy of AGM Dec '09 YTD COF I and II Dep  Liab (1-13-10) (2)" xfId="1315" xr:uid="{00000000-0005-0000-0000-00001B050000}"/>
    <cellStyle name="_AAA Profit Sharing 9_30_07_Revenue breakout_Domestic TB" xfId="1316" xr:uid="{00000000-0005-0000-0000-00001C050000}"/>
    <cellStyle name="_AAA Profit Sharing 9_30_07_Revenue breakout_IC Balance" xfId="1317" xr:uid="{00000000-0005-0000-0000-00001D050000}"/>
    <cellStyle name="_AAA Profit Sharing 9_30_07_Revenue breakout_Invested Capital Debt Worksheet" xfId="1318" xr:uid="{00000000-0005-0000-0000-00001E050000}"/>
    <cellStyle name="_AAA Profit Sharing 9_30_07_Revenue breakout_LS, LP - Dec  2010 Trial Balance Summary" xfId="1319" xr:uid="{00000000-0005-0000-0000-00001F050000}"/>
    <cellStyle name="_AAA Profit Sharing 9_30_07_Revenue breakout_MMF Income" xfId="1320" xr:uid="{00000000-0005-0000-0000-000020050000}"/>
    <cellStyle name="_AAA Profit Sharing 9_30_07_Revenue breakout_Partners Capital Q3 2009" xfId="1321" xr:uid="{00000000-0005-0000-0000-000021050000}"/>
    <cellStyle name="_AAA Profit Sharing 9_30_07_Revenue breakout_PE Funds Cash 04 17 09 Ken V Portrait 4-30-09v4" xfId="1322" xr:uid="{00000000-0005-0000-0000-000022050000}"/>
    <cellStyle name="_AAA Profit Sharing 9_30_07_Revenue breakout_Placement Fee Summary 05-14-09 - Current (2)" xfId="1323" xr:uid="{00000000-0005-0000-0000-000023050000}"/>
    <cellStyle name="_AAA Profit Sharing 9_30_07_Revenue breakout_Q1 2011 Pmts" xfId="1324" xr:uid="{00000000-0005-0000-0000-000024050000}"/>
    <cellStyle name="_AAA Profit Sharing 9_30_07_Revenue breakout_Realized Gain Loss" xfId="1325" xr:uid="{00000000-0005-0000-0000-000025050000}"/>
    <cellStyle name="_AAA Profit Sharing 9_30_07_Revenue breakout_TX Details" xfId="1326" xr:uid="{00000000-0005-0000-0000-000026050000}"/>
    <cellStyle name="_AAA Profit Sharing 9_30_07_TX Details" xfId="1327" xr:uid="{00000000-0005-0000-0000-000027050000}"/>
    <cellStyle name="_AAA TBs 2 6 08" xfId="1328" xr:uid="{00000000-0005-0000-0000-000028050000}"/>
    <cellStyle name="_AAA TBs 2 6 08_Bonco Analysis" xfId="1329" xr:uid="{00000000-0005-0000-0000-000029050000}"/>
    <cellStyle name="_AAA TBs 2 6 08_Bonco Analysis Projection" xfId="1330" xr:uid="{00000000-0005-0000-0000-00002A050000}"/>
    <cellStyle name="_AAA TBs 2 6 08_Bonco Analysis Projection_Cash Summary AIF IV and AIF VI - 05.14.09 v2" xfId="1331" xr:uid="{00000000-0005-0000-0000-00002B050000}"/>
    <cellStyle name="_AAA TBs 2 6 08_Bonco Analysis Projection_PE Funds Cash 04 17 09 Ken V Portrait 4-30-09v4" xfId="1332" xr:uid="{00000000-0005-0000-0000-00002C050000}"/>
    <cellStyle name="_AAA TBs 2 6 08_Bonco Analysis_Cash Summary AIF IV and AIF VI - 05.14.09 v2" xfId="1333" xr:uid="{00000000-0005-0000-0000-00002D050000}"/>
    <cellStyle name="_AAA TBs 2 6 08_Bonco Analysis_PE Funds Cash 04 17 09 Ken V Portrait 4-30-09v4" xfId="1334" xr:uid="{00000000-0005-0000-0000-00002E050000}"/>
    <cellStyle name="_AAA TBs 2 6 08_Book Capital Allocation 9 30_Broadleaf_DT" xfId="1335" xr:uid="{00000000-0005-0000-0000-00002F050000}"/>
    <cellStyle name="_AAA TBs 2 6 08_Book Capital Allocation 9 30_Broadleaf_DT_Cash Summary AIF IV and AIF VI - 05.14.09 v2" xfId="1336" xr:uid="{00000000-0005-0000-0000-000030050000}"/>
    <cellStyle name="_AAA TBs 2 6 08_Book Capital Allocation 9 30_Broadleaf_DT_PE Funds Cash 04 17 09 Ken V Portrait 4-30-09v4" xfId="1337" xr:uid="{00000000-0005-0000-0000-000031050000}"/>
    <cellStyle name="_AAA TBs 2 6 08_Broadleaf - Partner Capital Account Analysis" xfId="1338" xr:uid="{00000000-0005-0000-0000-000032050000}"/>
    <cellStyle name="_AAA TBs 2 6 08_Broadleaf - Partner Capital Account Analysis_Cash Summary AIF IV and AIF VI - 05.14.09 v2" xfId="1339" xr:uid="{00000000-0005-0000-0000-000033050000}"/>
    <cellStyle name="_AAA TBs 2 6 08_Broadleaf - Partner Capital Account Analysis_PE Funds Cash 04 17 09 Ken V Portrait 4-30-09v4" xfId="1340" xr:uid="{00000000-0005-0000-0000-000034050000}"/>
    <cellStyle name="_AAA TBs 2 6 08_Cash Summary AIF IV and AIF VI - 05.14.09 v2" xfId="1341" xr:uid="{00000000-0005-0000-0000-000035050000}"/>
    <cellStyle name="_AAA TBs 2 6 08_Foward 704(c) All. June 08  (2)" xfId="1342" xr:uid="{00000000-0005-0000-0000-000036050000}"/>
    <cellStyle name="_AAA TBs 2 6 08_Foward 704(c) All. June 08  (2)_Cash Summary AIF IV and AIF VI - 05.14.09 v2" xfId="1343" xr:uid="{00000000-0005-0000-0000-000037050000}"/>
    <cellStyle name="_AAA TBs 2 6 08_Foward 704(c) All. June 08  (2)_PE Funds Cash 04 17 09 Ken V Portrait 4-30-09v4" xfId="1344" xr:uid="{00000000-0005-0000-0000-000038050000}"/>
    <cellStyle name="_AAA TBs 2 6 08_LeverageSource Analysis" xfId="1345" xr:uid="{00000000-0005-0000-0000-000039050000}"/>
    <cellStyle name="_AAA TBs 2 6 08_LeverageSource Analysis Projection 11 17 2008" xfId="1346" xr:uid="{00000000-0005-0000-0000-00003A050000}"/>
    <cellStyle name="_AAA TBs 2 6 08_LeverageSource Analysis Projection 11 17 2008_Cash Summary AIF IV and AIF VI - 05.14.09 v2" xfId="1347" xr:uid="{00000000-0005-0000-0000-00003B050000}"/>
    <cellStyle name="_AAA TBs 2 6 08_LeverageSource Analysis Projection 11 17 2008_PE Funds Cash 04 17 09 Ken V Portrait 4-30-09v4" xfId="1348" xr:uid="{00000000-0005-0000-0000-00003C050000}"/>
    <cellStyle name="_AAA TBs 2 6 08_LeverageSource Analysis_Cash Summary AIF IV and AIF VI - 05.14.09 v2" xfId="1349" xr:uid="{00000000-0005-0000-0000-00003D050000}"/>
    <cellStyle name="_AAA TBs 2 6 08_LeverageSource Analysis_PE Funds Cash 04 17 09 Ken V Portrait 4-30-09v4" xfId="1350" xr:uid="{00000000-0005-0000-0000-00003E050000}"/>
    <cellStyle name="_AAA TBs 2 6 08_PE Funds Cash 04 17 09 Ken V Portrait 4-30-09v4" xfId="1351" xr:uid="{00000000-0005-0000-0000-00003F050000}"/>
    <cellStyle name="_Advisor Profit Sharing Detail Q307-11_26_07" xfId="1352" xr:uid="{00000000-0005-0000-0000-000040050000}"/>
    <cellStyle name="_Advisor Profit Sharing Detail Q307-11_26_07 10" xfId="1353" xr:uid="{00000000-0005-0000-0000-000041050000}"/>
    <cellStyle name="_Advisor Profit Sharing Detail Q307-11_26_07 11" xfId="1354" xr:uid="{00000000-0005-0000-0000-000042050000}"/>
    <cellStyle name="_Advisor Profit Sharing Detail Q307-11_26_07 12" xfId="1355" xr:uid="{00000000-0005-0000-0000-000043050000}"/>
    <cellStyle name="_Advisor Profit Sharing Detail Q307-11_26_07 13" xfId="1356" xr:uid="{00000000-0005-0000-0000-000044050000}"/>
    <cellStyle name="_Advisor Profit Sharing Detail Q307-11_26_07 14" xfId="1357" xr:uid="{00000000-0005-0000-0000-000045050000}"/>
    <cellStyle name="_Advisor Profit Sharing Detail Q307-11_26_07 15" xfId="1358" xr:uid="{00000000-0005-0000-0000-000046050000}"/>
    <cellStyle name="_Advisor Profit Sharing Detail Q307-11_26_07 16" xfId="1359" xr:uid="{00000000-0005-0000-0000-000047050000}"/>
    <cellStyle name="_Advisor Profit Sharing Detail Q307-11_26_07 17" xfId="1360" xr:uid="{00000000-0005-0000-0000-000048050000}"/>
    <cellStyle name="_Advisor Profit Sharing Detail Q307-11_26_07 18" xfId="1361" xr:uid="{00000000-0005-0000-0000-000049050000}"/>
    <cellStyle name="_Advisor Profit Sharing Detail Q307-11_26_07 19" xfId="1362" xr:uid="{00000000-0005-0000-0000-00004A050000}"/>
    <cellStyle name="_Advisor Profit Sharing Detail Q307-11_26_07 2" xfId="1363" xr:uid="{00000000-0005-0000-0000-00004B050000}"/>
    <cellStyle name="_Advisor Profit Sharing Detail Q307-11_26_07 2 2" xfId="1364" xr:uid="{00000000-0005-0000-0000-00004C050000}"/>
    <cellStyle name="_Advisor Profit Sharing Detail Q307-11_26_07 2_Cash Input" xfId="1365" xr:uid="{00000000-0005-0000-0000-00004D050000}"/>
    <cellStyle name="_Advisor Profit Sharing Detail Q307-11_26_07 20" xfId="1366" xr:uid="{00000000-0005-0000-0000-00004E050000}"/>
    <cellStyle name="_Advisor Profit Sharing Detail Q307-11_26_07 21" xfId="1367" xr:uid="{00000000-0005-0000-0000-00004F050000}"/>
    <cellStyle name="_Advisor Profit Sharing Detail Q307-11_26_07 22" xfId="1368" xr:uid="{00000000-0005-0000-0000-000050050000}"/>
    <cellStyle name="_Advisor Profit Sharing Detail Q307-11_26_07 23" xfId="1369" xr:uid="{00000000-0005-0000-0000-000051050000}"/>
    <cellStyle name="_Advisor Profit Sharing Detail Q307-11_26_07 23 2" xfId="1370" xr:uid="{00000000-0005-0000-0000-000052050000}"/>
    <cellStyle name="_Advisor Profit Sharing Detail Q307-11_26_07 3" xfId="1371" xr:uid="{00000000-0005-0000-0000-000053050000}"/>
    <cellStyle name="_Advisor Profit Sharing Detail Q307-11_26_07 3 2" xfId="1372" xr:uid="{00000000-0005-0000-0000-000054050000}"/>
    <cellStyle name="_Advisor Profit Sharing Detail Q307-11_26_07 4" xfId="1373" xr:uid="{00000000-0005-0000-0000-000055050000}"/>
    <cellStyle name="_Advisor Profit Sharing Detail Q307-11_26_07 5" xfId="1374" xr:uid="{00000000-0005-0000-0000-000056050000}"/>
    <cellStyle name="_Advisor Profit Sharing Detail Q307-11_26_07 6" xfId="1375" xr:uid="{00000000-0005-0000-0000-000057050000}"/>
    <cellStyle name="_Advisor Profit Sharing Detail Q307-11_26_07 7" xfId="1376" xr:uid="{00000000-0005-0000-0000-000058050000}"/>
    <cellStyle name="_Advisor Profit Sharing Detail Q307-11_26_07 8" xfId="1377" xr:uid="{00000000-0005-0000-0000-000059050000}"/>
    <cellStyle name="_Advisor Profit Sharing Detail Q307-11_26_07 9" xfId="1378" xr:uid="{00000000-0005-0000-0000-00005A050000}"/>
    <cellStyle name="_Advisor Profit Sharing Detail Q307-11_26_07_2.10.10 LS Distribution" xfId="1379" xr:uid="{00000000-0005-0000-0000-00005B050000}"/>
    <cellStyle name="_Advisor Profit Sharing Detail Q307-11_26_07_2011 Q1 Monitoring Fees v3" xfId="1380" xr:uid="{00000000-0005-0000-0000-00005C050000}"/>
    <cellStyle name="_Advisor Profit Sharing Detail Q307-11_26_07_AIF VI - BondcoVI_Entities Invested Capital (CURRENT)" xfId="1381" xr:uid="{00000000-0005-0000-0000-00005D050000}"/>
    <cellStyle name="_Advisor Profit Sharing Detail Q307-11_26_07_AIF VI Broadleaf Watefall Summary as of 6-30-09 FINAL" xfId="1382" xr:uid="{00000000-0005-0000-0000-00005E050000}"/>
    <cellStyle name="_Advisor Profit Sharing Detail Q307-11_26_07_AIF VI Broadleaf Watefall Summary as of 9-30-09" xfId="1383" xr:uid="{00000000-0005-0000-0000-00005F050000}"/>
    <cellStyle name="_Advisor Profit Sharing Detail Q307-11_26_07_Broadleaf Watefall 12-31-09" xfId="1384" xr:uid="{00000000-0005-0000-0000-000060050000}"/>
    <cellStyle name="_Advisor Profit Sharing Detail Q307-11_26_07_Broadleaf Watefall 6-30-09" xfId="1385" xr:uid="{00000000-0005-0000-0000-000061050000}"/>
    <cellStyle name="_Advisor Profit Sharing Detail Q307-11_26_07_Broadleaf Watefall 9-30-09" xfId="1386" xr:uid="{00000000-0005-0000-0000-000062050000}"/>
    <cellStyle name="_Advisor Profit Sharing Detail Q307-11_26_07_Cash Input" xfId="1387" xr:uid="{00000000-0005-0000-0000-000063050000}"/>
    <cellStyle name="_Advisor Profit Sharing Detail Q307-11_26_07_Cash Summary AIF IV and AIF VI - 05.14.09 v2" xfId="1388" xr:uid="{00000000-0005-0000-0000-000064050000}"/>
    <cellStyle name="_Advisor Profit Sharing Detail Q307-11_26_07_Copy of AGM Dec '09 YTD COF I and II Dep  Liab (1-13-10) (2)" xfId="1389" xr:uid="{00000000-0005-0000-0000-000065050000}"/>
    <cellStyle name="_Advisor Profit Sharing Detail Q307-11_26_07_Domestic TB" xfId="1390" xr:uid="{00000000-0005-0000-0000-000066050000}"/>
    <cellStyle name="_Advisor Profit Sharing Detail Q307-11_26_07_IC Balance" xfId="1391" xr:uid="{00000000-0005-0000-0000-000067050000}"/>
    <cellStyle name="_Advisor Profit Sharing Detail Q307-11_26_07_Invested Capital Debt Worksheet" xfId="1392" xr:uid="{00000000-0005-0000-0000-000068050000}"/>
    <cellStyle name="_Advisor Profit Sharing Detail Q307-11_26_07_LS, LP - Dec  2010 Trial Balance Summary" xfId="1393" xr:uid="{00000000-0005-0000-0000-000069050000}"/>
    <cellStyle name="_Advisor Profit Sharing Detail Q307-11_26_07_MMF Income" xfId="1394" xr:uid="{00000000-0005-0000-0000-00006A050000}"/>
    <cellStyle name="_Advisor Profit Sharing Detail Q307-11_26_07_Partners Capital Q3 2009" xfId="1395" xr:uid="{00000000-0005-0000-0000-00006B050000}"/>
    <cellStyle name="_Advisor Profit Sharing Detail Q307-11_26_07_PE Funds Cash 04 17 09 Ken V Portrait 4-30-09v4" xfId="1396" xr:uid="{00000000-0005-0000-0000-00006C050000}"/>
    <cellStyle name="_Advisor Profit Sharing Detail Q307-11_26_07_Placement Fee Summary 05-14-09 - Current (2)" xfId="1397" xr:uid="{00000000-0005-0000-0000-00006D050000}"/>
    <cellStyle name="_Advisor Profit Sharing Detail Q307-11_26_07_Q1 2011 Pmts" xfId="1398" xr:uid="{00000000-0005-0000-0000-00006E050000}"/>
    <cellStyle name="_Advisor Profit Sharing Detail Q307-11_26_07_Realized Gain Loss" xfId="1399" xr:uid="{00000000-0005-0000-0000-00006F050000}"/>
    <cellStyle name="_Advisor Profit Sharing Detail Q307-11_26_07_TX Details" xfId="1400" xr:uid="{00000000-0005-0000-0000-000070050000}"/>
    <cellStyle name="_Advisors Capital Rollforward 2008 Q2" xfId="1401" xr:uid="{00000000-0005-0000-0000-000071050000}"/>
    <cellStyle name="_Advisors Capital Rollforward 2008 Q2 10" xfId="1402" xr:uid="{00000000-0005-0000-0000-000072050000}"/>
    <cellStyle name="_Advisors Capital Rollforward 2008 Q2 11" xfId="1403" xr:uid="{00000000-0005-0000-0000-000073050000}"/>
    <cellStyle name="_Advisors Capital Rollforward 2008 Q2 12" xfId="1404" xr:uid="{00000000-0005-0000-0000-000074050000}"/>
    <cellStyle name="_Advisors Capital Rollforward 2008 Q2 13" xfId="1405" xr:uid="{00000000-0005-0000-0000-000075050000}"/>
    <cellStyle name="_Advisors Capital Rollforward 2008 Q2 14" xfId="1406" xr:uid="{00000000-0005-0000-0000-000076050000}"/>
    <cellStyle name="_Advisors Capital Rollforward 2008 Q2 15" xfId="1407" xr:uid="{00000000-0005-0000-0000-000077050000}"/>
    <cellStyle name="_Advisors Capital Rollforward 2008 Q2 16" xfId="1408" xr:uid="{00000000-0005-0000-0000-000078050000}"/>
    <cellStyle name="_Advisors Capital Rollforward 2008 Q2 17" xfId="1409" xr:uid="{00000000-0005-0000-0000-000079050000}"/>
    <cellStyle name="_Advisors Capital Rollforward 2008 Q2 18" xfId="1410" xr:uid="{00000000-0005-0000-0000-00007A050000}"/>
    <cellStyle name="_Advisors Capital Rollforward 2008 Q2 19" xfId="1411" xr:uid="{00000000-0005-0000-0000-00007B050000}"/>
    <cellStyle name="_Advisors Capital Rollforward 2008 Q2 2" xfId="1412" xr:uid="{00000000-0005-0000-0000-00007C050000}"/>
    <cellStyle name="_Advisors Capital Rollforward 2008 Q2 2 2" xfId="1413" xr:uid="{00000000-0005-0000-0000-00007D050000}"/>
    <cellStyle name="_Advisors Capital Rollforward 2008 Q2 2_Cash Input" xfId="1414" xr:uid="{00000000-0005-0000-0000-00007E050000}"/>
    <cellStyle name="_Advisors Capital Rollforward 2008 Q2 20" xfId="1415" xr:uid="{00000000-0005-0000-0000-00007F050000}"/>
    <cellStyle name="_Advisors Capital Rollforward 2008 Q2 21" xfId="1416" xr:uid="{00000000-0005-0000-0000-000080050000}"/>
    <cellStyle name="_Advisors Capital Rollforward 2008 Q2 22" xfId="1417" xr:uid="{00000000-0005-0000-0000-000081050000}"/>
    <cellStyle name="_Advisors Capital Rollforward 2008 Q2 23" xfId="1418" xr:uid="{00000000-0005-0000-0000-000082050000}"/>
    <cellStyle name="_Advisors Capital Rollforward 2008 Q2 3" xfId="1419" xr:uid="{00000000-0005-0000-0000-000083050000}"/>
    <cellStyle name="_Advisors Capital Rollforward 2008 Q2 3 2" xfId="1420" xr:uid="{00000000-0005-0000-0000-000084050000}"/>
    <cellStyle name="_Advisors Capital Rollforward 2008 Q2 4" xfId="1421" xr:uid="{00000000-0005-0000-0000-000085050000}"/>
    <cellStyle name="_Advisors Capital Rollforward 2008 Q2 5" xfId="1422" xr:uid="{00000000-0005-0000-0000-000086050000}"/>
    <cellStyle name="_Advisors Capital Rollforward 2008 Q2 6" xfId="1423" xr:uid="{00000000-0005-0000-0000-000087050000}"/>
    <cellStyle name="_Advisors Capital Rollforward 2008 Q2 7" xfId="1424" xr:uid="{00000000-0005-0000-0000-000088050000}"/>
    <cellStyle name="_Advisors Capital Rollforward 2008 Q2 8" xfId="1425" xr:uid="{00000000-0005-0000-0000-000089050000}"/>
    <cellStyle name="_Advisors Capital Rollforward 2008 Q2 9" xfId="1426" xr:uid="{00000000-0005-0000-0000-00008A050000}"/>
    <cellStyle name="_Advisors Capital Rollforward 2008 Q2_AIF VI - BondcoVI_Entities Invested Capital (CURRENT)" xfId="1427" xr:uid="{00000000-0005-0000-0000-00008B050000}"/>
    <cellStyle name="_Advisors Capital Rollforward 2008 Q2_AIF VI Broadleaf Watefall Summary as of 6-30-09 FINAL" xfId="1428" xr:uid="{00000000-0005-0000-0000-00008C050000}"/>
    <cellStyle name="_Advisors Capital Rollforward 2008 Q2_AIF VI Broadleaf Watefall Summary as of 9-30-09" xfId="1429" xr:uid="{00000000-0005-0000-0000-00008D050000}"/>
    <cellStyle name="_Advisors Capital Rollforward 2008 Q2_Broadleaf Watefall 12-31-09" xfId="1430" xr:uid="{00000000-0005-0000-0000-00008E050000}"/>
    <cellStyle name="_Advisors Capital Rollforward 2008 Q2_Broadleaf Watefall 6-30-09" xfId="1431" xr:uid="{00000000-0005-0000-0000-00008F050000}"/>
    <cellStyle name="_Advisors Capital Rollforward 2008 Q2_Broadleaf Watefall 9-30-09" xfId="1432" xr:uid="{00000000-0005-0000-0000-000090050000}"/>
    <cellStyle name="_Advisors Capital Rollforward 2008 Q2_Cash Input" xfId="1433" xr:uid="{00000000-0005-0000-0000-000091050000}"/>
    <cellStyle name="_Advisors Capital Rollforward 2008 Q2_Domestic TB" xfId="1434" xr:uid="{00000000-0005-0000-0000-000092050000}"/>
    <cellStyle name="_Advisors Capital Rollforward 2008 Q2_IC Balance" xfId="1435" xr:uid="{00000000-0005-0000-0000-000093050000}"/>
    <cellStyle name="_Advisors Capital Rollforward 2008 Q2_Invested Capital Debt Worksheet" xfId="1436" xr:uid="{00000000-0005-0000-0000-000094050000}"/>
    <cellStyle name="_Advisors Capital Rollforward 2008 Q2_MMF Income" xfId="1437" xr:uid="{00000000-0005-0000-0000-000095050000}"/>
    <cellStyle name="_Advisors Capital Rollforward 2008 Q2_Partners Capital Q3 2009" xfId="1438" xr:uid="{00000000-0005-0000-0000-000096050000}"/>
    <cellStyle name="_Advisors Capital Rollforward 2008 Q2_Realized Gain Loss" xfId="1439" xr:uid="{00000000-0005-0000-0000-000097050000}"/>
    <cellStyle name="_Advisors VII DECEMBER on 3-31-09 8pm" xfId="1440" xr:uid="{00000000-0005-0000-0000-000098050000}"/>
    <cellStyle name="_Advisors VII DECEMBER on 3-31-09 8pm 2" xfId="1441" xr:uid="{00000000-0005-0000-0000-000099050000}"/>
    <cellStyle name="_AIE(IR)_PFIC Allocation (WAC %)_2Q2008" xfId="1442" xr:uid="{00000000-0005-0000-0000-00009A050000}"/>
    <cellStyle name="_AIE(IR)_Tax Workpaper" xfId="1443" xr:uid="{00000000-0005-0000-0000-00009B050000}"/>
    <cellStyle name="_AIE(IR)_Tax Workpaper_Book Capital Allocation 9 30_Broadleaf_DT" xfId="1444" xr:uid="{00000000-0005-0000-0000-00009C050000}"/>
    <cellStyle name="_AIE(IR)_Tax Workpaper_Book Capital Allocation 9 30_Broadleaf_DT_Cash Summary AIF IV and AIF VI - 05.14.09 v2" xfId="1445" xr:uid="{00000000-0005-0000-0000-00009D050000}"/>
    <cellStyle name="_AIE(IR)_Tax Workpaper_Book Capital Allocation 9 30_Broadleaf_DT_PE Funds Cash 04 17 09 Ken V Portrait 4-30-09v4" xfId="1446" xr:uid="{00000000-0005-0000-0000-00009E050000}"/>
    <cellStyle name="_AIE(IR)_Tax Workpaper_Broadleaf - Partner Capital Account Analysis" xfId="1447" xr:uid="{00000000-0005-0000-0000-00009F050000}"/>
    <cellStyle name="_AIE(IR)_Tax Workpaper_Broadleaf - Partner Capital Account Analysis_Cash Summary AIF IV and AIF VI - 05.14.09 v2" xfId="1448" xr:uid="{00000000-0005-0000-0000-0000A0050000}"/>
    <cellStyle name="_AIE(IR)_Tax Workpaper_Broadleaf - Partner Capital Account Analysis_PE Funds Cash 04 17 09 Ken V Portrait 4-30-09v4" xfId="1449" xr:uid="{00000000-0005-0000-0000-0000A1050000}"/>
    <cellStyle name="_AIE(IR)_Tax Workpaper_Cash Summary AIF IV and AIF VI - 05.14.09 v2" xfId="1450" xr:uid="{00000000-0005-0000-0000-0000A2050000}"/>
    <cellStyle name="_AIE(IR)_Tax Workpaper_Foward 704(c) All. June 08  (2)" xfId="1451" xr:uid="{00000000-0005-0000-0000-0000A3050000}"/>
    <cellStyle name="_AIE(IR)_Tax Workpaper_Foward 704(c) All. June 08  (2)_Cash Summary AIF IV and AIF VI - 05.14.09 v2" xfId="1452" xr:uid="{00000000-0005-0000-0000-0000A4050000}"/>
    <cellStyle name="_AIE(IR)_Tax Workpaper_Foward 704(c) All. June 08  (2)_PE Funds Cash 04 17 09 Ken V Portrait 4-30-09v4" xfId="1453" xr:uid="{00000000-0005-0000-0000-0000A5050000}"/>
    <cellStyle name="_AIE(IR)_Tax Workpaper_PE Funds Cash 04 17 09 Ken V Portrait 4-30-09v4" xfId="1454" xr:uid="{00000000-0005-0000-0000-0000A6050000}"/>
    <cellStyle name="-_AIF IV - Account Reconciliation Q2 2009 (June) CURRENT" xfId="1455" xr:uid="{00000000-0005-0000-0000-0000A7050000}"/>
    <cellStyle name="_AIF IV Cash  - CURRENT Q1" xfId="1456" xr:uid="{00000000-0005-0000-0000-0000A8050000}"/>
    <cellStyle name="-_AIF IV Cash  - CURRENT Q1" xfId="1457" xr:uid="{00000000-0005-0000-0000-0000A9050000}"/>
    <cellStyle name="_AIF IV Cash  - CURRENT Q1_AIF IV - Waterfall 3 31 09 vs  6 30 09" xfId="1458" xr:uid="{00000000-0005-0000-0000-0000AA050000}"/>
    <cellStyle name="_AIF IV Cash  - CURRENT Q1_AIF IV, V, VI, VII, COF - Waterfall 3 31 09 vs  6 30 09" xfId="1459" xr:uid="{00000000-0005-0000-0000-0000AB050000}"/>
    <cellStyle name="_AIF IV Cash  - CURRENT Q1_Apollo Advisors IV 12-31-08 TB (Revised for Aggr PR)" xfId="1460" xr:uid="{00000000-0005-0000-0000-0000AC050000}"/>
    <cellStyle name="_AIF IV Cash  - CURRENT Q1_Apollo Advisors IV 6-30-09 GAAP TB" xfId="1461" xr:uid="{00000000-0005-0000-0000-0000AD050000}"/>
    <cellStyle name="_AIF IV Cash  - CURRENT Q1_Fund IV" xfId="1462" xr:uid="{00000000-0005-0000-0000-0000AE050000}"/>
    <cellStyle name="_AIF IV Cash  - CURRENT Q1_Fund IV_1" xfId="1463" xr:uid="{00000000-0005-0000-0000-0000AF050000}"/>
    <cellStyle name="_AIF IV Cash  - CURRENT Q1_Funds IV Clawback Adjustment Summary" xfId="1464" xr:uid="{00000000-0005-0000-0000-0000B0050000}"/>
    <cellStyle name="_AIF IV Cash  - CURRENT Q1_Funds IV Clawback Value Adjustment" xfId="1465" xr:uid="{00000000-0005-0000-0000-0000B1050000}"/>
    <cellStyle name="-_AIF V Position Rec 3-31-09 CURRENT" xfId="1466" xr:uid="{00000000-0005-0000-0000-0000B2050000}"/>
    <cellStyle name="_AIF VI  VII Summary Dec 2008 v3" xfId="1467" xr:uid="{00000000-0005-0000-0000-0000B3050000}"/>
    <cellStyle name="_AIF VI  VII Summary Dec 2008 v3 10" xfId="1468" xr:uid="{00000000-0005-0000-0000-0000B4050000}"/>
    <cellStyle name="_AIF VI  VII Summary Dec 2008 v3 11" xfId="1469" xr:uid="{00000000-0005-0000-0000-0000B5050000}"/>
    <cellStyle name="_AIF VI  VII Summary Dec 2008 v3 12" xfId="1470" xr:uid="{00000000-0005-0000-0000-0000B6050000}"/>
    <cellStyle name="_AIF VI  VII Summary Dec 2008 v3 13" xfId="1471" xr:uid="{00000000-0005-0000-0000-0000B7050000}"/>
    <cellStyle name="_AIF VI  VII Summary Dec 2008 v3 14" xfId="1472" xr:uid="{00000000-0005-0000-0000-0000B8050000}"/>
    <cellStyle name="_AIF VI  VII Summary Dec 2008 v3 15" xfId="1473" xr:uid="{00000000-0005-0000-0000-0000B9050000}"/>
    <cellStyle name="_AIF VI  VII Summary Dec 2008 v3 16" xfId="1474" xr:uid="{00000000-0005-0000-0000-0000BA050000}"/>
    <cellStyle name="_AIF VI  VII Summary Dec 2008 v3 17" xfId="1475" xr:uid="{00000000-0005-0000-0000-0000BB050000}"/>
    <cellStyle name="_AIF VI  VII Summary Dec 2008 v3 18" xfId="1476" xr:uid="{00000000-0005-0000-0000-0000BC050000}"/>
    <cellStyle name="_AIF VI  VII Summary Dec 2008 v3 19" xfId="1477" xr:uid="{00000000-0005-0000-0000-0000BD050000}"/>
    <cellStyle name="_AIF VI  VII Summary Dec 2008 v3 2" xfId="1478" xr:uid="{00000000-0005-0000-0000-0000BE050000}"/>
    <cellStyle name="_AIF VI  VII Summary Dec 2008 v3 2 2" xfId="1479" xr:uid="{00000000-0005-0000-0000-0000BF050000}"/>
    <cellStyle name="_AIF VI  VII Summary Dec 2008 v3 2_Cash Input" xfId="1480" xr:uid="{00000000-0005-0000-0000-0000C0050000}"/>
    <cellStyle name="_AIF VI  VII Summary Dec 2008 v3 20" xfId="1481" xr:uid="{00000000-0005-0000-0000-0000C1050000}"/>
    <cellStyle name="_AIF VI  VII Summary Dec 2008 v3 21" xfId="1482" xr:uid="{00000000-0005-0000-0000-0000C2050000}"/>
    <cellStyle name="_AIF VI  VII Summary Dec 2008 v3 22" xfId="1483" xr:uid="{00000000-0005-0000-0000-0000C3050000}"/>
    <cellStyle name="_AIF VI  VII Summary Dec 2008 v3 23" xfId="1484" xr:uid="{00000000-0005-0000-0000-0000C4050000}"/>
    <cellStyle name="_AIF VI  VII Summary Dec 2008 v3 3" xfId="1485" xr:uid="{00000000-0005-0000-0000-0000C5050000}"/>
    <cellStyle name="_AIF VI  VII Summary Dec 2008 v3 3 2" xfId="1486" xr:uid="{00000000-0005-0000-0000-0000C6050000}"/>
    <cellStyle name="_AIF VI  VII Summary Dec 2008 v3 4" xfId="1487" xr:uid="{00000000-0005-0000-0000-0000C7050000}"/>
    <cellStyle name="_AIF VI  VII Summary Dec 2008 v3 5" xfId="1488" xr:uid="{00000000-0005-0000-0000-0000C8050000}"/>
    <cellStyle name="_AIF VI  VII Summary Dec 2008 v3 6" xfId="1489" xr:uid="{00000000-0005-0000-0000-0000C9050000}"/>
    <cellStyle name="_AIF VI  VII Summary Dec 2008 v3 7" xfId="1490" xr:uid="{00000000-0005-0000-0000-0000CA050000}"/>
    <cellStyle name="_AIF VI  VII Summary Dec 2008 v3 8" xfId="1491" xr:uid="{00000000-0005-0000-0000-0000CB050000}"/>
    <cellStyle name="_AIF VI  VII Summary Dec 2008 v3 9" xfId="1492" xr:uid="{00000000-0005-0000-0000-0000CC050000}"/>
    <cellStyle name="_AIF VI  VII Summary Dec 2008 v3_AIF VI - BondcoVI_Entities Invested Capital (CURRENT)" xfId="1493" xr:uid="{00000000-0005-0000-0000-0000CD050000}"/>
    <cellStyle name="_AIF VI  VII Summary Dec 2008 v3_Cash Input" xfId="1494" xr:uid="{00000000-0005-0000-0000-0000CE050000}"/>
    <cellStyle name="_AIF VI  VII Summary Dec 2008 v3_Domestic TB" xfId="1495" xr:uid="{00000000-0005-0000-0000-0000CF050000}"/>
    <cellStyle name="_AIF VI  VII Summary Dec 2008 v3_IC Balance" xfId="1496" xr:uid="{00000000-0005-0000-0000-0000D0050000}"/>
    <cellStyle name="_AIF VI  VII Summary Dec 2008 v3_Invested Capital Debt Worksheet" xfId="1497" xr:uid="{00000000-0005-0000-0000-0000D1050000}"/>
    <cellStyle name="_AIF VI  VII Summary Dec 2008 v3_MMF Income" xfId="1498" xr:uid="{00000000-0005-0000-0000-0000D2050000}"/>
    <cellStyle name="_AIF VI  VII Summary Dec 2008 v3_Partners Capital Q3 2009" xfId="1499" xr:uid="{00000000-0005-0000-0000-0000D3050000}"/>
    <cellStyle name="_AIF VI  VII Summary Dec 2008 v3_Realized Gain Loss" xfId="1500" xr:uid="{00000000-0005-0000-0000-0000D4050000}"/>
    <cellStyle name="-_AIF VI CBA GAAP (version 1 - 4.19.09)" xfId="1501" xr:uid="{00000000-0005-0000-0000-0000D5050000}"/>
    <cellStyle name="_AIF VII Capital Balance Analysis INCEPTION to 09-30-08 on 10-13-08 8am" xfId="1502" xr:uid="{00000000-0005-0000-0000-0000D6050000}"/>
    <cellStyle name="_AIF VII Capital Balance Analysis INCEPTION to 09-30-08 on 10-13-08 8am 2" xfId="1503" xr:uid="{00000000-0005-0000-0000-0000D7050000}"/>
    <cellStyle name="_AIF VII Capital Balance Analysis INCEPTION to 09-30-08 on 10-13-08 8am 2 2" xfId="1504" xr:uid="{00000000-0005-0000-0000-0000D8050000}"/>
    <cellStyle name="_AIF VII Capital Balance Analysis INCEPTION to 09-30-08 on 10-13-08 8am 2_Cash Input" xfId="1505" xr:uid="{00000000-0005-0000-0000-0000D9050000}"/>
    <cellStyle name="_AIF VII Capital Balance Analysis INCEPTION to 09-30-08 on 10-13-08 8am 3" xfId="1506" xr:uid="{00000000-0005-0000-0000-0000DA050000}"/>
    <cellStyle name="_AIF VII Capital Balance Analysis INCEPTION to 09-30-08 on 10-13-08 8am_AIF VI - BondcoVI_Entities Invested Capital (CURRENT)" xfId="1507" xr:uid="{00000000-0005-0000-0000-0000DB050000}"/>
    <cellStyle name="_AIF VII Capital Balance Analysis INCEPTION to 09-30-08 on 10-13-08 8am_Cash Input" xfId="1508" xr:uid="{00000000-0005-0000-0000-0000DC050000}"/>
    <cellStyle name="_AIF VII Capital Balance Analysis INCEPTION to 09-30-08 on 10-13-08 8am_Domestic TB" xfId="1509" xr:uid="{00000000-0005-0000-0000-0000DD050000}"/>
    <cellStyle name="_AIF VII Capital Balance Analysis INCEPTION to 09-30-08 on 10-13-08 8am_IC Balance" xfId="1510" xr:uid="{00000000-0005-0000-0000-0000DE050000}"/>
    <cellStyle name="_AIF VII Capital Balance Analysis INCEPTION to 09-30-08 on 10-13-08 8am_Invested Capital Debt Worksheet" xfId="1511" xr:uid="{00000000-0005-0000-0000-0000DF050000}"/>
    <cellStyle name="_AIF VII Capital Balance Analysis INCEPTION to 09-30-08 on 10-13-08 8am_MMF Income" xfId="1512" xr:uid="{00000000-0005-0000-0000-0000E0050000}"/>
    <cellStyle name="_AIF VII Capital Balance Analysis INCEPTION to 09-30-08 on 10-13-08 8am_Partners Capital Q3 2009" xfId="1513" xr:uid="{00000000-0005-0000-0000-0000E1050000}"/>
    <cellStyle name="_AIF VII Capital Balance Analysis INCEPTION to 09-30-08 on 10-13-08 8am_Realized Gain Loss" xfId="1514" xr:uid="{00000000-0005-0000-0000-0000E2050000}"/>
    <cellStyle name="_AJE 30 C Group CalendarizationTribeca PAK Sheet-C Group 2006" xfId="1515" xr:uid="{00000000-0005-0000-0000-0000E3050000}"/>
    <cellStyle name="_Allocations" xfId="1516" xr:uid="{00000000-0005-0000-0000-0000E4050000}"/>
    <cellStyle name="-_Andy Affrick - Schedulev2" xfId="1517" xr:uid="{00000000-0005-0000-0000-0000E5050000}"/>
    <cellStyle name="_APOLLO (^AOMF) 20071231 Reports" xfId="1518" xr:uid="{00000000-0005-0000-0000-0000E6050000}"/>
    <cellStyle name="_APOLLO (^AVMF) 20071231 TaxWorkbook v1" xfId="1519" xr:uid="{00000000-0005-0000-0000-0000E7050000}"/>
    <cellStyle name="_APOLLO (^SOMA) 20071231 TaxWorkbook v1" xfId="1520" xr:uid="{00000000-0005-0000-0000-0000E8050000}"/>
    <cellStyle name="_Apollo Advisors IV 12-31-08 GAAP TB" xfId="1521" xr:uid="{00000000-0005-0000-0000-0000E9050000}"/>
    <cellStyle name="-_Apollo Advisors IV 12-31-08 GAAP TB" xfId="1522" xr:uid="{00000000-0005-0000-0000-0000EA050000}"/>
    <cellStyle name="_Apollo Advisors IV 12-31-08 GAAP TB_AIF IV Financial Highlights 12-31-08 v4" xfId="1523" xr:uid="{00000000-0005-0000-0000-0000EB050000}"/>
    <cellStyle name="_Apollo Advisors IV 12-31-08 GAAP TB_AIF IV Financial Highlights 12-31-08 v4_Apollo Investment Fund IV  Q3 2009 Capital Analysis CURRENT" xfId="1524" xr:uid="{00000000-0005-0000-0000-0000EC050000}"/>
    <cellStyle name="_Apollo Advisors IV 12-31-08 GAAP TB_AIF IV Financial Highlights 12-31-08 v4_Apollo Investment Fund IV  Q3 2009 Capital Analysis iPCS &amp; URI Distribution" xfId="1525" xr:uid="{00000000-0005-0000-0000-0000ED050000}"/>
    <cellStyle name="_Apollo Advisors IV 12-31-08 GAAP TB_AIF IV Financial Highlights 12-31-08 v4_iPCs#1-Remaining" xfId="1526" xr:uid="{00000000-0005-0000-0000-0000EE050000}"/>
    <cellStyle name="_Apollo Advisors IV 12-31-08 GAAP TB_PR Calc - DOMESTIC" xfId="1527" xr:uid="{00000000-0005-0000-0000-0000EF050000}"/>
    <cellStyle name="_Apollo Advisors V 09-30-08 CURRENT" xfId="1528" xr:uid="{00000000-0005-0000-0000-0000F0050000}"/>
    <cellStyle name="_Apollo Advisors V 3rd Qtr 2007 TB" xfId="1529" xr:uid="{00000000-0005-0000-0000-0000F1050000}"/>
    <cellStyle name="_Apollo Advisors V 3rd Qtr 2007 TB 10" xfId="1530" xr:uid="{00000000-0005-0000-0000-0000F2050000}"/>
    <cellStyle name="_Apollo Advisors V 3rd Qtr 2007 TB 11" xfId="1531" xr:uid="{00000000-0005-0000-0000-0000F3050000}"/>
    <cellStyle name="_Apollo Advisors V 3rd Qtr 2007 TB 12" xfId="1532" xr:uid="{00000000-0005-0000-0000-0000F4050000}"/>
    <cellStyle name="_Apollo Advisors V 3rd Qtr 2007 TB 13" xfId="1533" xr:uid="{00000000-0005-0000-0000-0000F5050000}"/>
    <cellStyle name="_Apollo Advisors V 3rd Qtr 2007 TB 14" xfId="1534" xr:uid="{00000000-0005-0000-0000-0000F6050000}"/>
    <cellStyle name="_Apollo Advisors V 3rd Qtr 2007 TB 15" xfId="1535" xr:uid="{00000000-0005-0000-0000-0000F7050000}"/>
    <cellStyle name="_Apollo Advisors V 3rd Qtr 2007 TB 16" xfId="1536" xr:uid="{00000000-0005-0000-0000-0000F8050000}"/>
    <cellStyle name="_Apollo Advisors V 3rd Qtr 2007 TB 17" xfId="1537" xr:uid="{00000000-0005-0000-0000-0000F9050000}"/>
    <cellStyle name="_Apollo Advisors V 3rd Qtr 2007 TB 18" xfId="1538" xr:uid="{00000000-0005-0000-0000-0000FA050000}"/>
    <cellStyle name="_Apollo Advisors V 3rd Qtr 2007 TB 19" xfId="1539" xr:uid="{00000000-0005-0000-0000-0000FB050000}"/>
    <cellStyle name="_Apollo Advisors V 3rd Qtr 2007 TB 2" xfId="1540" xr:uid="{00000000-0005-0000-0000-0000FC050000}"/>
    <cellStyle name="_Apollo Advisors V 3rd Qtr 2007 TB 2 2" xfId="1541" xr:uid="{00000000-0005-0000-0000-0000FD050000}"/>
    <cellStyle name="_Apollo Advisors V 3rd Qtr 2007 TB 2_Cash Input" xfId="1542" xr:uid="{00000000-0005-0000-0000-0000FE050000}"/>
    <cellStyle name="_Apollo Advisors V 3rd Qtr 2007 TB 20" xfId="1543" xr:uid="{00000000-0005-0000-0000-0000FF050000}"/>
    <cellStyle name="_Apollo Advisors V 3rd Qtr 2007 TB 21" xfId="1544" xr:uid="{00000000-0005-0000-0000-000000060000}"/>
    <cellStyle name="_Apollo Advisors V 3rd Qtr 2007 TB 22" xfId="1545" xr:uid="{00000000-0005-0000-0000-000001060000}"/>
    <cellStyle name="_Apollo Advisors V 3rd Qtr 2007 TB 23" xfId="1546" xr:uid="{00000000-0005-0000-0000-000002060000}"/>
    <cellStyle name="_Apollo Advisors V 3rd Qtr 2007 TB 23 2" xfId="1547" xr:uid="{00000000-0005-0000-0000-000003060000}"/>
    <cellStyle name="_Apollo Advisors V 3rd Qtr 2007 TB 3" xfId="1548" xr:uid="{00000000-0005-0000-0000-000004060000}"/>
    <cellStyle name="_Apollo Advisors V 3rd Qtr 2007 TB 3 2" xfId="1549" xr:uid="{00000000-0005-0000-0000-000005060000}"/>
    <cellStyle name="_Apollo Advisors V 3rd Qtr 2007 TB 4" xfId="1550" xr:uid="{00000000-0005-0000-0000-000006060000}"/>
    <cellStyle name="_Apollo Advisors V 3rd Qtr 2007 TB 5" xfId="1551" xr:uid="{00000000-0005-0000-0000-000007060000}"/>
    <cellStyle name="_Apollo Advisors V 3rd Qtr 2007 TB 6" xfId="1552" xr:uid="{00000000-0005-0000-0000-000008060000}"/>
    <cellStyle name="_Apollo Advisors V 3rd Qtr 2007 TB 7" xfId="1553" xr:uid="{00000000-0005-0000-0000-000009060000}"/>
    <cellStyle name="_Apollo Advisors V 3rd Qtr 2007 TB 8" xfId="1554" xr:uid="{00000000-0005-0000-0000-00000A060000}"/>
    <cellStyle name="_Apollo Advisors V 3rd Qtr 2007 TB 9" xfId="1555" xr:uid="{00000000-0005-0000-0000-00000B060000}"/>
    <cellStyle name="_Apollo Advisors V 3rd Qtr 2007 TB_2.10.10 LS Distribution" xfId="1556" xr:uid="{00000000-0005-0000-0000-00000C060000}"/>
    <cellStyle name="_Apollo Advisors V 3rd Qtr 2007 TB_2011 Q1 Monitoring Fees v3" xfId="1557" xr:uid="{00000000-0005-0000-0000-00000D060000}"/>
    <cellStyle name="_Apollo Advisors V 3rd Qtr 2007 TB_AIF IV Financial Highlights 12-31-08 v4" xfId="1558" xr:uid="{00000000-0005-0000-0000-00000E060000}"/>
    <cellStyle name="_Apollo Advisors V 3rd Qtr 2007 TB_AIF IV Financial Highlights 12-31-08 v4_Apollo Investment Fund IV  Q3 2009 Capital Analysis CURRENT" xfId="1559" xr:uid="{00000000-0005-0000-0000-00000F060000}"/>
    <cellStyle name="_Apollo Advisors V 3rd Qtr 2007 TB_AIF IV Financial Highlights 12-31-08 v4_Apollo Investment Fund IV  Q3 2009 Capital Analysis iPCS &amp; URI Distribution" xfId="1560" xr:uid="{00000000-0005-0000-0000-000010060000}"/>
    <cellStyle name="_Apollo Advisors V 3rd Qtr 2007 TB_AIF IV Financial Highlights 12-31-08 v4_iPCs#1-Remaining" xfId="1561" xr:uid="{00000000-0005-0000-0000-000011060000}"/>
    <cellStyle name="_Apollo Advisors V 3rd Qtr 2007 TB_AIF VI - BondcoVI_Entities Invested Capital (CURRENT)" xfId="1562" xr:uid="{00000000-0005-0000-0000-000012060000}"/>
    <cellStyle name="_Apollo Advisors V 3rd Qtr 2007 TB_AIF VI Broadleaf Watefall Summary as of 6-30-09 FINAL" xfId="1563" xr:uid="{00000000-0005-0000-0000-000013060000}"/>
    <cellStyle name="_Apollo Advisors V 3rd Qtr 2007 TB_AIF VI Broadleaf Watefall Summary as of 9-30-09" xfId="1564" xr:uid="{00000000-0005-0000-0000-000014060000}"/>
    <cellStyle name="_Apollo Advisors V 3rd Qtr 2007 TB_Broadleaf Watefall 12-31-09" xfId="1565" xr:uid="{00000000-0005-0000-0000-000015060000}"/>
    <cellStyle name="_Apollo Advisors V 3rd Qtr 2007 TB_Broadleaf Watefall 6-30-09" xfId="1566" xr:uid="{00000000-0005-0000-0000-000016060000}"/>
    <cellStyle name="_Apollo Advisors V 3rd Qtr 2007 TB_Broadleaf Watefall 9-30-09" xfId="1567" xr:uid="{00000000-0005-0000-0000-000017060000}"/>
    <cellStyle name="_Apollo Advisors V 3rd Qtr 2007 TB_Cash Input" xfId="1568" xr:uid="{00000000-0005-0000-0000-000018060000}"/>
    <cellStyle name="_Apollo Advisors V 3rd Qtr 2007 TB_Cash Summary AIF IV and AIF VI - 05.14.09 v2" xfId="1569" xr:uid="{00000000-0005-0000-0000-000019060000}"/>
    <cellStyle name="_Apollo Advisors V 3rd Qtr 2007 TB_Copy of AGM Dec '09 YTD COF I and II Dep  Liab (1-13-10) (2)" xfId="1570" xr:uid="{00000000-0005-0000-0000-00001A060000}"/>
    <cellStyle name="_Apollo Advisors V 3rd Qtr 2007 TB_Domestic TB" xfId="1571" xr:uid="{00000000-0005-0000-0000-00001B060000}"/>
    <cellStyle name="_Apollo Advisors V 3rd Qtr 2007 TB_GP commitApollo Entities" xfId="1572" xr:uid="{00000000-0005-0000-0000-00001C060000}"/>
    <cellStyle name="_Apollo Advisors V 3rd Qtr 2007 TB_IC Balance" xfId="1573" xr:uid="{00000000-0005-0000-0000-00001D060000}"/>
    <cellStyle name="_Apollo Advisors V 3rd Qtr 2007 TB_Invested Capital Debt Worksheet" xfId="1574" xr:uid="{00000000-0005-0000-0000-00001E060000}"/>
    <cellStyle name="_Apollo Advisors V 3rd Qtr 2007 TB_LS, LP - Dec  2010 Trial Balance Summary" xfId="1575" xr:uid="{00000000-0005-0000-0000-00001F060000}"/>
    <cellStyle name="_Apollo Advisors V 3rd Qtr 2007 TB_MMF Income" xfId="1576" xr:uid="{00000000-0005-0000-0000-000020060000}"/>
    <cellStyle name="_Apollo Advisors V 3rd Qtr 2007 TB_Partners Capital Q1 2009" xfId="1577" xr:uid="{00000000-0005-0000-0000-000021060000}"/>
    <cellStyle name="_Apollo Advisors V 3rd Qtr 2007 TB_Partners Capital Q3 2009" xfId="1578" xr:uid="{00000000-0005-0000-0000-000022060000}"/>
    <cellStyle name="_Apollo Advisors V 3rd Qtr 2007 TB_PE Funds Cash 04 17 09 Ken V Portrait 4-30-09v4" xfId="1579" xr:uid="{00000000-0005-0000-0000-000023060000}"/>
    <cellStyle name="_Apollo Advisors V 3rd Qtr 2007 TB_Placement Fee Summary 05-14-09 - Current (2)" xfId="1580" xr:uid="{00000000-0005-0000-0000-000024060000}"/>
    <cellStyle name="_Apollo Advisors V 3rd Qtr 2007 TB_PR Calc - DOMESTIC" xfId="1581" xr:uid="{00000000-0005-0000-0000-000025060000}"/>
    <cellStyle name="_Apollo Advisors V 3rd Qtr 2007 TB_Q1 2011 Pmts" xfId="1582" xr:uid="{00000000-0005-0000-0000-000026060000}"/>
    <cellStyle name="_Apollo Advisors V 3rd Qtr 2007 TB_Realized Gain Loss" xfId="1583" xr:uid="{00000000-0005-0000-0000-000027060000}"/>
    <cellStyle name="_Apollo Advisors V 3rd Qtr 2007 TB_TX Details" xfId="1584" xr:uid="{00000000-0005-0000-0000-000028060000}"/>
    <cellStyle name="_Apollo Advisors VI 3rd Qtr 2007 TB" xfId="1585" xr:uid="{00000000-0005-0000-0000-000029060000}"/>
    <cellStyle name="_Apollo Advisors VI 3rd Qtr 2007 TB 10" xfId="1586" xr:uid="{00000000-0005-0000-0000-00002A060000}"/>
    <cellStyle name="_Apollo Advisors VI 3rd Qtr 2007 TB 11" xfId="1587" xr:uid="{00000000-0005-0000-0000-00002B060000}"/>
    <cellStyle name="_Apollo Advisors VI 3rd Qtr 2007 TB 12" xfId="1588" xr:uid="{00000000-0005-0000-0000-00002C060000}"/>
    <cellStyle name="_Apollo Advisors VI 3rd Qtr 2007 TB 13" xfId="1589" xr:uid="{00000000-0005-0000-0000-00002D060000}"/>
    <cellStyle name="_Apollo Advisors VI 3rd Qtr 2007 TB 14" xfId="1590" xr:uid="{00000000-0005-0000-0000-00002E060000}"/>
    <cellStyle name="_Apollo Advisors VI 3rd Qtr 2007 TB 15" xfId="1591" xr:uid="{00000000-0005-0000-0000-00002F060000}"/>
    <cellStyle name="_Apollo Advisors VI 3rd Qtr 2007 TB 16" xfId="1592" xr:uid="{00000000-0005-0000-0000-000030060000}"/>
    <cellStyle name="_Apollo Advisors VI 3rd Qtr 2007 TB 17" xfId="1593" xr:uid="{00000000-0005-0000-0000-000031060000}"/>
    <cellStyle name="_Apollo Advisors VI 3rd Qtr 2007 TB 18" xfId="1594" xr:uid="{00000000-0005-0000-0000-000032060000}"/>
    <cellStyle name="_Apollo Advisors VI 3rd Qtr 2007 TB 19" xfId="1595" xr:uid="{00000000-0005-0000-0000-000033060000}"/>
    <cellStyle name="_Apollo Advisors VI 3rd Qtr 2007 TB 2" xfId="1596" xr:uid="{00000000-0005-0000-0000-000034060000}"/>
    <cellStyle name="_Apollo Advisors VI 3rd Qtr 2007 TB 2 2" xfId="1597" xr:uid="{00000000-0005-0000-0000-000035060000}"/>
    <cellStyle name="_Apollo Advisors VI 3rd Qtr 2007 TB 2_Cash Input" xfId="1598" xr:uid="{00000000-0005-0000-0000-000036060000}"/>
    <cellStyle name="_Apollo Advisors VI 3rd Qtr 2007 TB 20" xfId="1599" xr:uid="{00000000-0005-0000-0000-000037060000}"/>
    <cellStyle name="_Apollo Advisors VI 3rd Qtr 2007 TB 21" xfId="1600" xr:uid="{00000000-0005-0000-0000-000038060000}"/>
    <cellStyle name="_Apollo Advisors VI 3rd Qtr 2007 TB 22" xfId="1601" xr:uid="{00000000-0005-0000-0000-000039060000}"/>
    <cellStyle name="_Apollo Advisors VI 3rd Qtr 2007 TB 23" xfId="1602" xr:uid="{00000000-0005-0000-0000-00003A060000}"/>
    <cellStyle name="_Apollo Advisors VI 3rd Qtr 2007 TB 23 2" xfId="1603" xr:uid="{00000000-0005-0000-0000-00003B060000}"/>
    <cellStyle name="_Apollo Advisors VI 3rd Qtr 2007 TB 3" xfId="1604" xr:uid="{00000000-0005-0000-0000-00003C060000}"/>
    <cellStyle name="_Apollo Advisors VI 3rd Qtr 2007 TB 3 2" xfId="1605" xr:uid="{00000000-0005-0000-0000-00003D060000}"/>
    <cellStyle name="_Apollo Advisors VI 3rd Qtr 2007 TB 4" xfId="1606" xr:uid="{00000000-0005-0000-0000-00003E060000}"/>
    <cellStyle name="_Apollo Advisors VI 3rd Qtr 2007 TB 5" xfId="1607" xr:uid="{00000000-0005-0000-0000-00003F060000}"/>
    <cellStyle name="_Apollo Advisors VI 3rd Qtr 2007 TB 6" xfId="1608" xr:uid="{00000000-0005-0000-0000-000040060000}"/>
    <cellStyle name="_Apollo Advisors VI 3rd Qtr 2007 TB 7" xfId="1609" xr:uid="{00000000-0005-0000-0000-000041060000}"/>
    <cellStyle name="_Apollo Advisors VI 3rd Qtr 2007 TB 8" xfId="1610" xr:uid="{00000000-0005-0000-0000-000042060000}"/>
    <cellStyle name="_Apollo Advisors VI 3rd Qtr 2007 TB 9" xfId="1611" xr:uid="{00000000-0005-0000-0000-000043060000}"/>
    <cellStyle name="_Apollo Advisors VI 3rd Qtr 2007 TB_2.10.10 LS Distribution" xfId="1612" xr:uid="{00000000-0005-0000-0000-000044060000}"/>
    <cellStyle name="_Apollo Advisors VI 3rd Qtr 2007 TB_2011 Q1 Monitoring Fees v3" xfId="1613" xr:uid="{00000000-0005-0000-0000-000045060000}"/>
    <cellStyle name="_Apollo Advisors VI 3rd Qtr 2007 TB_AIF VI - BondcoVI_Entities Invested Capital (CURRENT)" xfId="1614" xr:uid="{00000000-0005-0000-0000-000046060000}"/>
    <cellStyle name="_Apollo Advisors VI 3rd Qtr 2007 TB_AIF VI Broadleaf Watefall Summary as of 6-30-09 FINAL" xfId="1615" xr:uid="{00000000-0005-0000-0000-000047060000}"/>
    <cellStyle name="_Apollo Advisors VI 3rd Qtr 2007 TB_AIF VI Broadleaf Watefall Summary as of 9-30-09" xfId="1616" xr:uid="{00000000-0005-0000-0000-000048060000}"/>
    <cellStyle name="_Apollo Advisors VI 3rd Qtr 2007 TB_Broadleaf Watefall 12-31-09" xfId="1617" xr:uid="{00000000-0005-0000-0000-000049060000}"/>
    <cellStyle name="_Apollo Advisors VI 3rd Qtr 2007 TB_Broadleaf Watefall 6-30-09" xfId="1618" xr:uid="{00000000-0005-0000-0000-00004A060000}"/>
    <cellStyle name="_Apollo Advisors VI 3rd Qtr 2007 TB_Broadleaf Watefall 9-30-09" xfId="1619" xr:uid="{00000000-0005-0000-0000-00004B060000}"/>
    <cellStyle name="_Apollo Advisors VI 3rd Qtr 2007 TB_Cash Input" xfId="1620" xr:uid="{00000000-0005-0000-0000-00004C060000}"/>
    <cellStyle name="_Apollo Advisors VI 3rd Qtr 2007 TB_Cash Summary AIF IV and AIF VI - 05.14.09 v2" xfId="1621" xr:uid="{00000000-0005-0000-0000-00004D060000}"/>
    <cellStyle name="_Apollo Advisors VI 3rd Qtr 2007 TB_Copy of AGM Dec '09 YTD COF I and II Dep  Liab (1-13-10) (2)" xfId="1622" xr:uid="{00000000-0005-0000-0000-00004E060000}"/>
    <cellStyle name="_Apollo Advisors VI 3rd Qtr 2007 TB_Domestic TB" xfId="1623" xr:uid="{00000000-0005-0000-0000-00004F060000}"/>
    <cellStyle name="_Apollo Advisors VI 3rd Qtr 2007 TB_IC Balance" xfId="1624" xr:uid="{00000000-0005-0000-0000-000050060000}"/>
    <cellStyle name="_Apollo Advisors VI 3rd Qtr 2007 TB_Invested Capital Debt Worksheet" xfId="1625" xr:uid="{00000000-0005-0000-0000-000051060000}"/>
    <cellStyle name="_Apollo Advisors VI 3rd Qtr 2007 TB_LS, LP - Dec  2010 Trial Balance Summary" xfId="1626" xr:uid="{00000000-0005-0000-0000-000052060000}"/>
    <cellStyle name="_Apollo Advisors VI 3rd Qtr 2007 TB_MMF Income" xfId="1627" xr:uid="{00000000-0005-0000-0000-000053060000}"/>
    <cellStyle name="_Apollo Advisors VI 3rd Qtr 2007 TB_Partners Capital Q3 2009" xfId="1628" xr:uid="{00000000-0005-0000-0000-000054060000}"/>
    <cellStyle name="_Apollo Advisors VI 3rd Qtr 2007 TB_PE Funds Cash 04 17 09 Ken V Portrait 4-30-09v4" xfId="1629" xr:uid="{00000000-0005-0000-0000-000055060000}"/>
    <cellStyle name="_Apollo Advisors VI 3rd Qtr 2007 TB_Placement Fee Summary 05-14-09 - Current (2)" xfId="1630" xr:uid="{00000000-0005-0000-0000-000056060000}"/>
    <cellStyle name="_Apollo Advisors VI 3rd Qtr 2007 TB_Q1 2011 Pmts" xfId="1631" xr:uid="{00000000-0005-0000-0000-000057060000}"/>
    <cellStyle name="_Apollo Advisors VI 3rd Qtr 2007 TB_Realized Gain Loss" xfId="1632" xr:uid="{00000000-0005-0000-0000-000058060000}"/>
    <cellStyle name="_Apollo Advisors VI 3rd Qtr 2007 TB_Revenue breakout" xfId="1633" xr:uid="{00000000-0005-0000-0000-000059060000}"/>
    <cellStyle name="_Apollo Advisors VI 3rd Qtr 2007 TB_Revenue breakout 10" xfId="1634" xr:uid="{00000000-0005-0000-0000-00005A060000}"/>
    <cellStyle name="_Apollo Advisors VI 3rd Qtr 2007 TB_Revenue breakout 11" xfId="1635" xr:uid="{00000000-0005-0000-0000-00005B060000}"/>
    <cellStyle name="_Apollo Advisors VI 3rd Qtr 2007 TB_Revenue breakout 12" xfId="1636" xr:uid="{00000000-0005-0000-0000-00005C060000}"/>
    <cellStyle name="_Apollo Advisors VI 3rd Qtr 2007 TB_Revenue breakout 13" xfId="1637" xr:uid="{00000000-0005-0000-0000-00005D060000}"/>
    <cellStyle name="_Apollo Advisors VI 3rd Qtr 2007 TB_Revenue breakout 14" xfId="1638" xr:uid="{00000000-0005-0000-0000-00005E060000}"/>
    <cellStyle name="_Apollo Advisors VI 3rd Qtr 2007 TB_Revenue breakout 15" xfId="1639" xr:uid="{00000000-0005-0000-0000-00005F060000}"/>
    <cellStyle name="_Apollo Advisors VI 3rd Qtr 2007 TB_Revenue breakout 16" xfId="1640" xr:uid="{00000000-0005-0000-0000-000060060000}"/>
    <cellStyle name="_Apollo Advisors VI 3rd Qtr 2007 TB_Revenue breakout 17" xfId="1641" xr:uid="{00000000-0005-0000-0000-000061060000}"/>
    <cellStyle name="_Apollo Advisors VI 3rd Qtr 2007 TB_Revenue breakout 18" xfId="1642" xr:uid="{00000000-0005-0000-0000-000062060000}"/>
    <cellStyle name="_Apollo Advisors VI 3rd Qtr 2007 TB_Revenue breakout 19" xfId="1643" xr:uid="{00000000-0005-0000-0000-000063060000}"/>
    <cellStyle name="_Apollo Advisors VI 3rd Qtr 2007 TB_Revenue breakout 2" xfId="1644" xr:uid="{00000000-0005-0000-0000-000064060000}"/>
    <cellStyle name="_Apollo Advisors VI 3rd Qtr 2007 TB_Revenue breakout 2 2" xfId="1645" xr:uid="{00000000-0005-0000-0000-000065060000}"/>
    <cellStyle name="_Apollo Advisors VI 3rd Qtr 2007 TB_Revenue breakout 2_Cash Input" xfId="1646" xr:uid="{00000000-0005-0000-0000-000066060000}"/>
    <cellStyle name="_Apollo Advisors VI 3rd Qtr 2007 TB_Revenue breakout 20" xfId="1647" xr:uid="{00000000-0005-0000-0000-000067060000}"/>
    <cellStyle name="_Apollo Advisors VI 3rd Qtr 2007 TB_Revenue breakout 21" xfId="1648" xr:uid="{00000000-0005-0000-0000-000068060000}"/>
    <cellStyle name="_Apollo Advisors VI 3rd Qtr 2007 TB_Revenue breakout 22" xfId="1649" xr:uid="{00000000-0005-0000-0000-000069060000}"/>
    <cellStyle name="_Apollo Advisors VI 3rd Qtr 2007 TB_Revenue breakout 23" xfId="1650" xr:uid="{00000000-0005-0000-0000-00006A060000}"/>
    <cellStyle name="_Apollo Advisors VI 3rd Qtr 2007 TB_Revenue breakout 23 2" xfId="1651" xr:uid="{00000000-0005-0000-0000-00006B060000}"/>
    <cellStyle name="_Apollo Advisors VI 3rd Qtr 2007 TB_Revenue breakout 3" xfId="1652" xr:uid="{00000000-0005-0000-0000-00006C060000}"/>
    <cellStyle name="_Apollo Advisors VI 3rd Qtr 2007 TB_Revenue breakout 3 2" xfId="1653" xr:uid="{00000000-0005-0000-0000-00006D060000}"/>
    <cellStyle name="_Apollo Advisors VI 3rd Qtr 2007 TB_Revenue breakout 4" xfId="1654" xr:uid="{00000000-0005-0000-0000-00006E060000}"/>
    <cellStyle name="_Apollo Advisors VI 3rd Qtr 2007 TB_Revenue breakout 5" xfId="1655" xr:uid="{00000000-0005-0000-0000-00006F060000}"/>
    <cellStyle name="_Apollo Advisors VI 3rd Qtr 2007 TB_Revenue breakout 6" xfId="1656" xr:uid="{00000000-0005-0000-0000-000070060000}"/>
    <cellStyle name="_Apollo Advisors VI 3rd Qtr 2007 TB_Revenue breakout 7" xfId="1657" xr:uid="{00000000-0005-0000-0000-000071060000}"/>
    <cellStyle name="_Apollo Advisors VI 3rd Qtr 2007 TB_Revenue breakout 8" xfId="1658" xr:uid="{00000000-0005-0000-0000-000072060000}"/>
    <cellStyle name="_Apollo Advisors VI 3rd Qtr 2007 TB_Revenue breakout 9" xfId="1659" xr:uid="{00000000-0005-0000-0000-000073060000}"/>
    <cellStyle name="_Apollo Advisors VI 3rd Qtr 2007 TB_Revenue breakout_2.10.10 LS Distribution" xfId="1660" xr:uid="{00000000-0005-0000-0000-000074060000}"/>
    <cellStyle name="_Apollo Advisors VI 3rd Qtr 2007 TB_Revenue breakout_2007 Revenue - RE fees" xfId="1661" xr:uid="{00000000-0005-0000-0000-000075060000}"/>
    <cellStyle name="_Apollo Advisors VI 3rd Qtr 2007 TB_Revenue breakout_2007 Revenue - RE fees 10" xfId="1662" xr:uid="{00000000-0005-0000-0000-000076060000}"/>
    <cellStyle name="_Apollo Advisors VI 3rd Qtr 2007 TB_Revenue breakout_2007 Revenue - RE fees 11" xfId="1663" xr:uid="{00000000-0005-0000-0000-000077060000}"/>
    <cellStyle name="_Apollo Advisors VI 3rd Qtr 2007 TB_Revenue breakout_2007 Revenue - RE fees 12" xfId="1664" xr:uid="{00000000-0005-0000-0000-000078060000}"/>
    <cellStyle name="_Apollo Advisors VI 3rd Qtr 2007 TB_Revenue breakout_2007 Revenue - RE fees 13" xfId="1665" xr:uid="{00000000-0005-0000-0000-000079060000}"/>
    <cellStyle name="_Apollo Advisors VI 3rd Qtr 2007 TB_Revenue breakout_2007 Revenue - RE fees 14" xfId="1666" xr:uid="{00000000-0005-0000-0000-00007A060000}"/>
    <cellStyle name="_Apollo Advisors VI 3rd Qtr 2007 TB_Revenue breakout_2007 Revenue - RE fees 15" xfId="1667" xr:uid="{00000000-0005-0000-0000-00007B060000}"/>
    <cellStyle name="_Apollo Advisors VI 3rd Qtr 2007 TB_Revenue breakout_2007 Revenue - RE fees 16" xfId="1668" xr:uid="{00000000-0005-0000-0000-00007C060000}"/>
    <cellStyle name="_Apollo Advisors VI 3rd Qtr 2007 TB_Revenue breakout_2007 Revenue - RE fees 17" xfId="1669" xr:uid="{00000000-0005-0000-0000-00007D060000}"/>
    <cellStyle name="_Apollo Advisors VI 3rd Qtr 2007 TB_Revenue breakout_2007 Revenue - RE fees 18" xfId="1670" xr:uid="{00000000-0005-0000-0000-00007E060000}"/>
    <cellStyle name="_Apollo Advisors VI 3rd Qtr 2007 TB_Revenue breakout_2007 Revenue - RE fees 19" xfId="1671" xr:uid="{00000000-0005-0000-0000-00007F060000}"/>
    <cellStyle name="_Apollo Advisors VI 3rd Qtr 2007 TB_Revenue breakout_2007 Revenue - RE fees 2" xfId="1672" xr:uid="{00000000-0005-0000-0000-000080060000}"/>
    <cellStyle name="_Apollo Advisors VI 3rd Qtr 2007 TB_Revenue breakout_2007 Revenue - RE fees 2 2" xfId="1673" xr:uid="{00000000-0005-0000-0000-000081060000}"/>
    <cellStyle name="_Apollo Advisors VI 3rd Qtr 2007 TB_Revenue breakout_2007 Revenue - RE fees 2_Cash Input" xfId="1674" xr:uid="{00000000-0005-0000-0000-000082060000}"/>
    <cellStyle name="_Apollo Advisors VI 3rd Qtr 2007 TB_Revenue breakout_2007 Revenue - RE fees 20" xfId="1675" xr:uid="{00000000-0005-0000-0000-000083060000}"/>
    <cellStyle name="_Apollo Advisors VI 3rd Qtr 2007 TB_Revenue breakout_2007 Revenue - RE fees 21" xfId="1676" xr:uid="{00000000-0005-0000-0000-000084060000}"/>
    <cellStyle name="_Apollo Advisors VI 3rd Qtr 2007 TB_Revenue breakout_2007 Revenue - RE fees 22" xfId="1677" xr:uid="{00000000-0005-0000-0000-000085060000}"/>
    <cellStyle name="_Apollo Advisors VI 3rd Qtr 2007 TB_Revenue breakout_2007 Revenue - RE fees 23" xfId="1678" xr:uid="{00000000-0005-0000-0000-000086060000}"/>
    <cellStyle name="_Apollo Advisors VI 3rd Qtr 2007 TB_Revenue breakout_2007 Revenue - RE fees 23 2" xfId="1679" xr:uid="{00000000-0005-0000-0000-000087060000}"/>
    <cellStyle name="_Apollo Advisors VI 3rd Qtr 2007 TB_Revenue breakout_2007 Revenue - RE fees 3" xfId="1680" xr:uid="{00000000-0005-0000-0000-000088060000}"/>
    <cellStyle name="_Apollo Advisors VI 3rd Qtr 2007 TB_Revenue breakout_2007 Revenue - RE fees 3 2" xfId="1681" xr:uid="{00000000-0005-0000-0000-000089060000}"/>
    <cellStyle name="_Apollo Advisors VI 3rd Qtr 2007 TB_Revenue breakout_2007 Revenue - RE fees 4" xfId="1682" xr:uid="{00000000-0005-0000-0000-00008A060000}"/>
    <cellStyle name="_Apollo Advisors VI 3rd Qtr 2007 TB_Revenue breakout_2007 Revenue - RE fees 5" xfId="1683" xr:uid="{00000000-0005-0000-0000-00008B060000}"/>
    <cellStyle name="_Apollo Advisors VI 3rd Qtr 2007 TB_Revenue breakout_2007 Revenue - RE fees 6" xfId="1684" xr:uid="{00000000-0005-0000-0000-00008C060000}"/>
    <cellStyle name="_Apollo Advisors VI 3rd Qtr 2007 TB_Revenue breakout_2007 Revenue - RE fees 7" xfId="1685" xr:uid="{00000000-0005-0000-0000-00008D060000}"/>
    <cellStyle name="_Apollo Advisors VI 3rd Qtr 2007 TB_Revenue breakout_2007 Revenue - RE fees 8" xfId="1686" xr:uid="{00000000-0005-0000-0000-00008E060000}"/>
    <cellStyle name="_Apollo Advisors VI 3rd Qtr 2007 TB_Revenue breakout_2007 Revenue - RE fees 9" xfId="1687" xr:uid="{00000000-0005-0000-0000-00008F060000}"/>
    <cellStyle name="_Apollo Advisors VI 3rd Qtr 2007 TB_Revenue breakout_2007 Revenue - RE fees_2011 Q1 Monitoring Fees v3" xfId="1688" xr:uid="{00000000-0005-0000-0000-000090060000}"/>
    <cellStyle name="_Apollo Advisors VI 3rd Qtr 2007 TB_Revenue breakout_2007 Revenue - RE fees_AIF VI - BondcoVI_Entities Invested Capital (CURRENT)" xfId="1689" xr:uid="{00000000-0005-0000-0000-000091060000}"/>
    <cellStyle name="_Apollo Advisors VI 3rd Qtr 2007 TB_Revenue breakout_2007 Revenue - RE fees_AIF VI Broadleaf Watefall Summary as of 6-30-09 FINAL" xfId="1690" xr:uid="{00000000-0005-0000-0000-000092060000}"/>
    <cellStyle name="_Apollo Advisors VI 3rd Qtr 2007 TB_Revenue breakout_2007 Revenue - RE fees_AIF VI Broadleaf Watefall Summary as of 9-30-09" xfId="1691" xr:uid="{00000000-0005-0000-0000-000093060000}"/>
    <cellStyle name="_Apollo Advisors VI 3rd Qtr 2007 TB_Revenue breakout_2007 Revenue - RE fees_Broadleaf Watefall 12-31-09" xfId="1692" xr:uid="{00000000-0005-0000-0000-000094060000}"/>
    <cellStyle name="_Apollo Advisors VI 3rd Qtr 2007 TB_Revenue breakout_2007 Revenue - RE fees_Broadleaf Watefall 6-30-09" xfId="1693" xr:uid="{00000000-0005-0000-0000-000095060000}"/>
    <cellStyle name="_Apollo Advisors VI 3rd Qtr 2007 TB_Revenue breakout_2007 Revenue - RE fees_Broadleaf Watefall 9-30-09" xfId="1694" xr:uid="{00000000-0005-0000-0000-000096060000}"/>
    <cellStyle name="_Apollo Advisors VI 3rd Qtr 2007 TB_Revenue breakout_2007 Revenue - RE fees_Cash Input" xfId="1695" xr:uid="{00000000-0005-0000-0000-000097060000}"/>
    <cellStyle name="_Apollo Advisors VI 3rd Qtr 2007 TB_Revenue breakout_2007 Revenue - RE fees_Cash Summary AIF IV and AIF VI - 05.14.09 v2" xfId="1696" xr:uid="{00000000-0005-0000-0000-000098060000}"/>
    <cellStyle name="_Apollo Advisors VI 3rd Qtr 2007 TB_Revenue breakout_2007 Revenue - RE fees_Copy of AGM Dec '09 YTD COF I and II Dep  Liab (1-13-10) (2)" xfId="1697" xr:uid="{00000000-0005-0000-0000-000099060000}"/>
    <cellStyle name="_Apollo Advisors VI 3rd Qtr 2007 TB_Revenue breakout_2007 Revenue - RE fees_Domestic TB" xfId="1698" xr:uid="{00000000-0005-0000-0000-00009A060000}"/>
    <cellStyle name="_Apollo Advisors VI 3rd Qtr 2007 TB_Revenue breakout_2007 Revenue - RE fees_IC Balance" xfId="1699" xr:uid="{00000000-0005-0000-0000-00009B060000}"/>
    <cellStyle name="_Apollo Advisors VI 3rd Qtr 2007 TB_Revenue breakout_2007 Revenue - RE fees_Invested Capital Debt Worksheet" xfId="1700" xr:uid="{00000000-0005-0000-0000-00009C060000}"/>
    <cellStyle name="_Apollo Advisors VI 3rd Qtr 2007 TB_Revenue breakout_2007 Revenue - RE fees_MMF Income" xfId="1701" xr:uid="{00000000-0005-0000-0000-00009D060000}"/>
    <cellStyle name="_Apollo Advisors VI 3rd Qtr 2007 TB_Revenue breakout_2007 Revenue - RE fees_Partners Capital Q3 2009" xfId="1702" xr:uid="{00000000-0005-0000-0000-00009E060000}"/>
    <cellStyle name="_Apollo Advisors VI 3rd Qtr 2007 TB_Revenue breakout_2007 Revenue - RE fees_PE Funds Cash 04 17 09 Ken V Portrait 4-30-09v4" xfId="1703" xr:uid="{00000000-0005-0000-0000-00009F060000}"/>
    <cellStyle name="_Apollo Advisors VI 3rd Qtr 2007 TB_Revenue breakout_2007 Revenue - RE fees_Placement Fee Summary 05-14-09 - Current (2)" xfId="1704" xr:uid="{00000000-0005-0000-0000-0000A0060000}"/>
    <cellStyle name="_Apollo Advisors VI 3rd Qtr 2007 TB_Revenue breakout_2007 Revenue - RE fees_Realized Gain Loss" xfId="1705" xr:uid="{00000000-0005-0000-0000-0000A1060000}"/>
    <cellStyle name="_Apollo Advisors VI 3rd Qtr 2007 TB_Revenue breakout_2011 Q1 Monitoring Fees v3" xfId="1706" xr:uid="{00000000-0005-0000-0000-0000A2060000}"/>
    <cellStyle name="_Apollo Advisors VI 3rd Qtr 2007 TB_Revenue breakout_AIF VI - BondcoVI_Entities Invested Capital (CURRENT)" xfId="1707" xr:uid="{00000000-0005-0000-0000-0000A3060000}"/>
    <cellStyle name="_Apollo Advisors VI 3rd Qtr 2007 TB_Revenue breakout_AIF VI Broadleaf Watefall Summary as of 6-30-09 FINAL" xfId="1708" xr:uid="{00000000-0005-0000-0000-0000A4060000}"/>
    <cellStyle name="_Apollo Advisors VI 3rd Qtr 2007 TB_Revenue breakout_AIF VI Broadleaf Watefall Summary as of 9-30-09" xfId="1709" xr:uid="{00000000-0005-0000-0000-0000A5060000}"/>
    <cellStyle name="_Apollo Advisors VI 3rd Qtr 2007 TB_Revenue breakout_Broadleaf Watefall 12-31-09" xfId="1710" xr:uid="{00000000-0005-0000-0000-0000A6060000}"/>
    <cellStyle name="_Apollo Advisors VI 3rd Qtr 2007 TB_Revenue breakout_Broadleaf Watefall 6-30-09" xfId="1711" xr:uid="{00000000-0005-0000-0000-0000A7060000}"/>
    <cellStyle name="_Apollo Advisors VI 3rd Qtr 2007 TB_Revenue breakout_Broadleaf Watefall 9-30-09" xfId="1712" xr:uid="{00000000-0005-0000-0000-0000A8060000}"/>
    <cellStyle name="_Apollo Advisors VI 3rd Qtr 2007 TB_Revenue breakout_Cash Input" xfId="1713" xr:uid="{00000000-0005-0000-0000-0000A9060000}"/>
    <cellStyle name="_Apollo Advisors VI 3rd Qtr 2007 TB_Revenue breakout_Cash Summary AIF IV and AIF VI - 05.14.09 v2" xfId="1714" xr:uid="{00000000-0005-0000-0000-0000AA060000}"/>
    <cellStyle name="_Apollo Advisors VI 3rd Qtr 2007 TB_Revenue breakout_Copy of AGM Dec '09 YTD COF I and II Dep  Liab (1-13-10) (2)" xfId="1715" xr:uid="{00000000-0005-0000-0000-0000AB060000}"/>
    <cellStyle name="_Apollo Advisors VI 3rd Qtr 2007 TB_Revenue breakout_Domestic TB" xfId="1716" xr:uid="{00000000-0005-0000-0000-0000AC060000}"/>
    <cellStyle name="_Apollo Advisors VI 3rd Qtr 2007 TB_Revenue breakout_IC Balance" xfId="1717" xr:uid="{00000000-0005-0000-0000-0000AD060000}"/>
    <cellStyle name="_Apollo Advisors VI 3rd Qtr 2007 TB_Revenue breakout_Invested Capital Debt Worksheet" xfId="1718" xr:uid="{00000000-0005-0000-0000-0000AE060000}"/>
    <cellStyle name="_Apollo Advisors VI 3rd Qtr 2007 TB_Revenue breakout_LS, LP - Dec  2010 Trial Balance Summary" xfId="1719" xr:uid="{00000000-0005-0000-0000-0000AF060000}"/>
    <cellStyle name="_Apollo Advisors VI 3rd Qtr 2007 TB_Revenue breakout_MMF Income" xfId="1720" xr:uid="{00000000-0005-0000-0000-0000B0060000}"/>
    <cellStyle name="_Apollo Advisors VI 3rd Qtr 2007 TB_Revenue breakout_Partners Capital Q3 2009" xfId="1721" xr:uid="{00000000-0005-0000-0000-0000B1060000}"/>
    <cellStyle name="_Apollo Advisors VI 3rd Qtr 2007 TB_Revenue breakout_PE Funds Cash 04 17 09 Ken V Portrait 4-30-09v4" xfId="1722" xr:uid="{00000000-0005-0000-0000-0000B2060000}"/>
    <cellStyle name="_Apollo Advisors VI 3rd Qtr 2007 TB_Revenue breakout_Placement Fee Summary 05-14-09 - Current (2)" xfId="1723" xr:uid="{00000000-0005-0000-0000-0000B3060000}"/>
    <cellStyle name="_Apollo Advisors VI 3rd Qtr 2007 TB_Revenue breakout_Q1 2011 Pmts" xfId="1724" xr:uid="{00000000-0005-0000-0000-0000B4060000}"/>
    <cellStyle name="_Apollo Advisors VI 3rd Qtr 2007 TB_Revenue breakout_Realized Gain Loss" xfId="1725" xr:uid="{00000000-0005-0000-0000-0000B5060000}"/>
    <cellStyle name="_Apollo Advisors VI 3rd Qtr 2007 TB_Revenue breakout_TX Details" xfId="1726" xr:uid="{00000000-0005-0000-0000-0000B6060000}"/>
    <cellStyle name="_Apollo Advisors VI 3rd Qtr 2007 TB_TX Details" xfId="1727" xr:uid="{00000000-0005-0000-0000-0000B7060000}"/>
    <cellStyle name="_Apollo Advisors VI 7.13.2007 TB" xfId="1728" xr:uid="{00000000-0005-0000-0000-0000B8060000}"/>
    <cellStyle name="_Apollo Advisors VI 7.13.2007 TB 10" xfId="1729" xr:uid="{00000000-0005-0000-0000-0000B9060000}"/>
    <cellStyle name="_Apollo Advisors VI 7.13.2007 TB 11" xfId="1730" xr:uid="{00000000-0005-0000-0000-0000BA060000}"/>
    <cellStyle name="_Apollo Advisors VI 7.13.2007 TB 12" xfId="1731" xr:uid="{00000000-0005-0000-0000-0000BB060000}"/>
    <cellStyle name="_Apollo Advisors VI 7.13.2007 TB 13" xfId="1732" xr:uid="{00000000-0005-0000-0000-0000BC060000}"/>
    <cellStyle name="_Apollo Advisors VI 7.13.2007 TB 14" xfId="1733" xr:uid="{00000000-0005-0000-0000-0000BD060000}"/>
    <cellStyle name="_Apollo Advisors VI 7.13.2007 TB 15" xfId="1734" xr:uid="{00000000-0005-0000-0000-0000BE060000}"/>
    <cellStyle name="_Apollo Advisors VI 7.13.2007 TB 16" xfId="1735" xr:uid="{00000000-0005-0000-0000-0000BF060000}"/>
    <cellStyle name="_Apollo Advisors VI 7.13.2007 TB 17" xfId="1736" xr:uid="{00000000-0005-0000-0000-0000C0060000}"/>
    <cellStyle name="_Apollo Advisors VI 7.13.2007 TB 18" xfId="1737" xr:uid="{00000000-0005-0000-0000-0000C1060000}"/>
    <cellStyle name="_Apollo Advisors VI 7.13.2007 TB 19" xfId="1738" xr:uid="{00000000-0005-0000-0000-0000C2060000}"/>
    <cellStyle name="_Apollo Advisors VI 7.13.2007 TB 2" xfId="1739" xr:uid="{00000000-0005-0000-0000-0000C3060000}"/>
    <cellStyle name="_Apollo Advisors VI 7.13.2007 TB 2 2" xfId="1740" xr:uid="{00000000-0005-0000-0000-0000C4060000}"/>
    <cellStyle name="_Apollo Advisors VI 7.13.2007 TB 2_Cash Input" xfId="1741" xr:uid="{00000000-0005-0000-0000-0000C5060000}"/>
    <cellStyle name="_Apollo Advisors VI 7.13.2007 TB 20" xfId="1742" xr:uid="{00000000-0005-0000-0000-0000C6060000}"/>
    <cellStyle name="_Apollo Advisors VI 7.13.2007 TB 21" xfId="1743" xr:uid="{00000000-0005-0000-0000-0000C7060000}"/>
    <cellStyle name="_Apollo Advisors VI 7.13.2007 TB 22" xfId="1744" xr:uid="{00000000-0005-0000-0000-0000C8060000}"/>
    <cellStyle name="_Apollo Advisors VI 7.13.2007 TB 23" xfId="1745" xr:uid="{00000000-0005-0000-0000-0000C9060000}"/>
    <cellStyle name="_Apollo Advisors VI 7.13.2007 TB 23 2" xfId="1746" xr:uid="{00000000-0005-0000-0000-0000CA060000}"/>
    <cellStyle name="_Apollo Advisors VI 7.13.2007 TB 3" xfId="1747" xr:uid="{00000000-0005-0000-0000-0000CB060000}"/>
    <cellStyle name="_Apollo Advisors VI 7.13.2007 TB 3 2" xfId="1748" xr:uid="{00000000-0005-0000-0000-0000CC060000}"/>
    <cellStyle name="_Apollo Advisors VI 7.13.2007 TB 4" xfId="1749" xr:uid="{00000000-0005-0000-0000-0000CD060000}"/>
    <cellStyle name="_Apollo Advisors VI 7.13.2007 TB 5" xfId="1750" xr:uid="{00000000-0005-0000-0000-0000CE060000}"/>
    <cellStyle name="_Apollo Advisors VI 7.13.2007 TB 6" xfId="1751" xr:uid="{00000000-0005-0000-0000-0000CF060000}"/>
    <cellStyle name="_Apollo Advisors VI 7.13.2007 TB 7" xfId="1752" xr:uid="{00000000-0005-0000-0000-0000D0060000}"/>
    <cellStyle name="_Apollo Advisors VI 7.13.2007 TB 8" xfId="1753" xr:uid="{00000000-0005-0000-0000-0000D1060000}"/>
    <cellStyle name="_Apollo Advisors VI 7.13.2007 TB 9" xfId="1754" xr:uid="{00000000-0005-0000-0000-0000D2060000}"/>
    <cellStyle name="_Apollo Advisors VI 7.13.2007 TB_2.10.10 LS Distribution" xfId="1755" xr:uid="{00000000-0005-0000-0000-0000D3060000}"/>
    <cellStyle name="_Apollo Advisors VI 7.13.2007 TB_2011 Q1 Monitoring Fees v3" xfId="1756" xr:uid="{00000000-0005-0000-0000-0000D4060000}"/>
    <cellStyle name="_Apollo Advisors VI 7.13.2007 TB_AIF IV Financial Highlights 12-31-08 v4" xfId="1757" xr:uid="{00000000-0005-0000-0000-0000D5060000}"/>
    <cellStyle name="_Apollo Advisors VI 7.13.2007 TB_AIF IV Financial Highlights 12-31-08 v4_Apollo Investment Fund IV  Q3 2009 Capital Analysis CURRENT" xfId="1758" xr:uid="{00000000-0005-0000-0000-0000D6060000}"/>
    <cellStyle name="_Apollo Advisors VI 7.13.2007 TB_AIF IV Financial Highlights 12-31-08 v4_Apollo Investment Fund IV  Q3 2009 Capital Analysis iPCS &amp; URI Distribution" xfId="1759" xr:uid="{00000000-0005-0000-0000-0000D7060000}"/>
    <cellStyle name="_Apollo Advisors VI 7.13.2007 TB_AIF IV Financial Highlights 12-31-08 v4_iPCs#1-Remaining" xfId="1760" xr:uid="{00000000-0005-0000-0000-0000D8060000}"/>
    <cellStyle name="_Apollo Advisors VI 7.13.2007 TB_AIF VI - BondcoVI_Entities Invested Capital (CURRENT)" xfId="1761" xr:uid="{00000000-0005-0000-0000-0000D9060000}"/>
    <cellStyle name="_Apollo Advisors VI 7.13.2007 TB_AIF VI Broadleaf Watefall Summary as of 6-30-09 FINAL" xfId="1762" xr:uid="{00000000-0005-0000-0000-0000DA060000}"/>
    <cellStyle name="_Apollo Advisors VI 7.13.2007 TB_AIF VI Broadleaf Watefall Summary as of 9-30-09" xfId="1763" xr:uid="{00000000-0005-0000-0000-0000DB060000}"/>
    <cellStyle name="_Apollo Advisors VI 7.13.2007 TB_AIF VI CBA  11-13-08 After Cash Adj (2)" xfId="1764" xr:uid="{00000000-0005-0000-0000-0000DC060000}"/>
    <cellStyle name="_Apollo Advisors VI 7.13.2007 TB_AIF VI CBA  11-13-08 After Cash Adj (2)_Cash Summary AIF IV and AIF VI - 05.14.09 v2" xfId="1765" xr:uid="{00000000-0005-0000-0000-0000DD060000}"/>
    <cellStyle name="_Apollo Advisors VI 7.13.2007 TB_AIF VI CBA  11-13-08 After Cash Adj (2)_PE Funds Cash 04 17 09 Ken V Portrait 4-30-09v4" xfId="1766" xr:uid="{00000000-0005-0000-0000-0000DE060000}"/>
    <cellStyle name="_Apollo Advisors VI 7.13.2007 TB_AIF VI CBA 3.20.08" xfId="1767" xr:uid="{00000000-0005-0000-0000-0000DF060000}"/>
    <cellStyle name="_Apollo Advisors VI 7.13.2007 TB_AIF VI CBA 3.20.08 2" xfId="1768" xr:uid="{00000000-0005-0000-0000-0000E0060000}"/>
    <cellStyle name="_Apollo Advisors VI 7.13.2007 TB_AIF VI CBA 3.20.08 3" xfId="1769" xr:uid="{00000000-0005-0000-0000-0000E1060000}"/>
    <cellStyle name="_Apollo Advisors VI 7.13.2007 TB_AIF VI CBA 3.20.08_AIF VI - BondcoVI_Entities Invested Capital (CURRENT)" xfId="1770" xr:uid="{00000000-0005-0000-0000-0000E2060000}"/>
    <cellStyle name="_Apollo Advisors VI 7.13.2007 TB_AIF VI CBA 3.20.08_Domestic TB" xfId="1771" xr:uid="{00000000-0005-0000-0000-0000E3060000}"/>
    <cellStyle name="_Apollo Advisors VI 7.13.2007 TB_AIF VI CBA 3.20.08_IC Balance" xfId="1772" xr:uid="{00000000-0005-0000-0000-0000E4060000}"/>
    <cellStyle name="_Apollo Advisors VI 7.13.2007 TB_AIF VI CBA 3.20.08_Invested Capital Debt Worksheet" xfId="1773" xr:uid="{00000000-0005-0000-0000-0000E5060000}"/>
    <cellStyle name="_Apollo Advisors VI 7.13.2007 TB_AIF VI CBA 3.20.08_MMF Income" xfId="1774" xr:uid="{00000000-0005-0000-0000-0000E6060000}"/>
    <cellStyle name="_Apollo Advisors VI 7.13.2007 TB_AIF VI CBA 3.20.08_Partners Capital Q3 2009" xfId="1775" xr:uid="{00000000-0005-0000-0000-0000E7060000}"/>
    <cellStyle name="_Apollo Advisors VI 7.13.2007 TB_AIF VI CBA 3.20.08_Realized Gain Loss" xfId="1776" xr:uid="{00000000-0005-0000-0000-0000E8060000}"/>
    <cellStyle name="_Apollo Advisors VI 7.13.2007 TB_Broadleaf Watefall 12-31-09" xfId="1777" xr:uid="{00000000-0005-0000-0000-0000E9060000}"/>
    <cellStyle name="_Apollo Advisors VI 7.13.2007 TB_Broadleaf Watefall 6-30-09" xfId="1778" xr:uid="{00000000-0005-0000-0000-0000EA060000}"/>
    <cellStyle name="_Apollo Advisors VI 7.13.2007 TB_Broadleaf Watefall 9-30-09" xfId="1779" xr:uid="{00000000-0005-0000-0000-0000EB060000}"/>
    <cellStyle name="_Apollo Advisors VI 7.13.2007 TB_Cash Input" xfId="1780" xr:uid="{00000000-0005-0000-0000-0000EC060000}"/>
    <cellStyle name="_Apollo Advisors VI 7.13.2007 TB_Cash Summary AIF IV and AIF VI - 05.14.09 v2" xfId="1781" xr:uid="{00000000-0005-0000-0000-0000ED060000}"/>
    <cellStyle name="_Apollo Advisors VI 7.13.2007 TB_Copy of AGM Dec '09 YTD COF I and II Dep  Liab (1-13-10) (2)" xfId="1782" xr:uid="{00000000-0005-0000-0000-0000EE060000}"/>
    <cellStyle name="_Apollo Advisors VI 7.13.2007 TB_Domestic FS 12-31-08 v3-20-09" xfId="1783" xr:uid="{00000000-0005-0000-0000-0000EF060000}"/>
    <cellStyle name="_Apollo Advisors VI 7.13.2007 TB_Domestic FS 12-31-08 v3-20-09 2" xfId="1784" xr:uid="{00000000-0005-0000-0000-0000F0060000}"/>
    <cellStyle name="_Apollo Advisors VI 7.13.2007 TB_Domestic FS 12-31-08 v3-20-09 3" xfId="1785" xr:uid="{00000000-0005-0000-0000-0000F1060000}"/>
    <cellStyle name="_Apollo Advisors VI 7.13.2007 TB_Domestic FS 12-31-08 v3-20-09_AIF VI - BondcoVI_Entities Invested Capital (CURRENT)" xfId="1786" xr:uid="{00000000-0005-0000-0000-0000F2060000}"/>
    <cellStyle name="_Apollo Advisors VI 7.13.2007 TB_Domestic FS 12-31-08 v3-20-09_Domestic TB" xfId="1787" xr:uid="{00000000-0005-0000-0000-0000F3060000}"/>
    <cellStyle name="_Apollo Advisors VI 7.13.2007 TB_Domestic FS 12-31-08 v3-20-09_IC Balance" xfId="1788" xr:uid="{00000000-0005-0000-0000-0000F4060000}"/>
    <cellStyle name="_Apollo Advisors VI 7.13.2007 TB_Domestic FS 12-31-08 v3-20-09_Invested Capital Debt Worksheet" xfId="1789" xr:uid="{00000000-0005-0000-0000-0000F5060000}"/>
    <cellStyle name="_Apollo Advisors VI 7.13.2007 TB_Domestic FS 12-31-08 v3-20-09_MMF Income" xfId="1790" xr:uid="{00000000-0005-0000-0000-0000F6060000}"/>
    <cellStyle name="_Apollo Advisors VI 7.13.2007 TB_Domestic FS 12-31-08 v3-20-09_Partners Capital Q3 2009" xfId="1791" xr:uid="{00000000-0005-0000-0000-0000F7060000}"/>
    <cellStyle name="_Apollo Advisors VI 7.13.2007 TB_Domestic FS 12-31-08 v3-20-09_Realized Gain Loss" xfId="1792" xr:uid="{00000000-0005-0000-0000-0000F8060000}"/>
    <cellStyle name="_Apollo Advisors VI 7.13.2007 TB_Domestic TB" xfId="1793" xr:uid="{00000000-0005-0000-0000-0000F9060000}"/>
    <cellStyle name="_Apollo Advisors VI 7.13.2007 TB_Fund VII subtier K-1 flow through" xfId="1794" xr:uid="{00000000-0005-0000-0000-0000FA060000}"/>
    <cellStyle name="_Apollo Advisors VI 7.13.2007 TB_Fund VII subtier K-1 flow through (3)" xfId="1795" xr:uid="{00000000-0005-0000-0000-0000FB060000}"/>
    <cellStyle name="_Apollo Advisors VI 7.13.2007 TB_Fund VII subtier K-1 flow through (3)_Cash Summary AIF IV and AIF VI - 05.14.09 v2" xfId="1796" xr:uid="{00000000-0005-0000-0000-0000FC060000}"/>
    <cellStyle name="_Apollo Advisors VI 7.13.2007 TB_Fund VII subtier K-1 flow through (3)_PE Funds Cash 04 17 09 Ken V Portrait 4-30-09v4" xfId="1797" xr:uid="{00000000-0005-0000-0000-0000FD060000}"/>
    <cellStyle name="_Apollo Advisors VI 7.13.2007 TB_Fund VII subtier K-1 flow through_Cash Summary AIF IV and AIF VI - 05.14.09 v2" xfId="1798" xr:uid="{00000000-0005-0000-0000-0000FE060000}"/>
    <cellStyle name="_Apollo Advisors VI 7.13.2007 TB_Fund VII subtier K-1 flow through_PE Funds Cash 04 17 09 Ken V Portrait 4-30-09v4" xfId="1799" xr:uid="{00000000-0005-0000-0000-0000FF060000}"/>
    <cellStyle name="_Apollo Advisors VI 7.13.2007 TB_GP commitApollo Entities" xfId="1800" xr:uid="{00000000-0005-0000-0000-000000070000}"/>
    <cellStyle name="_Apollo Advisors VI 7.13.2007 TB_IC Balance" xfId="1801" xr:uid="{00000000-0005-0000-0000-000001070000}"/>
    <cellStyle name="_Apollo Advisors VI 7.13.2007 TB_Invested Capital Debt Worksheet" xfId="1802" xr:uid="{00000000-0005-0000-0000-000002070000}"/>
    <cellStyle name="_Apollo Advisors VI 7.13.2007 TB_LS, LP - Dec  2010 Trial Balance Summary" xfId="1803" xr:uid="{00000000-0005-0000-0000-000003070000}"/>
    <cellStyle name="_Apollo Advisors VI 7.13.2007 TB_MMF Income" xfId="1804" xr:uid="{00000000-0005-0000-0000-000004070000}"/>
    <cellStyle name="_Apollo Advisors VI 7.13.2007 TB_Partners Capital Q1 2009" xfId="1805" xr:uid="{00000000-0005-0000-0000-000005070000}"/>
    <cellStyle name="_Apollo Advisors VI 7.13.2007 TB_Partners Capital Q3 2009" xfId="1806" xr:uid="{00000000-0005-0000-0000-000006070000}"/>
    <cellStyle name="_Apollo Advisors VI 7.13.2007 TB_PE Funds Cash 04 17 09 Ken V Portrait 4-30-09v4" xfId="1807" xr:uid="{00000000-0005-0000-0000-000007070000}"/>
    <cellStyle name="_Apollo Advisors VI 7.13.2007 TB_Placement Fee Summary 05-14-09 - Current (2)" xfId="1808" xr:uid="{00000000-0005-0000-0000-000008070000}"/>
    <cellStyle name="_Apollo Advisors VI 7.13.2007 TB_PR Calc - DOMESTIC" xfId="1809" xr:uid="{00000000-0005-0000-0000-000009070000}"/>
    <cellStyle name="_Apollo Advisors VI 7.13.2007 TB_Q1 2011 Pmts" xfId="1810" xr:uid="{00000000-0005-0000-0000-00000A070000}"/>
    <cellStyle name="_Apollo Advisors VI 7.13.2007 TB_Realized Gain Loss" xfId="1811" xr:uid="{00000000-0005-0000-0000-00000B070000}"/>
    <cellStyle name="_Apollo Advisors VI 7.13.2007 TB_Revenue breakout" xfId="1812" xr:uid="{00000000-0005-0000-0000-00000C070000}"/>
    <cellStyle name="_Apollo Advisors VI 7.13.2007 TB_Revenue breakout 10" xfId="1813" xr:uid="{00000000-0005-0000-0000-00000D070000}"/>
    <cellStyle name="_Apollo Advisors VI 7.13.2007 TB_Revenue breakout 11" xfId="1814" xr:uid="{00000000-0005-0000-0000-00000E070000}"/>
    <cellStyle name="_Apollo Advisors VI 7.13.2007 TB_Revenue breakout 12" xfId="1815" xr:uid="{00000000-0005-0000-0000-00000F070000}"/>
    <cellStyle name="_Apollo Advisors VI 7.13.2007 TB_Revenue breakout 13" xfId="1816" xr:uid="{00000000-0005-0000-0000-000010070000}"/>
    <cellStyle name="_Apollo Advisors VI 7.13.2007 TB_Revenue breakout 14" xfId="1817" xr:uid="{00000000-0005-0000-0000-000011070000}"/>
    <cellStyle name="_Apollo Advisors VI 7.13.2007 TB_Revenue breakout 15" xfId="1818" xr:uid="{00000000-0005-0000-0000-000012070000}"/>
    <cellStyle name="_Apollo Advisors VI 7.13.2007 TB_Revenue breakout 16" xfId="1819" xr:uid="{00000000-0005-0000-0000-000013070000}"/>
    <cellStyle name="_Apollo Advisors VI 7.13.2007 TB_Revenue breakout 17" xfId="1820" xr:uid="{00000000-0005-0000-0000-000014070000}"/>
    <cellStyle name="_Apollo Advisors VI 7.13.2007 TB_Revenue breakout 18" xfId="1821" xr:uid="{00000000-0005-0000-0000-000015070000}"/>
    <cellStyle name="_Apollo Advisors VI 7.13.2007 TB_Revenue breakout 19" xfId="1822" xr:uid="{00000000-0005-0000-0000-000016070000}"/>
    <cellStyle name="_Apollo Advisors VI 7.13.2007 TB_Revenue breakout 2" xfId="1823" xr:uid="{00000000-0005-0000-0000-000017070000}"/>
    <cellStyle name="_Apollo Advisors VI 7.13.2007 TB_Revenue breakout 2 2" xfId="1824" xr:uid="{00000000-0005-0000-0000-000018070000}"/>
    <cellStyle name="_Apollo Advisors VI 7.13.2007 TB_Revenue breakout 2_Cash Input" xfId="1825" xr:uid="{00000000-0005-0000-0000-000019070000}"/>
    <cellStyle name="_Apollo Advisors VI 7.13.2007 TB_Revenue breakout 20" xfId="1826" xr:uid="{00000000-0005-0000-0000-00001A070000}"/>
    <cellStyle name="_Apollo Advisors VI 7.13.2007 TB_Revenue breakout 21" xfId="1827" xr:uid="{00000000-0005-0000-0000-00001B070000}"/>
    <cellStyle name="_Apollo Advisors VI 7.13.2007 TB_Revenue breakout 22" xfId="1828" xr:uid="{00000000-0005-0000-0000-00001C070000}"/>
    <cellStyle name="_Apollo Advisors VI 7.13.2007 TB_Revenue breakout 23" xfId="1829" xr:uid="{00000000-0005-0000-0000-00001D070000}"/>
    <cellStyle name="_Apollo Advisors VI 7.13.2007 TB_Revenue breakout 23 2" xfId="1830" xr:uid="{00000000-0005-0000-0000-00001E070000}"/>
    <cellStyle name="_Apollo Advisors VI 7.13.2007 TB_Revenue breakout 3" xfId="1831" xr:uid="{00000000-0005-0000-0000-00001F070000}"/>
    <cellStyle name="_Apollo Advisors VI 7.13.2007 TB_Revenue breakout 3 2" xfId="1832" xr:uid="{00000000-0005-0000-0000-000020070000}"/>
    <cellStyle name="_Apollo Advisors VI 7.13.2007 TB_Revenue breakout 4" xfId="1833" xr:uid="{00000000-0005-0000-0000-000021070000}"/>
    <cellStyle name="_Apollo Advisors VI 7.13.2007 TB_Revenue breakout 5" xfId="1834" xr:uid="{00000000-0005-0000-0000-000022070000}"/>
    <cellStyle name="_Apollo Advisors VI 7.13.2007 TB_Revenue breakout 6" xfId="1835" xr:uid="{00000000-0005-0000-0000-000023070000}"/>
    <cellStyle name="_Apollo Advisors VI 7.13.2007 TB_Revenue breakout 7" xfId="1836" xr:uid="{00000000-0005-0000-0000-000024070000}"/>
    <cellStyle name="_Apollo Advisors VI 7.13.2007 TB_Revenue breakout 8" xfId="1837" xr:uid="{00000000-0005-0000-0000-000025070000}"/>
    <cellStyle name="_Apollo Advisors VI 7.13.2007 TB_Revenue breakout 9" xfId="1838" xr:uid="{00000000-0005-0000-0000-000026070000}"/>
    <cellStyle name="_Apollo Advisors VI 7.13.2007 TB_Revenue breakout_2.10.10 LS Distribution" xfId="1839" xr:uid="{00000000-0005-0000-0000-000027070000}"/>
    <cellStyle name="_Apollo Advisors VI 7.13.2007 TB_Revenue breakout_2007 Revenue - RE fees" xfId="1840" xr:uid="{00000000-0005-0000-0000-000028070000}"/>
    <cellStyle name="_Apollo Advisors VI 7.13.2007 TB_Revenue breakout_2007 Revenue - RE fees 10" xfId="1841" xr:uid="{00000000-0005-0000-0000-000029070000}"/>
    <cellStyle name="_Apollo Advisors VI 7.13.2007 TB_Revenue breakout_2007 Revenue - RE fees 11" xfId="1842" xr:uid="{00000000-0005-0000-0000-00002A070000}"/>
    <cellStyle name="_Apollo Advisors VI 7.13.2007 TB_Revenue breakout_2007 Revenue - RE fees 12" xfId="1843" xr:uid="{00000000-0005-0000-0000-00002B070000}"/>
    <cellStyle name="_Apollo Advisors VI 7.13.2007 TB_Revenue breakout_2007 Revenue - RE fees 13" xfId="1844" xr:uid="{00000000-0005-0000-0000-00002C070000}"/>
    <cellStyle name="_Apollo Advisors VI 7.13.2007 TB_Revenue breakout_2007 Revenue - RE fees 14" xfId="1845" xr:uid="{00000000-0005-0000-0000-00002D070000}"/>
    <cellStyle name="_Apollo Advisors VI 7.13.2007 TB_Revenue breakout_2007 Revenue - RE fees 15" xfId="1846" xr:uid="{00000000-0005-0000-0000-00002E070000}"/>
    <cellStyle name="_Apollo Advisors VI 7.13.2007 TB_Revenue breakout_2007 Revenue - RE fees 16" xfId="1847" xr:uid="{00000000-0005-0000-0000-00002F070000}"/>
    <cellStyle name="_Apollo Advisors VI 7.13.2007 TB_Revenue breakout_2007 Revenue - RE fees 17" xfId="1848" xr:uid="{00000000-0005-0000-0000-000030070000}"/>
    <cellStyle name="_Apollo Advisors VI 7.13.2007 TB_Revenue breakout_2007 Revenue - RE fees 18" xfId="1849" xr:uid="{00000000-0005-0000-0000-000031070000}"/>
    <cellStyle name="_Apollo Advisors VI 7.13.2007 TB_Revenue breakout_2007 Revenue - RE fees 19" xfId="1850" xr:uid="{00000000-0005-0000-0000-000032070000}"/>
    <cellStyle name="_Apollo Advisors VI 7.13.2007 TB_Revenue breakout_2007 Revenue - RE fees 2" xfId="1851" xr:uid="{00000000-0005-0000-0000-000033070000}"/>
    <cellStyle name="_Apollo Advisors VI 7.13.2007 TB_Revenue breakout_2007 Revenue - RE fees 2 2" xfId="1852" xr:uid="{00000000-0005-0000-0000-000034070000}"/>
    <cellStyle name="_Apollo Advisors VI 7.13.2007 TB_Revenue breakout_2007 Revenue - RE fees 2_Cash Input" xfId="1853" xr:uid="{00000000-0005-0000-0000-000035070000}"/>
    <cellStyle name="_Apollo Advisors VI 7.13.2007 TB_Revenue breakout_2007 Revenue - RE fees 20" xfId="1854" xr:uid="{00000000-0005-0000-0000-000036070000}"/>
    <cellStyle name="_Apollo Advisors VI 7.13.2007 TB_Revenue breakout_2007 Revenue - RE fees 21" xfId="1855" xr:uid="{00000000-0005-0000-0000-000037070000}"/>
    <cellStyle name="_Apollo Advisors VI 7.13.2007 TB_Revenue breakout_2007 Revenue - RE fees 22" xfId="1856" xr:uid="{00000000-0005-0000-0000-000038070000}"/>
    <cellStyle name="_Apollo Advisors VI 7.13.2007 TB_Revenue breakout_2007 Revenue - RE fees 23" xfId="1857" xr:uid="{00000000-0005-0000-0000-000039070000}"/>
    <cellStyle name="_Apollo Advisors VI 7.13.2007 TB_Revenue breakout_2007 Revenue - RE fees 23 2" xfId="1858" xr:uid="{00000000-0005-0000-0000-00003A070000}"/>
    <cellStyle name="_Apollo Advisors VI 7.13.2007 TB_Revenue breakout_2007 Revenue - RE fees 3" xfId="1859" xr:uid="{00000000-0005-0000-0000-00003B070000}"/>
    <cellStyle name="_Apollo Advisors VI 7.13.2007 TB_Revenue breakout_2007 Revenue - RE fees 3 2" xfId="1860" xr:uid="{00000000-0005-0000-0000-00003C070000}"/>
    <cellStyle name="_Apollo Advisors VI 7.13.2007 TB_Revenue breakout_2007 Revenue - RE fees 4" xfId="1861" xr:uid="{00000000-0005-0000-0000-00003D070000}"/>
    <cellStyle name="_Apollo Advisors VI 7.13.2007 TB_Revenue breakout_2007 Revenue - RE fees 5" xfId="1862" xr:uid="{00000000-0005-0000-0000-00003E070000}"/>
    <cellStyle name="_Apollo Advisors VI 7.13.2007 TB_Revenue breakout_2007 Revenue - RE fees 6" xfId="1863" xr:uid="{00000000-0005-0000-0000-00003F070000}"/>
    <cellStyle name="_Apollo Advisors VI 7.13.2007 TB_Revenue breakout_2007 Revenue - RE fees 7" xfId="1864" xr:uid="{00000000-0005-0000-0000-000040070000}"/>
    <cellStyle name="_Apollo Advisors VI 7.13.2007 TB_Revenue breakout_2007 Revenue - RE fees 8" xfId="1865" xr:uid="{00000000-0005-0000-0000-000041070000}"/>
    <cellStyle name="_Apollo Advisors VI 7.13.2007 TB_Revenue breakout_2007 Revenue - RE fees 9" xfId="1866" xr:uid="{00000000-0005-0000-0000-000042070000}"/>
    <cellStyle name="_Apollo Advisors VI 7.13.2007 TB_Revenue breakout_2007 Revenue - RE fees_2011 Q1 Monitoring Fees v3" xfId="1867" xr:uid="{00000000-0005-0000-0000-000043070000}"/>
    <cellStyle name="_Apollo Advisors VI 7.13.2007 TB_Revenue breakout_2007 Revenue - RE fees_AIF VI - BondcoVI_Entities Invested Capital (CURRENT)" xfId="1868" xr:uid="{00000000-0005-0000-0000-000044070000}"/>
    <cellStyle name="_Apollo Advisors VI 7.13.2007 TB_Revenue breakout_2007 Revenue - RE fees_AIF VI Broadleaf Watefall Summary as of 6-30-09 FINAL" xfId="1869" xr:uid="{00000000-0005-0000-0000-000045070000}"/>
    <cellStyle name="_Apollo Advisors VI 7.13.2007 TB_Revenue breakout_2007 Revenue - RE fees_AIF VI Broadleaf Watefall Summary as of 9-30-09" xfId="1870" xr:uid="{00000000-0005-0000-0000-000046070000}"/>
    <cellStyle name="_Apollo Advisors VI 7.13.2007 TB_Revenue breakout_2007 Revenue - RE fees_Broadleaf Watefall 12-31-09" xfId="1871" xr:uid="{00000000-0005-0000-0000-000047070000}"/>
    <cellStyle name="_Apollo Advisors VI 7.13.2007 TB_Revenue breakout_2007 Revenue - RE fees_Broadleaf Watefall 6-30-09" xfId="1872" xr:uid="{00000000-0005-0000-0000-000048070000}"/>
    <cellStyle name="_Apollo Advisors VI 7.13.2007 TB_Revenue breakout_2007 Revenue - RE fees_Broadleaf Watefall 9-30-09" xfId="1873" xr:uid="{00000000-0005-0000-0000-000049070000}"/>
    <cellStyle name="_Apollo Advisors VI 7.13.2007 TB_Revenue breakout_2007 Revenue - RE fees_Cash Input" xfId="1874" xr:uid="{00000000-0005-0000-0000-00004A070000}"/>
    <cellStyle name="_Apollo Advisors VI 7.13.2007 TB_Revenue breakout_2007 Revenue - RE fees_Cash Summary AIF IV and AIF VI - 05.14.09 v2" xfId="1875" xr:uid="{00000000-0005-0000-0000-00004B070000}"/>
    <cellStyle name="_Apollo Advisors VI 7.13.2007 TB_Revenue breakout_2007 Revenue - RE fees_Copy of AGM Dec '09 YTD COF I and II Dep  Liab (1-13-10) (2)" xfId="1876" xr:uid="{00000000-0005-0000-0000-00004C070000}"/>
    <cellStyle name="_Apollo Advisors VI 7.13.2007 TB_Revenue breakout_2007 Revenue - RE fees_Domestic TB" xfId="1877" xr:uid="{00000000-0005-0000-0000-00004D070000}"/>
    <cellStyle name="_Apollo Advisors VI 7.13.2007 TB_Revenue breakout_2007 Revenue - RE fees_IC Balance" xfId="1878" xr:uid="{00000000-0005-0000-0000-00004E070000}"/>
    <cellStyle name="_Apollo Advisors VI 7.13.2007 TB_Revenue breakout_2007 Revenue - RE fees_Invested Capital Debt Worksheet" xfId="1879" xr:uid="{00000000-0005-0000-0000-00004F070000}"/>
    <cellStyle name="_Apollo Advisors VI 7.13.2007 TB_Revenue breakout_2007 Revenue - RE fees_MMF Income" xfId="1880" xr:uid="{00000000-0005-0000-0000-000050070000}"/>
    <cellStyle name="_Apollo Advisors VI 7.13.2007 TB_Revenue breakout_2007 Revenue - RE fees_Partners Capital Q3 2009" xfId="1881" xr:uid="{00000000-0005-0000-0000-000051070000}"/>
    <cellStyle name="_Apollo Advisors VI 7.13.2007 TB_Revenue breakout_2007 Revenue - RE fees_PE Funds Cash 04 17 09 Ken V Portrait 4-30-09v4" xfId="1882" xr:uid="{00000000-0005-0000-0000-000052070000}"/>
    <cellStyle name="_Apollo Advisors VI 7.13.2007 TB_Revenue breakout_2007 Revenue - RE fees_Placement Fee Summary 05-14-09 - Current (2)" xfId="1883" xr:uid="{00000000-0005-0000-0000-000053070000}"/>
    <cellStyle name="_Apollo Advisors VI 7.13.2007 TB_Revenue breakout_2007 Revenue - RE fees_Realized Gain Loss" xfId="1884" xr:uid="{00000000-0005-0000-0000-000054070000}"/>
    <cellStyle name="_Apollo Advisors VI 7.13.2007 TB_Revenue breakout_2011 Q1 Monitoring Fees v3" xfId="1885" xr:uid="{00000000-0005-0000-0000-000055070000}"/>
    <cellStyle name="_Apollo Advisors VI 7.13.2007 TB_Revenue breakout_AIF VI - BondcoVI_Entities Invested Capital (CURRENT)" xfId="1886" xr:uid="{00000000-0005-0000-0000-000056070000}"/>
    <cellStyle name="_Apollo Advisors VI 7.13.2007 TB_Revenue breakout_AIF VI Broadleaf Watefall Summary as of 6-30-09 FINAL" xfId="1887" xr:uid="{00000000-0005-0000-0000-000057070000}"/>
    <cellStyle name="_Apollo Advisors VI 7.13.2007 TB_Revenue breakout_AIF VI Broadleaf Watefall Summary as of 9-30-09" xfId="1888" xr:uid="{00000000-0005-0000-0000-000058070000}"/>
    <cellStyle name="_Apollo Advisors VI 7.13.2007 TB_Revenue breakout_Broadleaf Watefall 12-31-09" xfId="1889" xr:uid="{00000000-0005-0000-0000-000059070000}"/>
    <cellStyle name="_Apollo Advisors VI 7.13.2007 TB_Revenue breakout_Broadleaf Watefall 6-30-09" xfId="1890" xr:uid="{00000000-0005-0000-0000-00005A070000}"/>
    <cellStyle name="_Apollo Advisors VI 7.13.2007 TB_Revenue breakout_Broadleaf Watefall 9-30-09" xfId="1891" xr:uid="{00000000-0005-0000-0000-00005B070000}"/>
    <cellStyle name="_Apollo Advisors VI 7.13.2007 TB_Revenue breakout_Cash Input" xfId="1892" xr:uid="{00000000-0005-0000-0000-00005C070000}"/>
    <cellStyle name="_Apollo Advisors VI 7.13.2007 TB_Revenue breakout_Cash Summary AIF IV and AIF VI - 05.14.09 v2" xfId="1893" xr:uid="{00000000-0005-0000-0000-00005D070000}"/>
    <cellStyle name="_Apollo Advisors VI 7.13.2007 TB_Revenue breakout_Copy of AGM Dec '09 YTD COF I and II Dep  Liab (1-13-10) (2)" xfId="1894" xr:uid="{00000000-0005-0000-0000-00005E070000}"/>
    <cellStyle name="_Apollo Advisors VI 7.13.2007 TB_Revenue breakout_Domestic TB" xfId="1895" xr:uid="{00000000-0005-0000-0000-00005F070000}"/>
    <cellStyle name="_Apollo Advisors VI 7.13.2007 TB_Revenue breakout_IC Balance" xfId="1896" xr:uid="{00000000-0005-0000-0000-000060070000}"/>
    <cellStyle name="_Apollo Advisors VI 7.13.2007 TB_Revenue breakout_Invested Capital Debt Worksheet" xfId="1897" xr:uid="{00000000-0005-0000-0000-000061070000}"/>
    <cellStyle name="_Apollo Advisors VI 7.13.2007 TB_Revenue breakout_LS, LP - Dec  2010 Trial Balance Summary" xfId="1898" xr:uid="{00000000-0005-0000-0000-000062070000}"/>
    <cellStyle name="_Apollo Advisors VI 7.13.2007 TB_Revenue breakout_MMF Income" xfId="1899" xr:uid="{00000000-0005-0000-0000-000063070000}"/>
    <cellStyle name="_Apollo Advisors VI 7.13.2007 TB_Revenue breakout_Partners Capital Q3 2009" xfId="1900" xr:uid="{00000000-0005-0000-0000-000064070000}"/>
    <cellStyle name="_Apollo Advisors VI 7.13.2007 TB_Revenue breakout_PE Funds Cash 04 17 09 Ken V Portrait 4-30-09v4" xfId="1901" xr:uid="{00000000-0005-0000-0000-000065070000}"/>
    <cellStyle name="_Apollo Advisors VI 7.13.2007 TB_Revenue breakout_Placement Fee Summary 05-14-09 - Current (2)" xfId="1902" xr:uid="{00000000-0005-0000-0000-000066070000}"/>
    <cellStyle name="_Apollo Advisors VI 7.13.2007 TB_Revenue breakout_Q1 2011 Pmts" xfId="1903" xr:uid="{00000000-0005-0000-0000-000067070000}"/>
    <cellStyle name="_Apollo Advisors VI 7.13.2007 TB_Revenue breakout_Realized Gain Loss" xfId="1904" xr:uid="{00000000-0005-0000-0000-000068070000}"/>
    <cellStyle name="_Apollo Advisors VI 7.13.2007 TB_Revenue breakout_TX Details" xfId="1905" xr:uid="{00000000-0005-0000-0000-000069070000}"/>
    <cellStyle name="_Apollo Advisors VI 7.13.2007 TB_TX Details" xfId="1906" xr:uid="{00000000-0005-0000-0000-00006A070000}"/>
    <cellStyle name="_Apollo Advisors VI TB" xfId="1907" xr:uid="{00000000-0005-0000-0000-00006B070000}"/>
    <cellStyle name="_Apollo Advisors VI TB 10" xfId="1908" xr:uid="{00000000-0005-0000-0000-00006C070000}"/>
    <cellStyle name="_Apollo Advisors VI TB 11" xfId="1909" xr:uid="{00000000-0005-0000-0000-00006D070000}"/>
    <cellStyle name="_Apollo Advisors VI TB 12" xfId="1910" xr:uid="{00000000-0005-0000-0000-00006E070000}"/>
    <cellStyle name="_Apollo Advisors VI TB 13" xfId="1911" xr:uid="{00000000-0005-0000-0000-00006F070000}"/>
    <cellStyle name="_Apollo Advisors VI TB 14" xfId="1912" xr:uid="{00000000-0005-0000-0000-000070070000}"/>
    <cellStyle name="_Apollo Advisors VI TB 15" xfId="1913" xr:uid="{00000000-0005-0000-0000-000071070000}"/>
    <cellStyle name="_Apollo Advisors VI TB 16" xfId="1914" xr:uid="{00000000-0005-0000-0000-000072070000}"/>
    <cellStyle name="_Apollo Advisors VI TB 17" xfId="1915" xr:uid="{00000000-0005-0000-0000-000073070000}"/>
    <cellStyle name="_Apollo Advisors VI TB 18" xfId="1916" xr:uid="{00000000-0005-0000-0000-000074070000}"/>
    <cellStyle name="_Apollo Advisors VI TB 19" xfId="1917" xr:uid="{00000000-0005-0000-0000-000075070000}"/>
    <cellStyle name="_Apollo Advisors VI TB 2" xfId="1918" xr:uid="{00000000-0005-0000-0000-000076070000}"/>
    <cellStyle name="_Apollo Advisors VI TB 2 2" xfId="1919" xr:uid="{00000000-0005-0000-0000-000077070000}"/>
    <cellStyle name="_Apollo Advisors VI TB 2_Cash Input" xfId="1920" xr:uid="{00000000-0005-0000-0000-000078070000}"/>
    <cellStyle name="_Apollo Advisors VI TB 20" xfId="1921" xr:uid="{00000000-0005-0000-0000-000079070000}"/>
    <cellStyle name="_Apollo Advisors VI TB 21" xfId="1922" xr:uid="{00000000-0005-0000-0000-00007A070000}"/>
    <cellStyle name="_Apollo Advisors VI TB 22" xfId="1923" xr:uid="{00000000-0005-0000-0000-00007B070000}"/>
    <cellStyle name="_Apollo Advisors VI TB 23" xfId="1924" xr:uid="{00000000-0005-0000-0000-00007C070000}"/>
    <cellStyle name="_Apollo Advisors VI TB 23 2" xfId="1925" xr:uid="{00000000-0005-0000-0000-00007D070000}"/>
    <cellStyle name="_Apollo Advisors VI TB 3" xfId="1926" xr:uid="{00000000-0005-0000-0000-00007E070000}"/>
    <cellStyle name="_Apollo Advisors VI TB 3 2" xfId="1927" xr:uid="{00000000-0005-0000-0000-00007F070000}"/>
    <cellStyle name="_Apollo Advisors VI TB 4" xfId="1928" xr:uid="{00000000-0005-0000-0000-000080070000}"/>
    <cellStyle name="_Apollo Advisors VI TB 5" xfId="1929" xr:uid="{00000000-0005-0000-0000-000081070000}"/>
    <cellStyle name="_Apollo Advisors VI TB 6" xfId="1930" xr:uid="{00000000-0005-0000-0000-000082070000}"/>
    <cellStyle name="_Apollo Advisors VI TB 7" xfId="1931" xr:uid="{00000000-0005-0000-0000-000083070000}"/>
    <cellStyle name="_Apollo Advisors VI TB 8" xfId="1932" xr:uid="{00000000-0005-0000-0000-000084070000}"/>
    <cellStyle name="_Apollo Advisors VI TB 9" xfId="1933" xr:uid="{00000000-0005-0000-0000-000085070000}"/>
    <cellStyle name="_Apollo Advisors VI TB_2.10.10 LS Distribution" xfId="1934" xr:uid="{00000000-0005-0000-0000-000086070000}"/>
    <cellStyle name="_Apollo Advisors VI TB_2011 Q1 Monitoring Fees v3" xfId="1935" xr:uid="{00000000-0005-0000-0000-000087070000}"/>
    <cellStyle name="_Apollo Advisors VI TB_AIF IV Financial Highlights 12-31-08 v4" xfId="1936" xr:uid="{00000000-0005-0000-0000-000088070000}"/>
    <cellStyle name="_Apollo Advisors VI TB_AIF IV Financial Highlights 12-31-08 v4_Apollo Investment Fund IV  Q3 2009 Capital Analysis CURRENT" xfId="1937" xr:uid="{00000000-0005-0000-0000-000089070000}"/>
    <cellStyle name="_Apollo Advisors VI TB_AIF IV Financial Highlights 12-31-08 v4_Apollo Investment Fund IV  Q3 2009 Capital Analysis iPCS &amp; URI Distribution" xfId="1938" xr:uid="{00000000-0005-0000-0000-00008A070000}"/>
    <cellStyle name="_Apollo Advisors VI TB_AIF IV Financial Highlights 12-31-08 v4_iPCs#1-Remaining" xfId="1939" xr:uid="{00000000-0005-0000-0000-00008B070000}"/>
    <cellStyle name="_Apollo Advisors VI TB_AIF VI - BondcoVI_Entities Invested Capital (CURRENT)" xfId="1940" xr:uid="{00000000-0005-0000-0000-00008C070000}"/>
    <cellStyle name="_Apollo Advisors VI TB_AIF VI Broadleaf Watefall Summary as of 6-30-09 FINAL" xfId="1941" xr:uid="{00000000-0005-0000-0000-00008D070000}"/>
    <cellStyle name="_Apollo Advisors VI TB_AIF VI Broadleaf Watefall Summary as of 9-30-09" xfId="1942" xr:uid="{00000000-0005-0000-0000-00008E070000}"/>
    <cellStyle name="_Apollo Advisors VI TB_Broadleaf Watefall 12-31-09" xfId="1943" xr:uid="{00000000-0005-0000-0000-00008F070000}"/>
    <cellStyle name="_Apollo Advisors VI TB_Broadleaf Watefall 6-30-09" xfId="1944" xr:uid="{00000000-0005-0000-0000-000090070000}"/>
    <cellStyle name="_Apollo Advisors VI TB_Broadleaf Watefall 9-30-09" xfId="1945" xr:uid="{00000000-0005-0000-0000-000091070000}"/>
    <cellStyle name="_Apollo Advisors VI TB_Cash Input" xfId="1946" xr:uid="{00000000-0005-0000-0000-000092070000}"/>
    <cellStyle name="_Apollo Advisors VI TB_Cash Summary AIF IV and AIF VI - 05.14.09 v2" xfId="1947" xr:uid="{00000000-0005-0000-0000-000093070000}"/>
    <cellStyle name="_Apollo Advisors VI TB_Copy of AGM Dec '09 YTD COF I and II Dep  Liab (1-13-10) (2)" xfId="1948" xr:uid="{00000000-0005-0000-0000-000094070000}"/>
    <cellStyle name="_Apollo Advisors VI TB_Domestic TB" xfId="1949" xr:uid="{00000000-0005-0000-0000-000095070000}"/>
    <cellStyle name="_Apollo Advisors VI TB_GP commitApollo Entities" xfId="1950" xr:uid="{00000000-0005-0000-0000-000096070000}"/>
    <cellStyle name="_Apollo Advisors VI TB_IC Balance" xfId="1951" xr:uid="{00000000-0005-0000-0000-000097070000}"/>
    <cellStyle name="_Apollo Advisors VI TB_Invested Capital Debt Worksheet" xfId="1952" xr:uid="{00000000-0005-0000-0000-000098070000}"/>
    <cellStyle name="_Apollo Advisors VI TB_LS, LP - Dec  2010 Trial Balance Summary" xfId="1953" xr:uid="{00000000-0005-0000-0000-000099070000}"/>
    <cellStyle name="_Apollo Advisors VI TB_MMF Income" xfId="1954" xr:uid="{00000000-0005-0000-0000-00009A070000}"/>
    <cellStyle name="_Apollo Advisors VI TB_Partners Capital Q1 2009" xfId="1955" xr:uid="{00000000-0005-0000-0000-00009B070000}"/>
    <cellStyle name="_Apollo Advisors VI TB_Partners Capital Q3 2009" xfId="1956" xr:uid="{00000000-0005-0000-0000-00009C070000}"/>
    <cellStyle name="_Apollo Advisors VI TB_PE Funds Cash 04 17 09 Ken V Portrait 4-30-09v4" xfId="1957" xr:uid="{00000000-0005-0000-0000-00009D070000}"/>
    <cellStyle name="_Apollo Advisors VI TB_Placement Fee Summary 05-14-09 - Current (2)" xfId="1958" xr:uid="{00000000-0005-0000-0000-00009E070000}"/>
    <cellStyle name="_Apollo Advisors VI TB_PR Calc - DOMESTIC" xfId="1959" xr:uid="{00000000-0005-0000-0000-00009F070000}"/>
    <cellStyle name="_Apollo Advisors VI TB_Q1 2011 Pmts" xfId="1960" xr:uid="{00000000-0005-0000-0000-0000A0070000}"/>
    <cellStyle name="_Apollo Advisors VI TB_Realized Gain Loss" xfId="1961" xr:uid="{00000000-0005-0000-0000-0000A1070000}"/>
    <cellStyle name="_Apollo Advisors VI TB_TX Details" xfId="1962" xr:uid="{00000000-0005-0000-0000-0000A2070000}"/>
    <cellStyle name="_Apollo Due from -Due to as of 12-31-07 (D) revised" xfId="1963" xr:uid="{00000000-0005-0000-0000-0000A3070000}"/>
    <cellStyle name="_Apollo Due from -Due to as of 12-31-07 (D) revised 10" xfId="1964" xr:uid="{00000000-0005-0000-0000-0000A4070000}"/>
    <cellStyle name="_Apollo Due from -Due to as of 12-31-07 (D) revised 11" xfId="1965" xr:uid="{00000000-0005-0000-0000-0000A5070000}"/>
    <cellStyle name="_Apollo Due from -Due to as of 12-31-07 (D) revised 12" xfId="1966" xr:uid="{00000000-0005-0000-0000-0000A6070000}"/>
    <cellStyle name="_Apollo Due from -Due to as of 12-31-07 (D) revised 13" xfId="1967" xr:uid="{00000000-0005-0000-0000-0000A7070000}"/>
    <cellStyle name="_Apollo Due from -Due to as of 12-31-07 (D) revised 14" xfId="1968" xr:uid="{00000000-0005-0000-0000-0000A8070000}"/>
    <cellStyle name="_Apollo Due from -Due to as of 12-31-07 (D) revised 15" xfId="1969" xr:uid="{00000000-0005-0000-0000-0000A9070000}"/>
    <cellStyle name="_Apollo Due from -Due to as of 12-31-07 (D) revised 16" xfId="1970" xr:uid="{00000000-0005-0000-0000-0000AA070000}"/>
    <cellStyle name="_Apollo Due from -Due to as of 12-31-07 (D) revised 17" xfId="1971" xr:uid="{00000000-0005-0000-0000-0000AB070000}"/>
    <cellStyle name="_Apollo Due from -Due to as of 12-31-07 (D) revised 18" xfId="1972" xr:uid="{00000000-0005-0000-0000-0000AC070000}"/>
    <cellStyle name="_Apollo Due from -Due to as of 12-31-07 (D) revised 19" xfId="1973" xr:uid="{00000000-0005-0000-0000-0000AD070000}"/>
    <cellStyle name="_Apollo Due from -Due to as of 12-31-07 (D) revised 2" xfId="1974" xr:uid="{00000000-0005-0000-0000-0000AE070000}"/>
    <cellStyle name="_Apollo Due from -Due to as of 12-31-07 (D) revised 2 2" xfId="1975" xr:uid="{00000000-0005-0000-0000-0000AF070000}"/>
    <cellStyle name="_Apollo Due from -Due to as of 12-31-07 (D) revised 2_Cash Input" xfId="1976" xr:uid="{00000000-0005-0000-0000-0000B0070000}"/>
    <cellStyle name="_Apollo Due from -Due to as of 12-31-07 (D) revised 20" xfId="1977" xr:uid="{00000000-0005-0000-0000-0000B1070000}"/>
    <cellStyle name="_Apollo Due from -Due to as of 12-31-07 (D) revised 21" xfId="1978" xr:uid="{00000000-0005-0000-0000-0000B2070000}"/>
    <cellStyle name="_Apollo Due from -Due to as of 12-31-07 (D) revised 22" xfId="1979" xr:uid="{00000000-0005-0000-0000-0000B3070000}"/>
    <cellStyle name="_Apollo Due from -Due to as of 12-31-07 (D) revised 23" xfId="1980" xr:uid="{00000000-0005-0000-0000-0000B4070000}"/>
    <cellStyle name="_Apollo Due from -Due to as of 12-31-07 (D) revised 3" xfId="1981" xr:uid="{00000000-0005-0000-0000-0000B5070000}"/>
    <cellStyle name="_Apollo Due from -Due to as of 12-31-07 (D) revised 3 2" xfId="1982" xr:uid="{00000000-0005-0000-0000-0000B6070000}"/>
    <cellStyle name="_Apollo Due from -Due to as of 12-31-07 (D) revised 4" xfId="1983" xr:uid="{00000000-0005-0000-0000-0000B7070000}"/>
    <cellStyle name="_Apollo Due from -Due to as of 12-31-07 (D) revised 5" xfId="1984" xr:uid="{00000000-0005-0000-0000-0000B8070000}"/>
    <cellStyle name="_Apollo Due from -Due to as of 12-31-07 (D) revised 6" xfId="1985" xr:uid="{00000000-0005-0000-0000-0000B9070000}"/>
    <cellStyle name="_Apollo Due from -Due to as of 12-31-07 (D) revised 7" xfId="1986" xr:uid="{00000000-0005-0000-0000-0000BA070000}"/>
    <cellStyle name="_Apollo Due from -Due to as of 12-31-07 (D) revised 8" xfId="1987" xr:uid="{00000000-0005-0000-0000-0000BB070000}"/>
    <cellStyle name="_Apollo Due from -Due to as of 12-31-07 (D) revised 9" xfId="1988" xr:uid="{00000000-0005-0000-0000-0000BC070000}"/>
    <cellStyle name="_Apollo Due from -Due to as of 12-31-07 (D) revised_AIF VI - BondcoVI_Entities Invested Capital (CURRENT)" xfId="1989" xr:uid="{00000000-0005-0000-0000-0000BD070000}"/>
    <cellStyle name="_Apollo Due from -Due to as of 12-31-07 (D) revised_AIF VI Broadleaf Watefall Summary as of 6-30-09 FINAL" xfId="1990" xr:uid="{00000000-0005-0000-0000-0000BE070000}"/>
    <cellStyle name="_Apollo Due from -Due to as of 12-31-07 (D) revised_AIF VI Broadleaf Watefall Summary as of 9-30-09" xfId="1991" xr:uid="{00000000-0005-0000-0000-0000BF070000}"/>
    <cellStyle name="_Apollo Due from -Due to as of 12-31-07 (D) revised_Broadleaf Watefall 12-31-09" xfId="1992" xr:uid="{00000000-0005-0000-0000-0000C0070000}"/>
    <cellStyle name="_Apollo Due from -Due to as of 12-31-07 (D) revised_Broadleaf Watefall 6-30-09" xfId="1993" xr:uid="{00000000-0005-0000-0000-0000C1070000}"/>
    <cellStyle name="_Apollo Due from -Due to as of 12-31-07 (D) revised_Broadleaf Watefall 9-30-09" xfId="1994" xr:uid="{00000000-0005-0000-0000-0000C2070000}"/>
    <cellStyle name="_Apollo Due from -Due to as of 12-31-07 (D) revised_Cash Input" xfId="1995" xr:uid="{00000000-0005-0000-0000-0000C3070000}"/>
    <cellStyle name="_Apollo Due from -Due to as of 12-31-07 (D) revised_Domestic TB" xfId="1996" xr:uid="{00000000-0005-0000-0000-0000C4070000}"/>
    <cellStyle name="_Apollo Due from -Due to as of 12-31-07 (D) revised_IC Balance" xfId="1997" xr:uid="{00000000-0005-0000-0000-0000C5070000}"/>
    <cellStyle name="_Apollo Due from -Due to as of 12-31-07 (D) revised_Invested Capital Debt Worksheet" xfId="1998" xr:uid="{00000000-0005-0000-0000-0000C6070000}"/>
    <cellStyle name="_Apollo Due from -Due to as of 12-31-07 (D) revised_MMF Income" xfId="1999" xr:uid="{00000000-0005-0000-0000-0000C7070000}"/>
    <cellStyle name="_Apollo Due from -Due to as of 12-31-07 (D) revised_Partners Capital Q3 2009" xfId="2000" xr:uid="{00000000-0005-0000-0000-0000C8070000}"/>
    <cellStyle name="_Apollo Due from -Due to as of 12-31-07 (D) revised_Realized Gain Loss" xfId="2001" xr:uid="{00000000-0005-0000-0000-0000C9070000}"/>
    <cellStyle name="-_Apollo Investment Fund IV  April Priority Return" xfId="2002" xr:uid="{00000000-0005-0000-0000-0000CA070000}"/>
    <cellStyle name="-_Apollo Investment Fund IV  Q4 2008 Capital Analysis 03-13-09-FINAL" xfId="2003" xr:uid="{00000000-0005-0000-0000-0000CB070000}"/>
    <cellStyle name="_Apollo Operating Group Control Schedule ver 2" xfId="2004" xr:uid="{00000000-0005-0000-0000-0000CC070000}"/>
    <cellStyle name="_Apollo Operating Group Control Schedule ver 2_Cash Summary AIF IV and AIF VI - 05.14.09 v2" xfId="2005" xr:uid="{00000000-0005-0000-0000-0000CD070000}"/>
    <cellStyle name="_Apollo Operating Group Control Schedule ver 2_PE Funds Cash 04 17 09 Ken V Portrait 4-30-09v4" xfId="2006" xr:uid="{00000000-0005-0000-0000-0000CE070000}"/>
    <cellStyle name="_Apollo Pro Forma Tax Template 2007 V5" xfId="2007" xr:uid="{00000000-0005-0000-0000-0000CF070000}"/>
    <cellStyle name="_Apollo Pro Forma Tax Template 2007 V5 10" xfId="2008" xr:uid="{00000000-0005-0000-0000-0000D0070000}"/>
    <cellStyle name="_Apollo Pro Forma Tax Template 2007 V5 11" xfId="2009" xr:uid="{00000000-0005-0000-0000-0000D1070000}"/>
    <cellStyle name="_Apollo Pro Forma Tax Template 2007 V5 12" xfId="2010" xr:uid="{00000000-0005-0000-0000-0000D2070000}"/>
    <cellStyle name="_Apollo Pro Forma Tax Template 2007 V5 13" xfId="2011" xr:uid="{00000000-0005-0000-0000-0000D3070000}"/>
    <cellStyle name="_Apollo Pro Forma Tax Template 2007 V5 14" xfId="2012" xr:uid="{00000000-0005-0000-0000-0000D4070000}"/>
    <cellStyle name="_Apollo Pro Forma Tax Template 2007 V5 15" xfId="2013" xr:uid="{00000000-0005-0000-0000-0000D5070000}"/>
    <cellStyle name="_Apollo Pro Forma Tax Template 2007 V5 16" xfId="2014" xr:uid="{00000000-0005-0000-0000-0000D6070000}"/>
    <cellStyle name="_Apollo Pro Forma Tax Template 2007 V5 17" xfId="2015" xr:uid="{00000000-0005-0000-0000-0000D7070000}"/>
    <cellStyle name="_Apollo Pro Forma Tax Template 2007 V5 18" xfId="2016" xr:uid="{00000000-0005-0000-0000-0000D8070000}"/>
    <cellStyle name="_Apollo Pro Forma Tax Template 2007 V5 19" xfId="2017" xr:uid="{00000000-0005-0000-0000-0000D9070000}"/>
    <cellStyle name="_Apollo Pro Forma Tax Template 2007 V5 2" xfId="2018" xr:uid="{00000000-0005-0000-0000-0000DA070000}"/>
    <cellStyle name="_Apollo Pro Forma Tax Template 2007 V5 20" xfId="2019" xr:uid="{00000000-0005-0000-0000-0000DB070000}"/>
    <cellStyle name="_Apollo Pro Forma Tax Template 2007 V5 21" xfId="2020" xr:uid="{00000000-0005-0000-0000-0000DC070000}"/>
    <cellStyle name="_Apollo Pro Forma Tax Template 2007 V5 21 2" xfId="2021" xr:uid="{00000000-0005-0000-0000-0000DD070000}"/>
    <cellStyle name="_Apollo Pro Forma Tax Template 2007 V5 3" xfId="2022" xr:uid="{00000000-0005-0000-0000-0000DE070000}"/>
    <cellStyle name="_Apollo Pro Forma Tax Template 2007 V5 4" xfId="2023" xr:uid="{00000000-0005-0000-0000-0000DF070000}"/>
    <cellStyle name="_Apollo Pro Forma Tax Template 2007 V5 5" xfId="2024" xr:uid="{00000000-0005-0000-0000-0000E0070000}"/>
    <cellStyle name="_Apollo Pro Forma Tax Template 2007 V5 6" xfId="2025" xr:uid="{00000000-0005-0000-0000-0000E1070000}"/>
    <cellStyle name="_Apollo Pro Forma Tax Template 2007 V5 7" xfId="2026" xr:uid="{00000000-0005-0000-0000-0000E2070000}"/>
    <cellStyle name="_Apollo Pro Forma Tax Template 2007 V5 8" xfId="2027" xr:uid="{00000000-0005-0000-0000-0000E3070000}"/>
    <cellStyle name="_Apollo Pro Forma Tax Template 2007 V5 9" xfId="2028" xr:uid="{00000000-0005-0000-0000-0000E4070000}"/>
    <cellStyle name="_Apollo Pro Forma Tax Template 2007 V5_{6} Carry" xfId="2029" xr:uid="{00000000-0005-0000-0000-0000E5070000}"/>
    <cellStyle name="_Apollo Pro Forma Tax Template 2007 V5_{6} Clawback" xfId="2030" xr:uid="{00000000-0005-0000-0000-0000E6070000}"/>
    <cellStyle name="_Apollo Pro Forma Tax Template 2007 V5_2011 Q1 Monitoring Fees v3" xfId="2031" xr:uid="{00000000-0005-0000-0000-0000E7070000}"/>
    <cellStyle name="_Apollo Pro Forma Tax Template 2007 V5_AIF IV Financial Highlights 12-31-08 v4" xfId="2032" xr:uid="{00000000-0005-0000-0000-0000E8070000}"/>
    <cellStyle name="_Apollo Pro Forma Tax Template 2007 V5_AIF IV Financial Highlights 12-31-08 v4_Apollo Investment Fund IV  Q3 2009 Capital Analysis CURRENT" xfId="2033" xr:uid="{00000000-0005-0000-0000-0000E9070000}"/>
    <cellStyle name="_Apollo Pro Forma Tax Template 2007 V5_AIF IV Financial Highlights 12-31-08 v4_Apollo Investment Fund IV  Q3 2009 Capital Analysis iPCS &amp; URI Distribution" xfId="2034" xr:uid="{00000000-0005-0000-0000-0000EA070000}"/>
    <cellStyle name="_Apollo Pro Forma Tax Template 2007 V5_AIF IV Financial Highlights 12-31-08 v4_iPCs#1-Remaining" xfId="2035" xr:uid="{00000000-0005-0000-0000-0000EB070000}"/>
    <cellStyle name="_Apollo Pro Forma Tax Template 2007 V5_Andy Affrick - Schedulev2" xfId="2036" xr:uid="{00000000-0005-0000-0000-0000EC070000}"/>
    <cellStyle name="_Apollo Pro Forma Tax Template 2007 V5_Apollo Investment Fund IV  April Priority Return" xfId="2037" xr:uid="{00000000-0005-0000-0000-0000ED070000}"/>
    <cellStyle name="_Apollo Pro Forma Tax Template 2007 V5_Apollo Investment Fund IV  Q1 2009 Capital Analysis 5-22-09 with GAAP" xfId="2038" xr:uid="{00000000-0005-0000-0000-0000EE070000}"/>
    <cellStyle name="_Apollo Pro Forma Tax Template 2007 V5_Apollo Investment Fund IV  Q1 2009 Capital Analysis GAAP" xfId="2039" xr:uid="{00000000-0005-0000-0000-0000EF070000}"/>
    <cellStyle name="_Apollo Pro Forma Tax Template 2007 V5_Apollo Investment Fund IV  Q2 2009 Capital Analysis CURRENT" xfId="2040" xr:uid="{00000000-0005-0000-0000-0000F0070000}"/>
    <cellStyle name="_Apollo Pro Forma Tax Template 2007 V5_Apollo Investment Fund IV  Q3 2009 Capital Analysis CURRENT" xfId="2041" xr:uid="{00000000-0005-0000-0000-0000F1070000}"/>
    <cellStyle name="_Apollo Pro Forma Tax Template 2007 V5_Apollo Investment Fund IV  Q3 2009 Capital Analysis iPCS &amp; URI Distribution" xfId="2042" xr:uid="{00000000-0005-0000-0000-0000F2070000}"/>
    <cellStyle name="_Apollo Pro Forma Tax Template 2007 V5_Apollo Investment Fund IV Priority Return 6-30-09" xfId="2043" xr:uid="{00000000-0005-0000-0000-0000F3070000}"/>
    <cellStyle name="_Apollo Pro Forma Tax Template 2007 V5_Apollo Investment Fund IV Q1 2009 Capital Analysis PR CORRECTED 6-30-09" xfId="2044" xr:uid="{00000000-0005-0000-0000-0000F4070000}"/>
    <cellStyle name="_Apollo Pro Forma Tax Template 2007 V5_Broadleaf Watefall 9-30-09" xfId="2045" xr:uid="{00000000-0005-0000-0000-0000F5070000}"/>
    <cellStyle name="_Apollo Pro Forma Tax Template 2007 V5_Carry Calculation" xfId="2046" xr:uid="{00000000-0005-0000-0000-0000F6070000}"/>
    <cellStyle name="_Apollo Pro Forma Tax Template 2007 V5_Cash Input" xfId="2047" xr:uid="{00000000-0005-0000-0000-0000F7070000}"/>
    <cellStyle name="_Apollo Pro Forma Tax Template 2007 V5_COF I CAS" xfId="2048" xr:uid="{00000000-0005-0000-0000-0000F8070000}"/>
    <cellStyle name="_Apollo Pro Forma Tax Template 2007 V5_COF II CAS" xfId="2049" xr:uid="{00000000-0005-0000-0000-0000F9070000}"/>
    <cellStyle name="_Apollo Pro Forma Tax Template 2007 V5_Copy of AGM Dec '09 YTD COF I and II Dep  Liab (1-13-10) (2)" xfId="2050" xr:uid="{00000000-0005-0000-0000-0000FA070000}"/>
    <cellStyle name="_Apollo Pro Forma Tax Template 2007 V5_Dist Summary_11.XX.09" xfId="2051" xr:uid="{00000000-0005-0000-0000-0000FB070000}"/>
    <cellStyle name="_Apollo Pro Forma Tax Template 2007 V5_Domestic TB" xfId="2052" xr:uid="{00000000-0005-0000-0000-0000FC070000}"/>
    <cellStyle name="_Apollo Pro Forma Tax Template 2007 V5_Domestic TB 2" xfId="2053" xr:uid="{00000000-0005-0000-0000-0000FD070000}"/>
    <cellStyle name="_Apollo Pro Forma Tax Template 2007 V5_Fund IV" xfId="2054" xr:uid="{00000000-0005-0000-0000-0000FE070000}"/>
    <cellStyle name="_Apollo Pro Forma Tax Template 2007 V5_Fund IV 9.30.08" xfId="2055" xr:uid="{00000000-0005-0000-0000-0000FF070000}"/>
    <cellStyle name="_Apollo Pro Forma Tax Template 2007 V5_Fund IV_1" xfId="2056" xr:uid="{00000000-0005-0000-0000-000000080000}"/>
    <cellStyle name="_Apollo Pro Forma Tax Template 2007 V5_Fund IV_AIF IV - Waterfall 3 31 09 vs  6 30 09" xfId="2057" xr:uid="{00000000-0005-0000-0000-000001080000}"/>
    <cellStyle name="_Apollo Pro Forma Tax Template 2007 V5_Fund IV_AIF IV, V, VI, VII, COF - Waterfall 3 31 09 vs  6 30 09" xfId="2058" xr:uid="{00000000-0005-0000-0000-000002080000}"/>
    <cellStyle name="_Apollo Pro Forma Tax Template 2007 V5_Fund IV_Fund IV" xfId="2059" xr:uid="{00000000-0005-0000-0000-000003080000}"/>
    <cellStyle name="_Apollo Pro Forma Tax Template 2007 V5_Fund IV_Funds IV Clawback Value Adjustment" xfId="2060" xr:uid="{00000000-0005-0000-0000-000004080000}"/>
    <cellStyle name="_Apollo Pro Forma Tax Template 2007 V5_GP commitApollo Entities" xfId="2061" xr:uid="{00000000-0005-0000-0000-000005080000}"/>
    <cellStyle name="_Apollo Pro Forma Tax Template 2007 V5_IC Balance" xfId="2062" xr:uid="{00000000-0005-0000-0000-000006080000}"/>
    <cellStyle name="_Apollo Pro Forma Tax Template 2007 V5_Invested Capital Debt Worksheet" xfId="2063" xr:uid="{00000000-0005-0000-0000-000007080000}"/>
    <cellStyle name="_Apollo Pro Forma Tax Template 2007 V5_iPCs#1-Remaining" xfId="2064" xr:uid="{00000000-0005-0000-0000-000008080000}"/>
    <cellStyle name="_Apollo Pro Forma Tax Template 2007 V5_LS, LP - Dec  2010 Trial Balance Summary" xfId="2065" xr:uid="{00000000-0005-0000-0000-000009080000}"/>
    <cellStyle name="_Apollo Pro Forma Tax Template 2007 V5_Partners Capital Q1 2009" xfId="2066" xr:uid="{00000000-0005-0000-0000-00000A080000}"/>
    <cellStyle name="_Apollo Pro Forma Tax Template 2007 V5_Partners Capital Q1 2009 2" xfId="2067" xr:uid="{00000000-0005-0000-0000-00000B080000}"/>
    <cellStyle name="_Apollo Pro Forma Tax Template 2007 V5_Partners Capital Q1 2009 3" xfId="2068" xr:uid="{00000000-0005-0000-0000-00000C080000}"/>
    <cellStyle name="_Apollo Pro Forma Tax Template 2007 V5_Partners Capital Q1 2009_Broadleaf Watefall 12-31-09" xfId="2069" xr:uid="{00000000-0005-0000-0000-00000D080000}"/>
    <cellStyle name="_Apollo Pro Forma Tax Template 2007 V5_PR Calc" xfId="2070" xr:uid="{00000000-0005-0000-0000-00000E080000}"/>
    <cellStyle name="_Apollo Pro Forma Tax Template 2007 V5_PR Calc - DOMESTIC" xfId="2071" xr:uid="{00000000-0005-0000-0000-00000F080000}"/>
    <cellStyle name="_Apollo Pro Forma Tax Template 2007 V5_RCIV Q3 2009 Capital Analysis CURRENT" xfId="2072" xr:uid="{00000000-0005-0000-0000-000010080000}"/>
    <cellStyle name="_Apollo Pro Forma Tax Template 2007 V5_RCIV Q3 2009 Capital Analysis CURRENT 2" xfId="2073" xr:uid="{00000000-0005-0000-0000-000011080000}"/>
    <cellStyle name="_ARES IIIR IVR Omnicron Request v2 sent" xfId="2074" xr:uid="{00000000-0005-0000-0000-000012080000}"/>
    <cellStyle name="_ARES IIIR IVR Omnicron Request v2 sent_2011 Q1 Monitoring Fees v3" xfId="2075" xr:uid="{00000000-0005-0000-0000-000013080000}"/>
    <cellStyle name="_ARES IIIR IVR Omnicron Request v2 sent_LS, LP - Dec  2010 Trial Balance Summary" xfId="2076" xr:uid="{00000000-0005-0000-0000-000014080000}"/>
    <cellStyle name="_ARES IIIR IVR Omnicron Request v2 sent_Oak Hill Portfolio Accrued Interest_v11" xfId="2077" xr:uid="{00000000-0005-0000-0000-000015080000}"/>
    <cellStyle name="_ARES IIIR IVR Omnicron Request v2 sent_Oak Hill Portfolio Accrued Interest_v11_2011 Q1 Monitoring Fees v3" xfId="2078" xr:uid="{00000000-0005-0000-0000-000016080000}"/>
    <cellStyle name="_ARES IIIR IVR Omnicron Request v2 sent_Oak Hill Portfolio Accrued Interest_v11_LS, LP - Dec  2010 Trial Balance Summary" xfId="2079" xr:uid="{00000000-0005-0000-0000-000017080000}"/>
    <cellStyle name="_ARES IIIR IVR Omnicron Request v2 sent_Oak Hill Portfolio Accrued Interest_v11_Q1 2011 Pmts" xfId="2080" xr:uid="{00000000-0005-0000-0000-000018080000}"/>
    <cellStyle name="_ARES IIIR IVR Omnicron Request v2 sent_Q1 2011 Pmts" xfId="2081" xr:uid="{00000000-0005-0000-0000-000019080000}"/>
    <cellStyle name="_Ares IIIR-IVR portfolio_sent out" xfId="2082" xr:uid="{00000000-0005-0000-0000-00001A080000}"/>
    <cellStyle name="_Ares IIIR-IVR portfolio_sent out_2011 Q1 Monitoring Fees v3" xfId="2083" xr:uid="{00000000-0005-0000-0000-00001B080000}"/>
    <cellStyle name="_Ares IIIR-IVR portfolio_sent out_LS, LP - Dec  2010 Trial Balance Summary" xfId="2084" xr:uid="{00000000-0005-0000-0000-00001C080000}"/>
    <cellStyle name="_Ares IX CLO Cash Workbook" xfId="2085" xr:uid="{00000000-0005-0000-0000-00001D080000}"/>
    <cellStyle name="_Artesian OP Master FS07312006 Final" xfId="2086" xr:uid="{00000000-0005-0000-0000-00001E080000}"/>
    <cellStyle name="_Artesian OP Master FS08312006 Final" xfId="2087" xr:uid="{00000000-0005-0000-0000-00001F080000}"/>
    <cellStyle name="_Artesian OP Master FS10312006 Final" xfId="2088" xr:uid="{00000000-0005-0000-0000-000020080000}"/>
    <cellStyle name="_Artesian OP Master FS11302006 Final" xfId="2089" xr:uid="{00000000-0005-0000-0000-000021080000}"/>
    <cellStyle name="_Artesian OP Master FS12312006 Final IR" xfId="2090" xr:uid="{00000000-0005-0000-0000-000022080000}"/>
    <cellStyle name="_Asia Estimates for EB_02252008" xfId="2091" xr:uid="{00000000-0005-0000-0000-000023080000}"/>
    <cellStyle name="_Asia Estimates for EB_02252008_Bonco Analysis" xfId="2092" xr:uid="{00000000-0005-0000-0000-000024080000}"/>
    <cellStyle name="_Asia Estimates for EB_02252008_Bonco Analysis Projection" xfId="2093" xr:uid="{00000000-0005-0000-0000-000025080000}"/>
    <cellStyle name="_Asia Estimates for EB_02252008_Bonco Analysis Projection_Cash Summary AIF IV and AIF VI - 05.14.09 v2" xfId="2094" xr:uid="{00000000-0005-0000-0000-000026080000}"/>
    <cellStyle name="_Asia Estimates for EB_02252008_Bonco Analysis Projection_PE Funds Cash 04 17 09 Ken V Portrait 4-30-09v4" xfId="2095" xr:uid="{00000000-0005-0000-0000-000027080000}"/>
    <cellStyle name="_Asia Estimates for EB_02252008_Bonco Analysis_Cash Summary AIF IV and AIF VI - 05.14.09 v2" xfId="2096" xr:uid="{00000000-0005-0000-0000-000028080000}"/>
    <cellStyle name="_Asia Estimates for EB_02252008_Bonco Analysis_PE Funds Cash 04 17 09 Ken V Portrait 4-30-09v4" xfId="2097" xr:uid="{00000000-0005-0000-0000-000029080000}"/>
    <cellStyle name="_Asia Estimates for EB_02252008_Book Capital Allocation 9 30_Broadleaf_DT" xfId="2098" xr:uid="{00000000-0005-0000-0000-00002A080000}"/>
    <cellStyle name="_Asia Estimates for EB_02252008_Book Capital Allocation 9 30_Broadleaf_DT_Cash Summary AIF IV and AIF VI - 05.14.09 v2" xfId="2099" xr:uid="{00000000-0005-0000-0000-00002B080000}"/>
    <cellStyle name="_Asia Estimates for EB_02252008_Book Capital Allocation 9 30_Broadleaf_DT_PE Funds Cash 04 17 09 Ken V Portrait 4-30-09v4" xfId="2100" xr:uid="{00000000-0005-0000-0000-00002C080000}"/>
    <cellStyle name="_Asia Estimates for EB_02252008_Broadleaf - Partner Capital Account Analysis" xfId="2101" xr:uid="{00000000-0005-0000-0000-00002D080000}"/>
    <cellStyle name="_Asia Estimates for EB_02252008_Broadleaf - Partner Capital Account Analysis_Cash Summary AIF IV and AIF VI - 05.14.09 v2" xfId="2102" xr:uid="{00000000-0005-0000-0000-00002E080000}"/>
    <cellStyle name="_Asia Estimates for EB_02252008_Broadleaf - Partner Capital Account Analysis_PE Funds Cash 04 17 09 Ken V Portrait 4-30-09v4" xfId="2103" xr:uid="{00000000-0005-0000-0000-00002F080000}"/>
    <cellStyle name="_Asia Estimates for EB_02252008_Cash Summary AIF IV and AIF VI - 05.14.09 v2" xfId="2104" xr:uid="{00000000-0005-0000-0000-000030080000}"/>
    <cellStyle name="_Asia Estimates for EB_02252008_Foward 704(c) All. June 08  (2)" xfId="2105" xr:uid="{00000000-0005-0000-0000-000031080000}"/>
    <cellStyle name="_Asia Estimates for EB_02252008_Foward 704(c) All. June 08  (2)_Cash Summary AIF IV and AIF VI - 05.14.09 v2" xfId="2106" xr:uid="{00000000-0005-0000-0000-000032080000}"/>
    <cellStyle name="_Asia Estimates for EB_02252008_Foward 704(c) All. June 08  (2)_PE Funds Cash 04 17 09 Ken V Portrait 4-30-09v4" xfId="2107" xr:uid="{00000000-0005-0000-0000-000033080000}"/>
    <cellStyle name="_Asia Estimates for EB_02252008_LeverageSource Analysis" xfId="2108" xr:uid="{00000000-0005-0000-0000-000034080000}"/>
    <cellStyle name="_Asia Estimates for EB_02252008_LeverageSource Analysis Projection 11 17 2008" xfId="2109" xr:uid="{00000000-0005-0000-0000-000035080000}"/>
    <cellStyle name="_Asia Estimates for EB_02252008_LeverageSource Analysis Projection 11 17 2008_Cash Summary AIF IV and AIF VI - 05.14.09 v2" xfId="2110" xr:uid="{00000000-0005-0000-0000-000036080000}"/>
    <cellStyle name="_Asia Estimates for EB_02252008_LeverageSource Analysis Projection 11 17 2008_PE Funds Cash 04 17 09 Ken V Portrait 4-30-09v4" xfId="2111" xr:uid="{00000000-0005-0000-0000-000037080000}"/>
    <cellStyle name="_Asia Estimates for EB_02252008_LeverageSource Analysis_Cash Summary AIF IV and AIF VI - 05.14.09 v2" xfId="2112" xr:uid="{00000000-0005-0000-0000-000038080000}"/>
    <cellStyle name="_Asia Estimates for EB_02252008_LeverageSource Analysis_PE Funds Cash 04 17 09 Ken V Portrait 4-30-09v4" xfId="2113" xr:uid="{00000000-0005-0000-0000-000039080000}"/>
    <cellStyle name="_Asia Estimates for EB_02252008_PE Funds Cash 04 17 09 Ken V Portrait 4-30-09v4" xfId="2114" xr:uid="{00000000-0005-0000-0000-00003A080000}"/>
    <cellStyle name="_Asia LP_Tax Workpapers_04Q2007" xfId="2115" xr:uid="{00000000-0005-0000-0000-00003B080000}"/>
    <cellStyle name="_Asia Master_Tax Workpapers_04Q2007" xfId="2116" xr:uid="{00000000-0005-0000-0000-00003C080000}"/>
    <cellStyle name="_Bonco Analysis" xfId="2117" xr:uid="{00000000-0005-0000-0000-00003D080000}"/>
    <cellStyle name="_Bonco Analysis Projection" xfId="2118" xr:uid="{00000000-0005-0000-0000-00003E080000}"/>
    <cellStyle name="_Book to Tax Rec II 5-31" xfId="2119" xr:uid="{00000000-0005-0000-0000-00003F080000}"/>
    <cellStyle name="_Book to Tax Rec II 5-31 10" xfId="2120" xr:uid="{00000000-0005-0000-0000-000040080000}"/>
    <cellStyle name="_Book to Tax Rec II 5-31 11" xfId="2121" xr:uid="{00000000-0005-0000-0000-000041080000}"/>
    <cellStyle name="_Book to Tax Rec II 5-31 12" xfId="2122" xr:uid="{00000000-0005-0000-0000-000042080000}"/>
    <cellStyle name="_Book to Tax Rec II 5-31 13" xfId="2123" xr:uid="{00000000-0005-0000-0000-000043080000}"/>
    <cellStyle name="_Book to Tax Rec II 5-31 14" xfId="2124" xr:uid="{00000000-0005-0000-0000-000044080000}"/>
    <cellStyle name="_Book to Tax Rec II 5-31 15" xfId="2125" xr:uid="{00000000-0005-0000-0000-000045080000}"/>
    <cellStyle name="_Book to Tax Rec II 5-31 16" xfId="2126" xr:uid="{00000000-0005-0000-0000-000046080000}"/>
    <cellStyle name="_Book to Tax Rec II 5-31 17" xfId="2127" xr:uid="{00000000-0005-0000-0000-000047080000}"/>
    <cellStyle name="_Book to Tax Rec II 5-31 18" xfId="2128" xr:uid="{00000000-0005-0000-0000-000048080000}"/>
    <cellStyle name="_Book to Tax Rec II 5-31 19" xfId="2129" xr:uid="{00000000-0005-0000-0000-000049080000}"/>
    <cellStyle name="_Book to Tax Rec II 5-31 2" xfId="2130" xr:uid="{00000000-0005-0000-0000-00004A080000}"/>
    <cellStyle name="_Book to Tax Rec II 5-31 2 2" xfId="2131" xr:uid="{00000000-0005-0000-0000-00004B080000}"/>
    <cellStyle name="_Book to Tax Rec II 5-31 2_Cash Input" xfId="2132" xr:uid="{00000000-0005-0000-0000-00004C080000}"/>
    <cellStyle name="_Book to Tax Rec II 5-31 20" xfId="2133" xr:uid="{00000000-0005-0000-0000-00004D080000}"/>
    <cellStyle name="_Book to Tax Rec II 5-31 21" xfId="2134" xr:uid="{00000000-0005-0000-0000-00004E080000}"/>
    <cellStyle name="_Book to Tax Rec II 5-31 22" xfId="2135" xr:uid="{00000000-0005-0000-0000-00004F080000}"/>
    <cellStyle name="_Book to Tax Rec II 5-31 23" xfId="2136" xr:uid="{00000000-0005-0000-0000-000050080000}"/>
    <cellStyle name="_Book to Tax Rec II 5-31 23 2" xfId="2137" xr:uid="{00000000-0005-0000-0000-000051080000}"/>
    <cellStyle name="_Book to Tax Rec II 5-31 3" xfId="2138" xr:uid="{00000000-0005-0000-0000-000052080000}"/>
    <cellStyle name="_Book to Tax Rec II 5-31 3 2" xfId="2139" xr:uid="{00000000-0005-0000-0000-000053080000}"/>
    <cellStyle name="_Book to Tax Rec II 5-31 4" xfId="2140" xr:uid="{00000000-0005-0000-0000-000054080000}"/>
    <cellStyle name="_Book to Tax Rec II 5-31 5" xfId="2141" xr:uid="{00000000-0005-0000-0000-000055080000}"/>
    <cellStyle name="_Book to Tax Rec II 5-31 6" xfId="2142" xr:uid="{00000000-0005-0000-0000-000056080000}"/>
    <cellStyle name="_Book to Tax Rec II 5-31 7" xfId="2143" xr:uid="{00000000-0005-0000-0000-000057080000}"/>
    <cellStyle name="_Book to Tax Rec II 5-31 8" xfId="2144" xr:uid="{00000000-0005-0000-0000-000058080000}"/>
    <cellStyle name="_Book to Tax Rec II 5-31 9" xfId="2145" xr:uid="{00000000-0005-0000-0000-000059080000}"/>
    <cellStyle name="_Book to Tax Rec II 5-31_{6} Carry" xfId="2146" xr:uid="{00000000-0005-0000-0000-00005A080000}"/>
    <cellStyle name="_Book to Tax Rec II 5-31_{6} Clawback" xfId="2147" xr:uid="{00000000-0005-0000-0000-00005B080000}"/>
    <cellStyle name="_Book to Tax Rec II 5-31_2.10.10 LS Distribution" xfId="2148" xr:uid="{00000000-0005-0000-0000-00005C080000}"/>
    <cellStyle name="_Book to Tax Rec II 5-31_2007 NYC tax payable 1 8 08" xfId="2149" xr:uid="{00000000-0005-0000-0000-00005D080000}"/>
    <cellStyle name="_Book to Tax Rec II 5-31_2007 NYC tax payable 1 8 08_Cash Summary AIF IV and AIF VI - 05.14.09 v2" xfId="2150" xr:uid="{00000000-0005-0000-0000-00005E080000}"/>
    <cellStyle name="_Book to Tax Rec II 5-31_2007 NYC tax payable 1 8 08_PE Funds Cash 04 17 09 Ken V Portrait 4-30-09v4" xfId="2151" xr:uid="{00000000-0005-0000-0000-00005F080000}"/>
    <cellStyle name="_Book to Tax Rec II 5-31_2011 Q1 Monitoring Fees v3" xfId="2152" xr:uid="{00000000-0005-0000-0000-000060080000}"/>
    <cellStyle name="_Book to Tax Rec II 5-31_Advisors VII DECEMBER on 3-31-09 8pm" xfId="2153" xr:uid="{00000000-0005-0000-0000-000061080000}"/>
    <cellStyle name="_Book to Tax Rec II 5-31_Advisors VII DECEMBER on 3-31-09 8pm 2" xfId="2154" xr:uid="{00000000-0005-0000-0000-000062080000}"/>
    <cellStyle name="_Book to Tax Rec II 5-31_AGM tax file 3 25 08" xfId="2155" xr:uid="{00000000-0005-0000-0000-000063080000}"/>
    <cellStyle name="_Book to Tax Rec II 5-31_AGM tax file 3 25 08_Cash Summary AIF IV and AIF VI - 05.14.09 v2" xfId="2156" xr:uid="{00000000-0005-0000-0000-000064080000}"/>
    <cellStyle name="_Book to Tax Rec II 5-31_AGM tax file 3 25 08_PE Funds Cash 04 17 09 Ken V Portrait 4-30-09v4" xfId="2157" xr:uid="{00000000-0005-0000-0000-000065080000}"/>
    <cellStyle name="_Book to Tax Rec II 5-31_AIF IV - Waterfall 3 31 09 vs  6 30 09" xfId="2158" xr:uid="{00000000-0005-0000-0000-000066080000}"/>
    <cellStyle name="_Book to Tax Rec II 5-31_AIF IV Financial Highlights 12-31-08 v4" xfId="2159" xr:uid="{00000000-0005-0000-0000-000067080000}"/>
    <cellStyle name="_Book to Tax Rec II 5-31_AIF IV Financial Highlights 12-31-08 v4_Apollo Investment Fund IV  Q3 2009 Capital Analysis CURRENT" xfId="2160" xr:uid="{00000000-0005-0000-0000-000068080000}"/>
    <cellStyle name="_Book to Tax Rec II 5-31_AIF IV Financial Highlights 12-31-08 v4_Apollo Investment Fund IV  Q3 2009 Capital Analysis iPCS &amp; URI Distribution" xfId="2161" xr:uid="{00000000-0005-0000-0000-000069080000}"/>
    <cellStyle name="_Book to Tax Rec II 5-31_AIF IV Financial Highlights 12-31-08 v4_iPCs#1-Remaining" xfId="2162" xr:uid="{00000000-0005-0000-0000-00006A080000}"/>
    <cellStyle name="_Book to Tax Rec II 5-31_AIF IV, V, VI, VII, COF - Waterfall 3 31 09 vs  6 30 09" xfId="2163" xr:uid="{00000000-0005-0000-0000-00006B080000}"/>
    <cellStyle name="_Book to Tax Rec II 5-31_AIF V 1Q09 Cash - FINAL" xfId="2164" xr:uid="{00000000-0005-0000-0000-00006C080000}"/>
    <cellStyle name="_Book to Tax Rec II 5-31_AIF V Cash - CURRENT" xfId="2165" xr:uid="{00000000-0005-0000-0000-00006D080000}"/>
    <cellStyle name="_Book to Tax Rec II 5-31_AIF V Professional Fees and other operating expenses(5)" xfId="2166" xr:uid="{00000000-0005-0000-0000-00006E080000}"/>
    <cellStyle name="_Book to Tax Rec II 5-31_AIF VI - BondcoVI_Entities Invested Capital (CURRENT)" xfId="2167" xr:uid="{00000000-0005-0000-0000-00006F080000}"/>
    <cellStyle name="_Book to Tax Rec II 5-31_AIF VI  VII Summary Dec 2008 v3" xfId="2168" xr:uid="{00000000-0005-0000-0000-000070080000}"/>
    <cellStyle name="_Book to Tax Rec II 5-31_AIF VI  VII Summary Dec 2008 v3 10" xfId="2169" xr:uid="{00000000-0005-0000-0000-000071080000}"/>
    <cellStyle name="_Book to Tax Rec II 5-31_AIF VI  VII Summary Dec 2008 v3 11" xfId="2170" xr:uid="{00000000-0005-0000-0000-000072080000}"/>
    <cellStyle name="_Book to Tax Rec II 5-31_AIF VI  VII Summary Dec 2008 v3 12" xfId="2171" xr:uid="{00000000-0005-0000-0000-000073080000}"/>
    <cellStyle name="_Book to Tax Rec II 5-31_AIF VI  VII Summary Dec 2008 v3 13" xfId="2172" xr:uid="{00000000-0005-0000-0000-000074080000}"/>
    <cellStyle name="_Book to Tax Rec II 5-31_AIF VI  VII Summary Dec 2008 v3 14" xfId="2173" xr:uid="{00000000-0005-0000-0000-000075080000}"/>
    <cellStyle name="_Book to Tax Rec II 5-31_AIF VI  VII Summary Dec 2008 v3 15" xfId="2174" xr:uid="{00000000-0005-0000-0000-000076080000}"/>
    <cellStyle name="_Book to Tax Rec II 5-31_AIF VI  VII Summary Dec 2008 v3 16" xfId="2175" xr:uid="{00000000-0005-0000-0000-000077080000}"/>
    <cellStyle name="_Book to Tax Rec II 5-31_AIF VI  VII Summary Dec 2008 v3 17" xfId="2176" xr:uid="{00000000-0005-0000-0000-000078080000}"/>
    <cellStyle name="_Book to Tax Rec II 5-31_AIF VI  VII Summary Dec 2008 v3 18" xfId="2177" xr:uid="{00000000-0005-0000-0000-000079080000}"/>
    <cellStyle name="_Book to Tax Rec II 5-31_AIF VI  VII Summary Dec 2008 v3 19" xfId="2178" xr:uid="{00000000-0005-0000-0000-00007A080000}"/>
    <cellStyle name="_Book to Tax Rec II 5-31_AIF VI  VII Summary Dec 2008 v3 2" xfId="2179" xr:uid="{00000000-0005-0000-0000-00007B080000}"/>
    <cellStyle name="_Book to Tax Rec II 5-31_AIF VI  VII Summary Dec 2008 v3 2 2" xfId="2180" xr:uid="{00000000-0005-0000-0000-00007C080000}"/>
    <cellStyle name="_Book to Tax Rec II 5-31_AIF VI  VII Summary Dec 2008 v3 2_Cash Input" xfId="2181" xr:uid="{00000000-0005-0000-0000-00007D080000}"/>
    <cellStyle name="_Book to Tax Rec II 5-31_AIF VI  VII Summary Dec 2008 v3 20" xfId="2182" xr:uid="{00000000-0005-0000-0000-00007E080000}"/>
    <cellStyle name="_Book to Tax Rec II 5-31_AIF VI  VII Summary Dec 2008 v3 21" xfId="2183" xr:uid="{00000000-0005-0000-0000-00007F080000}"/>
    <cellStyle name="_Book to Tax Rec II 5-31_AIF VI  VII Summary Dec 2008 v3 22" xfId="2184" xr:uid="{00000000-0005-0000-0000-000080080000}"/>
    <cellStyle name="_Book to Tax Rec II 5-31_AIF VI  VII Summary Dec 2008 v3 23" xfId="2185" xr:uid="{00000000-0005-0000-0000-000081080000}"/>
    <cellStyle name="_Book to Tax Rec II 5-31_AIF VI  VII Summary Dec 2008 v3 3" xfId="2186" xr:uid="{00000000-0005-0000-0000-000082080000}"/>
    <cellStyle name="_Book to Tax Rec II 5-31_AIF VI  VII Summary Dec 2008 v3 3 2" xfId="2187" xr:uid="{00000000-0005-0000-0000-000083080000}"/>
    <cellStyle name="_Book to Tax Rec II 5-31_AIF VI  VII Summary Dec 2008 v3 4" xfId="2188" xr:uid="{00000000-0005-0000-0000-000084080000}"/>
    <cellStyle name="_Book to Tax Rec II 5-31_AIF VI  VII Summary Dec 2008 v3 5" xfId="2189" xr:uid="{00000000-0005-0000-0000-000085080000}"/>
    <cellStyle name="_Book to Tax Rec II 5-31_AIF VI  VII Summary Dec 2008 v3 6" xfId="2190" xr:uid="{00000000-0005-0000-0000-000086080000}"/>
    <cellStyle name="_Book to Tax Rec II 5-31_AIF VI  VII Summary Dec 2008 v3 7" xfId="2191" xr:uid="{00000000-0005-0000-0000-000087080000}"/>
    <cellStyle name="_Book to Tax Rec II 5-31_AIF VI  VII Summary Dec 2008 v3 8" xfId="2192" xr:uid="{00000000-0005-0000-0000-000088080000}"/>
    <cellStyle name="_Book to Tax Rec II 5-31_AIF VI  VII Summary Dec 2008 v3 9" xfId="2193" xr:uid="{00000000-0005-0000-0000-000089080000}"/>
    <cellStyle name="_Book to Tax Rec II 5-31_AIF VI  VII Summary Dec 2008 v3_AIF VI - BondcoVI_Entities Invested Capital (CURRENT)" xfId="2194" xr:uid="{00000000-0005-0000-0000-00008A080000}"/>
    <cellStyle name="_Book to Tax Rec II 5-31_AIF VI  VII Summary Dec 2008 v3_Cash Input" xfId="2195" xr:uid="{00000000-0005-0000-0000-00008B080000}"/>
    <cellStyle name="_Book to Tax Rec II 5-31_AIF VI  VII Summary Dec 2008 v3_Domestic TB" xfId="2196" xr:uid="{00000000-0005-0000-0000-00008C080000}"/>
    <cellStyle name="_Book to Tax Rec II 5-31_AIF VI  VII Summary Dec 2008 v3_IC Balance" xfId="2197" xr:uid="{00000000-0005-0000-0000-00008D080000}"/>
    <cellStyle name="_Book to Tax Rec II 5-31_AIF VI  VII Summary Dec 2008 v3_Invested Capital Debt Worksheet" xfId="2198" xr:uid="{00000000-0005-0000-0000-00008E080000}"/>
    <cellStyle name="_Book to Tax Rec II 5-31_AIF VI  VII Summary Dec 2008 v3_MMF Income" xfId="2199" xr:uid="{00000000-0005-0000-0000-00008F080000}"/>
    <cellStyle name="_Book to Tax Rec II 5-31_AIF VI  VII Summary Dec 2008 v3_Partners Capital Q3 2009" xfId="2200" xr:uid="{00000000-0005-0000-0000-000090080000}"/>
    <cellStyle name="_Book to Tax Rec II 5-31_AIF VI  VII Summary Dec 2008 v3_Realized Gain Loss" xfId="2201" xr:uid="{00000000-0005-0000-0000-000091080000}"/>
    <cellStyle name="_Book to Tax Rec II 5-31_AIF VI Broadleaf Watefall Summary as of 6-30-09 FINAL" xfId="2202" xr:uid="{00000000-0005-0000-0000-000092080000}"/>
    <cellStyle name="_Book to Tax Rec II 5-31_AIF VI Broadleaf Watefall Summary as of 9-30-09" xfId="2203" xr:uid="{00000000-0005-0000-0000-000093080000}"/>
    <cellStyle name="_Book to Tax Rec II 5-31_AIF VI CBA  11-13-08 After Cash Adj (2)" xfId="2204" xr:uid="{00000000-0005-0000-0000-000094080000}"/>
    <cellStyle name="_Book to Tax Rec II 5-31_AIF VI CBA  11-13-08 After Cash Adj (2)_Cash Summary AIF IV and AIF VI - 05.14.09 v2" xfId="2205" xr:uid="{00000000-0005-0000-0000-000095080000}"/>
    <cellStyle name="_Book to Tax Rec II 5-31_AIF VI CBA  11-13-08 After Cash Adj (2)_PE Funds Cash 04 17 09 Ken V Portrait 4-30-09v4" xfId="2206" xr:uid="{00000000-0005-0000-0000-000096080000}"/>
    <cellStyle name="_Book to Tax Rec II 5-31_AIF VI CBA 3.20.08" xfId="2207" xr:uid="{00000000-0005-0000-0000-000097080000}"/>
    <cellStyle name="_Book to Tax Rec II 5-31_AIF VI CBA 3.20.08 2" xfId="2208" xr:uid="{00000000-0005-0000-0000-000098080000}"/>
    <cellStyle name="_Book to Tax Rec II 5-31_AIF VI CBA 3.20.08 3" xfId="2209" xr:uid="{00000000-0005-0000-0000-000099080000}"/>
    <cellStyle name="_Book to Tax Rec II 5-31_AIF VI CBA 3.20.08_AIF VI - BondcoVI_Entities Invested Capital (CURRENT)" xfId="2210" xr:uid="{00000000-0005-0000-0000-00009A080000}"/>
    <cellStyle name="_Book to Tax Rec II 5-31_AIF VI CBA 3.20.08_IC Balance" xfId="2211" xr:uid="{00000000-0005-0000-0000-00009B080000}"/>
    <cellStyle name="_Book to Tax Rec II 5-31_AIF VI CBA 3.20.08_Invested Capital Debt Worksheet" xfId="2212" xr:uid="{00000000-0005-0000-0000-00009C080000}"/>
    <cellStyle name="_Book to Tax Rec II 5-31_AIF VI CBA 3.20.08_MMF Income" xfId="2213" xr:uid="{00000000-0005-0000-0000-00009D080000}"/>
    <cellStyle name="_Book to Tax Rec II 5-31_AIF VI CBA 3.20.08_Partners Capital Q3 2009" xfId="2214" xr:uid="{00000000-0005-0000-0000-00009E080000}"/>
    <cellStyle name="_Book to Tax Rec II 5-31_AIF VI CBA 3.20.08_Realized Gain Loss" xfId="2215" xr:uid="{00000000-0005-0000-0000-00009F080000}"/>
    <cellStyle name="_Book to Tax Rec II 5-31_AIF VII Capital Balance Analysis INCEPTION to 09-30-08 on 10-13-08 8am" xfId="2216" xr:uid="{00000000-0005-0000-0000-0000A0080000}"/>
    <cellStyle name="_Book to Tax Rec II 5-31_AIF VII Capital Balance Analysis INCEPTION to 09-30-08 on 10-13-08 8am 2" xfId="2217" xr:uid="{00000000-0005-0000-0000-0000A1080000}"/>
    <cellStyle name="_Book to Tax Rec II 5-31_AIF VII Capital Balance Analysis INCEPTION to 09-30-08 on 10-13-08 8am 2 2" xfId="2218" xr:uid="{00000000-0005-0000-0000-0000A2080000}"/>
    <cellStyle name="_Book to Tax Rec II 5-31_AIF VII Capital Balance Analysis INCEPTION to 09-30-08 on 10-13-08 8am 2_Cash Input" xfId="2219" xr:uid="{00000000-0005-0000-0000-0000A3080000}"/>
    <cellStyle name="_Book to Tax Rec II 5-31_AIF VII Capital Balance Analysis INCEPTION to 09-30-08 on 10-13-08 8am 3" xfId="2220" xr:uid="{00000000-0005-0000-0000-0000A4080000}"/>
    <cellStyle name="_Book to Tax Rec II 5-31_AIF VII Capital Balance Analysis INCEPTION to 09-30-08 on 10-13-08 8am_AIF VI - BondcoVI_Entities Invested Capital (CURRENT)" xfId="2221" xr:uid="{00000000-0005-0000-0000-0000A5080000}"/>
    <cellStyle name="_Book to Tax Rec II 5-31_AIF VII Capital Balance Analysis INCEPTION to 09-30-08 on 10-13-08 8am_Cash Input" xfId="2222" xr:uid="{00000000-0005-0000-0000-0000A6080000}"/>
    <cellStyle name="_Book to Tax Rec II 5-31_AIF VII Capital Balance Analysis INCEPTION to 09-30-08 on 10-13-08 8am_IC Balance" xfId="2223" xr:uid="{00000000-0005-0000-0000-0000A7080000}"/>
    <cellStyle name="_Book to Tax Rec II 5-31_AIF VII Capital Balance Analysis INCEPTION to 09-30-08 on 10-13-08 8am_Invested Capital Debt Worksheet" xfId="2224" xr:uid="{00000000-0005-0000-0000-0000A8080000}"/>
    <cellStyle name="_Book to Tax Rec II 5-31_AIF VII Capital Balance Analysis INCEPTION to 09-30-08 on 10-13-08 8am_MMF Income" xfId="2225" xr:uid="{00000000-0005-0000-0000-0000A9080000}"/>
    <cellStyle name="_Book to Tax Rec II 5-31_AIF VII Capital Balance Analysis INCEPTION to 09-30-08 on 10-13-08 8am_Partners Capital Q3 2009" xfId="2226" xr:uid="{00000000-0005-0000-0000-0000AA080000}"/>
    <cellStyle name="_Book to Tax Rec II 5-31_AIF VII Capital Balance Analysis INCEPTION to 09-30-08 on 10-13-08 8am_Realized Gain Loss" xfId="2227" xr:uid="{00000000-0005-0000-0000-0000AB080000}"/>
    <cellStyle name="_Book to Tax Rec II 5-31_Andy Affrick - Schedulev2" xfId="2228" xr:uid="{00000000-0005-0000-0000-0000AC080000}"/>
    <cellStyle name="_Book to Tax Rec II 5-31_Apollo 2007 Q4 Tax Est 03 03 08 Sherley" xfId="2229" xr:uid="{00000000-0005-0000-0000-0000AD080000}"/>
    <cellStyle name="_Book to Tax Rec II 5-31_Apollo 2007 Q4 Tax Est 03 03 08 Sherley_Cash Summary AIF IV and AIF VI - 05.14.09 v2" xfId="2230" xr:uid="{00000000-0005-0000-0000-0000AE080000}"/>
    <cellStyle name="_Book to Tax Rec II 5-31_Apollo 2007 Q4 Tax Est 03 03 08 Sherley_PE Funds Cash 04 17 09 Ken V Portrait 4-30-09v4" xfId="2231" xr:uid="{00000000-0005-0000-0000-0000AF080000}"/>
    <cellStyle name="_Book to Tax Rec II 5-31_Apollo 2007 Q4 Tax Est 2 28 08" xfId="2232" xr:uid="{00000000-0005-0000-0000-0000B0080000}"/>
    <cellStyle name="_Book to Tax Rec II 5-31_Apollo 2007 Q4 Tax Est 2 28 08_Cash Summary AIF IV and AIF VI - 05.14.09 v2" xfId="2233" xr:uid="{00000000-0005-0000-0000-0000B1080000}"/>
    <cellStyle name="_Book to Tax Rec II 5-31_Apollo 2007 Q4 Tax Est 2 28 08_PE Funds Cash 04 17 09 Ken V Portrait 4-30-09v4" xfId="2234" xr:uid="{00000000-0005-0000-0000-0000B2080000}"/>
    <cellStyle name="_Book to Tax Rec II 5-31_Apollo Advisors IV 12-31-08 GAAP TB Final" xfId="2235" xr:uid="{00000000-0005-0000-0000-0000B3080000}"/>
    <cellStyle name="_Book to Tax Rec II 5-31_Apollo Advisors IV 12-31-08 TB (Revised for Aggr PR)" xfId="2236" xr:uid="{00000000-0005-0000-0000-0000B4080000}"/>
    <cellStyle name="_Book to Tax Rec II 5-31_Apollo Advisors IV 6-30-09 GAAP TB" xfId="2237" xr:uid="{00000000-0005-0000-0000-0000B5080000}"/>
    <cellStyle name="_Book to Tax Rec II 5-31_Apollo Advisors V 09-30-08 CURRENT" xfId="2238" xr:uid="{00000000-0005-0000-0000-0000B6080000}"/>
    <cellStyle name="_Book to Tax Rec II 5-31_Apollo Investment Fund IV  April Priority Return" xfId="2239" xr:uid="{00000000-0005-0000-0000-0000B7080000}"/>
    <cellStyle name="_Book to Tax Rec II 5-31_Book4" xfId="2240" xr:uid="{00000000-0005-0000-0000-0000B8080000}"/>
    <cellStyle name="_Book to Tax Rec II 5-31_Book4 10" xfId="2241" xr:uid="{00000000-0005-0000-0000-0000B9080000}"/>
    <cellStyle name="_Book to Tax Rec II 5-31_Book4 11" xfId="2242" xr:uid="{00000000-0005-0000-0000-0000BA080000}"/>
    <cellStyle name="_Book to Tax Rec II 5-31_Book4 12" xfId="2243" xr:uid="{00000000-0005-0000-0000-0000BB080000}"/>
    <cellStyle name="_Book to Tax Rec II 5-31_Book4 13" xfId="2244" xr:uid="{00000000-0005-0000-0000-0000BC080000}"/>
    <cellStyle name="_Book to Tax Rec II 5-31_Book4 14" xfId="2245" xr:uid="{00000000-0005-0000-0000-0000BD080000}"/>
    <cellStyle name="_Book to Tax Rec II 5-31_Book4 15" xfId="2246" xr:uid="{00000000-0005-0000-0000-0000BE080000}"/>
    <cellStyle name="_Book to Tax Rec II 5-31_Book4 16" xfId="2247" xr:uid="{00000000-0005-0000-0000-0000BF080000}"/>
    <cellStyle name="_Book to Tax Rec II 5-31_Book4 17" xfId="2248" xr:uid="{00000000-0005-0000-0000-0000C0080000}"/>
    <cellStyle name="_Book to Tax Rec II 5-31_Book4 18" xfId="2249" xr:uid="{00000000-0005-0000-0000-0000C1080000}"/>
    <cellStyle name="_Book to Tax Rec II 5-31_Book4 19" xfId="2250" xr:uid="{00000000-0005-0000-0000-0000C2080000}"/>
    <cellStyle name="_Book to Tax Rec II 5-31_Book4 2" xfId="2251" xr:uid="{00000000-0005-0000-0000-0000C3080000}"/>
    <cellStyle name="_Book to Tax Rec II 5-31_Book4 2 2" xfId="2252" xr:uid="{00000000-0005-0000-0000-0000C4080000}"/>
    <cellStyle name="_Book to Tax Rec II 5-31_Book4 20" xfId="2253" xr:uid="{00000000-0005-0000-0000-0000C5080000}"/>
    <cellStyle name="_Book to Tax Rec II 5-31_Book4 21" xfId="2254" xr:uid="{00000000-0005-0000-0000-0000C6080000}"/>
    <cellStyle name="_Book to Tax Rec II 5-31_Book4 22" xfId="2255" xr:uid="{00000000-0005-0000-0000-0000C7080000}"/>
    <cellStyle name="_Book to Tax Rec II 5-31_Book4 23" xfId="2256" xr:uid="{00000000-0005-0000-0000-0000C8080000}"/>
    <cellStyle name="_Book to Tax Rec II 5-31_Book4 23 2" xfId="2257" xr:uid="{00000000-0005-0000-0000-0000C9080000}"/>
    <cellStyle name="_Book to Tax Rec II 5-31_Book4 3" xfId="2258" xr:uid="{00000000-0005-0000-0000-0000CA080000}"/>
    <cellStyle name="_Book to Tax Rec II 5-31_Book4 3 2" xfId="2259" xr:uid="{00000000-0005-0000-0000-0000CB080000}"/>
    <cellStyle name="_Book to Tax Rec II 5-31_Book4 4" xfId="2260" xr:uid="{00000000-0005-0000-0000-0000CC080000}"/>
    <cellStyle name="_Book to Tax Rec II 5-31_Book4 5" xfId="2261" xr:uid="{00000000-0005-0000-0000-0000CD080000}"/>
    <cellStyle name="_Book to Tax Rec II 5-31_Book4 6" xfId="2262" xr:uid="{00000000-0005-0000-0000-0000CE080000}"/>
    <cellStyle name="_Book to Tax Rec II 5-31_Book4 7" xfId="2263" xr:uid="{00000000-0005-0000-0000-0000CF080000}"/>
    <cellStyle name="_Book to Tax Rec II 5-31_Book4 8" xfId="2264" xr:uid="{00000000-0005-0000-0000-0000D0080000}"/>
    <cellStyle name="_Book to Tax Rec II 5-31_Book4 9" xfId="2265" xr:uid="{00000000-0005-0000-0000-0000D1080000}"/>
    <cellStyle name="_Book to Tax Rec II 5-31_Book4_2.10.10 LS Distribution" xfId="2266" xr:uid="{00000000-0005-0000-0000-0000D2080000}"/>
    <cellStyle name="_Book to Tax Rec II 5-31_Book4_AIF VI - BondcoVI_Entities Invested Capital (CURRENT)" xfId="2267" xr:uid="{00000000-0005-0000-0000-0000D3080000}"/>
    <cellStyle name="_Book to Tax Rec II 5-31_Book4_AIF VI Broadleaf Watefall Summary as of 6-30-09 FINAL" xfId="2268" xr:uid="{00000000-0005-0000-0000-0000D4080000}"/>
    <cellStyle name="_Book to Tax Rec II 5-31_Book4_AIF VI Broadleaf Watefall Summary as of 9-30-09" xfId="2269" xr:uid="{00000000-0005-0000-0000-0000D5080000}"/>
    <cellStyle name="_Book to Tax Rec II 5-31_Book4_Broadleaf Watefall 12-31-09" xfId="2270" xr:uid="{00000000-0005-0000-0000-0000D6080000}"/>
    <cellStyle name="_Book to Tax Rec II 5-31_Book4_Broadleaf Watefall 6-30-09" xfId="2271" xr:uid="{00000000-0005-0000-0000-0000D7080000}"/>
    <cellStyle name="_Book to Tax Rec II 5-31_Book4_Broadleaf Watefall 9-30-09" xfId="2272" xr:uid="{00000000-0005-0000-0000-0000D8080000}"/>
    <cellStyle name="_Book to Tax Rec II 5-31_Book4_Cash Summary AIF IV and AIF VI - 05.14.09 v2" xfId="2273" xr:uid="{00000000-0005-0000-0000-0000D9080000}"/>
    <cellStyle name="_Book to Tax Rec II 5-31_Book4_Copy of AGM Dec '09 YTD COF I and II Dep  Liab (1-13-10) (2)" xfId="2274" xr:uid="{00000000-0005-0000-0000-0000DA080000}"/>
    <cellStyle name="_Book to Tax Rec II 5-31_Book4_IC Balance" xfId="2275" xr:uid="{00000000-0005-0000-0000-0000DB080000}"/>
    <cellStyle name="_Book to Tax Rec II 5-31_Book4_Invested Capital Debt Worksheet" xfId="2276" xr:uid="{00000000-0005-0000-0000-0000DC080000}"/>
    <cellStyle name="_Book to Tax Rec II 5-31_Book4_MMF Income" xfId="2277" xr:uid="{00000000-0005-0000-0000-0000DD080000}"/>
    <cellStyle name="_Book to Tax Rec II 5-31_Book4_Partners Capital Q3 2009" xfId="2278" xr:uid="{00000000-0005-0000-0000-0000DE080000}"/>
    <cellStyle name="_Book to Tax Rec II 5-31_Book4_PE Funds Cash 04 17 09 Ken V Portrait 4-30-09v4" xfId="2279" xr:uid="{00000000-0005-0000-0000-0000DF080000}"/>
    <cellStyle name="_Book to Tax Rec II 5-31_Book4_Realized Gain Loss" xfId="2280" xr:uid="{00000000-0005-0000-0000-0000E0080000}"/>
    <cellStyle name="_Book to Tax Rec II 5-31_Book4_TX Details" xfId="2281" xr:uid="{00000000-0005-0000-0000-0000E1080000}"/>
    <cellStyle name="_Book to Tax Rec II 5-31_Broadleaf Watefall 12-31-09" xfId="2282" xr:uid="{00000000-0005-0000-0000-0000E2080000}"/>
    <cellStyle name="_Book to Tax Rec II 5-31_Broadleaf Watefall 6-30-09" xfId="2283" xr:uid="{00000000-0005-0000-0000-0000E3080000}"/>
    <cellStyle name="_Book to Tax Rec II 5-31_Broadleaf Watefall 9-30-09" xfId="2284" xr:uid="{00000000-0005-0000-0000-0000E4080000}"/>
    <cellStyle name="_Book to Tax Rec II 5-31_CALCS" xfId="2285" xr:uid="{00000000-0005-0000-0000-0000E5080000}"/>
    <cellStyle name="_Book to Tax Rec II 5-31_CALCS 10" xfId="2286" xr:uid="{00000000-0005-0000-0000-0000E6080000}"/>
    <cellStyle name="_Book to Tax Rec II 5-31_CALCS 11" xfId="2287" xr:uid="{00000000-0005-0000-0000-0000E7080000}"/>
    <cellStyle name="_Book to Tax Rec II 5-31_CALCS 12" xfId="2288" xr:uid="{00000000-0005-0000-0000-0000E8080000}"/>
    <cellStyle name="_Book to Tax Rec II 5-31_CALCS 13" xfId="2289" xr:uid="{00000000-0005-0000-0000-0000E9080000}"/>
    <cellStyle name="_Book to Tax Rec II 5-31_CALCS 14" xfId="2290" xr:uid="{00000000-0005-0000-0000-0000EA080000}"/>
    <cellStyle name="_Book to Tax Rec II 5-31_CALCS 15" xfId="2291" xr:uid="{00000000-0005-0000-0000-0000EB080000}"/>
    <cellStyle name="_Book to Tax Rec II 5-31_CALCS 16" xfId="2292" xr:uid="{00000000-0005-0000-0000-0000EC080000}"/>
    <cellStyle name="_Book to Tax Rec II 5-31_CALCS 17" xfId="2293" xr:uid="{00000000-0005-0000-0000-0000ED080000}"/>
    <cellStyle name="_Book to Tax Rec II 5-31_CALCS 18" xfId="2294" xr:uid="{00000000-0005-0000-0000-0000EE080000}"/>
    <cellStyle name="_Book to Tax Rec II 5-31_CALCS 19" xfId="2295" xr:uid="{00000000-0005-0000-0000-0000EF080000}"/>
    <cellStyle name="_Book to Tax Rec II 5-31_CALCS 2" xfId="2296" xr:uid="{00000000-0005-0000-0000-0000F0080000}"/>
    <cellStyle name="_Book to Tax Rec II 5-31_CALCS 2 2" xfId="2297" xr:uid="{00000000-0005-0000-0000-0000F1080000}"/>
    <cellStyle name="_Book to Tax Rec II 5-31_CALCS 20" xfId="2298" xr:uid="{00000000-0005-0000-0000-0000F2080000}"/>
    <cellStyle name="_Book to Tax Rec II 5-31_CALCS 21" xfId="2299" xr:uid="{00000000-0005-0000-0000-0000F3080000}"/>
    <cellStyle name="_Book to Tax Rec II 5-31_CALCS 22" xfId="2300" xr:uid="{00000000-0005-0000-0000-0000F4080000}"/>
    <cellStyle name="_Book to Tax Rec II 5-31_CALCS 23" xfId="2301" xr:uid="{00000000-0005-0000-0000-0000F5080000}"/>
    <cellStyle name="_Book to Tax Rec II 5-31_CALCS 3" xfId="2302" xr:uid="{00000000-0005-0000-0000-0000F6080000}"/>
    <cellStyle name="_Book to Tax Rec II 5-31_CALCS 3 2" xfId="2303" xr:uid="{00000000-0005-0000-0000-0000F7080000}"/>
    <cellStyle name="_Book to Tax Rec II 5-31_CALCS 4" xfId="2304" xr:uid="{00000000-0005-0000-0000-0000F8080000}"/>
    <cellStyle name="_Book to Tax Rec II 5-31_CALCS 5" xfId="2305" xr:uid="{00000000-0005-0000-0000-0000F9080000}"/>
    <cellStyle name="_Book to Tax Rec II 5-31_CALCS 6" xfId="2306" xr:uid="{00000000-0005-0000-0000-0000FA080000}"/>
    <cellStyle name="_Book to Tax Rec II 5-31_CALCS 7" xfId="2307" xr:uid="{00000000-0005-0000-0000-0000FB080000}"/>
    <cellStyle name="_Book to Tax Rec II 5-31_CALCS 8" xfId="2308" xr:uid="{00000000-0005-0000-0000-0000FC080000}"/>
    <cellStyle name="_Book to Tax Rec II 5-31_CALCS 9" xfId="2309" xr:uid="{00000000-0005-0000-0000-0000FD080000}"/>
    <cellStyle name="_Book to Tax Rec II 5-31_CALCS_AIF VI - BondcoVI_Entities Invested Capital (CURRENT)" xfId="2310" xr:uid="{00000000-0005-0000-0000-0000FE080000}"/>
    <cellStyle name="_Book to Tax Rec II 5-31_CALCS_AIF VI Broadleaf Watefall Summary as of 6-30-09 FINAL" xfId="2311" xr:uid="{00000000-0005-0000-0000-0000FF080000}"/>
    <cellStyle name="_Book to Tax Rec II 5-31_CALCS_AIF VI Broadleaf Watefall Summary as of 9-30-09" xfId="2312" xr:uid="{00000000-0005-0000-0000-000000090000}"/>
    <cellStyle name="_Book to Tax Rec II 5-31_CALCS_Broadleaf Watefall 12-31-09" xfId="2313" xr:uid="{00000000-0005-0000-0000-000001090000}"/>
    <cellStyle name="_Book to Tax Rec II 5-31_CALCS_Broadleaf Watefall 6-30-09" xfId="2314" xr:uid="{00000000-0005-0000-0000-000002090000}"/>
    <cellStyle name="_Book to Tax Rec II 5-31_CALCS_Broadleaf Watefall 9-30-09" xfId="2315" xr:uid="{00000000-0005-0000-0000-000003090000}"/>
    <cellStyle name="_Book to Tax Rec II 5-31_CALCS_IC Balance" xfId="2316" xr:uid="{00000000-0005-0000-0000-000004090000}"/>
    <cellStyle name="_Book to Tax Rec II 5-31_CALCS_Invested Capital Debt Worksheet" xfId="2317" xr:uid="{00000000-0005-0000-0000-000005090000}"/>
    <cellStyle name="_Book to Tax Rec II 5-31_CALCS_MMF Income" xfId="2318" xr:uid="{00000000-0005-0000-0000-000006090000}"/>
    <cellStyle name="_Book to Tax Rec II 5-31_CALCS_Partners Capital Q3 2009" xfId="2319" xr:uid="{00000000-0005-0000-0000-000007090000}"/>
    <cellStyle name="_Book to Tax Rec II 5-31_CALCS_Realized Gain Loss" xfId="2320" xr:uid="{00000000-0005-0000-0000-000008090000}"/>
    <cellStyle name="_Book to Tax Rec II 5-31_Carry Calculation" xfId="2321" xr:uid="{00000000-0005-0000-0000-000009090000}"/>
    <cellStyle name="_Book to Tax Rec II 5-31_Cash Input" xfId="2322" xr:uid="{00000000-0005-0000-0000-00000A090000}"/>
    <cellStyle name="_Book to Tax Rec II 5-31_Cash Summary AIF IV and AIF VI - 05.14.09 v2" xfId="2323" xr:uid="{00000000-0005-0000-0000-00000B090000}"/>
    <cellStyle name="_Book to Tax Rec II 5-31_Co Inv D Valuation 12-31-08" xfId="2324" xr:uid="{00000000-0005-0000-0000-00000C090000}"/>
    <cellStyle name="_Book to Tax Rec II 5-31_Co Inv D Valuation 12-31-08 2" xfId="2325" xr:uid="{00000000-0005-0000-0000-00000D090000}"/>
    <cellStyle name="_Book to Tax Rec II 5-31_Copy of AGM Dec '09 YTD COF I and II Dep  Liab (1-13-10) (2)" xfId="2326" xr:uid="{00000000-0005-0000-0000-00000E090000}"/>
    <cellStyle name="_Book to Tax Rec II 5-31_Domestic FS 12-31-08 v3-20-09" xfId="2327" xr:uid="{00000000-0005-0000-0000-00000F090000}"/>
    <cellStyle name="_Book to Tax Rec II 5-31_Domestic FS 12-31-08 v3-20-09 2" xfId="2328" xr:uid="{00000000-0005-0000-0000-000010090000}"/>
    <cellStyle name="_Book to Tax Rec II 5-31_Domestic FS 12-31-08 v3-20-09 3" xfId="2329" xr:uid="{00000000-0005-0000-0000-000011090000}"/>
    <cellStyle name="_Book to Tax Rec II 5-31_Domestic FS 12-31-08 v3-20-09_AIF VI - BondcoVI_Entities Invested Capital (CURRENT)" xfId="2330" xr:uid="{00000000-0005-0000-0000-000012090000}"/>
    <cellStyle name="_Book to Tax Rec II 5-31_Domestic FS 12-31-08 v3-20-09_IC Balance" xfId="2331" xr:uid="{00000000-0005-0000-0000-000013090000}"/>
    <cellStyle name="_Book to Tax Rec II 5-31_Domestic FS 12-31-08 v3-20-09_Invested Capital Debt Worksheet" xfId="2332" xr:uid="{00000000-0005-0000-0000-000014090000}"/>
    <cellStyle name="_Book to Tax Rec II 5-31_Domestic FS 12-31-08 v3-20-09_MMF Income" xfId="2333" xr:uid="{00000000-0005-0000-0000-000015090000}"/>
    <cellStyle name="_Book to Tax Rec II 5-31_Domestic FS 12-31-08 v3-20-09_Partners Capital Q3 2009" xfId="2334" xr:uid="{00000000-0005-0000-0000-000016090000}"/>
    <cellStyle name="_Book to Tax Rec II 5-31_Domestic FS 12-31-08 v3-20-09_Realized Gain Loss" xfId="2335" xr:uid="{00000000-0005-0000-0000-000017090000}"/>
    <cellStyle name="_Book to Tax Rec II 5-31_Domestic TB" xfId="2336" xr:uid="{00000000-0005-0000-0000-000018090000}"/>
    <cellStyle name="_Book to Tax Rec II 5-31_Fund IV" xfId="2337" xr:uid="{00000000-0005-0000-0000-000019090000}"/>
    <cellStyle name="_Book to Tax Rec II 5-31_Fund IV 2008" xfId="2338" xr:uid="{00000000-0005-0000-0000-00001A090000}"/>
    <cellStyle name="_Book to Tax Rec II 5-31_Fund IV 2008_Cash Summary AIF IV and AIF VI - 05.14.09 v2" xfId="2339" xr:uid="{00000000-0005-0000-0000-00001B090000}"/>
    <cellStyle name="_Book to Tax Rec II 5-31_Fund IV 2008_PE Funds Cash 04 17 09 Ken V Portrait 4-30-09v4" xfId="2340" xr:uid="{00000000-0005-0000-0000-00001C090000}"/>
    <cellStyle name="_Book to Tax Rec II 5-31_Fund IV 9.30.08" xfId="2341" xr:uid="{00000000-0005-0000-0000-00001D090000}"/>
    <cellStyle name="_Book to Tax Rec II 5-31_Fund IV_1" xfId="2342" xr:uid="{00000000-0005-0000-0000-00001E090000}"/>
    <cellStyle name="_Book to Tax Rec II 5-31_Fund IV_2" xfId="2343" xr:uid="{00000000-0005-0000-0000-00001F090000}"/>
    <cellStyle name="_Book to Tax Rec II 5-31_Fund V 2007 tax return file 3 23 08" xfId="2344" xr:uid="{00000000-0005-0000-0000-000020090000}"/>
    <cellStyle name="_Book to Tax Rec II 5-31_Fund V 2007 tax return file 3 23 08_Cash Summary AIF IV and AIF VI - 05.14.09 v2" xfId="2345" xr:uid="{00000000-0005-0000-0000-000021090000}"/>
    <cellStyle name="_Book to Tax Rec II 5-31_Fund V 2007 tax return file 3 23 08_PE Funds Cash 04 17 09 Ken V Portrait 4-30-09v4" xfId="2346" xr:uid="{00000000-0005-0000-0000-000022090000}"/>
    <cellStyle name="_Book to Tax Rec II 5-31_Fund V 2008 tax return file" xfId="2347" xr:uid="{00000000-0005-0000-0000-000023090000}"/>
    <cellStyle name="_Book to Tax Rec II 5-31_Fund V 2008 tax return file_Cash Summary AIF IV and AIF VI - 05.14.09 v2" xfId="2348" xr:uid="{00000000-0005-0000-0000-000024090000}"/>
    <cellStyle name="_Book to Tax Rec II 5-31_Fund V 2008 tax return file_PE Funds Cash 04 17 09 Ken V Portrait 4-30-09v4" xfId="2349" xr:uid="{00000000-0005-0000-0000-000025090000}"/>
    <cellStyle name="_Book to Tax Rec II 5-31_Fund V Co-Investors" xfId="2350" xr:uid="{00000000-0005-0000-0000-000026090000}"/>
    <cellStyle name="_Book to Tax Rec II 5-31_Fund V Co-Investors_Cash Summary AIF IV and AIF VI - 05.14.09 v2" xfId="2351" xr:uid="{00000000-0005-0000-0000-000027090000}"/>
    <cellStyle name="_Book to Tax Rec II 5-31_Fund V Co-Investors_PE Funds Cash 04 17 09 Ken V Portrait 4-30-09v4" xfId="2352" xr:uid="{00000000-0005-0000-0000-000028090000}"/>
    <cellStyle name="_Book to Tax Rec II 5-31_Fund VII subtier K-1 flow through" xfId="2353" xr:uid="{00000000-0005-0000-0000-000029090000}"/>
    <cellStyle name="_Book to Tax Rec II 5-31_Fund VII subtier K-1 flow through (3)" xfId="2354" xr:uid="{00000000-0005-0000-0000-00002A090000}"/>
    <cellStyle name="_Book to Tax Rec II 5-31_Fund VII subtier K-1 flow through (3)_Cash Summary AIF IV and AIF VI - 05.14.09 v2" xfId="2355" xr:uid="{00000000-0005-0000-0000-00002B090000}"/>
    <cellStyle name="_Book to Tax Rec II 5-31_Fund VII subtier K-1 flow through (3)_PE Funds Cash 04 17 09 Ken V Portrait 4-30-09v4" xfId="2356" xr:uid="{00000000-0005-0000-0000-00002C090000}"/>
    <cellStyle name="_Book to Tax Rec II 5-31_Fund VII subtier K-1 flow through_Cash Summary AIF IV and AIF VI - 05.14.09 v2" xfId="2357" xr:uid="{00000000-0005-0000-0000-00002D090000}"/>
    <cellStyle name="_Book to Tax Rec II 5-31_Fund VII subtier K-1 flow through_PE Funds Cash 04 17 09 Ken V Portrait 4-30-09v4" xfId="2358" xr:uid="{00000000-0005-0000-0000-00002E090000}"/>
    <cellStyle name="_Book to Tax Rec II 5-31_Funds IV Clawback Adjustment Summary" xfId="2359" xr:uid="{00000000-0005-0000-0000-00002F090000}"/>
    <cellStyle name="_Book to Tax Rec II 5-31_Funds IV Clawback Value Adjustment" xfId="2360" xr:uid="{00000000-0005-0000-0000-000030090000}"/>
    <cellStyle name="_Book to Tax Rec II 5-31_GP commitApollo Entities" xfId="2361" xr:uid="{00000000-0005-0000-0000-000031090000}"/>
    <cellStyle name="_Book to Tax Rec II 5-31_Hexicon Adj" xfId="2362" xr:uid="{00000000-0005-0000-0000-000032090000}"/>
    <cellStyle name="_Book to Tax Rec II 5-31_IC Balance" xfId="2363" xr:uid="{00000000-0005-0000-0000-000033090000}"/>
    <cellStyle name="_Book to Tax Rec II 5-31_Inv Cap Roll" xfId="2364" xr:uid="{00000000-0005-0000-0000-000034090000}"/>
    <cellStyle name="_Book to Tax Rec II 5-31_Inv Cap Roll 2" xfId="2365" xr:uid="{00000000-0005-0000-0000-000035090000}"/>
    <cellStyle name="_Book to Tax Rec II 5-31_Inv Cap Roll 2 2" xfId="2366" xr:uid="{00000000-0005-0000-0000-000036090000}"/>
    <cellStyle name="_Book to Tax Rec II 5-31_Inv Cap Roll 3" xfId="2367" xr:uid="{00000000-0005-0000-0000-000037090000}"/>
    <cellStyle name="_Book to Tax Rec II 5-31_Inv Cap Roll_AIF VI - BondcoVI_Entities Invested Capital (CURRENT)" xfId="2368" xr:uid="{00000000-0005-0000-0000-000038090000}"/>
    <cellStyle name="_Book to Tax Rec II 5-31_Inv Cap Roll_IC Balance" xfId="2369" xr:uid="{00000000-0005-0000-0000-000039090000}"/>
    <cellStyle name="_Book to Tax Rec II 5-31_Inv Cap Roll_Invested Capital Debt Worksheet" xfId="2370" xr:uid="{00000000-0005-0000-0000-00003A090000}"/>
    <cellStyle name="_Book to Tax Rec II 5-31_Inv Cap Roll_MMF Income" xfId="2371" xr:uid="{00000000-0005-0000-0000-00003B090000}"/>
    <cellStyle name="_Book to Tax Rec II 5-31_Inv Cap Roll_Partners Capital Q3 2009" xfId="2372" xr:uid="{00000000-0005-0000-0000-00003C090000}"/>
    <cellStyle name="_Book to Tax Rec II 5-31_Inv Cap Roll_Realized Gain Loss" xfId="2373" xr:uid="{00000000-0005-0000-0000-00003D090000}"/>
    <cellStyle name="_Book to Tax Rec II 5-31_Invested Capital Debt Worksheet" xfId="2374" xr:uid="{00000000-0005-0000-0000-00003E090000}"/>
    <cellStyle name="_Book to Tax Rec II 5-31_LS, LP - Dec  2010 Trial Balance Summary" xfId="2375" xr:uid="{00000000-0005-0000-0000-00003F090000}"/>
    <cellStyle name="_Book to Tax Rec II 5-31_MMF Income" xfId="2376" xr:uid="{00000000-0005-0000-0000-000040090000}"/>
    <cellStyle name="_Book to Tax Rec II 5-31_Partners Capital Q1 2009" xfId="2377" xr:uid="{00000000-0005-0000-0000-000041090000}"/>
    <cellStyle name="_Book to Tax Rec II 5-31_Partners Capital Q3 2009" xfId="2378" xr:uid="{00000000-0005-0000-0000-000042090000}"/>
    <cellStyle name="_Book to Tax Rec II 5-31_PE Funds Cash 04 17 09 Ken V Portrait 4-30-09v4" xfId="2379" xr:uid="{00000000-0005-0000-0000-000043090000}"/>
    <cellStyle name="_Book to Tax Rec II 5-31_Placement Fee Summary 05-14-09 - Current (2)" xfId="2380" xr:uid="{00000000-0005-0000-0000-000044090000}"/>
    <cellStyle name="_Book to Tax Rec II 5-31_PR Calc" xfId="2381" xr:uid="{00000000-0005-0000-0000-000045090000}"/>
    <cellStyle name="_Book to Tax Rec II 5-31_Priority Return" xfId="2382" xr:uid="{00000000-0005-0000-0000-000046090000}"/>
    <cellStyle name="_Book to Tax Rec II 5-31_Priority Return 10" xfId="2383" xr:uid="{00000000-0005-0000-0000-000047090000}"/>
    <cellStyle name="_Book to Tax Rec II 5-31_Priority Return 11" xfId="2384" xr:uid="{00000000-0005-0000-0000-000048090000}"/>
    <cellStyle name="_Book to Tax Rec II 5-31_Priority Return 12" xfId="2385" xr:uid="{00000000-0005-0000-0000-000049090000}"/>
    <cellStyle name="_Book to Tax Rec II 5-31_Priority Return 13" xfId="2386" xr:uid="{00000000-0005-0000-0000-00004A090000}"/>
    <cellStyle name="_Book to Tax Rec II 5-31_Priority Return 14" xfId="2387" xr:uid="{00000000-0005-0000-0000-00004B090000}"/>
    <cellStyle name="_Book to Tax Rec II 5-31_Priority Return 15" xfId="2388" xr:uid="{00000000-0005-0000-0000-00004C090000}"/>
    <cellStyle name="_Book to Tax Rec II 5-31_Priority Return 16" xfId="2389" xr:uid="{00000000-0005-0000-0000-00004D090000}"/>
    <cellStyle name="_Book to Tax Rec II 5-31_Priority Return 17" xfId="2390" xr:uid="{00000000-0005-0000-0000-00004E090000}"/>
    <cellStyle name="_Book to Tax Rec II 5-31_Priority Return 18" xfId="2391" xr:uid="{00000000-0005-0000-0000-00004F090000}"/>
    <cellStyle name="_Book to Tax Rec II 5-31_Priority Return 19" xfId="2392" xr:uid="{00000000-0005-0000-0000-000050090000}"/>
    <cellStyle name="_Book to Tax Rec II 5-31_Priority Return 2" xfId="2393" xr:uid="{00000000-0005-0000-0000-000051090000}"/>
    <cellStyle name="_Book to Tax Rec II 5-31_Priority Return 2 2" xfId="2394" xr:uid="{00000000-0005-0000-0000-000052090000}"/>
    <cellStyle name="_Book to Tax Rec II 5-31_Priority Return 20" xfId="2395" xr:uid="{00000000-0005-0000-0000-000053090000}"/>
    <cellStyle name="_Book to Tax Rec II 5-31_Priority Return 21" xfId="2396" xr:uid="{00000000-0005-0000-0000-000054090000}"/>
    <cellStyle name="_Book to Tax Rec II 5-31_Priority Return 22" xfId="2397" xr:uid="{00000000-0005-0000-0000-000055090000}"/>
    <cellStyle name="_Book to Tax Rec II 5-31_Priority Return 23" xfId="2398" xr:uid="{00000000-0005-0000-0000-000056090000}"/>
    <cellStyle name="_Book to Tax Rec II 5-31_Priority Return 3" xfId="2399" xr:uid="{00000000-0005-0000-0000-000057090000}"/>
    <cellStyle name="_Book to Tax Rec II 5-31_Priority Return 3 2" xfId="2400" xr:uid="{00000000-0005-0000-0000-000058090000}"/>
    <cellStyle name="_Book to Tax Rec II 5-31_Priority Return 4" xfId="2401" xr:uid="{00000000-0005-0000-0000-000059090000}"/>
    <cellStyle name="_Book to Tax Rec II 5-31_Priority Return 5" xfId="2402" xr:uid="{00000000-0005-0000-0000-00005A090000}"/>
    <cellStyle name="_Book to Tax Rec II 5-31_Priority Return 6" xfId="2403" xr:uid="{00000000-0005-0000-0000-00005B090000}"/>
    <cellStyle name="_Book to Tax Rec II 5-31_Priority Return 7" xfId="2404" xr:uid="{00000000-0005-0000-0000-00005C090000}"/>
    <cellStyle name="_Book to Tax Rec II 5-31_Priority Return 8" xfId="2405" xr:uid="{00000000-0005-0000-0000-00005D090000}"/>
    <cellStyle name="_Book to Tax Rec II 5-31_Priority Return 9" xfId="2406" xr:uid="{00000000-0005-0000-0000-00005E090000}"/>
    <cellStyle name="_Book to Tax Rec II 5-31_Priority Return_AIF VI - BondcoVI_Entities Invested Capital (CURRENT)" xfId="2407" xr:uid="{00000000-0005-0000-0000-00005F090000}"/>
    <cellStyle name="_Book to Tax Rec II 5-31_Priority Return_AIF VI Broadleaf Watefall Summary as of 6-30-09 FINAL" xfId="2408" xr:uid="{00000000-0005-0000-0000-000060090000}"/>
    <cellStyle name="_Book to Tax Rec II 5-31_Priority Return_AIF VI Broadleaf Watefall Summary as of 9-30-09" xfId="2409" xr:uid="{00000000-0005-0000-0000-000061090000}"/>
    <cellStyle name="_Book to Tax Rec II 5-31_Priority Return_Broadleaf Watefall 12-31-09" xfId="2410" xr:uid="{00000000-0005-0000-0000-000062090000}"/>
    <cellStyle name="_Book to Tax Rec II 5-31_Priority Return_Broadleaf Watefall 6-30-09" xfId="2411" xr:uid="{00000000-0005-0000-0000-000063090000}"/>
    <cellStyle name="_Book to Tax Rec II 5-31_Priority Return_Broadleaf Watefall 9-30-09" xfId="2412" xr:uid="{00000000-0005-0000-0000-000064090000}"/>
    <cellStyle name="_Book to Tax Rec II 5-31_Priority Return_IC Balance" xfId="2413" xr:uid="{00000000-0005-0000-0000-000065090000}"/>
    <cellStyle name="_Book to Tax Rec II 5-31_Priority Return_Invested Capital Debt Worksheet" xfId="2414" xr:uid="{00000000-0005-0000-0000-000066090000}"/>
    <cellStyle name="_Book to Tax Rec II 5-31_Priority Return_MMF Income" xfId="2415" xr:uid="{00000000-0005-0000-0000-000067090000}"/>
    <cellStyle name="_Book to Tax Rec II 5-31_Priority Return_Partners Capital Q3 2009" xfId="2416" xr:uid="{00000000-0005-0000-0000-000068090000}"/>
    <cellStyle name="_Book to Tax Rec II 5-31_Priority Return_Realized Gain Loss" xfId="2417" xr:uid="{00000000-0005-0000-0000-000069090000}"/>
    <cellStyle name="_Book to Tax Rec II 5-31_Q1 2011 Pmts" xfId="2418" xr:uid="{00000000-0005-0000-0000-00006A090000}"/>
    <cellStyle name="_Book to Tax Rec II 5-31_Realized Gain Loss" xfId="2419" xr:uid="{00000000-0005-0000-0000-00006B090000}"/>
    <cellStyle name="_Book to Tax Rec II 5-31_Revenue breakout" xfId="2420" xr:uid="{00000000-0005-0000-0000-00006C090000}"/>
    <cellStyle name="_Book to Tax Rec II 5-31_Revenue breakout 10" xfId="2421" xr:uid="{00000000-0005-0000-0000-00006D090000}"/>
    <cellStyle name="_Book to Tax Rec II 5-31_Revenue breakout 11" xfId="2422" xr:uid="{00000000-0005-0000-0000-00006E090000}"/>
    <cellStyle name="_Book to Tax Rec II 5-31_Revenue breakout 12" xfId="2423" xr:uid="{00000000-0005-0000-0000-00006F090000}"/>
    <cellStyle name="_Book to Tax Rec II 5-31_Revenue breakout 13" xfId="2424" xr:uid="{00000000-0005-0000-0000-000070090000}"/>
    <cellStyle name="_Book to Tax Rec II 5-31_Revenue breakout 14" xfId="2425" xr:uid="{00000000-0005-0000-0000-000071090000}"/>
    <cellStyle name="_Book to Tax Rec II 5-31_Revenue breakout 15" xfId="2426" xr:uid="{00000000-0005-0000-0000-000072090000}"/>
    <cellStyle name="_Book to Tax Rec II 5-31_Revenue breakout 16" xfId="2427" xr:uid="{00000000-0005-0000-0000-000073090000}"/>
    <cellStyle name="_Book to Tax Rec II 5-31_Revenue breakout 17" xfId="2428" xr:uid="{00000000-0005-0000-0000-000074090000}"/>
    <cellStyle name="_Book to Tax Rec II 5-31_Revenue breakout 18" xfId="2429" xr:uid="{00000000-0005-0000-0000-000075090000}"/>
    <cellStyle name="_Book to Tax Rec II 5-31_Revenue breakout 19" xfId="2430" xr:uid="{00000000-0005-0000-0000-000076090000}"/>
    <cellStyle name="_Book to Tax Rec II 5-31_Revenue breakout 2" xfId="2431" xr:uid="{00000000-0005-0000-0000-000077090000}"/>
    <cellStyle name="_Book to Tax Rec II 5-31_Revenue breakout 2 2" xfId="2432" xr:uid="{00000000-0005-0000-0000-000078090000}"/>
    <cellStyle name="_Book to Tax Rec II 5-31_Revenue breakout 20" xfId="2433" xr:uid="{00000000-0005-0000-0000-000079090000}"/>
    <cellStyle name="_Book to Tax Rec II 5-31_Revenue breakout 21" xfId="2434" xr:uid="{00000000-0005-0000-0000-00007A090000}"/>
    <cellStyle name="_Book to Tax Rec II 5-31_Revenue breakout 22" xfId="2435" xr:uid="{00000000-0005-0000-0000-00007B090000}"/>
    <cellStyle name="_Book to Tax Rec II 5-31_Revenue breakout 23" xfId="2436" xr:uid="{00000000-0005-0000-0000-00007C090000}"/>
    <cellStyle name="_Book to Tax Rec II 5-31_Revenue breakout 23 2" xfId="2437" xr:uid="{00000000-0005-0000-0000-00007D090000}"/>
    <cellStyle name="_Book to Tax Rec II 5-31_Revenue breakout 3" xfId="2438" xr:uid="{00000000-0005-0000-0000-00007E090000}"/>
    <cellStyle name="_Book to Tax Rec II 5-31_Revenue breakout 3 2" xfId="2439" xr:uid="{00000000-0005-0000-0000-00007F090000}"/>
    <cellStyle name="_Book to Tax Rec II 5-31_Revenue breakout 4" xfId="2440" xr:uid="{00000000-0005-0000-0000-000080090000}"/>
    <cellStyle name="_Book to Tax Rec II 5-31_Revenue breakout 5" xfId="2441" xr:uid="{00000000-0005-0000-0000-000081090000}"/>
    <cellStyle name="_Book to Tax Rec II 5-31_Revenue breakout 6" xfId="2442" xr:uid="{00000000-0005-0000-0000-000082090000}"/>
    <cellStyle name="_Book to Tax Rec II 5-31_Revenue breakout 7" xfId="2443" xr:uid="{00000000-0005-0000-0000-000083090000}"/>
    <cellStyle name="_Book to Tax Rec II 5-31_Revenue breakout 8" xfId="2444" xr:uid="{00000000-0005-0000-0000-000084090000}"/>
    <cellStyle name="_Book to Tax Rec II 5-31_Revenue breakout 9" xfId="2445" xr:uid="{00000000-0005-0000-0000-000085090000}"/>
    <cellStyle name="_Book to Tax Rec II 5-31_Revenue breakout_2.10.10 LS Distribution" xfId="2446" xr:uid="{00000000-0005-0000-0000-000086090000}"/>
    <cellStyle name="_Book to Tax Rec II 5-31_Revenue breakout_2007 Revenue - RE fees" xfId="2447" xr:uid="{00000000-0005-0000-0000-000087090000}"/>
    <cellStyle name="_Book to Tax Rec II 5-31_Revenue breakout_2007 Revenue - RE fees 10" xfId="2448" xr:uid="{00000000-0005-0000-0000-000088090000}"/>
    <cellStyle name="_Book to Tax Rec II 5-31_Revenue breakout_2007 Revenue - RE fees 11" xfId="2449" xr:uid="{00000000-0005-0000-0000-000089090000}"/>
    <cellStyle name="_Book to Tax Rec II 5-31_Revenue breakout_2007 Revenue - RE fees 12" xfId="2450" xr:uid="{00000000-0005-0000-0000-00008A090000}"/>
    <cellStyle name="_Book to Tax Rec II 5-31_Revenue breakout_2007 Revenue - RE fees 13" xfId="2451" xr:uid="{00000000-0005-0000-0000-00008B090000}"/>
    <cellStyle name="_Book to Tax Rec II 5-31_Revenue breakout_2007 Revenue - RE fees 14" xfId="2452" xr:uid="{00000000-0005-0000-0000-00008C090000}"/>
    <cellStyle name="_Book to Tax Rec II 5-31_Revenue breakout_2007 Revenue - RE fees 15" xfId="2453" xr:uid="{00000000-0005-0000-0000-00008D090000}"/>
    <cellStyle name="_Book to Tax Rec II 5-31_Revenue breakout_2007 Revenue - RE fees 16" xfId="2454" xr:uid="{00000000-0005-0000-0000-00008E090000}"/>
    <cellStyle name="_Book to Tax Rec II 5-31_Revenue breakout_2007 Revenue - RE fees 17" xfId="2455" xr:uid="{00000000-0005-0000-0000-00008F090000}"/>
    <cellStyle name="_Book to Tax Rec II 5-31_Revenue breakout_2007 Revenue - RE fees 18" xfId="2456" xr:uid="{00000000-0005-0000-0000-000090090000}"/>
    <cellStyle name="_Book to Tax Rec II 5-31_Revenue breakout_2007 Revenue - RE fees 19" xfId="2457" xr:uid="{00000000-0005-0000-0000-000091090000}"/>
    <cellStyle name="_Book to Tax Rec II 5-31_Revenue breakout_2007 Revenue - RE fees 2" xfId="2458" xr:uid="{00000000-0005-0000-0000-000092090000}"/>
    <cellStyle name="_Book to Tax Rec II 5-31_Revenue breakout_2007 Revenue - RE fees 2 2" xfId="2459" xr:uid="{00000000-0005-0000-0000-000093090000}"/>
    <cellStyle name="_Book to Tax Rec II 5-31_Revenue breakout_2007 Revenue - RE fees 20" xfId="2460" xr:uid="{00000000-0005-0000-0000-000094090000}"/>
    <cellStyle name="_Book to Tax Rec II 5-31_Revenue breakout_2007 Revenue - RE fees 21" xfId="2461" xr:uid="{00000000-0005-0000-0000-000095090000}"/>
    <cellStyle name="_Book to Tax Rec II 5-31_Revenue breakout_2007 Revenue - RE fees 22" xfId="2462" xr:uid="{00000000-0005-0000-0000-000096090000}"/>
    <cellStyle name="_Book to Tax Rec II 5-31_Revenue breakout_2007 Revenue - RE fees 23" xfId="2463" xr:uid="{00000000-0005-0000-0000-000097090000}"/>
    <cellStyle name="_Book to Tax Rec II 5-31_Revenue breakout_2007 Revenue - RE fees 23 2" xfId="2464" xr:uid="{00000000-0005-0000-0000-000098090000}"/>
    <cellStyle name="_Book to Tax Rec II 5-31_Revenue breakout_2007 Revenue - RE fees 3" xfId="2465" xr:uid="{00000000-0005-0000-0000-000099090000}"/>
    <cellStyle name="_Book to Tax Rec II 5-31_Revenue breakout_2007 Revenue - RE fees 3 2" xfId="2466" xr:uid="{00000000-0005-0000-0000-00009A090000}"/>
    <cellStyle name="_Book to Tax Rec II 5-31_Revenue breakout_2007 Revenue - RE fees 4" xfId="2467" xr:uid="{00000000-0005-0000-0000-00009B090000}"/>
    <cellStyle name="_Book to Tax Rec II 5-31_Revenue breakout_2007 Revenue - RE fees 5" xfId="2468" xr:uid="{00000000-0005-0000-0000-00009C090000}"/>
    <cellStyle name="_Book to Tax Rec II 5-31_Revenue breakout_2007 Revenue - RE fees 6" xfId="2469" xr:uid="{00000000-0005-0000-0000-00009D090000}"/>
    <cellStyle name="_Book to Tax Rec II 5-31_Revenue breakout_2007 Revenue - RE fees 7" xfId="2470" xr:uid="{00000000-0005-0000-0000-00009E090000}"/>
    <cellStyle name="_Book to Tax Rec II 5-31_Revenue breakout_2007 Revenue - RE fees 8" xfId="2471" xr:uid="{00000000-0005-0000-0000-00009F090000}"/>
    <cellStyle name="_Book to Tax Rec II 5-31_Revenue breakout_2007 Revenue - RE fees 9" xfId="2472" xr:uid="{00000000-0005-0000-0000-0000A0090000}"/>
    <cellStyle name="_Book to Tax Rec II 5-31_Revenue breakout_2007 Revenue - RE fees_2011 Q1 Monitoring Fees v3" xfId="2473" xr:uid="{00000000-0005-0000-0000-0000A1090000}"/>
    <cellStyle name="_Book to Tax Rec II 5-31_Revenue breakout_2007 Revenue - RE fees_AIF VI - BondcoVI_Entities Invested Capital (CURRENT)" xfId="2474" xr:uid="{00000000-0005-0000-0000-0000A2090000}"/>
    <cellStyle name="_Book to Tax Rec II 5-31_Revenue breakout_2007 Revenue - RE fees_AIF VI Broadleaf Watefall Summary as of 6-30-09 FINAL" xfId="2475" xr:uid="{00000000-0005-0000-0000-0000A3090000}"/>
    <cellStyle name="_Book to Tax Rec II 5-31_Revenue breakout_2007 Revenue - RE fees_AIF VI Broadleaf Watefall Summary as of 9-30-09" xfId="2476" xr:uid="{00000000-0005-0000-0000-0000A4090000}"/>
    <cellStyle name="_Book to Tax Rec II 5-31_Revenue breakout_2007 Revenue - RE fees_Broadleaf Watefall 12-31-09" xfId="2477" xr:uid="{00000000-0005-0000-0000-0000A5090000}"/>
    <cellStyle name="_Book to Tax Rec II 5-31_Revenue breakout_2007 Revenue - RE fees_Broadleaf Watefall 6-30-09" xfId="2478" xr:uid="{00000000-0005-0000-0000-0000A6090000}"/>
    <cellStyle name="_Book to Tax Rec II 5-31_Revenue breakout_2007 Revenue - RE fees_Broadleaf Watefall 9-30-09" xfId="2479" xr:uid="{00000000-0005-0000-0000-0000A7090000}"/>
    <cellStyle name="_Book to Tax Rec II 5-31_Revenue breakout_2007 Revenue - RE fees_Cash Summary AIF IV and AIF VI - 05.14.09 v2" xfId="2480" xr:uid="{00000000-0005-0000-0000-0000A8090000}"/>
    <cellStyle name="_Book to Tax Rec II 5-31_Revenue breakout_2007 Revenue - RE fees_Copy of AGM Dec '09 YTD COF I and II Dep  Liab (1-13-10) (2)" xfId="2481" xr:uid="{00000000-0005-0000-0000-0000A9090000}"/>
    <cellStyle name="_Book to Tax Rec II 5-31_Revenue breakout_2007 Revenue - RE fees_IC Balance" xfId="2482" xr:uid="{00000000-0005-0000-0000-0000AA090000}"/>
    <cellStyle name="_Book to Tax Rec II 5-31_Revenue breakout_2007 Revenue - RE fees_Invested Capital Debt Worksheet" xfId="2483" xr:uid="{00000000-0005-0000-0000-0000AB090000}"/>
    <cellStyle name="_Book to Tax Rec II 5-31_Revenue breakout_2007 Revenue - RE fees_MMF Income" xfId="2484" xr:uid="{00000000-0005-0000-0000-0000AC090000}"/>
    <cellStyle name="_Book to Tax Rec II 5-31_Revenue breakout_2007 Revenue - RE fees_Partners Capital Q3 2009" xfId="2485" xr:uid="{00000000-0005-0000-0000-0000AD090000}"/>
    <cellStyle name="_Book to Tax Rec II 5-31_Revenue breakout_2007 Revenue - RE fees_PE Funds Cash 04 17 09 Ken V Portrait 4-30-09v4" xfId="2486" xr:uid="{00000000-0005-0000-0000-0000AE090000}"/>
    <cellStyle name="_Book to Tax Rec II 5-31_Revenue breakout_2007 Revenue - RE fees_Placement Fee Summary 05-14-09 - Current (2)" xfId="2487" xr:uid="{00000000-0005-0000-0000-0000AF090000}"/>
    <cellStyle name="_Book to Tax Rec II 5-31_Revenue breakout_2007 Revenue - RE fees_Realized Gain Loss" xfId="2488" xr:uid="{00000000-0005-0000-0000-0000B0090000}"/>
    <cellStyle name="_Book to Tax Rec II 5-31_Revenue breakout_2011 Q1 Monitoring Fees v3" xfId="2489" xr:uid="{00000000-0005-0000-0000-0000B1090000}"/>
    <cellStyle name="_Book to Tax Rec II 5-31_Revenue breakout_AIF VI - BondcoVI_Entities Invested Capital (CURRENT)" xfId="2490" xr:uid="{00000000-0005-0000-0000-0000B2090000}"/>
    <cellStyle name="_Book to Tax Rec II 5-31_Revenue breakout_AIF VI Broadleaf Watefall Summary as of 6-30-09 FINAL" xfId="2491" xr:uid="{00000000-0005-0000-0000-0000B3090000}"/>
    <cellStyle name="_Book to Tax Rec II 5-31_Revenue breakout_AIF VI Broadleaf Watefall Summary as of 9-30-09" xfId="2492" xr:uid="{00000000-0005-0000-0000-0000B4090000}"/>
    <cellStyle name="_Book to Tax Rec II 5-31_Revenue breakout_Broadleaf Watefall 12-31-09" xfId="2493" xr:uid="{00000000-0005-0000-0000-0000B5090000}"/>
    <cellStyle name="_Book to Tax Rec II 5-31_Revenue breakout_Broadleaf Watefall 6-30-09" xfId="2494" xr:uid="{00000000-0005-0000-0000-0000B6090000}"/>
    <cellStyle name="_Book to Tax Rec II 5-31_Revenue breakout_Broadleaf Watefall 9-30-09" xfId="2495" xr:uid="{00000000-0005-0000-0000-0000B7090000}"/>
    <cellStyle name="_Book to Tax Rec II 5-31_Revenue breakout_Cash Summary AIF IV and AIF VI - 05.14.09 v2" xfId="2496" xr:uid="{00000000-0005-0000-0000-0000B8090000}"/>
    <cellStyle name="_Book to Tax Rec II 5-31_Revenue breakout_Copy of AGM Dec '09 YTD COF I and II Dep  Liab (1-13-10) (2)" xfId="2497" xr:uid="{00000000-0005-0000-0000-0000B9090000}"/>
    <cellStyle name="_Book to Tax Rec II 5-31_Revenue breakout_IC Balance" xfId="2498" xr:uid="{00000000-0005-0000-0000-0000BA090000}"/>
    <cellStyle name="_Book to Tax Rec II 5-31_Revenue breakout_Invested Capital Debt Worksheet" xfId="2499" xr:uid="{00000000-0005-0000-0000-0000BB090000}"/>
    <cellStyle name="_Book to Tax Rec II 5-31_Revenue breakout_LS, LP - Dec  2010 Trial Balance Summary" xfId="2500" xr:uid="{00000000-0005-0000-0000-0000BC090000}"/>
    <cellStyle name="_Book to Tax Rec II 5-31_Revenue breakout_MMF Income" xfId="2501" xr:uid="{00000000-0005-0000-0000-0000BD090000}"/>
    <cellStyle name="_Book to Tax Rec II 5-31_Revenue breakout_Partners Capital Q3 2009" xfId="2502" xr:uid="{00000000-0005-0000-0000-0000BE090000}"/>
    <cellStyle name="_Book to Tax Rec II 5-31_Revenue breakout_PE Funds Cash 04 17 09 Ken V Portrait 4-30-09v4" xfId="2503" xr:uid="{00000000-0005-0000-0000-0000BF090000}"/>
    <cellStyle name="_Book to Tax Rec II 5-31_Revenue breakout_Placement Fee Summary 05-14-09 - Current (2)" xfId="2504" xr:uid="{00000000-0005-0000-0000-0000C0090000}"/>
    <cellStyle name="_Book to Tax Rec II 5-31_Revenue breakout_Q1 2011 Pmts" xfId="2505" xr:uid="{00000000-0005-0000-0000-0000C1090000}"/>
    <cellStyle name="_Book to Tax Rec II 5-31_Revenue breakout_Realized Gain Loss" xfId="2506" xr:uid="{00000000-0005-0000-0000-0000C2090000}"/>
    <cellStyle name="_Book to Tax Rec II 5-31_Revenue breakout_TX Details" xfId="2507" xr:uid="{00000000-0005-0000-0000-0000C3090000}"/>
    <cellStyle name="_Book to Tax Rec II 5-31_sharing percentages 12 3 07" xfId="2508" xr:uid="{00000000-0005-0000-0000-0000C4090000}"/>
    <cellStyle name="_Book to Tax Rec II 5-31_sharing percentages 12 3 07_Cash Summary AIF IV and AIF VI - 05.14.09 v2" xfId="2509" xr:uid="{00000000-0005-0000-0000-0000C5090000}"/>
    <cellStyle name="_Book to Tax Rec II 5-31_sharing percentages 12 3 07_PE Funds Cash 04 17 09 Ken V Portrait 4-30-09v4" xfId="2510" xr:uid="{00000000-0005-0000-0000-0000C6090000}"/>
    <cellStyle name="_Book to Tax Rec II 5-31_Sheet1" xfId="2511" xr:uid="{00000000-0005-0000-0000-0000C7090000}"/>
    <cellStyle name="_Book to Tax Rec II 5-31_Sheet1 10" xfId="2512" xr:uid="{00000000-0005-0000-0000-0000C8090000}"/>
    <cellStyle name="_Book to Tax Rec II 5-31_Sheet1 11" xfId="2513" xr:uid="{00000000-0005-0000-0000-0000C9090000}"/>
    <cellStyle name="_Book to Tax Rec II 5-31_Sheet1 12" xfId="2514" xr:uid="{00000000-0005-0000-0000-0000CA090000}"/>
    <cellStyle name="_Book to Tax Rec II 5-31_Sheet1 13" xfId="2515" xr:uid="{00000000-0005-0000-0000-0000CB090000}"/>
    <cellStyle name="_Book to Tax Rec II 5-31_Sheet1 14" xfId="2516" xr:uid="{00000000-0005-0000-0000-0000CC090000}"/>
    <cellStyle name="_Book to Tax Rec II 5-31_Sheet1 15" xfId="2517" xr:uid="{00000000-0005-0000-0000-0000CD090000}"/>
    <cellStyle name="_Book to Tax Rec II 5-31_Sheet1 16" xfId="2518" xr:uid="{00000000-0005-0000-0000-0000CE090000}"/>
    <cellStyle name="_Book to Tax Rec II 5-31_Sheet1 17" xfId="2519" xr:uid="{00000000-0005-0000-0000-0000CF090000}"/>
    <cellStyle name="_Book to Tax Rec II 5-31_Sheet1 18" xfId="2520" xr:uid="{00000000-0005-0000-0000-0000D0090000}"/>
    <cellStyle name="_Book to Tax Rec II 5-31_Sheet1 19" xfId="2521" xr:uid="{00000000-0005-0000-0000-0000D1090000}"/>
    <cellStyle name="_Book to Tax Rec II 5-31_Sheet1 2" xfId="2522" xr:uid="{00000000-0005-0000-0000-0000D2090000}"/>
    <cellStyle name="_Book to Tax Rec II 5-31_Sheet1 2 2" xfId="2523" xr:uid="{00000000-0005-0000-0000-0000D3090000}"/>
    <cellStyle name="_Book to Tax Rec II 5-31_Sheet1 20" xfId="2524" xr:uid="{00000000-0005-0000-0000-0000D4090000}"/>
    <cellStyle name="_Book to Tax Rec II 5-31_Sheet1 21" xfId="2525" xr:uid="{00000000-0005-0000-0000-0000D5090000}"/>
    <cellStyle name="_Book to Tax Rec II 5-31_Sheet1 22" xfId="2526" xr:uid="{00000000-0005-0000-0000-0000D6090000}"/>
    <cellStyle name="_Book to Tax Rec II 5-31_Sheet1 23" xfId="2527" xr:uid="{00000000-0005-0000-0000-0000D7090000}"/>
    <cellStyle name="_Book to Tax Rec II 5-31_Sheet1 3" xfId="2528" xr:uid="{00000000-0005-0000-0000-0000D8090000}"/>
    <cellStyle name="_Book to Tax Rec II 5-31_Sheet1 3 2" xfId="2529" xr:uid="{00000000-0005-0000-0000-0000D9090000}"/>
    <cellStyle name="_Book to Tax Rec II 5-31_Sheet1 4" xfId="2530" xr:uid="{00000000-0005-0000-0000-0000DA090000}"/>
    <cellStyle name="_Book to Tax Rec II 5-31_Sheet1 5" xfId="2531" xr:uid="{00000000-0005-0000-0000-0000DB090000}"/>
    <cellStyle name="_Book to Tax Rec II 5-31_Sheet1 6" xfId="2532" xr:uid="{00000000-0005-0000-0000-0000DC090000}"/>
    <cellStyle name="_Book to Tax Rec II 5-31_Sheet1 7" xfId="2533" xr:uid="{00000000-0005-0000-0000-0000DD090000}"/>
    <cellStyle name="_Book to Tax Rec II 5-31_Sheet1 8" xfId="2534" xr:uid="{00000000-0005-0000-0000-0000DE090000}"/>
    <cellStyle name="_Book to Tax Rec II 5-31_Sheet1 9" xfId="2535" xr:uid="{00000000-0005-0000-0000-0000DF090000}"/>
    <cellStyle name="_Book to Tax Rec II 5-31_Sheet1_AIF VI - BondcoVI_Entities Invested Capital (CURRENT)" xfId="2536" xr:uid="{00000000-0005-0000-0000-0000E0090000}"/>
    <cellStyle name="_Book to Tax Rec II 5-31_Sheet1_AIF VI Broadleaf Watefall Summary as of 6-30-09 FINAL" xfId="2537" xr:uid="{00000000-0005-0000-0000-0000E1090000}"/>
    <cellStyle name="_Book to Tax Rec II 5-31_Sheet1_AIF VI Broadleaf Watefall Summary as of 9-30-09" xfId="2538" xr:uid="{00000000-0005-0000-0000-0000E2090000}"/>
    <cellStyle name="_Book to Tax Rec II 5-31_Sheet1_Broadleaf Watefall 12-31-09" xfId="2539" xr:uid="{00000000-0005-0000-0000-0000E3090000}"/>
    <cellStyle name="_Book to Tax Rec II 5-31_Sheet1_Broadleaf Watefall 6-30-09" xfId="2540" xr:uid="{00000000-0005-0000-0000-0000E4090000}"/>
    <cellStyle name="_Book to Tax Rec II 5-31_Sheet1_Broadleaf Watefall 9-30-09" xfId="2541" xr:uid="{00000000-0005-0000-0000-0000E5090000}"/>
    <cellStyle name="_Book to Tax Rec II 5-31_Sheet1_IC Balance" xfId="2542" xr:uid="{00000000-0005-0000-0000-0000E6090000}"/>
    <cellStyle name="_Book to Tax Rec II 5-31_Sheet1_Invested Capital Debt Worksheet" xfId="2543" xr:uid="{00000000-0005-0000-0000-0000E7090000}"/>
    <cellStyle name="_Book to Tax Rec II 5-31_Sheet1_MMF Income" xfId="2544" xr:uid="{00000000-0005-0000-0000-0000E8090000}"/>
    <cellStyle name="_Book to Tax Rec II 5-31_Sheet1_Partners Capital Q3 2009" xfId="2545" xr:uid="{00000000-0005-0000-0000-0000E9090000}"/>
    <cellStyle name="_Book to Tax Rec II 5-31_Sheet1_Realized Gain Loss" xfId="2546" xr:uid="{00000000-0005-0000-0000-0000EA090000}"/>
    <cellStyle name="_Book to Tax Rec II 5-31_Sheet2" xfId="2547" xr:uid="{00000000-0005-0000-0000-0000EB090000}"/>
    <cellStyle name="_Book to Tax Rec II 5-31_Sheet2 10" xfId="2548" xr:uid="{00000000-0005-0000-0000-0000EC090000}"/>
    <cellStyle name="_Book to Tax Rec II 5-31_Sheet2 11" xfId="2549" xr:uid="{00000000-0005-0000-0000-0000ED090000}"/>
    <cellStyle name="_Book to Tax Rec II 5-31_Sheet2 12" xfId="2550" xr:uid="{00000000-0005-0000-0000-0000EE090000}"/>
    <cellStyle name="_Book to Tax Rec II 5-31_Sheet2 13" xfId="2551" xr:uid="{00000000-0005-0000-0000-0000EF090000}"/>
    <cellStyle name="_Book to Tax Rec II 5-31_Sheet2 14" xfId="2552" xr:uid="{00000000-0005-0000-0000-0000F0090000}"/>
    <cellStyle name="_Book to Tax Rec II 5-31_Sheet2 15" xfId="2553" xr:uid="{00000000-0005-0000-0000-0000F1090000}"/>
    <cellStyle name="_Book to Tax Rec II 5-31_Sheet2 16" xfId="2554" xr:uid="{00000000-0005-0000-0000-0000F2090000}"/>
    <cellStyle name="_Book to Tax Rec II 5-31_Sheet2 17" xfId="2555" xr:uid="{00000000-0005-0000-0000-0000F3090000}"/>
    <cellStyle name="_Book to Tax Rec II 5-31_Sheet2 18" xfId="2556" xr:uid="{00000000-0005-0000-0000-0000F4090000}"/>
    <cellStyle name="_Book to Tax Rec II 5-31_Sheet2 19" xfId="2557" xr:uid="{00000000-0005-0000-0000-0000F5090000}"/>
    <cellStyle name="_Book to Tax Rec II 5-31_Sheet2 2" xfId="2558" xr:uid="{00000000-0005-0000-0000-0000F6090000}"/>
    <cellStyle name="_Book to Tax Rec II 5-31_Sheet2 2 2" xfId="2559" xr:uid="{00000000-0005-0000-0000-0000F7090000}"/>
    <cellStyle name="_Book to Tax Rec II 5-31_Sheet2 20" xfId="2560" xr:uid="{00000000-0005-0000-0000-0000F8090000}"/>
    <cellStyle name="_Book to Tax Rec II 5-31_Sheet2 21" xfId="2561" xr:uid="{00000000-0005-0000-0000-0000F9090000}"/>
    <cellStyle name="_Book to Tax Rec II 5-31_Sheet2 22" xfId="2562" xr:uid="{00000000-0005-0000-0000-0000FA090000}"/>
    <cellStyle name="_Book to Tax Rec II 5-31_Sheet2 23" xfId="2563" xr:uid="{00000000-0005-0000-0000-0000FB090000}"/>
    <cellStyle name="_Book to Tax Rec II 5-31_Sheet2 3" xfId="2564" xr:uid="{00000000-0005-0000-0000-0000FC090000}"/>
    <cellStyle name="_Book to Tax Rec II 5-31_Sheet2 3 2" xfId="2565" xr:uid="{00000000-0005-0000-0000-0000FD090000}"/>
    <cellStyle name="_Book to Tax Rec II 5-31_Sheet2 4" xfId="2566" xr:uid="{00000000-0005-0000-0000-0000FE090000}"/>
    <cellStyle name="_Book to Tax Rec II 5-31_Sheet2 5" xfId="2567" xr:uid="{00000000-0005-0000-0000-0000FF090000}"/>
    <cellStyle name="_Book to Tax Rec II 5-31_Sheet2 6" xfId="2568" xr:uid="{00000000-0005-0000-0000-0000000A0000}"/>
    <cellStyle name="_Book to Tax Rec II 5-31_Sheet2 7" xfId="2569" xr:uid="{00000000-0005-0000-0000-0000010A0000}"/>
    <cellStyle name="_Book to Tax Rec II 5-31_Sheet2 8" xfId="2570" xr:uid="{00000000-0005-0000-0000-0000020A0000}"/>
    <cellStyle name="_Book to Tax Rec II 5-31_Sheet2 9" xfId="2571" xr:uid="{00000000-0005-0000-0000-0000030A0000}"/>
    <cellStyle name="_Book to Tax Rec II 5-31_Sheet2_AIF VI - BondcoVI_Entities Invested Capital (CURRENT)" xfId="2572" xr:uid="{00000000-0005-0000-0000-0000040A0000}"/>
    <cellStyle name="_Book to Tax Rec II 5-31_Sheet2_AIF VI Broadleaf Watefall Summary as of 6-30-09 FINAL" xfId="2573" xr:uid="{00000000-0005-0000-0000-0000050A0000}"/>
    <cellStyle name="_Book to Tax Rec II 5-31_Sheet2_AIF VI Broadleaf Watefall Summary as of 9-30-09" xfId="2574" xr:uid="{00000000-0005-0000-0000-0000060A0000}"/>
    <cellStyle name="_Book to Tax Rec II 5-31_Sheet2_Broadleaf Watefall 12-31-09" xfId="2575" xr:uid="{00000000-0005-0000-0000-0000070A0000}"/>
    <cellStyle name="_Book to Tax Rec II 5-31_Sheet2_Broadleaf Watefall 6-30-09" xfId="2576" xr:uid="{00000000-0005-0000-0000-0000080A0000}"/>
    <cellStyle name="_Book to Tax Rec II 5-31_Sheet2_Broadleaf Watefall 9-30-09" xfId="2577" xr:uid="{00000000-0005-0000-0000-0000090A0000}"/>
    <cellStyle name="_Book to Tax Rec II 5-31_Sheet2_IC Balance" xfId="2578" xr:uid="{00000000-0005-0000-0000-00000A0A0000}"/>
    <cellStyle name="_Book to Tax Rec II 5-31_Sheet2_Invested Capital Debt Worksheet" xfId="2579" xr:uid="{00000000-0005-0000-0000-00000B0A0000}"/>
    <cellStyle name="_Book to Tax Rec II 5-31_Sheet2_MMF Income" xfId="2580" xr:uid="{00000000-0005-0000-0000-00000C0A0000}"/>
    <cellStyle name="_Book to Tax Rec II 5-31_Sheet2_Partners Capital Q3 2009" xfId="2581" xr:uid="{00000000-0005-0000-0000-00000D0A0000}"/>
    <cellStyle name="_Book to Tax Rec II 5-31_Sheet2_Realized Gain Loss" xfId="2582" xr:uid="{00000000-0005-0000-0000-00000E0A0000}"/>
    <cellStyle name="_Book to Tax Rec II 5-31_Sheet3" xfId="2583" xr:uid="{00000000-0005-0000-0000-00000F0A0000}"/>
    <cellStyle name="_Book to Tax Rec II 5-31_Sheet3 2" xfId="2584" xr:uid="{00000000-0005-0000-0000-0000100A0000}"/>
    <cellStyle name="_Book to Tax Rec II 5-31_Sheet3 2 2" xfId="2585" xr:uid="{00000000-0005-0000-0000-0000110A0000}"/>
    <cellStyle name="_Book to Tax Rec II 5-31_Sheet3 3" xfId="2586" xr:uid="{00000000-0005-0000-0000-0000120A0000}"/>
    <cellStyle name="_Book to Tax Rec II 5-31_Sheet3_AIF VI - BondcoVI_Entities Invested Capital (CURRENT)" xfId="2587" xr:uid="{00000000-0005-0000-0000-0000130A0000}"/>
    <cellStyle name="_Book to Tax Rec II 5-31_Sheet3_IC Balance" xfId="2588" xr:uid="{00000000-0005-0000-0000-0000140A0000}"/>
    <cellStyle name="_Book to Tax Rec II 5-31_Sheet3_Invested Capital Debt Worksheet" xfId="2589" xr:uid="{00000000-0005-0000-0000-0000150A0000}"/>
    <cellStyle name="_Book to Tax Rec II 5-31_Sheet3_MMF Income" xfId="2590" xr:uid="{00000000-0005-0000-0000-0000160A0000}"/>
    <cellStyle name="_Book to Tax Rec II 5-31_Sheet3_Partners Capital Q3 2009" xfId="2591" xr:uid="{00000000-0005-0000-0000-0000170A0000}"/>
    <cellStyle name="_Book to Tax Rec II 5-31_Sheet3_Realized Gain Loss" xfId="2592" xr:uid="{00000000-0005-0000-0000-0000180A0000}"/>
    <cellStyle name="_Book to Tax Rec II 5-31_Summary" xfId="2593" xr:uid="{00000000-0005-0000-0000-0000190A0000}"/>
    <cellStyle name="_Book to Tax Rec II 5-31_Summary 2" xfId="2594" xr:uid="{00000000-0005-0000-0000-00001A0A0000}"/>
    <cellStyle name="_Book to Tax Rec II 5-31_Summary 2 2" xfId="2595" xr:uid="{00000000-0005-0000-0000-00001B0A0000}"/>
    <cellStyle name="_Book to Tax Rec II 5-31_Summary 3" xfId="2596" xr:uid="{00000000-0005-0000-0000-00001C0A0000}"/>
    <cellStyle name="_Book to Tax Rec II 5-31_Summary_AIF VI - BondcoVI_Entities Invested Capital (CURRENT)" xfId="2597" xr:uid="{00000000-0005-0000-0000-00001D0A0000}"/>
    <cellStyle name="_Book to Tax Rec II 5-31_Summary_IC Balance" xfId="2598" xr:uid="{00000000-0005-0000-0000-00001E0A0000}"/>
    <cellStyle name="_Book to Tax Rec II 5-31_Summary_Invested Capital Debt Worksheet" xfId="2599" xr:uid="{00000000-0005-0000-0000-00001F0A0000}"/>
    <cellStyle name="_Book to Tax Rec II 5-31_Summary_MMF Income" xfId="2600" xr:uid="{00000000-0005-0000-0000-0000200A0000}"/>
    <cellStyle name="_Book to Tax Rec II 5-31_Summary_Partners Capital Q3 2009" xfId="2601" xr:uid="{00000000-0005-0000-0000-0000210A0000}"/>
    <cellStyle name="_Book to Tax Rec II 5-31_Summary_Realized Gain Loss" xfId="2602" xr:uid="{00000000-0005-0000-0000-0000220A0000}"/>
    <cellStyle name="_Book to Tax Rec II 5-31_TRA-9_30_07 upd 11 25 for 41% 64 385%" xfId="2603" xr:uid="{00000000-0005-0000-0000-0000230A0000}"/>
    <cellStyle name="_Book to Tax Rec II 5-31_TRA-9_30_07 upd 11 25 for 41% 64 385%_Cash Summary AIF IV and AIF VI - 05.14.09 v2" xfId="2604" xr:uid="{00000000-0005-0000-0000-0000240A0000}"/>
    <cellStyle name="_Book to Tax Rec II 5-31_TRA-9_30_07 upd 11 25 for 41% 64 385%_PE Funds Cash 04 17 09 Ken V Portrait 4-30-09v4" xfId="2605" xr:uid="{00000000-0005-0000-0000-0000250A0000}"/>
    <cellStyle name="_Book to Tax Rec II 5-31_TX Details" xfId="2606" xr:uid="{00000000-0005-0000-0000-0000260A0000}"/>
    <cellStyle name="_Book1" xfId="2607" xr:uid="{00000000-0005-0000-0000-0000270A0000}"/>
    <cellStyle name="_Book1_1" xfId="2608" xr:uid="{00000000-0005-0000-0000-0000280A0000}"/>
    <cellStyle name="_Book1_1_Cash Summary AIF IV and AIF VI - 05.14.09 v2" xfId="2609" xr:uid="{00000000-0005-0000-0000-0000290A0000}"/>
    <cellStyle name="_Book1_1_PE Funds Cash 04 17 09 Ken V Portrait 4-30-09v4" xfId="2610" xr:uid="{00000000-0005-0000-0000-00002A0A0000}"/>
    <cellStyle name="_Book1_2011 Q1 Monitoring Fees v3" xfId="2611" xr:uid="{00000000-0005-0000-0000-00002B0A0000}"/>
    <cellStyle name="_Book1_Bonco Analysis" xfId="2612" xr:uid="{00000000-0005-0000-0000-00002C0A0000}"/>
    <cellStyle name="_Book1_Bonco Analysis Projection" xfId="2613" xr:uid="{00000000-0005-0000-0000-00002D0A0000}"/>
    <cellStyle name="_Book1_Bonco Analysis Projection_Cash Summary AIF IV and AIF VI - 05.14.09 v2" xfId="2614" xr:uid="{00000000-0005-0000-0000-00002E0A0000}"/>
    <cellStyle name="_Book1_Bonco Analysis Projection_PE Funds Cash 04 17 09 Ken V Portrait 4-30-09v4" xfId="2615" xr:uid="{00000000-0005-0000-0000-00002F0A0000}"/>
    <cellStyle name="_Book1_Bonco Analysis_Cash Summary AIF IV and AIF VI - 05.14.09 v2" xfId="2616" xr:uid="{00000000-0005-0000-0000-0000300A0000}"/>
    <cellStyle name="_Book1_Bonco Analysis_PE Funds Cash 04 17 09 Ken V Portrait 4-30-09v4" xfId="2617" xr:uid="{00000000-0005-0000-0000-0000310A0000}"/>
    <cellStyle name="_Book1_Book Capital Allocation 9 30_Broadleaf_DT" xfId="2618" xr:uid="{00000000-0005-0000-0000-0000320A0000}"/>
    <cellStyle name="_Book1_Book Capital Allocation 9 30_Broadleaf_DT_Cash Summary AIF IV and AIF VI - 05.14.09 v2" xfId="2619" xr:uid="{00000000-0005-0000-0000-0000330A0000}"/>
    <cellStyle name="_Book1_Book Capital Allocation 9 30_Broadleaf_DT_PE Funds Cash 04 17 09 Ken V Portrait 4-30-09v4" xfId="2620" xr:uid="{00000000-0005-0000-0000-0000340A0000}"/>
    <cellStyle name="_Book1_Broadleaf - Partner Capital Account Analysis" xfId="2621" xr:uid="{00000000-0005-0000-0000-0000350A0000}"/>
    <cellStyle name="_Book1_Broadleaf - Partner Capital Account Analysis_Cash Summary AIF IV and AIF VI - 05.14.09 v2" xfId="2622" xr:uid="{00000000-0005-0000-0000-0000360A0000}"/>
    <cellStyle name="_Book1_Broadleaf - Partner Capital Account Analysis_PE Funds Cash 04 17 09 Ken V Portrait 4-30-09v4" xfId="2623" xr:uid="{00000000-0005-0000-0000-0000370A0000}"/>
    <cellStyle name="_Book1_Cash Rec PB" xfId="2624" xr:uid="{00000000-0005-0000-0000-0000380A0000}"/>
    <cellStyle name="_Book1_Cash Summary AIF IV and AIF VI - 05.14.09 v2" xfId="2625" xr:uid="{00000000-0005-0000-0000-0000390A0000}"/>
    <cellStyle name="_Book1_Foward 704(c) All. June 08  (2)" xfId="2626" xr:uid="{00000000-0005-0000-0000-00003A0A0000}"/>
    <cellStyle name="_Book1_Foward 704(c) All. June 08  (2)_Cash Summary AIF IV and AIF VI - 05.14.09 v2" xfId="2627" xr:uid="{00000000-0005-0000-0000-00003B0A0000}"/>
    <cellStyle name="_Book1_Foward 704(c) All. June 08  (2)_PE Funds Cash 04 17 09 Ken V Portrait 4-30-09v4" xfId="2628" xr:uid="{00000000-0005-0000-0000-00003C0A0000}"/>
    <cellStyle name="_Book1_LeverageSource Analysis" xfId="2629" xr:uid="{00000000-0005-0000-0000-00003D0A0000}"/>
    <cellStyle name="_Book1_LeverageSource Analysis Projection 11 17 2008" xfId="2630" xr:uid="{00000000-0005-0000-0000-00003E0A0000}"/>
    <cellStyle name="_Book1_LeverageSource Analysis Projection 11 17 2008_Cash Summary AIF IV and AIF VI - 05.14.09 v2" xfId="2631" xr:uid="{00000000-0005-0000-0000-00003F0A0000}"/>
    <cellStyle name="_Book1_LeverageSource Analysis Projection 11 17 2008_PE Funds Cash 04 17 09 Ken V Portrait 4-30-09v4" xfId="2632" xr:uid="{00000000-0005-0000-0000-0000400A0000}"/>
    <cellStyle name="_Book1_LeverageSource Analysis_Cash Summary AIF IV and AIF VI - 05.14.09 v2" xfId="2633" xr:uid="{00000000-0005-0000-0000-0000410A0000}"/>
    <cellStyle name="_Book1_LeverageSource Analysis_PE Funds Cash 04 17 09 Ken V Portrait 4-30-09v4" xfId="2634" xr:uid="{00000000-0005-0000-0000-0000420A0000}"/>
    <cellStyle name="_Book1_Lightbox_Ops ME_OCT 09" xfId="2635" xr:uid="{00000000-0005-0000-0000-0000430A0000}"/>
    <cellStyle name="_Book1_Lightbox_Ops ME_Sept 09" xfId="2636" xr:uid="{00000000-0005-0000-0000-0000440A0000}"/>
    <cellStyle name="_Book1_LS, LP - Dec  2010 Trial Balance Summary" xfId="2637" xr:uid="{00000000-0005-0000-0000-0000450A0000}"/>
    <cellStyle name="_Book1_PE Funds Cash 04 17 09 Ken V Portrait 4-30-09v4" xfId="2638" xr:uid="{00000000-0005-0000-0000-0000460A0000}"/>
    <cellStyle name="_Book1_Vernon Square_Monthend_20090831" xfId="2639" xr:uid="{00000000-0005-0000-0000-0000470A0000}"/>
    <cellStyle name="_Book3" xfId="2640" xr:uid="{00000000-0005-0000-0000-0000480A0000}"/>
    <cellStyle name="_Book3_Cash Rec PB" xfId="2641" xr:uid="{00000000-0005-0000-0000-0000490A0000}"/>
    <cellStyle name="_Book3_Lightbox_Ops ME_OCT 09" xfId="2642" xr:uid="{00000000-0005-0000-0000-00004A0A0000}"/>
    <cellStyle name="_Book3_Lightbox_Ops ME_Sept 09" xfId="2643" xr:uid="{00000000-0005-0000-0000-00004B0A0000}"/>
    <cellStyle name="_Book3_Vernon Square_Monthend_20090831" xfId="2644" xr:uid="{00000000-0005-0000-0000-00004C0A0000}"/>
    <cellStyle name="_Bradco_01Q2008" xfId="2645" xr:uid="{00000000-0005-0000-0000-00004D0A0000}"/>
    <cellStyle name="_CALCS" xfId="2646" xr:uid="{00000000-0005-0000-0000-00004E0A0000}"/>
    <cellStyle name="_CALCS 10" xfId="2647" xr:uid="{00000000-0005-0000-0000-00004F0A0000}"/>
    <cellStyle name="_CALCS 11" xfId="2648" xr:uid="{00000000-0005-0000-0000-0000500A0000}"/>
    <cellStyle name="_CALCS 12" xfId="2649" xr:uid="{00000000-0005-0000-0000-0000510A0000}"/>
    <cellStyle name="_CALCS 13" xfId="2650" xr:uid="{00000000-0005-0000-0000-0000520A0000}"/>
    <cellStyle name="_CALCS 14" xfId="2651" xr:uid="{00000000-0005-0000-0000-0000530A0000}"/>
    <cellStyle name="_CALCS 15" xfId="2652" xr:uid="{00000000-0005-0000-0000-0000540A0000}"/>
    <cellStyle name="_CALCS 16" xfId="2653" xr:uid="{00000000-0005-0000-0000-0000550A0000}"/>
    <cellStyle name="_CALCS 17" xfId="2654" xr:uid="{00000000-0005-0000-0000-0000560A0000}"/>
    <cellStyle name="_CALCS 18" xfId="2655" xr:uid="{00000000-0005-0000-0000-0000570A0000}"/>
    <cellStyle name="_CALCS 19" xfId="2656" xr:uid="{00000000-0005-0000-0000-0000580A0000}"/>
    <cellStyle name="_CALCS 2" xfId="2657" xr:uid="{00000000-0005-0000-0000-0000590A0000}"/>
    <cellStyle name="_CALCS 2 2" xfId="2658" xr:uid="{00000000-0005-0000-0000-00005A0A0000}"/>
    <cellStyle name="_CALCS 20" xfId="2659" xr:uid="{00000000-0005-0000-0000-00005B0A0000}"/>
    <cellStyle name="_CALCS 21" xfId="2660" xr:uid="{00000000-0005-0000-0000-00005C0A0000}"/>
    <cellStyle name="_CALCS 22" xfId="2661" xr:uid="{00000000-0005-0000-0000-00005D0A0000}"/>
    <cellStyle name="_CALCS 23" xfId="2662" xr:uid="{00000000-0005-0000-0000-00005E0A0000}"/>
    <cellStyle name="_CALCS 3" xfId="2663" xr:uid="{00000000-0005-0000-0000-00005F0A0000}"/>
    <cellStyle name="_CALCS 3 2" xfId="2664" xr:uid="{00000000-0005-0000-0000-0000600A0000}"/>
    <cellStyle name="_CALCS 4" xfId="2665" xr:uid="{00000000-0005-0000-0000-0000610A0000}"/>
    <cellStyle name="_CALCS 5" xfId="2666" xr:uid="{00000000-0005-0000-0000-0000620A0000}"/>
    <cellStyle name="_CALCS 6" xfId="2667" xr:uid="{00000000-0005-0000-0000-0000630A0000}"/>
    <cellStyle name="_CALCS 7" xfId="2668" xr:uid="{00000000-0005-0000-0000-0000640A0000}"/>
    <cellStyle name="_CALCS 8" xfId="2669" xr:uid="{00000000-0005-0000-0000-0000650A0000}"/>
    <cellStyle name="_CALCS 9" xfId="2670" xr:uid="{00000000-0005-0000-0000-0000660A0000}"/>
    <cellStyle name="_CALCS_AIF VI - BondcoVI_Entities Invested Capital (CURRENT)" xfId="2671" xr:uid="{00000000-0005-0000-0000-0000670A0000}"/>
    <cellStyle name="_CALCS_AIF VI Broadleaf Watefall Summary as of 6-30-09 FINAL" xfId="2672" xr:uid="{00000000-0005-0000-0000-0000680A0000}"/>
    <cellStyle name="_CALCS_AIF VI Broadleaf Watefall Summary as of 9-30-09" xfId="2673" xr:uid="{00000000-0005-0000-0000-0000690A0000}"/>
    <cellStyle name="_CALCS_Broadleaf Watefall 12-31-09" xfId="2674" xr:uid="{00000000-0005-0000-0000-00006A0A0000}"/>
    <cellStyle name="_CALCS_Broadleaf Watefall 6-30-09" xfId="2675" xr:uid="{00000000-0005-0000-0000-00006B0A0000}"/>
    <cellStyle name="_CALCS_Broadleaf Watefall 9-30-09" xfId="2676" xr:uid="{00000000-0005-0000-0000-00006C0A0000}"/>
    <cellStyle name="_CALCS_IC Balance" xfId="2677" xr:uid="{00000000-0005-0000-0000-00006D0A0000}"/>
    <cellStyle name="_CALCS_Invested Capital Debt Worksheet" xfId="2678" xr:uid="{00000000-0005-0000-0000-00006E0A0000}"/>
    <cellStyle name="_CALCS_MMF Income" xfId="2679" xr:uid="{00000000-0005-0000-0000-00006F0A0000}"/>
    <cellStyle name="_CALCS_Partners Capital Q3 2009" xfId="2680" xr:uid="{00000000-0005-0000-0000-0000700A0000}"/>
    <cellStyle name="_CALCS_Realized Gain Loss" xfId="2681" xr:uid="{00000000-0005-0000-0000-0000710A0000}"/>
    <cellStyle name="-_Carry Calculation" xfId="2682" xr:uid="{00000000-0005-0000-0000-0000720A0000}"/>
    <cellStyle name="_Carry Owed" xfId="2683" xr:uid="{00000000-0005-0000-0000-0000730A0000}"/>
    <cellStyle name="_Carry Owed 10" xfId="2684" xr:uid="{00000000-0005-0000-0000-0000740A0000}"/>
    <cellStyle name="_Carry Owed 11" xfId="2685" xr:uid="{00000000-0005-0000-0000-0000750A0000}"/>
    <cellStyle name="_Carry Owed 12" xfId="2686" xr:uid="{00000000-0005-0000-0000-0000760A0000}"/>
    <cellStyle name="_Carry Owed 13" xfId="2687" xr:uid="{00000000-0005-0000-0000-0000770A0000}"/>
    <cellStyle name="_Carry Owed 14" xfId="2688" xr:uid="{00000000-0005-0000-0000-0000780A0000}"/>
    <cellStyle name="_Carry Owed 15" xfId="2689" xr:uid="{00000000-0005-0000-0000-0000790A0000}"/>
    <cellStyle name="_Carry Owed 16" xfId="2690" xr:uid="{00000000-0005-0000-0000-00007A0A0000}"/>
    <cellStyle name="_Carry Owed 17" xfId="2691" xr:uid="{00000000-0005-0000-0000-00007B0A0000}"/>
    <cellStyle name="_Carry Owed 18" xfId="2692" xr:uid="{00000000-0005-0000-0000-00007C0A0000}"/>
    <cellStyle name="_Carry Owed 19" xfId="2693" xr:uid="{00000000-0005-0000-0000-00007D0A0000}"/>
    <cellStyle name="_Carry Owed 2" xfId="2694" xr:uid="{00000000-0005-0000-0000-00007E0A0000}"/>
    <cellStyle name="_Carry Owed 2 2" xfId="2695" xr:uid="{00000000-0005-0000-0000-00007F0A0000}"/>
    <cellStyle name="_Carry Owed 20" xfId="2696" xr:uid="{00000000-0005-0000-0000-0000800A0000}"/>
    <cellStyle name="_Carry Owed 21" xfId="2697" xr:uid="{00000000-0005-0000-0000-0000810A0000}"/>
    <cellStyle name="_Carry Owed 22" xfId="2698" xr:uid="{00000000-0005-0000-0000-0000820A0000}"/>
    <cellStyle name="_Carry Owed 23" xfId="2699" xr:uid="{00000000-0005-0000-0000-0000830A0000}"/>
    <cellStyle name="_Carry Owed 23 2" xfId="2700" xr:uid="{00000000-0005-0000-0000-0000840A0000}"/>
    <cellStyle name="_Carry Owed 3" xfId="2701" xr:uid="{00000000-0005-0000-0000-0000850A0000}"/>
    <cellStyle name="_Carry Owed 3 2" xfId="2702" xr:uid="{00000000-0005-0000-0000-0000860A0000}"/>
    <cellStyle name="_Carry Owed 4" xfId="2703" xr:uid="{00000000-0005-0000-0000-0000870A0000}"/>
    <cellStyle name="_Carry Owed 5" xfId="2704" xr:uid="{00000000-0005-0000-0000-0000880A0000}"/>
    <cellStyle name="_Carry Owed 6" xfId="2705" xr:uid="{00000000-0005-0000-0000-0000890A0000}"/>
    <cellStyle name="_Carry Owed 7" xfId="2706" xr:uid="{00000000-0005-0000-0000-00008A0A0000}"/>
    <cellStyle name="_Carry Owed 8" xfId="2707" xr:uid="{00000000-0005-0000-0000-00008B0A0000}"/>
    <cellStyle name="_Carry Owed 9" xfId="2708" xr:uid="{00000000-0005-0000-0000-00008C0A0000}"/>
    <cellStyle name="_Carry Owed_2.10.10 LS Distribution" xfId="2709" xr:uid="{00000000-0005-0000-0000-00008D0A0000}"/>
    <cellStyle name="_Carry Owed_2011 Q1 Monitoring Fees v3" xfId="2710" xr:uid="{00000000-0005-0000-0000-00008E0A0000}"/>
    <cellStyle name="_Carry Owed_AIF IV Financial Highlights 12-31-08 v4" xfId="2711" xr:uid="{00000000-0005-0000-0000-00008F0A0000}"/>
    <cellStyle name="_Carry Owed_AIF IV Financial Highlights 12-31-08 v4_Apollo Investment Fund IV  Q3 2009 Capital Analysis CURRENT" xfId="2712" xr:uid="{00000000-0005-0000-0000-0000900A0000}"/>
    <cellStyle name="_Carry Owed_AIF IV Financial Highlights 12-31-08 v4_Apollo Investment Fund IV  Q3 2009 Capital Analysis iPCS &amp; URI Distribution" xfId="2713" xr:uid="{00000000-0005-0000-0000-0000910A0000}"/>
    <cellStyle name="_Carry Owed_AIF IV Financial Highlights 12-31-08 v4_iPCs#1-Remaining" xfId="2714" xr:uid="{00000000-0005-0000-0000-0000920A0000}"/>
    <cellStyle name="_Carry Owed_AIF VI - BondcoVI_Entities Invested Capital (CURRENT)" xfId="2715" xr:uid="{00000000-0005-0000-0000-0000930A0000}"/>
    <cellStyle name="_Carry Owed_AIF VI Broadleaf Watefall Summary as of 6-30-09 FINAL" xfId="2716" xr:uid="{00000000-0005-0000-0000-0000940A0000}"/>
    <cellStyle name="_Carry Owed_AIF VI Broadleaf Watefall Summary as of 9-30-09" xfId="2717" xr:uid="{00000000-0005-0000-0000-0000950A0000}"/>
    <cellStyle name="_Carry Owed_Broadleaf Watefall 12-31-09" xfId="2718" xr:uid="{00000000-0005-0000-0000-0000960A0000}"/>
    <cellStyle name="_Carry Owed_Broadleaf Watefall 6-30-09" xfId="2719" xr:uid="{00000000-0005-0000-0000-0000970A0000}"/>
    <cellStyle name="_Carry Owed_Broadleaf Watefall 9-30-09" xfId="2720" xr:uid="{00000000-0005-0000-0000-0000980A0000}"/>
    <cellStyle name="_Carry Owed_Cash Summary AIF IV and AIF VI - 05.14.09 v2" xfId="2721" xr:uid="{00000000-0005-0000-0000-0000990A0000}"/>
    <cellStyle name="_Carry Owed_Copy of AGM Dec '09 YTD COF I and II Dep  Liab (1-13-10) (2)" xfId="2722" xr:uid="{00000000-0005-0000-0000-00009A0A0000}"/>
    <cellStyle name="_Carry Owed_Domestic TB" xfId="2723" xr:uid="{00000000-0005-0000-0000-00009B0A0000}"/>
    <cellStyle name="_Carry Owed_GP commitApollo Entities" xfId="2724" xr:uid="{00000000-0005-0000-0000-00009C0A0000}"/>
    <cellStyle name="_Carry Owed_IC Balance" xfId="2725" xr:uid="{00000000-0005-0000-0000-00009D0A0000}"/>
    <cellStyle name="_Carry Owed_Invested Capital Debt Worksheet" xfId="2726" xr:uid="{00000000-0005-0000-0000-00009E0A0000}"/>
    <cellStyle name="_Carry Owed_LS, LP - Dec  2010 Trial Balance Summary" xfId="2727" xr:uid="{00000000-0005-0000-0000-00009F0A0000}"/>
    <cellStyle name="_Carry Owed_MMF Income" xfId="2728" xr:uid="{00000000-0005-0000-0000-0000A00A0000}"/>
    <cellStyle name="_Carry Owed_Partners Capital Q1 2009" xfId="2729" xr:uid="{00000000-0005-0000-0000-0000A10A0000}"/>
    <cellStyle name="_Carry Owed_Partners Capital Q3 2009" xfId="2730" xr:uid="{00000000-0005-0000-0000-0000A20A0000}"/>
    <cellStyle name="_Carry Owed_PE Funds Cash 04 17 09 Ken V Portrait 4-30-09v4" xfId="2731" xr:uid="{00000000-0005-0000-0000-0000A30A0000}"/>
    <cellStyle name="_Carry Owed_Placement Fee Summary 05-14-09 - Current (2)" xfId="2732" xr:uid="{00000000-0005-0000-0000-0000A40A0000}"/>
    <cellStyle name="_Carry Owed_PR Calc - DOMESTIC" xfId="2733" xr:uid="{00000000-0005-0000-0000-0000A50A0000}"/>
    <cellStyle name="_Carry Owed_Q1 2011 Pmts" xfId="2734" xr:uid="{00000000-0005-0000-0000-0000A60A0000}"/>
    <cellStyle name="_Carry Owed_Realized Gain Loss" xfId="2735" xr:uid="{00000000-0005-0000-0000-0000A70A0000}"/>
    <cellStyle name="_Carry Owed_TX Details" xfId="2736" xr:uid="{00000000-0005-0000-0000-0000A80A0000}"/>
    <cellStyle name="_Carry Partner Allocation" xfId="2737" xr:uid="{00000000-0005-0000-0000-0000A90A0000}"/>
    <cellStyle name="_Carry Partner Allocation 10" xfId="2738" xr:uid="{00000000-0005-0000-0000-0000AA0A0000}"/>
    <cellStyle name="_Carry Partner Allocation 11" xfId="2739" xr:uid="{00000000-0005-0000-0000-0000AB0A0000}"/>
    <cellStyle name="_Carry Partner Allocation 12" xfId="2740" xr:uid="{00000000-0005-0000-0000-0000AC0A0000}"/>
    <cellStyle name="_Carry Partner Allocation 13" xfId="2741" xr:uid="{00000000-0005-0000-0000-0000AD0A0000}"/>
    <cellStyle name="_Carry Partner Allocation 14" xfId="2742" xr:uid="{00000000-0005-0000-0000-0000AE0A0000}"/>
    <cellStyle name="_Carry Partner Allocation 15" xfId="2743" xr:uid="{00000000-0005-0000-0000-0000AF0A0000}"/>
    <cellStyle name="_Carry Partner Allocation 16" xfId="2744" xr:uid="{00000000-0005-0000-0000-0000B00A0000}"/>
    <cellStyle name="_Carry Partner Allocation 17" xfId="2745" xr:uid="{00000000-0005-0000-0000-0000B10A0000}"/>
    <cellStyle name="_Carry Partner Allocation 18" xfId="2746" xr:uid="{00000000-0005-0000-0000-0000B20A0000}"/>
    <cellStyle name="_Carry Partner Allocation 19" xfId="2747" xr:uid="{00000000-0005-0000-0000-0000B30A0000}"/>
    <cellStyle name="_Carry Partner Allocation 2" xfId="2748" xr:uid="{00000000-0005-0000-0000-0000B40A0000}"/>
    <cellStyle name="_Carry Partner Allocation 2 2" xfId="2749" xr:uid="{00000000-0005-0000-0000-0000B50A0000}"/>
    <cellStyle name="_Carry Partner Allocation 20" xfId="2750" xr:uid="{00000000-0005-0000-0000-0000B60A0000}"/>
    <cellStyle name="_Carry Partner Allocation 21" xfId="2751" xr:uid="{00000000-0005-0000-0000-0000B70A0000}"/>
    <cellStyle name="_Carry Partner Allocation 22" xfId="2752" xr:uid="{00000000-0005-0000-0000-0000B80A0000}"/>
    <cellStyle name="_Carry Partner Allocation 23" xfId="2753" xr:uid="{00000000-0005-0000-0000-0000B90A0000}"/>
    <cellStyle name="_Carry Partner Allocation 23 2" xfId="2754" xr:uid="{00000000-0005-0000-0000-0000BA0A0000}"/>
    <cellStyle name="_Carry Partner Allocation 3" xfId="2755" xr:uid="{00000000-0005-0000-0000-0000BB0A0000}"/>
    <cellStyle name="_Carry Partner Allocation 3 2" xfId="2756" xr:uid="{00000000-0005-0000-0000-0000BC0A0000}"/>
    <cellStyle name="_Carry Partner Allocation 4" xfId="2757" xr:uid="{00000000-0005-0000-0000-0000BD0A0000}"/>
    <cellStyle name="_Carry Partner Allocation 5" xfId="2758" xr:uid="{00000000-0005-0000-0000-0000BE0A0000}"/>
    <cellStyle name="_Carry Partner Allocation 6" xfId="2759" xr:uid="{00000000-0005-0000-0000-0000BF0A0000}"/>
    <cellStyle name="_Carry Partner Allocation 7" xfId="2760" xr:uid="{00000000-0005-0000-0000-0000C00A0000}"/>
    <cellStyle name="_Carry Partner Allocation 8" xfId="2761" xr:uid="{00000000-0005-0000-0000-0000C10A0000}"/>
    <cellStyle name="_Carry Partner Allocation 9" xfId="2762" xr:uid="{00000000-0005-0000-0000-0000C20A0000}"/>
    <cellStyle name="_Carry Partner Allocation_2.10.10 LS Distribution" xfId="2763" xr:uid="{00000000-0005-0000-0000-0000C30A0000}"/>
    <cellStyle name="_Carry Partner Allocation_2011 Q1 Monitoring Fees v3" xfId="2764" xr:uid="{00000000-0005-0000-0000-0000C40A0000}"/>
    <cellStyle name="_Carry Partner Allocation_AIF IV Financial Highlights 12-31-08 v4" xfId="2765" xr:uid="{00000000-0005-0000-0000-0000C50A0000}"/>
    <cellStyle name="_Carry Partner Allocation_AIF IV Financial Highlights 12-31-08 v4_Apollo Investment Fund IV  Q3 2009 Capital Analysis CURRENT" xfId="2766" xr:uid="{00000000-0005-0000-0000-0000C60A0000}"/>
    <cellStyle name="_Carry Partner Allocation_AIF IV Financial Highlights 12-31-08 v4_Apollo Investment Fund IV  Q3 2009 Capital Analysis iPCS &amp; URI Distribution" xfId="2767" xr:uid="{00000000-0005-0000-0000-0000C70A0000}"/>
    <cellStyle name="_Carry Partner Allocation_AIF IV Financial Highlights 12-31-08 v4_iPCs#1-Remaining" xfId="2768" xr:uid="{00000000-0005-0000-0000-0000C80A0000}"/>
    <cellStyle name="_Carry Partner Allocation_AIF VI - BondcoVI_Entities Invested Capital (CURRENT)" xfId="2769" xr:uid="{00000000-0005-0000-0000-0000C90A0000}"/>
    <cellStyle name="_Carry Partner Allocation_AIF VI Broadleaf Watefall Summary as of 6-30-09 FINAL" xfId="2770" xr:uid="{00000000-0005-0000-0000-0000CA0A0000}"/>
    <cellStyle name="_Carry Partner Allocation_AIF VI Broadleaf Watefall Summary as of 9-30-09" xfId="2771" xr:uid="{00000000-0005-0000-0000-0000CB0A0000}"/>
    <cellStyle name="_Carry Partner Allocation_Broadleaf Watefall 12-31-09" xfId="2772" xr:uid="{00000000-0005-0000-0000-0000CC0A0000}"/>
    <cellStyle name="_Carry Partner Allocation_Broadleaf Watefall 6-30-09" xfId="2773" xr:uid="{00000000-0005-0000-0000-0000CD0A0000}"/>
    <cellStyle name="_Carry Partner Allocation_Broadleaf Watefall 9-30-09" xfId="2774" xr:uid="{00000000-0005-0000-0000-0000CE0A0000}"/>
    <cellStyle name="_Carry Partner Allocation_Cash Summary AIF IV and AIF VI - 05.14.09 v2" xfId="2775" xr:uid="{00000000-0005-0000-0000-0000CF0A0000}"/>
    <cellStyle name="_Carry Partner Allocation_Copy of AGM Dec '09 YTD COF I and II Dep  Liab (1-13-10) (2)" xfId="2776" xr:uid="{00000000-0005-0000-0000-0000D00A0000}"/>
    <cellStyle name="_Carry Partner Allocation_Domestic TB" xfId="2777" xr:uid="{00000000-0005-0000-0000-0000D10A0000}"/>
    <cellStyle name="_Carry Partner Allocation_IC Balance" xfId="2778" xr:uid="{00000000-0005-0000-0000-0000D20A0000}"/>
    <cellStyle name="_Carry Partner Allocation_Invested Capital Debt Worksheet" xfId="2779" xr:uid="{00000000-0005-0000-0000-0000D30A0000}"/>
    <cellStyle name="_Carry Partner Allocation_LS, LP - Dec  2010 Trial Balance Summary" xfId="2780" xr:uid="{00000000-0005-0000-0000-0000D40A0000}"/>
    <cellStyle name="_Carry Partner Allocation_MMF Income" xfId="2781" xr:uid="{00000000-0005-0000-0000-0000D50A0000}"/>
    <cellStyle name="_Carry Partner Allocation_Partners Capital Q1 2009" xfId="2782" xr:uid="{00000000-0005-0000-0000-0000D60A0000}"/>
    <cellStyle name="_Carry Partner Allocation_PE Funds Cash 04 17 09 Ken V Portrait 4-30-09v4" xfId="2783" xr:uid="{00000000-0005-0000-0000-0000D70A0000}"/>
    <cellStyle name="_Carry Partner Allocation_Placement Fee Summary 05-14-09 - Current (2)" xfId="2784" xr:uid="{00000000-0005-0000-0000-0000D80A0000}"/>
    <cellStyle name="_Carry Partner Allocation_PR Calc - DOMESTIC" xfId="2785" xr:uid="{00000000-0005-0000-0000-0000D90A0000}"/>
    <cellStyle name="_Carry Partner Allocation_Q1 2011 Pmts" xfId="2786" xr:uid="{00000000-0005-0000-0000-0000DA0A0000}"/>
    <cellStyle name="_Carry Partner Allocation_Realized Gain Loss" xfId="2787" xr:uid="{00000000-0005-0000-0000-0000DB0A0000}"/>
    <cellStyle name="_Carry Partner Allocation_TX Details" xfId="2788" xr:uid="{00000000-0005-0000-0000-0000DC0A0000}"/>
    <cellStyle name="_CDS" xfId="2789" xr:uid="{00000000-0005-0000-0000-0000DD0A0000}"/>
    <cellStyle name="_CDS 2" xfId="2790" xr:uid="{00000000-0005-0000-0000-0000DE0A0000}"/>
    <cellStyle name="_CDS_Geneva Fx Price" xfId="2791" xr:uid="{00000000-0005-0000-0000-0000DF0A0000}"/>
    <cellStyle name="_CDS_Normandy Hill_Workbook_20091031" xfId="2792" xr:uid="{00000000-0005-0000-0000-0000E00A0000}"/>
    <cellStyle name="_Co Inv D Valuation 12-31-08" xfId="2793" xr:uid="{00000000-0005-0000-0000-0000E10A0000}"/>
    <cellStyle name="_Co Inv D Valuation 12-31-08 2" xfId="2794" xr:uid="{00000000-0005-0000-0000-0000E20A0000}"/>
    <cellStyle name="_Co-Invest Estimates_03282008v2" xfId="2795" xr:uid="{00000000-0005-0000-0000-0000E30A0000}"/>
    <cellStyle name="_Co-Invest Estimates_03282008v2_Cash Summary AIF IV and AIF VI - 05.14.09 v2" xfId="2796" xr:uid="{00000000-0005-0000-0000-0000E40A0000}"/>
    <cellStyle name="_Co-Invest Estimates_03282008v2_PE Funds Cash 04 17 09 Ken V Portrait 4-30-09v4" xfId="2797" xr:uid="{00000000-0005-0000-0000-0000E50A0000}"/>
    <cellStyle name="_Comma" xfId="2798" xr:uid="{00000000-0005-0000-0000-0000E60A0000}"/>
    <cellStyle name="_Comma 10" xfId="2799" xr:uid="{00000000-0005-0000-0000-0000E70A0000}"/>
    <cellStyle name="_Comma 11" xfId="2800" xr:uid="{00000000-0005-0000-0000-0000E80A0000}"/>
    <cellStyle name="_Comma 12" xfId="2801" xr:uid="{00000000-0005-0000-0000-0000E90A0000}"/>
    <cellStyle name="_Comma 13" xfId="2802" xr:uid="{00000000-0005-0000-0000-0000EA0A0000}"/>
    <cellStyle name="_Comma 14" xfId="2803" xr:uid="{00000000-0005-0000-0000-0000EB0A0000}"/>
    <cellStyle name="_Comma 15" xfId="2804" xr:uid="{00000000-0005-0000-0000-0000EC0A0000}"/>
    <cellStyle name="_Comma 16" xfId="2805" xr:uid="{00000000-0005-0000-0000-0000ED0A0000}"/>
    <cellStyle name="_Comma 17" xfId="2806" xr:uid="{00000000-0005-0000-0000-0000EE0A0000}"/>
    <cellStyle name="_Comma 18" xfId="2807" xr:uid="{00000000-0005-0000-0000-0000EF0A0000}"/>
    <cellStyle name="_Comma 19" xfId="2808" xr:uid="{00000000-0005-0000-0000-0000F00A0000}"/>
    <cellStyle name="_Comma 2" xfId="2809" xr:uid="{00000000-0005-0000-0000-0000F10A0000}"/>
    <cellStyle name="_Comma 20" xfId="2810" xr:uid="{00000000-0005-0000-0000-0000F20A0000}"/>
    <cellStyle name="_Comma 21" xfId="2811" xr:uid="{00000000-0005-0000-0000-0000F30A0000}"/>
    <cellStyle name="_Comma 21 2" xfId="2812" xr:uid="{00000000-0005-0000-0000-0000F40A0000}"/>
    <cellStyle name="_Comma 3" xfId="2813" xr:uid="{00000000-0005-0000-0000-0000F50A0000}"/>
    <cellStyle name="_Comma 4" xfId="2814" xr:uid="{00000000-0005-0000-0000-0000F60A0000}"/>
    <cellStyle name="_Comma 5" xfId="2815" xr:uid="{00000000-0005-0000-0000-0000F70A0000}"/>
    <cellStyle name="_Comma 6" xfId="2816" xr:uid="{00000000-0005-0000-0000-0000F80A0000}"/>
    <cellStyle name="_Comma 7" xfId="2817" xr:uid="{00000000-0005-0000-0000-0000F90A0000}"/>
    <cellStyle name="_Comma 8" xfId="2818" xr:uid="{00000000-0005-0000-0000-0000FA0A0000}"/>
    <cellStyle name="_Comma 9" xfId="2819" xr:uid="{00000000-0005-0000-0000-0000FB0A0000}"/>
    <cellStyle name="_Comma_Black-Sholes Model-revised 1-03-02" xfId="2820" xr:uid="{00000000-0005-0000-0000-0000FC0A0000}"/>
    <cellStyle name="_Comp expense schedule 2006" xfId="2821" xr:uid="{00000000-0005-0000-0000-0000FD0A0000}"/>
    <cellStyle name="_Comp expense schedule 2006 10" xfId="2822" xr:uid="{00000000-0005-0000-0000-0000FE0A0000}"/>
    <cellStyle name="_Comp expense schedule 2006 11" xfId="2823" xr:uid="{00000000-0005-0000-0000-0000FF0A0000}"/>
    <cellStyle name="_Comp expense schedule 2006 12" xfId="2824" xr:uid="{00000000-0005-0000-0000-0000000B0000}"/>
    <cellStyle name="_Comp expense schedule 2006 13" xfId="2825" xr:uid="{00000000-0005-0000-0000-0000010B0000}"/>
    <cellStyle name="_Comp expense schedule 2006 14" xfId="2826" xr:uid="{00000000-0005-0000-0000-0000020B0000}"/>
    <cellStyle name="_Comp expense schedule 2006 15" xfId="2827" xr:uid="{00000000-0005-0000-0000-0000030B0000}"/>
    <cellStyle name="_Comp expense schedule 2006 16" xfId="2828" xr:uid="{00000000-0005-0000-0000-0000040B0000}"/>
    <cellStyle name="_Comp expense schedule 2006 17" xfId="2829" xr:uid="{00000000-0005-0000-0000-0000050B0000}"/>
    <cellStyle name="_Comp expense schedule 2006 18" xfId="2830" xr:uid="{00000000-0005-0000-0000-0000060B0000}"/>
    <cellStyle name="_Comp expense schedule 2006 19" xfId="2831" xr:uid="{00000000-0005-0000-0000-0000070B0000}"/>
    <cellStyle name="_Comp expense schedule 2006 2" xfId="2832" xr:uid="{00000000-0005-0000-0000-0000080B0000}"/>
    <cellStyle name="_Comp expense schedule 2006 2 2" xfId="2833" xr:uid="{00000000-0005-0000-0000-0000090B0000}"/>
    <cellStyle name="_Comp expense schedule 2006 20" xfId="2834" xr:uid="{00000000-0005-0000-0000-00000A0B0000}"/>
    <cellStyle name="_Comp expense schedule 2006 21" xfId="2835" xr:uid="{00000000-0005-0000-0000-00000B0B0000}"/>
    <cellStyle name="_Comp expense schedule 2006 22" xfId="2836" xr:uid="{00000000-0005-0000-0000-00000C0B0000}"/>
    <cellStyle name="_Comp expense schedule 2006 23" xfId="2837" xr:uid="{00000000-0005-0000-0000-00000D0B0000}"/>
    <cellStyle name="_Comp expense schedule 2006 23 2" xfId="2838" xr:uid="{00000000-0005-0000-0000-00000E0B0000}"/>
    <cellStyle name="_Comp expense schedule 2006 3" xfId="2839" xr:uid="{00000000-0005-0000-0000-00000F0B0000}"/>
    <cellStyle name="_Comp expense schedule 2006 3 2" xfId="2840" xr:uid="{00000000-0005-0000-0000-0000100B0000}"/>
    <cellStyle name="_Comp expense schedule 2006 4" xfId="2841" xr:uid="{00000000-0005-0000-0000-0000110B0000}"/>
    <cellStyle name="_Comp expense schedule 2006 5" xfId="2842" xr:uid="{00000000-0005-0000-0000-0000120B0000}"/>
    <cellStyle name="_Comp expense schedule 2006 6" xfId="2843" xr:uid="{00000000-0005-0000-0000-0000130B0000}"/>
    <cellStyle name="_Comp expense schedule 2006 7" xfId="2844" xr:uid="{00000000-0005-0000-0000-0000140B0000}"/>
    <cellStyle name="_Comp expense schedule 2006 8" xfId="2845" xr:uid="{00000000-0005-0000-0000-0000150B0000}"/>
    <cellStyle name="_Comp expense schedule 2006 9" xfId="2846" xr:uid="{00000000-0005-0000-0000-0000160B0000}"/>
    <cellStyle name="_Comp expense schedule 2006_{6} Carry" xfId="2847" xr:uid="{00000000-0005-0000-0000-0000170B0000}"/>
    <cellStyle name="_Comp expense schedule 2006_{6} Clawback" xfId="2848" xr:uid="{00000000-0005-0000-0000-0000180B0000}"/>
    <cellStyle name="_Comp expense schedule 2006_2.10.10 LS Distribution" xfId="2849" xr:uid="{00000000-0005-0000-0000-0000190B0000}"/>
    <cellStyle name="_Comp expense schedule 2006_2011 Q1 Monitoring Fees v3" xfId="2850" xr:uid="{00000000-0005-0000-0000-00001A0B0000}"/>
    <cellStyle name="_Comp expense schedule 2006_Advisors VII DECEMBER on 3-31-09 8pm" xfId="2851" xr:uid="{00000000-0005-0000-0000-00001B0B0000}"/>
    <cellStyle name="_Comp expense schedule 2006_Advisors VII DECEMBER on 3-31-09 8pm 2" xfId="2852" xr:uid="{00000000-0005-0000-0000-00001C0B0000}"/>
    <cellStyle name="_Comp expense schedule 2006_AIF IV - Waterfall 3 31 09 vs  6 30 09" xfId="2853" xr:uid="{00000000-0005-0000-0000-00001D0B0000}"/>
    <cellStyle name="_Comp expense schedule 2006_AIF IV Financial Highlights 12-31-08 v4" xfId="2854" xr:uid="{00000000-0005-0000-0000-00001E0B0000}"/>
    <cellStyle name="_Comp expense schedule 2006_AIF IV Financial Highlights 12-31-08 v4_Apollo Investment Fund IV  Q3 2009 Capital Analysis CURRENT" xfId="2855" xr:uid="{00000000-0005-0000-0000-00001F0B0000}"/>
    <cellStyle name="_Comp expense schedule 2006_AIF IV Financial Highlights 12-31-08 v4_Apollo Investment Fund IV  Q3 2009 Capital Analysis iPCS &amp; URI Distribution" xfId="2856" xr:uid="{00000000-0005-0000-0000-0000200B0000}"/>
    <cellStyle name="_Comp expense schedule 2006_AIF IV Financial Highlights 12-31-08 v4_iPCs#1-Remaining" xfId="2857" xr:uid="{00000000-0005-0000-0000-0000210B0000}"/>
    <cellStyle name="_Comp expense schedule 2006_AIF IV, V, VI, VII, COF - Waterfall 3 31 09 vs  6 30 09" xfId="2858" xr:uid="{00000000-0005-0000-0000-0000220B0000}"/>
    <cellStyle name="_Comp expense schedule 2006_AIF V 1Q09 Cash - FINAL" xfId="2859" xr:uid="{00000000-0005-0000-0000-0000230B0000}"/>
    <cellStyle name="_Comp expense schedule 2006_AIF V Cash - CURRENT" xfId="2860" xr:uid="{00000000-0005-0000-0000-0000240B0000}"/>
    <cellStyle name="_Comp expense schedule 2006_AIF V Professional Fees and other operating expenses(5)" xfId="2861" xr:uid="{00000000-0005-0000-0000-0000250B0000}"/>
    <cellStyle name="_Comp expense schedule 2006_AIF VI - BondcoVI_Entities Invested Capital (CURRENT)" xfId="2862" xr:uid="{00000000-0005-0000-0000-0000260B0000}"/>
    <cellStyle name="_Comp expense schedule 2006_AIF VI  VII Summary Dec 2008 v3" xfId="2863" xr:uid="{00000000-0005-0000-0000-0000270B0000}"/>
    <cellStyle name="_Comp expense schedule 2006_AIF VI  VII Summary Dec 2008 v3 10" xfId="2864" xr:uid="{00000000-0005-0000-0000-0000280B0000}"/>
    <cellStyle name="_Comp expense schedule 2006_AIF VI  VII Summary Dec 2008 v3 11" xfId="2865" xr:uid="{00000000-0005-0000-0000-0000290B0000}"/>
    <cellStyle name="_Comp expense schedule 2006_AIF VI  VII Summary Dec 2008 v3 12" xfId="2866" xr:uid="{00000000-0005-0000-0000-00002A0B0000}"/>
    <cellStyle name="_Comp expense schedule 2006_AIF VI  VII Summary Dec 2008 v3 13" xfId="2867" xr:uid="{00000000-0005-0000-0000-00002B0B0000}"/>
    <cellStyle name="_Comp expense schedule 2006_AIF VI  VII Summary Dec 2008 v3 14" xfId="2868" xr:uid="{00000000-0005-0000-0000-00002C0B0000}"/>
    <cellStyle name="_Comp expense schedule 2006_AIF VI  VII Summary Dec 2008 v3 15" xfId="2869" xr:uid="{00000000-0005-0000-0000-00002D0B0000}"/>
    <cellStyle name="_Comp expense schedule 2006_AIF VI  VII Summary Dec 2008 v3 16" xfId="2870" xr:uid="{00000000-0005-0000-0000-00002E0B0000}"/>
    <cellStyle name="_Comp expense schedule 2006_AIF VI  VII Summary Dec 2008 v3 17" xfId="2871" xr:uid="{00000000-0005-0000-0000-00002F0B0000}"/>
    <cellStyle name="_Comp expense schedule 2006_AIF VI  VII Summary Dec 2008 v3 18" xfId="2872" xr:uid="{00000000-0005-0000-0000-0000300B0000}"/>
    <cellStyle name="_Comp expense schedule 2006_AIF VI  VII Summary Dec 2008 v3 19" xfId="2873" xr:uid="{00000000-0005-0000-0000-0000310B0000}"/>
    <cellStyle name="_Comp expense schedule 2006_AIF VI  VII Summary Dec 2008 v3 2" xfId="2874" xr:uid="{00000000-0005-0000-0000-0000320B0000}"/>
    <cellStyle name="_Comp expense schedule 2006_AIF VI  VII Summary Dec 2008 v3 2 2" xfId="2875" xr:uid="{00000000-0005-0000-0000-0000330B0000}"/>
    <cellStyle name="_Comp expense schedule 2006_AIF VI  VII Summary Dec 2008 v3 20" xfId="2876" xr:uid="{00000000-0005-0000-0000-0000340B0000}"/>
    <cellStyle name="_Comp expense schedule 2006_AIF VI  VII Summary Dec 2008 v3 21" xfId="2877" xr:uid="{00000000-0005-0000-0000-0000350B0000}"/>
    <cellStyle name="_Comp expense schedule 2006_AIF VI  VII Summary Dec 2008 v3 22" xfId="2878" xr:uid="{00000000-0005-0000-0000-0000360B0000}"/>
    <cellStyle name="_Comp expense schedule 2006_AIF VI  VII Summary Dec 2008 v3 23" xfId="2879" xr:uid="{00000000-0005-0000-0000-0000370B0000}"/>
    <cellStyle name="_Comp expense schedule 2006_AIF VI  VII Summary Dec 2008 v3 3" xfId="2880" xr:uid="{00000000-0005-0000-0000-0000380B0000}"/>
    <cellStyle name="_Comp expense schedule 2006_AIF VI  VII Summary Dec 2008 v3 3 2" xfId="2881" xr:uid="{00000000-0005-0000-0000-0000390B0000}"/>
    <cellStyle name="_Comp expense schedule 2006_AIF VI  VII Summary Dec 2008 v3 4" xfId="2882" xr:uid="{00000000-0005-0000-0000-00003A0B0000}"/>
    <cellStyle name="_Comp expense schedule 2006_AIF VI  VII Summary Dec 2008 v3 5" xfId="2883" xr:uid="{00000000-0005-0000-0000-00003B0B0000}"/>
    <cellStyle name="_Comp expense schedule 2006_AIF VI  VII Summary Dec 2008 v3 6" xfId="2884" xr:uid="{00000000-0005-0000-0000-00003C0B0000}"/>
    <cellStyle name="_Comp expense schedule 2006_AIF VI  VII Summary Dec 2008 v3 7" xfId="2885" xr:uid="{00000000-0005-0000-0000-00003D0B0000}"/>
    <cellStyle name="_Comp expense schedule 2006_AIF VI  VII Summary Dec 2008 v3 8" xfId="2886" xr:uid="{00000000-0005-0000-0000-00003E0B0000}"/>
    <cellStyle name="_Comp expense schedule 2006_AIF VI  VII Summary Dec 2008 v3 9" xfId="2887" xr:uid="{00000000-0005-0000-0000-00003F0B0000}"/>
    <cellStyle name="_Comp expense schedule 2006_AIF VI  VII Summary Dec 2008 v3_AIF VI - BondcoVI_Entities Invested Capital (CURRENT)" xfId="2888" xr:uid="{00000000-0005-0000-0000-0000400B0000}"/>
    <cellStyle name="_Comp expense schedule 2006_AIF VI  VII Summary Dec 2008 v3_IC Balance" xfId="2889" xr:uid="{00000000-0005-0000-0000-0000410B0000}"/>
    <cellStyle name="_Comp expense schedule 2006_AIF VI  VII Summary Dec 2008 v3_Invested Capital Debt Worksheet" xfId="2890" xr:uid="{00000000-0005-0000-0000-0000420B0000}"/>
    <cellStyle name="_Comp expense schedule 2006_AIF VI  VII Summary Dec 2008 v3_MMF Income" xfId="2891" xr:uid="{00000000-0005-0000-0000-0000430B0000}"/>
    <cellStyle name="_Comp expense schedule 2006_AIF VI  VII Summary Dec 2008 v3_Realized Gain Loss" xfId="2892" xr:uid="{00000000-0005-0000-0000-0000440B0000}"/>
    <cellStyle name="_Comp expense schedule 2006_AIF VI Broadleaf Watefall Summary as of 6-30-09 FINAL" xfId="2893" xr:uid="{00000000-0005-0000-0000-0000450B0000}"/>
    <cellStyle name="_Comp expense schedule 2006_AIF VI Broadleaf Watefall Summary as of 9-30-09" xfId="2894" xr:uid="{00000000-0005-0000-0000-0000460B0000}"/>
    <cellStyle name="_Comp expense schedule 2006_AIF VI CBA 3.20.08" xfId="2895" xr:uid="{00000000-0005-0000-0000-0000470B0000}"/>
    <cellStyle name="_Comp expense schedule 2006_AIF VI CBA 3.20.08 2" xfId="2896" xr:uid="{00000000-0005-0000-0000-0000480B0000}"/>
    <cellStyle name="_Comp expense schedule 2006_AIF VI CBA 3.20.08 3" xfId="2897" xr:uid="{00000000-0005-0000-0000-0000490B0000}"/>
    <cellStyle name="_Comp expense schedule 2006_AIF VI CBA 3.20.08_AIF VI - BondcoVI_Entities Invested Capital (CURRENT)" xfId="2898" xr:uid="{00000000-0005-0000-0000-00004A0B0000}"/>
    <cellStyle name="_Comp expense schedule 2006_AIF VI CBA 3.20.08_IC Balance" xfId="2899" xr:uid="{00000000-0005-0000-0000-00004B0B0000}"/>
    <cellStyle name="_Comp expense schedule 2006_AIF VI CBA 3.20.08_Invested Capital Debt Worksheet" xfId="2900" xr:uid="{00000000-0005-0000-0000-00004C0B0000}"/>
    <cellStyle name="_Comp expense schedule 2006_AIF VI CBA 3.20.08_MMF Income" xfId="2901" xr:uid="{00000000-0005-0000-0000-00004D0B0000}"/>
    <cellStyle name="_Comp expense schedule 2006_AIF VI CBA 3.20.08_Realized Gain Loss" xfId="2902" xr:uid="{00000000-0005-0000-0000-00004E0B0000}"/>
    <cellStyle name="_Comp expense schedule 2006_AIF VII Capital Balance Analysis INCEPTION to 09-30-08 on 10-13-08 8am" xfId="2903" xr:uid="{00000000-0005-0000-0000-00004F0B0000}"/>
    <cellStyle name="_Comp expense schedule 2006_AIF VII Capital Balance Analysis INCEPTION to 09-30-08 on 10-13-08 8am 2" xfId="2904" xr:uid="{00000000-0005-0000-0000-0000500B0000}"/>
    <cellStyle name="_Comp expense schedule 2006_AIF VII Capital Balance Analysis INCEPTION to 09-30-08 on 10-13-08 8am 2 2" xfId="2905" xr:uid="{00000000-0005-0000-0000-0000510B0000}"/>
    <cellStyle name="_Comp expense schedule 2006_AIF VII Capital Balance Analysis INCEPTION to 09-30-08 on 10-13-08 8am 3" xfId="2906" xr:uid="{00000000-0005-0000-0000-0000520B0000}"/>
    <cellStyle name="_Comp expense schedule 2006_AIF VII Capital Balance Analysis INCEPTION to 09-30-08 on 10-13-08 8am_AIF VI - BondcoVI_Entities Invested Capital (CURRENT)" xfId="2907" xr:uid="{00000000-0005-0000-0000-0000530B0000}"/>
    <cellStyle name="_Comp expense schedule 2006_AIF VII Capital Balance Analysis INCEPTION to 09-30-08 on 10-13-08 8am_IC Balance" xfId="2908" xr:uid="{00000000-0005-0000-0000-0000540B0000}"/>
    <cellStyle name="_Comp expense schedule 2006_AIF VII Capital Balance Analysis INCEPTION to 09-30-08 on 10-13-08 8am_Invested Capital Debt Worksheet" xfId="2909" xr:uid="{00000000-0005-0000-0000-0000550B0000}"/>
    <cellStyle name="_Comp expense schedule 2006_AIF VII Capital Balance Analysis INCEPTION to 09-30-08 on 10-13-08 8am_MMF Income" xfId="2910" xr:uid="{00000000-0005-0000-0000-0000560B0000}"/>
    <cellStyle name="_Comp expense schedule 2006_AIF VII Capital Balance Analysis INCEPTION to 09-30-08 on 10-13-08 8am_Realized Gain Loss" xfId="2911" xr:uid="{00000000-0005-0000-0000-0000570B0000}"/>
    <cellStyle name="_Comp expense schedule 2006_Andy Affrick - Schedulev2" xfId="2912" xr:uid="{00000000-0005-0000-0000-0000580B0000}"/>
    <cellStyle name="_Comp expense schedule 2006_Apollo Advisors IV 12-31-08 GAAP TB Final" xfId="2913" xr:uid="{00000000-0005-0000-0000-0000590B0000}"/>
    <cellStyle name="_Comp expense schedule 2006_Apollo Advisors IV 12-31-08 TB (Revised for Aggr PR)" xfId="2914" xr:uid="{00000000-0005-0000-0000-00005A0B0000}"/>
    <cellStyle name="_Comp expense schedule 2006_Apollo Advisors IV 6-30-09 GAAP TB" xfId="2915" xr:uid="{00000000-0005-0000-0000-00005B0B0000}"/>
    <cellStyle name="_Comp expense schedule 2006_Apollo Advisors V 09-30-08 CURRENT" xfId="2916" xr:uid="{00000000-0005-0000-0000-00005C0B0000}"/>
    <cellStyle name="_Comp expense schedule 2006_Apollo Investment Fund IV  April Priority Return" xfId="2917" xr:uid="{00000000-0005-0000-0000-00005D0B0000}"/>
    <cellStyle name="_Comp expense schedule 2006_Book4" xfId="2918" xr:uid="{00000000-0005-0000-0000-00005E0B0000}"/>
    <cellStyle name="_Comp expense schedule 2006_Book4 10" xfId="2919" xr:uid="{00000000-0005-0000-0000-00005F0B0000}"/>
    <cellStyle name="_Comp expense schedule 2006_Book4 11" xfId="2920" xr:uid="{00000000-0005-0000-0000-0000600B0000}"/>
    <cellStyle name="_Comp expense schedule 2006_Book4 12" xfId="2921" xr:uid="{00000000-0005-0000-0000-0000610B0000}"/>
    <cellStyle name="_Comp expense schedule 2006_Book4 13" xfId="2922" xr:uid="{00000000-0005-0000-0000-0000620B0000}"/>
    <cellStyle name="_Comp expense schedule 2006_Book4 14" xfId="2923" xr:uid="{00000000-0005-0000-0000-0000630B0000}"/>
    <cellStyle name="_Comp expense schedule 2006_Book4 15" xfId="2924" xr:uid="{00000000-0005-0000-0000-0000640B0000}"/>
    <cellStyle name="_Comp expense schedule 2006_Book4 16" xfId="2925" xr:uid="{00000000-0005-0000-0000-0000650B0000}"/>
    <cellStyle name="_Comp expense schedule 2006_Book4 17" xfId="2926" xr:uid="{00000000-0005-0000-0000-0000660B0000}"/>
    <cellStyle name="_Comp expense schedule 2006_Book4 18" xfId="2927" xr:uid="{00000000-0005-0000-0000-0000670B0000}"/>
    <cellStyle name="_Comp expense schedule 2006_Book4 19" xfId="2928" xr:uid="{00000000-0005-0000-0000-0000680B0000}"/>
    <cellStyle name="_Comp expense schedule 2006_Book4 2" xfId="2929" xr:uid="{00000000-0005-0000-0000-0000690B0000}"/>
    <cellStyle name="_Comp expense schedule 2006_Book4 2 2" xfId="2930" xr:uid="{00000000-0005-0000-0000-00006A0B0000}"/>
    <cellStyle name="_Comp expense schedule 2006_Book4 20" xfId="2931" xr:uid="{00000000-0005-0000-0000-00006B0B0000}"/>
    <cellStyle name="_Comp expense schedule 2006_Book4 21" xfId="2932" xr:uid="{00000000-0005-0000-0000-00006C0B0000}"/>
    <cellStyle name="_Comp expense schedule 2006_Book4 22" xfId="2933" xr:uid="{00000000-0005-0000-0000-00006D0B0000}"/>
    <cellStyle name="_Comp expense schedule 2006_Book4 23" xfId="2934" xr:uid="{00000000-0005-0000-0000-00006E0B0000}"/>
    <cellStyle name="_Comp expense schedule 2006_Book4 23 2" xfId="2935" xr:uid="{00000000-0005-0000-0000-00006F0B0000}"/>
    <cellStyle name="_Comp expense schedule 2006_Book4 3" xfId="2936" xr:uid="{00000000-0005-0000-0000-0000700B0000}"/>
    <cellStyle name="_Comp expense schedule 2006_Book4 3 2" xfId="2937" xr:uid="{00000000-0005-0000-0000-0000710B0000}"/>
    <cellStyle name="_Comp expense schedule 2006_Book4 4" xfId="2938" xr:uid="{00000000-0005-0000-0000-0000720B0000}"/>
    <cellStyle name="_Comp expense schedule 2006_Book4 5" xfId="2939" xr:uid="{00000000-0005-0000-0000-0000730B0000}"/>
    <cellStyle name="_Comp expense schedule 2006_Book4 6" xfId="2940" xr:uid="{00000000-0005-0000-0000-0000740B0000}"/>
    <cellStyle name="_Comp expense schedule 2006_Book4 7" xfId="2941" xr:uid="{00000000-0005-0000-0000-0000750B0000}"/>
    <cellStyle name="_Comp expense schedule 2006_Book4 8" xfId="2942" xr:uid="{00000000-0005-0000-0000-0000760B0000}"/>
    <cellStyle name="_Comp expense schedule 2006_Book4 9" xfId="2943" xr:uid="{00000000-0005-0000-0000-0000770B0000}"/>
    <cellStyle name="_Comp expense schedule 2006_Book4_2.10.10 LS Distribution" xfId="2944" xr:uid="{00000000-0005-0000-0000-0000780B0000}"/>
    <cellStyle name="_Comp expense schedule 2006_Book4_AIF VI - BondcoVI_Entities Invested Capital (CURRENT)" xfId="2945" xr:uid="{00000000-0005-0000-0000-0000790B0000}"/>
    <cellStyle name="_Comp expense schedule 2006_Book4_AIF VI Broadleaf Watefall Summary as of 6-30-09 FINAL" xfId="2946" xr:uid="{00000000-0005-0000-0000-00007A0B0000}"/>
    <cellStyle name="_Comp expense schedule 2006_Book4_AIF VI Broadleaf Watefall Summary as of 9-30-09" xfId="2947" xr:uid="{00000000-0005-0000-0000-00007B0B0000}"/>
    <cellStyle name="_Comp expense schedule 2006_Book4_Broadleaf Watefall 12-31-09" xfId="2948" xr:uid="{00000000-0005-0000-0000-00007C0B0000}"/>
    <cellStyle name="_Comp expense schedule 2006_Book4_Broadleaf Watefall 6-30-09" xfId="2949" xr:uid="{00000000-0005-0000-0000-00007D0B0000}"/>
    <cellStyle name="_Comp expense schedule 2006_Book4_Broadleaf Watefall 9-30-09" xfId="2950" xr:uid="{00000000-0005-0000-0000-00007E0B0000}"/>
    <cellStyle name="_Comp expense schedule 2006_Book4_Copy of AGM Dec '09 YTD COF I and II Dep  Liab (1-13-10) (2)" xfId="2951" xr:uid="{00000000-0005-0000-0000-00007F0B0000}"/>
    <cellStyle name="_Comp expense schedule 2006_Book4_IC Balance" xfId="2952" xr:uid="{00000000-0005-0000-0000-0000800B0000}"/>
    <cellStyle name="_Comp expense schedule 2006_Book4_Invested Capital Debt Worksheet" xfId="2953" xr:uid="{00000000-0005-0000-0000-0000810B0000}"/>
    <cellStyle name="_Comp expense schedule 2006_Book4_MMF Income" xfId="2954" xr:uid="{00000000-0005-0000-0000-0000820B0000}"/>
    <cellStyle name="_Comp expense schedule 2006_Book4_Realized Gain Loss" xfId="2955" xr:uid="{00000000-0005-0000-0000-0000830B0000}"/>
    <cellStyle name="_Comp expense schedule 2006_Book4_TX Details" xfId="2956" xr:uid="{00000000-0005-0000-0000-0000840B0000}"/>
    <cellStyle name="_Comp expense schedule 2006_Broadleaf Watefall 12-31-09" xfId="2957" xr:uid="{00000000-0005-0000-0000-0000850B0000}"/>
    <cellStyle name="_Comp expense schedule 2006_Broadleaf Watefall 6-30-09" xfId="2958" xr:uid="{00000000-0005-0000-0000-0000860B0000}"/>
    <cellStyle name="_Comp expense schedule 2006_Broadleaf Watefall 9-30-09" xfId="2959" xr:uid="{00000000-0005-0000-0000-0000870B0000}"/>
    <cellStyle name="_Comp expense schedule 2006_CALCS" xfId="2960" xr:uid="{00000000-0005-0000-0000-0000880B0000}"/>
    <cellStyle name="_Comp expense schedule 2006_CALCS 10" xfId="2961" xr:uid="{00000000-0005-0000-0000-0000890B0000}"/>
    <cellStyle name="_Comp expense schedule 2006_CALCS 11" xfId="2962" xr:uid="{00000000-0005-0000-0000-00008A0B0000}"/>
    <cellStyle name="_Comp expense schedule 2006_CALCS 12" xfId="2963" xr:uid="{00000000-0005-0000-0000-00008B0B0000}"/>
    <cellStyle name="_Comp expense schedule 2006_CALCS 13" xfId="2964" xr:uid="{00000000-0005-0000-0000-00008C0B0000}"/>
    <cellStyle name="_Comp expense schedule 2006_CALCS 14" xfId="2965" xr:uid="{00000000-0005-0000-0000-00008D0B0000}"/>
    <cellStyle name="_Comp expense schedule 2006_CALCS 15" xfId="2966" xr:uid="{00000000-0005-0000-0000-00008E0B0000}"/>
    <cellStyle name="_Comp expense schedule 2006_CALCS 16" xfId="2967" xr:uid="{00000000-0005-0000-0000-00008F0B0000}"/>
    <cellStyle name="_Comp expense schedule 2006_CALCS 17" xfId="2968" xr:uid="{00000000-0005-0000-0000-0000900B0000}"/>
    <cellStyle name="_Comp expense schedule 2006_CALCS 18" xfId="2969" xr:uid="{00000000-0005-0000-0000-0000910B0000}"/>
    <cellStyle name="_Comp expense schedule 2006_CALCS 19" xfId="2970" xr:uid="{00000000-0005-0000-0000-0000920B0000}"/>
    <cellStyle name="_Comp expense schedule 2006_CALCS 2" xfId="2971" xr:uid="{00000000-0005-0000-0000-0000930B0000}"/>
    <cellStyle name="_Comp expense schedule 2006_CALCS 2 2" xfId="2972" xr:uid="{00000000-0005-0000-0000-0000940B0000}"/>
    <cellStyle name="_Comp expense schedule 2006_CALCS 20" xfId="2973" xr:uid="{00000000-0005-0000-0000-0000950B0000}"/>
    <cellStyle name="_Comp expense schedule 2006_CALCS 21" xfId="2974" xr:uid="{00000000-0005-0000-0000-0000960B0000}"/>
    <cellStyle name="_Comp expense schedule 2006_CALCS 22" xfId="2975" xr:uid="{00000000-0005-0000-0000-0000970B0000}"/>
    <cellStyle name="_Comp expense schedule 2006_CALCS 23" xfId="2976" xr:uid="{00000000-0005-0000-0000-0000980B0000}"/>
    <cellStyle name="_Comp expense schedule 2006_CALCS 3" xfId="2977" xr:uid="{00000000-0005-0000-0000-0000990B0000}"/>
    <cellStyle name="_Comp expense schedule 2006_CALCS 3 2" xfId="2978" xr:uid="{00000000-0005-0000-0000-00009A0B0000}"/>
    <cellStyle name="_Comp expense schedule 2006_CALCS 4" xfId="2979" xr:uid="{00000000-0005-0000-0000-00009B0B0000}"/>
    <cellStyle name="_Comp expense schedule 2006_CALCS 5" xfId="2980" xr:uid="{00000000-0005-0000-0000-00009C0B0000}"/>
    <cellStyle name="_Comp expense schedule 2006_CALCS 6" xfId="2981" xr:uid="{00000000-0005-0000-0000-00009D0B0000}"/>
    <cellStyle name="_Comp expense schedule 2006_CALCS 7" xfId="2982" xr:uid="{00000000-0005-0000-0000-00009E0B0000}"/>
    <cellStyle name="_Comp expense schedule 2006_CALCS 8" xfId="2983" xr:uid="{00000000-0005-0000-0000-00009F0B0000}"/>
    <cellStyle name="_Comp expense schedule 2006_CALCS 9" xfId="2984" xr:uid="{00000000-0005-0000-0000-0000A00B0000}"/>
    <cellStyle name="_Comp expense schedule 2006_CALCS_AIF VI - BondcoVI_Entities Invested Capital (CURRENT)" xfId="2985" xr:uid="{00000000-0005-0000-0000-0000A10B0000}"/>
    <cellStyle name="_Comp expense schedule 2006_CALCS_AIF VI Broadleaf Watefall Summary as of 6-30-09 FINAL" xfId="2986" xr:uid="{00000000-0005-0000-0000-0000A20B0000}"/>
    <cellStyle name="_Comp expense schedule 2006_CALCS_AIF VI Broadleaf Watefall Summary as of 9-30-09" xfId="2987" xr:uid="{00000000-0005-0000-0000-0000A30B0000}"/>
    <cellStyle name="_Comp expense schedule 2006_CALCS_Broadleaf Watefall 12-31-09" xfId="2988" xr:uid="{00000000-0005-0000-0000-0000A40B0000}"/>
    <cellStyle name="_Comp expense schedule 2006_CALCS_Broadleaf Watefall 6-30-09" xfId="2989" xr:uid="{00000000-0005-0000-0000-0000A50B0000}"/>
    <cellStyle name="_Comp expense schedule 2006_CALCS_Broadleaf Watefall 9-30-09" xfId="2990" xr:uid="{00000000-0005-0000-0000-0000A60B0000}"/>
    <cellStyle name="_Comp expense schedule 2006_CALCS_IC Balance" xfId="2991" xr:uid="{00000000-0005-0000-0000-0000A70B0000}"/>
    <cellStyle name="_Comp expense schedule 2006_CALCS_Invested Capital Debt Worksheet" xfId="2992" xr:uid="{00000000-0005-0000-0000-0000A80B0000}"/>
    <cellStyle name="_Comp expense schedule 2006_CALCS_MMF Income" xfId="2993" xr:uid="{00000000-0005-0000-0000-0000A90B0000}"/>
    <cellStyle name="_Comp expense schedule 2006_CALCS_Realized Gain Loss" xfId="2994" xr:uid="{00000000-0005-0000-0000-0000AA0B0000}"/>
    <cellStyle name="_Comp expense schedule 2006_Carry Calculation" xfId="2995" xr:uid="{00000000-0005-0000-0000-0000AB0B0000}"/>
    <cellStyle name="_Comp expense schedule 2006_Co Inv D Valuation 12-31-08" xfId="2996" xr:uid="{00000000-0005-0000-0000-0000AC0B0000}"/>
    <cellStyle name="_Comp expense schedule 2006_Co Inv D Valuation 12-31-08 2" xfId="2997" xr:uid="{00000000-0005-0000-0000-0000AD0B0000}"/>
    <cellStyle name="_Comp expense schedule 2006_Copy of AGM Dec '09 YTD COF I and II Dep  Liab (1-13-10) (2)" xfId="2998" xr:uid="{00000000-0005-0000-0000-0000AE0B0000}"/>
    <cellStyle name="_Comp expense schedule 2006_Domestic FS 12-31-08 v3-20-09" xfId="2999" xr:uid="{00000000-0005-0000-0000-0000AF0B0000}"/>
    <cellStyle name="_Comp expense schedule 2006_Domestic FS 12-31-08 v3-20-09 2" xfId="3000" xr:uid="{00000000-0005-0000-0000-0000B00B0000}"/>
    <cellStyle name="_Comp expense schedule 2006_Domestic FS 12-31-08 v3-20-09 3" xfId="3001" xr:uid="{00000000-0005-0000-0000-0000B10B0000}"/>
    <cellStyle name="_Comp expense schedule 2006_Domestic FS 12-31-08 v3-20-09_AIF VI - BondcoVI_Entities Invested Capital (CURRENT)" xfId="3002" xr:uid="{00000000-0005-0000-0000-0000B20B0000}"/>
    <cellStyle name="_Comp expense schedule 2006_Domestic FS 12-31-08 v3-20-09_IC Balance" xfId="3003" xr:uid="{00000000-0005-0000-0000-0000B30B0000}"/>
    <cellStyle name="_Comp expense schedule 2006_Domestic FS 12-31-08 v3-20-09_Invested Capital Debt Worksheet" xfId="3004" xr:uid="{00000000-0005-0000-0000-0000B40B0000}"/>
    <cellStyle name="_Comp expense schedule 2006_Domestic FS 12-31-08 v3-20-09_MMF Income" xfId="3005" xr:uid="{00000000-0005-0000-0000-0000B50B0000}"/>
    <cellStyle name="_Comp expense schedule 2006_Domestic FS 12-31-08 v3-20-09_Realized Gain Loss" xfId="3006" xr:uid="{00000000-0005-0000-0000-0000B60B0000}"/>
    <cellStyle name="_Comp expense schedule 2006_Domestic TB" xfId="3007" xr:uid="{00000000-0005-0000-0000-0000B70B0000}"/>
    <cellStyle name="_Comp expense schedule 2006_Fund IV" xfId="3008" xr:uid="{00000000-0005-0000-0000-0000B80B0000}"/>
    <cellStyle name="_Comp expense schedule 2006_Fund IV 9.30.08" xfId="3009" xr:uid="{00000000-0005-0000-0000-0000B90B0000}"/>
    <cellStyle name="_Comp expense schedule 2006_Fund IV_1" xfId="3010" xr:uid="{00000000-0005-0000-0000-0000BA0B0000}"/>
    <cellStyle name="_Comp expense schedule 2006_Fund IV_2" xfId="3011" xr:uid="{00000000-0005-0000-0000-0000BB0B0000}"/>
    <cellStyle name="_Comp expense schedule 2006_Funds IV Clawback Adjustment Summary" xfId="3012" xr:uid="{00000000-0005-0000-0000-0000BC0B0000}"/>
    <cellStyle name="_Comp expense schedule 2006_Funds IV Clawback Value Adjustment" xfId="3013" xr:uid="{00000000-0005-0000-0000-0000BD0B0000}"/>
    <cellStyle name="_Comp expense schedule 2006_Hexicon Adj" xfId="3014" xr:uid="{00000000-0005-0000-0000-0000BE0B0000}"/>
    <cellStyle name="_Comp expense schedule 2006_IC Balance" xfId="3015" xr:uid="{00000000-0005-0000-0000-0000BF0B0000}"/>
    <cellStyle name="_Comp expense schedule 2006_Inv Cap Roll" xfId="3016" xr:uid="{00000000-0005-0000-0000-0000C00B0000}"/>
    <cellStyle name="_Comp expense schedule 2006_Inv Cap Roll 2" xfId="3017" xr:uid="{00000000-0005-0000-0000-0000C10B0000}"/>
    <cellStyle name="_Comp expense schedule 2006_Inv Cap Roll 2 2" xfId="3018" xr:uid="{00000000-0005-0000-0000-0000C20B0000}"/>
    <cellStyle name="_Comp expense schedule 2006_Inv Cap Roll 3" xfId="3019" xr:uid="{00000000-0005-0000-0000-0000C30B0000}"/>
    <cellStyle name="_Comp expense schedule 2006_Inv Cap Roll_AIF VI - BondcoVI_Entities Invested Capital (CURRENT)" xfId="3020" xr:uid="{00000000-0005-0000-0000-0000C40B0000}"/>
    <cellStyle name="_Comp expense schedule 2006_Inv Cap Roll_IC Balance" xfId="3021" xr:uid="{00000000-0005-0000-0000-0000C50B0000}"/>
    <cellStyle name="_Comp expense schedule 2006_Inv Cap Roll_Invested Capital Debt Worksheet" xfId="3022" xr:uid="{00000000-0005-0000-0000-0000C60B0000}"/>
    <cellStyle name="_Comp expense schedule 2006_Inv Cap Roll_MMF Income" xfId="3023" xr:uid="{00000000-0005-0000-0000-0000C70B0000}"/>
    <cellStyle name="_Comp expense schedule 2006_Inv Cap Roll_Realized Gain Loss" xfId="3024" xr:uid="{00000000-0005-0000-0000-0000C80B0000}"/>
    <cellStyle name="_Comp expense schedule 2006_Invested Capital Debt Worksheet" xfId="3025" xr:uid="{00000000-0005-0000-0000-0000C90B0000}"/>
    <cellStyle name="_Comp expense schedule 2006_LS, LP - Dec  2010 Trial Balance Summary" xfId="3026" xr:uid="{00000000-0005-0000-0000-0000CA0B0000}"/>
    <cellStyle name="_Comp expense schedule 2006_MMF Income" xfId="3027" xr:uid="{00000000-0005-0000-0000-0000CB0B0000}"/>
    <cellStyle name="_Comp expense schedule 2006_Partners Capital Q1 2009" xfId="3028" xr:uid="{00000000-0005-0000-0000-0000CC0B0000}"/>
    <cellStyle name="_Comp expense schedule 2006_Placement Fee Summary 05-14-09 - Current (2)" xfId="3029" xr:uid="{00000000-0005-0000-0000-0000CD0B0000}"/>
    <cellStyle name="_Comp expense schedule 2006_PR Calc" xfId="3030" xr:uid="{00000000-0005-0000-0000-0000CE0B0000}"/>
    <cellStyle name="_Comp expense schedule 2006_Priority Return" xfId="3031" xr:uid="{00000000-0005-0000-0000-0000CF0B0000}"/>
    <cellStyle name="_Comp expense schedule 2006_Priority Return 10" xfId="3032" xr:uid="{00000000-0005-0000-0000-0000D00B0000}"/>
    <cellStyle name="_Comp expense schedule 2006_Priority Return 11" xfId="3033" xr:uid="{00000000-0005-0000-0000-0000D10B0000}"/>
    <cellStyle name="_Comp expense schedule 2006_Priority Return 12" xfId="3034" xr:uid="{00000000-0005-0000-0000-0000D20B0000}"/>
    <cellStyle name="_Comp expense schedule 2006_Priority Return 13" xfId="3035" xr:uid="{00000000-0005-0000-0000-0000D30B0000}"/>
    <cellStyle name="_Comp expense schedule 2006_Priority Return 14" xfId="3036" xr:uid="{00000000-0005-0000-0000-0000D40B0000}"/>
    <cellStyle name="_Comp expense schedule 2006_Priority Return 15" xfId="3037" xr:uid="{00000000-0005-0000-0000-0000D50B0000}"/>
    <cellStyle name="_Comp expense schedule 2006_Priority Return 16" xfId="3038" xr:uid="{00000000-0005-0000-0000-0000D60B0000}"/>
    <cellStyle name="_Comp expense schedule 2006_Priority Return 17" xfId="3039" xr:uid="{00000000-0005-0000-0000-0000D70B0000}"/>
    <cellStyle name="_Comp expense schedule 2006_Priority Return 18" xfId="3040" xr:uid="{00000000-0005-0000-0000-0000D80B0000}"/>
    <cellStyle name="_Comp expense schedule 2006_Priority Return 19" xfId="3041" xr:uid="{00000000-0005-0000-0000-0000D90B0000}"/>
    <cellStyle name="_Comp expense schedule 2006_Priority Return 2" xfId="3042" xr:uid="{00000000-0005-0000-0000-0000DA0B0000}"/>
    <cellStyle name="_Comp expense schedule 2006_Priority Return 2 2" xfId="3043" xr:uid="{00000000-0005-0000-0000-0000DB0B0000}"/>
    <cellStyle name="_Comp expense schedule 2006_Priority Return 20" xfId="3044" xr:uid="{00000000-0005-0000-0000-0000DC0B0000}"/>
    <cellStyle name="_Comp expense schedule 2006_Priority Return 21" xfId="3045" xr:uid="{00000000-0005-0000-0000-0000DD0B0000}"/>
    <cellStyle name="_Comp expense schedule 2006_Priority Return 22" xfId="3046" xr:uid="{00000000-0005-0000-0000-0000DE0B0000}"/>
    <cellStyle name="_Comp expense schedule 2006_Priority Return 23" xfId="3047" xr:uid="{00000000-0005-0000-0000-0000DF0B0000}"/>
    <cellStyle name="_Comp expense schedule 2006_Priority Return 3" xfId="3048" xr:uid="{00000000-0005-0000-0000-0000E00B0000}"/>
    <cellStyle name="_Comp expense schedule 2006_Priority Return 3 2" xfId="3049" xr:uid="{00000000-0005-0000-0000-0000E10B0000}"/>
    <cellStyle name="_Comp expense schedule 2006_Priority Return 4" xfId="3050" xr:uid="{00000000-0005-0000-0000-0000E20B0000}"/>
    <cellStyle name="_Comp expense schedule 2006_Priority Return 5" xfId="3051" xr:uid="{00000000-0005-0000-0000-0000E30B0000}"/>
    <cellStyle name="_Comp expense schedule 2006_Priority Return 6" xfId="3052" xr:uid="{00000000-0005-0000-0000-0000E40B0000}"/>
    <cellStyle name="_Comp expense schedule 2006_Priority Return 7" xfId="3053" xr:uid="{00000000-0005-0000-0000-0000E50B0000}"/>
    <cellStyle name="_Comp expense schedule 2006_Priority Return 8" xfId="3054" xr:uid="{00000000-0005-0000-0000-0000E60B0000}"/>
    <cellStyle name="_Comp expense schedule 2006_Priority Return 9" xfId="3055" xr:uid="{00000000-0005-0000-0000-0000E70B0000}"/>
    <cellStyle name="_Comp expense schedule 2006_Priority Return_AIF VI - BondcoVI_Entities Invested Capital (CURRENT)" xfId="3056" xr:uid="{00000000-0005-0000-0000-0000E80B0000}"/>
    <cellStyle name="_Comp expense schedule 2006_Priority Return_AIF VI Broadleaf Watefall Summary as of 6-30-09 FINAL" xfId="3057" xr:uid="{00000000-0005-0000-0000-0000E90B0000}"/>
    <cellStyle name="_Comp expense schedule 2006_Priority Return_AIF VI Broadleaf Watefall Summary as of 9-30-09" xfId="3058" xr:uid="{00000000-0005-0000-0000-0000EA0B0000}"/>
    <cellStyle name="_Comp expense schedule 2006_Priority Return_Broadleaf Watefall 12-31-09" xfId="3059" xr:uid="{00000000-0005-0000-0000-0000EB0B0000}"/>
    <cellStyle name="_Comp expense schedule 2006_Priority Return_Broadleaf Watefall 6-30-09" xfId="3060" xr:uid="{00000000-0005-0000-0000-0000EC0B0000}"/>
    <cellStyle name="_Comp expense schedule 2006_Priority Return_Broadleaf Watefall 9-30-09" xfId="3061" xr:uid="{00000000-0005-0000-0000-0000ED0B0000}"/>
    <cellStyle name="_Comp expense schedule 2006_Priority Return_IC Balance" xfId="3062" xr:uid="{00000000-0005-0000-0000-0000EE0B0000}"/>
    <cellStyle name="_Comp expense schedule 2006_Priority Return_Invested Capital Debt Worksheet" xfId="3063" xr:uid="{00000000-0005-0000-0000-0000EF0B0000}"/>
    <cellStyle name="_Comp expense schedule 2006_Priority Return_MMF Income" xfId="3064" xr:uid="{00000000-0005-0000-0000-0000F00B0000}"/>
    <cellStyle name="_Comp expense schedule 2006_Priority Return_Realized Gain Loss" xfId="3065" xr:uid="{00000000-0005-0000-0000-0000F10B0000}"/>
    <cellStyle name="_Comp expense schedule 2006_Q1 2011 Pmts" xfId="3066" xr:uid="{00000000-0005-0000-0000-0000F20B0000}"/>
    <cellStyle name="_Comp expense schedule 2006_Realized Gain Loss" xfId="3067" xr:uid="{00000000-0005-0000-0000-0000F30B0000}"/>
    <cellStyle name="_Comp expense schedule 2006_Revenue breakout" xfId="3068" xr:uid="{00000000-0005-0000-0000-0000F40B0000}"/>
    <cellStyle name="_Comp expense schedule 2006_Revenue breakout 10" xfId="3069" xr:uid="{00000000-0005-0000-0000-0000F50B0000}"/>
    <cellStyle name="_Comp expense schedule 2006_Revenue breakout 11" xfId="3070" xr:uid="{00000000-0005-0000-0000-0000F60B0000}"/>
    <cellStyle name="_Comp expense schedule 2006_Revenue breakout 12" xfId="3071" xr:uid="{00000000-0005-0000-0000-0000F70B0000}"/>
    <cellStyle name="_Comp expense schedule 2006_Revenue breakout 13" xfId="3072" xr:uid="{00000000-0005-0000-0000-0000F80B0000}"/>
    <cellStyle name="_Comp expense schedule 2006_Revenue breakout 14" xfId="3073" xr:uid="{00000000-0005-0000-0000-0000F90B0000}"/>
    <cellStyle name="_Comp expense schedule 2006_Revenue breakout 15" xfId="3074" xr:uid="{00000000-0005-0000-0000-0000FA0B0000}"/>
    <cellStyle name="_Comp expense schedule 2006_Revenue breakout 16" xfId="3075" xr:uid="{00000000-0005-0000-0000-0000FB0B0000}"/>
    <cellStyle name="_Comp expense schedule 2006_Revenue breakout 17" xfId="3076" xr:uid="{00000000-0005-0000-0000-0000FC0B0000}"/>
    <cellStyle name="_Comp expense schedule 2006_Revenue breakout 18" xfId="3077" xr:uid="{00000000-0005-0000-0000-0000FD0B0000}"/>
    <cellStyle name="_Comp expense schedule 2006_Revenue breakout 19" xfId="3078" xr:uid="{00000000-0005-0000-0000-0000FE0B0000}"/>
    <cellStyle name="_Comp expense schedule 2006_Revenue breakout 2" xfId="3079" xr:uid="{00000000-0005-0000-0000-0000FF0B0000}"/>
    <cellStyle name="_Comp expense schedule 2006_Revenue breakout 2 2" xfId="3080" xr:uid="{00000000-0005-0000-0000-0000000C0000}"/>
    <cellStyle name="_Comp expense schedule 2006_Revenue breakout 20" xfId="3081" xr:uid="{00000000-0005-0000-0000-0000010C0000}"/>
    <cellStyle name="_Comp expense schedule 2006_Revenue breakout 21" xfId="3082" xr:uid="{00000000-0005-0000-0000-0000020C0000}"/>
    <cellStyle name="_Comp expense schedule 2006_Revenue breakout 22" xfId="3083" xr:uid="{00000000-0005-0000-0000-0000030C0000}"/>
    <cellStyle name="_Comp expense schedule 2006_Revenue breakout 23" xfId="3084" xr:uid="{00000000-0005-0000-0000-0000040C0000}"/>
    <cellStyle name="_Comp expense schedule 2006_Revenue breakout 23 2" xfId="3085" xr:uid="{00000000-0005-0000-0000-0000050C0000}"/>
    <cellStyle name="_Comp expense schedule 2006_Revenue breakout 3" xfId="3086" xr:uid="{00000000-0005-0000-0000-0000060C0000}"/>
    <cellStyle name="_Comp expense schedule 2006_Revenue breakout 3 2" xfId="3087" xr:uid="{00000000-0005-0000-0000-0000070C0000}"/>
    <cellStyle name="_Comp expense schedule 2006_Revenue breakout 4" xfId="3088" xr:uid="{00000000-0005-0000-0000-0000080C0000}"/>
    <cellStyle name="_Comp expense schedule 2006_Revenue breakout 5" xfId="3089" xr:uid="{00000000-0005-0000-0000-0000090C0000}"/>
    <cellStyle name="_Comp expense schedule 2006_Revenue breakout 6" xfId="3090" xr:uid="{00000000-0005-0000-0000-00000A0C0000}"/>
    <cellStyle name="_Comp expense schedule 2006_Revenue breakout 7" xfId="3091" xr:uid="{00000000-0005-0000-0000-00000B0C0000}"/>
    <cellStyle name="_Comp expense schedule 2006_Revenue breakout 8" xfId="3092" xr:uid="{00000000-0005-0000-0000-00000C0C0000}"/>
    <cellStyle name="_Comp expense schedule 2006_Revenue breakout 9" xfId="3093" xr:uid="{00000000-0005-0000-0000-00000D0C0000}"/>
    <cellStyle name="_Comp expense schedule 2006_Revenue breakout_2.10.10 LS Distribution" xfId="3094" xr:uid="{00000000-0005-0000-0000-00000E0C0000}"/>
    <cellStyle name="_Comp expense schedule 2006_Revenue breakout_2007 Revenue - RE fees" xfId="3095" xr:uid="{00000000-0005-0000-0000-00000F0C0000}"/>
    <cellStyle name="_Comp expense schedule 2006_Revenue breakout_2007 Revenue - RE fees 10" xfId="3096" xr:uid="{00000000-0005-0000-0000-0000100C0000}"/>
    <cellStyle name="_Comp expense schedule 2006_Revenue breakout_2007 Revenue - RE fees 11" xfId="3097" xr:uid="{00000000-0005-0000-0000-0000110C0000}"/>
    <cellStyle name="_Comp expense schedule 2006_Revenue breakout_2007 Revenue - RE fees 12" xfId="3098" xr:uid="{00000000-0005-0000-0000-0000120C0000}"/>
    <cellStyle name="_Comp expense schedule 2006_Revenue breakout_2007 Revenue - RE fees 13" xfId="3099" xr:uid="{00000000-0005-0000-0000-0000130C0000}"/>
    <cellStyle name="_Comp expense schedule 2006_Revenue breakout_2007 Revenue - RE fees 14" xfId="3100" xr:uid="{00000000-0005-0000-0000-0000140C0000}"/>
    <cellStyle name="_Comp expense schedule 2006_Revenue breakout_2007 Revenue - RE fees 15" xfId="3101" xr:uid="{00000000-0005-0000-0000-0000150C0000}"/>
    <cellStyle name="_Comp expense schedule 2006_Revenue breakout_2007 Revenue - RE fees 16" xfId="3102" xr:uid="{00000000-0005-0000-0000-0000160C0000}"/>
    <cellStyle name="_Comp expense schedule 2006_Revenue breakout_2007 Revenue - RE fees 17" xfId="3103" xr:uid="{00000000-0005-0000-0000-0000170C0000}"/>
    <cellStyle name="_Comp expense schedule 2006_Revenue breakout_2007 Revenue - RE fees 18" xfId="3104" xr:uid="{00000000-0005-0000-0000-0000180C0000}"/>
    <cellStyle name="_Comp expense schedule 2006_Revenue breakout_2007 Revenue - RE fees 19" xfId="3105" xr:uid="{00000000-0005-0000-0000-0000190C0000}"/>
    <cellStyle name="_Comp expense schedule 2006_Revenue breakout_2007 Revenue - RE fees 2" xfId="3106" xr:uid="{00000000-0005-0000-0000-00001A0C0000}"/>
    <cellStyle name="_Comp expense schedule 2006_Revenue breakout_2007 Revenue - RE fees 2 2" xfId="3107" xr:uid="{00000000-0005-0000-0000-00001B0C0000}"/>
    <cellStyle name="_Comp expense schedule 2006_Revenue breakout_2007 Revenue - RE fees 20" xfId="3108" xr:uid="{00000000-0005-0000-0000-00001C0C0000}"/>
    <cellStyle name="_Comp expense schedule 2006_Revenue breakout_2007 Revenue - RE fees 21" xfId="3109" xr:uid="{00000000-0005-0000-0000-00001D0C0000}"/>
    <cellStyle name="_Comp expense schedule 2006_Revenue breakout_2007 Revenue - RE fees 22" xfId="3110" xr:uid="{00000000-0005-0000-0000-00001E0C0000}"/>
    <cellStyle name="_Comp expense schedule 2006_Revenue breakout_2007 Revenue - RE fees 23" xfId="3111" xr:uid="{00000000-0005-0000-0000-00001F0C0000}"/>
    <cellStyle name="_Comp expense schedule 2006_Revenue breakout_2007 Revenue - RE fees 23 2" xfId="3112" xr:uid="{00000000-0005-0000-0000-0000200C0000}"/>
    <cellStyle name="_Comp expense schedule 2006_Revenue breakout_2007 Revenue - RE fees 3" xfId="3113" xr:uid="{00000000-0005-0000-0000-0000210C0000}"/>
    <cellStyle name="_Comp expense schedule 2006_Revenue breakout_2007 Revenue - RE fees 3 2" xfId="3114" xr:uid="{00000000-0005-0000-0000-0000220C0000}"/>
    <cellStyle name="_Comp expense schedule 2006_Revenue breakout_2007 Revenue - RE fees 4" xfId="3115" xr:uid="{00000000-0005-0000-0000-0000230C0000}"/>
    <cellStyle name="_Comp expense schedule 2006_Revenue breakout_2007 Revenue - RE fees 5" xfId="3116" xr:uid="{00000000-0005-0000-0000-0000240C0000}"/>
    <cellStyle name="_Comp expense schedule 2006_Revenue breakout_2007 Revenue - RE fees 6" xfId="3117" xr:uid="{00000000-0005-0000-0000-0000250C0000}"/>
    <cellStyle name="_Comp expense schedule 2006_Revenue breakout_2007 Revenue - RE fees 7" xfId="3118" xr:uid="{00000000-0005-0000-0000-0000260C0000}"/>
    <cellStyle name="_Comp expense schedule 2006_Revenue breakout_2007 Revenue - RE fees 8" xfId="3119" xr:uid="{00000000-0005-0000-0000-0000270C0000}"/>
    <cellStyle name="_Comp expense schedule 2006_Revenue breakout_2007 Revenue - RE fees 9" xfId="3120" xr:uid="{00000000-0005-0000-0000-0000280C0000}"/>
    <cellStyle name="_Comp expense schedule 2006_Revenue breakout_2007 Revenue - RE fees_2011 Q1 Monitoring Fees v3" xfId="3121" xr:uid="{00000000-0005-0000-0000-0000290C0000}"/>
    <cellStyle name="_Comp expense schedule 2006_Revenue breakout_2007 Revenue - RE fees_AIF VI - BondcoVI_Entities Invested Capital (CURRENT)" xfId="3122" xr:uid="{00000000-0005-0000-0000-00002A0C0000}"/>
    <cellStyle name="_Comp expense schedule 2006_Revenue breakout_2007 Revenue - RE fees_AIF VI Broadleaf Watefall Summary as of 6-30-09 FINAL" xfId="3123" xr:uid="{00000000-0005-0000-0000-00002B0C0000}"/>
    <cellStyle name="_Comp expense schedule 2006_Revenue breakout_2007 Revenue - RE fees_AIF VI Broadleaf Watefall Summary as of 9-30-09" xfId="3124" xr:uid="{00000000-0005-0000-0000-00002C0C0000}"/>
    <cellStyle name="_Comp expense schedule 2006_Revenue breakout_2007 Revenue - RE fees_Broadleaf Watefall 12-31-09" xfId="3125" xr:uid="{00000000-0005-0000-0000-00002D0C0000}"/>
    <cellStyle name="_Comp expense schedule 2006_Revenue breakout_2007 Revenue - RE fees_Broadleaf Watefall 6-30-09" xfId="3126" xr:uid="{00000000-0005-0000-0000-00002E0C0000}"/>
    <cellStyle name="_Comp expense schedule 2006_Revenue breakout_2007 Revenue - RE fees_Broadleaf Watefall 9-30-09" xfId="3127" xr:uid="{00000000-0005-0000-0000-00002F0C0000}"/>
    <cellStyle name="_Comp expense schedule 2006_Revenue breakout_2007 Revenue - RE fees_Copy of AGM Dec '09 YTD COF I and II Dep  Liab (1-13-10) (2)" xfId="3128" xr:uid="{00000000-0005-0000-0000-0000300C0000}"/>
    <cellStyle name="_Comp expense schedule 2006_Revenue breakout_2007 Revenue - RE fees_IC Balance" xfId="3129" xr:uid="{00000000-0005-0000-0000-0000310C0000}"/>
    <cellStyle name="_Comp expense schedule 2006_Revenue breakout_2007 Revenue - RE fees_Invested Capital Debt Worksheet" xfId="3130" xr:uid="{00000000-0005-0000-0000-0000320C0000}"/>
    <cellStyle name="_Comp expense schedule 2006_Revenue breakout_2007 Revenue - RE fees_MMF Income" xfId="3131" xr:uid="{00000000-0005-0000-0000-0000330C0000}"/>
    <cellStyle name="_Comp expense schedule 2006_Revenue breakout_2007 Revenue - RE fees_Placement Fee Summary 05-14-09 - Current (2)" xfId="3132" xr:uid="{00000000-0005-0000-0000-0000340C0000}"/>
    <cellStyle name="_Comp expense schedule 2006_Revenue breakout_2007 Revenue - RE fees_Realized Gain Loss" xfId="3133" xr:uid="{00000000-0005-0000-0000-0000350C0000}"/>
    <cellStyle name="_Comp expense schedule 2006_Revenue breakout_2011 Q1 Monitoring Fees v3" xfId="3134" xr:uid="{00000000-0005-0000-0000-0000360C0000}"/>
    <cellStyle name="_Comp expense schedule 2006_Revenue breakout_AIF VI - BondcoVI_Entities Invested Capital (CURRENT)" xfId="3135" xr:uid="{00000000-0005-0000-0000-0000370C0000}"/>
    <cellStyle name="_Comp expense schedule 2006_Revenue breakout_AIF VI Broadleaf Watefall Summary as of 6-30-09 FINAL" xfId="3136" xr:uid="{00000000-0005-0000-0000-0000380C0000}"/>
    <cellStyle name="_Comp expense schedule 2006_Revenue breakout_AIF VI Broadleaf Watefall Summary as of 9-30-09" xfId="3137" xr:uid="{00000000-0005-0000-0000-0000390C0000}"/>
    <cellStyle name="_Comp expense schedule 2006_Revenue breakout_Broadleaf Watefall 12-31-09" xfId="3138" xr:uid="{00000000-0005-0000-0000-00003A0C0000}"/>
    <cellStyle name="_Comp expense schedule 2006_Revenue breakout_Broadleaf Watefall 6-30-09" xfId="3139" xr:uid="{00000000-0005-0000-0000-00003B0C0000}"/>
    <cellStyle name="_Comp expense schedule 2006_Revenue breakout_Broadleaf Watefall 9-30-09" xfId="3140" xr:uid="{00000000-0005-0000-0000-00003C0C0000}"/>
    <cellStyle name="_Comp expense schedule 2006_Revenue breakout_Copy of AGM Dec '09 YTD COF I and II Dep  Liab (1-13-10) (2)" xfId="3141" xr:uid="{00000000-0005-0000-0000-00003D0C0000}"/>
    <cellStyle name="_Comp expense schedule 2006_Revenue breakout_IC Balance" xfId="3142" xr:uid="{00000000-0005-0000-0000-00003E0C0000}"/>
    <cellStyle name="_Comp expense schedule 2006_Revenue breakout_Invested Capital Debt Worksheet" xfId="3143" xr:uid="{00000000-0005-0000-0000-00003F0C0000}"/>
    <cellStyle name="_Comp expense schedule 2006_Revenue breakout_LS, LP - Dec  2010 Trial Balance Summary" xfId="3144" xr:uid="{00000000-0005-0000-0000-0000400C0000}"/>
    <cellStyle name="_Comp expense schedule 2006_Revenue breakout_MMF Income" xfId="3145" xr:uid="{00000000-0005-0000-0000-0000410C0000}"/>
    <cellStyle name="_Comp expense schedule 2006_Revenue breakout_Placement Fee Summary 05-14-09 - Current (2)" xfId="3146" xr:uid="{00000000-0005-0000-0000-0000420C0000}"/>
    <cellStyle name="_Comp expense schedule 2006_Revenue breakout_Q1 2011 Pmts" xfId="3147" xr:uid="{00000000-0005-0000-0000-0000430C0000}"/>
    <cellStyle name="_Comp expense schedule 2006_Revenue breakout_Realized Gain Loss" xfId="3148" xr:uid="{00000000-0005-0000-0000-0000440C0000}"/>
    <cellStyle name="_Comp expense schedule 2006_Revenue breakout_TX Details" xfId="3149" xr:uid="{00000000-0005-0000-0000-0000450C0000}"/>
    <cellStyle name="_Comp expense schedule 2006_Sheet1" xfId="3150" xr:uid="{00000000-0005-0000-0000-0000460C0000}"/>
    <cellStyle name="_Comp expense schedule 2006_Sheet1 10" xfId="3151" xr:uid="{00000000-0005-0000-0000-0000470C0000}"/>
    <cellStyle name="_Comp expense schedule 2006_Sheet1 11" xfId="3152" xr:uid="{00000000-0005-0000-0000-0000480C0000}"/>
    <cellStyle name="_Comp expense schedule 2006_Sheet1 12" xfId="3153" xr:uid="{00000000-0005-0000-0000-0000490C0000}"/>
    <cellStyle name="_Comp expense schedule 2006_Sheet1 13" xfId="3154" xr:uid="{00000000-0005-0000-0000-00004A0C0000}"/>
    <cellStyle name="_Comp expense schedule 2006_Sheet1 14" xfId="3155" xr:uid="{00000000-0005-0000-0000-00004B0C0000}"/>
    <cellStyle name="_Comp expense schedule 2006_Sheet1 15" xfId="3156" xr:uid="{00000000-0005-0000-0000-00004C0C0000}"/>
    <cellStyle name="_Comp expense schedule 2006_Sheet1 16" xfId="3157" xr:uid="{00000000-0005-0000-0000-00004D0C0000}"/>
    <cellStyle name="_Comp expense schedule 2006_Sheet1 17" xfId="3158" xr:uid="{00000000-0005-0000-0000-00004E0C0000}"/>
    <cellStyle name="_Comp expense schedule 2006_Sheet1 18" xfId="3159" xr:uid="{00000000-0005-0000-0000-00004F0C0000}"/>
    <cellStyle name="_Comp expense schedule 2006_Sheet1 19" xfId="3160" xr:uid="{00000000-0005-0000-0000-0000500C0000}"/>
    <cellStyle name="_Comp expense schedule 2006_Sheet1 2" xfId="3161" xr:uid="{00000000-0005-0000-0000-0000510C0000}"/>
    <cellStyle name="_Comp expense schedule 2006_Sheet1 2 2" xfId="3162" xr:uid="{00000000-0005-0000-0000-0000520C0000}"/>
    <cellStyle name="_Comp expense schedule 2006_Sheet1 20" xfId="3163" xr:uid="{00000000-0005-0000-0000-0000530C0000}"/>
    <cellStyle name="_Comp expense schedule 2006_Sheet1 21" xfId="3164" xr:uid="{00000000-0005-0000-0000-0000540C0000}"/>
    <cellStyle name="_Comp expense schedule 2006_Sheet1 22" xfId="3165" xr:uid="{00000000-0005-0000-0000-0000550C0000}"/>
    <cellStyle name="_Comp expense schedule 2006_Sheet1 23" xfId="3166" xr:uid="{00000000-0005-0000-0000-0000560C0000}"/>
    <cellStyle name="_Comp expense schedule 2006_Sheet1 3" xfId="3167" xr:uid="{00000000-0005-0000-0000-0000570C0000}"/>
    <cellStyle name="_Comp expense schedule 2006_Sheet1 3 2" xfId="3168" xr:uid="{00000000-0005-0000-0000-0000580C0000}"/>
    <cellStyle name="_Comp expense schedule 2006_Sheet1 4" xfId="3169" xr:uid="{00000000-0005-0000-0000-0000590C0000}"/>
    <cellStyle name="_Comp expense schedule 2006_Sheet1 5" xfId="3170" xr:uid="{00000000-0005-0000-0000-00005A0C0000}"/>
    <cellStyle name="_Comp expense schedule 2006_Sheet1 6" xfId="3171" xr:uid="{00000000-0005-0000-0000-00005B0C0000}"/>
    <cellStyle name="_Comp expense schedule 2006_Sheet1 7" xfId="3172" xr:uid="{00000000-0005-0000-0000-00005C0C0000}"/>
    <cellStyle name="_Comp expense schedule 2006_Sheet1 8" xfId="3173" xr:uid="{00000000-0005-0000-0000-00005D0C0000}"/>
    <cellStyle name="_Comp expense schedule 2006_Sheet1 9" xfId="3174" xr:uid="{00000000-0005-0000-0000-00005E0C0000}"/>
    <cellStyle name="_Comp expense schedule 2006_Sheet1_AIF VI - BondcoVI_Entities Invested Capital (CURRENT)" xfId="3175" xr:uid="{00000000-0005-0000-0000-00005F0C0000}"/>
    <cellStyle name="_Comp expense schedule 2006_Sheet1_AIF VI Broadleaf Watefall Summary as of 6-30-09 FINAL" xfId="3176" xr:uid="{00000000-0005-0000-0000-0000600C0000}"/>
    <cellStyle name="_Comp expense schedule 2006_Sheet1_AIF VI Broadleaf Watefall Summary as of 9-30-09" xfId="3177" xr:uid="{00000000-0005-0000-0000-0000610C0000}"/>
    <cellStyle name="_Comp expense schedule 2006_Sheet1_Broadleaf Watefall 12-31-09" xfId="3178" xr:uid="{00000000-0005-0000-0000-0000620C0000}"/>
    <cellStyle name="_Comp expense schedule 2006_Sheet1_Broadleaf Watefall 6-30-09" xfId="3179" xr:uid="{00000000-0005-0000-0000-0000630C0000}"/>
    <cellStyle name="_Comp expense schedule 2006_Sheet1_Broadleaf Watefall 9-30-09" xfId="3180" xr:uid="{00000000-0005-0000-0000-0000640C0000}"/>
    <cellStyle name="_Comp expense schedule 2006_Sheet1_IC Balance" xfId="3181" xr:uid="{00000000-0005-0000-0000-0000650C0000}"/>
    <cellStyle name="_Comp expense schedule 2006_Sheet1_Invested Capital Debt Worksheet" xfId="3182" xr:uid="{00000000-0005-0000-0000-0000660C0000}"/>
    <cellStyle name="_Comp expense schedule 2006_Sheet1_MMF Income" xfId="3183" xr:uid="{00000000-0005-0000-0000-0000670C0000}"/>
    <cellStyle name="_Comp expense schedule 2006_Sheet1_Realized Gain Loss" xfId="3184" xr:uid="{00000000-0005-0000-0000-0000680C0000}"/>
    <cellStyle name="_Comp expense schedule 2006_Sheet2" xfId="3185" xr:uid="{00000000-0005-0000-0000-0000690C0000}"/>
    <cellStyle name="_Comp expense schedule 2006_Sheet2 10" xfId="3186" xr:uid="{00000000-0005-0000-0000-00006A0C0000}"/>
    <cellStyle name="_Comp expense schedule 2006_Sheet2 11" xfId="3187" xr:uid="{00000000-0005-0000-0000-00006B0C0000}"/>
    <cellStyle name="_Comp expense schedule 2006_Sheet2 12" xfId="3188" xr:uid="{00000000-0005-0000-0000-00006C0C0000}"/>
    <cellStyle name="_Comp expense schedule 2006_Sheet2 13" xfId="3189" xr:uid="{00000000-0005-0000-0000-00006D0C0000}"/>
    <cellStyle name="_Comp expense schedule 2006_Sheet2 14" xfId="3190" xr:uid="{00000000-0005-0000-0000-00006E0C0000}"/>
    <cellStyle name="_Comp expense schedule 2006_Sheet2 15" xfId="3191" xr:uid="{00000000-0005-0000-0000-00006F0C0000}"/>
    <cellStyle name="_Comp expense schedule 2006_Sheet2 16" xfId="3192" xr:uid="{00000000-0005-0000-0000-0000700C0000}"/>
    <cellStyle name="_Comp expense schedule 2006_Sheet2 17" xfId="3193" xr:uid="{00000000-0005-0000-0000-0000710C0000}"/>
    <cellStyle name="_Comp expense schedule 2006_Sheet2 18" xfId="3194" xr:uid="{00000000-0005-0000-0000-0000720C0000}"/>
    <cellStyle name="_Comp expense schedule 2006_Sheet2 19" xfId="3195" xr:uid="{00000000-0005-0000-0000-0000730C0000}"/>
    <cellStyle name="_Comp expense schedule 2006_Sheet2 2" xfId="3196" xr:uid="{00000000-0005-0000-0000-0000740C0000}"/>
    <cellStyle name="_Comp expense schedule 2006_Sheet2 2 2" xfId="3197" xr:uid="{00000000-0005-0000-0000-0000750C0000}"/>
    <cellStyle name="_Comp expense schedule 2006_Sheet2 20" xfId="3198" xr:uid="{00000000-0005-0000-0000-0000760C0000}"/>
    <cellStyle name="_Comp expense schedule 2006_Sheet2 21" xfId="3199" xr:uid="{00000000-0005-0000-0000-0000770C0000}"/>
    <cellStyle name="_Comp expense schedule 2006_Sheet2 22" xfId="3200" xr:uid="{00000000-0005-0000-0000-0000780C0000}"/>
    <cellStyle name="_Comp expense schedule 2006_Sheet2 23" xfId="3201" xr:uid="{00000000-0005-0000-0000-0000790C0000}"/>
    <cellStyle name="_Comp expense schedule 2006_Sheet2 3" xfId="3202" xr:uid="{00000000-0005-0000-0000-00007A0C0000}"/>
    <cellStyle name="_Comp expense schedule 2006_Sheet2 3 2" xfId="3203" xr:uid="{00000000-0005-0000-0000-00007B0C0000}"/>
    <cellStyle name="_Comp expense schedule 2006_Sheet2 4" xfId="3204" xr:uid="{00000000-0005-0000-0000-00007C0C0000}"/>
    <cellStyle name="_Comp expense schedule 2006_Sheet2 5" xfId="3205" xr:uid="{00000000-0005-0000-0000-00007D0C0000}"/>
    <cellStyle name="_Comp expense schedule 2006_Sheet2 6" xfId="3206" xr:uid="{00000000-0005-0000-0000-00007E0C0000}"/>
    <cellStyle name="_Comp expense schedule 2006_Sheet2 7" xfId="3207" xr:uid="{00000000-0005-0000-0000-00007F0C0000}"/>
    <cellStyle name="_Comp expense schedule 2006_Sheet2 8" xfId="3208" xr:uid="{00000000-0005-0000-0000-0000800C0000}"/>
    <cellStyle name="_Comp expense schedule 2006_Sheet2 9" xfId="3209" xr:uid="{00000000-0005-0000-0000-0000810C0000}"/>
    <cellStyle name="_Comp expense schedule 2006_Sheet2_AIF VI - BondcoVI_Entities Invested Capital (CURRENT)" xfId="3210" xr:uid="{00000000-0005-0000-0000-0000820C0000}"/>
    <cellStyle name="_Comp expense schedule 2006_Sheet2_AIF VI Broadleaf Watefall Summary as of 6-30-09 FINAL" xfId="3211" xr:uid="{00000000-0005-0000-0000-0000830C0000}"/>
    <cellStyle name="_Comp expense schedule 2006_Sheet2_AIF VI Broadleaf Watefall Summary as of 9-30-09" xfId="3212" xr:uid="{00000000-0005-0000-0000-0000840C0000}"/>
    <cellStyle name="_Comp expense schedule 2006_Sheet2_Broadleaf Watefall 12-31-09" xfId="3213" xr:uid="{00000000-0005-0000-0000-0000850C0000}"/>
    <cellStyle name="_Comp expense schedule 2006_Sheet2_Broadleaf Watefall 6-30-09" xfId="3214" xr:uid="{00000000-0005-0000-0000-0000860C0000}"/>
    <cellStyle name="_Comp expense schedule 2006_Sheet2_Broadleaf Watefall 9-30-09" xfId="3215" xr:uid="{00000000-0005-0000-0000-0000870C0000}"/>
    <cellStyle name="_Comp expense schedule 2006_Sheet2_IC Balance" xfId="3216" xr:uid="{00000000-0005-0000-0000-0000880C0000}"/>
    <cellStyle name="_Comp expense schedule 2006_Sheet2_Invested Capital Debt Worksheet" xfId="3217" xr:uid="{00000000-0005-0000-0000-0000890C0000}"/>
    <cellStyle name="_Comp expense schedule 2006_Sheet2_MMF Income" xfId="3218" xr:uid="{00000000-0005-0000-0000-00008A0C0000}"/>
    <cellStyle name="_Comp expense schedule 2006_Sheet2_Realized Gain Loss" xfId="3219" xr:uid="{00000000-0005-0000-0000-00008B0C0000}"/>
    <cellStyle name="_Comp expense schedule 2006_Sheet3" xfId="3220" xr:uid="{00000000-0005-0000-0000-00008C0C0000}"/>
    <cellStyle name="_Comp expense schedule 2006_Sheet3 2" xfId="3221" xr:uid="{00000000-0005-0000-0000-00008D0C0000}"/>
    <cellStyle name="_Comp expense schedule 2006_Sheet3 2 2" xfId="3222" xr:uid="{00000000-0005-0000-0000-00008E0C0000}"/>
    <cellStyle name="_Comp expense schedule 2006_Sheet3 3" xfId="3223" xr:uid="{00000000-0005-0000-0000-00008F0C0000}"/>
    <cellStyle name="_Comp expense schedule 2006_Sheet3_AIF VI - BondcoVI_Entities Invested Capital (CURRENT)" xfId="3224" xr:uid="{00000000-0005-0000-0000-0000900C0000}"/>
    <cellStyle name="_Comp expense schedule 2006_Sheet3_IC Balance" xfId="3225" xr:uid="{00000000-0005-0000-0000-0000910C0000}"/>
    <cellStyle name="_Comp expense schedule 2006_Sheet3_Invested Capital Debt Worksheet" xfId="3226" xr:uid="{00000000-0005-0000-0000-0000920C0000}"/>
    <cellStyle name="_Comp expense schedule 2006_Sheet3_MMF Income" xfId="3227" xr:uid="{00000000-0005-0000-0000-0000930C0000}"/>
    <cellStyle name="_Comp expense schedule 2006_Sheet3_Realized Gain Loss" xfId="3228" xr:uid="{00000000-0005-0000-0000-0000940C0000}"/>
    <cellStyle name="_Comp expense schedule 2006_Summary" xfId="3229" xr:uid="{00000000-0005-0000-0000-0000950C0000}"/>
    <cellStyle name="_Comp expense schedule 2006_Summary 2" xfId="3230" xr:uid="{00000000-0005-0000-0000-0000960C0000}"/>
    <cellStyle name="_Comp expense schedule 2006_Summary 2 2" xfId="3231" xr:uid="{00000000-0005-0000-0000-0000970C0000}"/>
    <cellStyle name="_Comp expense schedule 2006_Summary 3" xfId="3232" xr:uid="{00000000-0005-0000-0000-0000980C0000}"/>
    <cellStyle name="_Comp expense schedule 2006_Summary_AIF VI - BondcoVI_Entities Invested Capital (CURRENT)" xfId="3233" xr:uid="{00000000-0005-0000-0000-0000990C0000}"/>
    <cellStyle name="_Comp expense schedule 2006_Summary_IC Balance" xfId="3234" xr:uid="{00000000-0005-0000-0000-00009A0C0000}"/>
    <cellStyle name="_Comp expense schedule 2006_Summary_Invested Capital Debt Worksheet" xfId="3235" xr:uid="{00000000-0005-0000-0000-00009B0C0000}"/>
    <cellStyle name="_Comp expense schedule 2006_Summary_MMF Income" xfId="3236" xr:uid="{00000000-0005-0000-0000-00009C0C0000}"/>
    <cellStyle name="_Comp expense schedule 2006_Summary_Realized Gain Loss" xfId="3237" xr:uid="{00000000-0005-0000-0000-00009D0C0000}"/>
    <cellStyle name="_Comp expense schedule 2006_TX Details" xfId="3238" xr:uid="{00000000-0005-0000-0000-00009E0C0000}"/>
    <cellStyle name="_Consolidation Summ - 12.31.06 as of 6.15" xfId="3239" xr:uid="{00000000-0005-0000-0000-00009F0C0000}"/>
    <cellStyle name="_Consolidation Summ - 12.31.06 as of 6.15 10" xfId="3240" xr:uid="{00000000-0005-0000-0000-0000A00C0000}"/>
    <cellStyle name="_Consolidation Summ - 12.31.06 as of 6.15 11" xfId="3241" xr:uid="{00000000-0005-0000-0000-0000A10C0000}"/>
    <cellStyle name="_Consolidation Summ - 12.31.06 as of 6.15 12" xfId="3242" xr:uid="{00000000-0005-0000-0000-0000A20C0000}"/>
    <cellStyle name="_Consolidation Summ - 12.31.06 as of 6.15 13" xfId="3243" xr:uid="{00000000-0005-0000-0000-0000A30C0000}"/>
    <cellStyle name="_Consolidation Summ - 12.31.06 as of 6.15 14" xfId="3244" xr:uid="{00000000-0005-0000-0000-0000A40C0000}"/>
    <cellStyle name="_Consolidation Summ - 12.31.06 as of 6.15 15" xfId="3245" xr:uid="{00000000-0005-0000-0000-0000A50C0000}"/>
    <cellStyle name="_Consolidation Summ - 12.31.06 as of 6.15 16" xfId="3246" xr:uid="{00000000-0005-0000-0000-0000A60C0000}"/>
    <cellStyle name="_Consolidation Summ - 12.31.06 as of 6.15 17" xfId="3247" xr:uid="{00000000-0005-0000-0000-0000A70C0000}"/>
    <cellStyle name="_Consolidation Summ - 12.31.06 as of 6.15 18" xfId="3248" xr:uid="{00000000-0005-0000-0000-0000A80C0000}"/>
    <cellStyle name="_Consolidation Summ - 12.31.06 as of 6.15 19" xfId="3249" xr:uid="{00000000-0005-0000-0000-0000A90C0000}"/>
    <cellStyle name="_Consolidation Summ - 12.31.06 as of 6.15 2" xfId="3250" xr:uid="{00000000-0005-0000-0000-0000AA0C0000}"/>
    <cellStyle name="_Consolidation Summ - 12.31.06 as of 6.15 2 2" xfId="3251" xr:uid="{00000000-0005-0000-0000-0000AB0C0000}"/>
    <cellStyle name="_Consolidation Summ - 12.31.06 as of 6.15 20" xfId="3252" xr:uid="{00000000-0005-0000-0000-0000AC0C0000}"/>
    <cellStyle name="_Consolidation Summ - 12.31.06 as of 6.15 21" xfId="3253" xr:uid="{00000000-0005-0000-0000-0000AD0C0000}"/>
    <cellStyle name="_Consolidation Summ - 12.31.06 as of 6.15 22" xfId="3254" xr:uid="{00000000-0005-0000-0000-0000AE0C0000}"/>
    <cellStyle name="_Consolidation Summ - 12.31.06 as of 6.15 23" xfId="3255" xr:uid="{00000000-0005-0000-0000-0000AF0C0000}"/>
    <cellStyle name="_Consolidation Summ - 12.31.06 as of 6.15 23 2" xfId="3256" xr:uid="{00000000-0005-0000-0000-0000B00C0000}"/>
    <cellStyle name="_Consolidation Summ - 12.31.06 as of 6.15 3" xfId="3257" xr:uid="{00000000-0005-0000-0000-0000B10C0000}"/>
    <cellStyle name="_Consolidation Summ - 12.31.06 as of 6.15 3 2" xfId="3258" xr:uid="{00000000-0005-0000-0000-0000B20C0000}"/>
    <cellStyle name="_Consolidation Summ - 12.31.06 as of 6.15 4" xfId="3259" xr:uid="{00000000-0005-0000-0000-0000B30C0000}"/>
    <cellStyle name="_Consolidation Summ - 12.31.06 as of 6.15 5" xfId="3260" xr:uid="{00000000-0005-0000-0000-0000B40C0000}"/>
    <cellStyle name="_Consolidation Summ - 12.31.06 as of 6.15 6" xfId="3261" xr:uid="{00000000-0005-0000-0000-0000B50C0000}"/>
    <cellStyle name="_Consolidation Summ - 12.31.06 as of 6.15 7" xfId="3262" xr:uid="{00000000-0005-0000-0000-0000B60C0000}"/>
    <cellStyle name="_Consolidation Summ - 12.31.06 as of 6.15 8" xfId="3263" xr:uid="{00000000-0005-0000-0000-0000B70C0000}"/>
    <cellStyle name="_Consolidation Summ - 12.31.06 as of 6.15 9" xfId="3264" xr:uid="{00000000-0005-0000-0000-0000B80C0000}"/>
    <cellStyle name="_Consolidation Summ - 12.31.06 as of 6.15_{6} Carry" xfId="3265" xr:uid="{00000000-0005-0000-0000-0000B90C0000}"/>
    <cellStyle name="_Consolidation Summ - 12.31.06 as of 6.15_{6} Clawback" xfId="3266" xr:uid="{00000000-0005-0000-0000-0000BA0C0000}"/>
    <cellStyle name="_Consolidation Summ - 12.31.06 as of 6.15_2.10.10 LS Distribution" xfId="3267" xr:uid="{00000000-0005-0000-0000-0000BB0C0000}"/>
    <cellStyle name="_Consolidation Summ - 12.31.06 as of 6.15_2011 Q1 Monitoring Fees v3" xfId="3268" xr:uid="{00000000-0005-0000-0000-0000BC0C0000}"/>
    <cellStyle name="_Consolidation Summ - 12.31.06 as of 6.15_Advisors VII DECEMBER on 3-31-09 8pm" xfId="3269" xr:uid="{00000000-0005-0000-0000-0000BD0C0000}"/>
    <cellStyle name="_Consolidation Summ - 12.31.06 as of 6.15_Advisors VII DECEMBER on 3-31-09 8pm 2" xfId="3270" xr:uid="{00000000-0005-0000-0000-0000BE0C0000}"/>
    <cellStyle name="_Consolidation Summ - 12.31.06 as of 6.15_AIF IV - Waterfall 3 31 09 vs  6 30 09" xfId="3271" xr:uid="{00000000-0005-0000-0000-0000BF0C0000}"/>
    <cellStyle name="_Consolidation Summ - 12.31.06 as of 6.15_AIF IV Financial Highlights 12-31-08 v4" xfId="3272" xr:uid="{00000000-0005-0000-0000-0000C00C0000}"/>
    <cellStyle name="_Consolidation Summ - 12.31.06 as of 6.15_AIF IV Financial Highlights 12-31-08 v4_Apollo Investment Fund IV  Q3 2009 Capital Analysis CURRENT" xfId="3273" xr:uid="{00000000-0005-0000-0000-0000C10C0000}"/>
    <cellStyle name="_Consolidation Summ - 12.31.06 as of 6.15_AIF IV Financial Highlights 12-31-08 v4_Apollo Investment Fund IV  Q3 2009 Capital Analysis iPCS &amp; URI Distribution" xfId="3274" xr:uid="{00000000-0005-0000-0000-0000C20C0000}"/>
    <cellStyle name="_Consolidation Summ - 12.31.06 as of 6.15_AIF IV Financial Highlights 12-31-08 v4_iPCs#1-Remaining" xfId="3275" xr:uid="{00000000-0005-0000-0000-0000C30C0000}"/>
    <cellStyle name="_Consolidation Summ - 12.31.06 as of 6.15_AIF IV, V, VI, VII, COF - Waterfall 3 31 09 vs  6 30 09" xfId="3276" xr:uid="{00000000-0005-0000-0000-0000C40C0000}"/>
    <cellStyle name="_Consolidation Summ - 12.31.06 as of 6.15_AIF V 1Q09 Cash - FINAL" xfId="3277" xr:uid="{00000000-0005-0000-0000-0000C50C0000}"/>
    <cellStyle name="_Consolidation Summ - 12.31.06 as of 6.15_AIF V Cash - CURRENT" xfId="3278" xr:uid="{00000000-0005-0000-0000-0000C60C0000}"/>
    <cellStyle name="_Consolidation Summ - 12.31.06 as of 6.15_AIF V Professional Fees and other operating expenses(5)" xfId="3279" xr:uid="{00000000-0005-0000-0000-0000C70C0000}"/>
    <cellStyle name="_Consolidation Summ - 12.31.06 as of 6.15_AIF VI - BondcoVI_Entities Invested Capital (CURRENT)" xfId="3280" xr:uid="{00000000-0005-0000-0000-0000C80C0000}"/>
    <cellStyle name="_Consolidation Summ - 12.31.06 as of 6.15_AIF VI  VII Summary Dec 2008 v3" xfId="3281" xr:uid="{00000000-0005-0000-0000-0000C90C0000}"/>
    <cellStyle name="_Consolidation Summ - 12.31.06 as of 6.15_AIF VI  VII Summary Dec 2008 v3 10" xfId="3282" xr:uid="{00000000-0005-0000-0000-0000CA0C0000}"/>
    <cellStyle name="_Consolidation Summ - 12.31.06 as of 6.15_AIF VI  VII Summary Dec 2008 v3 11" xfId="3283" xr:uid="{00000000-0005-0000-0000-0000CB0C0000}"/>
    <cellStyle name="_Consolidation Summ - 12.31.06 as of 6.15_AIF VI  VII Summary Dec 2008 v3 12" xfId="3284" xr:uid="{00000000-0005-0000-0000-0000CC0C0000}"/>
    <cellStyle name="_Consolidation Summ - 12.31.06 as of 6.15_AIF VI  VII Summary Dec 2008 v3 13" xfId="3285" xr:uid="{00000000-0005-0000-0000-0000CD0C0000}"/>
    <cellStyle name="_Consolidation Summ - 12.31.06 as of 6.15_AIF VI  VII Summary Dec 2008 v3 14" xfId="3286" xr:uid="{00000000-0005-0000-0000-0000CE0C0000}"/>
    <cellStyle name="_Consolidation Summ - 12.31.06 as of 6.15_AIF VI  VII Summary Dec 2008 v3 15" xfId="3287" xr:uid="{00000000-0005-0000-0000-0000CF0C0000}"/>
    <cellStyle name="_Consolidation Summ - 12.31.06 as of 6.15_AIF VI  VII Summary Dec 2008 v3 16" xfId="3288" xr:uid="{00000000-0005-0000-0000-0000D00C0000}"/>
    <cellStyle name="_Consolidation Summ - 12.31.06 as of 6.15_AIF VI  VII Summary Dec 2008 v3 17" xfId="3289" xr:uid="{00000000-0005-0000-0000-0000D10C0000}"/>
    <cellStyle name="_Consolidation Summ - 12.31.06 as of 6.15_AIF VI  VII Summary Dec 2008 v3 18" xfId="3290" xr:uid="{00000000-0005-0000-0000-0000D20C0000}"/>
    <cellStyle name="_Consolidation Summ - 12.31.06 as of 6.15_AIF VI  VII Summary Dec 2008 v3 19" xfId="3291" xr:uid="{00000000-0005-0000-0000-0000D30C0000}"/>
    <cellStyle name="_Consolidation Summ - 12.31.06 as of 6.15_AIF VI  VII Summary Dec 2008 v3 2" xfId="3292" xr:uid="{00000000-0005-0000-0000-0000D40C0000}"/>
    <cellStyle name="_Consolidation Summ - 12.31.06 as of 6.15_AIF VI  VII Summary Dec 2008 v3 2 2" xfId="3293" xr:uid="{00000000-0005-0000-0000-0000D50C0000}"/>
    <cellStyle name="_Consolidation Summ - 12.31.06 as of 6.15_AIF VI  VII Summary Dec 2008 v3 20" xfId="3294" xr:uid="{00000000-0005-0000-0000-0000D60C0000}"/>
    <cellStyle name="_Consolidation Summ - 12.31.06 as of 6.15_AIF VI  VII Summary Dec 2008 v3 21" xfId="3295" xr:uid="{00000000-0005-0000-0000-0000D70C0000}"/>
    <cellStyle name="_Consolidation Summ - 12.31.06 as of 6.15_AIF VI  VII Summary Dec 2008 v3 22" xfId="3296" xr:uid="{00000000-0005-0000-0000-0000D80C0000}"/>
    <cellStyle name="_Consolidation Summ - 12.31.06 as of 6.15_AIF VI  VII Summary Dec 2008 v3 23" xfId="3297" xr:uid="{00000000-0005-0000-0000-0000D90C0000}"/>
    <cellStyle name="_Consolidation Summ - 12.31.06 as of 6.15_AIF VI  VII Summary Dec 2008 v3 3" xfId="3298" xr:uid="{00000000-0005-0000-0000-0000DA0C0000}"/>
    <cellStyle name="_Consolidation Summ - 12.31.06 as of 6.15_AIF VI  VII Summary Dec 2008 v3 3 2" xfId="3299" xr:uid="{00000000-0005-0000-0000-0000DB0C0000}"/>
    <cellStyle name="_Consolidation Summ - 12.31.06 as of 6.15_AIF VI  VII Summary Dec 2008 v3 4" xfId="3300" xr:uid="{00000000-0005-0000-0000-0000DC0C0000}"/>
    <cellStyle name="_Consolidation Summ - 12.31.06 as of 6.15_AIF VI  VII Summary Dec 2008 v3 5" xfId="3301" xr:uid="{00000000-0005-0000-0000-0000DD0C0000}"/>
    <cellStyle name="_Consolidation Summ - 12.31.06 as of 6.15_AIF VI  VII Summary Dec 2008 v3 6" xfId="3302" xr:uid="{00000000-0005-0000-0000-0000DE0C0000}"/>
    <cellStyle name="_Consolidation Summ - 12.31.06 as of 6.15_AIF VI  VII Summary Dec 2008 v3 7" xfId="3303" xr:uid="{00000000-0005-0000-0000-0000DF0C0000}"/>
    <cellStyle name="_Consolidation Summ - 12.31.06 as of 6.15_AIF VI  VII Summary Dec 2008 v3 8" xfId="3304" xr:uid="{00000000-0005-0000-0000-0000E00C0000}"/>
    <cellStyle name="_Consolidation Summ - 12.31.06 as of 6.15_AIF VI  VII Summary Dec 2008 v3 9" xfId="3305" xr:uid="{00000000-0005-0000-0000-0000E10C0000}"/>
    <cellStyle name="_Consolidation Summ - 12.31.06 as of 6.15_AIF VI  VII Summary Dec 2008 v3_AIF VI - BondcoVI_Entities Invested Capital (CURRENT)" xfId="3306" xr:uid="{00000000-0005-0000-0000-0000E20C0000}"/>
    <cellStyle name="_Consolidation Summ - 12.31.06 as of 6.15_AIF VI  VII Summary Dec 2008 v3_IC Balance" xfId="3307" xr:uid="{00000000-0005-0000-0000-0000E30C0000}"/>
    <cellStyle name="_Consolidation Summ - 12.31.06 as of 6.15_AIF VI  VII Summary Dec 2008 v3_Invested Capital Debt Worksheet" xfId="3308" xr:uid="{00000000-0005-0000-0000-0000E40C0000}"/>
    <cellStyle name="_Consolidation Summ - 12.31.06 as of 6.15_AIF VI  VII Summary Dec 2008 v3_MMF Income" xfId="3309" xr:uid="{00000000-0005-0000-0000-0000E50C0000}"/>
    <cellStyle name="_Consolidation Summ - 12.31.06 as of 6.15_AIF VI  VII Summary Dec 2008 v3_Realized Gain Loss" xfId="3310" xr:uid="{00000000-0005-0000-0000-0000E60C0000}"/>
    <cellStyle name="_Consolidation Summ - 12.31.06 as of 6.15_AIF VI Broadleaf Watefall Summary as of 6-30-09 FINAL" xfId="3311" xr:uid="{00000000-0005-0000-0000-0000E70C0000}"/>
    <cellStyle name="_Consolidation Summ - 12.31.06 as of 6.15_AIF VI Broadleaf Watefall Summary as of 9-30-09" xfId="3312" xr:uid="{00000000-0005-0000-0000-0000E80C0000}"/>
    <cellStyle name="_Consolidation Summ - 12.31.06 as of 6.15_AIF VI CBA 3.20.08" xfId="3313" xr:uid="{00000000-0005-0000-0000-0000E90C0000}"/>
    <cellStyle name="_Consolidation Summ - 12.31.06 as of 6.15_AIF VI CBA 3.20.08 2" xfId="3314" xr:uid="{00000000-0005-0000-0000-0000EA0C0000}"/>
    <cellStyle name="_Consolidation Summ - 12.31.06 as of 6.15_AIF VI CBA 3.20.08 3" xfId="3315" xr:uid="{00000000-0005-0000-0000-0000EB0C0000}"/>
    <cellStyle name="_Consolidation Summ - 12.31.06 as of 6.15_AIF VI CBA 3.20.08_AIF VI - BondcoVI_Entities Invested Capital (CURRENT)" xfId="3316" xr:uid="{00000000-0005-0000-0000-0000EC0C0000}"/>
    <cellStyle name="_Consolidation Summ - 12.31.06 as of 6.15_AIF VI CBA 3.20.08_IC Balance" xfId="3317" xr:uid="{00000000-0005-0000-0000-0000ED0C0000}"/>
    <cellStyle name="_Consolidation Summ - 12.31.06 as of 6.15_AIF VI CBA 3.20.08_Invested Capital Debt Worksheet" xfId="3318" xr:uid="{00000000-0005-0000-0000-0000EE0C0000}"/>
    <cellStyle name="_Consolidation Summ - 12.31.06 as of 6.15_AIF VI CBA 3.20.08_MMF Income" xfId="3319" xr:uid="{00000000-0005-0000-0000-0000EF0C0000}"/>
    <cellStyle name="_Consolidation Summ - 12.31.06 as of 6.15_AIF VI CBA 3.20.08_Realized Gain Loss" xfId="3320" xr:uid="{00000000-0005-0000-0000-0000F00C0000}"/>
    <cellStyle name="_Consolidation Summ - 12.31.06 as of 6.15_AIF VII Capital Balance Analysis INCEPTION to 09-30-08 on 10-13-08 8am" xfId="3321" xr:uid="{00000000-0005-0000-0000-0000F10C0000}"/>
    <cellStyle name="_Consolidation Summ - 12.31.06 as of 6.15_AIF VII Capital Balance Analysis INCEPTION to 09-30-08 on 10-13-08 8am 2" xfId="3322" xr:uid="{00000000-0005-0000-0000-0000F20C0000}"/>
    <cellStyle name="_Consolidation Summ - 12.31.06 as of 6.15_AIF VII Capital Balance Analysis INCEPTION to 09-30-08 on 10-13-08 8am 2 2" xfId="3323" xr:uid="{00000000-0005-0000-0000-0000F30C0000}"/>
    <cellStyle name="_Consolidation Summ - 12.31.06 as of 6.15_AIF VII Capital Balance Analysis INCEPTION to 09-30-08 on 10-13-08 8am 3" xfId="3324" xr:uid="{00000000-0005-0000-0000-0000F40C0000}"/>
    <cellStyle name="_Consolidation Summ - 12.31.06 as of 6.15_AIF VII Capital Balance Analysis INCEPTION to 09-30-08 on 10-13-08 8am_AIF VI - BondcoVI_Entities Invested Capital (CURRENT)" xfId="3325" xr:uid="{00000000-0005-0000-0000-0000F50C0000}"/>
    <cellStyle name="_Consolidation Summ - 12.31.06 as of 6.15_AIF VII Capital Balance Analysis INCEPTION to 09-30-08 on 10-13-08 8am_IC Balance" xfId="3326" xr:uid="{00000000-0005-0000-0000-0000F60C0000}"/>
    <cellStyle name="_Consolidation Summ - 12.31.06 as of 6.15_AIF VII Capital Balance Analysis INCEPTION to 09-30-08 on 10-13-08 8am_Invested Capital Debt Worksheet" xfId="3327" xr:uid="{00000000-0005-0000-0000-0000F70C0000}"/>
    <cellStyle name="_Consolidation Summ - 12.31.06 as of 6.15_AIF VII Capital Balance Analysis INCEPTION to 09-30-08 on 10-13-08 8am_MMF Income" xfId="3328" xr:uid="{00000000-0005-0000-0000-0000F80C0000}"/>
    <cellStyle name="_Consolidation Summ - 12.31.06 as of 6.15_AIF VII Capital Balance Analysis INCEPTION to 09-30-08 on 10-13-08 8am_Realized Gain Loss" xfId="3329" xr:uid="{00000000-0005-0000-0000-0000F90C0000}"/>
    <cellStyle name="_Consolidation Summ - 12.31.06 as of 6.15_Andy Affrick - Schedulev2" xfId="3330" xr:uid="{00000000-0005-0000-0000-0000FA0C0000}"/>
    <cellStyle name="_Consolidation Summ - 12.31.06 as of 6.15_Apollo Advisors IV 12-31-08 GAAP TB Final" xfId="3331" xr:uid="{00000000-0005-0000-0000-0000FB0C0000}"/>
    <cellStyle name="_Consolidation Summ - 12.31.06 as of 6.15_Apollo Advisors IV 12-31-08 TB (Revised for Aggr PR)" xfId="3332" xr:uid="{00000000-0005-0000-0000-0000FC0C0000}"/>
    <cellStyle name="_Consolidation Summ - 12.31.06 as of 6.15_Apollo Advisors IV 6-30-09 GAAP TB" xfId="3333" xr:uid="{00000000-0005-0000-0000-0000FD0C0000}"/>
    <cellStyle name="_Consolidation Summ - 12.31.06 as of 6.15_Apollo Advisors V 09-30-08 CURRENT" xfId="3334" xr:uid="{00000000-0005-0000-0000-0000FE0C0000}"/>
    <cellStyle name="_Consolidation Summ - 12.31.06 as of 6.15_Apollo Investment Fund IV  April Priority Return" xfId="3335" xr:uid="{00000000-0005-0000-0000-0000FF0C0000}"/>
    <cellStyle name="_Consolidation Summ - 12.31.06 as of 6.15_Book4" xfId="3336" xr:uid="{00000000-0005-0000-0000-0000000D0000}"/>
    <cellStyle name="_Consolidation Summ - 12.31.06 as of 6.15_Book4 10" xfId="3337" xr:uid="{00000000-0005-0000-0000-0000010D0000}"/>
    <cellStyle name="_Consolidation Summ - 12.31.06 as of 6.15_Book4 11" xfId="3338" xr:uid="{00000000-0005-0000-0000-0000020D0000}"/>
    <cellStyle name="_Consolidation Summ - 12.31.06 as of 6.15_Book4 12" xfId="3339" xr:uid="{00000000-0005-0000-0000-0000030D0000}"/>
    <cellStyle name="_Consolidation Summ - 12.31.06 as of 6.15_Book4 13" xfId="3340" xr:uid="{00000000-0005-0000-0000-0000040D0000}"/>
    <cellStyle name="_Consolidation Summ - 12.31.06 as of 6.15_Book4 14" xfId="3341" xr:uid="{00000000-0005-0000-0000-0000050D0000}"/>
    <cellStyle name="_Consolidation Summ - 12.31.06 as of 6.15_Book4 15" xfId="3342" xr:uid="{00000000-0005-0000-0000-0000060D0000}"/>
    <cellStyle name="_Consolidation Summ - 12.31.06 as of 6.15_Book4 16" xfId="3343" xr:uid="{00000000-0005-0000-0000-0000070D0000}"/>
    <cellStyle name="_Consolidation Summ - 12.31.06 as of 6.15_Book4 17" xfId="3344" xr:uid="{00000000-0005-0000-0000-0000080D0000}"/>
    <cellStyle name="_Consolidation Summ - 12.31.06 as of 6.15_Book4 18" xfId="3345" xr:uid="{00000000-0005-0000-0000-0000090D0000}"/>
    <cellStyle name="_Consolidation Summ - 12.31.06 as of 6.15_Book4 19" xfId="3346" xr:uid="{00000000-0005-0000-0000-00000A0D0000}"/>
    <cellStyle name="_Consolidation Summ - 12.31.06 as of 6.15_Book4 2" xfId="3347" xr:uid="{00000000-0005-0000-0000-00000B0D0000}"/>
    <cellStyle name="_Consolidation Summ - 12.31.06 as of 6.15_Book4 2 2" xfId="3348" xr:uid="{00000000-0005-0000-0000-00000C0D0000}"/>
    <cellStyle name="_Consolidation Summ - 12.31.06 as of 6.15_Book4 20" xfId="3349" xr:uid="{00000000-0005-0000-0000-00000D0D0000}"/>
    <cellStyle name="_Consolidation Summ - 12.31.06 as of 6.15_Book4 21" xfId="3350" xr:uid="{00000000-0005-0000-0000-00000E0D0000}"/>
    <cellStyle name="_Consolidation Summ - 12.31.06 as of 6.15_Book4 22" xfId="3351" xr:uid="{00000000-0005-0000-0000-00000F0D0000}"/>
    <cellStyle name="_Consolidation Summ - 12.31.06 as of 6.15_Book4 23" xfId="3352" xr:uid="{00000000-0005-0000-0000-0000100D0000}"/>
    <cellStyle name="_Consolidation Summ - 12.31.06 as of 6.15_Book4 23 2" xfId="3353" xr:uid="{00000000-0005-0000-0000-0000110D0000}"/>
    <cellStyle name="_Consolidation Summ - 12.31.06 as of 6.15_Book4 3" xfId="3354" xr:uid="{00000000-0005-0000-0000-0000120D0000}"/>
    <cellStyle name="_Consolidation Summ - 12.31.06 as of 6.15_Book4 3 2" xfId="3355" xr:uid="{00000000-0005-0000-0000-0000130D0000}"/>
    <cellStyle name="_Consolidation Summ - 12.31.06 as of 6.15_Book4 4" xfId="3356" xr:uid="{00000000-0005-0000-0000-0000140D0000}"/>
    <cellStyle name="_Consolidation Summ - 12.31.06 as of 6.15_Book4 5" xfId="3357" xr:uid="{00000000-0005-0000-0000-0000150D0000}"/>
    <cellStyle name="_Consolidation Summ - 12.31.06 as of 6.15_Book4 6" xfId="3358" xr:uid="{00000000-0005-0000-0000-0000160D0000}"/>
    <cellStyle name="_Consolidation Summ - 12.31.06 as of 6.15_Book4 7" xfId="3359" xr:uid="{00000000-0005-0000-0000-0000170D0000}"/>
    <cellStyle name="_Consolidation Summ - 12.31.06 as of 6.15_Book4 8" xfId="3360" xr:uid="{00000000-0005-0000-0000-0000180D0000}"/>
    <cellStyle name="_Consolidation Summ - 12.31.06 as of 6.15_Book4 9" xfId="3361" xr:uid="{00000000-0005-0000-0000-0000190D0000}"/>
    <cellStyle name="_Consolidation Summ - 12.31.06 as of 6.15_Book4_2.10.10 LS Distribution" xfId="3362" xr:uid="{00000000-0005-0000-0000-00001A0D0000}"/>
    <cellStyle name="_Consolidation Summ - 12.31.06 as of 6.15_Book4_AIF VI - BondcoVI_Entities Invested Capital (CURRENT)" xfId="3363" xr:uid="{00000000-0005-0000-0000-00001B0D0000}"/>
    <cellStyle name="_Consolidation Summ - 12.31.06 as of 6.15_Book4_AIF VI Broadleaf Watefall Summary as of 6-30-09 FINAL" xfId="3364" xr:uid="{00000000-0005-0000-0000-00001C0D0000}"/>
    <cellStyle name="_Consolidation Summ - 12.31.06 as of 6.15_Book4_AIF VI Broadleaf Watefall Summary as of 9-30-09" xfId="3365" xr:uid="{00000000-0005-0000-0000-00001D0D0000}"/>
    <cellStyle name="_Consolidation Summ - 12.31.06 as of 6.15_Book4_Broadleaf Watefall 12-31-09" xfId="3366" xr:uid="{00000000-0005-0000-0000-00001E0D0000}"/>
    <cellStyle name="_Consolidation Summ - 12.31.06 as of 6.15_Book4_Broadleaf Watefall 6-30-09" xfId="3367" xr:uid="{00000000-0005-0000-0000-00001F0D0000}"/>
    <cellStyle name="_Consolidation Summ - 12.31.06 as of 6.15_Book4_Broadleaf Watefall 9-30-09" xfId="3368" xr:uid="{00000000-0005-0000-0000-0000200D0000}"/>
    <cellStyle name="_Consolidation Summ - 12.31.06 as of 6.15_Book4_Copy of AGM Dec '09 YTD COF I and II Dep  Liab (1-13-10) (2)" xfId="3369" xr:uid="{00000000-0005-0000-0000-0000210D0000}"/>
    <cellStyle name="_Consolidation Summ - 12.31.06 as of 6.15_Book4_IC Balance" xfId="3370" xr:uid="{00000000-0005-0000-0000-0000220D0000}"/>
    <cellStyle name="_Consolidation Summ - 12.31.06 as of 6.15_Book4_Invested Capital Debt Worksheet" xfId="3371" xr:uid="{00000000-0005-0000-0000-0000230D0000}"/>
    <cellStyle name="_Consolidation Summ - 12.31.06 as of 6.15_Book4_MMF Income" xfId="3372" xr:uid="{00000000-0005-0000-0000-0000240D0000}"/>
    <cellStyle name="_Consolidation Summ - 12.31.06 as of 6.15_Book4_Realized Gain Loss" xfId="3373" xr:uid="{00000000-0005-0000-0000-0000250D0000}"/>
    <cellStyle name="_Consolidation Summ - 12.31.06 as of 6.15_Book4_TX Details" xfId="3374" xr:uid="{00000000-0005-0000-0000-0000260D0000}"/>
    <cellStyle name="_Consolidation Summ - 12.31.06 as of 6.15_Broadleaf Watefall 12-31-09" xfId="3375" xr:uid="{00000000-0005-0000-0000-0000270D0000}"/>
    <cellStyle name="_Consolidation Summ - 12.31.06 as of 6.15_Broadleaf Watefall 6-30-09" xfId="3376" xr:uid="{00000000-0005-0000-0000-0000280D0000}"/>
    <cellStyle name="_Consolidation Summ - 12.31.06 as of 6.15_Broadleaf Watefall 9-30-09" xfId="3377" xr:uid="{00000000-0005-0000-0000-0000290D0000}"/>
    <cellStyle name="_Consolidation Summ - 12.31.06 as of 6.15_CALCS" xfId="3378" xr:uid="{00000000-0005-0000-0000-00002A0D0000}"/>
    <cellStyle name="_Consolidation Summ - 12.31.06 as of 6.15_CALCS 10" xfId="3379" xr:uid="{00000000-0005-0000-0000-00002B0D0000}"/>
    <cellStyle name="_Consolidation Summ - 12.31.06 as of 6.15_CALCS 11" xfId="3380" xr:uid="{00000000-0005-0000-0000-00002C0D0000}"/>
    <cellStyle name="_Consolidation Summ - 12.31.06 as of 6.15_CALCS 12" xfId="3381" xr:uid="{00000000-0005-0000-0000-00002D0D0000}"/>
    <cellStyle name="_Consolidation Summ - 12.31.06 as of 6.15_CALCS 13" xfId="3382" xr:uid="{00000000-0005-0000-0000-00002E0D0000}"/>
    <cellStyle name="_Consolidation Summ - 12.31.06 as of 6.15_CALCS 14" xfId="3383" xr:uid="{00000000-0005-0000-0000-00002F0D0000}"/>
    <cellStyle name="_Consolidation Summ - 12.31.06 as of 6.15_CALCS 15" xfId="3384" xr:uid="{00000000-0005-0000-0000-0000300D0000}"/>
    <cellStyle name="_Consolidation Summ - 12.31.06 as of 6.15_CALCS 16" xfId="3385" xr:uid="{00000000-0005-0000-0000-0000310D0000}"/>
    <cellStyle name="_Consolidation Summ - 12.31.06 as of 6.15_CALCS 17" xfId="3386" xr:uid="{00000000-0005-0000-0000-0000320D0000}"/>
    <cellStyle name="_Consolidation Summ - 12.31.06 as of 6.15_CALCS 18" xfId="3387" xr:uid="{00000000-0005-0000-0000-0000330D0000}"/>
    <cellStyle name="_Consolidation Summ - 12.31.06 as of 6.15_CALCS 19" xfId="3388" xr:uid="{00000000-0005-0000-0000-0000340D0000}"/>
    <cellStyle name="_Consolidation Summ - 12.31.06 as of 6.15_CALCS 2" xfId="3389" xr:uid="{00000000-0005-0000-0000-0000350D0000}"/>
    <cellStyle name="_Consolidation Summ - 12.31.06 as of 6.15_CALCS 2 2" xfId="3390" xr:uid="{00000000-0005-0000-0000-0000360D0000}"/>
    <cellStyle name="_Consolidation Summ - 12.31.06 as of 6.15_CALCS 20" xfId="3391" xr:uid="{00000000-0005-0000-0000-0000370D0000}"/>
    <cellStyle name="_Consolidation Summ - 12.31.06 as of 6.15_CALCS 21" xfId="3392" xr:uid="{00000000-0005-0000-0000-0000380D0000}"/>
    <cellStyle name="_Consolidation Summ - 12.31.06 as of 6.15_CALCS 22" xfId="3393" xr:uid="{00000000-0005-0000-0000-0000390D0000}"/>
    <cellStyle name="_Consolidation Summ - 12.31.06 as of 6.15_CALCS 23" xfId="3394" xr:uid="{00000000-0005-0000-0000-00003A0D0000}"/>
    <cellStyle name="_Consolidation Summ - 12.31.06 as of 6.15_CALCS 3" xfId="3395" xr:uid="{00000000-0005-0000-0000-00003B0D0000}"/>
    <cellStyle name="_Consolidation Summ - 12.31.06 as of 6.15_CALCS 3 2" xfId="3396" xr:uid="{00000000-0005-0000-0000-00003C0D0000}"/>
    <cellStyle name="_Consolidation Summ - 12.31.06 as of 6.15_CALCS 4" xfId="3397" xr:uid="{00000000-0005-0000-0000-00003D0D0000}"/>
    <cellStyle name="_Consolidation Summ - 12.31.06 as of 6.15_CALCS 5" xfId="3398" xr:uid="{00000000-0005-0000-0000-00003E0D0000}"/>
    <cellStyle name="_Consolidation Summ - 12.31.06 as of 6.15_CALCS 6" xfId="3399" xr:uid="{00000000-0005-0000-0000-00003F0D0000}"/>
    <cellStyle name="_Consolidation Summ - 12.31.06 as of 6.15_CALCS 7" xfId="3400" xr:uid="{00000000-0005-0000-0000-0000400D0000}"/>
    <cellStyle name="_Consolidation Summ - 12.31.06 as of 6.15_CALCS 8" xfId="3401" xr:uid="{00000000-0005-0000-0000-0000410D0000}"/>
    <cellStyle name="_Consolidation Summ - 12.31.06 as of 6.15_CALCS 9" xfId="3402" xr:uid="{00000000-0005-0000-0000-0000420D0000}"/>
    <cellStyle name="_Consolidation Summ - 12.31.06 as of 6.15_CALCS_AIF VI - BondcoVI_Entities Invested Capital (CURRENT)" xfId="3403" xr:uid="{00000000-0005-0000-0000-0000430D0000}"/>
    <cellStyle name="_Consolidation Summ - 12.31.06 as of 6.15_CALCS_AIF VI Broadleaf Watefall Summary as of 6-30-09 FINAL" xfId="3404" xr:uid="{00000000-0005-0000-0000-0000440D0000}"/>
    <cellStyle name="_Consolidation Summ - 12.31.06 as of 6.15_CALCS_AIF VI Broadleaf Watefall Summary as of 9-30-09" xfId="3405" xr:uid="{00000000-0005-0000-0000-0000450D0000}"/>
    <cellStyle name="_Consolidation Summ - 12.31.06 as of 6.15_CALCS_Broadleaf Watefall 12-31-09" xfId="3406" xr:uid="{00000000-0005-0000-0000-0000460D0000}"/>
    <cellStyle name="_Consolidation Summ - 12.31.06 as of 6.15_CALCS_Broadleaf Watefall 6-30-09" xfId="3407" xr:uid="{00000000-0005-0000-0000-0000470D0000}"/>
    <cellStyle name="_Consolidation Summ - 12.31.06 as of 6.15_CALCS_Broadleaf Watefall 9-30-09" xfId="3408" xr:uid="{00000000-0005-0000-0000-0000480D0000}"/>
    <cellStyle name="_Consolidation Summ - 12.31.06 as of 6.15_CALCS_IC Balance" xfId="3409" xr:uid="{00000000-0005-0000-0000-0000490D0000}"/>
    <cellStyle name="_Consolidation Summ - 12.31.06 as of 6.15_CALCS_Invested Capital Debt Worksheet" xfId="3410" xr:uid="{00000000-0005-0000-0000-00004A0D0000}"/>
    <cellStyle name="_Consolidation Summ - 12.31.06 as of 6.15_CALCS_MMF Income" xfId="3411" xr:uid="{00000000-0005-0000-0000-00004B0D0000}"/>
    <cellStyle name="_Consolidation Summ - 12.31.06 as of 6.15_CALCS_Realized Gain Loss" xfId="3412" xr:uid="{00000000-0005-0000-0000-00004C0D0000}"/>
    <cellStyle name="_Consolidation Summ - 12.31.06 as of 6.15_Carry Calculation" xfId="3413" xr:uid="{00000000-0005-0000-0000-00004D0D0000}"/>
    <cellStyle name="_Consolidation Summ - 12.31.06 as of 6.15_Co Inv D Valuation 12-31-08" xfId="3414" xr:uid="{00000000-0005-0000-0000-00004E0D0000}"/>
    <cellStyle name="_Consolidation Summ - 12.31.06 as of 6.15_Co Inv D Valuation 12-31-08 2" xfId="3415" xr:uid="{00000000-0005-0000-0000-00004F0D0000}"/>
    <cellStyle name="_Consolidation Summ - 12.31.06 as of 6.15_Copy of AGM Dec '09 YTD COF I and II Dep  Liab (1-13-10) (2)" xfId="3416" xr:uid="{00000000-0005-0000-0000-0000500D0000}"/>
    <cellStyle name="_Consolidation Summ - 12.31.06 as of 6.15_Domestic FS 12-31-08 v3-20-09" xfId="3417" xr:uid="{00000000-0005-0000-0000-0000510D0000}"/>
    <cellStyle name="_Consolidation Summ - 12.31.06 as of 6.15_Domestic FS 12-31-08 v3-20-09 2" xfId="3418" xr:uid="{00000000-0005-0000-0000-0000520D0000}"/>
    <cellStyle name="_Consolidation Summ - 12.31.06 as of 6.15_Domestic FS 12-31-08 v3-20-09 3" xfId="3419" xr:uid="{00000000-0005-0000-0000-0000530D0000}"/>
    <cellStyle name="_Consolidation Summ - 12.31.06 as of 6.15_Domestic FS 12-31-08 v3-20-09_AIF VI - BondcoVI_Entities Invested Capital (CURRENT)" xfId="3420" xr:uid="{00000000-0005-0000-0000-0000540D0000}"/>
    <cellStyle name="_Consolidation Summ - 12.31.06 as of 6.15_Domestic FS 12-31-08 v3-20-09_IC Balance" xfId="3421" xr:uid="{00000000-0005-0000-0000-0000550D0000}"/>
    <cellStyle name="_Consolidation Summ - 12.31.06 as of 6.15_Domestic FS 12-31-08 v3-20-09_Invested Capital Debt Worksheet" xfId="3422" xr:uid="{00000000-0005-0000-0000-0000560D0000}"/>
    <cellStyle name="_Consolidation Summ - 12.31.06 as of 6.15_Domestic FS 12-31-08 v3-20-09_MMF Income" xfId="3423" xr:uid="{00000000-0005-0000-0000-0000570D0000}"/>
    <cellStyle name="_Consolidation Summ - 12.31.06 as of 6.15_Domestic FS 12-31-08 v3-20-09_Realized Gain Loss" xfId="3424" xr:uid="{00000000-0005-0000-0000-0000580D0000}"/>
    <cellStyle name="_Consolidation Summ - 12.31.06 as of 6.15_Domestic TB" xfId="3425" xr:uid="{00000000-0005-0000-0000-0000590D0000}"/>
    <cellStyle name="_Consolidation Summ - 12.31.06 as of 6.15_Fund IV" xfId="3426" xr:uid="{00000000-0005-0000-0000-00005A0D0000}"/>
    <cellStyle name="_Consolidation Summ - 12.31.06 as of 6.15_Fund IV 9.30.08" xfId="3427" xr:uid="{00000000-0005-0000-0000-00005B0D0000}"/>
    <cellStyle name="_Consolidation Summ - 12.31.06 as of 6.15_Fund IV_1" xfId="3428" xr:uid="{00000000-0005-0000-0000-00005C0D0000}"/>
    <cellStyle name="_Consolidation Summ - 12.31.06 as of 6.15_Fund IV_2" xfId="3429" xr:uid="{00000000-0005-0000-0000-00005D0D0000}"/>
    <cellStyle name="_Consolidation Summ - 12.31.06 as of 6.15_Funds IV Clawback Adjustment Summary" xfId="3430" xr:uid="{00000000-0005-0000-0000-00005E0D0000}"/>
    <cellStyle name="_Consolidation Summ - 12.31.06 as of 6.15_Funds IV Clawback Value Adjustment" xfId="3431" xr:uid="{00000000-0005-0000-0000-00005F0D0000}"/>
    <cellStyle name="_Consolidation Summ - 12.31.06 as of 6.15_Hexicon Adj" xfId="3432" xr:uid="{00000000-0005-0000-0000-0000600D0000}"/>
    <cellStyle name="_Consolidation Summ - 12.31.06 as of 6.15_IC Balance" xfId="3433" xr:uid="{00000000-0005-0000-0000-0000610D0000}"/>
    <cellStyle name="_Consolidation Summ - 12.31.06 as of 6.15_Inv Cap Roll" xfId="3434" xr:uid="{00000000-0005-0000-0000-0000620D0000}"/>
    <cellStyle name="_Consolidation Summ - 12.31.06 as of 6.15_Inv Cap Roll 2" xfId="3435" xr:uid="{00000000-0005-0000-0000-0000630D0000}"/>
    <cellStyle name="_Consolidation Summ - 12.31.06 as of 6.15_Inv Cap Roll 2 2" xfId="3436" xr:uid="{00000000-0005-0000-0000-0000640D0000}"/>
    <cellStyle name="_Consolidation Summ - 12.31.06 as of 6.15_Inv Cap Roll 3" xfId="3437" xr:uid="{00000000-0005-0000-0000-0000650D0000}"/>
    <cellStyle name="_Consolidation Summ - 12.31.06 as of 6.15_Inv Cap Roll_AIF VI - BondcoVI_Entities Invested Capital (CURRENT)" xfId="3438" xr:uid="{00000000-0005-0000-0000-0000660D0000}"/>
    <cellStyle name="_Consolidation Summ - 12.31.06 as of 6.15_Inv Cap Roll_IC Balance" xfId="3439" xr:uid="{00000000-0005-0000-0000-0000670D0000}"/>
    <cellStyle name="_Consolidation Summ - 12.31.06 as of 6.15_Inv Cap Roll_Invested Capital Debt Worksheet" xfId="3440" xr:uid="{00000000-0005-0000-0000-0000680D0000}"/>
    <cellStyle name="_Consolidation Summ - 12.31.06 as of 6.15_Inv Cap Roll_MMF Income" xfId="3441" xr:uid="{00000000-0005-0000-0000-0000690D0000}"/>
    <cellStyle name="_Consolidation Summ - 12.31.06 as of 6.15_Inv Cap Roll_Realized Gain Loss" xfId="3442" xr:uid="{00000000-0005-0000-0000-00006A0D0000}"/>
    <cellStyle name="_Consolidation Summ - 12.31.06 as of 6.15_Invested Capital Debt Worksheet" xfId="3443" xr:uid="{00000000-0005-0000-0000-00006B0D0000}"/>
    <cellStyle name="_Consolidation Summ - 12.31.06 as of 6.15_LS, LP - Dec  2010 Trial Balance Summary" xfId="3444" xr:uid="{00000000-0005-0000-0000-00006C0D0000}"/>
    <cellStyle name="_Consolidation Summ - 12.31.06 as of 6.15_MMF Income" xfId="3445" xr:uid="{00000000-0005-0000-0000-00006D0D0000}"/>
    <cellStyle name="_Consolidation Summ - 12.31.06 as of 6.15_Partners Capital Q1 2009" xfId="3446" xr:uid="{00000000-0005-0000-0000-00006E0D0000}"/>
    <cellStyle name="_Consolidation Summ - 12.31.06 as of 6.15_Placement Fee Summary 05-14-09 - Current (2)" xfId="3447" xr:uid="{00000000-0005-0000-0000-00006F0D0000}"/>
    <cellStyle name="_Consolidation Summ - 12.31.06 as of 6.15_PR Calc" xfId="3448" xr:uid="{00000000-0005-0000-0000-0000700D0000}"/>
    <cellStyle name="_Consolidation Summ - 12.31.06 as of 6.15_Priority Return" xfId="3449" xr:uid="{00000000-0005-0000-0000-0000710D0000}"/>
    <cellStyle name="_Consolidation Summ - 12.31.06 as of 6.15_Priority Return 10" xfId="3450" xr:uid="{00000000-0005-0000-0000-0000720D0000}"/>
    <cellStyle name="_Consolidation Summ - 12.31.06 as of 6.15_Priority Return 11" xfId="3451" xr:uid="{00000000-0005-0000-0000-0000730D0000}"/>
    <cellStyle name="_Consolidation Summ - 12.31.06 as of 6.15_Priority Return 12" xfId="3452" xr:uid="{00000000-0005-0000-0000-0000740D0000}"/>
    <cellStyle name="_Consolidation Summ - 12.31.06 as of 6.15_Priority Return 13" xfId="3453" xr:uid="{00000000-0005-0000-0000-0000750D0000}"/>
    <cellStyle name="_Consolidation Summ - 12.31.06 as of 6.15_Priority Return 14" xfId="3454" xr:uid="{00000000-0005-0000-0000-0000760D0000}"/>
    <cellStyle name="_Consolidation Summ - 12.31.06 as of 6.15_Priority Return 15" xfId="3455" xr:uid="{00000000-0005-0000-0000-0000770D0000}"/>
    <cellStyle name="_Consolidation Summ - 12.31.06 as of 6.15_Priority Return 16" xfId="3456" xr:uid="{00000000-0005-0000-0000-0000780D0000}"/>
    <cellStyle name="_Consolidation Summ - 12.31.06 as of 6.15_Priority Return 17" xfId="3457" xr:uid="{00000000-0005-0000-0000-0000790D0000}"/>
    <cellStyle name="_Consolidation Summ - 12.31.06 as of 6.15_Priority Return 18" xfId="3458" xr:uid="{00000000-0005-0000-0000-00007A0D0000}"/>
    <cellStyle name="_Consolidation Summ - 12.31.06 as of 6.15_Priority Return 19" xfId="3459" xr:uid="{00000000-0005-0000-0000-00007B0D0000}"/>
    <cellStyle name="_Consolidation Summ - 12.31.06 as of 6.15_Priority Return 2" xfId="3460" xr:uid="{00000000-0005-0000-0000-00007C0D0000}"/>
    <cellStyle name="_Consolidation Summ - 12.31.06 as of 6.15_Priority Return 2 2" xfId="3461" xr:uid="{00000000-0005-0000-0000-00007D0D0000}"/>
    <cellStyle name="_Consolidation Summ - 12.31.06 as of 6.15_Priority Return 20" xfId="3462" xr:uid="{00000000-0005-0000-0000-00007E0D0000}"/>
    <cellStyle name="_Consolidation Summ - 12.31.06 as of 6.15_Priority Return 21" xfId="3463" xr:uid="{00000000-0005-0000-0000-00007F0D0000}"/>
    <cellStyle name="_Consolidation Summ - 12.31.06 as of 6.15_Priority Return 22" xfId="3464" xr:uid="{00000000-0005-0000-0000-0000800D0000}"/>
    <cellStyle name="_Consolidation Summ - 12.31.06 as of 6.15_Priority Return 23" xfId="3465" xr:uid="{00000000-0005-0000-0000-0000810D0000}"/>
    <cellStyle name="_Consolidation Summ - 12.31.06 as of 6.15_Priority Return 3" xfId="3466" xr:uid="{00000000-0005-0000-0000-0000820D0000}"/>
    <cellStyle name="_Consolidation Summ - 12.31.06 as of 6.15_Priority Return 3 2" xfId="3467" xr:uid="{00000000-0005-0000-0000-0000830D0000}"/>
    <cellStyle name="_Consolidation Summ - 12.31.06 as of 6.15_Priority Return 4" xfId="3468" xr:uid="{00000000-0005-0000-0000-0000840D0000}"/>
    <cellStyle name="_Consolidation Summ - 12.31.06 as of 6.15_Priority Return 5" xfId="3469" xr:uid="{00000000-0005-0000-0000-0000850D0000}"/>
    <cellStyle name="_Consolidation Summ - 12.31.06 as of 6.15_Priority Return 6" xfId="3470" xr:uid="{00000000-0005-0000-0000-0000860D0000}"/>
    <cellStyle name="_Consolidation Summ - 12.31.06 as of 6.15_Priority Return 7" xfId="3471" xr:uid="{00000000-0005-0000-0000-0000870D0000}"/>
    <cellStyle name="_Consolidation Summ - 12.31.06 as of 6.15_Priority Return 8" xfId="3472" xr:uid="{00000000-0005-0000-0000-0000880D0000}"/>
    <cellStyle name="_Consolidation Summ - 12.31.06 as of 6.15_Priority Return 9" xfId="3473" xr:uid="{00000000-0005-0000-0000-0000890D0000}"/>
    <cellStyle name="_Consolidation Summ - 12.31.06 as of 6.15_Priority Return_AIF VI - BondcoVI_Entities Invested Capital (CURRENT)" xfId="3474" xr:uid="{00000000-0005-0000-0000-00008A0D0000}"/>
    <cellStyle name="_Consolidation Summ - 12.31.06 as of 6.15_Priority Return_AIF VI Broadleaf Watefall Summary as of 6-30-09 FINAL" xfId="3475" xr:uid="{00000000-0005-0000-0000-00008B0D0000}"/>
    <cellStyle name="_Consolidation Summ - 12.31.06 as of 6.15_Priority Return_AIF VI Broadleaf Watefall Summary as of 9-30-09" xfId="3476" xr:uid="{00000000-0005-0000-0000-00008C0D0000}"/>
    <cellStyle name="_Consolidation Summ - 12.31.06 as of 6.15_Priority Return_Broadleaf Watefall 12-31-09" xfId="3477" xr:uid="{00000000-0005-0000-0000-00008D0D0000}"/>
    <cellStyle name="_Consolidation Summ - 12.31.06 as of 6.15_Priority Return_Broadleaf Watefall 6-30-09" xfId="3478" xr:uid="{00000000-0005-0000-0000-00008E0D0000}"/>
    <cellStyle name="_Consolidation Summ - 12.31.06 as of 6.15_Priority Return_Broadleaf Watefall 9-30-09" xfId="3479" xr:uid="{00000000-0005-0000-0000-00008F0D0000}"/>
    <cellStyle name="_Consolidation Summ - 12.31.06 as of 6.15_Priority Return_IC Balance" xfId="3480" xr:uid="{00000000-0005-0000-0000-0000900D0000}"/>
    <cellStyle name="_Consolidation Summ - 12.31.06 as of 6.15_Priority Return_Invested Capital Debt Worksheet" xfId="3481" xr:uid="{00000000-0005-0000-0000-0000910D0000}"/>
    <cellStyle name="_Consolidation Summ - 12.31.06 as of 6.15_Priority Return_MMF Income" xfId="3482" xr:uid="{00000000-0005-0000-0000-0000920D0000}"/>
    <cellStyle name="_Consolidation Summ - 12.31.06 as of 6.15_Priority Return_Realized Gain Loss" xfId="3483" xr:uid="{00000000-0005-0000-0000-0000930D0000}"/>
    <cellStyle name="_Consolidation Summ - 12.31.06 as of 6.15_Q1 2011 Pmts" xfId="3484" xr:uid="{00000000-0005-0000-0000-0000940D0000}"/>
    <cellStyle name="_Consolidation Summ - 12.31.06 as of 6.15_Realized Gain Loss" xfId="3485" xr:uid="{00000000-0005-0000-0000-0000950D0000}"/>
    <cellStyle name="_Consolidation Summ - 12.31.06 as of 6.15_Revenue breakout" xfId="3486" xr:uid="{00000000-0005-0000-0000-0000960D0000}"/>
    <cellStyle name="_Consolidation Summ - 12.31.06 as of 6.15_Revenue breakout 10" xfId="3487" xr:uid="{00000000-0005-0000-0000-0000970D0000}"/>
    <cellStyle name="_Consolidation Summ - 12.31.06 as of 6.15_Revenue breakout 11" xfId="3488" xr:uid="{00000000-0005-0000-0000-0000980D0000}"/>
    <cellStyle name="_Consolidation Summ - 12.31.06 as of 6.15_Revenue breakout 12" xfId="3489" xr:uid="{00000000-0005-0000-0000-0000990D0000}"/>
    <cellStyle name="_Consolidation Summ - 12.31.06 as of 6.15_Revenue breakout 13" xfId="3490" xr:uid="{00000000-0005-0000-0000-00009A0D0000}"/>
    <cellStyle name="_Consolidation Summ - 12.31.06 as of 6.15_Revenue breakout 14" xfId="3491" xr:uid="{00000000-0005-0000-0000-00009B0D0000}"/>
    <cellStyle name="_Consolidation Summ - 12.31.06 as of 6.15_Revenue breakout 15" xfId="3492" xr:uid="{00000000-0005-0000-0000-00009C0D0000}"/>
    <cellStyle name="_Consolidation Summ - 12.31.06 as of 6.15_Revenue breakout 16" xfId="3493" xr:uid="{00000000-0005-0000-0000-00009D0D0000}"/>
    <cellStyle name="_Consolidation Summ - 12.31.06 as of 6.15_Revenue breakout 17" xfId="3494" xr:uid="{00000000-0005-0000-0000-00009E0D0000}"/>
    <cellStyle name="_Consolidation Summ - 12.31.06 as of 6.15_Revenue breakout 18" xfId="3495" xr:uid="{00000000-0005-0000-0000-00009F0D0000}"/>
    <cellStyle name="_Consolidation Summ - 12.31.06 as of 6.15_Revenue breakout 19" xfId="3496" xr:uid="{00000000-0005-0000-0000-0000A00D0000}"/>
    <cellStyle name="_Consolidation Summ - 12.31.06 as of 6.15_Revenue breakout 2" xfId="3497" xr:uid="{00000000-0005-0000-0000-0000A10D0000}"/>
    <cellStyle name="_Consolidation Summ - 12.31.06 as of 6.15_Revenue breakout 2 2" xfId="3498" xr:uid="{00000000-0005-0000-0000-0000A20D0000}"/>
    <cellStyle name="_Consolidation Summ - 12.31.06 as of 6.15_Revenue breakout 20" xfId="3499" xr:uid="{00000000-0005-0000-0000-0000A30D0000}"/>
    <cellStyle name="_Consolidation Summ - 12.31.06 as of 6.15_Revenue breakout 21" xfId="3500" xr:uid="{00000000-0005-0000-0000-0000A40D0000}"/>
    <cellStyle name="_Consolidation Summ - 12.31.06 as of 6.15_Revenue breakout 22" xfId="3501" xr:uid="{00000000-0005-0000-0000-0000A50D0000}"/>
    <cellStyle name="_Consolidation Summ - 12.31.06 as of 6.15_Revenue breakout 23" xfId="3502" xr:uid="{00000000-0005-0000-0000-0000A60D0000}"/>
    <cellStyle name="_Consolidation Summ - 12.31.06 as of 6.15_Revenue breakout 23 2" xfId="3503" xr:uid="{00000000-0005-0000-0000-0000A70D0000}"/>
    <cellStyle name="_Consolidation Summ - 12.31.06 as of 6.15_Revenue breakout 3" xfId="3504" xr:uid="{00000000-0005-0000-0000-0000A80D0000}"/>
    <cellStyle name="_Consolidation Summ - 12.31.06 as of 6.15_Revenue breakout 3 2" xfId="3505" xr:uid="{00000000-0005-0000-0000-0000A90D0000}"/>
    <cellStyle name="_Consolidation Summ - 12.31.06 as of 6.15_Revenue breakout 4" xfId="3506" xr:uid="{00000000-0005-0000-0000-0000AA0D0000}"/>
    <cellStyle name="_Consolidation Summ - 12.31.06 as of 6.15_Revenue breakout 5" xfId="3507" xr:uid="{00000000-0005-0000-0000-0000AB0D0000}"/>
    <cellStyle name="_Consolidation Summ - 12.31.06 as of 6.15_Revenue breakout 6" xfId="3508" xr:uid="{00000000-0005-0000-0000-0000AC0D0000}"/>
    <cellStyle name="_Consolidation Summ - 12.31.06 as of 6.15_Revenue breakout 7" xfId="3509" xr:uid="{00000000-0005-0000-0000-0000AD0D0000}"/>
    <cellStyle name="_Consolidation Summ - 12.31.06 as of 6.15_Revenue breakout 8" xfId="3510" xr:uid="{00000000-0005-0000-0000-0000AE0D0000}"/>
    <cellStyle name="_Consolidation Summ - 12.31.06 as of 6.15_Revenue breakout 9" xfId="3511" xr:uid="{00000000-0005-0000-0000-0000AF0D0000}"/>
    <cellStyle name="_Consolidation Summ - 12.31.06 as of 6.15_Revenue breakout_2.10.10 LS Distribution" xfId="3512" xr:uid="{00000000-0005-0000-0000-0000B00D0000}"/>
    <cellStyle name="_Consolidation Summ - 12.31.06 as of 6.15_Revenue breakout_2007 Revenue - RE fees" xfId="3513" xr:uid="{00000000-0005-0000-0000-0000B10D0000}"/>
    <cellStyle name="_Consolidation Summ - 12.31.06 as of 6.15_Revenue breakout_2007 Revenue - RE fees 10" xfId="3514" xr:uid="{00000000-0005-0000-0000-0000B20D0000}"/>
    <cellStyle name="_Consolidation Summ - 12.31.06 as of 6.15_Revenue breakout_2007 Revenue - RE fees 11" xfId="3515" xr:uid="{00000000-0005-0000-0000-0000B30D0000}"/>
    <cellStyle name="_Consolidation Summ - 12.31.06 as of 6.15_Revenue breakout_2007 Revenue - RE fees 12" xfId="3516" xr:uid="{00000000-0005-0000-0000-0000B40D0000}"/>
    <cellStyle name="_Consolidation Summ - 12.31.06 as of 6.15_Revenue breakout_2007 Revenue - RE fees 13" xfId="3517" xr:uid="{00000000-0005-0000-0000-0000B50D0000}"/>
    <cellStyle name="_Consolidation Summ - 12.31.06 as of 6.15_Revenue breakout_2007 Revenue - RE fees 14" xfId="3518" xr:uid="{00000000-0005-0000-0000-0000B60D0000}"/>
    <cellStyle name="_Consolidation Summ - 12.31.06 as of 6.15_Revenue breakout_2007 Revenue - RE fees 15" xfId="3519" xr:uid="{00000000-0005-0000-0000-0000B70D0000}"/>
    <cellStyle name="_Consolidation Summ - 12.31.06 as of 6.15_Revenue breakout_2007 Revenue - RE fees 16" xfId="3520" xr:uid="{00000000-0005-0000-0000-0000B80D0000}"/>
    <cellStyle name="_Consolidation Summ - 12.31.06 as of 6.15_Revenue breakout_2007 Revenue - RE fees 17" xfId="3521" xr:uid="{00000000-0005-0000-0000-0000B90D0000}"/>
    <cellStyle name="_Consolidation Summ - 12.31.06 as of 6.15_Revenue breakout_2007 Revenue - RE fees 18" xfId="3522" xr:uid="{00000000-0005-0000-0000-0000BA0D0000}"/>
    <cellStyle name="_Consolidation Summ - 12.31.06 as of 6.15_Revenue breakout_2007 Revenue - RE fees 19" xfId="3523" xr:uid="{00000000-0005-0000-0000-0000BB0D0000}"/>
    <cellStyle name="_Consolidation Summ - 12.31.06 as of 6.15_Revenue breakout_2007 Revenue - RE fees 2" xfId="3524" xr:uid="{00000000-0005-0000-0000-0000BC0D0000}"/>
    <cellStyle name="_Consolidation Summ - 12.31.06 as of 6.15_Revenue breakout_2007 Revenue - RE fees 2 2" xfId="3525" xr:uid="{00000000-0005-0000-0000-0000BD0D0000}"/>
    <cellStyle name="_Consolidation Summ - 12.31.06 as of 6.15_Revenue breakout_2007 Revenue - RE fees 20" xfId="3526" xr:uid="{00000000-0005-0000-0000-0000BE0D0000}"/>
    <cellStyle name="_Consolidation Summ - 12.31.06 as of 6.15_Revenue breakout_2007 Revenue - RE fees 21" xfId="3527" xr:uid="{00000000-0005-0000-0000-0000BF0D0000}"/>
    <cellStyle name="_Consolidation Summ - 12.31.06 as of 6.15_Revenue breakout_2007 Revenue - RE fees 22" xfId="3528" xr:uid="{00000000-0005-0000-0000-0000C00D0000}"/>
    <cellStyle name="_Consolidation Summ - 12.31.06 as of 6.15_Revenue breakout_2007 Revenue - RE fees 23" xfId="3529" xr:uid="{00000000-0005-0000-0000-0000C10D0000}"/>
    <cellStyle name="_Consolidation Summ - 12.31.06 as of 6.15_Revenue breakout_2007 Revenue - RE fees 23 2" xfId="3530" xr:uid="{00000000-0005-0000-0000-0000C20D0000}"/>
    <cellStyle name="_Consolidation Summ - 12.31.06 as of 6.15_Revenue breakout_2007 Revenue - RE fees 3" xfId="3531" xr:uid="{00000000-0005-0000-0000-0000C30D0000}"/>
    <cellStyle name="_Consolidation Summ - 12.31.06 as of 6.15_Revenue breakout_2007 Revenue - RE fees 3 2" xfId="3532" xr:uid="{00000000-0005-0000-0000-0000C40D0000}"/>
    <cellStyle name="_Consolidation Summ - 12.31.06 as of 6.15_Revenue breakout_2007 Revenue - RE fees 4" xfId="3533" xr:uid="{00000000-0005-0000-0000-0000C50D0000}"/>
    <cellStyle name="_Consolidation Summ - 12.31.06 as of 6.15_Revenue breakout_2007 Revenue - RE fees 5" xfId="3534" xr:uid="{00000000-0005-0000-0000-0000C60D0000}"/>
    <cellStyle name="_Consolidation Summ - 12.31.06 as of 6.15_Revenue breakout_2007 Revenue - RE fees 6" xfId="3535" xr:uid="{00000000-0005-0000-0000-0000C70D0000}"/>
    <cellStyle name="_Consolidation Summ - 12.31.06 as of 6.15_Revenue breakout_2007 Revenue - RE fees 7" xfId="3536" xr:uid="{00000000-0005-0000-0000-0000C80D0000}"/>
    <cellStyle name="_Consolidation Summ - 12.31.06 as of 6.15_Revenue breakout_2007 Revenue - RE fees 8" xfId="3537" xr:uid="{00000000-0005-0000-0000-0000C90D0000}"/>
    <cellStyle name="_Consolidation Summ - 12.31.06 as of 6.15_Revenue breakout_2007 Revenue - RE fees 9" xfId="3538" xr:uid="{00000000-0005-0000-0000-0000CA0D0000}"/>
    <cellStyle name="_Consolidation Summ - 12.31.06 as of 6.15_Revenue breakout_2007 Revenue - RE fees_2011 Q1 Monitoring Fees v3" xfId="3539" xr:uid="{00000000-0005-0000-0000-0000CB0D0000}"/>
    <cellStyle name="_Consolidation Summ - 12.31.06 as of 6.15_Revenue breakout_2007 Revenue - RE fees_AIF VI - BondcoVI_Entities Invested Capital (CURRENT)" xfId="3540" xr:uid="{00000000-0005-0000-0000-0000CC0D0000}"/>
    <cellStyle name="_Consolidation Summ - 12.31.06 as of 6.15_Revenue breakout_2007 Revenue - RE fees_AIF VI Broadleaf Watefall Summary as of 6-30-09 FINAL" xfId="3541" xr:uid="{00000000-0005-0000-0000-0000CD0D0000}"/>
    <cellStyle name="_Consolidation Summ - 12.31.06 as of 6.15_Revenue breakout_2007 Revenue - RE fees_AIF VI Broadleaf Watefall Summary as of 9-30-09" xfId="3542" xr:uid="{00000000-0005-0000-0000-0000CE0D0000}"/>
    <cellStyle name="_Consolidation Summ - 12.31.06 as of 6.15_Revenue breakout_2007 Revenue - RE fees_Broadleaf Watefall 12-31-09" xfId="3543" xr:uid="{00000000-0005-0000-0000-0000CF0D0000}"/>
    <cellStyle name="_Consolidation Summ - 12.31.06 as of 6.15_Revenue breakout_2007 Revenue - RE fees_Broadleaf Watefall 6-30-09" xfId="3544" xr:uid="{00000000-0005-0000-0000-0000D00D0000}"/>
    <cellStyle name="_Consolidation Summ - 12.31.06 as of 6.15_Revenue breakout_2007 Revenue - RE fees_Broadleaf Watefall 9-30-09" xfId="3545" xr:uid="{00000000-0005-0000-0000-0000D10D0000}"/>
    <cellStyle name="_Consolidation Summ - 12.31.06 as of 6.15_Revenue breakout_2007 Revenue - RE fees_Copy of AGM Dec '09 YTD COF I and II Dep  Liab (1-13-10) (2)" xfId="3546" xr:uid="{00000000-0005-0000-0000-0000D20D0000}"/>
    <cellStyle name="_Consolidation Summ - 12.31.06 as of 6.15_Revenue breakout_2007 Revenue - RE fees_IC Balance" xfId="3547" xr:uid="{00000000-0005-0000-0000-0000D30D0000}"/>
    <cellStyle name="_Consolidation Summ - 12.31.06 as of 6.15_Revenue breakout_2007 Revenue - RE fees_Invested Capital Debt Worksheet" xfId="3548" xr:uid="{00000000-0005-0000-0000-0000D40D0000}"/>
    <cellStyle name="_Consolidation Summ - 12.31.06 as of 6.15_Revenue breakout_2007 Revenue - RE fees_MMF Income" xfId="3549" xr:uid="{00000000-0005-0000-0000-0000D50D0000}"/>
    <cellStyle name="_Consolidation Summ - 12.31.06 as of 6.15_Revenue breakout_2007 Revenue - RE fees_Placement Fee Summary 05-14-09 - Current (2)" xfId="3550" xr:uid="{00000000-0005-0000-0000-0000D60D0000}"/>
    <cellStyle name="_Consolidation Summ - 12.31.06 as of 6.15_Revenue breakout_2007 Revenue - RE fees_Realized Gain Loss" xfId="3551" xr:uid="{00000000-0005-0000-0000-0000D70D0000}"/>
    <cellStyle name="_Consolidation Summ - 12.31.06 as of 6.15_Revenue breakout_2011 Q1 Monitoring Fees v3" xfId="3552" xr:uid="{00000000-0005-0000-0000-0000D80D0000}"/>
    <cellStyle name="_Consolidation Summ - 12.31.06 as of 6.15_Revenue breakout_AIF VI - BondcoVI_Entities Invested Capital (CURRENT)" xfId="3553" xr:uid="{00000000-0005-0000-0000-0000D90D0000}"/>
    <cellStyle name="_Consolidation Summ - 12.31.06 as of 6.15_Revenue breakout_AIF VI Broadleaf Watefall Summary as of 6-30-09 FINAL" xfId="3554" xr:uid="{00000000-0005-0000-0000-0000DA0D0000}"/>
    <cellStyle name="_Consolidation Summ - 12.31.06 as of 6.15_Revenue breakout_AIF VI Broadleaf Watefall Summary as of 9-30-09" xfId="3555" xr:uid="{00000000-0005-0000-0000-0000DB0D0000}"/>
    <cellStyle name="_Consolidation Summ - 12.31.06 as of 6.15_Revenue breakout_Broadleaf Watefall 12-31-09" xfId="3556" xr:uid="{00000000-0005-0000-0000-0000DC0D0000}"/>
    <cellStyle name="_Consolidation Summ - 12.31.06 as of 6.15_Revenue breakout_Broadleaf Watefall 6-30-09" xfId="3557" xr:uid="{00000000-0005-0000-0000-0000DD0D0000}"/>
    <cellStyle name="_Consolidation Summ - 12.31.06 as of 6.15_Revenue breakout_Broadleaf Watefall 9-30-09" xfId="3558" xr:uid="{00000000-0005-0000-0000-0000DE0D0000}"/>
    <cellStyle name="_Consolidation Summ - 12.31.06 as of 6.15_Revenue breakout_Copy of AGM Dec '09 YTD COF I and II Dep  Liab (1-13-10) (2)" xfId="3559" xr:uid="{00000000-0005-0000-0000-0000DF0D0000}"/>
    <cellStyle name="_Consolidation Summ - 12.31.06 as of 6.15_Revenue breakout_IC Balance" xfId="3560" xr:uid="{00000000-0005-0000-0000-0000E00D0000}"/>
    <cellStyle name="_Consolidation Summ - 12.31.06 as of 6.15_Revenue breakout_Invested Capital Debt Worksheet" xfId="3561" xr:uid="{00000000-0005-0000-0000-0000E10D0000}"/>
    <cellStyle name="_Consolidation Summ - 12.31.06 as of 6.15_Revenue breakout_LS, LP - Dec  2010 Trial Balance Summary" xfId="3562" xr:uid="{00000000-0005-0000-0000-0000E20D0000}"/>
    <cellStyle name="_Consolidation Summ - 12.31.06 as of 6.15_Revenue breakout_MMF Income" xfId="3563" xr:uid="{00000000-0005-0000-0000-0000E30D0000}"/>
    <cellStyle name="_Consolidation Summ - 12.31.06 as of 6.15_Revenue breakout_Placement Fee Summary 05-14-09 - Current (2)" xfId="3564" xr:uid="{00000000-0005-0000-0000-0000E40D0000}"/>
    <cellStyle name="_Consolidation Summ - 12.31.06 as of 6.15_Revenue breakout_Q1 2011 Pmts" xfId="3565" xr:uid="{00000000-0005-0000-0000-0000E50D0000}"/>
    <cellStyle name="_Consolidation Summ - 12.31.06 as of 6.15_Revenue breakout_Realized Gain Loss" xfId="3566" xr:uid="{00000000-0005-0000-0000-0000E60D0000}"/>
    <cellStyle name="_Consolidation Summ - 12.31.06 as of 6.15_Revenue breakout_TX Details" xfId="3567" xr:uid="{00000000-0005-0000-0000-0000E70D0000}"/>
    <cellStyle name="_Consolidation Summ - 12.31.06 as of 6.15_Sheet1" xfId="3568" xr:uid="{00000000-0005-0000-0000-0000E80D0000}"/>
    <cellStyle name="_Consolidation Summ - 12.31.06 as of 6.15_Sheet1 10" xfId="3569" xr:uid="{00000000-0005-0000-0000-0000E90D0000}"/>
    <cellStyle name="_Consolidation Summ - 12.31.06 as of 6.15_Sheet1 11" xfId="3570" xr:uid="{00000000-0005-0000-0000-0000EA0D0000}"/>
    <cellStyle name="_Consolidation Summ - 12.31.06 as of 6.15_Sheet1 12" xfId="3571" xr:uid="{00000000-0005-0000-0000-0000EB0D0000}"/>
    <cellStyle name="_Consolidation Summ - 12.31.06 as of 6.15_Sheet1 13" xfId="3572" xr:uid="{00000000-0005-0000-0000-0000EC0D0000}"/>
    <cellStyle name="_Consolidation Summ - 12.31.06 as of 6.15_Sheet1 14" xfId="3573" xr:uid="{00000000-0005-0000-0000-0000ED0D0000}"/>
    <cellStyle name="_Consolidation Summ - 12.31.06 as of 6.15_Sheet1 15" xfId="3574" xr:uid="{00000000-0005-0000-0000-0000EE0D0000}"/>
    <cellStyle name="_Consolidation Summ - 12.31.06 as of 6.15_Sheet1 16" xfId="3575" xr:uid="{00000000-0005-0000-0000-0000EF0D0000}"/>
    <cellStyle name="_Consolidation Summ - 12.31.06 as of 6.15_Sheet1 17" xfId="3576" xr:uid="{00000000-0005-0000-0000-0000F00D0000}"/>
    <cellStyle name="_Consolidation Summ - 12.31.06 as of 6.15_Sheet1 18" xfId="3577" xr:uid="{00000000-0005-0000-0000-0000F10D0000}"/>
    <cellStyle name="_Consolidation Summ - 12.31.06 as of 6.15_Sheet1 19" xfId="3578" xr:uid="{00000000-0005-0000-0000-0000F20D0000}"/>
    <cellStyle name="_Consolidation Summ - 12.31.06 as of 6.15_Sheet1 2" xfId="3579" xr:uid="{00000000-0005-0000-0000-0000F30D0000}"/>
    <cellStyle name="_Consolidation Summ - 12.31.06 as of 6.15_Sheet1 2 2" xfId="3580" xr:uid="{00000000-0005-0000-0000-0000F40D0000}"/>
    <cellStyle name="_Consolidation Summ - 12.31.06 as of 6.15_Sheet1 20" xfId="3581" xr:uid="{00000000-0005-0000-0000-0000F50D0000}"/>
    <cellStyle name="_Consolidation Summ - 12.31.06 as of 6.15_Sheet1 21" xfId="3582" xr:uid="{00000000-0005-0000-0000-0000F60D0000}"/>
    <cellStyle name="_Consolidation Summ - 12.31.06 as of 6.15_Sheet1 22" xfId="3583" xr:uid="{00000000-0005-0000-0000-0000F70D0000}"/>
    <cellStyle name="_Consolidation Summ - 12.31.06 as of 6.15_Sheet1 23" xfId="3584" xr:uid="{00000000-0005-0000-0000-0000F80D0000}"/>
    <cellStyle name="_Consolidation Summ - 12.31.06 as of 6.15_Sheet1 3" xfId="3585" xr:uid="{00000000-0005-0000-0000-0000F90D0000}"/>
    <cellStyle name="_Consolidation Summ - 12.31.06 as of 6.15_Sheet1 3 2" xfId="3586" xr:uid="{00000000-0005-0000-0000-0000FA0D0000}"/>
    <cellStyle name="_Consolidation Summ - 12.31.06 as of 6.15_Sheet1 4" xfId="3587" xr:uid="{00000000-0005-0000-0000-0000FB0D0000}"/>
    <cellStyle name="_Consolidation Summ - 12.31.06 as of 6.15_Sheet1 5" xfId="3588" xr:uid="{00000000-0005-0000-0000-0000FC0D0000}"/>
    <cellStyle name="_Consolidation Summ - 12.31.06 as of 6.15_Sheet1 6" xfId="3589" xr:uid="{00000000-0005-0000-0000-0000FD0D0000}"/>
    <cellStyle name="_Consolidation Summ - 12.31.06 as of 6.15_Sheet1 7" xfId="3590" xr:uid="{00000000-0005-0000-0000-0000FE0D0000}"/>
    <cellStyle name="_Consolidation Summ - 12.31.06 as of 6.15_Sheet1 8" xfId="3591" xr:uid="{00000000-0005-0000-0000-0000FF0D0000}"/>
    <cellStyle name="_Consolidation Summ - 12.31.06 as of 6.15_Sheet1 9" xfId="3592" xr:uid="{00000000-0005-0000-0000-0000000E0000}"/>
    <cellStyle name="_Consolidation Summ - 12.31.06 as of 6.15_Sheet1_AIF VI - BondcoVI_Entities Invested Capital (CURRENT)" xfId="3593" xr:uid="{00000000-0005-0000-0000-0000010E0000}"/>
    <cellStyle name="_Consolidation Summ - 12.31.06 as of 6.15_Sheet1_AIF VI Broadleaf Watefall Summary as of 6-30-09 FINAL" xfId="3594" xr:uid="{00000000-0005-0000-0000-0000020E0000}"/>
    <cellStyle name="_Consolidation Summ - 12.31.06 as of 6.15_Sheet1_AIF VI Broadleaf Watefall Summary as of 9-30-09" xfId="3595" xr:uid="{00000000-0005-0000-0000-0000030E0000}"/>
    <cellStyle name="_Consolidation Summ - 12.31.06 as of 6.15_Sheet1_Broadleaf Watefall 12-31-09" xfId="3596" xr:uid="{00000000-0005-0000-0000-0000040E0000}"/>
    <cellStyle name="_Consolidation Summ - 12.31.06 as of 6.15_Sheet1_Broadleaf Watefall 6-30-09" xfId="3597" xr:uid="{00000000-0005-0000-0000-0000050E0000}"/>
    <cellStyle name="_Consolidation Summ - 12.31.06 as of 6.15_Sheet1_Broadleaf Watefall 9-30-09" xfId="3598" xr:uid="{00000000-0005-0000-0000-0000060E0000}"/>
    <cellStyle name="_Consolidation Summ - 12.31.06 as of 6.15_Sheet1_IC Balance" xfId="3599" xr:uid="{00000000-0005-0000-0000-0000070E0000}"/>
    <cellStyle name="_Consolidation Summ - 12.31.06 as of 6.15_Sheet1_Invested Capital Debt Worksheet" xfId="3600" xr:uid="{00000000-0005-0000-0000-0000080E0000}"/>
    <cellStyle name="_Consolidation Summ - 12.31.06 as of 6.15_Sheet1_MMF Income" xfId="3601" xr:uid="{00000000-0005-0000-0000-0000090E0000}"/>
    <cellStyle name="_Consolidation Summ - 12.31.06 as of 6.15_Sheet1_Realized Gain Loss" xfId="3602" xr:uid="{00000000-0005-0000-0000-00000A0E0000}"/>
    <cellStyle name="_Consolidation Summ - 12.31.06 as of 6.15_Sheet2" xfId="3603" xr:uid="{00000000-0005-0000-0000-00000B0E0000}"/>
    <cellStyle name="_Consolidation Summ - 12.31.06 as of 6.15_Sheet2 10" xfId="3604" xr:uid="{00000000-0005-0000-0000-00000C0E0000}"/>
    <cellStyle name="_Consolidation Summ - 12.31.06 as of 6.15_Sheet2 11" xfId="3605" xr:uid="{00000000-0005-0000-0000-00000D0E0000}"/>
    <cellStyle name="_Consolidation Summ - 12.31.06 as of 6.15_Sheet2 12" xfId="3606" xr:uid="{00000000-0005-0000-0000-00000E0E0000}"/>
    <cellStyle name="_Consolidation Summ - 12.31.06 as of 6.15_Sheet2 13" xfId="3607" xr:uid="{00000000-0005-0000-0000-00000F0E0000}"/>
    <cellStyle name="_Consolidation Summ - 12.31.06 as of 6.15_Sheet2 14" xfId="3608" xr:uid="{00000000-0005-0000-0000-0000100E0000}"/>
    <cellStyle name="_Consolidation Summ - 12.31.06 as of 6.15_Sheet2 15" xfId="3609" xr:uid="{00000000-0005-0000-0000-0000110E0000}"/>
    <cellStyle name="_Consolidation Summ - 12.31.06 as of 6.15_Sheet2 16" xfId="3610" xr:uid="{00000000-0005-0000-0000-0000120E0000}"/>
    <cellStyle name="_Consolidation Summ - 12.31.06 as of 6.15_Sheet2 17" xfId="3611" xr:uid="{00000000-0005-0000-0000-0000130E0000}"/>
    <cellStyle name="_Consolidation Summ - 12.31.06 as of 6.15_Sheet2 18" xfId="3612" xr:uid="{00000000-0005-0000-0000-0000140E0000}"/>
    <cellStyle name="_Consolidation Summ - 12.31.06 as of 6.15_Sheet2 19" xfId="3613" xr:uid="{00000000-0005-0000-0000-0000150E0000}"/>
    <cellStyle name="_Consolidation Summ - 12.31.06 as of 6.15_Sheet2 2" xfId="3614" xr:uid="{00000000-0005-0000-0000-0000160E0000}"/>
    <cellStyle name="_Consolidation Summ - 12.31.06 as of 6.15_Sheet2 2 2" xfId="3615" xr:uid="{00000000-0005-0000-0000-0000170E0000}"/>
    <cellStyle name="_Consolidation Summ - 12.31.06 as of 6.15_Sheet2 20" xfId="3616" xr:uid="{00000000-0005-0000-0000-0000180E0000}"/>
    <cellStyle name="_Consolidation Summ - 12.31.06 as of 6.15_Sheet2 21" xfId="3617" xr:uid="{00000000-0005-0000-0000-0000190E0000}"/>
    <cellStyle name="_Consolidation Summ - 12.31.06 as of 6.15_Sheet2 22" xfId="3618" xr:uid="{00000000-0005-0000-0000-00001A0E0000}"/>
    <cellStyle name="_Consolidation Summ - 12.31.06 as of 6.15_Sheet2 23" xfId="3619" xr:uid="{00000000-0005-0000-0000-00001B0E0000}"/>
    <cellStyle name="_Consolidation Summ - 12.31.06 as of 6.15_Sheet2 3" xfId="3620" xr:uid="{00000000-0005-0000-0000-00001C0E0000}"/>
    <cellStyle name="_Consolidation Summ - 12.31.06 as of 6.15_Sheet2 3 2" xfId="3621" xr:uid="{00000000-0005-0000-0000-00001D0E0000}"/>
    <cellStyle name="_Consolidation Summ - 12.31.06 as of 6.15_Sheet2 4" xfId="3622" xr:uid="{00000000-0005-0000-0000-00001E0E0000}"/>
    <cellStyle name="_Consolidation Summ - 12.31.06 as of 6.15_Sheet2 5" xfId="3623" xr:uid="{00000000-0005-0000-0000-00001F0E0000}"/>
    <cellStyle name="_Consolidation Summ - 12.31.06 as of 6.15_Sheet2 6" xfId="3624" xr:uid="{00000000-0005-0000-0000-0000200E0000}"/>
    <cellStyle name="_Consolidation Summ - 12.31.06 as of 6.15_Sheet2 7" xfId="3625" xr:uid="{00000000-0005-0000-0000-0000210E0000}"/>
    <cellStyle name="_Consolidation Summ - 12.31.06 as of 6.15_Sheet2 8" xfId="3626" xr:uid="{00000000-0005-0000-0000-0000220E0000}"/>
    <cellStyle name="_Consolidation Summ - 12.31.06 as of 6.15_Sheet2 9" xfId="3627" xr:uid="{00000000-0005-0000-0000-0000230E0000}"/>
    <cellStyle name="_Consolidation Summ - 12.31.06 as of 6.15_Sheet2_AIF VI - BondcoVI_Entities Invested Capital (CURRENT)" xfId="3628" xr:uid="{00000000-0005-0000-0000-0000240E0000}"/>
    <cellStyle name="_Consolidation Summ - 12.31.06 as of 6.15_Sheet2_AIF VI Broadleaf Watefall Summary as of 6-30-09 FINAL" xfId="3629" xr:uid="{00000000-0005-0000-0000-0000250E0000}"/>
    <cellStyle name="_Consolidation Summ - 12.31.06 as of 6.15_Sheet2_AIF VI Broadleaf Watefall Summary as of 9-30-09" xfId="3630" xr:uid="{00000000-0005-0000-0000-0000260E0000}"/>
    <cellStyle name="_Consolidation Summ - 12.31.06 as of 6.15_Sheet2_Broadleaf Watefall 12-31-09" xfId="3631" xr:uid="{00000000-0005-0000-0000-0000270E0000}"/>
    <cellStyle name="_Consolidation Summ - 12.31.06 as of 6.15_Sheet2_Broadleaf Watefall 6-30-09" xfId="3632" xr:uid="{00000000-0005-0000-0000-0000280E0000}"/>
    <cellStyle name="_Consolidation Summ - 12.31.06 as of 6.15_Sheet2_Broadleaf Watefall 9-30-09" xfId="3633" xr:uid="{00000000-0005-0000-0000-0000290E0000}"/>
    <cellStyle name="_Consolidation Summ - 12.31.06 as of 6.15_Sheet2_IC Balance" xfId="3634" xr:uid="{00000000-0005-0000-0000-00002A0E0000}"/>
    <cellStyle name="_Consolidation Summ - 12.31.06 as of 6.15_Sheet2_Invested Capital Debt Worksheet" xfId="3635" xr:uid="{00000000-0005-0000-0000-00002B0E0000}"/>
    <cellStyle name="_Consolidation Summ - 12.31.06 as of 6.15_Sheet2_MMF Income" xfId="3636" xr:uid="{00000000-0005-0000-0000-00002C0E0000}"/>
    <cellStyle name="_Consolidation Summ - 12.31.06 as of 6.15_Sheet2_Realized Gain Loss" xfId="3637" xr:uid="{00000000-0005-0000-0000-00002D0E0000}"/>
    <cellStyle name="_Consolidation Summ - 12.31.06 as of 6.15_Sheet3" xfId="3638" xr:uid="{00000000-0005-0000-0000-00002E0E0000}"/>
    <cellStyle name="_Consolidation Summ - 12.31.06 as of 6.15_Sheet3 2" xfId="3639" xr:uid="{00000000-0005-0000-0000-00002F0E0000}"/>
    <cellStyle name="_Consolidation Summ - 12.31.06 as of 6.15_Sheet3 2 2" xfId="3640" xr:uid="{00000000-0005-0000-0000-0000300E0000}"/>
    <cellStyle name="_Consolidation Summ - 12.31.06 as of 6.15_Sheet3 3" xfId="3641" xr:uid="{00000000-0005-0000-0000-0000310E0000}"/>
    <cellStyle name="_Consolidation Summ - 12.31.06 as of 6.15_Sheet3_AIF VI - BondcoVI_Entities Invested Capital (CURRENT)" xfId="3642" xr:uid="{00000000-0005-0000-0000-0000320E0000}"/>
    <cellStyle name="_Consolidation Summ - 12.31.06 as of 6.15_Sheet3_IC Balance" xfId="3643" xr:uid="{00000000-0005-0000-0000-0000330E0000}"/>
    <cellStyle name="_Consolidation Summ - 12.31.06 as of 6.15_Sheet3_Invested Capital Debt Worksheet" xfId="3644" xr:uid="{00000000-0005-0000-0000-0000340E0000}"/>
    <cellStyle name="_Consolidation Summ - 12.31.06 as of 6.15_Sheet3_MMF Income" xfId="3645" xr:uid="{00000000-0005-0000-0000-0000350E0000}"/>
    <cellStyle name="_Consolidation Summ - 12.31.06 as of 6.15_Sheet3_Realized Gain Loss" xfId="3646" xr:uid="{00000000-0005-0000-0000-0000360E0000}"/>
    <cellStyle name="_Consolidation Summ - 12.31.06 as of 6.15_Summary" xfId="3647" xr:uid="{00000000-0005-0000-0000-0000370E0000}"/>
    <cellStyle name="_Consolidation Summ - 12.31.06 as of 6.15_Summary 2" xfId="3648" xr:uid="{00000000-0005-0000-0000-0000380E0000}"/>
    <cellStyle name="_Consolidation Summ - 12.31.06 as of 6.15_Summary 2 2" xfId="3649" xr:uid="{00000000-0005-0000-0000-0000390E0000}"/>
    <cellStyle name="_Consolidation Summ - 12.31.06 as of 6.15_Summary 3" xfId="3650" xr:uid="{00000000-0005-0000-0000-00003A0E0000}"/>
    <cellStyle name="_Consolidation Summ - 12.31.06 as of 6.15_Summary_AIF VI - BondcoVI_Entities Invested Capital (CURRENT)" xfId="3651" xr:uid="{00000000-0005-0000-0000-00003B0E0000}"/>
    <cellStyle name="_Consolidation Summ - 12.31.06 as of 6.15_Summary_IC Balance" xfId="3652" xr:uid="{00000000-0005-0000-0000-00003C0E0000}"/>
    <cellStyle name="_Consolidation Summ - 12.31.06 as of 6.15_Summary_Invested Capital Debt Worksheet" xfId="3653" xr:uid="{00000000-0005-0000-0000-00003D0E0000}"/>
    <cellStyle name="_Consolidation Summ - 12.31.06 as of 6.15_Summary_MMF Income" xfId="3654" xr:uid="{00000000-0005-0000-0000-00003E0E0000}"/>
    <cellStyle name="_Consolidation Summ - 12.31.06 as of 6.15_Summary_Realized Gain Loss" xfId="3655" xr:uid="{00000000-0005-0000-0000-00003F0E0000}"/>
    <cellStyle name="_Consolidation Summ - 12.31.06 as of 6.15_TX Details" xfId="3656" xr:uid="{00000000-0005-0000-0000-0000400E0000}"/>
    <cellStyle name="-_Copy of AGM Dec '09 YTD COF I and II Dep  Liab (1-13-10) (2)" xfId="3657" xr:uid="{00000000-0005-0000-0000-0000410E0000}"/>
    <cellStyle name="_Currency" xfId="3658" xr:uid="{00000000-0005-0000-0000-0000420E0000}"/>
    <cellStyle name="_Currency 10" xfId="3659" xr:uid="{00000000-0005-0000-0000-0000430E0000}"/>
    <cellStyle name="_Currency 11" xfId="3660" xr:uid="{00000000-0005-0000-0000-0000440E0000}"/>
    <cellStyle name="_Currency 12" xfId="3661" xr:uid="{00000000-0005-0000-0000-0000450E0000}"/>
    <cellStyle name="_Currency 13" xfId="3662" xr:uid="{00000000-0005-0000-0000-0000460E0000}"/>
    <cellStyle name="_Currency 14" xfId="3663" xr:uid="{00000000-0005-0000-0000-0000470E0000}"/>
    <cellStyle name="_Currency 15" xfId="3664" xr:uid="{00000000-0005-0000-0000-0000480E0000}"/>
    <cellStyle name="_Currency 16" xfId="3665" xr:uid="{00000000-0005-0000-0000-0000490E0000}"/>
    <cellStyle name="_Currency 17" xfId="3666" xr:uid="{00000000-0005-0000-0000-00004A0E0000}"/>
    <cellStyle name="_Currency 18" xfId="3667" xr:uid="{00000000-0005-0000-0000-00004B0E0000}"/>
    <cellStyle name="_Currency 19" xfId="3668" xr:uid="{00000000-0005-0000-0000-00004C0E0000}"/>
    <cellStyle name="_Currency 2" xfId="3669" xr:uid="{00000000-0005-0000-0000-00004D0E0000}"/>
    <cellStyle name="_Currency 20" xfId="3670" xr:uid="{00000000-0005-0000-0000-00004E0E0000}"/>
    <cellStyle name="_Currency 21" xfId="3671" xr:uid="{00000000-0005-0000-0000-00004F0E0000}"/>
    <cellStyle name="_Currency 21 2" xfId="3672" xr:uid="{00000000-0005-0000-0000-0000500E0000}"/>
    <cellStyle name="_Currency 3" xfId="3673" xr:uid="{00000000-0005-0000-0000-0000510E0000}"/>
    <cellStyle name="_Currency 4" xfId="3674" xr:uid="{00000000-0005-0000-0000-0000520E0000}"/>
    <cellStyle name="_Currency 5" xfId="3675" xr:uid="{00000000-0005-0000-0000-0000530E0000}"/>
    <cellStyle name="_Currency 6" xfId="3676" xr:uid="{00000000-0005-0000-0000-0000540E0000}"/>
    <cellStyle name="_Currency 7" xfId="3677" xr:uid="{00000000-0005-0000-0000-0000550E0000}"/>
    <cellStyle name="_Currency 8" xfId="3678" xr:uid="{00000000-0005-0000-0000-0000560E0000}"/>
    <cellStyle name="_Currency 9" xfId="3679" xr:uid="{00000000-0005-0000-0000-0000570E0000}"/>
    <cellStyle name="_CurrencySpace" xfId="3680" xr:uid="{00000000-0005-0000-0000-0000580E0000}"/>
    <cellStyle name="_CurrencySpace 10" xfId="3681" xr:uid="{00000000-0005-0000-0000-0000590E0000}"/>
    <cellStyle name="_CurrencySpace 11" xfId="3682" xr:uid="{00000000-0005-0000-0000-00005A0E0000}"/>
    <cellStyle name="_CurrencySpace 12" xfId="3683" xr:uid="{00000000-0005-0000-0000-00005B0E0000}"/>
    <cellStyle name="_CurrencySpace 13" xfId="3684" xr:uid="{00000000-0005-0000-0000-00005C0E0000}"/>
    <cellStyle name="_CurrencySpace 14" xfId="3685" xr:uid="{00000000-0005-0000-0000-00005D0E0000}"/>
    <cellStyle name="_CurrencySpace 15" xfId="3686" xr:uid="{00000000-0005-0000-0000-00005E0E0000}"/>
    <cellStyle name="_CurrencySpace 16" xfId="3687" xr:uid="{00000000-0005-0000-0000-00005F0E0000}"/>
    <cellStyle name="_CurrencySpace 17" xfId="3688" xr:uid="{00000000-0005-0000-0000-0000600E0000}"/>
    <cellStyle name="_CurrencySpace 18" xfId="3689" xr:uid="{00000000-0005-0000-0000-0000610E0000}"/>
    <cellStyle name="_CurrencySpace 19" xfId="3690" xr:uid="{00000000-0005-0000-0000-0000620E0000}"/>
    <cellStyle name="_CurrencySpace 2" xfId="3691" xr:uid="{00000000-0005-0000-0000-0000630E0000}"/>
    <cellStyle name="_CurrencySpace 20" xfId="3692" xr:uid="{00000000-0005-0000-0000-0000640E0000}"/>
    <cellStyle name="_CurrencySpace 21" xfId="3693" xr:uid="{00000000-0005-0000-0000-0000650E0000}"/>
    <cellStyle name="_CurrencySpace 21 2" xfId="3694" xr:uid="{00000000-0005-0000-0000-0000660E0000}"/>
    <cellStyle name="_CurrencySpace 3" xfId="3695" xr:uid="{00000000-0005-0000-0000-0000670E0000}"/>
    <cellStyle name="_CurrencySpace 4" xfId="3696" xr:uid="{00000000-0005-0000-0000-0000680E0000}"/>
    <cellStyle name="_CurrencySpace 5" xfId="3697" xr:uid="{00000000-0005-0000-0000-0000690E0000}"/>
    <cellStyle name="_CurrencySpace 6" xfId="3698" xr:uid="{00000000-0005-0000-0000-00006A0E0000}"/>
    <cellStyle name="_CurrencySpace 7" xfId="3699" xr:uid="{00000000-0005-0000-0000-00006B0E0000}"/>
    <cellStyle name="_CurrencySpace 8" xfId="3700" xr:uid="{00000000-0005-0000-0000-00006C0E0000}"/>
    <cellStyle name="_CurrencySpace 9" xfId="3701" xr:uid="{00000000-0005-0000-0000-00006D0E0000}"/>
    <cellStyle name="_Direct Investment" xfId="3702" xr:uid="{00000000-0005-0000-0000-00006E0E0000}"/>
    <cellStyle name="_Direct Investment 10" xfId="3703" xr:uid="{00000000-0005-0000-0000-00006F0E0000}"/>
    <cellStyle name="_Direct Investment 11" xfId="3704" xr:uid="{00000000-0005-0000-0000-0000700E0000}"/>
    <cellStyle name="_Direct Investment 12" xfId="3705" xr:uid="{00000000-0005-0000-0000-0000710E0000}"/>
    <cellStyle name="_Direct Investment 13" xfId="3706" xr:uid="{00000000-0005-0000-0000-0000720E0000}"/>
    <cellStyle name="_Direct Investment 14" xfId="3707" xr:uid="{00000000-0005-0000-0000-0000730E0000}"/>
    <cellStyle name="_Direct Investment 15" xfId="3708" xr:uid="{00000000-0005-0000-0000-0000740E0000}"/>
    <cellStyle name="_Direct Investment 16" xfId="3709" xr:uid="{00000000-0005-0000-0000-0000750E0000}"/>
    <cellStyle name="_Direct Investment 17" xfId="3710" xr:uid="{00000000-0005-0000-0000-0000760E0000}"/>
    <cellStyle name="_Direct Investment 18" xfId="3711" xr:uid="{00000000-0005-0000-0000-0000770E0000}"/>
    <cellStyle name="_Direct Investment 19" xfId="3712" xr:uid="{00000000-0005-0000-0000-0000780E0000}"/>
    <cellStyle name="_Direct Investment 2" xfId="3713" xr:uid="{00000000-0005-0000-0000-0000790E0000}"/>
    <cellStyle name="_Direct Investment 2 2" xfId="3714" xr:uid="{00000000-0005-0000-0000-00007A0E0000}"/>
    <cellStyle name="_Direct Investment 20" xfId="3715" xr:uid="{00000000-0005-0000-0000-00007B0E0000}"/>
    <cellStyle name="_Direct Investment 21" xfId="3716" xr:uid="{00000000-0005-0000-0000-00007C0E0000}"/>
    <cellStyle name="_Direct Investment 22" xfId="3717" xr:uid="{00000000-0005-0000-0000-00007D0E0000}"/>
    <cellStyle name="_Direct Investment 23" xfId="3718" xr:uid="{00000000-0005-0000-0000-00007E0E0000}"/>
    <cellStyle name="_Direct Investment 23 2" xfId="3719" xr:uid="{00000000-0005-0000-0000-00007F0E0000}"/>
    <cellStyle name="_Direct Investment 3" xfId="3720" xr:uid="{00000000-0005-0000-0000-0000800E0000}"/>
    <cellStyle name="_Direct Investment 3 2" xfId="3721" xr:uid="{00000000-0005-0000-0000-0000810E0000}"/>
    <cellStyle name="_Direct Investment 4" xfId="3722" xr:uid="{00000000-0005-0000-0000-0000820E0000}"/>
    <cellStyle name="_Direct Investment 5" xfId="3723" xr:uid="{00000000-0005-0000-0000-0000830E0000}"/>
    <cellStyle name="_Direct Investment 6" xfId="3724" xr:uid="{00000000-0005-0000-0000-0000840E0000}"/>
    <cellStyle name="_Direct Investment 7" xfId="3725" xr:uid="{00000000-0005-0000-0000-0000850E0000}"/>
    <cellStyle name="_Direct Investment 8" xfId="3726" xr:uid="{00000000-0005-0000-0000-0000860E0000}"/>
    <cellStyle name="_Direct Investment 9" xfId="3727" xr:uid="{00000000-0005-0000-0000-0000870E0000}"/>
    <cellStyle name="_Direct Investment_2.10.10 LS Distribution" xfId="3728" xr:uid="{00000000-0005-0000-0000-0000880E0000}"/>
    <cellStyle name="_Direct Investment_2011 Q1 Monitoring Fees v3" xfId="3729" xr:uid="{00000000-0005-0000-0000-0000890E0000}"/>
    <cellStyle name="_Direct Investment_AIF IV Financial Highlights 12-31-08 v4" xfId="3730" xr:uid="{00000000-0005-0000-0000-00008A0E0000}"/>
    <cellStyle name="_Direct Investment_AIF IV Financial Highlights 12-31-08 v4_Apollo Investment Fund IV  Q3 2009 Capital Analysis CURRENT" xfId="3731" xr:uid="{00000000-0005-0000-0000-00008B0E0000}"/>
    <cellStyle name="_Direct Investment_AIF IV Financial Highlights 12-31-08 v4_Apollo Investment Fund IV  Q3 2009 Capital Analysis iPCS &amp; URI Distribution" xfId="3732" xr:uid="{00000000-0005-0000-0000-00008C0E0000}"/>
    <cellStyle name="_Direct Investment_AIF IV Financial Highlights 12-31-08 v4_iPCs#1-Remaining" xfId="3733" xr:uid="{00000000-0005-0000-0000-00008D0E0000}"/>
    <cellStyle name="_Direct Investment_AIF VI - BondcoVI_Entities Invested Capital (CURRENT)" xfId="3734" xr:uid="{00000000-0005-0000-0000-00008E0E0000}"/>
    <cellStyle name="_Direct Investment_AIF VI Broadleaf Watefall Summary as of 6-30-09 FINAL" xfId="3735" xr:uid="{00000000-0005-0000-0000-00008F0E0000}"/>
    <cellStyle name="_Direct Investment_AIF VI Broadleaf Watefall Summary as of 9-30-09" xfId="3736" xr:uid="{00000000-0005-0000-0000-0000900E0000}"/>
    <cellStyle name="_Direct Investment_Broadleaf Watefall 12-31-09" xfId="3737" xr:uid="{00000000-0005-0000-0000-0000910E0000}"/>
    <cellStyle name="_Direct Investment_Broadleaf Watefall 6-30-09" xfId="3738" xr:uid="{00000000-0005-0000-0000-0000920E0000}"/>
    <cellStyle name="_Direct Investment_Broadleaf Watefall 9-30-09" xfId="3739" xr:uid="{00000000-0005-0000-0000-0000930E0000}"/>
    <cellStyle name="_Direct Investment_Copy of AGM Dec '09 YTD COF I and II Dep  Liab (1-13-10) (2)" xfId="3740" xr:uid="{00000000-0005-0000-0000-0000940E0000}"/>
    <cellStyle name="_Direct Investment_Domestic TB" xfId="3741" xr:uid="{00000000-0005-0000-0000-0000950E0000}"/>
    <cellStyle name="_Direct Investment_IC Balance" xfId="3742" xr:uid="{00000000-0005-0000-0000-0000960E0000}"/>
    <cellStyle name="_Direct Investment_Invested Capital Debt Worksheet" xfId="3743" xr:uid="{00000000-0005-0000-0000-0000970E0000}"/>
    <cellStyle name="_Direct Investment_LS, LP - Dec  2010 Trial Balance Summary" xfId="3744" xr:uid="{00000000-0005-0000-0000-0000980E0000}"/>
    <cellStyle name="_Direct Investment_MMF Income" xfId="3745" xr:uid="{00000000-0005-0000-0000-0000990E0000}"/>
    <cellStyle name="_Direct Investment_Partners Capital Q1 2009" xfId="3746" xr:uid="{00000000-0005-0000-0000-00009A0E0000}"/>
    <cellStyle name="_Direct Investment_Placement Fee Summary 05-14-09 - Current (2)" xfId="3747" xr:uid="{00000000-0005-0000-0000-00009B0E0000}"/>
    <cellStyle name="_Direct Investment_PR Calc - DOMESTIC" xfId="3748" xr:uid="{00000000-0005-0000-0000-00009C0E0000}"/>
    <cellStyle name="_Direct Investment_Q1 2011 Pmts" xfId="3749" xr:uid="{00000000-0005-0000-0000-00009D0E0000}"/>
    <cellStyle name="_Direct Investment_Realized Gain Loss" xfId="3750" xr:uid="{00000000-0005-0000-0000-00009E0E0000}"/>
    <cellStyle name="_Direct Investment_TX Details" xfId="3751" xr:uid="{00000000-0005-0000-0000-00009F0E0000}"/>
    <cellStyle name="-_Domestic TB" xfId="3752" xr:uid="{00000000-0005-0000-0000-0000A00E0000}"/>
    <cellStyle name="_Exec Summ Exhibits v1" xfId="3753" xr:uid="{00000000-0005-0000-0000-0000A10E0000}"/>
    <cellStyle name="_Exec Summ Exhibits v1 10" xfId="3754" xr:uid="{00000000-0005-0000-0000-0000A20E0000}"/>
    <cellStyle name="_Exec Summ Exhibits v1 11" xfId="3755" xr:uid="{00000000-0005-0000-0000-0000A30E0000}"/>
    <cellStyle name="_Exec Summ Exhibits v1 12" xfId="3756" xr:uid="{00000000-0005-0000-0000-0000A40E0000}"/>
    <cellStyle name="_Exec Summ Exhibits v1 13" xfId="3757" xr:uid="{00000000-0005-0000-0000-0000A50E0000}"/>
    <cellStyle name="_Exec Summ Exhibits v1 14" xfId="3758" xr:uid="{00000000-0005-0000-0000-0000A60E0000}"/>
    <cellStyle name="_Exec Summ Exhibits v1 15" xfId="3759" xr:uid="{00000000-0005-0000-0000-0000A70E0000}"/>
    <cellStyle name="_Exec Summ Exhibits v1 16" xfId="3760" xr:uid="{00000000-0005-0000-0000-0000A80E0000}"/>
    <cellStyle name="_Exec Summ Exhibits v1 17" xfId="3761" xr:uid="{00000000-0005-0000-0000-0000A90E0000}"/>
    <cellStyle name="_Exec Summ Exhibits v1 18" xfId="3762" xr:uid="{00000000-0005-0000-0000-0000AA0E0000}"/>
    <cellStyle name="_Exec Summ Exhibits v1 19" xfId="3763" xr:uid="{00000000-0005-0000-0000-0000AB0E0000}"/>
    <cellStyle name="_Exec Summ Exhibits v1 2" xfId="3764" xr:uid="{00000000-0005-0000-0000-0000AC0E0000}"/>
    <cellStyle name="_Exec Summ Exhibits v1 20" xfId="3765" xr:uid="{00000000-0005-0000-0000-0000AD0E0000}"/>
    <cellStyle name="_Exec Summ Exhibits v1 21" xfId="3766" xr:uid="{00000000-0005-0000-0000-0000AE0E0000}"/>
    <cellStyle name="_Exec Summ Exhibits v1 21 2" xfId="3767" xr:uid="{00000000-0005-0000-0000-0000AF0E0000}"/>
    <cellStyle name="_Exec Summ Exhibits v1 3" xfId="3768" xr:uid="{00000000-0005-0000-0000-0000B00E0000}"/>
    <cellStyle name="_Exec Summ Exhibits v1 4" xfId="3769" xr:uid="{00000000-0005-0000-0000-0000B10E0000}"/>
    <cellStyle name="_Exec Summ Exhibits v1 5" xfId="3770" xr:uid="{00000000-0005-0000-0000-0000B20E0000}"/>
    <cellStyle name="_Exec Summ Exhibits v1 6" xfId="3771" xr:uid="{00000000-0005-0000-0000-0000B30E0000}"/>
    <cellStyle name="_Exec Summ Exhibits v1 7" xfId="3772" xr:uid="{00000000-0005-0000-0000-0000B40E0000}"/>
    <cellStyle name="_Exec Summ Exhibits v1 8" xfId="3773" xr:uid="{00000000-0005-0000-0000-0000B50E0000}"/>
    <cellStyle name="_Exec Summ Exhibits v1 9" xfId="3774" xr:uid="{00000000-0005-0000-0000-0000B60E0000}"/>
    <cellStyle name="_Exec Summ Exhibits v1_{6} Carry" xfId="3775" xr:uid="{00000000-0005-0000-0000-0000B70E0000}"/>
    <cellStyle name="_Exec Summ Exhibits v1_{6} Clawback" xfId="3776" xr:uid="{00000000-0005-0000-0000-0000B80E0000}"/>
    <cellStyle name="_Exec Summ Exhibits v1_2011 Q1 Monitoring Fees v3" xfId="3777" xr:uid="{00000000-0005-0000-0000-0000B90E0000}"/>
    <cellStyle name="_Exec Summ Exhibits v1_AIF IV Financial Highlights 12-31-08 v4" xfId="3778" xr:uid="{00000000-0005-0000-0000-0000BA0E0000}"/>
    <cellStyle name="_Exec Summ Exhibits v1_AIF IV Financial Highlights 12-31-08 v4_Apollo Investment Fund IV  Q3 2009 Capital Analysis CURRENT" xfId="3779" xr:uid="{00000000-0005-0000-0000-0000BB0E0000}"/>
    <cellStyle name="_Exec Summ Exhibits v1_AIF IV Financial Highlights 12-31-08 v4_Apollo Investment Fund IV  Q3 2009 Capital Analysis iPCS &amp; URI Distribution" xfId="3780" xr:uid="{00000000-0005-0000-0000-0000BC0E0000}"/>
    <cellStyle name="_Exec Summ Exhibits v1_AIF IV Financial Highlights 12-31-08 v4_iPCs#1-Remaining" xfId="3781" xr:uid="{00000000-0005-0000-0000-0000BD0E0000}"/>
    <cellStyle name="_Exec Summ Exhibits v1_Andy Affrick - Schedulev2" xfId="3782" xr:uid="{00000000-0005-0000-0000-0000BE0E0000}"/>
    <cellStyle name="_Exec Summ Exhibits v1_Apollo Investment Fund IV  April Priority Return" xfId="3783" xr:uid="{00000000-0005-0000-0000-0000BF0E0000}"/>
    <cellStyle name="_Exec Summ Exhibits v1_Apollo Investment Fund IV  Q1 2009 Capital Analysis 5-22-09 with GAAP" xfId="3784" xr:uid="{00000000-0005-0000-0000-0000C00E0000}"/>
    <cellStyle name="_Exec Summ Exhibits v1_Apollo Investment Fund IV  Q1 2009 Capital Analysis GAAP" xfId="3785" xr:uid="{00000000-0005-0000-0000-0000C10E0000}"/>
    <cellStyle name="_Exec Summ Exhibits v1_Apollo Investment Fund IV  Q2 2009 Capital Analysis CURRENT" xfId="3786" xr:uid="{00000000-0005-0000-0000-0000C20E0000}"/>
    <cellStyle name="_Exec Summ Exhibits v1_Apollo Investment Fund IV  Q3 2009 Capital Analysis CURRENT" xfId="3787" xr:uid="{00000000-0005-0000-0000-0000C30E0000}"/>
    <cellStyle name="_Exec Summ Exhibits v1_Apollo Investment Fund IV  Q3 2009 Capital Analysis iPCS &amp; URI Distribution" xfId="3788" xr:uid="{00000000-0005-0000-0000-0000C40E0000}"/>
    <cellStyle name="_Exec Summ Exhibits v1_Apollo Investment Fund IV Priority Return 6-30-09" xfId="3789" xr:uid="{00000000-0005-0000-0000-0000C50E0000}"/>
    <cellStyle name="_Exec Summ Exhibits v1_Apollo Investment Fund IV Q1 2009 Capital Analysis PR CORRECTED 6-30-09" xfId="3790" xr:uid="{00000000-0005-0000-0000-0000C60E0000}"/>
    <cellStyle name="_Exec Summ Exhibits v1_Broadleaf Watefall 9-30-09" xfId="3791" xr:uid="{00000000-0005-0000-0000-0000C70E0000}"/>
    <cellStyle name="_Exec Summ Exhibits v1_Carry Calculation" xfId="3792" xr:uid="{00000000-0005-0000-0000-0000C80E0000}"/>
    <cellStyle name="_Exec Summ Exhibits v1_COF I CAS" xfId="3793" xr:uid="{00000000-0005-0000-0000-0000C90E0000}"/>
    <cellStyle name="_Exec Summ Exhibits v1_COF II CAS" xfId="3794" xr:uid="{00000000-0005-0000-0000-0000CA0E0000}"/>
    <cellStyle name="_Exec Summ Exhibits v1_Copy of AGM Dec '09 YTD COF I and II Dep  Liab (1-13-10) (2)" xfId="3795" xr:uid="{00000000-0005-0000-0000-0000CB0E0000}"/>
    <cellStyle name="_Exec Summ Exhibits v1_Dist Summary_11.XX.09" xfId="3796" xr:uid="{00000000-0005-0000-0000-0000CC0E0000}"/>
    <cellStyle name="_Exec Summ Exhibits v1_Domestic TB" xfId="3797" xr:uid="{00000000-0005-0000-0000-0000CD0E0000}"/>
    <cellStyle name="_Exec Summ Exhibits v1_Domestic TB 2" xfId="3798" xr:uid="{00000000-0005-0000-0000-0000CE0E0000}"/>
    <cellStyle name="_Exec Summ Exhibits v1_Fund IV" xfId="3799" xr:uid="{00000000-0005-0000-0000-0000CF0E0000}"/>
    <cellStyle name="_Exec Summ Exhibits v1_Fund IV 9.30.08" xfId="3800" xr:uid="{00000000-0005-0000-0000-0000D00E0000}"/>
    <cellStyle name="_Exec Summ Exhibits v1_Fund IV_1" xfId="3801" xr:uid="{00000000-0005-0000-0000-0000D10E0000}"/>
    <cellStyle name="_Exec Summ Exhibits v1_Fund IV_AIF IV - Waterfall 3 31 09 vs  6 30 09" xfId="3802" xr:uid="{00000000-0005-0000-0000-0000D20E0000}"/>
    <cellStyle name="_Exec Summ Exhibits v1_Fund IV_AIF IV, V, VI, VII, COF - Waterfall 3 31 09 vs  6 30 09" xfId="3803" xr:uid="{00000000-0005-0000-0000-0000D30E0000}"/>
    <cellStyle name="_Exec Summ Exhibits v1_Fund IV_Fund IV" xfId="3804" xr:uid="{00000000-0005-0000-0000-0000D40E0000}"/>
    <cellStyle name="_Exec Summ Exhibits v1_Fund IV_Funds IV Clawback Value Adjustment" xfId="3805" xr:uid="{00000000-0005-0000-0000-0000D50E0000}"/>
    <cellStyle name="_Exec Summ Exhibits v1_IC Balance" xfId="3806" xr:uid="{00000000-0005-0000-0000-0000D60E0000}"/>
    <cellStyle name="_Exec Summ Exhibits v1_Invested Capital Debt Worksheet" xfId="3807" xr:uid="{00000000-0005-0000-0000-0000D70E0000}"/>
    <cellStyle name="_Exec Summ Exhibits v1_iPCs#1-Remaining" xfId="3808" xr:uid="{00000000-0005-0000-0000-0000D80E0000}"/>
    <cellStyle name="_Exec Summ Exhibits v1_LS, LP - Dec  2010 Trial Balance Summary" xfId="3809" xr:uid="{00000000-0005-0000-0000-0000D90E0000}"/>
    <cellStyle name="_Exec Summ Exhibits v1_Partners Capital Q1 2009" xfId="3810" xr:uid="{00000000-0005-0000-0000-0000DA0E0000}"/>
    <cellStyle name="_Exec Summ Exhibits v1_Partners Capital Q1 2009 2" xfId="3811" xr:uid="{00000000-0005-0000-0000-0000DB0E0000}"/>
    <cellStyle name="_Exec Summ Exhibits v1_Partners Capital Q1 2009 3" xfId="3812" xr:uid="{00000000-0005-0000-0000-0000DC0E0000}"/>
    <cellStyle name="_Exec Summ Exhibits v1_Partners Capital Q1 2009_Broadleaf Watefall 12-31-09" xfId="3813" xr:uid="{00000000-0005-0000-0000-0000DD0E0000}"/>
    <cellStyle name="_Exec Summ Exhibits v1_PR Calc" xfId="3814" xr:uid="{00000000-0005-0000-0000-0000DE0E0000}"/>
    <cellStyle name="_Exec Summ Exhibits v1_PR Calc - DOMESTIC" xfId="3815" xr:uid="{00000000-0005-0000-0000-0000DF0E0000}"/>
    <cellStyle name="_Exec Summ Exhibits v1_RCIV Q3 2009 Capital Analysis CURRENT" xfId="3816" xr:uid="{00000000-0005-0000-0000-0000E00E0000}"/>
    <cellStyle name="_Exec Summ Exhibits v1_RCIV Q3 2009 Capital Analysis CURRENT 2" xfId="3817" xr:uid="{00000000-0005-0000-0000-0000E10E0000}"/>
    <cellStyle name="_fif basis reconcilation through 2005" xfId="3818" xr:uid="{00000000-0005-0000-0000-0000E20E0000}"/>
    <cellStyle name="_fif basis reconcilation through 2005 10" xfId="3819" xr:uid="{00000000-0005-0000-0000-0000E30E0000}"/>
    <cellStyle name="_fif basis reconcilation through 2005 11" xfId="3820" xr:uid="{00000000-0005-0000-0000-0000E40E0000}"/>
    <cellStyle name="_fif basis reconcilation through 2005 12" xfId="3821" xr:uid="{00000000-0005-0000-0000-0000E50E0000}"/>
    <cellStyle name="_fif basis reconcilation through 2005 13" xfId="3822" xr:uid="{00000000-0005-0000-0000-0000E60E0000}"/>
    <cellStyle name="_fif basis reconcilation through 2005 14" xfId="3823" xr:uid="{00000000-0005-0000-0000-0000E70E0000}"/>
    <cellStyle name="_fif basis reconcilation through 2005 15" xfId="3824" xr:uid="{00000000-0005-0000-0000-0000E80E0000}"/>
    <cellStyle name="_fif basis reconcilation through 2005 16" xfId="3825" xr:uid="{00000000-0005-0000-0000-0000E90E0000}"/>
    <cellStyle name="_fif basis reconcilation through 2005 17" xfId="3826" xr:uid="{00000000-0005-0000-0000-0000EA0E0000}"/>
    <cellStyle name="_fif basis reconcilation through 2005 18" xfId="3827" xr:uid="{00000000-0005-0000-0000-0000EB0E0000}"/>
    <cellStyle name="_fif basis reconcilation through 2005 19" xfId="3828" xr:uid="{00000000-0005-0000-0000-0000EC0E0000}"/>
    <cellStyle name="_fif basis reconcilation through 2005 2" xfId="3829" xr:uid="{00000000-0005-0000-0000-0000ED0E0000}"/>
    <cellStyle name="_fif basis reconcilation through 2005 20" xfId="3830" xr:uid="{00000000-0005-0000-0000-0000EE0E0000}"/>
    <cellStyle name="_fif basis reconcilation through 2005 21" xfId="3831" xr:uid="{00000000-0005-0000-0000-0000EF0E0000}"/>
    <cellStyle name="_fif basis reconcilation through 2005 21 2" xfId="3832" xr:uid="{00000000-0005-0000-0000-0000F00E0000}"/>
    <cellStyle name="_fif basis reconcilation through 2005 3" xfId="3833" xr:uid="{00000000-0005-0000-0000-0000F10E0000}"/>
    <cellStyle name="_fif basis reconcilation through 2005 4" xfId="3834" xr:uid="{00000000-0005-0000-0000-0000F20E0000}"/>
    <cellStyle name="_fif basis reconcilation through 2005 5" xfId="3835" xr:uid="{00000000-0005-0000-0000-0000F30E0000}"/>
    <cellStyle name="_fif basis reconcilation through 2005 6" xfId="3836" xr:uid="{00000000-0005-0000-0000-0000F40E0000}"/>
    <cellStyle name="_fif basis reconcilation through 2005 7" xfId="3837" xr:uid="{00000000-0005-0000-0000-0000F50E0000}"/>
    <cellStyle name="_fif basis reconcilation through 2005 8" xfId="3838" xr:uid="{00000000-0005-0000-0000-0000F60E0000}"/>
    <cellStyle name="_fif basis reconcilation through 2005 9" xfId="3839" xr:uid="{00000000-0005-0000-0000-0000F70E0000}"/>
    <cellStyle name="_fif basis reconcilation through 2005_AIF V 2008 Capital Analysis 1Q08 FINAL" xfId="3840" xr:uid="{00000000-0005-0000-0000-0000F80E0000}"/>
    <cellStyle name="_fif basis reconcilation through 2005_Copy of AGM Dec '09 YTD COF I and II Dep  Liab (1-13-10) (2)" xfId="3841" xr:uid="{00000000-0005-0000-0000-0000F90E0000}"/>
    <cellStyle name="_Financial Highlights Template-FHT" xfId="3842" xr:uid="{00000000-0005-0000-0000-0000FA0E0000}"/>
    <cellStyle name="-_Fund IV" xfId="3843" xr:uid="{00000000-0005-0000-0000-0000FB0E0000}"/>
    <cellStyle name="-_Fund IV 9.30.08" xfId="3844" xr:uid="{00000000-0005-0000-0000-0000FC0E0000}"/>
    <cellStyle name="-_Fund IV Tax to GAAP TB 05-30-08 - @7.10.08" xfId="3845" xr:uid="{00000000-0005-0000-0000-0000FD0E0000}"/>
    <cellStyle name="-_Fund IV Tax to GAAP TB 05-30-08 - @7.10.08 10" xfId="3846" xr:uid="{00000000-0005-0000-0000-0000FE0E0000}"/>
    <cellStyle name="-_Fund IV Tax to GAAP TB 05-30-08 - @7.10.08 11" xfId="3847" xr:uid="{00000000-0005-0000-0000-0000FF0E0000}"/>
    <cellStyle name="-_Fund IV Tax to GAAP TB 05-30-08 - @7.10.08 12" xfId="3848" xr:uid="{00000000-0005-0000-0000-0000000F0000}"/>
    <cellStyle name="-_Fund IV Tax to GAAP TB 05-30-08 - @7.10.08 13" xfId="3849" xr:uid="{00000000-0005-0000-0000-0000010F0000}"/>
    <cellStyle name="-_Fund IV Tax to GAAP TB 05-30-08 - @7.10.08 14" xfId="3850" xr:uid="{00000000-0005-0000-0000-0000020F0000}"/>
    <cellStyle name="-_Fund IV Tax to GAAP TB 05-30-08 - @7.10.08 15" xfId="3851" xr:uid="{00000000-0005-0000-0000-0000030F0000}"/>
    <cellStyle name="-_Fund IV Tax to GAAP TB 05-30-08 - @7.10.08 16" xfId="3852" xr:uid="{00000000-0005-0000-0000-0000040F0000}"/>
    <cellStyle name="-_Fund IV Tax to GAAP TB 05-30-08 - @7.10.08 17" xfId="3853" xr:uid="{00000000-0005-0000-0000-0000050F0000}"/>
    <cellStyle name="-_Fund IV Tax to GAAP TB 05-30-08 - @7.10.08 18" xfId="3854" xr:uid="{00000000-0005-0000-0000-0000060F0000}"/>
    <cellStyle name="-_Fund IV Tax to GAAP TB 05-30-08 - @7.10.08 19" xfId="3855" xr:uid="{00000000-0005-0000-0000-0000070F0000}"/>
    <cellStyle name="-_Fund IV Tax to GAAP TB 05-30-08 - @7.10.08 2" xfId="3856" xr:uid="{00000000-0005-0000-0000-0000080F0000}"/>
    <cellStyle name="-_Fund IV Tax to GAAP TB 05-30-08 - @7.10.08 20" xfId="3857" xr:uid="{00000000-0005-0000-0000-0000090F0000}"/>
    <cellStyle name="-_Fund IV Tax to GAAP TB 05-30-08 - @7.10.08 21" xfId="3858" xr:uid="{00000000-0005-0000-0000-00000A0F0000}"/>
    <cellStyle name="-_Fund IV Tax to GAAP TB 05-30-08 - @7.10.08 3" xfId="3859" xr:uid="{00000000-0005-0000-0000-00000B0F0000}"/>
    <cellStyle name="-_Fund IV Tax to GAAP TB 05-30-08 - @7.10.08 4" xfId="3860" xr:uid="{00000000-0005-0000-0000-00000C0F0000}"/>
    <cellStyle name="-_Fund IV Tax to GAAP TB 05-30-08 - @7.10.08 5" xfId="3861" xr:uid="{00000000-0005-0000-0000-00000D0F0000}"/>
    <cellStyle name="-_Fund IV Tax to GAAP TB 05-30-08 - @7.10.08 6" xfId="3862" xr:uid="{00000000-0005-0000-0000-00000E0F0000}"/>
    <cellStyle name="-_Fund IV Tax to GAAP TB 05-30-08 - @7.10.08 7" xfId="3863" xr:uid="{00000000-0005-0000-0000-00000F0F0000}"/>
    <cellStyle name="-_Fund IV Tax to GAAP TB 05-30-08 - @7.10.08 8" xfId="3864" xr:uid="{00000000-0005-0000-0000-0000100F0000}"/>
    <cellStyle name="-_Fund IV Tax to GAAP TB 05-30-08 - @7.10.08 9" xfId="3865" xr:uid="{00000000-0005-0000-0000-0000110F0000}"/>
    <cellStyle name="-_Fund IV Tax to GAAP TB 07-31-08 - @8.11.08" xfId="3866" xr:uid="{00000000-0005-0000-0000-0000120F0000}"/>
    <cellStyle name="-_Fund IV Tax to GAAP TB 09-30-08" xfId="3867" xr:uid="{00000000-0005-0000-0000-0000130F0000}"/>
    <cellStyle name="-_Fund IV Tax to GAAP TB 10-31-08" xfId="3868" xr:uid="{00000000-0005-0000-0000-0000140F0000}"/>
    <cellStyle name="-_Fund IV Tax to GAAP TB 12-31-08" xfId="3869" xr:uid="{00000000-0005-0000-0000-0000150F0000}"/>
    <cellStyle name="-_Fund VI Tax to GAAP TB 6-30-08" xfId="3870" xr:uid="{00000000-0005-0000-0000-0000160F0000}"/>
    <cellStyle name="_FundName_Monthend_20080831 (3)" xfId="3871" xr:uid="{00000000-0005-0000-0000-0000170F0000}"/>
    <cellStyle name="_FundName_Monthend_20080831 (3)_Summary" xfId="3872" xr:uid="{00000000-0005-0000-0000-0000180F0000}"/>
    <cellStyle name="_GTIH Model v49 (5.22.03) v6" xfId="3873" xr:uid="{00000000-0005-0000-0000-0000190F0000}"/>
    <cellStyle name="_GTIH Model v49 (5.22.03) v6 10" xfId="3874" xr:uid="{00000000-0005-0000-0000-00001A0F0000}"/>
    <cellStyle name="_GTIH Model v49 (5.22.03) v6 11" xfId="3875" xr:uid="{00000000-0005-0000-0000-00001B0F0000}"/>
    <cellStyle name="_GTIH Model v49 (5.22.03) v6 12" xfId="3876" xr:uid="{00000000-0005-0000-0000-00001C0F0000}"/>
    <cellStyle name="_GTIH Model v49 (5.22.03) v6 13" xfId="3877" xr:uid="{00000000-0005-0000-0000-00001D0F0000}"/>
    <cellStyle name="_GTIH Model v49 (5.22.03) v6 14" xfId="3878" xr:uid="{00000000-0005-0000-0000-00001E0F0000}"/>
    <cellStyle name="_GTIH Model v49 (5.22.03) v6 15" xfId="3879" xr:uid="{00000000-0005-0000-0000-00001F0F0000}"/>
    <cellStyle name="_GTIH Model v49 (5.22.03) v6 16" xfId="3880" xr:uid="{00000000-0005-0000-0000-0000200F0000}"/>
    <cellStyle name="_GTIH Model v49 (5.22.03) v6 17" xfId="3881" xr:uid="{00000000-0005-0000-0000-0000210F0000}"/>
    <cellStyle name="_GTIH Model v49 (5.22.03) v6 18" xfId="3882" xr:uid="{00000000-0005-0000-0000-0000220F0000}"/>
    <cellStyle name="_GTIH Model v49 (5.22.03) v6 19" xfId="3883" xr:uid="{00000000-0005-0000-0000-0000230F0000}"/>
    <cellStyle name="_GTIH Model v49 (5.22.03) v6 2" xfId="3884" xr:uid="{00000000-0005-0000-0000-0000240F0000}"/>
    <cellStyle name="_GTIH Model v49 (5.22.03) v6 20" xfId="3885" xr:uid="{00000000-0005-0000-0000-0000250F0000}"/>
    <cellStyle name="_GTIH Model v49 (5.22.03) v6 21" xfId="3886" xr:uid="{00000000-0005-0000-0000-0000260F0000}"/>
    <cellStyle name="_GTIH Model v49 (5.22.03) v6 21 2" xfId="3887" xr:uid="{00000000-0005-0000-0000-0000270F0000}"/>
    <cellStyle name="_GTIH Model v49 (5.22.03) v6 3" xfId="3888" xr:uid="{00000000-0005-0000-0000-0000280F0000}"/>
    <cellStyle name="_GTIH Model v49 (5.22.03) v6 4" xfId="3889" xr:uid="{00000000-0005-0000-0000-0000290F0000}"/>
    <cellStyle name="_GTIH Model v49 (5.22.03) v6 5" xfId="3890" xr:uid="{00000000-0005-0000-0000-00002A0F0000}"/>
    <cellStyle name="_GTIH Model v49 (5.22.03) v6 6" xfId="3891" xr:uid="{00000000-0005-0000-0000-00002B0F0000}"/>
    <cellStyle name="_GTIH Model v49 (5.22.03) v6 7" xfId="3892" xr:uid="{00000000-0005-0000-0000-00002C0F0000}"/>
    <cellStyle name="_GTIH Model v49 (5.22.03) v6 8" xfId="3893" xr:uid="{00000000-0005-0000-0000-00002D0F0000}"/>
    <cellStyle name="_GTIH Model v49 (5.22.03) v6 9" xfId="3894" xr:uid="{00000000-0005-0000-0000-00002E0F0000}"/>
    <cellStyle name="_GTIH Model v49 (5.22.03) v6_{6} Carry" xfId="3895" xr:uid="{00000000-0005-0000-0000-00002F0F0000}"/>
    <cellStyle name="_GTIH Model v49 (5.22.03) v6_{6} Clawback" xfId="3896" xr:uid="{00000000-0005-0000-0000-0000300F0000}"/>
    <cellStyle name="_GTIH Model v49 (5.22.03) v6_2011 Q1 Monitoring Fees v3" xfId="3897" xr:uid="{00000000-0005-0000-0000-0000310F0000}"/>
    <cellStyle name="_GTIH Model v49 (5.22.03) v6_AIF IV Financial Highlights 12-31-08 v4" xfId="3898" xr:uid="{00000000-0005-0000-0000-0000320F0000}"/>
    <cellStyle name="_GTIH Model v49 (5.22.03) v6_AIF IV Financial Highlights 12-31-08 v4_Apollo Investment Fund IV  Q3 2009 Capital Analysis CURRENT" xfId="3899" xr:uid="{00000000-0005-0000-0000-0000330F0000}"/>
    <cellStyle name="_GTIH Model v49 (5.22.03) v6_AIF IV Financial Highlights 12-31-08 v4_Apollo Investment Fund IV  Q3 2009 Capital Analysis iPCS &amp; URI Distribution" xfId="3900" xr:uid="{00000000-0005-0000-0000-0000340F0000}"/>
    <cellStyle name="_GTIH Model v49 (5.22.03) v6_AIF IV Financial Highlights 12-31-08 v4_iPCs#1-Remaining" xfId="3901" xr:uid="{00000000-0005-0000-0000-0000350F0000}"/>
    <cellStyle name="_GTIH Model v49 (5.22.03) v6_Andy Affrick - Schedulev2" xfId="3902" xr:uid="{00000000-0005-0000-0000-0000360F0000}"/>
    <cellStyle name="_GTIH Model v49 (5.22.03) v6_Apollo Investment Fund IV  April Priority Return" xfId="3903" xr:uid="{00000000-0005-0000-0000-0000370F0000}"/>
    <cellStyle name="_GTIH Model v49 (5.22.03) v6_Apollo Investment Fund IV  Q1 2009 Capital Analysis 5-22-09 with GAAP" xfId="3904" xr:uid="{00000000-0005-0000-0000-0000380F0000}"/>
    <cellStyle name="_GTIH Model v49 (5.22.03) v6_Apollo Investment Fund IV  Q1 2009 Capital Analysis GAAP" xfId="3905" xr:uid="{00000000-0005-0000-0000-0000390F0000}"/>
    <cellStyle name="_GTIH Model v49 (5.22.03) v6_Apollo Investment Fund IV  Q2 2009 Capital Analysis CURRENT" xfId="3906" xr:uid="{00000000-0005-0000-0000-00003A0F0000}"/>
    <cellStyle name="_GTIH Model v49 (5.22.03) v6_Apollo Investment Fund IV  Q3 2009 Capital Analysis CURRENT" xfId="3907" xr:uid="{00000000-0005-0000-0000-00003B0F0000}"/>
    <cellStyle name="_GTIH Model v49 (5.22.03) v6_Apollo Investment Fund IV  Q3 2009 Capital Analysis iPCS &amp; URI Distribution" xfId="3908" xr:uid="{00000000-0005-0000-0000-00003C0F0000}"/>
    <cellStyle name="_GTIH Model v49 (5.22.03) v6_Apollo Investment Fund IV Priority Return 6-30-09" xfId="3909" xr:uid="{00000000-0005-0000-0000-00003D0F0000}"/>
    <cellStyle name="_GTIH Model v49 (5.22.03) v6_Apollo Investment Fund IV Q1 2009 Capital Analysis PR CORRECTED 6-30-09" xfId="3910" xr:uid="{00000000-0005-0000-0000-00003E0F0000}"/>
    <cellStyle name="_GTIH Model v49 (5.22.03) v6_Broadleaf Watefall 9-30-09" xfId="3911" xr:uid="{00000000-0005-0000-0000-00003F0F0000}"/>
    <cellStyle name="_GTIH Model v49 (5.22.03) v6_Carry Calculation" xfId="3912" xr:uid="{00000000-0005-0000-0000-0000400F0000}"/>
    <cellStyle name="_GTIH Model v49 (5.22.03) v6_COF I CAS" xfId="3913" xr:uid="{00000000-0005-0000-0000-0000410F0000}"/>
    <cellStyle name="_GTIH Model v49 (5.22.03) v6_COF II CAS" xfId="3914" xr:uid="{00000000-0005-0000-0000-0000420F0000}"/>
    <cellStyle name="_GTIH Model v49 (5.22.03) v6_Copy of AGM Dec '09 YTD COF I and II Dep  Liab (1-13-10) (2)" xfId="3915" xr:uid="{00000000-0005-0000-0000-0000430F0000}"/>
    <cellStyle name="_GTIH Model v49 (5.22.03) v6_Dist Summary_11.XX.09" xfId="3916" xr:uid="{00000000-0005-0000-0000-0000440F0000}"/>
    <cellStyle name="_GTIH Model v49 (5.22.03) v6_Domestic TB" xfId="3917" xr:uid="{00000000-0005-0000-0000-0000450F0000}"/>
    <cellStyle name="_GTIH Model v49 (5.22.03) v6_Domestic TB 2" xfId="3918" xr:uid="{00000000-0005-0000-0000-0000460F0000}"/>
    <cellStyle name="_GTIH Model v49 (5.22.03) v6_Fund IV" xfId="3919" xr:uid="{00000000-0005-0000-0000-0000470F0000}"/>
    <cellStyle name="_GTIH Model v49 (5.22.03) v6_Fund IV 9.30.08" xfId="3920" xr:uid="{00000000-0005-0000-0000-0000480F0000}"/>
    <cellStyle name="_GTIH Model v49 (5.22.03) v6_Fund IV_1" xfId="3921" xr:uid="{00000000-0005-0000-0000-0000490F0000}"/>
    <cellStyle name="_GTIH Model v49 (5.22.03) v6_Fund IV_AIF IV - Waterfall 3 31 09 vs  6 30 09" xfId="3922" xr:uid="{00000000-0005-0000-0000-00004A0F0000}"/>
    <cellStyle name="_GTIH Model v49 (5.22.03) v6_Fund IV_AIF IV, V, VI, VII, COF - Waterfall 3 31 09 vs  6 30 09" xfId="3923" xr:uid="{00000000-0005-0000-0000-00004B0F0000}"/>
    <cellStyle name="_GTIH Model v49 (5.22.03) v6_Fund IV_Fund IV" xfId="3924" xr:uid="{00000000-0005-0000-0000-00004C0F0000}"/>
    <cellStyle name="_GTIH Model v49 (5.22.03) v6_Fund IV_Funds IV Clawback Value Adjustment" xfId="3925" xr:uid="{00000000-0005-0000-0000-00004D0F0000}"/>
    <cellStyle name="_GTIH Model v49 (5.22.03) v6_IC Balance" xfId="3926" xr:uid="{00000000-0005-0000-0000-00004E0F0000}"/>
    <cellStyle name="_GTIH Model v49 (5.22.03) v6_Invested Capital Debt Worksheet" xfId="3927" xr:uid="{00000000-0005-0000-0000-00004F0F0000}"/>
    <cellStyle name="_GTIH Model v49 (5.22.03) v6_iPCs#1-Remaining" xfId="3928" xr:uid="{00000000-0005-0000-0000-0000500F0000}"/>
    <cellStyle name="_GTIH Model v49 (5.22.03) v6_LS, LP - Dec  2010 Trial Balance Summary" xfId="3929" xr:uid="{00000000-0005-0000-0000-0000510F0000}"/>
    <cellStyle name="_GTIH Model v49 (5.22.03) v6_Partners Capital Q1 2009" xfId="3930" xr:uid="{00000000-0005-0000-0000-0000520F0000}"/>
    <cellStyle name="_GTIH Model v49 (5.22.03) v6_Partners Capital Q1 2009 2" xfId="3931" xr:uid="{00000000-0005-0000-0000-0000530F0000}"/>
    <cellStyle name="_GTIH Model v49 (5.22.03) v6_Partners Capital Q1 2009 3" xfId="3932" xr:uid="{00000000-0005-0000-0000-0000540F0000}"/>
    <cellStyle name="_GTIH Model v49 (5.22.03) v6_Partners Capital Q1 2009_Broadleaf Watefall 12-31-09" xfId="3933" xr:uid="{00000000-0005-0000-0000-0000550F0000}"/>
    <cellStyle name="_GTIH Model v49 (5.22.03) v6_PR Calc" xfId="3934" xr:uid="{00000000-0005-0000-0000-0000560F0000}"/>
    <cellStyle name="_GTIH Model v49 (5.22.03) v6_PR Calc - DOMESTIC" xfId="3935" xr:uid="{00000000-0005-0000-0000-0000570F0000}"/>
    <cellStyle name="_GTIH Model v49 (5.22.03) v6_RCIV Q3 2009 Capital Analysis CURRENT" xfId="3936" xr:uid="{00000000-0005-0000-0000-0000580F0000}"/>
    <cellStyle name="_GTIH Model v49 (5.22.03) v6_RCIV Q3 2009 Capital Analysis CURRENT 2" xfId="3937" xr:uid="{00000000-0005-0000-0000-0000590F0000}"/>
    <cellStyle name="_Hapoalim_refresh_spreads" xfId="3938" xr:uid="{00000000-0005-0000-0000-00005A0F0000}"/>
    <cellStyle name="_Hapoalim_refresh_spreads_2011 Q1 Monitoring Fees v3" xfId="3939" xr:uid="{00000000-0005-0000-0000-00005B0F0000}"/>
    <cellStyle name="_Hapoalim_refresh_spreads_LS, LP - Dec  2010 Trial Balance Summary" xfId="3940" xr:uid="{00000000-0005-0000-0000-00005C0F0000}"/>
    <cellStyle name="_Hewett's Island I Daily Cas.." xfId="3941" xr:uid="{00000000-0005-0000-0000-00005D0F0000}"/>
    <cellStyle name="_Hexicon Adj" xfId="3942" xr:uid="{00000000-0005-0000-0000-00005E0F0000}"/>
    <cellStyle name="_Highlight" xfId="3943" xr:uid="{00000000-0005-0000-0000-00005F0F0000}"/>
    <cellStyle name="_Highlight 10" xfId="3944" xr:uid="{00000000-0005-0000-0000-0000600F0000}"/>
    <cellStyle name="_Highlight 11" xfId="3945" xr:uid="{00000000-0005-0000-0000-0000610F0000}"/>
    <cellStyle name="_Highlight 12" xfId="3946" xr:uid="{00000000-0005-0000-0000-0000620F0000}"/>
    <cellStyle name="_Highlight 13" xfId="3947" xr:uid="{00000000-0005-0000-0000-0000630F0000}"/>
    <cellStyle name="_Highlight 14" xfId="3948" xr:uid="{00000000-0005-0000-0000-0000640F0000}"/>
    <cellStyle name="_Highlight 15" xfId="3949" xr:uid="{00000000-0005-0000-0000-0000650F0000}"/>
    <cellStyle name="_Highlight 16" xfId="3950" xr:uid="{00000000-0005-0000-0000-0000660F0000}"/>
    <cellStyle name="_Highlight 17" xfId="3951" xr:uid="{00000000-0005-0000-0000-0000670F0000}"/>
    <cellStyle name="_Highlight 18" xfId="3952" xr:uid="{00000000-0005-0000-0000-0000680F0000}"/>
    <cellStyle name="_Highlight 19" xfId="3953" xr:uid="{00000000-0005-0000-0000-0000690F0000}"/>
    <cellStyle name="_Highlight 2" xfId="3954" xr:uid="{00000000-0005-0000-0000-00006A0F0000}"/>
    <cellStyle name="_Highlight 20" xfId="3955" xr:uid="{00000000-0005-0000-0000-00006B0F0000}"/>
    <cellStyle name="_Highlight 21" xfId="3956" xr:uid="{00000000-0005-0000-0000-00006C0F0000}"/>
    <cellStyle name="_Highlight 22" xfId="3957" xr:uid="{00000000-0005-0000-0000-00006D0F0000}"/>
    <cellStyle name="_Highlight 23" xfId="3958" xr:uid="{00000000-0005-0000-0000-00006E0F0000}"/>
    <cellStyle name="_Highlight 23 2" xfId="3959" xr:uid="{00000000-0005-0000-0000-00006F0F0000}"/>
    <cellStyle name="_Highlight 24" xfId="3960" xr:uid="{00000000-0005-0000-0000-0000700F0000}"/>
    <cellStyle name="_Highlight 24 2" xfId="3961" xr:uid="{00000000-0005-0000-0000-0000710F0000}"/>
    <cellStyle name="_Highlight 25" xfId="3962" xr:uid="{00000000-0005-0000-0000-0000720F0000}"/>
    <cellStyle name="_Highlight 26" xfId="3963" xr:uid="{00000000-0005-0000-0000-0000730F0000}"/>
    <cellStyle name="_Highlight 27" xfId="3964" xr:uid="{00000000-0005-0000-0000-0000740F0000}"/>
    <cellStyle name="_Highlight 28" xfId="3965" xr:uid="{00000000-0005-0000-0000-0000750F0000}"/>
    <cellStyle name="_Highlight 29" xfId="3966" xr:uid="{00000000-0005-0000-0000-0000760F0000}"/>
    <cellStyle name="_Highlight 29 2" xfId="3967" xr:uid="{00000000-0005-0000-0000-0000770F0000}"/>
    <cellStyle name="_Highlight 3" xfId="3968" xr:uid="{00000000-0005-0000-0000-0000780F0000}"/>
    <cellStyle name="_Highlight 3 2" xfId="3969" xr:uid="{00000000-0005-0000-0000-0000790F0000}"/>
    <cellStyle name="_Highlight 30" xfId="3970" xr:uid="{00000000-0005-0000-0000-00007A0F0000}"/>
    <cellStyle name="_Highlight 31" xfId="3971" xr:uid="{00000000-0005-0000-0000-00007B0F0000}"/>
    <cellStyle name="_Highlight 32" xfId="3972" xr:uid="{00000000-0005-0000-0000-00007C0F0000}"/>
    <cellStyle name="_Highlight 33" xfId="3973" xr:uid="{00000000-0005-0000-0000-00007D0F0000}"/>
    <cellStyle name="_Highlight 34" xfId="3974" xr:uid="{00000000-0005-0000-0000-00007E0F0000}"/>
    <cellStyle name="_Highlight 35" xfId="3975" xr:uid="{00000000-0005-0000-0000-00007F0F0000}"/>
    <cellStyle name="_Highlight 36" xfId="3976" xr:uid="{00000000-0005-0000-0000-0000800F0000}"/>
    <cellStyle name="_Highlight 37" xfId="3977" xr:uid="{00000000-0005-0000-0000-0000810F0000}"/>
    <cellStyle name="_Highlight 38" xfId="3978" xr:uid="{00000000-0005-0000-0000-0000820F0000}"/>
    <cellStyle name="_Highlight 4" xfId="3979" xr:uid="{00000000-0005-0000-0000-0000830F0000}"/>
    <cellStyle name="_Highlight 4 2" xfId="3980" xr:uid="{00000000-0005-0000-0000-0000840F0000}"/>
    <cellStyle name="_Highlight 5" xfId="3981" xr:uid="{00000000-0005-0000-0000-0000850F0000}"/>
    <cellStyle name="_Highlight 5 2" xfId="3982" xr:uid="{00000000-0005-0000-0000-0000860F0000}"/>
    <cellStyle name="_Highlight 6" xfId="3983" xr:uid="{00000000-0005-0000-0000-0000870F0000}"/>
    <cellStyle name="_Highlight 6 2" xfId="3984" xr:uid="{00000000-0005-0000-0000-0000880F0000}"/>
    <cellStyle name="_Highlight 7" xfId="3985" xr:uid="{00000000-0005-0000-0000-0000890F0000}"/>
    <cellStyle name="_Highlight 7 2" xfId="3986" xr:uid="{00000000-0005-0000-0000-00008A0F0000}"/>
    <cellStyle name="_Highlight 8" xfId="3987" xr:uid="{00000000-0005-0000-0000-00008B0F0000}"/>
    <cellStyle name="_Highlight 8 2" xfId="3988" xr:uid="{00000000-0005-0000-0000-00008C0F0000}"/>
    <cellStyle name="_Highlight 9" xfId="3989" xr:uid="{00000000-0005-0000-0000-00008D0F0000}"/>
    <cellStyle name="_Highlight_Copy of AGM Dec '09 YTD COF I and II Dep  Liab (1-13-10) (2)" xfId="3990" xr:uid="{00000000-0005-0000-0000-00008E0F0000}"/>
    <cellStyle name="_Holdings" xfId="3991" xr:uid="{00000000-0005-0000-0000-00008F0F0000}"/>
    <cellStyle name="_Holdings_Q1 2011 Pmts" xfId="3992" xr:uid="{00000000-0005-0000-0000-0000900F0000}"/>
    <cellStyle name="_ID RISK" xfId="3993" xr:uid="{00000000-0005-0000-0000-0000910F0000}"/>
    <cellStyle name="_ID RISK_2011 Q1 Monitoring Fees v3" xfId="3994" xr:uid="{00000000-0005-0000-0000-0000920F0000}"/>
    <cellStyle name="_ID RISK_LS, LP - Dec  2010 Trial Balance Summary" xfId="3995" xr:uid="{00000000-0005-0000-0000-0000930F0000}"/>
    <cellStyle name="_ID RISK_Oak Hill Portfolio Accrued Interest_v11" xfId="3996" xr:uid="{00000000-0005-0000-0000-0000940F0000}"/>
    <cellStyle name="_ID RISK_Oak Hill Portfolio Accrued Interest_v11_2011 Q1 Monitoring Fees v3" xfId="3997" xr:uid="{00000000-0005-0000-0000-0000950F0000}"/>
    <cellStyle name="_ID RISK_Oak Hill Portfolio Accrued Interest_v11_LS, LP - Dec  2010 Trial Balance Summary" xfId="3998" xr:uid="{00000000-0005-0000-0000-0000960F0000}"/>
    <cellStyle name="_Inv Cap Roll" xfId="3999" xr:uid="{00000000-0005-0000-0000-0000970F0000}"/>
    <cellStyle name="_Inv Cap Roll 2" xfId="4000" xr:uid="{00000000-0005-0000-0000-0000980F0000}"/>
    <cellStyle name="_Inv Cap Roll 2 2" xfId="4001" xr:uid="{00000000-0005-0000-0000-0000990F0000}"/>
    <cellStyle name="_Inv Cap Roll 3" xfId="4002" xr:uid="{00000000-0005-0000-0000-00009A0F0000}"/>
    <cellStyle name="_Inv Cap Roll_AIF VI - BondcoVI_Entities Invested Capital (CURRENT)" xfId="4003" xr:uid="{00000000-0005-0000-0000-00009B0F0000}"/>
    <cellStyle name="_Inv Cap Roll_IC Balance" xfId="4004" xr:uid="{00000000-0005-0000-0000-00009C0F0000}"/>
    <cellStyle name="_Inv Cap Roll_Invested Capital Debt Worksheet" xfId="4005" xr:uid="{00000000-0005-0000-0000-00009D0F0000}"/>
    <cellStyle name="_Inv Cap Roll_MMF Income" xfId="4006" xr:uid="{00000000-0005-0000-0000-00009E0F0000}"/>
    <cellStyle name="_Inv Cap Roll_Realized Gain Loss" xfId="4007" xr:uid="{00000000-0005-0000-0000-00009F0F0000}"/>
    <cellStyle name="-_Invested Capital Debt Worksheet" xfId="4008" xr:uid="{00000000-0005-0000-0000-0000A00F0000}"/>
    <cellStyle name="-_Investment Summary Sheet  3 19 08" xfId="4009" xr:uid="{00000000-0005-0000-0000-0000A10F0000}"/>
    <cellStyle name="-_Investment Summary Sheet  3 19 08 10" xfId="4010" xr:uid="{00000000-0005-0000-0000-0000A20F0000}"/>
    <cellStyle name="-_Investment Summary Sheet  3 19 08 11" xfId="4011" xr:uid="{00000000-0005-0000-0000-0000A30F0000}"/>
    <cellStyle name="-_Investment Summary Sheet  3 19 08 12" xfId="4012" xr:uid="{00000000-0005-0000-0000-0000A40F0000}"/>
    <cellStyle name="-_Investment Summary Sheet  3 19 08 13" xfId="4013" xr:uid="{00000000-0005-0000-0000-0000A50F0000}"/>
    <cellStyle name="-_Investment Summary Sheet  3 19 08 14" xfId="4014" xr:uid="{00000000-0005-0000-0000-0000A60F0000}"/>
    <cellStyle name="-_Investment Summary Sheet  3 19 08 15" xfId="4015" xr:uid="{00000000-0005-0000-0000-0000A70F0000}"/>
    <cellStyle name="-_Investment Summary Sheet  3 19 08 16" xfId="4016" xr:uid="{00000000-0005-0000-0000-0000A80F0000}"/>
    <cellStyle name="-_Investment Summary Sheet  3 19 08 17" xfId="4017" xr:uid="{00000000-0005-0000-0000-0000A90F0000}"/>
    <cellStyle name="-_Investment Summary Sheet  3 19 08 18" xfId="4018" xr:uid="{00000000-0005-0000-0000-0000AA0F0000}"/>
    <cellStyle name="-_Investment Summary Sheet  3 19 08 19" xfId="4019" xr:uid="{00000000-0005-0000-0000-0000AB0F0000}"/>
    <cellStyle name="-_Investment Summary Sheet  3 19 08 2" xfId="4020" xr:uid="{00000000-0005-0000-0000-0000AC0F0000}"/>
    <cellStyle name="-_Investment Summary Sheet  3 19 08 20" xfId="4021" xr:uid="{00000000-0005-0000-0000-0000AD0F0000}"/>
    <cellStyle name="-_Investment Summary Sheet  3 19 08 21" xfId="4022" xr:uid="{00000000-0005-0000-0000-0000AE0F0000}"/>
    <cellStyle name="-_Investment Summary Sheet  3 19 08 21 2" xfId="4023" xr:uid="{00000000-0005-0000-0000-0000AF0F0000}"/>
    <cellStyle name="-_Investment Summary Sheet  3 19 08 3" xfId="4024" xr:uid="{00000000-0005-0000-0000-0000B00F0000}"/>
    <cellStyle name="-_Investment Summary Sheet  3 19 08 4" xfId="4025" xr:uid="{00000000-0005-0000-0000-0000B10F0000}"/>
    <cellStyle name="-_Investment Summary Sheet  3 19 08 5" xfId="4026" xr:uid="{00000000-0005-0000-0000-0000B20F0000}"/>
    <cellStyle name="-_Investment Summary Sheet  3 19 08 6" xfId="4027" xr:uid="{00000000-0005-0000-0000-0000B30F0000}"/>
    <cellStyle name="-_Investment Summary Sheet  3 19 08 7" xfId="4028" xr:uid="{00000000-0005-0000-0000-0000B40F0000}"/>
    <cellStyle name="-_Investment Summary Sheet  3 19 08 8" xfId="4029" xr:uid="{00000000-0005-0000-0000-0000B50F0000}"/>
    <cellStyle name="-_Investment Summary Sheet  3 19 08 9" xfId="4030" xr:uid="{00000000-0005-0000-0000-0000B60F0000}"/>
    <cellStyle name="-_Investment Summary Sheet  3 19 08_Copy of AGM Dec '09 YTD COF I and II Dep  Liab (1-13-10) (2)" xfId="4031" xr:uid="{00000000-0005-0000-0000-0000B70F0000}"/>
    <cellStyle name="-_Investment Summary Sheet  4 15 08 (Preliminary DP)" xfId="4032" xr:uid="{00000000-0005-0000-0000-0000B80F0000}"/>
    <cellStyle name="-_Investment Summary Sheet  4 15 08 (Preliminary DP) 10" xfId="4033" xr:uid="{00000000-0005-0000-0000-0000B90F0000}"/>
    <cellStyle name="-_Investment Summary Sheet  4 15 08 (Preliminary DP) 11" xfId="4034" xr:uid="{00000000-0005-0000-0000-0000BA0F0000}"/>
    <cellStyle name="-_Investment Summary Sheet  4 15 08 (Preliminary DP) 12" xfId="4035" xr:uid="{00000000-0005-0000-0000-0000BB0F0000}"/>
    <cellStyle name="-_Investment Summary Sheet  4 15 08 (Preliminary DP) 13" xfId="4036" xr:uid="{00000000-0005-0000-0000-0000BC0F0000}"/>
    <cellStyle name="-_Investment Summary Sheet  4 15 08 (Preliminary DP) 14" xfId="4037" xr:uid="{00000000-0005-0000-0000-0000BD0F0000}"/>
    <cellStyle name="-_Investment Summary Sheet  4 15 08 (Preliminary DP) 15" xfId="4038" xr:uid="{00000000-0005-0000-0000-0000BE0F0000}"/>
    <cellStyle name="-_Investment Summary Sheet  4 15 08 (Preliminary DP) 16" xfId="4039" xr:uid="{00000000-0005-0000-0000-0000BF0F0000}"/>
    <cellStyle name="-_Investment Summary Sheet  4 15 08 (Preliminary DP) 17" xfId="4040" xr:uid="{00000000-0005-0000-0000-0000C00F0000}"/>
    <cellStyle name="-_Investment Summary Sheet  4 15 08 (Preliminary DP) 18" xfId="4041" xr:uid="{00000000-0005-0000-0000-0000C10F0000}"/>
    <cellStyle name="-_Investment Summary Sheet  4 15 08 (Preliminary DP) 19" xfId="4042" xr:uid="{00000000-0005-0000-0000-0000C20F0000}"/>
    <cellStyle name="-_Investment Summary Sheet  4 15 08 (Preliminary DP) 2" xfId="4043" xr:uid="{00000000-0005-0000-0000-0000C30F0000}"/>
    <cellStyle name="-_Investment Summary Sheet  4 15 08 (Preliminary DP) 20" xfId="4044" xr:uid="{00000000-0005-0000-0000-0000C40F0000}"/>
    <cellStyle name="-_Investment Summary Sheet  4 15 08 (Preliminary DP) 21" xfId="4045" xr:uid="{00000000-0005-0000-0000-0000C50F0000}"/>
    <cellStyle name="-_Investment Summary Sheet  4 15 08 (Preliminary DP) 3" xfId="4046" xr:uid="{00000000-0005-0000-0000-0000C60F0000}"/>
    <cellStyle name="-_Investment Summary Sheet  4 15 08 (Preliminary DP) 4" xfId="4047" xr:uid="{00000000-0005-0000-0000-0000C70F0000}"/>
    <cellStyle name="-_Investment Summary Sheet  4 15 08 (Preliminary DP) 5" xfId="4048" xr:uid="{00000000-0005-0000-0000-0000C80F0000}"/>
    <cellStyle name="-_Investment Summary Sheet  4 15 08 (Preliminary DP) 6" xfId="4049" xr:uid="{00000000-0005-0000-0000-0000C90F0000}"/>
    <cellStyle name="-_Investment Summary Sheet  4 15 08 (Preliminary DP) 7" xfId="4050" xr:uid="{00000000-0005-0000-0000-0000CA0F0000}"/>
    <cellStyle name="-_Investment Summary Sheet  4 15 08 (Preliminary DP) 8" xfId="4051" xr:uid="{00000000-0005-0000-0000-0000CB0F0000}"/>
    <cellStyle name="-_Investment Summary Sheet  4 15 08 (Preliminary DP) 9" xfId="4052" xr:uid="{00000000-0005-0000-0000-0000CC0F0000}"/>
    <cellStyle name="-_Investment Summary Sheet  4 18 08 (Draft)" xfId="4053" xr:uid="{00000000-0005-0000-0000-0000CD0F0000}"/>
    <cellStyle name="-_Investment Summary Sheet  4 18 08 (Draft) 10" xfId="4054" xr:uid="{00000000-0005-0000-0000-0000CE0F0000}"/>
    <cellStyle name="-_Investment Summary Sheet  4 18 08 (Draft) 11" xfId="4055" xr:uid="{00000000-0005-0000-0000-0000CF0F0000}"/>
    <cellStyle name="-_Investment Summary Sheet  4 18 08 (Draft) 12" xfId="4056" xr:uid="{00000000-0005-0000-0000-0000D00F0000}"/>
    <cellStyle name="-_Investment Summary Sheet  4 18 08 (Draft) 13" xfId="4057" xr:uid="{00000000-0005-0000-0000-0000D10F0000}"/>
    <cellStyle name="-_Investment Summary Sheet  4 18 08 (Draft) 14" xfId="4058" xr:uid="{00000000-0005-0000-0000-0000D20F0000}"/>
    <cellStyle name="-_Investment Summary Sheet  4 18 08 (Draft) 15" xfId="4059" xr:uid="{00000000-0005-0000-0000-0000D30F0000}"/>
    <cellStyle name="-_Investment Summary Sheet  4 18 08 (Draft) 16" xfId="4060" xr:uid="{00000000-0005-0000-0000-0000D40F0000}"/>
    <cellStyle name="-_Investment Summary Sheet  4 18 08 (Draft) 17" xfId="4061" xr:uid="{00000000-0005-0000-0000-0000D50F0000}"/>
    <cellStyle name="-_Investment Summary Sheet  4 18 08 (Draft) 18" xfId="4062" xr:uid="{00000000-0005-0000-0000-0000D60F0000}"/>
    <cellStyle name="-_Investment Summary Sheet  4 18 08 (Draft) 19" xfId="4063" xr:uid="{00000000-0005-0000-0000-0000D70F0000}"/>
    <cellStyle name="-_Investment Summary Sheet  4 18 08 (Draft) 2" xfId="4064" xr:uid="{00000000-0005-0000-0000-0000D80F0000}"/>
    <cellStyle name="-_Investment Summary Sheet  4 18 08 (Draft) 20" xfId="4065" xr:uid="{00000000-0005-0000-0000-0000D90F0000}"/>
    <cellStyle name="-_Investment Summary Sheet  4 18 08 (Draft) 21" xfId="4066" xr:uid="{00000000-0005-0000-0000-0000DA0F0000}"/>
    <cellStyle name="-_Investment Summary Sheet  4 18 08 (Draft) 3" xfId="4067" xr:uid="{00000000-0005-0000-0000-0000DB0F0000}"/>
    <cellStyle name="-_Investment Summary Sheet  4 18 08 (Draft) 4" xfId="4068" xr:uid="{00000000-0005-0000-0000-0000DC0F0000}"/>
    <cellStyle name="-_Investment Summary Sheet  4 18 08 (Draft) 5" xfId="4069" xr:uid="{00000000-0005-0000-0000-0000DD0F0000}"/>
    <cellStyle name="-_Investment Summary Sheet  4 18 08 (Draft) 6" xfId="4070" xr:uid="{00000000-0005-0000-0000-0000DE0F0000}"/>
    <cellStyle name="-_Investment Summary Sheet  4 18 08 (Draft) 7" xfId="4071" xr:uid="{00000000-0005-0000-0000-0000DF0F0000}"/>
    <cellStyle name="-_Investment Summary Sheet  4 18 08 (Draft) 8" xfId="4072" xr:uid="{00000000-0005-0000-0000-0000E00F0000}"/>
    <cellStyle name="-_Investment Summary Sheet  4 18 08 (Draft) 9" xfId="4073" xr:uid="{00000000-0005-0000-0000-0000E10F0000}"/>
    <cellStyle name="-_Investment Summary Sheet  4 28 08 (Draft)" xfId="4074" xr:uid="{00000000-0005-0000-0000-0000E20F0000}"/>
    <cellStyle name="-_Investment Summary Sheet  4 28 08 (Draft) 10" xfId="4075" xr:uid="{00000000-0005-0000-0000-0000E30F0000}"/>
    <cellStyle name="-_Investment Summary Sheet  4 28 08 (Draft) 11" xfId="4076" xr:uid="{00000000-0005-0000-0000-0000E40F0000}"/>
    <cellStyle name="-_Investment Summary Sheet  4 28 08 (Draft) 12" xfId="4077" xr:uid="{00000000-0005-0000-0000-0000E50F0000}"/>
    <cellStyle name="-_Investment Summary Sheet  4 28 08 (Draft) 13" xfId="4078" xr:uid="{00000000-0005-0000-0000-0000E60F0000}"/>
    <cellStyle name="-_Investment Summary Sheet  4 28 08 (Draft) 14" xfId="4079" xr:uid="{00000000-0005-0000-0000-0000E70F0000}"/>
    <cellStyle name="-_Investment Summary Sheet  4 28 08 (Draft) 15" xfId="4080" xr:uid="{00000000-0005-0000-0000-0000E80F0000}"/>
    <cellStyle name="-_Investment Summary Sheet  4 28 08 (Draft) 16" xfId="4081" xr:uid="{00000000-0005-0000-0000-0000E90F0000}"/>
    <cellStyle name="-_Investment Summary Sheet  4 28 08 (Draft) 17" xfId="4082" xr:uid="{00000000-0005-0000-0000-0000EA0F0000}"/>
    <cellStyle name="-_Investment Summary Sheet  4 28 08 (Draft) 18" xfId="4083" xr:uid="{00000000-0005-0000-0000-0000EB0F0000}"/>
    <cellStyle name="-_Investment Summary Sheet  4 28 08 (Draft) 19" xfId="4084" xr:uid="{00000000-0005-0000-0000-0000EC0F0000}"/>
    <cellStyle name="-_Investment Summary Sheet  4 28 08 (Draft) 2" xfId="4085" xr:uid="{00000000-0005-0000-0000-0000ED0F0000}"/>
    <cellStyle name="-_Investment Summary Sheet  4 28 08 (Draft) 20" xfId="4086" xr:uid="{00000000-0005-0000-0000-0000EE0F0000}"/>
    <cellStyle name="-_Investment Summary Sheet  4 28 08 (Draft) 21" xfId="4087" xr:uid="{00000000-0005-0000-0000-0000EF0F0000}"/>
    <cellStyle name="-_Investment Summary Sheet  4 28 08 (Draft) 3" xfId="4088" xr:uid="{00000000-0005-0000-0000-0000F00F0000}"/>
    <cellStyle name="-_Investment Summary Sheet  4 28 08 (Draft) 4" xfId="4089" xr:uid="{00000000-0005-0000-0000-0000F10F0000}"/>
    <cellStyle name="-_Investment Summary Sheet  4 28 08 (Draft) 5" xfId="4090" xr:uid="{00000000-0005-0000-0000-0000F20F0000}"/>
    <cellStyle name="-_Investment Summary Sheet  4 28 08 (Draft) 6" xfId="4091" xr:uid="{00000000-0005-0000-0000-0000F30F0000}"/>
    <cellStyle name="-_Investment Summary Sheet  4 28 08 (Draft) 7" xfId="4092" xr:uid="{00000000-0005-0000-0000-0000F40F0000}"/>
    <cellStyle name="-_Investment Summary Sheet  4 28 08 (Draft) 8" xfId="4093" xr:uid="{00000000-0005-0000-0000-0000F50F0000}"/>
    <cellStyle name="-_Investment Summary Sheet  4 28 08 (Draft) 9" xfId="4094" xr:uid="{00000000-0005-0000-0000-0000F60F0000}"/>
    <cellStyle name="-_Investment Summary Sheet  4 4 08 (Preliminary)" xfId="4095" xr:uid="{00000000-0005-0000-0000-0000F70F0000}"/>
    <cellStyle name="-_Investment Summary Sheet  4 4 08 (Preliminary) (2)" xfId="4096" xr:uid="{00000000-0005-0000-0000-0000F80F0000}"/>
    <cellStyle name="-_Investment Summary Sheet  4 4 08 (Preliminary) (2) 10" xfId="4097" xr:uid="{00000000-0005-0000-0000-0000F90F0000}"/>
    <cellStyle name="-_Investment Summary Sheet  4 4 08 (Preliminary) (2) 11" xfId="4098" xr:uid="{00000000-0005-0000-0000-0000FA0F0000}"/>
    <cellStyle name="-_Investment Summary Sheet  4 4 08 (Preliminary) (2) 12" xfId="4099" xr:uid="{00000000-0005-0000-0000-0000FB0F0000}"/>
    <cellStyle name="-_Investment Summary Sheet  4 4 08 (Preliminary) (2) 13" xfId="4100" xr:uid="{00000000-0005-0000-0000-0000FC0F0000}"/>
    <cellStyle name="-_Investment Summary Sheet  4 4 08 (Preliminary) (2) 14" xfId="4101" xr:uid="{00000000-0005-0000-0000-0000FD0F0000}"/>
    <cellStyle name="-_Investment Summary Sheet  4 4 08 (Preliminary) (2) 15" xfId="4102" xr:uid="{00000000-0005-0000-0000-0000FE0F0000}"/>
    <cellStyle name="-_Investment Summary Sheet  4 4 08 (Preliminary) (2) 16" xfId="4103" xr:uid="{00000000-0005-0000-0000-0000FF0F0000}"/>
    <cellStyle name="-_Investment Summary Sheet  4 4 08 (Preliminary) (2) 17" xfId="4104" xr:uid="{00000000-0005-0000-0000-000000100000}"/>
    <cellStyle name="-_Investment Summary Sheet  4 4 08 (Preliminary) (2) 18" xfId="4105" xr:uid="{00000000-0005-0000-0000-000001100000}"/>
    <cellStyle name="-_Investment Summary Sheet  4 4 08 (Preliminary) (2) 19" xfId="4106" xr:uid="{00000000-0005-0000-0000-000002100000}"/>
    <cellStyle name="-_Investment Summary Sheet  4 4 08 (Preliminary) (2) 2" xfId="4107" xr:uid="{00000000-0005-0000-0000-000003100000}"/>
    <cellStyle name="-_Investment Summary Sheet  4 4 08 (Preliminary) (2) 20" xfId="4108" xr:uid="{00000000-0005-0000-0000-000004100000}"/>
    <cellStyle name="-_Investment Summary Sheet  4 4 08 (Preliminary) (2) 21" xfId="4109" xr:uid="{00000000-0005-0000-0000-000005100000}"/>
    <cellStyle name="-_Investment Summary Sheet  4 4 08 (Preliminary) (2) 21 2" xfId="4110" xr:uid="{00000000-0005-0000-0000-000006100000}"/>
    <cellStyle name="-_Investment Summary Sheet  4 4 08 (Preliminary) (2) 3" xfId="4111" xr:uid="{00000000-0005-0000-0000-000007100000}"/>
    <cellStyle name="-_Investment Summary Sheet  4 4 08 (Preliminary) (2) 4" xfId="4112" xr:uid="{00000000-0005-0000-0000-000008100000}"/>
    <cellStyle name="-_Investment Summary Sheet  4 4 08 (Preliminary) (2) 5" xfId="4113" xr:uid="{00000000-0005-0000-0000-000009100000}"/>
    <cellStyle name="-_Investment Summary Sheet  4 4 08 (Preliminary) (2) 6" xfId="4114" xr:uid="{00000000-0005-0000-0000-00000A100000}"/>
    <cellStyle name="-_Investment Summary Sheet  4 4 08 (Preliminary) (2) 7" xfId="4115" xr:uid="{00000000-0005-0000-0000-00000B100000}"/>
    <cellStyle name="-_Investment Summary Sheet  4 4 08 (Preliminary) (2) 8" xfId="4116" xr:uid="{00000000-0005-0000-0000-00000C100000}"/>
    <cellStyle name="-_Investment Summary Sheet  4 4 08 (Preliminary) (2) 9" xfId="4117" xr:uid="{00000000-0005-0000-0000-00000D100000}"/>
    <cellStyle name="-_Investment Summary Sheet  4 4 08 (Preliminary) (2)_Copy of AGM Dec '09 YTD COF I and II Dep  Liab (1-13-10) (2)" xfId="4118" xr:uid="{00000000-0005-0000-0000-00000E100000}"/>
    <cellStyle name="-_Investment Summary Sheet  4 4 08 (Preliminary) 10" xfId="4119" xr:uid="{00000000-0005-0000-0000-00000F100000}"/>
    <cellStyle name="-_Investment Summary Sheet  4 4 08 (Preliminary) 11" xfId="4120" xr:uid="{00000000-0005-0000-0000-000010100000}"/>
    <cellStyle name="-_Investment Summary Sheet  4 4 08 (Preliminary) 12" xfId="4121" xr:uid="{00000000-0005-0000-0000-000011100000}"/>
    <cellStyle name="-_Investment Summary Sheet  4 4 08 (Preliminary) 13" xfId="4122" xr:uid="{00000000-0005-0000-0000-000012100000}"/>
    <cellStyle name="-_Investment Summary Sheet  4 4 08 (Preliminary) 14" xfId="4123" xr:uid="{00000000-0005-0000-0000-000013100000}"/>
    <cellStyle name="-_Investment Summary Sheet  4 4 08 (Preliminary) 15" xfId="4124" xr:uid="{00000000-0005-0000-0000-000014100000}"/>
    <cellStyle name="-_Investment Summary Sheet  4 4 08 (Preliminary) 16" xfId="4125" xr:uid="{00000000-0005-0000-0000-000015100000}"/>
    <cellStyle name="-_Investment Summary Sheet  4 4 08 (Preliminary) 17" xfId="4126" xr:uid="{00000000-0005-0000-0000-000016100000}"/>
    <cellStyle name="-_Investment Summary Sheet  4 4 08 (Preliminary) 18" xfId="4127" xr:uid="{00000000-0005-0000-0000-000017100000}"/>
    <cellStyle name="-_Investment Summary Sheet  4 4 08 (Preliminary) 19" xfId="4128" xr:uid="{00000000-0005-0000-0000-000018100000}"/>
    <cellStyle name="-_Investment Summary Sheet  4 4 08 (Preliminary) 2" xfId="4129" xr:uid="{00000000-0005-0000-0000-000019100000}"/>
    <cellStyle name="-_Investment Summary Sheet  4 4 08 (Preliminary) 20" xfId="4130" xr:uid="{00000000-0005-0000-0000-00001A100000}"/>
    <cellStyle name="-_Investment Summary Sheet  4 4 08 (Preliminary) 21" xfId="4131" xr:uid="{00000000-0005-0000-0000-00001B100000}"/>
    <cellStyle name="-_Investment Summary Sheet  4 4 08 (Preliminary) 21 2" xfId="4132" xr:uid="{00000000-0005-0000-0000-00001C100000}"/>
    <cellStyle name="-_Investment Summary Sheet  4 4 08 (Preliminary) 3" xfId="4133" xr:uid="{00000000-0005-0000-0000-00001D100000}"/>
    <cellStyle name="-_Investment Summary Sheet  4 4 08 (Preliminary) 4" xfId="4134" xr:uid="{00000000-0005-0000-0000-00001E100000}"/>
    <cellStyle name="-_Investment Summary Sheet  4 4 08 (Preliminary) 5" xfId="4135" xr:uid="{00000000-0005-0000-0000-00001F100000}"/>
    <cellStyle name="-_Investment Summary Sheet  4 4 08 (Preliminary) 6" xfId="4136" xr:uid="{00000000-0005-0000-0000-000020100000}"/>
    <cellStyle name="-_Investment Summary Sheet  4 4 08 (Preliminary) 7" xfId="4137" xr:uid="{00000000-0005-0000-0000-000021100000}"/>
    <cellStyle name="-_Investment Summary Sheet  4 4 08 (Preliminary) 8" xfId="4138" xr:uid="{00000000-0005-0000-0000-000022100000}"/>
    <cellStyle name="-_Investment Summary Sheet  4 4 08 (Preliminary) 9" xfId="4139" xr:uid="{00000000-0005-0000-0000-000023100000}"/>
    <cellStyle name="-_Investment Summary Sheet  4 4 08 (Preliminary)_Copy of AGM Dec '09 YTD COF I and II Dep  Liab (1-13-10) (2)" xfId="4140" xr:uid="{00000000-0005-0000-0000-000024100000}"/>
    <cellStyle name="-_Investment Summary Sheet  4 9 08 (Preliminary)" xfId="4141" xr:uid="{00000000-0005-0000-0000-000025100000}"/>
    <cellStyle name="-_Investment Summary Sheet  4 9 08 (Preliminary) 10" xfId="4142" xr:uid="{00000000-0005-0000-0000-000026100000}"/>
    <cellStyle name="-_Investment Summary Sheet  4 9 08 (Preliminary) 11" xfId="4143" xr:uid="{00000000-0005-0000-0000-000027100000}"/>
    <cellStyle name="-_Investment Summary Sheet  4 9 08 (Preliminary) 12" xfId="4144" xr:uid="{00000000-0005-0000-0000-000028100000}"/>
    <cellStyle name="-_Investment Summary Sheet  4 9 08 (Preliminary) 13" xfId="4145" xr:uid="{00000000-0005-0000-0000-000029100000}"/>
    <cellStyle name="-_Investment Summary Sheet  4 9 08 (Preliminary) 14" xfId="4146" xr:uid="{00000000-0005-0000-0000-00002A100000}"/>
    <cellStyle name="-_Investment Summary Sheet  4 9 08 (Preliminary) 15" xfId="4147" xr:uid="{00000000-0005-0000-0000-00002B100000}"/>
    <cellStyle name="-_Investment Summary Sheet  4 9 08 (Preliminary) 16" xfId="4148" xr:uid="{00000000-0005-0000-0000-00002C100000}"/>
    <cellStyle name="-_Investment Summary Sheet  4 9 08 (Preliminary) 17" xfId="4149" xr:uid="{00000000-0005-0000-0000-00002D100000}"/>
    <cellStyle name="-_Investment Summary Sheet  4 9 08 (Preliminary) 18" xfId="4150" xr:uid="{00000000-0005-0000-0000-00002E100000}"/>
    <cellStyle name="-_Investment Summary Sheet  4 9 08 (Preliminary) 19" xfId="4151" xr:uid="{00000000-0005-0000-0000-00002F100000}"/>
    <cellStyle name="-_Investment Summary Sheet  4 9 08 (Preliminary) 2" xfId="4152" xr:uid="{00000000-0005-0000-0000-000030100000}"/>
    <cellStyle name="-_Investment Summary Sheet  4 9 08 (Preliminary) 20" xfId="4153" xr:uid="{00000000-0005-0000-0000-000031100000}"/>
    <cellStyle name="-_Investment Summary Sheet  4 9 08 (Preliminary) 21" xfId="4154" xr:uid="{00000000-0005-0000-0000-000032100000}"/>
    <cellStyle name="-_Investment Summary Sheet  4 9 08 (Preliminary) 21 2" xfId="4155" xr:uid="{00000000-0005-0000-0000-000033100000}"/>
    <cellStyle name="-_Investment Summary Sheet  4 9 08 (Preliminary) 3" xfId="4156" xr:uid="{00000000-0005-0000-0000-000034100000}"/>
    <cellStyle name="-_Investment Summary Sheet  4 9 08 (Preliminary) 4" xfId="4157" xr:uid="{00000000-0005-0000-0000-000035100000}"/>
    <cellStyle name="-_Investment Summary Sheet  4 9 08 (Preliminary) 5" xfId="4158" xr:uid="{00000000-0005-0000-0000-000036100000}"/>
    <cellStyle name="-_Investment Summary Sheet  4 9 08 (Preliminary) 6" xfId="4159" xr:uid="{00000000-0005-0000-0000-000037100000}"/>
    <cellStyle name="-_Investment Summary Sheet  4 9 08 (Preliminary) 7" xfId="4160" xr:uid="{00000000-0005-0000-0000-000038100000}"/>
    <cellStyle name="-_Investment Summary Sheet  4 9 08 (Preliminary) 8" xfId="4161" xr:uid="{00000000-0005-0000-0000-000039100000}"/>
    <cellStyle name="-_Investment Summary Sheet  4 9 08 (Preliminary) 9" xfId="4162" xr:uid="{00000000-0005-0000-0000-00003A100000}"/>
    <cellStyle name="-_Investment Summary Sheet  4 9 08 (Preliminary)_Copy of AGM Dec '09 YTD COF I and II Dep  Liab (1-13-10) (2)" xfId="4163" xr:uid="{00000000-0005-0000-0000-00003B100000}"/>
    <cellStyle name="-_Investment Summary Sheet  5 1 08 (Draft) (2)" xfId="4164" xr:uid="{00000000-0005-0000-0000-00003C100000}"/>
    <cellStyle name="-_Investment Summary Sheet  5 1 08 (Draft) (2) 10" xfId="4165" xr:uid="{00000000-0005-0000-0000-00003D100000}"/>
    <cellStyle name="-_Investment Summary Sheet  5 1 08 (Draft) (2) 11" xfId="4166" xr:uid="{00000000-0005-0000-0000-00003E100000}"/>
    <cellStyle name="-_Investment Summary Sheet  5 1 08 (Draft) (2) 12" xfId="4167" xr:uid="{00000000-0005-0000-0000-00003F100000}"/>
    <cellStyle name="-_Investment Summary Sheet  5 1 08 (Draft) (2) 13" xfId="4168" xr:uid="{00000000-0005-0000-0000-000040100000}"/>
    <cellStyle name="-_Investment Summary Sheet  5 1 08 (Draft) (2) 14" xfId="4169" xr:uid="{00000000-0005-0000-0000-000041100000}"/>
    <cellStyle name="-_Investment Summary Sheet  5 1 08 (Draft) (2) 15" xfId="4170" xr:uid="{00000000-0005-0000-0000-000042100000}"/>
    <cellStyle name="-_Investment Summary Sheet  5 1 08 (Draft) (2) 16" xfId="4171" xr:uid="{00000000-0005-0000-0000-000043100000}"/>
    <cellStyle name="-_Investment Summary Sheet  5 1 08 (Draft) (2) 17" xfId="4172" xr:uid="{00000000-0005-0000-0000-000044100000}"/>
    <cellStyle name="-_Investment Summary Sheet  5 1 08 (Draft) (2) 18" xfId="4173" xr:uid="{00000000-0005-0000-0000-000045100000}"/>
    <cellStyle name="-_Investment Summary Sheet  5 1 08 (Draft) (2) 19" xfId="4174" xr:uid="{00000000-0005-0000-0000-000046100000}"/>
    <cellStyle name="-_Investment Summary Sheet  5 1 08 (Draft) (2) 2" xfId="4175" xr:uid="{00000000-0005-0000-0000-000047100000}"/>
    <cellStyle name="-_Investment Summary Sheet  5 1 08 (Draft) (2) 20" xfId="4176" xr:uid="{00000000-0005-0000-0000-000048100000}"/>
    <cellStyle name="-_Investment Summary Sheet  5 1 08 (Draft) (2) 21" xfId="4177" xr:uid="{00000000-0005-0000-0000-000049100000}"/>
    <cellStyle name="-_Investment Summary Sheet  5 1 08 (Draft) (2) 3" xfId="4178" xr:uid="{00000000-0005-0000-0000-00004A100000}"/>
    <cellStyle name="-_Investment Summary Sheet  5 1 08 (Draft) (2) 4" xfId="4179" xr:uid="{00000000-0005-0000-0000-00004B100000}"/>
    <cellStyle name="-_Investment Summary Sheet  5 1 08 (Draft) (2) 5" xfId="4180" xr:uid="{00000000-0005-0000-0000-00004C100000}"/>
    <cellStyle name="-_Investment Summary Sheet  5 1 08 (Draft) (2) 6" xfId="4181" xr:uid="{00000000-0005-0000-0000-00004D100000}"/>
    <cellStyle name="-_Investment Summary Sheet  5 1 08 (Draft) (2) 7" xfId="4182" xr:uid="{00000000-0005-0000-0000-00004E100000}"/>
    <cellStyle name="-_Investment Summary Sheet  5 1 08 (Draft) (2) 8" xfId="4183" xr:uid="{00000000-0005-0000-0000-00004F100000}"/>
    <cellStyle name="-_Investment Summary Sheet  5 1 08 (Draft) (2) 9" xfId="4184" xr:uid="{00000000-0005-0000-0000-000050100000}"/>
    <cellStyle name="-_Investment Summary Sheet  5 15 08 (Draft)" xfId="4185" xr:uid="{00000000-0005-0000-0000-000051100000}"/>
    <cellStyle name="-_Investment Summary Sheet  5 15 08 (Draft) 10" xfId="4186" xr:uid="{00000000-0005-0000-0000-000052100000}"/>
    <cellStyle name="-_Investment Summary Sheet  5 15 08 (Draft) 11" xfId="4187" xr:uid="{00000000-0005-0000-0000-000053100000}"/>
    <cellStyle name="-_Investment Summary Sheet  5 15 08 (Draft) 12" xfId="4188" xr:uid="{00000000-0005-0000-0000-000054100000}"/>
    <cellStyle name="-_Investment Summary Sheet  5 15 08 (Draft) 13" xfId="4189" xr:uid="{00000000-0005-0000-0000-000055100000}"/>
    <cellStyle name="-_Investment Summary Sheet  5 15 08 (Draft) 14" xfId="4190" xr:uid="{00000000-0005-0000-0000-000056100000}"/>
    <cellStyle name="-_Investment Summary Sheet  5 15 08 (Draft) 15" xfId="4191" xr:uid="{00000000-0005-0000-0000-000057100000}"/>
    <cellStyle name="-_Investment Summary Sheet  5 15 08 (Draft) 16" xfId="4192" xr:uid="{00000000-0005-0000-0000-000058100000}"/>
    <cellStyle name="-_Investment Summary Sheet  5 15 08 (Draft) 17" xfId="4193" xr:uid="{00000000-0005-0000-0000-000059100000}"/>
    <cellStyle name="-_Investment Summary Sheet  5 15 08 (Draft) 18" xfId="4194" xr:uid="{00000000-0005-0000-0000-00005A100000}"/>
    <cellStyle name="-_Investment Summary Sheet  5 15 08 (Draft) 19" xfId="4195" xr:uid="{00000000-0005-0000-0000-00005B100000}"/>
    <cellStyle name="-_Investment Summary Sheet  5 15 08 (Draft) 2" xfId="4196" xr:uid="{00000000-0005-0000-0000-00005C100000}"/>
    <cellStyle name="-_Investment Summary Sheet  5 15 08 (Draft) 20" xfId="4197" xr:uid="{00000000-0005-0000-0000-00005D100000}"/>
    <cellStyle name="-_Investment Summary Sheet  5 15 08 (Draft) 21" xfId="4198" xr:uid="{00000000-0005-0000-0000-00005E100000}"/>
    <cellStyle name="-_Investment Summary Sheet  5 15 08 (Draft) 3" xfId="4199" xr:uid="{00000000-0005-0000-0000-00005F100000}"/>
    <cellStyle name="-_Investment Summary Sheet  5 15 08 (Draft) 4" xfId="4200" xr:uid="{00000000-0005-0000-0000-000060100000}"/>
    <cellStyle name="-_Investment Summary Sheet  5 15 08 (Draft) 5" xfId="4201" xr:uid="{00000000-0005-0000-0000-000061100000}"/>
    <cellStyle name="-_Investment Summary Sheet  5 15 08 (Draft) 6" xfId="4202" xr:uid="{00000000-0005-0000-0000-000062100000}"/>
    <cellStyle name="-_Investment Summary Sheet  5 15 08 (Draft) 7" xfId="4203" xr:uid="{00000000-0005-0000-0000-000063100000}"/>
    <cellStyle name="-_Investment Summary Sheet  5 15 08 (Draft) 8" xfId="4204" xr:uid="{00000000-0005-0000-0000-000064100000}"/>
    <cellStyle name="-_Investment Summary Sheet  5 15 08 (Draft) 9" xfId="4205" xr:uid="{00000000-0005-0000-0000-000065100000}"/>
    <cellStyle name="-_Investment Summary Sheet  6 9 08 (Draft)" xfId="4206" xr:uid="{00000000-0005-0000-0000-000066100000}"/>
    <cellStyle name="-_Investment Summary Sheet  6 9 08 (Draft) (3)" xfId="4207" xr:uid="{00000000-0005-0000-0000-000067100000}"/>
    <cellStyle name="-_Investment Summary Sheet  6 9 08 (Draft) 10" xfId="4208" xr:uid="{00000000-0005-0000-0000-000068100000}"/>
    <cellStyle name="-_Investment Summary Sheet  6 9 08 (Draft) 11" xfId="4209" xr:uid="{00000000-0005-0000-0000-000069100000}"/>
    <cellStyle name="-_Investment Summary Sheet  6 9 08 (Draft) 12" xfId="4210" xr:uid="{00000000-0005-0000-0000-00006A100000}"/>
    <cellStyle name="-_Investment Summary Sheet  6 9 08 (Draft) 13" xfId="4211" xr:uid="{00000000-0005-0000-0000-00006B100000}"/>
    <cellStyle name="-_Investment Summary Sheet  6 9 08 (Draft) 14" xfId="4212" xr:uid="{00000000-0005-0000-0000-00006C100000}"/>
    <cellStyle name="-_Investment Summary Sheet  6 9 08 (Draft) 15" xfId="4213" xr:uid="{00000000-0005-0000-0000-00006D100000}"/>
    <cellStyle name="-_Investment Summary Sheet  6 9 08 (Draft) 16" xfId="4214" xr:uid="{00000000-0005-0000-0000-00006E100000}"/>
    <cellStyle name="-_Investment Summary Sheet  6 9 08 (Draft) 17" xfId="4215" xr:uid="{00000000-0005-0000-0000-00006F100000}"/>
    <cellStyle name="-_Investment Summary Sheet  6 9 08 (Draft) 18" xfId="4216" xr:uid="{00000000-0005-0000-0000-000070100000}"/>
    <cellStyle name="-_Investment Summary Sheet  6 9 08 (Draft) 19" xfId="4217" xr:uid="{00000000-0005-0000-0000-000071100000}"/>
    <cellStyle name="-_Investment Summary Sheet  6 9 08 (Draft) 2" xfId="4218" xr:uid="{00000000-0005-0000-0000-000072100000}"/>
    <cellStyle name="-_Investment Summary Sheet  6 9 08 (Draft) 20" xfId="4219" xr:uid="{00000000-0005-0000-0000-000073100000}"/>
    <cellStyle name="-_Investment Summary Sheet  6 9 08 (Draft) 21" xfId="4220" xr:uid="{00000000-0005-0000-0000-000074100000}"/>
    <cellStyle name="-_Investment Summary Sheet  6 9 08 (Draft) 3" xfId="4221" xr:uid="{00000000-0005-0000-0000-000075100000}"/>
    <cellStyle name="-_Investment Summary Sheet  6 9 08 (Draft) 4" xfId="4222" xr:uid="{00000000-0005-0000-0000-000076100000}"/>
    <cellStyle name="-_Investment Summary Sheet  6 9 08 (Draft) 5" xfId="4223" xr:uid="{00000000-0005-0000-0000-000077100000}"/>
    <cellStyle name="-_Investment Summary Sheet  6 9 08 (Draft) 6" xfId="4224" xr:uid="{00000000-0005-0000-0000-000078100000}"/>
    <cellStyle name="-_Investment Summary Sheet  6 9 08 (Draft) 7" xfId="4225" xr:uid="{00000000-0005-0000-0000-000079100000}"/>
    <cellStyle name="-_Investment Summary Sheet  6 9 08 (Draft) 8" xfId="4226" xr:uid="{00000000-0005-0000-0000-00007A100000}"/>
    <cellStyle name="-_Investment Summary Sheet  6 9 08 (Draft) 9" xfId="4227" xr:uid="{00000000-0005-0000-0000-00007B100000}"/>
    <cellStyle name="-_Investment Summary Sheet  7 10 08 (Q2)" xfId="4228" xr:uid="{00000000-0005-0000-0000-00007C100000}"/>
    <cellStyle name="-_Investment Summary Sheet  7 10 08 (Q2) 10" xfId="4229" xr:uid="{00000000-0005-0000-0000-00007D100000}"/>
    <cellStyle name="-_Investment Summary Sheet  7 10 08 (Q2) 11" xfId="4230" xr:uid="{00000000-0005-0000-0000-00007E100000}"/>
    <cellStyle name="-_Investment Summary Sheet  7 10 08 (Q2) 12" xfId="4231" xr:uid="{00000000-0005-0000-0000-00007F100000}"/>
    <cellStyle name="-_Investment Summary Sheet  7 10 08 (Q2) 13" xfId="4232" xr:uid="{00000000-0005-0000-0000-000080100000}"/>
    <cellStyle name="-_Investment Summary Sheet  7 10 08 (Q2) 14" xfId="4233" xr:uid="{00000000-0005-0000-0000-000081100000}"/>
    <cellStyle name="-_Investment Summary Sheet  7 10 08 (Q2) 15" xfId="4234" xr:uid="{00000000-0005-0000-0000-000082100000}"/>
    <cellStyle name="-_Investment Summary Sheet  7 10 08 (Q2) 16" xfId="4235" xr:uid="{00000000-0005-0000-0000-000083100000}"/>
    <cellStyle name="-_Investment Summary Sheet  7 10 08 (Q2) 17" xfId="4236" xr:uid="{00000000-0005-0000-0000-000084100000}"/>
    <cellStyle name="-_Investment Summary Sheet  7 10 08 (Q2) 18" xfId="4237" xr:uid="{00000000-0005-0000-0000-000085100000}"/>
    <cellStyle name="-_Investment Summary Sheet  7 10 08 (Q2) 19" xfId="4238" xr:uid="{00000000-0005-0000-0000-000086100000}"/>
    <cellStyle name="-_Investment Summary Sheet  7 10 08 (Q2) 2" xfId="4239" xr:uid="{00000000-0005-0000-0000-000087100000}"/>
    <cellStyle name="-_Investment Summary Sheet  7 10 08 (Q2) 20" xfId="4240" xr:uid="{00000000-0005-0000-0000-000088100000}"/>
    <cellStyle name="-_Investment Summary Sheet  7 10 08 (Q2) 21" xfId="4241" xr:uid="{00000000-0005-0000-0000-000089100000}"/>
    <cellStyle name="-_Investment Summary Sheet  7 10 08 (Q2) 3" xfId="4242" xr:uid="{00000000-0005-0000-0000-00008A100000}"/>
    <cellStyle name="-_Investment Summary Sheet  7 10 08 (Q2) 4" xfId="4243" xr:uid="{00000000-0005-0000-0000-00008B100000}"/>
    <cellStyle name="-_Investment Summary Sheet  7 10 08 (Q2) 5" xfId="4244" xr:uid="{00000000-0005-0000-0000-00008C100000}"/>
    <cellStyle name="-_Investment Summary Sheet  7 10 08 (Q2) 6" xfId="4245" xr:uid="{00000000-0005-0000-0000-00008D100000}"/>
    <cellStyle name="-_Investment Summary Sheet  7 10 08 (Q2) 7" xfId="4246" xr:uid="{00000000-0005-0000-0000-00008E100000}"/>
    <cellStyle name="-_Investment Summary Sheet  7 10 08 (Q2) 8" xfId="4247" xr:uid="{00000000-0005-0000-0000-00008F100000}"/>
    <cellStyle name="-_Investment Summary Sheet  7 10 08 (Q2) 9" xfId="4248" xr:uid="{00000000-0005-0000-0000-000090100000}"/>
    <cellStyle name="-_Investment Summary Sheet  7 11 08 (Q2- DRAFT)" xfId="4249" xr:uid="{00000000-0005-0000-0000-000091100000}"/>
    <cellStyle name="-_Investment Summary Sheet  7 11 08 (Q2- DRAFT) (2)" xfId="4250" xr:uid="{00000000-0005-0000-0000-000092100000}"/>
    <cellStyle name="-_Investment Summary Sheet  7 11 08 (Q2- DRAFT) 10" xfId="4251" xr:uid="{00000000-0005-0000-0000-000093100000}"/>
    <cellStyle name="-_Investment Summary Sheet  7 11 08 (Q2- DRAFT) 11" xfId="4252" xr:uid="{00000000-0005-0000-0000-000094100000}"/>
    <cellStyle name="-_Investment Summary Sheet  7 11 08 (Q2- DRAFT) 12" xfId="4253" xr:uid="{00000000-0005-0000-0000-000095100000}"/>
    <cellStyle name="-_Investment Summary Sheet  7 11 08 (Q2- DRAFT) 13" xfId="4254" xr:uid="{00000000-0005-0000-0000-000096100000}"/>
    <cellStyle name="-_Investment Summary Sheet  7 11 08 (Q2- DRAFT) 14" xfId="4255" xr:uid="{00000000-0005-0000-0000-000097100000}"/>
    <cellStyle name="-_Investment Summary Sheet  7 11 08 (Q2- DRAFT) 15" xfId="4256" xr:uid="{00000000-0005-0000-0000-000098100000}"/>
    <cellStyle name="-_Investment Summary Sheet  7 11 08 (Q2- DRAFT) 16" xfId="4257" xr:uid="{00000000-0005-0000-0000-000099100000}"/>
    <cellStyle name="-_Investment Summary Sheet  7 11 08 (Q2- DRAFT) 17" xfId="4258" xr:uid="{00000000-0005-0000-0000-00009A100000}"/>
    <cellStyle name="-_Investment Summary Sheet  7 11 08 (Q2- DRAFT) 18" xfId="4259" xr:uid="{00000000-0005-0000-0000-00009B100000}"/>
    <cellStyle name="-_Investment Summary Sheet  7 11 08 (Q2- DRAFT) 19" xfId="4260" xr:uid="{00000000-0005-0000-0000-00009C100000}"/>
    <cellStyle name="-_Investment Summary Sheet  7 11 08 (Q2- DRAFT) 2" xfId="4261" xr:uid="{00000000-0005-0000-0000-00009D100000}"/>
    <cellStyle name="-_Investment Summary Sheet  7 11 08 (Q2- DRAFT) 20" xfId="4262" xr:uid="{00000000-0005-0000-0000-00009E100000}"/>
    <cellStyle name="-_Investment Summary Sheet  7 11 08 (Q2- DRAFT) 21" xfId="4263" xr:uid="{00000000-0005-0000-0000-00009F100000}"/>
    <cellStyle name="-_Investment Summary Sheet  7 11 08 (Q2- DRAFT) 3" xfId="4264" xr:uid="{00000000-0005-0000-0000-0000A0100000}"/>
    <cellStyle name="-_Investment Summary Sheet  7 11 08 (Q2- DRAFT) 4" xfId="4265" xr:uid="{00000000-0005-0000-0000-0000A1100000}"/>
    <cellStyle name="-_Investment Summary Sheet  7 11 08 (Q2- DRAFT) 5" xfId="4266" xr:uid="{00000000-0005-0000-0000-0000A2100000}"/>
    <cellStyle name="-_Investment Summary Sheet  7 11 08 (Q2- DRAFT) 6" xfId="4267" xr:uid="{00000000-0005-0000-0000-0000A3100000}"/>
    <cellStyle name="-_Investment Summary Sheet  7 11 08 (Q2- DRAFT) 7" xfId="4268" xr:uid="{00000000-0005-0000-0000-0000A4100000}"/>
    <cellStyle name="-_Investment Summary Sheet  7 11 08 (Q2- DRAFT) 8" xfId="4269" xr:uid="{00000000-0005-0000-0000-0000A5100000}"/>
    <cellStyle name="-_Investment Summary Sheet  7 11 08 (Q2- DRAFT) 9" xfId="4270" xr:uid="{00000000-0005-0000-0000-0000A6100000}"/>
    <cellStyle name="-_Investment Summary Sheet  7 18 08 (Q2- DRAFT)" xfId="4271" xr:uid="{00000000-0005-0000-0000-0000A7100000}"/>
    <cellStyle name="-_Investment Summary Sheet  7 18 08 (Q2- DRAFT) 10" xfId="4272" xr:uid="{00000000-0005-0000-0000-0000A8100000}"/>
    <cellStyle name="-_Investment Summary Sheet  7 18 08 (Q2- DRAFT) 11" xfId="4273" xr:uid="{00000000-0005-0000-0000-0000A9100000}"/>
    <cellStyle name="-_Investment Summary Sheet  7 18 08 (Q2- DRAFT) 12" xfId="4274" xr:uid="{00000000-0005-0000-0000-0000AA100000}"/>
    <cellStyle name="-_Investment Summary Sheet  7 18 08 (Q2- DRAFT) 13" xfId="4275" xr:uid="{00000000-0005-0000-0000-0000AB100000}"/>
    <cellStyle name="-_Investment Summary Sheet  7 18 08 (Q2- DRAFT) 14" xfId="4276" xr:uid="{00000000-0005-0000-0000-0000AC100000}"/>
    <cellStyle name="-_Investment Summary Sheet  7 18 08 (Q2- DRAFT) 15" xfId="4277" xr:uid="{00000000-0005-0000-0000-0000AD100000}"/>
    <cellStyle name="-_Investment Summary Sheet  7 18 08 (Q2- DRAFT) 16" xfId="4278" xr:uid="{00000000-0005-0000-0000-0000AE100000}"/>
    <cellStyle name="-_Investment Summary Sheet  7 18 08 (Q2- DRAFT) 17" xfId="4279" xr:uid="{00000000-0005-0000-0000-0000AF100000}"/>
    <cellStyle name="-_Investment Summary Sheet  7 18 08 (Q2- DRAFT) 18" xfId="4280" xr:uid="{00000000-0005-0000-0000-0000B0100000}"/>
    <cellStyle name="-_Investment Summary Sheet  7 18 08 (Q2- DRAFT) 19" xfId="4281" xr:uid="{00000000-0005-0000-0000-0000B1100000}"/>
    <cellStyle name="-_Investment Summary Sheet  7 18 08 (Q2- DRAFT) 2" xfId="4282" xr:uid="{00000000-0005-0000-0000-0000B2100000}"/>
    <cellStyle name="-_Investment Summary Sheet  7 18 08 (Q2- DRAFT) 20" xfId="4283" xr:uid="{00000000-0005-0000-0000-0000B3100000}"/>
    <cellStyle name="-_Investment Summary Sheet  7 18 08 (Q2- DRAFT) 21" xfId="4284" xr:uid="{00000000-0005-0000-0000-0000B4100000}"/>
    <cellStyle name="-_Investment Summary Sheet  7 18 08 (Q2- DRAFT) 3" xfId="4285" xr:uid="{00000000-0005-0000-0000-0000B5100000}"/>
    <cellStyle name="-_Investment Summary Sheet  7 18 08 (Q2- DRAFT) 4" xfId="4286" xr:uid="{00000000-0005-0000-0000-0000B6100000}"/>
    <cellStyle name="-_Investment Summary Sheet  7 18 08 (Q2- DRAFT) 5" xfId="4287" xr:uid="{00000000-0005-0000-0000-0000B7100000}"/>
    <cellStyle name="-_Investment Summary Sheet  7 18 08 (Q2- DRAFT) 6" xfId="4288" xr:uid="{00000000-0005-0000-0000-0000B8100000}"/>
    <cellStyle name="-_Investment Summary Sheet  7 18 08 (Q2- DRAFT) 7" xfId="4289" xr:uid="{00000000-0005-0000-0000-0000B9100000}"/>
    <cellStyle name="-_Investment Summary Sheet  7 18 08 (Q2- DRAFT) 8" xfId="4290" xr:uid="{00000000-0005-0000-0000-0000BA100000}"/>
    <cellStyle name="-_Investment Summary Sheet  7 18 08 (Q2- DRAFT) 9" xfId="4291" xr:uid="{00000000-0005-0000-0000-0000BB100000}"/>
    <cellStyle name="-_Investment Summary Sheet  7 29 08 (Q2- DRAFT)" xfId="4292" xr:uid="{00000000-0005-0000-0000-0000BC100000}"/>
    <cellStyle name="-_Investment Summary Sheet  7 29 08 (Q2- DRAFT) 10" xfId="4293" xr:uid="{00000000-0005-0000-0000-0000BD100000}"/>
    <cellStyle name="-_Investment Summary Sheet  7 29 08 (Q2- DRAFT) 11" xfId="4294" xr:uid="{00000000-0005-0000-0000-0000BE100000}"/>
    <cellStyle name="-_Investment Summary Sheet  7 29 08 (Q2- DRAFT) 12" xfId="4295" xr:uid="{00000000-0005-0000-0000-0000BF100000}"/>
    <cellStyle name="-_Investment Summary Sheet  7 29 08 (Q2- DRAFT) 13" xfId="4296" xr:uid="{00000000-0005-0000-0000-0000C0100000}"/>
    <cellStyle name="-_Investment Summary Sheet  7 29 08 (Q2- DRAFT) 14" xfId="4297" xr:uid="{00000000-0005-0000-0000-0000C1100000}"/>
    <cellStyle name="-_Investment Summary Sheet  7 29 08 (Q2- DRAFT) 15" xfId="4298" xr:uid="{00000000-0005-0000-0000-0000C2100000}"/>
    <cellStyle name="-_Investment Summary Sheet  7 29 08 (Q2- DRAFT) 16" xfId="4299" xr:uid="{00000000-0005-0000-0000-0000C3100000}"/>
    <cellStyle name="-_Investment Summary Sheet  7 29 08 (Q2- DRAFT) 17" xfId="4300" xr:uid="{00000000-0005-0000-0000-0000C4100000}"/>
    <cellStyle name="-_Investment Summary Sheet  7 29 08 (Q2- DRAFT) 18" xfId="4301" xr:uid="{00000000-0005-0000-0000-0000C5100000}"/>
    <cellStyle name="-_Investment Summary Sheet  7 29 08 (Q2- DRAFT) 19" xfId="4302" xr:uid="{00000000-0005-0000-0000-0000C6100000}"/>
    <cellStyle name="-_Investment Summary Sheet  7 29 08 (Q2- DRAFT) 2" xfId="4303" xr:uid="{00000000-0005-0000-0000-0000C7100000}"/>
    <cellStyle name="-_Investment Summary Sheet  7 29 08 (Q2- DRAFT) 20" xfId="4304" xr:uid="{00000000-0005-0000-0000-0000C8100000}"/>
    <cellStyle name="-_Investment Summary Sheet  7 29 08 (Q2- DRAFT) 21" xfId="4305" xr:uid="{00000000-0005-0000-0000-0000C9100000}"/>
    <cellStyle name="-_Investment Summary Sheet  7 29 08 (Q2- DRAFT) 3" xfId="4306" xr:uid="{00000000-0005-0000-0000-0000CA100000}"/>
    <cellStyle name="-_Investment Summary Sheet  7 29 08 (Q2- DRAFT) 4" xfId="4307" xr:uid="{00000000-0005-0000-0000-0000CB100000}"/>
    <cellStyle name="-_Investment Summary Sheet  7 29 08 (Q2- DRAFT) 5" xfId="4308" xr:uid="{00000000-0005-0000-0000-0000CC100000}"/>
    <cellStyle name="-_Investment Summary Sheet  7 29 08 (Q2- DRAFT) 6" xfId="4309" xr:uid="{00000000-0005-0000-0000-0000CD100000}"/>
    <cellStyle name="-_Investment Summary Sheet  7 29 08 (Q2- DRAFT) 7" xfId="4310" xr:uid="{00000000-0005-0000-0000-0000CE100000}"/>
    <cellStyle name="-_Investment Summary Sheet  7 29 08 (Q2- DRAFT) 8" xfId="4311" xr:uid="{00000000-0005-0000-0000-0000CF100000}"/>
    <cellStyle name="-_Investment Summary Sheet  7 29 08 (Q2- DRAFT) 9" xfId="4312" xr:uid="{00000000-0005-0000-0000-0000D0100000}"/>
    <cellStyle name="-_Investment Summary Sheet  8 26 08 (July-2008)" xfId="4313" xr:uid="{00000000-0005-0000-0000-0000D1100000}"/>
    <cellStyle name="-_Investment Summary Sheet  8 9 08 (July-2008)" xfId="4314" xr:uid="{00000000-0005-0000-0000-0000D2100000}"/>
    <cellStyle name="-_Investment Summary Sheet  9 05 08 (August-2008)" xfId="4315" xr:uid="{00000000-0005-0000-0000-0000D3100000}"/>
    <cellStyle name="-_Investment Summary Sheet 7 09 08 (Q2) PE" xfId="4316" xr:uid="{00000000-0005-0000-0000-0000D4100000}"/>
    <cellStyle name="-_Investment Summary Sheet 7 09 08 (Q2) PE 10" xfId="4317" xr:uid="{00000000-0005-0000-0000-0000D5100000}"/>
    <cellStyle name="-_Investment Summary Sheet 7 09 08 (Q2) PE 11" xfId="4318" xr:uid="{00000000-0005-0000-0000-0000D6100000}"/>
    <cellStyle name="-_Investment Summary Sheet 7 09 08 (Q2) PE 12" xfId="4319" xr:uid="{00000000-0005-0000-0000-0000D7100000}"/>
    <cellStyle name="-_Investment Summary Sheet 7 09 08 (Q2) PE 13" xfId="4320" xr:uid="{00000000-0005-0000-0000-0000D8100000}"/>
    <cellStyle name="-_Investment Summary Sheet 7 09 08 (Q2) PE 14" xfId="4321" xr:uid="{00000000-0005-0000-0000-0000D9100000}"/>
    <cellStyle name="-_Investment Summary Sheet 7 09 08 (Q2) PE 15" xfId="4322" xr:uid="{00000000-0005-0000-0000-0000DA100000}"/>
    <cellStyle name="-_Investment Summary Sheet 7 09 08 (Q2) PE 16" xfId="4323" xr:uid="{00000000-0005-0000-0000-0000DB100000}"/>
    <cellStyle name="-_Investment Summary Sheet 7 09 08 (Q2) PE 17" xfId="4324" xr:uid="{00000000-0005-0000-0000-0000DC100000}"/>
    <cellStyle name="-_Investment Summary Sheet 7 09 08 (Q2) PE 18" xfId="4325" xr:uid="{00000000-0005-0000-0000-0000DD100000}"/>
    <cellStyle name="-_Investment Summary Sheet 7 09 08 (Q2) PE 19" xfId="4326" xr:uid="{00000000-0005-0000-0000-0000DE100000}"/>
    <cellStyle name="-_Investment Summary Sheet 7 09 08 (Q2) PE 2" xfId="4327" xr:uid="{00000000-0005-0000-0000-0000DF100000}"/>
    <cellStyle name="-_Investment Summary Sheet 7 09 08 (Q2) PE 20" xfId="4328" xr:uid="{00000000-0005-0000-0000-0000E0100000}"/>
    <cellStyle name="-_Investment Summary Sheet 7 09 08 (Q2) PE 21" xfId="4329" xr:uid="{00000000-0005-0000-0000-0000E1100000}"/>
    <cellStyle name="-_Investment Summary Sheet 7 09 08 (Q2) PE 3" xfId="4330" xr:uid="{00000000-0005-0000-0000-0000E2100000}"/>
    <cellStyle name="-_Investment Summary Sheet 7 09 08 (Q2) PE 4" xfId="4331" xr:uid="{00000000-0005-0000-0000-0000E3100000}"/>
    <cellStyle name="-_Investment Summary Sheet 7 09 08 (Q2) PE 5" xfId="4332" xr:uid="{00000000-0005-0000-0000-0000E4100000}"/>
    <cellStyle name="-_Investment Summary Sheet 7 09 08 (Q2) PE 6" xfId="4333" xr:uid="{00000000-0005-0000-0000-0000E5100000}"/>
    <cellStyle name="-_Investment Summary Sheet 7 09 08 (Q2) PE 7" xfId="4334" xr:uid="{00000000-0005-0000-0000-0000E6100000}"/>
    <cellStyle name="-_Investment Summary Sheet 7 09 08 (Q2) PE 8" xfId="4335" xr:uid="{00000000-0005-0000-0000-0000E7100000}"/>
    <cellStyle name="-_Investment Summary Sheet 7 09 08 (Q2) PE 9" xfId="4336" xr:uid="{00000000-0005-0000-0000-0000E8100000}"/>
    <cellStyle name="_Jason's Tribeca Redemption Tracking Worksheet 1.01.07" xfId="4337" xr:uid="{00000000-0005-0000-0000-0000E9100000}"/>
    <cellStyle name="_LS XI NAV Reconciliation - March 2010" xfId="4338" xr:uid="{00000000-0005-0000-0000-0000EA100000}"/>
    <cellStyle name="_LYZ_Ayrie_GE__ME_JULY_2009" xfId="4339" xr:uid="{00000000-0005-0000-0000-0000EB100000}"/>
    <cellStyle name="_LYZ_Ayrie_GE__ME_JULY_2009 2" xfId="4340" xr:uid="{00000000-0005-0000-0000-0000EC100000}"/>
    <cellStyle name="_LYZ_Ayrie_GE__ME_JULY_2009_Geneva Fx Price" xfId="4341" xr:uid="{00000000-0005-0000-0000-0000ED100000}"/>
    <cellStyle name="_MAG V 12-01-04" xfId="4342" xr:uid="{00000000-0005-0000-0000-0000EE100000}"/>
    <cellStyle name="_MAP 2 FX Forward rec" xfId="4343" xr:uid="{00000000-0005-0000-0000-0000EF100000}"/>
    <cellStyle name="_MAP Q WORKBOOK - 01312008" xfId="4344" xr:uid="{00000000-0005-0000-0000-0000F0100000}"/>
    <cellStyle name="_MAP2_Div accrual rec-05312008" xfId="4345" xr:uid="{00000000-0005-0000-0000-0000F1100000}"/>
    <cellStyle name="_MAP-Q Dividend Accraul rec 30112007" xfId="4346" xr:uid="{00000000-0005-0000-0000-0000F2100000}"/>
    <cellStyle name="_MAP-Q Dividend Accraul rec 30112007 2" xfId="4347" xr:uid="{00000000-0005-0000-0000-0000F3100000}"/>
    <cellStyle name="_MAP-Q Dividend Accraul rec 30112007_Conquest_Weekly_062910 FWD" xfId="4348" xr:uid="{00000000-0005-0000-0000-0000F4100000}"/>
    <cellStyle name="_MAP-Q Dividend Accraul rec 30112007_Conquest_Weekly_083110" xfId="4349" xr:uid="{00000000-0005-0000-0000-0000F5100000}"/>
    <cellStyle name="_MAP-Q Dividend Accraul rec 30112007_Conquest_Weekly_091410" xfId="4350" xr:uid="{00000000-0005-0000-0000-0000F6100000}"/>
    <cellStyle name="_MAP-Q Dividend Accraul rec 30112007_Conquest_Weekly_2010-04-20" xfId="4351" xr:uid="{00000000-0005-0000-0000-0000F7100000}"/>
    <cellStyle name="_MAP-Q Dividend Accraul rec 30112007_Geneva Fx Price" xfId="4352" xr:uid="{00000000-0005-0000-0000-0000F8100000}"/>
    <cellStyle name="_MAP-Q Dividend Accraul rec 30112007_Koppen Off Monthend June 2010" xfId="4353" xr:uid="{00000000-0005-0000-0000-0000F9100000}"/>
    <cellStyle name="_MAP-Q Dividend Accraul rec 30112007_Nantucket Monthend 083110" xfId="4354" xr:uid="{00000000-0005-0000-0000-0000FA100000}"/>
    <cellStyle name="_MAP-Q Dividend Accraul rec 30112007_Summary" xfId="4355" xr:uid="{00000000-0005-0000-0000-0000FB100000}"/>
    <cellStyle name="_MAP-Q Dividend Accraul rec 30112007_Trading Accruals" xfId="4356" xr:uid="{00000000-0005-0000-0000-0000FC100000}"/>
    <cellStyle name="_MAP-Q Dividend Accraul rec 30112007_Vernon Square_Monthend_20090831" xfId="4357" xr:uid="{00000000-0005-0000-0000-0000FD100000}"/>
    <cellStyle name="_Margin Calls - DB &amp; Citi" xfId="4358" xr:uid="{00000000-0005-0000-0000-0000FE100000}"/>
    <cellStyle name="_Margin Calls - DB &amp; Citi_2011 Q1 Monitoring Fees v3" xfId="4359" xr:uid="{00000000-0005-0000-0000-0000FF100000}"/>
    <cellStyle name="_Margin Calls - DB &amp; Citi_LS, LP - Dec  2010 Trial Balance Summary" xfId="4360" xr:uid="{00000000-0005-0000-0000-000000110000}"/>
    <cellStyle name="_Master" xfId="4361" xr:uid="{00000000-0005-0000-0000-000001110000}"/>
    <cellStyle name="_Min 40" xfId="4362" xr:uid="{00000000-0005-0000-0000-000002110000}"/>
    <cellStyle name="_Min 40_2011 Q1 Monitoring Fees v3" xfId="4363" xr:uid="{00000000-0005-0000-0000-000003110000}"/>
    <cellStyle name="_Min 40_LS, LP - Dec  2010 Trial Balance Summary" xfId="4364" xr:uid="{00000000-0005-0000-0000-000004110000}"/>
    <cellStyle name="_Min 60" xfId="4365" xr:uid="{00000000-0005-0000-0000-000005110000}"/>
    <cellStyle name="_Min 60_2011 Q1 Monitoring Fees v3" xfId="4366" xr:uid="{00000000-0005-0000-0000-000006110000}"/>
    <cellStyle name="_Min 60_LS, LP - Dec  2010 Trial Balance Summary" xfId="4367" xr:uid="{00000000-0005-0000-0000-000007110000}"/>
    <cellStyle name="_Min 80" xfId="4368" xr:uid="{00000000-0005-0000-0000-000008110000}"/>
    <cellStyle name="_Min 80_2011 Q1 Monitoring Fees v3" xfId="4369" xr:uid="{00000000-0005-0000-0000-000009110000}"/>
    <cellStyle name="_Min 80_LS, LP - Dec  2010 Trial Balance Summary" xfId="4370" xr:uid="{00000000-0005-0000-0000-00000A110000}"/>
    <cellStyle name="_MulHolland-Financial Highlights Template-FHT" xfId="4371" xr:uid="{00000000-0005-0000-0000-00000B110000}"/>
    <cellStyle name="_Multiple" xfId="4372" xr:uid="{00000000-0005-0000-0000-00000C110000}"/>
    <cellStyle name="_Multiple 10" xfId="4373" xr:uid="{00000000-0005-0000-0000-00000D110000}"/>
    <cellStyle name="_Multiple 11" xfId="4374" xr:uid="{00000000-0005-0000-0000-00000E110000}"/>
    <cellStyle name="_Multiple 12" xfId="4375" xr:uid="{00000000-0005-0000-0000-00000F110000}"/>
    <cellStyle name="_Multiple 13" xfId="4376" xr:uid="{00000000-0005-0000-0000-000010110000}"/>
    <cellStyle name="_Multiple 14" xfId="4377" xr:uid="{00000000-0005-0000-0000-000011110000}"/>
    <cellStyle name="_Multiple 15" xfId="4378" xr:uid="{00000000-0005-0000-0000-000012110000}"/>
    <cellStyle name="_Multiple 16" xfId="4379" xr:uid="{00000000-0005-0000-0000-000013110000}"/>
    <cellStyle name="_Multiple 17" xfId="4380" xr:uid="{00000000-0005-0000-0000-000014110000}"/>
    <cellStyle name="_Multiple 18" xfId="4381" xr:uid="{00000000-0005-0000-0000-000015110000}"/>
    <cellStyle name="_Multiple 19" xfId="4382" xr:uid="{00000000-0005-0000-0000-000016110000}"/>
    <cellStyle name="_Multiple 2" xfId="4383" xr:uid="{00000000-0005-0000-0000-000017110000}"/>
    <cellStyle name="_Multiple 20" xfId="4384" xr:uid="{00000000-0005-0000-0000-000018110000}"/>
    <cellStyle name="_Multiple 21" xfId="4385" xr:uid="{00000000-0005-0000-0000-000019110000}"/>
    <cellStyle name="_Multiple 21 2" xfId="4386" xr:uid="{00000000-0005-0000-0000-00001A110000}"/>
    <cellStyle name="_Multiple 3" xfId="4387" xr:uid="{00000000-0005-0000-0000-00001B110000}"/>
    <cellStyle name="_Multiple 4" xfId="4388" xr:uid="{00000000-0005-0000-0000-00001C110000}"/>
    <cellStyle name="_Multiple 5" xfId="4389" xr:uid="{00000000-0005-0000-0000-00001D110000}"/>
    <cellStyle name="_Multiple 6" xfId="4390" xr:uid="{00000000-0005-0000-0000-00001E110000}"/>
    <cellStyle name="_Multiple 7" xfId="4391" xr:uid="{00000000-0005-0000-0000-00001F110000}"/>
    <cellStyle name="_Multiple 8" xfId="4392" xr:uid="{00000000-0005-0000-0000-000020110000}"/>
    <cellStyle name="_Multiple 9" xfId="4393" xr:uid="{00000000-0005-0000-0000-000021110000}"/>
    <cellStyle name="_MultipleSpace" xfId="4394" xr:uid="{00000000-0005-0000-0000-000022110000}"/>
    <cellStyle name="_MultipleSpace 10" xfId="4395" xr:uid="{00000000-0005-0000-0000-000023110000}"/>
    <cellStyle name="_MultipleSpace 11" xfId="4396" xr:uid="{00000000-0005-0000-0000-000024110000}"/>
    <cellStyle name="_MultipleSpace 12" xfId="4397" xr:uid="{00000000-0005-0000-0000-000025110000}"/>
    <cellStyle name="_MultipleSpace 13" xfId="4398" xr:uid="{00000000-0005-0000-0000-000026110000}"/>
    <cellStyle name="_MultipleSpace 14" xfId="4399" xr:uid="{00000000-0005-0000-0000-000027110000}"/>
    <cellStyle name="_MultipleSpace 15" xfId="4400" xr:uid="{00000000-0005-0000-0000-000028110000}"/>
    <cellStyle name="_MultipleSpace 16" xfId="4401" xr:uid="{00000000-0005-0000-0000-000029110000}"/>
    <cellStyle name="_MultipleSpace 17" xfId="4402" xr:uid="{00000000-0005-0000-0000-00002A110000}"/>
    <cellStyle name="_MultipleSpace 18" xfId="4403" xr:uid="{00000000-0005-0000-0000-00002B110000}"/>
    <cellStyle name="_MultipleSpace 19" xfId="4404" xr:uid="{00000000-0005-0000-0000-00002C110000}"/>
    <cellStyle name="_MultipleSpace 2" xfId="4405" xr:uid="{00000000-0005-0000-0000-00002D110000}"/>
    <cellStyle name="_MultipleSpace 20" xfId="4406" xr:uid="{00000000-0005-0000-0000-00002E110000}"/>
    <cellStyle name="_MultipleSpace 21" xfId="4407" xr:uid="{00000000-0005-0000-0000-00002F110000}"/>
    <cellStyle name="_MultipleSpace 21 2" xfId="4408" xr:uid="{00000000-0005-0000-0000-000030110000}"/>
    <cellStyle name="_MultipleSpace 3" xfId="4409" xr:uid="{00000000-0005-0000-0000-000031110000}"/>
    <cellStyle name="_MultipleSpace 4" xfId="4410" xr:uid="{00000000-0005-0000-0000-000032110000}"/>
    <cellStyle name="_MultipleSpace 5" xfId="4411" xr:uid="{00000000-0005-0000-0000-000033110000}"/>
    <cellStyle name="_MultipleSpace 6" xfId="4412" xr:uid="{00000000-0005-0000-0000-000034110000}"/>
    <cellStyle name="_MultipleSpace 7" xfId="4413" xr:uid="{00000000-0005-0000-0000-000035110000}"/>
    <cellStyle name="_MultipleSpace 8" xfId="4414" xr:uid="{00000000-0005-0000-0000-000036110000}"/>
    <cellStyle name="_MultipleSpace 9" xfId="4415" xr:uid="{00000000-0005-0000-0000-000037110000}"/>
    <cellStyle name="_Normandy Hill_Workbook_20090630" xfId="4416" xr:uid="{00000000-0005-0000-0000-000038110000}"/>
    <cellStyle name="_Optimized Portfolios" xfId="4417" xr:uid="{00000000-0005-0000-0000-000039110000}"/>
    <cellStyle name="_Optimized Portfolios_2011 Q1 Monitoring Fees v3" xfId="4418" xr:uid="{00000000-0005-0000-0000-00003A110000}"/>
    <cellStyle name="_Optimized Portfolios_LS, LP - Dec  2010 Trial Balance Summary" xfId="4419" xr:uid="{00000000-0005-0000-0000-00003B110000}"/>
    <cellStyle name="_OTC approved rec" xfId="4420" xr:uid="{00000000-0005-0000-0000-00003C110000}"/>
    <cellStyle name="_OTC Month End Reconciliation for client SSGA CAP- 30th Mar 07" xfId="4421" xr:uid="{00000000-0005-0000-0000-00003D110000}"/>
    <cellStyle name="_OTC Month End Reconciliation for client SSGA CAP- 30th Mar 07 - Amended" xfId="4422" xr:uid="{00000000-0005-0000-0000-00003E110000}"/>
    <cellStyle name="_OTC Month End Reconciliation for client SSGA CAP- 30th Mar 07 - Final" xfId="4423" xr:uid="{00000000-0005-0000-0000-00003F110000}"/>
    <cellStyle name="_Ownership Allocation" xfId="4424" xr:uid="{00000000-0005-0000-0000-000040110000}"/>
    <cellStyle name="_PAKs AYGE 2007 updated" xfId="4425" xr:uid="{00000000-0005-0000-0000-000041110000}"/>
    <cellStyle name="_Partner Consolidated Capital 2006 Q1 and 2007 Q1- 0502 Final V4-wo" xfId="4426" xr:uid="{00000000-0005-0000-0000-000042110000}"/>
    <cellStyle name="_Partner Consolidated Capital 2006 Q1 and 2007 Q1- 0502 Final V4-wo 10" xfId="4427" xr:uid="{00000000-0005-0000-0000-000043110000}"/>
    <cellStyle name="_Partner Consolidated Capital 2006 Q1 and 2007 Q1- 0502 Final V4-wo 11" xfId="4428" xr:uid="{00000000-0005-0000-0000-000044110000}"/>
    <cellStyle name="_Partner Consolidated Capital 2006 Q1 and 2007 Q1- 0502 Final V4-wo 12" xfId="4429" xr:uid="{00000000-0005-0000-0000-000045110000}"/>
    <cellStyle name="_Partner Consolidated Capital 2006 Q1 and 2007 Q1- 0502 Final V4-wo 13" xfId="4430" xr:uid="{00000000-0005-0000-0000-000046110000}"/>
    <cellStyle name="_Partner Consolidated Capital 2006 Q1 and 2007 Q1- 0502 Final V4-wo 14" xfId="4431" xr:uid="{00000000-0005-0000-0000-000047110000}"/>
    <cellStyle name="_Partner Consolidated Capital 2006 Q1 and 2007 Q1- 0502 Final V4-wo 15" xfId="4432" xr:uid="{00000000-0005-0000-0000-000048110000}"/>
    <cellStyle name="_Partner Consolidated Capital 2006 Q1 and 2007 Q1- 0502 Final V4-wo 16" xfId="4433" xr:uid="{00000000-0005-0000-0000-000049110000}"/>
    <cellStyle name="_Partner Consolidated Capital 2006 Q1 and 2007 Q1- 0502 Final V4-wo 17" xfId="4434" xr:uid="{00000000-0005-0000-0000-00004A110000}"/>
    <cellStyle name="_Partner Consolidated Capital 2006 Q1 and 2007 Q1- 0502 Final V4-wo 18" xfId="4435" xr:uid="{00000000-0005-0000-0000-00004B110000}"/>
    <cellStyle name="_Partner Consolidated Capital 2006 Q1 and 2007 Q1- 0502 Final V4-wo 19" xfId="4436" xr:uid="{00000000-0005-0000-0000-00004C110000}"/>
    <cellStyle name="_Partner Consolidated Capital 2006 Q1 and 2007 Q1- 0502 Final V4-wo 2" xfId="4437" xr:uid="{00000000-0005-0000-0000-00004D110000}"/>
    <cellStyle name="_Partner Consolidated Capital 2006 Q1 and 2007 Q1- 0502 Final V4-wo 2 2" xfId="4438" xr:uid="{00000000-0005-0000-0000-00004E110000}"/>
    <cellStyle name="_Partner Consolidated Capital 2006 Q1 and 2007 Q1- 0502 Final V4-wo 20" xfId="4439" xr:uid="{00000000-0005-0000-0000-00004F110000}"/>
    <cellStyle name="_Partner Consolidated Capital 2006 Q1 and 2007 Q1- 0502 Final V4-wo 21" xfId="4440" xr:uid="{00000000-0005-0000-0000-000050110000}"/>
    <cellStyle name="_Partner Consolidated Capital 2006 Q1 and 2007 Q1- 0502 Final V4-wo 22" xfId="4441" xr:uid="{00000000-0005-0000-0000-000051110000}"/>
    <cellStyle name="_Partner Consolidated Capital 2006 Q1 and 2007 Q1- 0502 Final V4-wo 23" xfId="4442" xr:uid="{00000000-0005-0000-0000-000052110000}"/>
    <cellStyle name="_Partner Consolidated Capital 2006 Q1 and 2007 Q1- 0502 Final V4-wo 23 2" xfId="4443" xr:uid="{00000000-0005-0000-0000-000053110000}"/>
    <cellStyle name="_Partner Consolidated Capital 2006 Q1 and 2007 Q1- 0502 Final V4-wo 3" xfId="4444" xr:uid="{00000000-0005-0000-0000-000054110000}"/>
    <cellStyle name="_Partner Consolidated Capital 2006 Q1 and 2007 Q1- 0502 Final V4-wo 3 2" xfId="4445" xr:uid="{00000000-0005-0000-0000-000055110000}"/>
    <cellStyle name="_Partner Consolidated Capital 2006 Q1 and 2007 Q1- 0502 Final V4-wo 4" xfId="4446" xr:uid="{00000000-0005-0000-0000-000056110000}"/>
    <cellStyle name="_Partner Consolidated Capital 2006 Q1 and 2007 Q1- 0502 Final V4-wo 5" xfId="4447" xr:uid="{00000000-0005-0000-0000-000057110000}"/>
    <cellStyle name="_Partner Consolidated Capital 2006 Q1 and 2007 Q1- 0502 Final V4-wo 6" xfId="4448" xr:uid="{00000000-0005-0000-0000-000058110000}"/>
    <cellStyle name="_Partner Consolidated Capital 2006 Q1 and 2007 Q1- 0502 Final V4-wo 7" xfId="4449" xr:uid="{00000000-0005-0000-0000-000059110000}"/>
    <cellStyle name="_Partner Consolidated Capital 2006 Q1 and 2007 Q1- 0502 Final V4-wo 8" xfId="4450" xr:uid="{00000000-0005-0000-0000-00005A110000}"/>
    <cellStyle name="_Partner Consolidated Capital 2006 Q1 and 2007 Q1- 0502 Final V4-wo 9" xfId="4451" xr:uid="{00000000-0005-0000-0000-00005B110000}"/>
    <cellStyle name="_Partner Consolidated Capital 2006 Q1 and 2007 Q1- 0502 Final V4-wo_{6} Carry" xfId="4452" xr:uid="{00000000-0005-0000-0000-00005C110000}"/>
    <cellStyle name="_Partner Consolidated Capital 2006 Q1 and 2007 Q1- 0502 Final V4-wo_{6} Clawback" xfId="4453" xr:uid="{00000000-0005-0000-0000-00005D110000}"/>
    <cellStyle name="_Partner Consolidated Capital 2006 Q1 and 2007 Q1- 0502 Final V4-wo_2.10.10 LS Distribution" xfId="4454" xr:uid="{00000000-0005-0000-0000-00005E110000}"/>
    <cellStyle name="_Partner Consolidated Capital 2006 Q1 and 2007 Q1- 0502 Final V4-wo_2011 Q1 Monitoring Fees v3" xfId="4455" xr:uid="{00000000-0005-0000-0000-00005F110000}"/>
    <cellStyle name="_Partner Consolidated Capital 2006 Q1 and 2007 Q1- 0502 Final V4-wo_Advisors VII DECEMBER on 3-31-09 8pm" xfId="4456" xr:uid="{00000000-0005-0000-0000-000060110000}"/>
    <cellStyle name="_Partner Consolidated Capital 2006 Q1 and 2007 Q1- 0502 Final V4-wo_Advisors VII DECEMBER on 3-31-09 8pm 2" xfId="4457" xr:uid="{00000000-0005-0000-0000-000061110000}"/>
    <cellStyle name="_Partner Consolidated Capital 2006 Q1 and 2007 Q1- 0502 Final V4-wo_AIF IV - Waterfall 3 31 09 vs  6 30 09" xfId="4458" xr:uid="{00000000-0005-0000-0000-000062110000}"/>
    <cellStyle name="_Partner Consolidated Capital 2006 Q1 and 2007 Q1- 0502 Final V4-wo_AIF IV Financial Highlights 12-31-08 v4" xfId="4459" xr:uid="{00000000-0005-0000-0000-000063110000}"/>
    <cellStyle name="_Partner Consolidated Capital 2006 Q1 and 2007 Q1- 0502 Final V4-wo_AIF IV Financial Highlights 12-31-08 v4_Apollo Investment Fund IV  Q3 2009 Capital Analysis CURRENT" xfId="4460" xr:uid="{00000000-0005-0000-0000-000064110000}"/>
    <cellStyle name="_Partner Consolidated Capital 2006 Q1 and 2007 Q1- 0502 Final V4-wo_AIF IV Financial Highlights 12-31-08 v4_Apollo Investment Fund IV  Q3 2009 Capital Analysis iPCS &amp; URI Distribution" xfId="4461" xr:uid="{00000000-0005-0000-0000-000065110000}"/>
    <cellStyle name="_Partner Consolidated Capital 2006 Q1 and 2007 Q1- 0502 Final V4-wo_AIF IV Financial Highlights 12-31-08 v4_iPCs#1-Remaining" xfId="4462" xr:uid="{00000000-0005-0000-0000-000066110000}"/>
    <cellStyle name="_Partner Consolidated Capital 2006 Q1 and 2007 Q1- 0502 Final V4-wo_AIF IV, V, VI, VII, COF - Waterfall 3 31 09 vs  6 30 09" xfId="4463" xr:uid="{00000000-0005-0000-0000-000067110000}"/>
    <cellStyle name="_Partner Consolidated Capital 2006 Q1 and 2007 Q1- 0502 Final V4-wo_AIF V 1Q09 Cash - FINAL" xfId="4464" xr:uid="{00000000-0005-0000-0000-000068110000}"/>
    <cellStyle name="_Partner Consolidated Capital 2006 Q1 and 2007 Q1- 0502 Final V4-wo_AIF V Cash - CURRENT" xfId="4465" xr:uid="{00000000-0005-0000-0000-000069110000}"/>
    <cellStyle name="_Partner Consolidated Capital 2006 Q1 and 2007 Q1- 0502 Final V4-wo_AIF V Professional Fees and other operating expenses(5)" xfId="4466" xr:uid="{00000000-0005-0000-0000-00006A110000}"/>
    <cellStyle name="_Partner Consolidated Capital 2006 Q1 and 2007 Q1- 0502 Final V4-wo_AIF VI - BondcoVI_Entities Invested Capital (CURRENT)" xfId="4467" xr:uid="{00000000-0005-0000-0000-00006B110000}"/>
    <cellStyle name="_Partner Consolidated Capital 2006 Q1 and 2007 Q1- 0502 Final V4-wo_AIF VI  VII Summary Dec 2008 v3" xfId="4468" xr:uid="{00000000-0005-0000-0000-00006C110000}"/>
    <cellStyle name="_Partner Consolidated Capital 2006 Q1 and 2007 Q1- 0502 Final V4-wo_AIF VI  VII Summary Dec 2008 v3 10" xfId="4469" xr:uid="{00000000-0005-0000-0000-00006D110000}"/>
    <cellStyle name="_Partner Consolidated Capital 2006 Q1 and 2007 Q1- 0502 Final V4-wo_AIF VI  VII Summary Dec 2008 v3 11" xfId="4470" xr:uid="{00000000-0005-0000-0000-00006E110000}"/>
    <cellStyle name="_Partner Consolidated Capital 2006 Q1 and 2007 Q1- 0502 Final V4-wo_AIF VI  VII Summary Dec 2008 v3 12" xfId="4471" xr:uid="{00000000-0005-0000-0000-00006F110000}"/>
    <cellStyle name="_Partner Consolidated Capital 2006 Q1 and 2007 Q1- 0502 Final V4-wo_AIF VI  VII Summary Dec 2008 v3 13" xfId="4472" xr:uid="{00000000-0005-0000-0000-000070110000}"/>
    <cellStyle name="_Partner Consolidated Capital 2006 Q1 and 2007 Q1- 0502 Final V4-wo_AIF VI  VII Summary Dec 2008 v3 14" xfId="4473" xr:uid="{00000000-0005-0000-0000-000071110000}"/>
    <cellStyle name="_Partner Consolidated Capital 2006 Q1 and 2007 Q1- 0502 Final V4-wo_AIF VI  VII Summary Dec 2008 v3 15" xfId="4474" xr:uid="{00000000-0005-0000-0000-000072110000}"/>
    <cellStyle name="_Partner Consolidated Capital 2006 Q1 and 2007 Q1- 0502 Final V4-wo_AIF VI  VII Summary Dec 2008 v3 16" xfId="4475" xr:uid="{00000000-0005-0000-0000-000073110000}"/>
    <cellStyle name="_Partner Consolidated Capital 2006 Q1 and 2007 Q1- 0502 Final V4-wo_AIF VI  VII Summary Dec 2008 v3 17" xfId="4476" xr:uid="{00000000-0005-0000-0000-000074110000}"/>
    <cellStyle name="_Partner Consolidated Capital 2006 Q1 and 2007 Q1- 0502 Final V4-wo_AIF VI  VII Summary Dec 2008 v3 18" xfId="4477" xr:uid="{00000000-0005-0000-0000-000075110000}"/>
    <cellStyle name="_Partner Consolidated Capital 2006 Q1 and 2007 Q1- 0502 Final V4-wo_AIF VI  VII Summary Dec 2008 v3 19" xfId="4478" xr:uid="{00000000-0005-0000-0000-000076110000}"/>
    <cellStyle name="_Partner Consolidated Capital 2006 Q1 and 2007 Q1- 0502 Final V4-wo_AIF VI  VII Summary Dec 2008 v3 2" xfId="4479" xr:uid="{00000000-0005-0000-0000-000077110000}"/>
    <cellStyle name="_Partner Consolidated Capital 2006 Q1 and 2007 Q1- 0502 Final V4-wo_AIF VI  VII Summary Dec 2008 v3 2 2" xfId="4480" xr:uid="{00000000-0005-0000-0000-000078110000}"/>
    <cellStyle name="_Partner Consolidated Capital 2006 Q1 and 2007 Q1- 0502 Final V4-wo_AIF VI  VII Summary Dec 2008 v3 20" xfId="4481" xr:uid="{00000000-0005-0000-0000-000079110000}"/>
    <cellStyle name="_Partner Consolidated Capital 2006 Q1 and 2007 Q1- 0502 Final V4-wo_AIF VI  VII Summary Dec 2008 v3 21" xfId="4482" xr:uid="{00000000-0005-0000-0000-00007A110000}"/>
    <cellStyle name="_Partner Consolidated Capital 2006 Q1 and 2007 Q1- 0502 Final V4-wo_AIF VI  VII Summary Dec 2008 v3 22" xfId="4483" xr:uid="{00000000-0005-0000-0000-00007B110000}"/>
    <cellStyle name="_Partner Consolidated Capital 2006 Q1 and 2007 Q1- 0502 Final V4-wo_AIF VI  VII Summary Dec 2008 v3 23" xfId="4484" xr:uid="{00000000-0005-0000-0000-00007C110000}"/>
    <cellStyle name="_Partner Consolidated Capital 2006 Q1 and 2007 Q1- 0502 Final V4-wo_AIF VI  VII Summary Dec 2008 v3 3" xfId="4485" xr:uid="{00000000-0005-0000-0000-00007D110000}"/>
    <cellStyle name="_Partner Consolidated Capital 2006 Q1 and 2007 Q1- 0502 Final V4-wo_AIF VI  VII Summary Dec 2008 v3 3 2" xfId="4486" xr:uid="{00000000-0005-0000-0000-00007E110000}"/>
    <cellStyle name="_Partner Consolidated Capital 2006 Q1 and 2007 Q1- 0502 Final V4-wo_AIF VI  VII Summary Dec 2008 v3 4" xfId="4487" xr:uid="{00000000-0005-0000-0000-00007F110000}"/>
    <cellStyle name="_Partner Consolidated Capital 2006 Q1 and 2007 Q1- 0502 Final V4-wo_AIF VI  VII Summary Dec 2008 v3 5" xfId="4488" xr:uid="{00000000-0005-0000-0000-000080110000}"/>
    <cellStyle name="_Partner Consolidated Capital 2006 Q1 and 2007 Q1- 0502 Final V4-wo_AIF VI  VII Summary Dec 2008 v3 6" xfId="4489" xr:uid="{00000000-0005-0000-0000-000081110000}"/>
    <cellStyle name="_Partner Consolidated Capital 2006 Q1 and 2007 Q1- 0502 Final V4-wo_AIF VI  VII Summary Dec 2008 v3 7" xfId="4490" xr:uid="{00000000-0005-0000-0000-000082110000}"/>
    <cellStyle name="_Partner Consolidated Capital 2006 Q1 and 2007 Q1- 0502 Final V4-wo_AIF VI  VII Summary Dec 2008 v3 8" xfId="4491" xr:uid="{00000000-0005-0000-0000-000083110000}"/>
    <cellStyle name="_Partner Consolidated Capital 2006 Q1 and 2007 Q1- 0502 Final V4-wo_AIF VI  VII Summary Dec 2008 v3 9" xfId="4492" xr:uid="{00000000-0005-0000-0000-000084110000}"/>
    <cellStyle name="_Partner Consolidated Capital 2006 Q1 and 2007 Q1- 0502 Final V4-wo_AIF VI  VII Summary Dec 2008 v3_AIF VI - BondcoVI_Entities Invested Capital (CURRENT)" xfId="4493" xr:uid="{00000000-0005-0000-0000-000085110000}"/>
    <cellStyle name="_Partner Consolidated Capital 2006 Q1 and 2007 Q1- 0502 Final V4-wo_AIF VI  VII Summary Dec 2008 v3_IC Balance" xfId="4494" xr:uid="{00000000-0005-0000-0000-000086110000}"/>
    <cellStyle name="_Partner Consolidated Capital 2006 Q1 and 2007 Q1- 0502 Final V4-wo_AIF VI  VII Summary Dec 2008 v3_Invested Capital Debt Worksheet" xfId="4495" xr:uid="{00000000-0005-0000-0000-000087110000}"/>
    <cellStyle name="_Partner Consolidated Capital 2006 Q1 and 2007 Q1- 0502 Final V4-wo_AIF VI  VII Summary Dec 2008 v3_MMF Income" xfId="4496" xr:uid="{00000000-0005-0000-0000-000088110000}"/>
    <cellStyle name="_Partner Consolidated Capital 2006 Q1 and 2007 Q1- 0502 Final V4-wo_AIF VI  VII Summary Dec 2008 v3_Realized Gain Loss" xfId="4497" xr:uid="{00000000-0005-0000-0000-000089110000}"/>
    <cellStyle name="_Partner Consolidated Capital 2006 Q1 and 2007 Q1- 0502 Final V4-wo_AIF VI Broadleaf Watefall Summary as of 6-30-09 FINAL" xfId="4498" xr:uid="{00000000-0005-0000-0000-00008A110000}"/>
    <cellStyle name="_Partner Consolidated Capital 2006 Q1 and 2007 Q1- 0502 Final V4-wo_AIF VI Broadleaf Watefall Summary as of 9-30-09" xfId="4499" xr:uid="{00000000-0005-0000-0000-00008B110000}"/>
    <cellStyle name="_Partner Consolidated Capital 2006 Q1 and 2007 Q1- 0502 Final V4-wo_AIF VI CBA 3.20.08" xfId="4500" xr:uid="{00000000-0005-0000-0000-00008C110000}"/>
    <cellStyle name="_Partner Consolidated Capital 2006 Q1 and 2007 Q1- 0502 Final V4-wo_AIF VI CBA 3.20.08 2" xfId="4501" xr:uid="{00000000-0005-0000-0000-00008D110000}"/>
    <cellStyle name="_Partner Consolidated Capital 2006 Q1 and 2007 Q1- 0502 Final V4-wo_AIF VI CBA 3.20.08 3" xfId="4502" xr:uid="{00000000-0005-0000-0000-00008E110000}"/>
    <cellStyle name="_Partner Consolidated Capital 2006 Q1 and 2007 Q1- 0502 Final V4-wo_AIF VI CBA 3.20.08_AIF VI - BondcoVI_Entities Invested Capital (CURRENT)" xfId="4503" xr:uid="{00000000-0005-0000-0000-00008F110000}"/>
    <cellStyle name="_Partner Consolidated Capital 2006 Q1 and 2007 Q1- 0502 Final V4-wo_AIF VI CBA 3.20.08_IC Balance" xfId="4504" xr:uid="{00000000-0005-0000-0000-000090110000}"/>
    <cellStyle name="_Partner Consolidated Capital 2006 Q1 and 2007 Q1- 0502 Final V4-wo_AIF VI CBA 3.20.08_Invested Capital Debt Worksheet" xfId="4505" xr:uid="{00000000-0005-0000-0000-000091110000}"/>
    <cellStyle name="_Partner Consolidated Capital 2006 Q1 and 2007 Q1- 0502 Final V4-wo_AIF VI CBA 3.20.08_MMF Income" xfId="4506" xr:uid="{00000000-0005-0000-0000-000092110000}"/>
    <cellStyle name="_Partner Consolidated Capital 2006 Q1 and 2007 Q1- 0502 Final V4-wo_AIF VI CBA 3.20.08_Realized Gain Loss" xfId="4507" xr:uid="{00000000-0005-0000-0000-000093110000}"/>
    <cellStyle name="_Partner Consolidated Capital 2006 Q1 and 2007 Q1- 0502 Final V4-wo_AIF VII Capital Balance Analysis INCEPTION to 09-30-08 on 10-13-08 8am" xfId="4508" xr:uid="{00000000-0005-0000-0000-000094110000}"/>
    <cellStyle name="_Partner Consolidated Capital 2006 Q1 and 2007 Q1- 0502 Final V4-wo_AIF VII Capital Balance Analysis INCEPTION to 09-30-08 on 10-13-08 8am 2" xfId="4509" xr:uid="{00000000-0005-0000-0000-000095110000}"/>
    <cellStyle name="_Partner Consolidated Capital 2006 Q1 and 2007 Q1- 0502 Final V4-wo_AIF VII Capital Balance Analysis INCEPTION to 09-30-08 on 10-13-08 8am 2 2" xfId="4510" xr:uid="{00000000-0005-0000-0000-000096110000}"/>
    <cellStyle name="_Partner Consolidated Capital 2006 Q1 and 2007 Q1- 0502 Final V4-wo_AIF VII Capital Balance Analysis INCEPTION to 09-30-08 on 10-13-08 8am 3" xfId="4511" xr:uid="{00000000-0005-0000-0000-000097110000}"/>
    <cellStyle name="_Partner Consolidated Capital 2006 Q1 and 2007 Q1- 0502 Final V4-wo_AIF VII Capital Balance Analysis INCEPTION to 09-30-08 on 10-13-08 8am_AIF VI - BondcoVI_Entities Invested Capital (CURRENT)" xfId="4512" xr:uid="{00000000-0005-0000-0000-000098110000}"/>
    <cellStyle name="_Partner Consolidated Capital 2006 Q1 and 2007 Q1- 0502 Final V4-wo_AIF VII Capital Balance Analysis INCEPTION to 09-30-08 on 10-13-08 8am_IC Balance" xfId="4513" xr:uid="{00000000-0005-0000-0000-000099110000}"/>
    <cellStyle name="_Partner Consolidated Capital 2006 Q1 and 2007 Q1- 0502 Final V4-wo_AIF VII Capital Balance Analysis INCEPTION to 09-30-08 on 10-13-08 8am_Invested Capital Debt Worksheet" xfId="4514" xr:uid="{00000000-0005-0000-0000-00009A110000}"/>
    <cellStyle name="_Partner Consolidated Capital 2006 Q1 and 2007 Q1- 0502 Final V4-wo_AIF VII Capital Balance Analysis INCEPTION to 09-30-08 on 10-13-08 8am_MMF Income" xfId="4515" xr:uid="{00000000-0005-0000-0000-00009B110000}"/>
    <cellStyle name="_Partner Consolidated Capital 2006 Q1 and 2007 Q1- 0502 Final V4-wo_AIF VII Capital Balance Analysis INCEPTION to 09-30-08 on 10-13-08 8am_Realized Gain Loss" xfId="4516" xr:uid="{00000000-0005-0000-0000-00009C110000}"/>
    <cellStyle name="_Partner Consolidated Capital 2006 Q1 and 2007 Q1- 0502 Final V4-wo_Andy Affrick - Schedulev2" xfId="4517" xr:uid="{00000000-0005-0000-0000-00009D110000}"/>
    <cellStyle name="_Partner Consolidated Capital 2006 Q1 and 2007 Q1- 0502 Final V4-wo_Apollo Advisors IV 12-31-08 GAAP TB Final" xfId="4518" xr:uid="{00000000-0005-0000-0000-00009E110000}"/>
    <cellStyle name="_Partner Consolidated Capital 2006 Q1 and 2007 Q1- 0502 Final V4-wo_Apollo Advisors IV 12-31-08 TB (Revised for Aggr PR)" xfId="4519" xr:uid="{00000000-0005-0000-0000-00009F110000}"/>
    <cellStyle name="_Partner Consolidated Capital 2006 Q1 and 2007 Q1- 0502 Final V4-wo_Apollo Advisors IV 6-30-09 GAAP TB" xfId="4520" xr:uid="{00000000-0005-0000-0000-0000A0110000}"/>
    <cellStyle name="_Partner Consolidated Capital 2006 Q1 and 2007 Q1- 0502 Final V4-wo_Apollo Advisors V 09-30-08 CURRENT" xfId="4521" xr:uid="{00000000-0005-0000-0000-0000A1110000}"/>
    <cellStyle name="_Partner Consolidated Capital 2006 Q1 and 2007 Q1- 0502 Final V4-wo_Apollo Investment Fund IV  April Priority Return" xfId="4522" xr:uid="{00000000-0005-0000-0000-0000A2110000}"/>
    <cellStyle name="_Partner Consolidated Capital 2006 Q1 and 2007 Q1- 0502 Final V4-wo_Book4" xfId="4523" xr:uid="{00000000-0005-0000-0000-0000A3110000}"/>
    <cellStyle name="_Partner Consolidated Capital 2006 Q1 and 2007 Q1- 0502 Final V4-wo_Book4 10" xfId="4524" xr:uid="{00000000-0005-0000-0000-0000A4110000}"/>
    <cellStyle name="_Partner Consolidated Capital 2006 Q1 and 2007 Q1- 0502 Final V4-wo_Book4 11" xfId="4525" xr:uid="{00000000-0005-0000-0000-0000A5110000}"/>
    <cellStyle name="_Partner Consolidated Capital 2006 Q1 and 2007 Q1- 0502 Final V4-wo_Book4 12" xfId="4526" xr:uid="{00000000-0005-0000-0000-0000A6110000}"/>
    <cellStyle name="_Partner Consolidated Capital 2006 Q1 and 2007 Q1- 0502 Final V4-wo_Book4 13" xfId="4527" xr:uid="{00000000-0005-0000-0000-0000A7110000}"/>
    <cellStyle name="_Partner Consolidated Capital 2006 Q1 and 2007 Q1- 0502 Final V4-wo_Book4 14" xfId="4528" xr:uid="{00000000-0005-0000-0000-0000A8110000}"/>
    <cellStyle name="_Partner Consolidated Capital 2006 Q1 and 2007 Q1- 0502 Final V4-wo_Book4 15" xfId="4529" xr:uid="{00000000-0005-0000-0000-0000A9110000}"/>
    <cellStyle name="_Partner Consolidated Capital 2006 Q1 and 2007 Q1- 0502 Final V4-wo_Book4 16" xfId="4530" xr:uid="{00000000-0005-0000-0000-0000AA110000}"/>
    <cellStyle name="_Partner Consolidated Capital 2006 Q1 and 2007 Q1- 0502 Final V4-wo_Book4 17" xfId="4531" xr:uid="{00000000-0005-0000-0000-0000AB110000}"/>
    <cellStyle name="_Partner Consolidated Capital 2006 Q1 and 2007 Q1- 0502 Final V4-wo_Book4 18" xfId="4532" xr:uid="{00000000-0005-0000-0000-0000AC110000}"/>
    <cellStyle name="_Partner Consolidated Capital 2006 Q1 and 2007 Q1- 0502 Final V4-wo_Book4 19" xfId="4533" xr:uid="{00000000-0005-0000-0000-0000AD110000}"/>
    <cellStyle name="_Partner Consolidated Capital 2006 Q1 and 2007 Q1- 0502 Final V4-wo_Book4 2" xfId="4534" xr:uid="{00000000-0005-0000-0000-0000AE110000}"/>
    <cellStyle name="_Partner Consolidated Capital 2006 Q1 and 2007 Q1- 0502 Final V4-wo_Book4 2 2" xfId="4535" xr:uid="{00000000-0005-0000-0000-0000AF110000}"/>
    <cellStyle name="_Partner Consolidated Capital 2006 Q1 and 2007 Q1- 0502 Final V4-wo_Book4 20" xfId="4536" xr:uid="{00000000-0005-0000-0000-0000B0110000}"/>
    <cellStyle name="_Partner Consolidated Capital 2006 Q1 and 2007 Q1- 0502 Final V4-wo_Book4 21" xfId="4537" xr:uid="{00000000-0005-0000-0000-0000B1110000}"/>
    <cellStyle name="_Partner Consolidated Capital 2006 Q1 and 2007 Q1- 0502 Final V4-wo_Book4 22" xfId="4538" xr:uid="{00000000-0005-0000-0000-0000B2110000}"/>
    <cellStyle name="_Partner Consolidated Capital 2006 Q1 and 2007 Q1- 0502 Final V4-wo_Book4 23" xfId="4539" xr:uid="{00000000-0005-0000-0000-0000B3110000}"/>
    <cellStyle name="_Partner Consolidated Capital 2006 Q1 and 2007 Q1- 0502 Final V4-wo_Book4 23 2" xfId="4540" xr:uid="{00000000-0005-0000-0000-0000B4110000}"/>
    <cellStyle name="_Partner Consolidated Capital 2006 Q1 and 2007 Q1- 0502 Final V4-wo_Book4 3" xfId="4541" xr:uid="{00000000-0005-0000-0000-0000B5110000}"/>
    <cellStyle name="_Partner Consolidated Capital 2006 Q1 and 2007 Q1- 0502 Final V4-wo_Book4 3 2" xfId="4542" xr:uid="{00000000-0005-0000-0000-0000B6110000}"/>
    <cellStyle name="_Partner Consolidated Capital 2006 Q1 and 2007 Q1- 0502 Final V4-wo_Book4 4" xfId="4543" xr:uid="{00000000-0005-0000-0000-0000B7110000}"/>
    <cellStyle name="_Partner Consolidated Capital 2006 Q1 and 2007 Q1- 0502 Final V4-wo_Book4 5" xfId="4544" xr:uid="{00000000-0005-0000-0000-0000B8110000}"/>
    <cellStyle name="_Partner Consolidated Capital 2006 Q1 and 2007 Q1- 0502 Final V4-wo_Book4 6" xfId="4545" xr:uid="{00000000-0005-0000-0000-0000B9110000}"/>
    <cellStyle name="_Partner Consolidated Capital 2006 Q1 and 2007 Q1- 0502 Final V4-wo_Book4 7" xfId="4546" xr:uid="{00000000-0005-0000-0000-0000BA110000}"/>
    <cellStyle name="_Partner Consolidated Capital 2006 Q1 and 2007 Q1- 0502 Final V4-wo_Book4 8" xfId="4547" xr:uid="{00000000-0005-0000-0000-0000BB110000}"/>
    <cellStyle name="_Partner Consolidated Capital 2006 Q1 and 2007 Q1- 0502 Final V4-wo_Book4 9" xfId="4548" xr:uid="{00000000-0005-0000-0000-0000BC110000}"/>
    <cellStyle name="_Partner Consolidated Capital 2006 Q1 and 2007 Q1- 0502 Final V4-wo_Book4_2.10.10 LS Distribution" xfId="4549" xr:uid="{00000000-0005-0000-0000-0000BD110000}"/>
    <cellStyle name="_Partner Consolidated Capital 2006 Q1 and 2007 Q1- 0502 Final V4-wo_Book4_AIF VI - BondcoVI_Entities Invested Capital (CURRENT)" xfId="4550" xr:uid="{00000000-0005-0000-0000-0000BE110000}"/>
    <cellStyle name="_Partner Consolidated Capital 2006 Q1 and 2007 Q1- 0502 Final V4-wo_Book4_AIF VI Broadleaf Watefall Summary as of 6-30-09 FINAL" xfId="4551" xr:uid="{00000000-0005-0000-0000-0000BF110000}"/>
    <cellStyle name="_Partner Consolidated Capital 2006 Q1 and 2007 Q1- 0502 Final V4-wo_Book4_AIF VI Broadleaf Watefall Summary as of 9-30-09" xfId="4552" xr:uid="{00000000-0005-0000-0000-0000C0110000}"/>
    <cellStyle name="_Partner Consolidated Capital 2006 Q1 and 2007 Q1- 0502 Final V4-wo_Book4_Broadleaf Watefall 12-31-09" xfId="4553" xr:uid="{00000000-0005-0000-0000-0000C1110000}"/>
    <cellStyle name="_Partner Consolidated Capital 2006 Q1 and 2007 Q1- 0502 Final V4-wo_Book4_Broadleaf Watefall 6-30-09" xfId="4554" xr:uid="{00000000-0005-0000-0000-0000C2110000}"/>
    <cellStyle name="_Partner Consolidated Capital 2006 Q1 and 2007 Q1- 0502 Final V4-wo_Book4_Broadleaf Watefall 9-30-09" xfId="4555" xr:uid="{00000000-0005-0000-0000-0000C3110000}"/>
    <cellStyle name="_Partner Consolidated Capital 2006 Q1 and 2007 Q1- 0502 Final V4-wo_Book4_Copy of AGM Dec '09 YTD COF I and II Dep  Liab (1-13-10) (2)" xfId="4556" xr:uid="{00000000-0005-0000-0000-0000C4110000}"/>
    <cellStyle name="_Partner Consolidated Capital 2006 Q1 and 2007 Q1- 0502 Final V4-wo_Book4_IC Balance" xfId="4557" xr:uid="{00000000-0005-0000-0000-0000C5110000}"/>
    <cellStyle name="_Partner Consolidated Capital 2006 Q1 and 2007 Q1- 0502 Final V4-wo_Book4_Invested Capital Debt Worksheet" xfId="4558" xr:uid="{00000000-0005-0000-0000-0000C6110000}"/>
    <cellStyle name="_Partner Consolidated Capital 2006 Q1 and 2007 Q1- 0502 Final V4-wo_Book4_MMF Income" xfId="4559" xr:uid="{00000000-0005-0000-0000-0000C7110000}"/>
    <cellStyle name="_Partner Consolidated Capital 2006 Q1 and 2007 Q1- 0502 Final V4-wo_Book4_Realized Gain Loss" xfId="4560" xr:uid="{00000000-0005-0000-0000-0000C8110000}"/>
    <cellStyle name="_Partner Consolidated Capital 2006 Q1 and 2007 Q1- 0502 Final V4-wo_Book4_TX Details" xfId="4561" xr:uid="{00000000-0005-0000-0000-0000C9110000}"/>
    <cellStyle name="_Partner Consolidated Capital 2006 Q1 and 2007 Q1- 0502 Final V4-wo_Broadleaf Watefall 12-31-09" xfId="4562" xr:uid="{00000000-0005-0000-0000-0000CA110000}"/>
    <cellStyle name="_Partner Consolidated Capital 2006 Q1 and 2007 Q1- 0502 Final V4-wo_Broadleaf Watefall 6-30-09" xfId="4563" xr:uid="{00000000-0005-0000-0000-0000CB110000}"/>
    <cellStyle name="_Partner Consolidated Capital 2006 Q1 and 2007 Q1- 0502 Final V4-wo_Broadleaf Watefall 9-30-09" xfId="4564" xr:uid="{00000000-0005-0000-0000-0000CC110000}"/>
    <cellStyle name="_Partner Consolidated Capital 2006 Q1 and 2007 Q1- 0502 Final V4-wo_CALCS" xfId="4565" xr:uid="{00000000-0005-0000-0000-0000CD110000}"/>
    <cellStyle name="_Partner Consolidated Capital 2006 Q1 and 2007 Q1- 0502 Final V4-wo_CALCS 10" xfId="4566" xr:uid="{00000000-0005-0000-0000-0000CE110000}"/>
    <cellStyle name="_Partner Consolidated Capital 2006 Q1 and 2007 Q1- 0502 Final V4-wo_CALCS 11" xfId="4567" xr:uid="{00000000-0005-0000-0000-0000CF110000}"/>
    <cellStyle name="_Partner Consolidated Capital 2006 Q1 and 2007 Q1- 0502 Final V4-wo_CALCS 12" xfId="4568" xr:uid="{00000000-0005-0000-0000-0000D0110000}"/>
    <cellStyle name="_Partner Consolidated Capital 2006 Q1 and 2007 Q1- 0502 Final V4-wo_CALCS 13" xfId="4569" xr:uid="{00000000-0005-0000-0000-0000D1110000}"/>
    <cellStyle name="_Partner Consolidated Capital 2006 Q1 and 2007 Q1- 0502 Final V4-wo_CALCS 14" xfId="4570" xr:uid="{00000000-0005-0000-0000-0000D2110000}"/>
    <cellStyle name="_Partner Consolidated Capital 2006 Q1 and 2007 Q1- 0502 Final V4-wo_CALCS 15" xfId="4571" xr:uid="{00000000-0005-0000-0000-0000D3110000}"/>
    <cellStyle name="_Partner Consolidated Capital 2006 Q1 and 2007 Q1- 0502 Final V4-wo_CALCS 16" xfId="4572" xr:uid="{00000000-0005-0000-0000-0000D4110000}"/>
    <cellStyle name="_Partner Consolidated Capital 2006 Q1 and 2007 Q1- 0502 Final V4-wo_CALCS 17" xfId="4573" xr:uid="{00000000-0005-0000-0000-0000D5110000}"/>
    <cellStyle name="_Partner Consolidated Capital 2006 Q1 and 2007 Q1- 0502 Final V4-wo_CALCS 18" xfId="4574" xr:uid="{00000000-0005-0000-0000-0000D6110000}"/>
    <cellStyle name="_Partner Consolidated Capital 2006 Q1 and 2007 Q1- 0502 Final V4-wo_CALCS 19" xfId="4575" xr:uid="{00000000-0005-0000-0000-0000D7110000}"/>
    <cellStyle name="_Partner Consolidated Capital 2006 Q1 and 2007 Q1- 0502 Final V4-wo_CALCS 2" xfId="4576" xr:uid="{00000000-0005-0000-0000-0000D8110000}"/>
    <cellStyle name="_Partner Consolidated Capital 2006 Q1 and 2007 Q1- 0502 Final V4-wo_CALCS 2 2" xfId="4577" xr:uid="{00000000-0005-0000-0000-0000D9110000}"/>
    <cellStyle name="_Partner Consolidated Capital 2006 Q1 and 2007 Q1- 0502 Final V4-wo_CALCS 20" xfId="4578" xr:uid="{00000000-0005-0000-0000-0000DA110000}"/>
    <cellStyle name="_Partner Consolidated Capital 2006 Q1 and 2007 Q1- 0502 Final V4-wo_CALCS 21" xfId="4579" xr:uid="{00000000-0005-0000-0000-0000DB110000}"/>
    <cellStyle name="_Partner Consolidated Capital 2006 Q1 and 2007 Q1- 0502 Final V4-wo_CALCS 22" xfId="4580" xr:uid="{00000000-0005-0000-0000-0000DC110000}"/>
    <cellStyle name="_Partner Consolidated Capital 2006 Q1 and 2007 Q1- 0502 Final V4-wo_CALCS 23" xfId="4581" xr:uid="{00000000-0005-0000-0000-0000DD110000}"/>
    <cellStyle name="_Partner Consolidated Capital 2006 Q1 and 2007 Q1- 0502 Final V4-wo_CALCS 3" xfId="4582" xr:uid="{00000000-0005-0000-0000-0000DE110000}"/>
    <cellStyle name="_Partner Consolidated Capital 2006 Q1 and 2007 Q1- 0502 Final V4-wo_CALCS 3 2" xfId="4583" xr:uid="{00000000-0005-0000-0000-0000DF110000}"/>
    <cellStyle name="_Partner Consolidated Capital 2006 Q1 and 2007 Q1- 0502 Final V4-wo_CALCS 4" xfId="4584" xr:uid="{00000000-0005-0000-0000-0000E0110000}"/>
    <cellStyle name="_Partner Consolidated Capital 2006 Q1 and 2007 Q1- 0502 Final V4-wo_CALCS 5" xfId="4585" xr:uid="{00000000-0005-0000-0000-0000E1110000}"/>
    <cellStyle name="_Partner Consolidated Capital 2006 Q1 and 2007 Q1- 0502 Final V4-wo_CALCS 6" xfId="4586" xr:uid="{00000000-0005-0000-0000-0000E2110000}"/>
    <cellStyle name="_Partner Consolidated Capital 2006 Q1 and 2007 Q1- 0502 Final V4-wo_CALCS 7" xfId="4587" xr:uid="{00000000-0005-0000-0000-0000E3110000}"/>
    <cellStyle name="_Partner Consolidated Capital 2006 Q1 and 2007 Q1- 0502 Final V4-wo_CALCS 8" xfId="4588" xr:uid="{00000000-0005-0000-0000-0000E4110000}"/>
    <cellStyle name="_Partner Consolidated Capital 2006 Q1 and 2007 Q1- 0502 Final V4-wo_CALCS 9" xfId="4589" xr:uid="{00000000-0005-0000-0000-0000E5110000}"/>
    <cellStyle name="_Partner Consolidated Capital 2006 Q1 and 2007 Q1- 0502 Final V4-wo_CALCS_AIF VI - BondcoVI_Entities Invested Capital (CURRENT)" xfId="4590" xr:uid="{00000000-0005-0000-0000-0000E6110000}"/>
    <cellStyle name="_Partner Consolidated Capital 2006 Q1 and 2007 Q1- 0502 Final V4-wo_CALCS_AIF VI Broadleaf Watefall Summary as of 6-30-09 FINAL" xfId="4591" xr:uid="{00000000-0005-0000-0000-0000E7110000}"/>
    <cellStyle name="_Partner Consolidated Capital 2006 Q1 and 2007 Q1- 0502 Final V4-wo_CALCS_AIF VI Broadleaf Watefall Summary as of 9-30-09" xfId="4592" xr:uid="{00000000-0005-0000-0000-0000E8110000}"/>
    <cellStyle name="_Partner Consolidated Capital 2006 Q1 and 2007 Q1- 0502 Final V4-wo_CALCS_Broadleaf Watefall 12-31-09" xfId="4593" xr:uid="{00000000-0005-0000-0000-0000E9110000}"/>
    <cellStyle name="_Partner Consolidated Capital 2006 Q1 and 2007 Q1- 0502 Final V4-wo_CALCS_Broadleaf Watefall 6-30-09" xfId="4594" xr:uid="{00000000-0005-0000-0000-0000EA110000}"/>
    <cellStyle name="_Partner Consolidated Capital 2006 Q1 and 2007 Q1- 0502 Final V4-wo_CALCS_Broadleaf Watefall 9-30-09" xfId="4595" xr:uid="{00000000-0005-0000-0000-0000EB110000}"/>
    <cellStyle name="_Partner Consolidated Capital 2006 Q1 and 2007 Q1- 0502 Final V4-wo_CALCS_IC Balance" xfId="4596" xr:uid="{00000000-0005-0000-0000-0000EC110000}"/>
    <cellStyle name="_Partner Consolidated Capital 2006 Q1 and 2007 Q1- 0502 Final V4-wo_CALCS_Invested Capital Debt Worksheet" xfId="4597" xr:uid="{00000000-0005-0000-0000-0000ED110000}"/>
    <cellStyle name="_Partner Consolidated Capital 2006 Q1 and 2007 Q1- 0502 Final V4-wo_CALCS_MMF Income" xfId="4598" xr:uid="{00000000-0005-0000-0000-0000EE110000}"/>
    <cellStyle name="_Partner Consolidated Capital 2006 Q1 and 2007 Q1- 0502 Final V4-wo_CALCS_Realized Gain Loss" xfId="4599" xr:uid="{00000000-0005-0000-0000-0000EF110000}"/>
    <cellStyle name="_Partner Consolidated Capital 2006 Q1 and 2007 Q1- 0502 Final V4-wo_Carry Calculation" xfId="4600" xr:uid="{00000000-0005-0000-0000-0000F0110000}"/>
    <cellStyle name="_Partner Consolidated Capital 2006 Q1 and 2007 Q1- 0502 Final V4-wo_Co Inv D Valuation 12-31-08" xfId="4601" xr:uid="{00000000-0005-0000-0000-0000F1110000}"/>
    <cellStyle name="_Partner Consolidated Capital 2006 Q1 and 2007 Q1- 0502 Final V4-wo_Co Inv D Valuation 12-31-08 2" xfId="4602" xr:uid="{00000000-0005-0000-0000-0000F2110000}"/>
    <cellStyle name="_Partner Consolidated Capital 2006 Q1 and 2007 Q1- 0502 Final V4-wo_Copy of AGM Dec '09 YTD COF I and II Dep  Liab (1-13-10) (2)" xfId="4603" xr:uid="{00000000-0005-0000-0000-0000F3110000}"/>
    <cellStyle name="_Partner Consolidated Capital 2006 Q1 and 2007 Q1- 0502 Final V4-wo_Domestic FS 12-31-08 v3-20-09" xfId="4604" xr:uid="{00000000-0005-0000-0000-0000F4110000}"/>
    <cellStyle name="_Partner Consolidated Capital 2006 Q1 and 2007 Q1- 0502 Final V4-wo_Domestic FS 12-31-08 v3-20-09 2" xfId="4605" xr:uid="{00000000-0005-0000-0000-0000F5110000}"/>
    <cellStyle name="_Partner Consolidated Capital 2006 Q1 and 2007 Q1- 0502 Final V4-wo_Domestic FS 12-31-08 v3-20-09 3" xfId="4606" xr:uid="{00000000-0005-0000-0000-0000F6110000}"/>
    <cellStyle name="_Partner Consolidated Capital 2006 Q1 and 2007 Q1- 0502 Final V4-wo_Domestic FS 12-31-08 v3-20-09_AIF VI - BondcoVI_Entities Invested Capital (CURRENT)" xfId="4607" xr:uid="{00000000-0005-0000-0000-0000F7110000}"/>
    <cellStyle name="_Partner Consolidated Capital 2006 Q1 and 2007 Q1- 0502 Final V4-wo_Domestic FS 12-31-08 v3-20-09_IC Balance" xfId="4608" xr:uid="{00000000-0005-0000-0000-0000F8110000}"/>
    <cellStyle name="_Partner Consolidated Capital 2006 Q1 and 2007 Q1- 0502 Final V4-wo_Domestic FS 12-31-08 v3-20-09_Invested Capital Debt Worksheet" xfId="4609" xr:uid="{00000000-0005-0000-0000-0000F9110000}"/>
    <cellStyle name="_Partner Consolidated Capital 2006 Q1 and 2007 Q1- 0502 Final V4-wo_Domestic FS 12-31-08 v3-20-09_MMF Income" xfId="4610" xr:uid="{00000000-0005-0000-0000-0000FA110000}"/>
    <cellStyle name="_Partner Consolidated Capital 2006 Q1 and 2007 Q1- 0502 Final V4-wo_Domestic FS 12-31-08 v3-20-09_Realized Gain Loss" xfId="4611" xr:uid="{00000000-0005-0000-0000-0000FB110000}"/>
    <cellStyle name="_Partner Consolidated Capital 2006 Q1 and 2007 Q1- 0502 Final V4-wo_Domestic TB" xfId="4612" xr:uid="{00000000-0005-0000-0000-0000FC110000}"/>
    <cellStyle name="_Partner Consolidated Capital 2006 Q1 and 2007 Q1- 0502 Final V4-wo_Fund IV" xfId="4613" xr:uid="{00000000-0005-0000-0000-0000FD110000}"/>
    <cellStyle name="_Partner Consolidated Capital 2006 Q1 and 2007 Q1- 0502 Final V4-wo_Fund IV 9.30.08" xfId="4614" xr:uid="{00000000-0005-0000-0000-0000FE110000}"/>
    <cellStyle name="_Partner Consolidated Capital 2006 Q1 and 2007 Q1- 0502 Final V4-wo_Fund IV_1" xfId="4615" xr:uid="{00000000-0005-0000-0000-0000FF110000}"/>
    <cellStyle name="_Partner Consolidated Capital 2006 Q1 and 2007 Q1- 0502 Final V4-wo_Fund IV_2" xfId="4616" xr:uid="{00000000-0005-0000-0000-000000120000}"/>
    <cellStyle name="_Partner Consolidated Capital 2006 Q1 and 2007 Q1- 0502 Final V4-wo_Funds IV Clawback Adjustment Summary" xfId="4617" xr:uid="{00000000-0005-0000-0000-000001120000}"/>
    <cellStyle name="_Partner Consolidated Capital 2006 Q1 and 2007 Q1- 0502 Final V4-wo_Funds IV Clawback Value Adjustment" xfId="4618" xr:uid="{00000000-0005-0000-0000-000002120000}"/>
    <cellStyle name="_Partner Consolidated Capital 2006 Q1 and 2007 Q1- 0502 Final V4-wo_Hexicon Adj" xfId="4619" xr:uid="{00000000-0005-0000-0000-000003120000}"/>
    <cellStyle name="_Partner Consolidated Capital 2006 Q1 and 2007 Q1- 0502 Final V4-wo_IC Balance" xfId="4620" xr:uid="{00000000-0005-0000-0000-000004120000}"/>
    <cellStyle name="_Partner Consolidated Capital 2006 Q1 and 2007 Q1- 0502 Final V4-wo_Inv Cap Roll" xfId="4621" xr:uid="{00000000-0005-0000-0000-000005120000}"/>
    <cellStyle name="_Partner Consolidated Capital 2006 Q1 and 2007 Q1- 0502 Final V4-wo_Inv Cap Roll 2" xfId="4622" xr:uid="{00000000-0005-0000-0000-000006120000}"/>
    <cellStyle name="_Partner Consolidated Capital 2006 Q1 and 2007 Q1- 0502 Final V4-wo_Inv Cap Roll 2 2" xfId="4623" xr:uid="{00000000-0005-0000-0000-000007120000}"/>
    <cellStyle name="_Partner Consolidated Capital 2006 Q1 and 2007 Q1- 0502 Final V4-wo_Inv Cap Roll 3" xfId="4624" xr:uid="{00000000-0005-0000-0000-000008120000}"/>
    <cellStyle name="_Partner Consolidated Capital 2006 Q1 and 2007 Q1- 0502 Final V4-wo_Inv Cap Roll_AIF VI - BondcoVI_Entities Invested Capital (CURRENT)" xfId="4625" xr:uid="{00000000-0005-0000-0000-000009120000}"/>
    <cellStyle name="_Partner Consolidated Capital 2006 Q1 and 2007 Q1- 0502 Final V4-wo_Inv Cap Roll_IC Balance" xfId="4626" xr:uid="{00000000-0005-0000-0000-00000A120000}"/>
    <cellStyle name="_Partner Consolidated Capital 2006 Q1 and 2007 Q1- 0502 Final V4-wo_Inv Cap Roll_Invested Capital Debt Worksheet" xfId="4627" xr:uid="{00000000-0005-0000-0000-00000B120000}"/>
    <cellStyle name="_Partner Consolidated Capital 2006 Q1 and 2007 Q1- 0502 Final V4-wo_Inv Cap Roll_MMF Income" xfId="4628" xr:uid="{00000000-0005-0000-0000-00000C120000}"/>
    <cellStyle name="_Partner Consolidated Capital 2006 Q1 and 2007 Q1- 0502 Final V4-wo_Inv Cap Roll_Realized Gain Loss" xfId="4629" xr:uid="{00000000-0005-0000-0000-00000D120000}"/>
    <cellStyle name="_Partner Consolidated Capital 2006 Q1 and 2007 Q1- 0502 Final V4-wo_Invested Capital Debt Worksheet" xfId="4630" xr:uid="{00000000-0005-0000-0000-00000E120000}"/>
    <cellStyle name="_Partner Consolidated Capital 2006 Q1 and 2007 Q1- 0502 Final V4-wo_LS, LP - Dec  2010 Trial Balance Summary" xfId="4631" xr:uid="{00000000-0005-0000-0000-00000F120000}"/>
    <cellStyle name="_Partner Consolidated Capital 2006 Q1 and 2007 Q1- 0502 Final V4-wo_MMF Income" xfId="4632" xr:uid="{00000000-0005-0000-0000-000010120000}"/>
    <cellStyle name="_Partner Consolidated Capital 2006 Q1 and 2007 Q1- 0502 Final V4-wo_Partners Capital Q1 2009" xfId="4633" xr:uid="{00000000-0005-0000-0000-000011120000}"/>
    <cellStyle name="_Partner Consolidated Capital 2006 Q1 and 2007 Q1- 0502 Final V4-wo_Placement Fee Summary 05-14-09 - Current (2)" xfId="4634" xr:uid="{00000000-0005-0000-0000-000012120000}"/>
    <cellStyle name="_Partner Consolidated Capital 2006 Q1 and 2007 Q1- 0502 Final V4-wo_PR Calc" xfId="4635" xr:uid="{00000000-0005-0000-0000-000013120000}"/>
    <cellStyle name="_Partner Consolidated Capital 2006 Q1 and 2007 Q1- 0502 Final V4-wo_Priority Return" xfId="4636" xr:uid="{00000000-0005-0000-0000-000014120000}"/>
    <cellStyle name="_Partner Consolidated Capital 2006 Q1 and 2007 Q1- 0502 Final V4-wo_Priority Return 10" xfId="4637" xr:uid="{00000000-0005-0000-0000-000015120000}"/>
    <cellStyle name="_Partner Consolidated Capital 2006 Q1 and 2007 Q1- 0502 Final V4-wo_Priority Return 11" xfId="4638" xr:uid="{00000000-0005-0000-0000-000016120000}"/>
    <cellStyle name="_Partner Consolidated Capital 2006 Q1 and 2007 Q1- 0502 Final V4-wo_Priority Return 12" xfId="4639" xr:uid="{00000000-0005-0000-0000-000017120000}"/>
    <cellStyle name="_Partner Consolidated Capital 2006 Q1 and 2007 Q1- 0502 Final V4-wo_Priority Return 13" xfId="4640" xr:uid="{00000000-0005-0000-0000-000018120000}"/>
    <cellStyle name="_Partner Consolidated Capital 2006 Q1 and 2007 Q1- 0502 Final V4-wo_Priority Return 14" xfId="4641" xr:uid="{00000000-0005-0000-0000-000019120000}"/>
    <cellStyle name="_Partner Consolidated Capital 2006 Q1 and 2007 Q1- 0502 Final V4-wo_Priority Return 15" xfId="4642" xr:uid="{00000000-0005-0000-0000-00001A120000}"/>
    <cellStyle name="_Partner Consolidated Capital 2006 Q1 and 2007 Q1- 0502 Final V4-wo_Priority Return 16" xfId="4643" xr:uid="{00000000-0005-0000-0000-00001B120000}"/>
    <cellStyle name="_Partner Consolidated Capital 2006 Q1 and 2007 Q1- 0502 Final V4-wo_Priority Return 17" xfId="4644" xr:uid="{00000000-0005-0000-0000-00001C120000}"/>
    <cellStyle name="_Partner Consolidated Capital 2006 Q1 and 2007 Q1- 0502 Final V4-wo_Priority Return 18" xfId="4645" xr:uid="{00000000-0005-0000-0000-00001D120000}"/>
    <cellStyle name="_Partner Consolidated Capital 2006 Q1 and 2007 Q1- 0502 Final V4-wo_Priority Return 19" xfId="4646" xr:uid="{00000000-0005-0000-0000-00001E120000}"/>
    <cellStyle name="_Partner Consolidated Capital 2006 Q1 and 2007 Q1- 0502 Final V4-wo_Priority Return 2" xfId="4647" xr:uid="{00000000-0005-0000-0000-00001F120000}"/>
    <cellStyle name="_Partner Consolidated Capital 2006 Q1 and 2007 Q1- 0502 Final V4-wo_Priority Return 2 2" xfId="4648" xr:uid="{00000000-0005-0000-0000-000020120000}"/>
    <cellStyle name="_Partner Consolidated Capital 2006 Q1 and 2007 Q1- 0502 Final V4-wo_Priority Return 20" xfId="4649" xr:uid="{00000000-0005-0000-0000-000021120000}"/>
    <cellStyle name="_Partner Consolidated Capital 2006 Q1 and 2007 Q1- 0502 Final V4-wo_Priority Return 21" xfId="4650" xr:uid="{00000000-0005-0000-0000-000022120000}"/>
    <cellStyle name="_Partner Consolidated Capital 2006 Q1 and 2007 Q1- 0502 Final V4-wo_Priority Return 22" xfId="4651" xr:uid="{00000000-0005-0000-0000-000023120000}"/>
    <cellStyle name="_Partner Consolidated Capital 2006 Q1 and 2007 Q1- 0502 Final V4-wo_Priority Return 23" xfId="4652" xr:uid="{00000000-0005-0000-0000-000024120000}"/>
    <cellStyle name="_Partner Consolidated Capital 2006 Q1 and 2007 Q1- 0502 Final V4-wo_Priority Return 3" xfId="4653" xr:uid="{00000000-0005-0000-0000-000025120000}"/>
    <cellStyle name="_Partner Consolidated Capital 2006 Q1 and 2007 Q1- 0502 Final V4-wo_Priority Return 3 2" xfId="4654" xr:uid="{00000000-0005-0000-0000-000026120000}"/>
    <cellStyle name="_Partner Consolidated Capital 2006 Q1 and 2007 Q1- 0502 Final V4-wo_Priority Return 4" xfId="4655" xr:uid="{00000000-0005-0000-0000-000027120000}"/>
    <cellStyle name="_Partner Consolidated Capital 2006 Q1 and 2007 Q1- 0502 Final V4-wo_Priority Return 5" xfId="4656" xr:uid="{00000000-0005-0000-0000-000028120000}"/>
    <cellStyle name="_Partner Consolidated Capital 2006 Q1 and 2007 Q1- 0502 Final V4-wo_Priority Return 6" xfId="4657" xr:uid="{00000000-0005-0000-0000-000029120000}"/>
    <cellStyle name="_Partner Consolidated Capital 2006 Q1 and 2007 Q1- 0502 Final V4-wo_Priority Return 7" xfId="4658" xr:uid="{00000000-0005-0000-0000-00002A120000}"/>
    <cellStyle name="_Partner Consolidated Capital 2006 Q1 and 2007 Q1- 0502 Final V4-wo_Priority Return 8" xfId="4659" xr:uid="{00000000-0005-0000-0000-00002B120000}"/>
    <cellStyle name="_Partner Consolidated Capital 2006 Q1 and 2007 Q1- 0502 Final V4-wo_Priority Return 9" xfId="4660" xr:uid="{00000000-0005-0000-0000-00002C120000}"/>
    <cellStyle name="_Partner Consolidated Capital 2006 Q1 and 2007 Q1- 0502 Final V4-wo_Priority Return_AIF VI - BondcoVI_Entities Invested Capital (CURRENT)" xfId="4661" xr:uid="{00000000-0005-0000-0000-00002D120000}"/>
    <cellStyle name="_Partner Consolidated Capital 2006 Q1 and 2007 Q1- 0502 Final V4-wo_Priority Return_AIF VI Broadleaf Watefall Summary as of 6-30-09 FINAL" xfId="4662" xr:uid="{00000000-0005-0000-0000-00002E120000}"/>
    <cellStyle name="_Partner Consolidated Capital 2006 Q1 and 2007 Q1- 0502 Final V4-wo_Priority Return_AIF VI Broadleaf Watefall Summary as of 9-30-09" xfId="4663" xr:uid="{00000000-0005-0000-0000-00002F120000}"/>
    <cellStyle name="_Partner Consolidated Capital 2006 Q1 and 2007 Q1- 0502 Final V4-wo_Priority Return_Broadleaf Watefall 12-31-09" xfId="4664" xr:uid="{00000000-0005-0000-0000-000030120000}"/>
    <cellStyle name="_Partner Consolidated Capital 2006 Q1 and 2007 Q1- 0502 Final V4-wo_Priority Return_Broadleaf Watefall 6-30-09" xfId="4665" xr:uid="{00000000-0005-0000-0000-000031120000}"/>
    <cellStyle name="_Partner Consolidated Capital 2006 Q1 and 2007 Q1- 0502 Final V4-wo_Priority Return_Broadleaf Watefall 9-30-09" xfId="4666" xr:uid="{00000000-0005-0000-0000-000032120000}"/>
    <cellStyle name="_Partner Consolidated Capital 2006 Q1 and 2007 Q1- 0502 Final V4-wo_Priority Return_IC Balance" xfId="4667" xr:uid="{00000000-0005-0000-0000-000033120000}"/>
    <cellStyle name="_Partner Consolidated Capital 2006 Q1 and 2007 Q1- 0502 Final V4-wo_Priority Return_Invested Capital Debt Worksheet" xfId="4668" xr:uid="{00000000-0005-0000-0000-000034120000}"/>
    <cellStyle name="_Partner Consolidated Capital 2006 Q1 and 2007 Q1- 0502 Final V4-wo_Priority Return_MMF Income" xfId="4669" xr:uid="{00000000-0005-0000-0000-000035120000}"/>
    <cellStyle name="_Partner Consolidated Capital 2006 Q1 and 2007 Q1- 0502 Final V4-wo_Priority Return_Realized Gain Loss" xfId="4670" xr:uid="{00000000-0005-0000-0000-000036120000}"/>
    <cellStyle name="_Partner Consolidated Capital 2006 Q1 and 2007 Q1- 0502 Final V4-wo_Q1 2011 Pmts" xfId="4671" xr:uid="{00000000-0005-0000-0000-000037120000}"/>
    <cellStyle name="_Partner Consolidated Capital 2006 Q1 and 2007 Q1- 0502 Final V4-wo_Realized Gain Loss" xfId="4672" xr:uid="{00000000-0005-0000-0000-000038120000}"/>
    <cellStyle name="_Partner Consolidated Capital 2006 Q1 and 2007 Q1- 0502 Final V4-wo_Revenue breakout" xfId="4673" xr:uid="{00000000-0005-0000-0000-000039120000}"/>
    <cellStyle name="_Partner Consolidated Capital 2006 Q1 and 2007 Q1- 0502 Final V4-wo_Revenue breakout 10" xfId="4674" xr:uid="{00000000-0005-0000-0000-00003A120000}"/>
    <cellStyle name="_Partner Consolidated Capital 2006 Q1 and 2007 Q1- 0502 Final V4-wo_Revenue breakout 11" xfId="4675" xr:uid="{00000000-0005-0000-0000-00003B120000}"/>
    <cellStyle name="_Partner Consolidated Capital 2006 Q1 and 2007 Q1- 0502 Final V4-wo_Revenue breakout 12" xfId="4676" xr:uid="{00000000-0005-0000-0000-00003C120000}"/>
    <cellStyle name="_Partner Consolidated Capital 2006 Q1 and 2007 Q1- 0502 Final V4-wo_Revenue breakout 13" xfId="4677" xr:uid="{00000000-0005-0000-0000-00003D120000}"/>
    <cellStyle name="_Partner Consolidated Capital 2006 Q1 and 2007 Q1- 0502 Final V4-wo_Revenue breakout 14" xfId="4678" xr:uid="{00000000-0005-0000-0000-00003E120000}"/>
    <cellStyle name="_Partner Consolidated Capital 2006 Q1 and 2007 Q1- 0502 Final V4-wo_Revenue breakout 15" xfId="4679" xr:uid="{00000000-0005-0000-0000-00003F120000}"/>
    <cellStyle name="_Partner Consolidated Capital 2006 Q1 and 2007 Q1- 0502 Final V4-wo_Revenue breakout 16" xfId="4680" xr:uid="{00000000-0005-0000-0000-000040120000}"/>
    <cellStyle name="_Partner Consolidated Capital 2006 Q1 and 2007 Q1- 0502 Final V4-wo_Revenue breakout 17" xfId="4681" xr:uid="{00000000-0005-0000-0000-000041120000}"/>
    <cellStyle name="_Partner Consolidated Capital 2006 Q1 and 2007 Q1- 0502 Final V4-wo_Revenue breakout 18" xfId="4682" xr:uid="{00000000-0005-0000-0000-000042120000}"/>
    <cellStyle name="_Partner Consolidated Capital 2006 Q1 and 2007 Q1- 0502 Final V4-wo_Revenue breakout 19" xfId="4683" xr:uid="{00000000-0005-0000-0000-000043120000}"/>
    <cellStyle name="_Partner Consolidated Capital 2006 Q1 and 2007 Q1- 0502 Final V4-wo_Revenue breakout 2" xfId="4684" xr:uid="{00000000-0005-0000-0000-000044120000}"/>
    <cellStyle name="_Partner Consolidated Capital 2006 Q1 and 2007 Q1- 0502 Final V4-wo_Revenue breakout 2 2" xfId="4685" xr:uid="{00000000-0005-0000-0000-000045120000}"/>
    <cellStyle name="_Partner Consolidated Capital 2006 Q1 and 2007 Q1- 0502 Final V4-wo_Revenue breakout 20" xfId="4686" xr:uid="{00000000-0005-0000-0000-000046120000}"/>
    <cellStyle name="_Partner Consolidated Capital 2006 Q1 and 2007 Q1- 0502 Final V4-wo_Revenue breakout 21" xfId="4687" xr:uid="{00000000-0005-0000-0000-000047120000}"/>
    <cellStyle name="_Partner Consolidated Capital 2006 Q1 and 2007 Q1- 0502 Final V4-wo_Revenue breakout 22" xfId="4688" xr:uid="{00000000-0005-0000-0000-000048120000}"/>
    <cellStyle name="_Partner Consolidated Capital 2006 Q1 and 2007 Q1- 0502 Final V4-wo_Revenue breakout 23" xfId="4689" xr:uid="{00000000-0005-0000-0000-000049120000}"/>
    <cellStyle name="_Partner Consolidated Capital 2006 Q1 and 2007 Q1- 0502 Final V4-wo_Revenue breakout 23 2" xfId="4690" xr:uid="{00000000-0005-0000-0000-00004A120000}"/>
    <cellStyle name="_Partner Consolidated Capital 2006 Q1 and 2007 Q1- 0502 Final V4-wo_Revenue breakout 3" xfId="4691" xr:uid="{00000000-0005-0000-0000-00004B120000}"/>
    <cellStyle name="_Partner Consolidated Capital 2006 Q1 and 2007 Q1- 0502 Final V4-wo_Revenue breakout 3 2" xfId="4692" xr:uid="{00000000-0005-0000-0000-00004C120000}"/>
    <cellStyle name="_Partner Consolidated Capital 2006 Q1 and 2007 Q1- 0502 Final V4-wo_Revenue breakout 4" xfId="4693" xr:uid="{00000000-0005-0000-0000-00004D120000}"/>
    <cellStyle name="_Partner Consolidated Capital 2006 Q1 and 2007 Q1- 0502 Final V4-wo_Revenue breakout 5" xfId="4694" xr:uid="{00000000-0005-0000-0000-00004E120000}"/>
    <cellStyle name="_Partner Consolidated Capital 2006 Q1 and 2007 Q1- 0502 Final V4-wo_Revenue breakout 6" xfId="4695" xr:uid="{00000000-0005-0000-0000-00004F120000}"/>
    <cellStyle name="_Partner Consolidated Capital 2006 Q1 and 2007 Q1- 0502 Final V4-wo_Revenue breakout 7" xfId="4696" xr:uid="{00000000-0005-0000-0000-000050120000}"/>
    <cellStyle name="_Partner Consolidated Capital 2006 Q1 and 2007 Q1- 0502 Final V4-wo_Revenue breakout 8" xfId="4697" xr:uid="{00000000-0005-0000-0000-000051120000}"/>
    <cellStyle name="_Partner Consolidated Capital 2006 Q1 and 2007 Q1- 0502 Final V4-wo_Revenue breakout 9" xfId="4698" xr:uid="{00000000-0005-0000-0000-000052120000}"/>
    <cellStyle name="_Partner Consolidated Capital 2006 Q1 and 2007 Q1- 0502 Final V4-wo_Revenue breakout_2.10.10 LS Distribution" xfId="4699" xr:uid="{00000000-0005-0000-0000-000053120000}"/>
    <cellStyle name="_Partner Consolidated Capital 2006 Q1 and 2007 Q1- 0502 Final V4-wo_Revenue breakout_2007 Revenue - RE fees" xfId="4700" xr:uid="{00000000-0005-0000-0000-000054120000}"/>
    <cellStyle name="_Partner Consolidated Capital 2006 Q1 and 2007 Q1- 0502 Final V4-wo_Revenue breakout_2007 Revenue - RE fees 10" xfId="4701" xr:uid="{00000000-0005-0000-0000-000055120000}"/>
    <cellStyle name="_Partner Consolidated Capital 2006 Q1 and 2007 Q1- 0502 Final V4-wo_Revenue breakout_2007 Revenue - RE fees 11" xfId="4702" xr:uid="{00000000-0005-0000-0000-000056120000}"/>
    <cellStyle name="_Partner Consolidated Capital 2006 Q1 and 2007 Q1- 0502 Final V4-wo_Revenue breakout_2007 Revenue - RE fees 12" xfId="4703" xr:uid="{00000000-0005-0000-0000-000057120000}"/>
    <cellStyle name="_Partner Consolidated Capital 2006 Q1 and 2007 Q1- 0502 Final V4-wo_Revenue breakout_2007 Revenue - RE fees 13" xfId="4704" xr:uid="{00000000-0005-0000-0000-000058120000}"/>
    <cellStyle name="_Partner Consolidated Capital 2006 Q1 and 2007 Q1- 0502 Final V4-wo_Revenue breakout_2007 Revenue - RE fees 14" xfId="4705" xr:uid="{00000000-0005-0000-0000-000059120000}"/>
    <cellStyle name="_Partner Consolidated Capital 2006 Q1 and 2007 Q1- 0502 Final V4-wo_Revenue breakout_2007 Revenue - RE fees 15" xfId="4706" xr:uid="{00000000-0005-0000-0000-00005A120000}"/>
    <cellStyle name="_Partner Consolidated Capital 2006 Q1 and 2007 Q1- 0502 Final V4-wo_Revenue breakout_2007 Revenue - RE fees 16" xfId="4707" xr:uid="{00000000-0005-0000-0000-00005B120000}"/>
    <cellStyle name="_Partner Consolidated Capital 2006 Q1 and 2007 Q1- 0502 Final V4-wo_Revenue breakout_2007 Revenue - RE fees 17" xfId="4708" xr:uid="{00000000-0005-0000-0000-00005C120000}"/>
    <cellStyle name="_Partner Consolidated Capital 2006 Q1 and 2007 Q1- 0502 Final V4-wo_Revenue breakout_2007 Revenue - RE fees 18" xfId="4709" xr:uid="{00000000-0005-0000-0000-00005D120000}"/>
    <cellStyle name="_Partner Consolidated Capital 2006 Q1 and 2007 Q1- 0502 Final V4-wo_Revenue breakout_2007 Revenue - RE fees 19" xfId="4710" xr:uid="{00000000-0005-0000-0000-00005E120000}"/>
    <cellStyle name="_Partner Consolidated Capital 2006 Q1 and 2007 Q1- 0502 Final V4-wo_Revenue breakout_2007 Revenue - RE fees 2" xfId="4711" xr:uid="{00000000-0005-0000-0000-00005F120000}"/>
    <cellStyle name="_Partner Consolidated Capital 2006 Q1 and 2007 Q1- 0502 Final V4-wo_Revenue breakout_2007 Revenue - RE fees 2 2" xfId="4712" xr:uid="{00000000-0005-0000-0000-000060120000}"/>
    <cellStyle name="_Partner Consolidated Capital 2006 Q1 and 2007 Q1- 0502 Final V4-wo_Revenue breakout_2007 Revenue - RE fees 20" xfId="4713" xr:uid="{00000000-0005-0000-0000-000061120000}"/>
    <cellStyle name="_Partner Consolidated Capital 2006 Q1 and 2007 Q1- 0502 Final V4-wo_Revenue breakout_2007 Revenue - RE fees 21" xfId="4714" xr:uid="{00000000-0005-0000-0000-000062120000}"/>
    <cellStyle name="_Partner Consolidated Capital 2006 Q1 and 2007 Q1- 0502 Final V4-wo_Revenue breakout_2007 Revenue - RE fees 22" xfId="4715" xr:uid="{00000000-0005-0000-0000-000063120000}"/>
    <cellStyle name="_Partner Consolidated Capital 2006 Q1 and 2007 Q1- 0502 Final V4-wo_Revenue breakout_2007 Revenue - RE fees 23" xfId="4716" xr:uid="{00000000-0005-0000-0000-000064120000}"/>
    <cellStyle name="_Partner Consolidated Capital 2006 Q1 and 2007 Q1- 0502 Final V4-wo_Revenue breakout_2007 Revenue - RE fees 23 2" xfId="4717" xr:uid="{00000000-0005-0000-0000-000065120000}"/>
    <cellStyle name="_Partner Consolidated Capital 2006 Q1 and 2007 Q1- 0502 Final V4-wo_Revenue breakout_2007 Revenue - RE fees 3" xfId="4718" xr:uid="{00000000-0005-0000-0000-000066120000}"/>
    <cellStyle name="_Partner Consolidated Capital 2006 Q1 and 2007 Q1- 0502 Final V4-wo_Revenue breakout_2007 Revenue - RE fees 3 2" xfId="4719" xr:uid="{00000000-0005-0000-0000-000067120000}"/>
    <cellStyle name="_Partner Consolidated Capital 2006 Q1 and 2007 Q1- 0502 Final V4-wo_Revenue breakout_2007 Revenue - RE fees 4" xfId="4720" xr:uid="{00000000-0005-0000-0000-000068120000}"/>
    <cellStyle name="_Partner Consolidated Capital 2006 Q1 and 2007 Q1- 0502 Final V4-wo_Revenue breakout_2007 Revenue - RE fees 5" xfId="4721" xr:uid="{00000000-0005-0000-0000-000069120000}"/>
    <cellStyle name="_Partner Consolidated Capital 2006 Q1 and 2007 Q1- 0502 Final V4-wo_Revenue breakout_2007 Revenue - RE fees 6" xfId="4722" xr:uid="{00000000-0005-0000-0000-00006A120000}"/>
    <cellStyle name="_Partner Consolidated Capital 2006 Q1 and 2007 Q1- 0502 Final V4-wo_Revenue breakout_2007 Revenue - RE fees 7" xfId="4723" xr:uid="{00000000-0005-0000-0000-00006B120000}"/>
    <cellStyle name="_Partner Consolidated Capital 2006 Q1 and 2007 Q1- 0502 Final V4-wo_Revenue breakout_2007 Revenue - RE fees 8" xfId="4724" xr:uid="{00000000-0005-0000-0000-00006C120000}"/>
    <cellStyle name="_Partner Consolidated Capital 2006 Q1 and 2007 Q1- 0502 Final V4-wo_Revenue breakout_2007 Revenue - RE fees 9" xfId="4725" xr:uid="{00000000-0005-0000-0000-00006D120000}"/>
    <cellStyle name="_Partner Consolidated Capital 2006 Q1 and 2007 Q1- 0502 Final V4-wo_Revenue breakout_2007 Revenue - RE fees_2011 Q1 Monitoring Fees v3" xfId="4726" xr:uid="{00000000-0005-0000-0000-00006E120000}"/>
    <cellStyle name="_Partner Consolidated Capital 2006 Q1 and 2007 Q1- 0502 Final V4-wo_Revenue breakout_2007 Revenue - RE fees_AIF VI - BondcoVI_Entities Invested Capital (CURRENT)" xfId="4727" xr:uid="{00000000-0005-0000-0000-00006F120000}"/>
    <cellStyle name="_Partner Consolidated Capital 2006 Q1 and 2007 Q1- 0502 Final V4-wo_Revenue breakout_2007 Revenue - RE fees_AIF VI Broadleaf Watefall Summary as of 6-30-09 FINAL" xfId="4728" xr:uid="{00000000-0005-0000-0000-000070120000}"/>
    <cellStyle name="_Partner Consolidated Capital 2006 Q1 and 2007 Q1- 0502 Final V4-wo_Revenue breakout_2007 Revenue - RE fees_AIF VI Broadleaf Watefall Summary as of 9-30-09" xfId="4729" xr:uid="{00000000-0005-0000-0000-000071120000}"/>
    <cellStyle name="_Partner Consolidated Capital 2006 Q1 and 2007 Q1- 0502 Final V4-wo_Revenue breakout_2007 Revenue - RE fees_Broadleaf Watefall 12-31-09" xfId="4730" xr:uid="{00000000-0005-0000-0000-000072120000}"/>
    <cellStyle name="_Partner Consolidated Capital 2006 Q1 and 2007 Q1- 0502 Final V4-wo_Revenue breakout_2007 Revenue - RE fees_Broadleaf Watefall 6-30-09" xfId="4731" xr:uid="{00000000-0005-0000-0000-000073120000}"/>
    <cellStyle name="_Partner Consolidated Capital 2006 Q1 and 2007 Q1- 0502 Final V4-wo_Revenue breakout_2007 Revenue - RE fees_Broadleaf Watefall 9-30-09" xfId="4732" xr:uid="{00000000-0005-0000-0000-000074120000}"/>
    <cellStyle name="_Partner Consolidated Capital 2006 Q1 and 2007 Q1- 0502 Final V4-wo_Revenue breakout_2007 Revenue - RE fees_Copy of AGM Dec '09 YTD COF I and II Dep  Liab (1-13-10) (2)" xfId="4733" xr:uid="{00000000-0005-0000-0000-000075120000}"/>
    <cellStyle name="_Partner Consolidated Capital 2006 Q1 and 2007 Q1- 0502 Final V4-wo_Revenue breakout_2007 Revenue - RE fees_IC Balance" xfId="4734" xr:uid="{00000000-0005-0000-0000-000076120000}"/>
    <cellStyle name="_Partner Consolidated Capital 2006 Q1 and 2007 Q1- 0502 Final V4-wo_Revenue breakout_2007 Revenue - RE fees_Invested Capital Debt Worksheet" xfId="4735" xr:uid="{00000000-0005-0000-0000-000077120000}"/>
    <cellStyle name="_Partner Consolidated Capital 2006 Q1 and 2007 Q1- 0502 Final V4-wo_Revenue breakout_2007 Revenue - RE fees_MMF Income" xfId="4736" xr:uid="{00000000-0005-0000-0000-000078120000}"/>
    <cellStyle name="_Partner Consolidated Capital 2006 Q1 and 2007 Q1- 0502 Final V4-wo_Revenue breakout_2007 Revenue - RE fees_Placement Fee Summary 05-14-09 - Current (2)" xfId="4737" xr:uid="{00000000-0005-0000-0000-000079120000}"/>
    <cellStyle name="_Partner Consolidated Capital 2006 Q1 and 2007 Q1- 0502 Final V4-wo_Revenue breakout_2007 Revenue - RE fees_Realized Gain Loss" xfId="4738" xr:uid="{00000000-0005-0000-0000-00007A120000}"/>
    <cellStyle name="_Partner Consolidated Capital 2006 Q1 and 2007 Q1- 0502 Final V4-wo_Revenue breakout_2011 Q1 Monitoring Fees v3" xfId="4739" xr:uid="{00000000-0005-0000-0000-00007B120000}"/>
    <cellStyle name="_Partner Consolidated Capital 2006 Q1 and 2007 Q1- 0502 Final V4-wo_Revenue breakout_AIF VI - BondcoVI_Entities Invested Capital (CURRENT)" xfId="4740" xr:uid="{00000000-0005-0000-0000-00007C120000}"/>
    <cellStyle name="_Partner Consolidated Capital 2006 Q1 and 2007 Q1- 0502 Final V4-wo_Revenue breakout_AIF VI Broadleaf Watefall Summary as of 6-30-09 FINAL" xfId="4741" xr:uid="{00000000-0005-0000-0000-00007D120000}"/>
    <cellStyle name="_Partner Consolidated Capital 2006 Q1 and 2007 Q1- 0502 Final V4-wo_Revenue breakout_AIF VI Broadleaf Watefall Summary as of 9-30-09" xfId="4742" xr:uid="{00000000-0005-0000-0000-00007E120000}"/>
    <cellStyle name="_Partner Consolidated Capital 2006 Q1 and 2007 Q1- 0502 Final V4-wo_Revenue breakout_Broadleaf Watefall 12-31-09" xfId="4743" xr:uid="{00000000-0005-0000-0000-00007F120000}"/>
    <cellStyle name="_Partner Consolidated Capital 2006 Q1 and 2007 Q1- 0502 Final V4-wo_Revenue breakout_Broadleaf Watefall 6-30-09" xfId="4744" xr:uid="{00000000-0005-0000-0000-000080120000}"/>
    <cellStyle name="_Partner Consolidated Capital 2006 Q1 and 2007 Q1- 0502 Final V4-wo_Revenue breakout_Broadleaf Watefall 9-30-09" xfId="4745" xr:uid="{00000000-0005-0000-0000-000081120000}"/>
    <cellStyle name="_Partner Consolidated Capital 2006 Q1 and 2007 Q1- 0502 Final V4-wo_Revenue breakout_Copy of AGM Dec '09 YTD COF I and II Dep  Liab (1-13-10) (2)" xfId="4746" xr:uid="{00000000-0005-0000-0000-000082120000}"/>
    <cellStyle name="_Partner Consolidated Capital 2006 Q1 and 2007 Q1- 0502 Final V4-wo_Revenue breakout_IC Balance" xfId="4747" xr:uid="{00000000-0005-0000-0000-000083120000}"/>
    <cellStyle name="_Partner Consolidated Capital 2006 Q1 and 2007 Q1- 0502 Final V4-wo_Revenue breakout_Invested Capital Debt Worksheet" xfId="4748" xr:uid="{00000000-0005-0000-0000-000084120000}"/>
    <cellStyle name="_Partner Consolidated Capital 2006 Q1 and 2007 Q1- 0502 Final V4-wo_Revenue breakout_LS, LP - Dec  2010 Trial Balance Summary" xfId="4749" xr:uid="{00000000-0005-0000-0000-000085120000}"/>
    <cellStyle name="_Partner Consolidated Capital 2006 Q1 and 2007 Q1- 0502 Final V4-wo_Revenue breakout_MMF Income" xfId="4750" xr:uid="{00000000-0005-0000-0000-000086120000}"/>
    <cellStyle name="_Partner Consolidated Capital 2006 Q1 and 2007 Q1- 0502 Final V4-wo_Revenue breakout_Placement Fee Summary 05-14-09 - Current (2)" xfId="4751" xr:uid="{00000000-0005-0000-0000-000087120000}"/>
    <cellStyle name="_Partner Consolidated Capital 2006 Q1 and 2007 Q1- 0502 Final V4-wo_Revenue breakout_Q1 2011 Pmts" xfId="4752" xr:uid="{00000000-0005-0000-0000-000088120000}"/>
    <cellStyle name="_Partner Consolidated Capital 2006 Q1 and 2007 Q1- 0502 Final V4-wo_Revenue breakout_Realized Gain Loss" xfId="4753" xr:uid="{00000000-0005-0000-0000-000089120000}"/>
    <cellStyle name="_Partner Consolidated Capital 2006 Q1 and 2007 Q1- 0502 Final V4-wo_Revenue breakout_TX Details" xfId="4754" xr:uid="{00000000-0005-0000-0000-00008A120000}"/>
    <cellStyle name="_Partner Consolidated Capital 2006 Q1 and 2007 Q1- 0502 Final V4-wo_Sheet1" xfId="4755" xr:uid="{00000000-0005-0000-0000-00008B120000}"/>
    <cellStyle name="_Partner Consolidated Capital 2006 Q1 and 2007 Q1- 0502 Final V4-wo_Sheet1 10" xfId="4756" xr:uid="{00000000-0005-0000-0000-00008C120000}"/>
    <cellStyle name="_Partner Consolidated Capital 2006 Q1 and 2007 Q1- 0502 Final V4-wo_Sheet1 11" xfId="4757" xr:uid="{00000000-0005-0000-0000-00008D120000}"/>
    <cellStyle name="_Partner Consolidated Capital 2006 Q1 and 2007 Q1- 0502 Final V4-wo_Sheet1 12" xfId="4758" xr:uid="{00000000-0005-0000-0000-00008E120000}"/>
    <cellStyle name="_Partner Consolidated Capital 2006 Q1 and 2007 Q1- 0502 Final V4-wo_Sheet1 13" xfId="4759" xr:uid="{00000000-0005-0000-0000-00008F120000}"/>
    <cellStyle name="_Partner Consolidated Capital 2006 Q1 and 2007 Q1- 0502 Final V4-wo_Sheet1 14" xfId="4760" xr:uid="{00000000-0005-0000-0000-000090120000}"/>
    <cellStyle name="_Partner Consolidated Capital 2006 Q1 and 2007 Q1- 0502 Final V4-wo_Sheet1 15" xfId="4761" xr:uid="{00000000-0005-0000-0000-000091120000}"/>
    <cellStyle name="_Partner Consolidated Capital 2006 Q1 and 2007 Q1- 0502 Final V4-wo_Sheet1 16" xfId="4762" xr:uid="{00000000-0005-0000-0000-000092120000}"/>
    <cellStyle name="_Partner Consolidated Capital 2006 Q1 and 2007 Q1- 0502 Final V4-wo_Sheet1 17" xfId="4763" xr:uid="{00000000-0005-0000-0000-000093120000}"/>
    <cellStyle name="_Partner Consolidated Capital 2006 Q1 and 2007 Q1- 0502 Final V4-wo_Sheet1 18" xfId="4764" xr:uid="{00000000-0005-0000-0000-000094120000}"/>
    <cellStyle name="_Partner Consolidated Capital 2006 Q1 and 2007 Q1- 0502 Final V4-wo_Sheet1 19" xfId="4765" xr:uid="{00000000-0005-0000-0000-000095120000}"/>
    <cellStyle name="_Partner Consolidated Capital 2006 Q1 and 2007 Q1- 0502 Final V4-wo_Sheet1 2" xfId="4766" xr:uid="{00000000-0005-0000-0000-000096120000}"/>
    <cellStyle name="_Partner Consolidated Capital 2006 Q1 and 2007 Q1- 0502 Final V4-wo_Sheet1 2 2" xfId="4767" xr:uid="{00000000-0005-0000-0000-000097120000}"/>
    <cellStyle name="_Partner Consolidated Capital 2006 Q1 and 2007 Q1- 0502 Final V4-wo_Sheet1 20" xfId="4768" xr:uid="{00000000-0005-0000-0000-000098120000}"/>
    <cellStyle name="_Partner Consolidated Capital 2006 Q1 and 2007 Q1- 0502 Final V4-wo_Sheet1 21" xfId="4769" xr:uid="{00000000-0005-0000-0000-000099120000}"/>
    <cellStyle name="_Partner Consolidated Capital 2006 Q1 and 2007 Q1- 0502 Final V4-wo_Sheet1 22" xfId="4770" xr:uid="{00000000-0005-0000-0000-00009A120000}"/>
    <cellStyle name="_Partner Consolidated Capital 2006 Q1 and 2007 Q1- 0502 Final V4-wo_Sheet1 23" xfId="4771" xr:uid="{00000000-0005-0000-0000-00009B120000}"/>
    <cellStyle name="_Partner Consolidated Capital 2006 Q1 and 2007 Q1- 0502 Final V4-wo_Sheet1 3" xfId="4772" xr:uid="{00000000-0005-0000-0000-00009C120000}"/>
    <cellStyle name="_Partner Consolidated Capital 2006 Q1 and 2007 Q1- 0502 Final V4-wo_Sheet1 3 2" xfId="4773" xr:uid="{00000000-0005-0000-0000-00009D120000}"/>
    <cellStyle name="_Partner Consolidated Capital 2006 Q1 and 2007 Q1- 0502 Final V4-wo_Sheet1 4" xfId="4774" xr:uid="{00000000-0005-0000-0000-00009E120000}"/>
    <cellStyle name="_Partner Consolidated Capital 2006 Q1 and 2007 Q1- 0502 Final V4-wo_Sheet1 5" xfId="4775" xr:uid="{00000000-0005-0000-0000-00009F120000}"/>
    <cellStyle name="_Partner Consolidated Capital 2006 Q1 and 2007 Q1- 0502 Final V4-wo_Sheet1 6" xfId="4776" xr:uid="{00000000-0005-0000-0000-0000A0120000}"/>
    <cellStyle name="_Partner Consolidated Capital 2006 Q1 and 2007 Q1- 0502 Final V4-wo_Sheet1 7" xfId="4777" xr:uid="{00000000-0005-0000-0000-0000A1120000}"/>
    <cellStyle name="_Partner Consolidated Capital 2006 Q1 and 2007 Q1- 0502 Final V4-wo_Sheet1 8" xfId="4778" xr:uid="{00000000-0005-0000-0000-0000A2120000}"/>
    <cellStyle name="_Partner Consolidated Capital 2006 Q1 and 2007 Q1- 0502 Final V4-wo_Sheet1 9" xfId="4779" xr:uid="{00000000-0005-0000-0000-0000A3120000}"/>
    <cellStyle name="_Partner Consolidated Capital 2006 Q1 and 2007 Q1- 0502 Final V4-wo_Sheet1_AIF VI - BondcoVI_Entities Invested Capital (CURRENT)" xfId="4780" xr:uid="{00000000-0005-0000-0000-0000A4120000}"/>
    <cellStyle name="_Partner Consolidated Capital 2006 Q1 and 2007 Q1- 0502 Final V4-wo_Sheet1_AIF VI Broadleaf Watefall Summary as of 6-30-09 FINAL" xfId="4781" xr:uid="{00000000-0005-0000-0000-0000A5120000}"/>
    <cellStyle name="_Partner Consolidated Capital 2006 Q1 and 2007 Q1- 0502 Final V4-wo_Sheet1_AIF VI Broadleaf Watefall Summary as of 9-30-09" xfId="4782" xr:uid="{00000000-0005-0000-0000-0000A6120000}"/>
    <cellStyle name="_Partner Consolidated Capital 2006 Q1 and 2007 Q1- 0502 Final V4-wo_Sheet1_Broadleaf Watefall 12-31-09" xfId="4783" xr:uid="{00000000-0005-0000-0000-0000A7120000}"/>
    <cellStyle name="_Partner Consolidated Capital 2006 Q1 and 2007 Q1- 0502 Final V4-wo_Sheet1_Broadleaf Watefall 6-30-09" xfId="4784" xr:uid="{00000000-0005-0000-0000-0000A8120000}"/>
    <cellStyle name="_Partner Consolidated Capital 2006 Q1 and 2007 Q1- 0502 Final V4-wo_Sheet1_Broadleaf Watefall 9-30-09" xfId="4785" xr:uid="{00000000-0005-0000-0000-0000A9120000}"/>
    <cellStyle name="_Partner Consolidated Capital 2006 Q1 and 2007 Q1- 0502 Final V4-wo_Sheet1_IC Balance" xfId="4786" xr:uid="{00000000-0005-0000-0000-0000AA120000}"/>
    <cellStyle name="_Partner Consolidated Capital 2006 Q1 and 2007 Q1- 0502 Final V4-wo_Sheet1_Invested Capital Debt Worksheet" xfId="4787" xr:uid="{00000000-0005-0000-0000-0000AB120000}"/>
    <cellStyle name="_Partner Consolidated Capital 2006 Q1 and 2007 Q1- 0502 Final V4-wo_Sheet1_MMF Income" xfId="4788" xr:uid="{00000000-0005-0000-0000-0000AC120000}"/>
    <cellStyle name="_Partner Consolidated Capital 2006 Q1 and 2007 Q1- 0502 Final V4-wo_Sheet1_Realized Gain Loss" xfId="4789" xr:uid="{00000000-0005-0000-0000-0000AD120000}"/>
    <cellStyle name="_Partner Consolidated Capital 2006 Q1 and 2007 Q1- 0502 Final V4-wo_Sheet2" xfId="4790" xr:uid="{00000000-0005-0000-0000-0000AE120000}"/>
    <cellStyle name="_Partner Consolidated Capital 2006 Q1 and 2007 Q1- 0502 Final V4-wo_Sheet2 10" xfId="4791" xr:uid="{00000000-0005-0000-0000-0000AF120000}"/>
    <cellStyle name="_Partner Consolidated Capital 2006 Q1 and 2007 Q1- 0502 Final V4-wo_Sheet2 11" xfId="4792" xr:uid="{00000000-0005-0000-0000-0000B0120000}"/>
    <cellStyle name="_Partner Consolidated Capital 2006 Q1 and 2007 Q1- 0502 Final V4-wo_Sheet2 12" xfId="4793" xr:uid="{00000000-0005-0000-0000-0000B1120000}"/>
    <cellStyle name="_Partner Consolidated Capital 2006 Q1 and 2007 Q1- 0502 Final V4-wo_Sheet2 13" xfId="4794" xr:uid="{00000000-0005-0000-0000-0000B2120000}"/>
    <cellStyle name="_Partner Consolidated Capital 2006 Q1 and 2007 Q1- 0502 Final V4-wo_Sheet2 14" xfId="4795" xr:uid="{00000000-0005-0000-0000-0000B3120000}"/>
    <cellStyle name="_Partner Consolidated Capital 2006 Q1 and 2007 Q1- 0502 Final V4-wo_Sheet2 15" xfId="4796" xr:uid="{00000000-0005-0000-0000-0000B4120000}"/>
    <cellStyle name="_Partner Consolidated Capital 2006 Q1 and 2007 Q1- 0502 Final V4-wo_Sheet2 16" xfId="4797" xr:uid="{00000000-0005-0000-0000-0000B5120000}"/>
    <cellStyle name="_Partner Consolidated Capital 2006 Q1 and 2007 Q1- 0502 Final V4-wo_Sheet2 17" xfId="4798" xr:uid="{00000000-0005-0000-0000-0000B6120000}"/>
    <cellStyle name="_Partner Consolidated Capital 2006 Q1 and 2007 Q1- 0502 Final V4-wo_Sheet2 18" xfId="4799" xr:uid="{00000000-0005-0000-0000-0000B7120000}"/>
    <cellStyle name="_Partner Consolidated Capital 2006 Q1 and 2007 Q1- 0502 Final V4-wo_Sheet2 19" xfId="4800" xr:uid="{00000000-0005-0000-0000-0000B8120000}"/>
    <cellStyle name="_Partner Consolidated Capital 2006 Q1 and 2007 Q1- 0502 Final V4-wo_Sheet2 2" xfId="4801" xr:uid="{00000000-0005-0000-0000-0000B9120000}"/>
    <cellStyle name="_Partner Consolidated Capital 2006 Q1 and 2007 Q1- 0502 Final V4-wo_Sheet2 2 2" xfId="4802" xr:uid="{00000000-0005-0000-0000-0000BA120000}"/>
    <cellStyle name="_Partner Consolidated Capital 2006 Q1 and 2007 Q1- 0502 Final V4-wo_Sheet2 20" xfId="4803" xr:uid="{00000000-0005-0000-0000-0000BB120000}"/>
    <cellStyle name="_Partner Consolidated Capital 2006 Q1 and 2007 Q1- 0502 Final V4-wo_Sheet2 21" xfId="4804" xr:uid="{00000000-0005-0000-0000-0000BC120000}"/>
    <cellStyle name="_Partner Consolidated Capital 2006 Q1 and 2007 Q1- 0502 Final V4-wo_Sheet2 22" xfId="4805" xr:uid="{00000000-0005-0000-0000-0000BD120000}"/>
    <cellStyle name="_Partner Consolidated Capital 2006 Q1 and 2007 Q1- 0502 Final V4-wo_Sheet2 23" xfId="4806" xr:uid="{00000000-0005-0000-0000-0000BE120000}"/>
    <cellStyle name="_Partner Consolidated Capital 2006 Q1 and 2007 Q1- 0502 Final V4-wo_Sheet2 3" xfId="4807" xr:uid="{00000000-0005-0000-0000-0000BF120000}"/>
    <cellStyle name="_Partner Consolidated Capital 2006 Q1 and 2007 Q1- 0502 Final V4-wo_Sheet2 3 2" xfId="4808" xr:uid="{00000000-0005-0000-0000-0000C0120000}"/>
    <cellStyle name="_Partner Consolidated Capital 2006 Q1 and 2007 Q1- 0502 Final V4-wo_Sheet2 4" xfId="4809" xr:uid="{00000000-0005-0000-0000-0000C1120000}"/>
    <cellStyle name="_Partner Consolidated Capital 2006 Q1 and 2007 Q1- 0502 Final V4-wo_Sheet2 5" xfId="4810" xr:uid="{00000000-0005-0000-0000-0000C2120000}"/>
    <cellStyle name="_Partner Consolidated Capital 2006 Q1 and 2007 Q1- 0502 Final V4-wo_Sheet2 6" xfId="4811" xr:uid="{00000000-0005-0000-0000-0000C3120000}"/>
    <cellStyle name="_Partner Consolidated Capital 2006 Q1 and 2007 Q1- 0502 Final V4-wo_Sheet2 7" xfId="4812" xr:uid="{00000000-0005-0000-0000-0000C4120000}"/>
    <cellStyle name="_Partner Consolidated Capital 2006 Q1 and 2007 Q1- 0502 Final V4-wo_Sheet2 8" xfId="4813" xr:uid="{00000000-0005-0000-0000-0000C5120000}"/>
    <cellStyle name="_Partner Consolidated Capital 2006 Q1 and 2007 Q1- 0502 Final V4-wo_Sheet2 9" xfId="4814" xr:uid="{00000000-0005-0000-0000-0000C6120000}"/>
    <cellStyle name="_Partner Consolidated Capital 2006 Q1 and 2007 Q1- 0502 Final V4-wo_Sheet2_AIF VI - BondcoVI_Entities Invested Capital (CURRENT)" xfId="4815" xr:uid="{00000000-0005-0000-0000-0000C7120000}"/>
    <cellStyle name="_Partner Consolidated Capital 2006 Q1 and 2007 Q1- 0502 Final V4-wo_Sheet2_AIF VI Broadleaf Watefall Summary as of 6-30-09 FINAL" xfId="4816" xr:uid="{00000000-0005-0000-0000-0000C8120000}"/>
    <cellStyle name="_Partner Consolidated Capital 2006 Q1 and 2007 Q1- 0502 Final V4-wo_Sheet2_AIF VI Broadleaf Watefall Summary as of 9-30-09" xfId="4817" xr:uid="{00000000-0005-0000-0000-0000C9120000}"/>
    <cellStyle name="_Partner Consolidated Capital 2006 Q1 and 2007 Q1- 0502 Final V4-wo_Sheet2_Broadleaf Watefall 12-31-09" xfId="4818" xr:uid="{00000000-0005-0000-0000-0000CA120000}"/>
    <cellStyle name="_Partner Consolidated Capital 2006 Q1 and 2007 Q1- 0502 Final V4-wo_Sheet2_Broadleaf Watefall 6-30-09" xfId="4819" xr:uid="{00000000-0005-0000-0000-0000CB120000}"/>
    <cellStyle name="_Partner Consolidated Capital 2006 Q1 and 2007 Q1- 0502 Final V4-wo_Sheet2_Broadleaf Watefall 9-30-09" xfId="4820" xr:uid="{00000000-0005-0000-0000-0000CC120000}"/>
    <cellStyle name="_Partner Consolidated Capital 2006 Q1 and 2007 Q1- 0502 Final V4-wo_Sheet2_IC Balance" xfId="4821" xr:uid="{00000000-0005-0000-0000-0000CD120000}"/>
    <cellStyle name="_Partner Consolidated Capital 2006 Q1 and 2007 Q1- 0502 Final V4-wo_Sheet2_Invested Capital Debt Worksheet" xfId="4822" xr:uid="{00000000-0005-0000-0000-0000CE120000}"/>
    <cellStyle name="_Partner Consolidated Capital 2006 Q1 and 2007 Q1- 0502 Final V4-wo_Sheet2_MMF Income" xfId="4823" xr:uid="{00000000-0005-0000-0000-0000CF120000}"/>
    <cellStyle name="_Partner Consolidated Capital 2006 Q1 and 2007 Q1- 0502 Final V4-wo_Sheet2_Realized Gain Loss" xfId="4824" xr:uid="{00000000-0005-0000-0000-0000D0120000}"/>
    <cellStyle name="_Partner Consolidated Capital 2006 Q1 and 2007 Q1- 0502 Final V4-wo_Sheet3" xfId="4825" xr:uid="{00000000-0005-0000-0000-0000D1120000}"/>
    <cellStyle name="_Partner Consolidated Capital 2006 Q1 and 2007 Q1- 0502 Final V4-wo_Sheet3 2" xfId="4826" xr:uid="{00000000-0005-0000-0000-0000D2120000}"/>
    <cellStyle name="_Partner Consolidated Capital 2006 Q1 and 2007 Q1- 0502 Final V4-wo_Sheet3 2 2" xfId="4827" xr:uid="{00000000-0005-0000-0000-0000D3120000}"/>
    <cellStyle name="_Partner Consolidated Capital 2006 Q1 and 2007 Q1- 0502 Final V4-wo_Sheet3 3" xfId="4828" xr:uid="{00000000-0005-0000-0000-0000D4120000}"/>
    <cellStyle name="_Partner Consolidated Capital 2006 Q1 and 2007 Q1- 0502 Final V4-wo_Sheet3_AIF VI - BondcoVI_Entities Invested Capital (CURRENT)" xfId="4829" xr:uid="{00000000-0005-0000-0000-0000D5120000}"/>
    <cellStyle name="_Partner Consolidated Capital 2006 Q1 and 2007 Q1- 0502 Final V4-wo_Sheet3_IC Balance" xfId="4830" xr:uid="{00000000-0005-0000-0000-0000D6120000}"/>
    <cellStyle name="_Partner Consolidated Capital 2006 Q1 and 2007 Q1- 0502 Final V4-wo_Sheet3_Invested Capital Debt Worksheet" xfId="4831" xr:uid="{00000000-0005-0000-0000-0000D7120000}"/>
    <cellStyle name="_Partner Consolidated Capital 2006 Q1 and 2007 Q1- 0502 Final V4-wo_Sheet3_MMF Income" xfId="4832" xr:uid="{00000000-0005-0000-0000-0000D8120000}"/>
    <cellStyle name="_Partner Consolidated Capital 2006 Q1 and 2007 Q1- 0502 Final V4-wo_Sheet3_Realized Gain Loss" xfId="4833" xr:uid="{00000000-0005-0000-0000-0000D9120000}"/>
    <cellStyle name="_Partner Consolidated Capital 2006 Q1 and 2007 Q1- 0502 Final V4-wo_Summary" xfId="4834" xr:uid="{00000000-0005-0000-0000-0000DA120000}"/>
    <cellStyle name="_Partner Consolidated Capital 2006 Q1 and 2007 Q1- 0502 Final V4-wo_Summary 2" xfId="4835" xr:uid="{00000000-0005-0000-0000-0000DB120000}"/>
    <cellStyle name="_Partner Consolidated Capital 2006 Q1 and 2007 Q1- 0502 Final V4-wo_Summary 2 2" xfId="4836" xr:uid="{00000000-0005-0000-0000-0000DC120000}"/>
    <cellStyle name="_Partner Consolidated Capital 2006 Q1 and 2007 Q1- 0502 Final V4-wo_Summary 3" xfId="4837" xr:uid="{00000000-0005-0000-0000-0000DD120000}"/>
    <cellStyle name="_Partner Consolidated Capital 2006 Q1 and 2007 Q1- 0502 Final V4-wo_Summary_AIF VI - BondcoVI_Entities Invested Capital (CURRENT)" xfId="4838" xr:uid="{00000000-0005-0000-0000-0000DE120000}"/>
    <cellStyle name="_Partner Consolidated Capital 2006 Q1 and 2007 Q1- 0502 Final V4-wo_Summary_IC Balance" xfId="4839" xr:uid="{00000000-0005-0000-0000-0000DF120000}"/>
    <cellStyle name="_Partner Consolidated Capital 2006 Q1 and 2007 Q1- 0502 Final V4-wo_Summary_Invested Capital Debt Worksheet" xfId="4840" xr:uid="{00000000-0005-0000-0000-0000E0120000}"/>
    <cellStyle name="_Partner Consolidated Capital 2006 Q1 and 2007 Q1- 0502 Final V4-wo_Summary_MMF Income" xfId="4841" xr:uid="{00000000-0005-0000-0000-0000E1120000}"/>
    <cellStyle name="_Partner Consolidated Capital 2006 Q1 and 2007 Q1- 0502 Final V4-wo_Summary_Realized Gain Loss" xfId="4842" xr:uid="{00000000-0005-0000-0000-0000E2120000}"/>
    <cellStyle name="_Partner Consolidated Capital 2006 Q1 and 2007 Q1- 0502 Final V4-wo_TX Details" xfId="4843" xr:uid="{00000000-0005-0000-0000-0000E3120000}"/>
    <cellStyle name="-_Partners Capital Q3 2009" xfId="4844" xr:uid="{00000000-0005-0000-0000-0000E4120000}"/>
    <cellStyle name="_Percent" xfId="4845" xr:uid="{00000000-0005-0000-0000-0000E5120000}"/>
    <cellStyle name="_Percent 10" xfId="4846" xr:uid="{00000000-0005-0000-0000-0000E6120000}"/>
    <cellStyle name="_Percent 11" xfId="4847" xr:uid="{00000000-0005-0000-0000-0000E7120000}"/>
    <cellStyle name="_Percent 12" xfId="4848" xr:uid="{00000000-0005-0000-0000-0000E8120000}"/>
    <cellStyle name="_Percent 13" xfId="4849" xr:uid="{00000000-0005-0000-0000-0000E9120000}"/>
    <cellStyle name="_Percent 14" xfId="4850" xr:uid="{00000000-0005-0000-0000-0000EA120000}"/>
    <cellStyle name="_Percent 15" xfId="4851" xr:uid="{00000000-0005-0000-0000-0000EB120000}"/>
    <cellStyle name="_Percent 16" xfId="4852" xr:uid="{00000000-0005-0000-0000-0000EC120000}"/>
    <cellStyle name="_Percent 17" xfId="4853" xr:uid="{00000000-0005-0000-0000-0000ED120000}"/>
    <cellStyle name="_Percent 18" xfId="4854" xr:uid="{00000000-0005-0000-0000-0000EE120000}"/>
    <cellStyle name="_Percent 19" xfId="4855" xr:uid="{00000000-0005-0000-0000-0000EF120000}"/>
    <cellStyle name="_Percent 2" xfId="4856" xr:uid="{00000000-0005-0000-0000-0000F0120000}"/>
    <cellStyle name="_Percent 20" xfId="4857" xr:uid="{00000000-0005-0000-0000-0000F1120000}"/>
    <cellStyle name="_Percent 21" xfId="4858" xr:uid="{00000000-0005-0000-0000-0000F2120000}"/>
    <cellStyle name="_Percent 3" xfId="4859" xr:uid="{00000000-0005-0000-0000-0000F3120000}"/>
    <cellStyle name="_Percent 4" xfId="4860" xr:uid="{00000000-0005-0000-0000-0000F4120000}"/>
    <cellStyle name="_Percent 5" xfId="4861" xr:uid="{00000000-0005-0000-0000-0000F5120000}"/>
    <cellStyle name="_Percent 6" xfId="4862" xr:uid="{00000000-0005-0000-0000-0000F6120000}"/>
    <cellStyle name="_Percent 7" xfId="4863" xr:uid="{00000000-0005-0000-0000-0000F7120000}"/>
    <cellStyle name="_Percent 8" xfId="4864" xr:uid="{00000000-0005-0000-0000-0000F8120000}"/>
    <cellStyle name="_Percent 9" xfId="4865" xr:uid="{00000000-0005-0000-0000-0000F9120000}"/>
    <cellStyle name="_PercentSpace" xfId="4866" xr:uid="{00000000-0005-0000-0000-0000FA120000}"/>
    <cellStyle name="_PercentSpace 10" xfId="4867" xr:uid="{00000000-0005-0000-0000-0000FB120000}"/>
    <cellStyle name="_PercentSpace 11" xfId="4868" xr:uid="{00000000-0005-0000-0000-0000FC120000}"/>
    <cellStyle name="_PercentSpace 12" xfId="4869" xr:uid="{00000000-0005-0000-0000-0000FD120000}"/>
    <cellStyle name="_PercentSpace 13" xfId="4870" xr:uid="{00000000-0005-0000-0000-0000FE120000}"/>
    <cellStyle name="_PercentSpace 14" xfId="4871" xr:uid="{00000000-0005-0000-0000-0000FF120000}"/>
    <cellStyle name="_PercentSpace 15" xfId="4872" xr:uid="{00000000-0005-0000-0000-000000130000}"/>
    <cellStyle name="_PercentSpace 16" xfId="4873" xr:uid="{00000000-0005-0000-0000-000001130000}"/>
    <cellStyle name="_PercentSpace 17" xfId="4874" xr:uid="{00000000-0005-0000-0000-000002130000}"/>
    <cellStyle name="_PercentSpace 18" xfId="4875" xr:uid="{00000000-0005-0000-0000-000003130000}"/>
    <cellStyle name="_PercentSpace 19" xfId="4876" xr:uid="{00000000-0005-0000-0000-000004130000}"/>
    <cellStyle name="_PercentSpace 2" xfId="4877" xr:uid="{00000000-0005-0000-0000-000005130000}"/>
    <cellStyle name="_PercentSpace 20" xfId="4878" xr:uid="{00000000-0005-0000-0000-000006130000}"/>
    <cellStyle name="_PercentSpace 21" xfId="4879" xr:uid="{00000000-0005-0000-0000-000007130000}"/>
    <cellStyle name="_PercentSpace 3" xfId="4880" xr:uid="{00000000-0005-0000-0000-000008130000}"/>
    <cellStyle name="_PercentSpace 4" xfId="4881" xr:uid="{00000000-0005-0000-0000-000009130000}"/>
    <cellStyle name="_PercentSpace 5" xfId="4882" xr:uid="{00000000-0005-0000-0000-00000A130000}"/>
    <cellStyle name="_PercentSpace 6" xfId="4883" xr:uid="{00000000-0005-0000-0000-00000B130000}"/>
    <cellStyle name="_PercentSpace 7" xfId="4884" xr:uid="{00000000-0005-0000-0000-00000C130000}"/>
    <cellStyle name="_PercentSpace 8" xfId="4885" xr:uid="{00000000-0005-0000-0000-00000D130000}"/>
    <cellStyle name="_PercentSpace 9" xfId="4886" xr:uid="{00000000-0005-0000-0000-00000E130000}"/>
    <cellStyle name="_PercentSpace_FIG Weekly Model Apr 7" xfId="4887" xr:uid="{00000000-0005-0000-0000-00000F130000}"/>
    <cellStyle name="_PercentSpace_FIG Weekly Model Apr 7 10" xfId="4888" xr:uid="{00000000-0005-0000-0000-000010130000}"/>
    <cellStyle name="_PercentSpace_FIG Weekly Model Apr 7 11" xfId="4889" xr:uid="{00000000-0005-0000-0000-000011130000}"/>
    <cellStyle name="_PercentSpace_FIG Weekly Model Apr 7 12" xfId="4890" xr:uid="{00000000-0005-0000-0000-000012130000}"/>
    <cellStyle name="_PercentSpace_FIG Weekly Model Apr 7 13" xfId="4891" xr:uid="{00000000-0005-0000-0000-000013130000}"/>
    <cellStyle name="_PercentSpace_FIG Weekly Model Apr 7 14" xfId="4892" xr:uid="{00000000-0005-0000-0000-000014130000}"/>
    <cellStyle name="_PercentSpace_FIG Weekly Model Apr 7 15" xfId="4893" xr:uid="{00000000-0005-0000-0000-000015130000}"/>
    <cellStyle name="_PercentSpace_FIG Weekly Model Apr 7 16" xfId="4894" xr:uid="{00000000-0005-0000-0000-000016130000}"/>
    <cellStyle name="_PercentSpace_FIG Weekly Model Apr 7 17" xfId="4895" xr:uid="{00000000-0005-0000-0000-000017130000}"/>
    <cellStyle name="_PercentSpace_FIG Weekly Model Apr 7 18" xfId="4896" xr:uid="{00000000-0005-0000-0000-000018130000}"/>
    <cellStyle name="_PercentSpace_FIG Weekly Model Apr 7 19" xfId="4897" xr:uid="{00000000-0005-0000-0000-000019130000}"/>
    <cellStyle name="_PercentSpace_FIG Weekly Model Apr 7 2" xfId="4898" xr:uid="{00000000-0005-0000-0000-00001A130000}"/>
    <cellStyle name="_PercentSpace_FIG Weekly Model Apr 7 20" xfId="4899" xr:uid="{00000000-0005-0000-0000-00001B130000}"/>
    <cellStyle name="_PercentSpace_FIG Weekly Model Apr 7 21" xfId="4900" xr:uid="{00000000-0005-0000-0000-00001C130000}"/>
    <cellStyle name="_PercentSpace_FIG Weekly Model Apr 7 3" xfId="4901" xr:uid="{00000000-0005-0000-0000-00001D130000}"/>
    <cellStyle name="_PercentSpace_FIG Weekly Model Apr 7 4" xfId="4902" xr:uid="{00000000-0005-0000-0000-00001E130000}"/>
    <cellStyle name="_PercentSpace_FIG Weekly Model Apr 7 5" xfId="4903" xr:uid="{00000000-0005-0000-0000-00001F130000}"/>
    <cellStyle name="_PercentSpace_FIG Weekly Model Apr 7 6" xfId="4904" xr:uid="{00000000-0005-0000-0000-000020130000}"/>
    <cellStyle name="_PercentSpace_FIG Weekly Model Apr 7 7" xfId="4905" xr:uid="{00000000-0005-0000-0000-000021130000}"/>
    <cellStyle name="_PercentSpace_FIG Weekly Model Apr 7 8" xfId="4906" xr:uid="{00000000-0005-0000-0000-000022130000}"/>
    <cellStyle name="_PercentSpace_FIG Weekly Model Apr 7 9" xfId="4907" xr:uid="{00000000-0005-0000-0000-000023130000}"/>
    <cellStyle name="_PercentSpace_FIG Weekly Model Feb 17" xfId="4908" xr:uid="{00000000-0005-0000-0000-000024130000}"/>
    <cellStyle name="_PercentSpace_FIG Weekly Model Feb 17 10" xfId="4909" xr:uid="{00000000-0005-0000-0000-000025130000}"/>
    <cellStyle name="_PercentSpace_FIG Weekly Model Feb 17 11" xfId="4910" xr:uid="{00000000-0005-0000-0000-000026130000}"/>
    <cellStyle name="_PercentSpace_FIG Weekly Model Feb 17 12" xfId="4911" xr:uid="{00000000-0005-0000-0000-000027130000}"/>
    <cellStyle name="_PercentSpace_FIG Weekly Model Feb 17 13" xfId="4912" xr:uid="{00000000-0005-0000-0000-000028130000}"/>
    <cellStyle name="_PercentSpace_FIG Weekly Model Feb 17 14" xfId="4913" xr:uid="{00000000-0005-0000-0000-000029130000}"/>
    <cellStyle name="_PercentSpace_FIG Weekly Model Feb 17 15" xfId="4914" xr:uid="{00000000-0005-0000-0000-00002A130000}"/>
    <cellStyle name="_PercentSpace_FIG Weekly Model Feb 17 16" xfId="4915" xr:uid="{00000000-0005-0000-0000-00002B130000}"/>
    <cellStyle name="_PercentSpace_FIG Weekly Model Feb 17 17" xfId="4916" xr:uid="{00000000-0005-0000-0000-00002C130000}"/>
    <cellStyle name="_PercentSpace_FIG Weekly Model Feb 17 18" xfId="4917" xr:uid="{00000000-0005-0000-0000-00002D130000}"/>
    <cellStyle name="_PercentSpace_FIG Weekly Model Feb 17 19" xfId="4918" xr:uid="{00000000-0005-0000-0000-00002E130000}"/>
    <cellStyle name="_PercentSpace_FIG Weekly Model Feb 17 2" xfId="4919" xr:uid="{00000000-0005-0000-0000-00002F130000}"/>
    <cellStyle name="_PercentSpace_FIG Weekly Model Feb 17 20" xfId="4920" xr:uid="{00000000-0005-0000-0000-000030130000}"/>
    <cellStyle name="_PercentSpace_FIG Weekly Model Feb 17 21" xfId="4921" xr:uid="{00000000-0005-0000-0000-000031130000}"/>
    <cellStyle name="_PercentSpace_FIG Weekly Model Feb 17 3" xfId="4922" xr:uid="{00000000-0005-0000-0000-000032130000}"/>
    <cellStyle name="_PercentSpace_FIG Weekly Model Feb 17 4" xfId="4923" xr:uid="{00000000-0005-0000-0000-000033130000}"/>
    <cellStyle name="_PercentSpace_FIG Weekly Model Feb 17 5" xfId="4924" xr:uid="{00000000-0005-0000-0000-000034130000}"/>
    <cellStyle name="_PercentSpace_FIG Weekly Model Feb 17 6" xfId="4925" xr:uid="{00000000-0005-0000-0000-000035130000}"/>
    <cellStyle name="_PercentSpace_FIG Weekly Model Feb 17 7" xfId="4926" xr:uid="{00000000-0005-0000-0000-000036130000}"/>
    <cellStyle name="_PercentSpace_FIG Weekly Model Feb 17 8" xfId="4927" xr:uid="{00000000-0005-0000-0000-000037130000}"/>
    <cellStyle name="_PercentSpace_FIG Weekly Model Feb 17 9" xfId="4928" xr:uid="{00000000-0005-0000-0000-000038130000}"/>
    <cellStyle name="_PercentSpace_FIG Weekly Model Feb 24" xfId="4929" xr:uid="{00000000-0005-0000-0000-000039130000}"/>
    <cellStyle name="_PercentSpace_FIG Weekly Model Feb 24 10" xfId="4930" xr:uid="{00000000-0005-0000-0000-00003A130000}"/>
    <cellStyle name="_PercentSpace_FIG Weekly Model Feb 24 11" xfId="4931" xr:uid="{00000000-0005-0000-0000-00003B130000}"/>
    <cellStyle name="_PercentSpace_FIG Weekly Model Feb 24 12" xfId="4932" xr:uid="{00000000-0005-0000-0000-00003C130000}"/>
    <cellStyle name="_PercentSpace_FIG Weekly Model Feb 24 13" xfId="4933" xr:uid="{00000000-0005-0000-0000-00003D130000}"/>
    <cellStyle name="_PercentSpace_FIG Weekly Model Feb 24 14" xfId="4934" xr:uid="{00000000-0005-0000-0000-00003E130000}"/>
    <cellStyle name="_PercentSpace_FIG Weekly Model Feb 24 15" xfId="4935" xr:uid="{00000000-0005-0000-0000-00003F130000}"/>
    <cellStyle name="_PercentSpace_FIG Weekly Model Feb 24 16" xfId="4936" xr:uid="{00000000-0005-0000-0000-000040130000}"/>
    <cellStyle name="_PercentSpace_FIG Weekly Model Feb 24 17" xfId="4937" xr:uid="{00000000-0005-0000-0000-000041130000}"/>
    <cellStyle name="_PercentSpace_FIG Weekly Model Feb 24 18" xfId="4938" xr:uid="{00000000-0005-0000-0000-000042130000}"/>
    <cellStyle name="_PercentSpace_FIG Weekly Model Feb 24 19" xfId="4939" xr:uid="{00000000-0005-0000-0000-000043130000}"/>
    <cellStyle name="_PercentSpace_FIG Weekly Model Feb 24 2" xfId="4940" xr:uid="{00000000-0005-0000-0000-000044130000}"/>
    <cellStyle name="_PercentSpace_FIG Weekly Model Feb 24 20" xfId="4941" xr:uid="{00000000-0005-0000-0000-000045130000}"/>
    <cellStyle name="_PercentSpace_FIG Weekly Model Feb 24 21" xfId="4942" xr:uid="{00000000-0005-0000-0000-000046130000}"/>
    <cellStyle name="_PercentSpace_FIG Weekly Model Feb 24 3" xfId="4943" xr:uid="{00000000-0005-0000-0000-000047130000}"/>
    <cellStyle name="_PercentSpace_FIG Weekly Model Feb 24 4" xfId="4944" xr:uid="{00000000-0005-0000-0000-000048130000}"/>
    <cellStyle name="_PercentSpace_FIG Weekly Model Feb 24 5" xfId="4945" xr:uid="{00000000-0005-0000-0000-000049130000}"/>
    <cellStyle name="_PercentSpace_FIG Weekly Model Feb 24 6" xfId="4946" xr:uid="{00000000-0005-0000-0000-00004A130000}"/>
    <cellStyle name="_PercentSpace_FIG Weekly Model Feb 24 7" xfId="4947" xr:uid="{00000000-0005-0000-0000-00004B130000}"/>
    <cellStyle name="_PercentSpace_FIG Weekly Model Feb 24 8" xfId="4948" xr:uid="{00000000-0005-0000-0000-00004C130000}"/>
    <cellStyle name="_PercentSpace_FIG Weekly Model Feb 24 9" xfId="4949" xr:uid="{00000000-0005-0000-0000-00004D130000}"/>
    <cellStyle name="_PercentSpace_FIG Weekly Model Mar 10v2" xfId="4950" xr:uid="{00000000-0005-0000-0000-00004E130000}"/>
    <cellStyle name="_PercentSpace_FIG Weekly Model Mar 10v2 10" xfId="4951" xr:uid="{00000000-0005-0000-0000-00004F130000}"/>
    <cellStyle name="_PercentSpace_FIG Weekly Model Mar 10v2 11" xfId="4952" xr:uid="{00000000-0005-0000-0000-000050130000}"/>
    <cellStyle name="_PercentSpace_FIG Weekly Model Mar 10v2 12" xfId="4953" xr:uid="{00000000-0005-0000-0000-000051130000}"/>
    <cellStyle name="_PercentSpace_FIG Weekly Model Mar 10v2 13" xfId="4954" xr:uid="{00000000-0005-0000-0000-000052130000}"/>
    <cellStyle name="_PercentSpace_FIG Weekly Model Mar 10v2 14" xfId="4955" xr:uid="{00000000-0005-0000-0000-000053130000}"/>
    <cellStyle name="_PercentSpace_FIG Weekly Model Mar 10v2 15" xfId="4956" xr:uid="{00000000-0005-0000-0000-000054130000}"/>
    <cellStyle name="_PercentSpace_FIG Weekly Model Mar 10v2 16" xfId="4957" xr:uid="{00000000-0005-0000-0000-000055130000}"/>
    <cellStyle name="_PercentSpace_FIG Weekly Model Mar 10v2 17" xfId="4958" xr:uid="{00000000-0005-0000-0000-000056130000}"/>
    <cellStyle name="_PercentSpace_FIG Weekly Model Mar 10v2 18" xfId="4959" xr:uid="{00000000-0005-0000-0000-000057130000}"/>
    <cellStyle name="_PercentSpace_FIG Weekly Model Mar 10v2 19" xfId="4960" xr:uid="{00000000-0005-0000-0000-000058130000}"/>
    <cellStyle name="_PercentSpace_FIG Weekly Model Mar 10v2 2" xfId="4961" xr:uid="{00000000-0005-0000-0000-000059130000}"/>
    <cellStyle name="_PercentSpace_FIG Weekly Model Mar 10v2 20" xfId="4962" xr:uid="{00000000-0005-0000-0000-00005A130000}"/>
    <cellStyle name="_PercentSpace_FIG Weekly Model Mar 10v2 21" xfId="4963" xr:uid="{00000000-0005-0000-0000-00005B130000}"/>
    <cellStyle name="_PercentSpace_FIG Weekly Model Mar 10v2 3" xfId="4964" xr:uid="{00000000-0005-0000-0000-00005C130000}"/>
    <cellStyle name="_PercentSpace_FIG Weekly Model Mar 10v2 4" xfId="4965" xr:uid="{00000000-0005-0000-0000-00005D130000}"/>
    <cellStyle name="_PercentSpace_FIG Weekly Model Mar 10v2 5" xfId="4966" xr:uid="{00000000-0005-0000-0000-00005E130000}"/>
    <cellStyle name="_PercentSpace_FIG Weekly Model Mar 10v2 6" xfId="4967" xr:uid="{00000000-0005-0000-0000-00005F130000}"/>
    <cellStyle name="_PercentSpace_FIG Weekly Model Mar 10v2 7" xfId="4968" xr:uid="{00000000-0005-0000-0000-000060130000}"/>
    <cellStyle name="_PercentSpace_FIG Weekly Model Mar 10v2 8" xfId="4969" xr:uid="{00000000-0005-0000-0000-000061130000}"/>
    <cellStyle name="_PercentSpace_FIG Weekly Model Mar 10v2 9" xfId="4970" xr:uid="{00000000-0005-0000-0000-000062130000}"/>
    <cellStyle name="_PercentSpace_FIG Weekly Model Mar 31" xfId="4971" xr:uid="{00000000-0005-0000-0000-000063130000}"/>
    <cellStyle name="_PercentSpace_FIG Weekly Model Mar 31 10" xfId="4972" xr:uid="{00000000-0005-0000-0000-000064130000}"/>
    <cellStyle name="_PercentSpace_FIG Weekly Model Mar 31 11" xfId="4973" xr:uid="{00000000-0005-0000-0000-000065130000}"/>
    <cellStyle name="_PercentSpace_FIG Weekly Model Mar 31 12" xfId="4974" xr:uid="{00000000-0005-0000-0000-000066130000}"/>
    <cellStyle name="_PercentSpace_FIG Weekly Model Mar 31 13" xfId="4975" xr:uid="{00000000-0005-0000-0000-000067130000}"/>
    <cellStyle name="_PercentSpace_FIG Weekly Model Mar 31 14" xfId="4976" xr:uid="{00000000-0005-0000-0000-000068130000}"/>
    <cellStyle name="_PercentSpace_FIG Weekly Model Mar 31 15" xfId="4977" xr:uid="{00000000-0005-0000-0000-000069130000}"/>
    <cellStyle name="_PercentSpace_FIG Weekly Model Mar 31 16" xfId="4978" xr:uid="{00000000-0005-0000-0000-00006A130000}"/>
    <cellStyle name="_PercentSpace_FIG Weekly Model Mar 31 17" xfId="4979" xr:uid="{00000000-0005-0000-0000-00006B130000}"/>
    <cellStyle name="_PercentSpace_FIG Weekly Model Mar 31 18" xfId="4980" xr:uid="{00000000-0005-0000-0000-00006C130000}"/>
    <cellStyle name="_PercentSpace_FIG Weekly Model Mar 31 19" xfId="4981" xr:uid="{00000000-0005-0000-0000-00006D130000}"/>
    <cellStyle name="_PercentSpace_FIG Weekly Model Mar 31 2" xfId="4982" xr:uid="{00000000-0005-0000-0000-00006E130000}"/>
    <cellStyle name="_PercentSpace_FIG Weekly Model Mar 31 20" xfId="4983" xr:uid="{00000000-0005-0000-0000-00006F130000}"/>
    <cellStyle name="_PercentSpace_FIG Weekly Model Mar 31 21" xfId="4984" xr:uid="{00000000-0005-0000-0000-000070130000}"/>
    <cellStyle name="_PercentSpace_FIG Weekly Model Mar 31 3" xfId="4985" xr:uid="{00000000-0005-0000-0000-000071130000}"/>
    <cellStyle name="_PercentSpace_FIG Weekly Model Mar 31 4" xfId="4986" xr:uid="{00000000-0005-0000-0000-000072130000}"/>
    <cellStyle name="_PercentSpace_FIG Weekly Model Mar 31 5" xfId="4987" xr:uid="{00000000-0005-0000-0000-000073130000}"/>
    <cellStyle name="_PercentSpace_FIG Weekly Model Mar 31 6" xfId="4988" xr:uid="{00000000-0005-0000-0000-000074130000}"/>
    <cellStyle name="_PercentSpace_FIG Weekly Model Mar 31 7" xfId="4989" xr:uid="{00000000-0005-0000-0000-000075130000}"/>
    <cellStyle name="_PercentSpace_FIG Weekly Model Mar 31 8" xfId="4990" xr:uid="{00000000-0005-0000-0000-000076130000}"/>
    <cellStyle name="_PercentSpace_FIG Weekly Model Mar 31 9" xfId="4991" xr:uid="{00000000-0005-0000-0000-000077130000}"/>
    <cellStyle name="_PercentSpace_FIG Weekly Model May 12 (4)" xfId="4992" xr:uid="{00000000-0005-0000-0000-000078130000}"/>
    <cellStyle name="_PercentSpace_FIG Weekly Model May 12 (4) 10" xfId="4993" xr:uid="{00000000-0005-0000-0000-000079130000}"/>
    <cellStyle name="_PercentSpace_FIG Weekly Model May 12 (4) 11" xfId="4994" xr:uid="{00000000-0005-0000-0000-00007A130000}"/>
    <cellStyle name="_PercentSpace_FIG Weekly Model May 12 (4) 12" xfId="4995" xr:uid="{00000000-0005-0000-0000-00007B130000}"/>
    <cellStyle name="_PercentSpace_FIG Weekly Model May 12 (4) 13" xfId="4996" xr:uid="{00000000-0005-0000-0000-00007C130000}"/>
    <cellStyle name="_PercentSpace_FIG Weekly Model May 12 (4) 14" xfId="4997" xr:uid="{00000000-0005-0000-0000-00007D130000}"/>
    <cellStyle name="_PercentSpace_FIG Weekly Model May 12 (4) 15" xfId="4998" xr:uid="{00000000-0005-0000-0000-00007E130000}"/>
    <cellStyle name="_PercentSpace_FIG Weekly Model May 12 (4) 16" xfId="4999" xr:uid="{00000000-0005-0000-0000-00007F130000}"/>
    <cellStyle name="_PercentSpace_FIG Weekly Model May 12 (4) 17" xfId="5000" xr:uid="{00000000-0005-0000-0000-000080130000}"/>
    <cellStyle name="_PercentSpace_FIG Weekly Model May 12 (4) 18" xfId="5001" xr:uid="{00000000-0005-0000-0000-000081130000}"/>
    <cellStyle name="_PercentSpace_FIG Weekly Model May 12 (4) 19" xfId="5002" xr:uid="{00000000-0005-0000-0000-000082130000}"/>
    <cellStyle name="_PercentSpace_FIG Weekly Model May 12 (4) 2" xfId="5003" xr:uid="{00000000-0005-0000-0000-000083130000}"/>
    <cellStyle name="_PercentSpace_FIG Weekly Model May 12 (4) 20" xfId="5004" xr:uid="{00000000-0005-0000-0000-000084130000}"/>
    <cellStyle name="_PercentSpace_FIG Weekly Model May 12 (4) 21" xfId="5005" xr:uid="{00000000-0005-0000-0000-000085130000}"/>
    <cellStyle name="_PercentSpace_FIG Weekly Model May 12 (4) 3" xfId="5006" xr:uid="{00000000-0005-0000-0000-000086130000}"/>
    <cellStyle name="_PercentSpace_FIG Weekly Model May 12 (4) 4" xfId="5007" xr:uid="{00000000-0005-0000-0000-000087130000}"/>
    <cellStyle name="_PercentSpace_FIG Weekly Model May 12 (4) 5" xfId="5008" xr:uid="{00000000-0005-0000-0000-000088130000}"/>
    <cellStyle name="_PercentSpace_FIG Weekly Model May 12 (4) 6" xfId="5009" xr:uid="{00000000-0005-0000-0000-000089130000}"/>
    <cellStyle name="_PercentSpace_FIG Weekly Model May 12 (4) 7" xfId="5010" xr:uid="{00000000-0005-0000-0000-00008A130000}"/>
    <cellStyle name="_PercentSpace_FIG Weekly Model May 12 (4) 8" xfId="5011" xr:uid="{00000000-0005-0000-0000-00008B130000}"/>
    <cellStyle name="_PercentSpace_FIG Weekly Model May 12 (4) 9" xfId="5012" xr:uid="{00000000-0005-0000-0000-00008C130000}"/>
    <cellStyle name="_PercentSpace_FIG Weekly Model May 19 (2)" xfId="5013" xr:uid="{00000000-0005-0000-0000-00008D130000}"/>
    <cellStyle name="_PercentSpace_FIG Weekly Model May 19 (2) 10" xfId="5014" xr:uid="{00000000-0005-0000-0000-00008E130000}"/>
    <cellStyle name="_PercentSpace_FIG Weekly Model May 19 (2) 11" xfId="5015" xr:uid="{00000000-0005-0000-0000-00008F130000}"/>
    <cellStyle name="_PercentSpace_FIG Weekly Model May 19 (2) 12" xfId="5016" xr:uid="{00000000-0005-0000-0000-000090130000}"/>
    <cellStyle name="_PercentSpace_FIG Weekly Model May 19 (2) 13" xfId="5017" xr:uid="{00000000-0005-0000-0000-000091130000}"/>
    <cellStyle name="_PercentSpace_FIG Weekly Model May 19 (2) 14" xfId="5018" xr:uid="{00000000-0005-0000-0000-000092130000}"/>
    <cellStyle name="_PercentSpace_FIG Weekly Model May 19 (2) 15" xfId="5019" xr:uid="{00000000-0005-0000-0000-000093130000}"/>
    <cellStyle name="_PercentSpace_FIG Weekly Model May 19 (2) 16" xfId="5020" xr:uid="{00000000-0005-0000-0000-000094130000}"/>
    <cellStyle name="_PercentSpace_FIG Weekly Model May 19 (2) 17" xfId="5021" xr:uid="{00000000-0005-0000-0000-000095130000}"/>
    <cellStyle name="_PercentSpace_FIG Weekly Model May 19 (2) 18" xfId="5022" xr:uid="{00000000-0005-0000-0000-000096130000}"/>
    <cellStyle name="_PercentSpace_FIG Weekly Model May 19 (2) 19" xfId="5023" xr:uid="{00000000-0005-0000-0000-000097130000}"/>
    <cellStyle name="_PercentSpace_FIG Weekly Model May 19 (2) 2" xfId="5024" xr:uid="{00000000-0005-0000-0000-000098130000}"/>
    <cellStyle name="_PercentSpace_FIG Weekly Model May 19 (2) 20" xfId="5025" xr:uid="{00000000-0005-0000-0000-000099130000}"/>
    <cellStyle name="_PercentSpace_FIG Weekly Model May 19 (2) 21" xfId="5026" xr:uid="{00000000-0005-0000-0000-00009A130000}"/>
    <cellStyle name="_PercentSpace_FIG Weekly Model May 19 (2) 3" xfId="5027" xr:uid="{00000000-0005-0000-0000-00009B130000}"/>
    <cellStyle name="_PercentSpace_FIG Weekly Model May 19 (2) 4" xfId="5028" xr:uid="{00000000-0005-0000-0000-00009C130000}"/>
    <cellStyle name="_PercentSpace_FIG Weekly Model May 19 (2) 5" xfId="5029" xr:uid="{00000000-0005-0000-0000-00009D130000}"/>
    <cellStyle name="_PercentSpace_FIG Weekly Model May 19 (2) 6" xfId="5030" xr:uid="{00000000-0005-0000-0000-00009E130000}"/>
    <cellStyle name="_PercentSpace_FIG Weekly Model May 19 (2) 7" xfId="5031" xr:uid="{00000000-0005-0000-0000-00009F130000}"/>
    <cellStyle name="_PercentSpace_FIG Weekly Model May 19 (2) 8" xfId="5032" xr:uid="{00000000-0005-0000-0000-0000A0130000}"/>
    <cellStyle name="_PercentSpace_FIG Weekly Model May 19 (2) 9" xfId="5033" xr:uid="{00000000-0005-0000-0000-0000A1130000}"/>
    <cellStyle name="_PercentSpace_FIG Weekly Model May 5" xfId="5034" xr:uid="{00000000-0005-0000-0000-0000A2130000}"/>
    <cellStyle name="_PercentSpace_FIG Weekly Model May 5 10" xfId="5035" xr:uid="{00000000-0005-0000-0000-0000A3130000}"/>
    <cellStyle name="_PercentSpace_FIG Weekly Model May 5 11" xfId="5036" xr:uid="{00000000-0005-0000-0000-0000A4130000}"/>
    <cellStyle name="_PercentSpace_FIG Weekly Model May 5 12" xfId="5037" xr:uid="{00000000-0005-0000-0000-0000A5130000}"/>
    <cellStyle name="_PercentSpace_FIG Weekly Model May 5 13" xfId="5038" xr:uid="{00000000-0005-0000-0000-0000A6130000}"/>
    <cellStyle name="_PercentSpace_FIG Weekly Model May 5 14" xfId="5039" xr:uid="{00000000-0005-0000-0000-0000A7130000}"/>
    <cellStyle name="_PercentSpace_FIG Weekly Model May 5 15" xfId="5040" xr:uid="{00000000-0005-0000-0000-0000A8130000}"/>
    <cellStyle name="_PercentSpace_FIG Weekly Model May 5 16" xfId="5041" xr:uid="{00000000-0005-0000-0000-0000A9130000}"/>
    <cellStyle name="_PercentSpace_FIG Weekly Model May 5 17" xfId="5042" xr:uid="{00000000-0005-0000-0000-0000AA130000}"/>
    <cellStyle name="_PercentSpace_FIG Weekly Model May 5 18" xfId="5043" xr:uid="{00000000-0005-0000-0000-0000AB130000}"/>
    <cellStyle name="_PercentSpace_FIG Weekly Model May 5 19" xfId="5044" xr:uid="{00000000-0005-0000-0000-0000AC130000}"/>
    <cellStyle name="_PercentSpace_FIG Weekly Model May 5 2" xfId="5045" xr:uid="{00000000-0005-0000-0000-0000AD130000}"/>
    <cellStyle name="_PercentSpace_FIG Weekly Model May 5 20" xfId="5046" xr:uid="{00000000-0005-0000-0000-0000AE130000}"/>
    <cellStyle name="_PercentSpace_FIG Weekly Model May 5 21" xfId="5047" xr:uid="{00000000-0005-0000-0000-0000AF130000}"/>
    <cellStyle name="_PercentSpace_FIG Weekly Model May 5 3" xfId="5048" xr:uid="{00000000-0005-0000-0000-0000B0130000}"/>
    <cellStyle name="_PercentSpace_FIG Weekly Model May 5 4" xfId="5049" xr:uid="{00000000-0005-0000-0000-0000B1130000}"/>
    <cellStyle name="_PercentSpace_FIG Weekly Model May 5 5" xfId="5050" xr:uid="{00000000-0005-0000-0000-0000B2130000}"/>
    <cellStyle name="_PercentSpace_FIG Weekly Model May 5 6" xfId="5051" xr:uid="{00000000-0005-0000-0000-0000B3130000}"/>
    <cellStyle name="_PercentSpace_FIG Weekly Model May 5 7" xfId="5052" xr:uid="{00000000-0005-0000-0000-0000B4130000}"/>
    <cellStyle name="_PercentSpace_FIG Weekly Model May 5 8" xfId="5053" xr:uid="{00000000-0005-0000-0000-0000B5130000}"/>
    <cellStyle name="_PercentSpace_FIG Weekly Model May 5 9" xfId="5054" xr:uid="{00000000-0005-0000-0000-0000B6130000}"/>
    <cellStyle name="_PercentSpace_Model 4-17" xfId="5055" xr:uid="{00000000-0005-0000-0000-0000B7130000}"/>
    <cellStyle name="_PercentSpace_Model 4-17 10" xfId="5056" xr:uid="{00000000-0005-0000-0000-0000B8130000}"/>
    <cellStyle name="_PercentSpace_Model 4-17 11" xfId="5057" xr:uid="{00000000-0005-0000-0000-0000B9130000}"/>
    <cellStyle name="_PercentSpace_Model 4-17 12" xfId="5058" xr:uid="{00000000-0005-0000-0000-0000BA130000}"/>
    <cellStyle name="_PercentSpace_Model 4-17 13" xfId="5059" xr:uid="{00000000-0005-0000-0000-0000BB130000}"/>
    <cellStyle name="_PercentSpace_Model 4-17 14" xfId="5060" xr:uid="{00000000-0005-0000-0000-0000BC130000}"/>
    <cellStyle name="_PercentSpace_Model 4-17 15" xfId="5061" xr:uid="{00000000-0005-0000-0000-0000BD130000}"/>
    <cellStyle name="_PercentSpace_Model 4-17 16" xfId="5062" xr:uid="{00000000-0005-0000-0000-0000BE130000}"/>
    <cellStyle name="_PercentSpace_Model 4-17 17" xfId="5063" xr:uid="{00000000-0005-0000-0000-0000BF130000}"/>
    <cellStyle name="_PercentSpace_Model 4-17 18" xfId="5064" xr:uid="{00000000-0005-0000-0000-0000C0130000}"/>
    <cellStyle name="_PercentSpace_Model 4-17 19" xfId="5065" xr:uid="{00000000-0005-0000-0000-0000C1130000}"/>
    <cellStyle name="_PercentSpace_Model 4-17 2" xfId="5066" xr:uid="{00000000-0005-0000-0000-0000C2130000}"/>
    <cellStyle name="_PercentSpace_Model 4-17 20" xfId="5067" xr:uid="{00000000-0005-0000-0000-0000C3130000}"/>
    <cellStyle name="_PercentSpace_Model 4-17 21" xfId="5068" xr:uid="{00000000-0005-0000-0000-0000C4130000}"/>
    <cellStyle name="_PercentSpace_Model 4-17 3" xfId="5069" xr:uid="{00000000-0005-0000-0000-0000C5130000}"/>
    <cellStyle name="_PercentSpace_Model 4-17 4" xfId="5070" xr:uid="{00000000-0005-0000-0000-0000C6130000}"/>
    <cellStyle name="_PercentSpace_Model 4-17 5" xfId="5071" xr:uid="{00000000-0005-0000-0000-0000C7130000}"/>
    <cellStyle name="_PercentSpace_Model 4-17 6" xfId="5072" xr:uid="{00000000-0005-0000-0000-0000C8130000}"/>
    <cellStyle name="_PercentSpace_Model 4-17 7" xfId="5073" xr:uid="{00000000-0005-0000-0000-0000C9130000}"/>
    <cellStyle name="_PercentSpace_Model 4-17 8" xfId="5074" xr:uid="{00000000-0005-0000-0000-0000CA130000}"/>
    <cellStyle name="_PercentSpace_Model 4-17 9" xfId="5075" xr:uid="{00000000-0005-0000-0000-0000CB130000}"/>
    <cellStyle name="_PercentSpace_Unrealized Gains" xfId="5076" xr:uid="{00000000-0005-0000-0000-0000CC130000}"/>
    <cellStyle name="_PercentSpace_Unrealized Gains 10" xfId="5077" xr:uid="{00000000-0005-0000-0000-0000CD130000}"/>
    <cellStyle name="_PercentSpace_Unrealized Gains 11" xfId="5078" xr:uid="{00000000-0005-0000-0000-0000CE130000}"/>
    <cellStyle name="_PercentSpace_Unrealized Gains 12" xfId="5079" xr:uid="{00000000-0005-0000-0000-0000CF130000}"/>
    <cellStyle name="_PercentSpace_Unrealized Gains 13" xfId="5080" xr:uid="{00000000-0005-0000-0000-0000D0130000}"/>
    <cellStyle name="_PercentSpace_Unrealized Gains 14" xfId="5081" xr:uid="{00000000-0005-0000-0000-0000D1130000}"/>
    <cellStyle name="_PercentSpace_Unrealized Gains 15" xfId="5082" xr:uid="{00000000-0005-0000-0000-0000D2130000}"/>
    <cellStyle name="_PercentSpace_Unrealized Gains 16" xfId="5083" xr:uid="{00000000-0005-0000-0000-0000D3130000}"/>
    <cellStyle name="_PercentSpace_Unrealized Gains 17" xfId="5084" xr:uid="{00000000-0005-0000-0000-0000D4130000}"/>
    <cellStyle name="_PercentSpace_Unrealized Gains 18" xfId="5085" xr:uid="{00000000-0005-0000-0000-0000D5130000}"/>
    <cellStyle name="_PercentSpace_Unrealized Gains 19" xfId="5086" xr:uid="{00000000-0005-0000-0000-0000D6130000}"/>
    <cellStyle name="_PercentSpace_Unrealized Gains 2" xfId="5087" xr:uid="{00000000-0005-0000-0000-0000D7130000}"/>
    <cellStyle name="_PercentSpace_Unrealized Gains 20" xfId="5088" xr:uid="{00000000-0005-0000-0000-0000D8130000}"/>
    <cellStyle name="_PercentSpace_Unrealized Gains 21" xfId="5089" xr:uid="{00000000-0005-0000-0000-0000D9130000}"/>
    <cellStyle name="_PercentSpace_Unrealized Gains 3" xfId="5090" xr:uid="{00000000-0005-0000-0000-0000DA130000}"/>
    <cellStyle name="_PercentSpace_Unrealized Gains 4" xfId="5091" xr:uid="{00000000-0005-0000-0000-0000DB130000}"/>
    <cellStyle name="_PercentSpace_Unrealized Gains 5" xfId="5092" xr:uid="{00000000-0005-0000-0000-0000DC130000}"/>
    <cellStyle name="_PercentSpace_Unrealized Gains 6" xfId="5093" xr:uid="{00000000-0005-0000-0000-0000DD130000}"/>
    <cellStyle name="_PercentSpace_Unrealized Gains 7" xfId="5094" xr:uid="{00000000-0005-0000-0000-0000DE130000}"/>
    <cellStyle name="_PercentSpace_Unrealized Gains 8" xfId="5095" xr:uid="{00000000-0005-0000-0000-0000DF130000}"/>
    <cellStyle name="_PercentSpace_Unrealized Gains 9" xfId="5096" xr:uid="{00000000-0005-0000-0000-0000E0130000}"/>
    <cellStyle name="_PF Model 8.2 v2" xfId="5097" xr:uid="{00000000-0005-0000-0000-0000E1130000}"/>
    <cellStyle name="_PF Model 8.2 v2 10" xfId="5098" xr:uid="{00000000-0005-0000-0000-0000E2130000}"/>
    <cellStyle name="_PF Model 8.2 v2 11" xfId="5099" xr:uid="{00000000-0005-0000-0000-0000E3130000}"/>
    <cellStyle name="_PF Model 8.2 v2 12" xfId="5100" xr:uid="{00000000-0005-0000-0000-0000E4130000}"/>
    <cellStyle name="_PF Model 8.2 v2 13" xfId="5101" xr:uid="{00000000-0005-0000-0000-0000E5130000}"/>
    <cellStyle name="_PF Model 8.2 v2 14" xfId="5102" xr:uid="{00000000-0005-0000-0000-0000E6130000}"/>
    <cellStyle name="_PF Model 8.2 v2 15" xfId="5103" xr:uid="{00000000-0005-0000-0000-0000E7130000}"/>
    <cellStyle name="_PF Model 8.2 v2 16" xfId="5104" xr:uid="{00000000-0005-0000-0000-0000E8130000}"/>
    <cellStyle name="_PF Model 8.2 v2 17" xfId="5105" xr:uid="{00000000-0005-0000-0000-0000E9130000}"/>
    <cellStyle name="_PF Model 8.2 v2 18" xfId="5106" xr:uid="{00000000-0005-0000-0000-0000EA130000}"/>
    <cellStyle name="_PF Model 8.2 v2 19" xfId="5107" xr:uid="{00000000-0005-0000-0000-0000EB130000}"/>
    <cellStyle name="_PF Model 8.2 v2 2" xfId="5108" xr:uid="{00000000-0005-0000-0000-0000EC130000}"/>
    <cellStyle name="_PF Model 8.2 v2 2 2" xfId="5109" xr:uid="{00000000-0005-0000-0000-0000ED130000}"/>
    <cellStyle name="_PF Model 8.2 v2 20" xfId="5110" xr:uid="{00000000-0005-0000-0000-0000EE130000}"/>
    <cellStyle name="_PF Model 8.2 v2 21" xfId="5111" xr:uid="{00000000-0005-0000-0000-0000EF130000}"/>
    <cellStyle name="_PF Model 8.2 v2 22" xfId="5112" xr:uid="{00000000-0005-0000-0000-0000F0130000}"/>
    <cellStyle name="_PF Model 8.2 v2 23" xfId="5113" xr:uid="{00000000-0005-0000-0000-0000F1130000}"/>
    <cellStyle name="_PF Model 8.2 v2 23 2" xfId="5114" xr:uid="{00000000-0005-0000-0000-0000F2130000}"/>
    <cellStyle name="_PF Model 8.2 v2 3" xfId="5115" xr:uid="{00000000-0005-0000-0000-0000F3130000}"/>
    <cellStyle name="_PF Model 8.2 v2 3 2" xfId="5116" xr:uid="{00000000-0005-0000-0000-0000F4130000}"/>
    <cellStyle name="_PF Model 8.2 v2 4" xfId="5117" xr:uid="{00000000-0005-0000-0000-0000F5130000}"/>
    <cellStyle name="_PF Model 8.2 v2 5" xfId="5118" xr:uid="{00000000-0005-0000-0000-0000F6130000}"/>
    <cellStyle name="_PF Model 8.2 v2 6" xfId="5119" xr:uid="{00000000-0005-0000-0000-0000F7130000}"/>
    <cellStyle name="_PF Model 8.2 v2 7" xfId="5120" xr:uid="{00000000-0005-0000-0000-0000F8130000}"/>
    <cellStyle name="_PF Model 8.2 v2 8" xfId="5121" xr:uid="{00000000-0005-0000-0000-0000F9130000}"/>
    <cellStyle name="_PF Model 8.2 v2 9" xfId="5122" xr:uid="{00000000-0005-0000-0000-0000FA130000}"/>
    <cellStyle name="_PF Model 8.2 v2_2.10.10 LS Distribution" xfId="5123" xr:uid="{00000000-0005-0000-0000-0000FB130000}"/>
    <cellStyle name="_PF Model 8.2 v2_AIF V 1Q09 Cash - FINAL" xfId="5124" xr:uid="{00000000-0005-0000-0000-0000FC130000}"/>
    <cellStyle name="_PF Model 8.2 v2_AIF V Cash - CURRENT" xfId="5125" xr:uid="{00000000-0005-0000-0000-0000FD130000}"/>
    <cellStyle name="_PF Model 8.2 v2_AIF V Professional Fees and other operating expenses(5)" xfId="5126" xr:uid="{00000000-0005-0000-0000-0000FE130000}"/>
    <cellStyle name="_PF Model 8.2 v2_AIF VI - BondcoVI_Entities Invested Capital (CURRENT)" xfId="5127" xr:uid="{00000000-0005-0000-0000-0000FF130000}"/>
    <cellStyle name="_PF Model 8.2 v2_AIF VI Broadleaf Watefall Summary as of 6-30-09 FINAL" xfId="5128" xr:uid="{00000000-0005-0000-0000-000000140000}"/>
    <cellStyle name="_PF Model 8.2 v2_AIF VI Broadleaf Watefall Summary as of 9-30-09" xfId="5129" xr:uid="{00000000-0005-0000-0000-000001140000}"/>
    <cellStyle name="_PF Model 8.2 v2_Broadleaf Watefall 12-31-09" xfId="5130" xr:uid="{00000000-0005-0000-0000-000002140000}"/>
    <cellStyle name="_PF Model 8.2 v2_Broadleaf Watefall 6-30-09" xfId="5131" xr:uid="{00000000-0005-0000-0000-000003140000}"/>
    <cellStyle name="_PF Model 8.2 v2_Broadleaf Watefall 9-30-09" xfId="5132" xr:uid="{00000000-0005-0000-0000-000004140000}"/>
    <cellStyle name="_PF Model 8.2 v2_Copy of AGM Dec '09 YTD COF I and II Dep  Liab (1-13-10) (2)" xfId="5133" xr:uid="{00000000-0005-0000-0000-000005140000}"/>
    <cellStyle name="_PF Model 8.2 v2_IC Balance" xfId="5134" xr:uid="{00000000-0005-0000-0000-000006140000}"/>
    <cellStyle name="_PF Model 8.2 v2_Invested Capital Debt Worksheet" xfId="5135" xr:uid="{00000000-0005-0000-0000-000007140000}"/>
    <cellStyle name="_PF Model 8.2 v2_MMF Income" xfId="5136" xr:uid="{00000000-0005-0000-0000-000008140000}"/>
    <cellStyle name="_PF Model 8.2 v2_Realized Gain Loss" xfId="5137" xr:uid="{00000000-0005-0000-0000-000009140000}"/>
    <cellStyle name="_PF Model 8.2 v2_TX Details" xfId="5138" xr:uid="{00000000-0005-0000-0000-00000A140000}"/>
    <cellStyle name="_Position Report" xfId="5139" xr:uid="{00000000-0005-0000-0000-00000B140000}"/>
    <cellStyle name="_Position Sheet" xfId="5140" xr:uid="{00000000-0005-0000-0000-00000C140000}"/>
    <cellStyle name="_Position Sheet 2" xfId="5141" xr:uid="{00000000-0005-0000-0000-00000D140000}"/>
    <cellStyle name="_Position Sheet_Conquest_Weekly_062910 FWD" xfId="5142" xr:uid="{00000000-0005-0000-0000-00000E140000}"/>
    <cellStyle name="_Position Sheet_Conquest_Weekly_2010-04-20" xfId="5143" xr:uid="{00000000-0005-0000-0000-00000F140000}"/>
    <cellStyle name="_Position Sheet_Geneva Fx Price" xfId="5144" xr:uid="{00000000-0005-0000-0000-000010140000}"/>
    <cellStyle name="_Position Sheet_Normandy Hill_Workbook_20091031" xfId="5145" xr:uid="{00000000-0005-0000-0000-000011140000}"/>
    <cellStyle name="_Position Sheet_Trading Accruals" xfId="5146" xr:uid="{00000000-0005-0000-0000-000012140000}"/>
    <cellStyle name="-_PR Calc" xfId="5147" xr:uid="{00000000-0005-0000-0000-000013140000}"/>
    <cellStyle name="-_PR Calc - DOMESTIC" xfId="5148" xr:uid="{00000000-0005-0000-0000-000014140000}"/>
    <cellStyle name="_Pre-tax income recon 6.10" xfId="5149" xr:uid="{00000000-0005-0000-0000-000015140000}"/>
    <cellStyle name="_Pre-tax income recon 6.10 10" xfId="5150" xr:uid="{00000000-0005-0000-0000-000016140000}"/>
    <cellStyle name="_Pre-tax income recon 6.10 11" xfId="5151" xr:uid="{00000000-0005-0000-0000-000017140000}"/>
    <cellStyle name="_Pre-tax income recon 6.10 12" xfId="5152" xr:uid="{00000000-0005-0000-0000-000018140000}"/>
    <cellStyle name="_Pre-tax income recon 6.10 13" xfId="5153" xr:uid="{00000000-0005-0000-0000-000019140000}"/>
    <cellStyle name="_Pre-tax income recon 6.10 14" xfId="5154" xr:uid="{00000000-0005-0000-0000-00001A140000}"/>
    <cellStyle name="_Pre-tax income recon 6.10 15" xfId="5155" xr:uid="{00000000-0005-0000-0000-00001B140000}"/>
    <cellStyle name="_Pre-tax income recon 6.10 16" xfId="5156" xr:uid="{00000000-0005-0000-0000-00001C140000}"/>
    <cellStyle name="_Pre-tax income recon 6.10 17" xfId="5157" xr:uid="{00000000-0005-0000-0000-00001D140000}"/>
    <cellStyle name="_Pre-tax income recon 6.10 18" xfId="5158" xr:uid="{00000000-0005-0000-0000-00001E140000}"/>
    <cellStyle name="_Pre-tax income recon 6.10 19" xfId="5159" xr:uid="{00000000-0005-0000-0000-00001F140000}"/>
    <cellStyle name="_Pre-tax income recon 6.10 2" xfId="5160" xr:uid="{00000000-0005-0000-0000-000020140000}"/>
    <cellStyle name="_Pre-tax income recon 6.10 20" xfId="5161" xr:uid="{00000000-0005-0000-0000-000021140000}"/>
    <cellStyle name="_Pre-tax income recon 6.10 21" xfId="5162" xr:uid="{00000000-0005-0000-0000-000022140000}"/>
    <cellStyle name="_Pre-tax income recon 6.10 21 2" xfId="5163" xr:uid="{00000000-0005-0000-0000-000023140000}"/>
    <cellStyle name="_Pre-tax income recon 6.10 3" xfId="5164" xr:uid="{00000000-0005-0000-0000-000024140000}"/>
    <cellStyle name="_Pre-tax income recon 6.10 4" xfId="5165" xr:uid="{00000000-0005-0000-0000-000025140000}"/>
    <cellStyle name="_Pre-tax income recon 6.10 5" xfId="5166" xr:uid="{00000000-0005-0000-0000-000026140000}"/>
    <cellStyle name="_Pre-tax income recon 6.10 6" xfId="5167" xr:uid="{00000000-0005-0000-0000-000027140000}"/>
    <cellStyle name="_Pre-tax income recon 6.10 7" xfId="5168" xr:uid="{00000000-0005-0000-0000-000028140000}"/>
    <cellStyle name="_Pre-tax income recon 6.10 8" xfId="5169" xr:uid="{00000000-0005-0000-0000-000029140000}"/>
    <cellStyle name="_Pre-tax income recon 6.10 9" xfId="5170" xr:uid="{00000000-0005-0000-0000-00002A140000}"/>
    <cellStyle name="_Pre-tax income recon 6.10_{6} Carry" xfId="5171" xr:uid="{00000000-0005-0000-0000-00002B140000}"/>
    <cellStyle name="_Pre-tax income recon 6.10_{6} Clawback" xfId="5172" xr:uid="{00000000-0005-0000-0000-00002C140000}"/>
    <cellStyle name="_Pre-tax income recon 6.10_2011 Q1 Monitoring Fees v3" xfId="5173" xr:uid="{00000000-0005-0000-0000-00002D140000}"/>
    <cellStyle name="_Pre-tax income recon 6.10_AIF IV Financial Highlights 12-31-08 v4" xfId="5174" xr:uid="{00000000-0005-0000-0000-00002E140000}"/>
    <cellStyle name="_Pre-tax income recon 6.10_AIF IV Financial Highlights 12-31-08 v4_Apollo Investment Fund IV  Q3 2009 Capital Analysis CURRENT" xfId="5175" xr:uid="{00000000-0005-0000-0000-00002F140000}"/>
    <cellStyle name="_Pre-tax income recon 6.10_AIF IV Financial Highlights 12-31-08 v4_Apollo Investment Fund IV  Q3 2009 Capital Analysis iPCS &amp; URI Distribution" xfId="5176" xr:uid="{00000000-0005-0000-0000-000030140000}"/>
    <cellStyle name="_Pre-tax income recon 6.10_AIF IV Financial Highlights 12-31-08 v4_iPCs#1-Remaining" xfId="5177" xr:uid="{00000000-0005-0000-0000-000031140000}"/>
    <cellStyle name="_Pre-tax income recon 6.10_Andy Affrick - Schedulev2" xfId="5178" xr:uid="{00000000-0005-0000-0000-000032140000}"/>
    <cellStyle name="_Pre-tax income recon 6.10_Apollo Investment Fund IV  April Priority Return" xfId="5179" xr:uid="{00000000-0005-0000-0000-000033140000}"/>
    <cellStyle name="_Pre-tax income recon 6.10_Apollo Investment Fund IV  Q1 2009 Capital Analysis 5-22-09 with GAAP" xfId="5180" xr:uid="{00000000-0005-0000-0000-000034140000}"/>
    <cellStyle name="_Pre-tax income recon 6.10_Apollo Investment Fund IV  Q1 2009 Capital Analysis GAAP" xfId="5181" xr:uid="{00000000-0005-0000-0000-000035140000}"/>
    <cellStyle name="_Pre-tax income recon 6.10_Apollo Investment Fund IV  Q2 2009 Capital Analysis CURRENT" xfId="5182" xr:uid="{00000000-0005-0000-0000-000036140000}"/>
    <cellStyle name="_Pre-tax income recon 6.10_Apollo Investment Fund IV  Q3 2009 Capital Analysis CURRENT" xfId="5183" xr:uid="{00000000-0005-0000-0000-000037140000}"/>
    <cellStyle name="_Pre-tax income recon 6.10_Apollo Investment Fund IV  Q3 2009 Capital Analysis iPCS &amp; URI Distribution" xfId="5184" xr:uid="{00000000-0005-0000-0000-000038140000}"/>
    <cellStyle name="_Pre-tax income recon 6.10_Apollo Investment Fund IV Priority Return 6-30-09" xfId="5185" xr:uid="{00000000-0005-0000-0000-000039140000}"/>
    <cellStyle name="_Pre-tax income recon 6.10_Apollo Investment Fund IV Q1 2009 Capital Analysis PR CORRECTED 6-30-09" xfId="5186" xr:uid="{00000000-0005-0000-0000-00003A140000}"/>
    <cellStyle name="_Pre-tax income recon 6.10_Broadleaf Watefall 9-30-09" xfId="5187" xr:uid="{00000000-0005-0000-0000-00003B140000}"/>
    <cellStyle name="_Pre-tax income recon 6.10_Carry Calculation" xfId="5188" xr:uid="{00000000-0005-0000-0000-00003C140000}"/>
    <cellStyle name="_Pre-tax income recon 6.10_COF I CAS" xfId="5189" xr:uid="{00000000-0005-0000-0000-00003D140000}"/>
    <cellStyle name="_Pre-tax income recon 6.10_COF II CAS" xfId="5190" xr:uid="{00000000-0005-0000-0000-00003E140000}"/>
    <cellStyle name="_Pre-tax income recon 6.10_Copy of AGM Dec '09 YTD COF I and II Dep  Liab (1-13-10) (2)" xfId="5191" xr:uid="{00000000-0005-0000-0000-00003F140000}"/>
    <cellStyle name="_Pre-tax income recon 6.10_Dist Summary_11.XX.09" xfId="5192" xr:uid="{00000000-0005-0000-0000-000040140000}"/>
    <cellStyle name="_Pre-tax income recon 6.10_Domestic TB" xfId="5193" xr:uid="{00000000-0005-0000-0000-000041140000}"/>
    <cellStyle name="_Pre-tax income recon 6.10_Domestic TB 2" xfId="5194" xr:uid="{00000000-0005-0000-0000-000042140000}"/>
    <cellStyle name="_Pre-tax income recon 6.10_Fund IV" xfId="5195" xr:uid="{00000000-0005-0000-0000-000043140000}"/>
    <cellStyle name="_Pre-tax income recon 6.10_Fund IV 9.30.08" xfId="5196" xr:uid="{00000000-0005-0000-0000-000044140000}"/>
    <cellStyle name="_Pre-tax income recon 6.10_Fund IV_1" xfId="5197" xr:uid="{00000000-0005-0000-0000-000045140000}"/>
    <cellStyle name="_Pre-tax income recon 6.10_Fund IV_AIF IV - Waterfall 3 31 09 vs  6 30 09" xfId="5198" xr:uid="{00000000-0005-0000-0000-000046140000}"/>
    <cellStyle name="_Pre-tax income recon 6.10_Fund IV_AIF IV, V, VI, VII, COF - Waterfall 3 31 09 vs  6 30 09" xfId="5199" xr:uid="{00000000-0005-0000-0000-000047140000}"/>
    <cellStyle name="_Pre-tax income recon 6.10_Fund IV_Fund IV" xfId="5200" xr:uid="{00000000-0005-0000-0000-000048140000}"/>
    <cellStyle name="_Pre-tax income recon 6.10_Fund IV_Funds IV Clawback Value Adjustment" xfId="5201" xr:uid="{00000000-0005-0000-0000-000049140000}"/>
    <cellStyle name="_Pre-tax income recon 6.10_IC Balance" xfId="5202" xr:uid="{00000000-0005-0000-0000-00004A140000}"/>
    <cellStyle name="_Pre-tax income recon 6.10_Invested Capital Debt Worksheet" xfId="5203" xr:uid="{00000000-0005-0000-0000-00004B140000}"/>
    <cellStyle name="_Pre-tax income recon 6.10_iPCs#1-Remaining" xfId="5204" xr:uid="{00000000-0005-0000-0000-00004C140000}"/>
    <cellStyle name="_Pre-tax income recon 6.10_LS, LP - Dec  2010 Trial Balance Summary" xfId="5205" xr:uid="{00000000-0005-0000-0000-00004D140000}"/>
    <cellStyle name="_Pre-tax income recon 6.10_Partners Capital Q1 2009" xfId="5206" xr:uid="{00000000-0005-0000-0000-00004E140000}"/>
    <cellStyle name="_Pre-tax income recon 6.10_Partners Capital Q1 2009 2" xfId="5207" xr:uid="{00000000-0005-0000-0000-00004F140000}"/>
    <cellStyle name="_Pre-tax income recon 6.10_Partners Capital Q1 2009 3" xfId="5208" xr:uid="{00000000-0005-0000-0000-000050140000}"/>
    <cellStyle name="_Pre-tax income recon 6.10_Partners Capital Q1 2009_Broadleaf Watefall 12-31-09" xfId="5209" xr:uid="{00000000-0005-0000-0000-000051140000}"/>
    <cellStyle name="_Pre-tax income recon 6.10_PR Calc" xfId="5210" xr:uid="{00000000-0005-0000-0000-000052140000}"/>
    <cellStyle name="_Pre-tax income recon 6.10_PR Calc - DOMESTIC" xfId="5211" xr:uid="{00000000-0005-0000-0000-000053140000}"/>
    <cellStyle name="_Pre-tax income recon 6.10_RCIV Q3 2009 Capital Analysis CURRENT" xfId="5212" xr:uid="{00000000-0005-0000-0000-000054140000}"/>
    <cellStyle name="_Pre-tax income recon 6.10_RCIV Q3 2009 Capital Analysis CURRENT 2" xfId="5213" xr:uid="{00000000-0005-0000-0000-000055140000}"/>
    <cellStyle name="_Pricing Sheet" xfId="5214" xr:uid="{00000000-0005-0000-0000-000056140000}"/>
    <cellStyle name="_Pricing Sheet 05-31-09 (3)" xfId="5215" xr:uid="{00000000-0005-0000-0000-000057140000}"/>
    <cellStyle name="_Pricing Sheet 05-31-09 (3) 2" xfId="5216" xr:uid="{00000000-0005-0000-0000-000058140000}"/>
    <cellStyle name="_Pricing Sheet 05-31-09 (3)_Geneva Fx Price" xfId="5217" xr:uid="{00000000-0005-0000-0000-000059140000}"/>
    <cellStyle name="_Pricing Sheet 05-31-09 (3)_Normandy Hill_Workbook_20091031" xfId="5218" xr:uid="{00000000-0005-0000-0000-00005A140000}"/>
    <cellStyle name="_Pricing Sheet 9-30-09" xfId="5219" xr:uid="{00000000-0005-0000-0000-00005B140000}"/>
    <cellStyle name="_Pricing Sheet_2011 Q1 Monitoring Fees v3" xfId="5220" xr:uid="{00000000-0005-0000-0000-00005C140000}"/>
    <cellStyle name="_Pricing Sheet_LS, LP - Dec  2010 Trial Balance Summary" xfId="5221" xr:uid="{00000000-0005-0000-0000-00005D140000}"/>
    <cellStyle name="_Pricing Sheet_Oak Hill Portfolio Accrued Interest_v11" xfId="5222" xr:uid="{00000000-0005-0000-0000-00005E140000}"/>
    <cellStyle name="_Pricing Sheet_Oak Hill Portfolio Accrued Interest_v11_2011 Q1 Monitoring Fees v3" xfId="5223" xr:uid="{00000000-0005-0000-0000-00005F140000}"/>
    <cellStyle name="_Pricing Sheet_Oak Hill Portfolio Accrued Interest_v11_LS, LP - Dec  2010 Trial Balance Summary" xfId="5224" xr:uid="{00000000-0005-0000-0000-000060140000}"/>
    <cellStyle name="_Priority Return" xfId="5225" xr:uid="{00000000-0005-0000-0000-000061140000}"/>
    <cellStyle name="_Priority Return 10" xfId="5226" xr:uid="{00000000-0005-0000-0000-000062140000}"/>
    <cellStyle name="_Priority Return 11" xfId="5227" xr:uid="{00000000-0005-0000-0000-000063140000}"/>
    <cellStyle name="_Priority Return 12" xfId="5228" xr:uid="{00000000-0005-0000-0000-000064140000}"/>
    <cellStyle name="_Priority Return 13" xfId="5229" xr:uid="{00000000-0005-0000-0000-000065140000}"/>
    <cellStyle name="_Priority Return 14" xfId="5230" xr:uid="{00000000-0005-0000-0000-000066140000}"/>
    <cellStyle name="_Priority Return 15" xfId="5231" xr:uid="{00000000-0005-0000-0000-000067140000}"/>
    <cellStyle name="_Priority Return 16" xfId="5232" xr:uid="{00000000-0005-0000-0000-000068140000}"/>
    <cellStyle name="_Priority Return 17" xfId="5233" xr:uid="{00000000-0005-0000-0000-000069140000}"/>
    <cellStyle name="_Priority Return 18" xfId="5234" xr:uid="{00000000-0005-0000-0000-00006A140000}"/>
    <cellStyle name="_Priority Return 19" xfId="5235" xr:uid="{00000000-0005-0000-0000-00006B140000}"/>
    <cellStyle name="_Priority Return 2" xfId="5236" xr:uid="{00000000-0005-0000-0000-00006C140000}"/>
    <cellStyle name="_Priority Return 2 2" xfId="5237" xr:uid="{00000000-0005-0000-0000-00006D140000}"/>
    <cellStyle name="_Priority Return 20" xfId="5238" xr:uid="{00000000-0005-0000-0000-00006E140000}"/>
    <cellStyle name="_Priority Return 21" xfId="5239" xr:uid="{00000000-0005-0000-0000-00006F140000}"/>
    <cellStyle name="_Priority Return 22" xfId="5240" xr:uid="{00000000-0005-0000-0000-000070140000}"/>
    <cellStyle name="_Priority Return 23" xfId="5241" xr:uid="{00000000-0005-0000-0000-000071140000}"/>
    <cellStyle name="_Priority Return 3" xfId="5242" xr:uid="{00000000-0005-0000-0000-000072140000}"/>
    <cellStyle name="_Priority Return 3 2" xfId="5243" xr:uid="{00000000-0005-0000-0000-000073140000}"/>
    <cellStyle name="_Priority Return 4" xfId="5244" xr:uid="{00000000-0005-0000-0000-000074140000}"/>
    <cellStyle name="_Priority Return 5" xfId="5245" xr:uid="{00000000-0005-0000-0000-000075140000}"/>
    <cellStyle name="_Priority Return 6" xfId="5246" xr:uid="{00000000-0005-0000-0000-000076140000}"/>
    <cellStyle name="_Priority Return 7" xfId="5247" xr:uid="{00000000-0005-0000-0000-000077140000}"/>
    <cellStyle name="_Priority Return 8" xfId="5248" xr:uid="{00000000-0005-0000-0000-000078140000}"/>
    <cellStyle name="_Priority Return 9" xfId="5249" xr:uid="{00000000-0005-0000-0000-000079140000}"/>
    <cellStyle name="_Priority Return_AIF VI - BondcoVI_Entities Invested Capital (CURRENT)" xfId="5250" xr:uid="{00000000-0005-0000-0000-00007A140000}"/>
    <cellStyle name="_Priority Return_AIF VI Broadleaf Watefall Summary as of 6-30-09 FINAL" xfId="5251" xr:uid="{00000000-0005-0000-0000-00007B140000}"/>
    <cellStyle name="_Priority Return_AIF VI Broadleaf Watefall Summary as of 9-30-09" xfId="5252" xr:uid="{00000000-0005-0000-0000-00007C140000}"/>
    <cellStyle name="_Priority Return_Broadleaf Watefall 12-31-09" xfId="5253" xr:uid="{00000000-0005-0000-0000-00007D140000}"/>
    <cellStyle name="_Priority Return_Broadleaf Watefall 6-30-09" xfId="5254" xr:uid="{00000000-0005-0000-0000-00007E140000}"/>
    <cellStyle name="_Priority Return_Broadleaf Watefall 9-30-09" xfId="5255" xr:uid="{00000000-0005-0000-0000-00007F140000}"/>
    <cellStyle name="_Priority Return_IC Balance" xfId="5256" xr:uid="{00000000-0005-0000-0000-000080140000}"/>
    <cellStyle name="_Priority Return_Invested Capital Debt Worksheet" xfId="5257" xr:uid="{00000000-0005-0000-0000-000081140000}"/>
    <cellStyle name="_Priority Return_MMF Income" xfId="5258" xr:uid="{00000000-0005-0000-0000-000082140000}"/>
    <cellStyle name="_Priority Return_Realized Gain Loss" xfId="5259" xr:uid="{00000000-0005-0000-0000-000083140000}"/>
    <cellStyle name="_pro forma tie-in DRAFT - WIP" xfId="5260" xr:uid="{00000000-0005-0000-0000-000084140000}"/>
    <cellStyle name="_pro forma tie-in DRAFT - WIP 10" xfId="5261" xr:uid="{00000000-0005-0000-0000-000085140000}"/>
    <cellStyle name="_pro forma tie-in DRAFT - WIP 11" xfId="5262" xr:uid="{00000000-0005-0000-0000-000086140000}"/>
    <cellStyle name="_pro forma tie-in DRAFT - WIP 12" xfId="5263" xr:uid="{00000000-0005-0000-0000-000087140000}"/>
    <cellStyle name="_pro forma tie-in DRAFT - WIP 13" xfId="5264" xr:uid="{00000000-0005-0000-0000-000088140000}"/>
    <cellStyle name="_pro forma tie-in DRAFT - WIP 14" xfId="5265" xr:uid="{00000000-0005-0000-0000-000089140000}"/>
    <cellStyle name="_pro forma tie-in DRAFT - WIP 15" xfId="5266" xr:uid="{00000000-0005-0000-0000-00008A140000}"/>
    <cellStyle name="_pro forma tie-in DRAFT - WIP 16" xfId="5267" xr:uid="{00000000-0005-0000-0000-00008B140000}"/>
    <cellStyle name="_pro forma tie-in DRAFT - WIP 17" xfId="5268" xr:uid="{00000000-0005-0000-0000-00008C140000}"/>
    <cellStyle name="_pro forma tie-in DRAFT - WIP 18" xfId="5269" xr:uid="{00000000-0005-0000-0000-00008D140000}"/>
    <cellStyle name="_pro forma tie-in DRAFT - WIP 19" xfId="5270" xr:uid="{00000000-0005-0000-0000-00008E140000}"/>
    <cellStyle name="_pro forma tie-in DRAFT - WIP 2" xfId="5271" xr:uid="{00000000-0005-0000-0000-00008F140000}"/>
    <cellStyle name="_pro forma tie-in DRAFT - WIP 20" xfId="5272" xr:uid="{00000000-0005-0000-0000-000090140000}"/>
    <cellStyle name="_pro forma tie-in DRAFT - WIP 21" xfId="5273" xr:uid="{00000000-0005-0000-0000-000091140000}"/>
    <cellStyle name="_pro forma tie-in DRAFT - WIP 21 2" xfId="5274" xr:uid="{00000000-0005-0000-0000-000092140000}"/>
    <cellStyle name="_pro forma tie-in DRAFT - WIP 3" xfId="5275" xr:uid="{00000000-0005-0000-0000-000093140000}"/>
    <cellStyle name="_pro forma tie-in DRAFT - WIP 4" xfId="5276" xr:uid="{00000000-0005-0000-0000-000094140000}"/>
    <cellStyle name="_pro forma tie-in DRAFT - WIP 5" xfId="5277" xr:uid="{00000000-0005-0000-0000-000095140000}"/>
    <cellStyle name="_pro forma tie-in DRAFT - WIP 6" xfId="5278" xr:uid="{00000000-0005-0000-0000-000096140000}"/>
    <cellStyle name="_pro forma tie-in DRAFT - WIP 7" xfId="5279" xr:uid="{00000000-0005-0000-0000-000097140000}"/>
    <cellStyle name="_pro forma tie-in DRAFT - WIP 8" xfId="5280" xr:uid="{00000000-0005-0000-0000-000098140000}"/>
    <cellStyle name="_pro forma tie-in DRAFT - WIP 9" xfId="5281" xr:uid="{00000000-0005-0000-0000-000099140000}"/>
    <cellStyle name="_pro forma tie-in DRAFT - WIP_{6} Carry" xfId="5282" xr:uid="{00000000-0005-0000-0000-00009A140000}"/>
    <cellStyle name="_pro forma tie-in DRAFT - WIP_{6} Clawback" xfId="5283" xr:uid="{00000000-0005-0000-0000-00009B140000}"/>
    <cellStyle name="_pro forma tie-in DRAFT - WIP_2011 Q1 Monitoring Fees v3" xfId="5284" xr:uid="{00000000-0005-0000-0000-00009C140000}"/>
    <cellStyle name="_pro forma tie-in DRAFT - WIP_AIF IV Financial Highlights 12-31-08 v4" xfId="5285" xr:uid="{00000000-0005-0000-0000-00009D140000}"/>
    <cellStyle name="_pro forma tie-in DRAFT - WIP_AIF IV Financial Highlights 12-31-08 v4_Apollo Investment Fund IV  Q3 2009 Capital Analysis CURRENT" xfId="5286" xr:uid="{00000000-0005-0000-0000-00009E140000}"/>
    <cellStyle name="_pro forma tie-in DRAFT - WIP_AIF IV Financial Highlights 12-31-08 v4_Apollo Investment Fund IV  Q3 2009 Capital Analysis iPCS &amp; URI Distribution" xfId="5287" xr:uid="{00000000-0005-0000-0000-00009F140000}"/>
    <cellStyle name="_pro forma tie-in DRAFT - WIP_AIF IV Financial Highlights 12-31-08 v4_iPCs#1-Remaining" xfId="5288" xr:uid="{00000000-0005-0000-0000-0000A0140000}"/>
    <cellStyle name="_pro forma tie-in DRAFT - WIP_Andy Affrick - Schedulev2" xfId="5289" xr:uid="{00000000-0005-0000-0000-0000A1140000}"/>
    <cellStyle name="_pro forma tie-in DRAFT - WIP_Apollo Investment Fund IV  April Priority Return" xfId="5290" xr:uid="{00000000-0005-0000-0000-0000A2140000}"/>
    <cellStyle name="_pro forma tie-in DRAFT - WIP_Apollo Investment Fund IV  Q1 2009 Capital Analysis 5-22-09 with GAAP" xfId="5291" xr:uid="{00000000-0005-0000-0000-0000A3140000}"/>
    <cellStyle name="_pro forma tie-in DRAFT - WIP_Apollo Investment Fund IV  Q1 2009 Capital Analysis GAAP" xfId="5292" xr:uid="{00000000-0005-0000-0000-0000A4140000}"/>
    <cellStyle name="_pro forma tie-in DRAFT - WIP_Apollo Investment Fund IV  Q2 2009 Capital Analysis CURRENT" xfId="5293" xr:uid="{00000000-0005-0000-0000-0000A5140000}"/>
    <cellStyle name="_pro forma tie-in DRAFT - WIP_Apollo Investment Fund IV  Q3 2009 Capital Analysis CURRENT" xfId="5294" xr:uid="{00000000-0005-0000-0000-0000A6140000}"/>
    <cellStyle name="_pro forma tie-in DRAFT - WIP_Apollo Investment Fund IV  Q3 2009 Capital Analysis iPCS &amp; URI Distribution" xfId="5295" xr:uid="{00000000-0005-0000-0000-0000A7140000}"/>
    <cellStyle name="_pro forma tie-in DRAFT - WIP_Apollo Investment Fund IV Priority Return 6-30-09" xfId="5296" xr:uid="{00000000-0005-0000-0000-0000A8140000}"/>
    <cellStyle name="_pro forma tie-in DRAFT - WIP_Apollo Investment Fund IV Q1 2009 Capital Analysis PR CORRECTED 6-30-09" xfId="5297" xr:uid="{00000000-0005-0000-0000-0000A9140000}"/>
    <cellStyle name="_pro forma tie-in DRAFT - WIP_Broadleaf Watefall 9-30-09" xfId="5298" xr:uid="{00000000-0005-0000-0000-0000AA140000}"/>
    <cellStyle name="_pro forma tie-in DRAFT - WIP_Carry Calculation" xfId="5299" xr:uid="{00000000-0005-0000-0000-0000AB140000}"/>
    <cellStyle name="_pro forma tie-in DRAFT - WIP_COF I CAS" xfId="5300" xr:uid="{00000000-0005-0000-0000-0000AC140000}"/>
    <cellStyle name="_pro forma tie-in DRAFT - WIP_COF II CAS" xfId="5301" xr:uid="{00000000-0005-0000-0000-0000AD140000}"/>
    <cellStyle name="_pro forma tie-in DRAFT - WIP_Copy of AGM Dec '09 YTD COF I and II Dep  Liab (1-13-10) (2)" xfId="5302" xr:uid="{00000000-0005-0000-0000-0000AE140000}"/>
    <cellStyle name="_pro forma tie-in DRAFT - WIP_Dist Summary_11.XX.09" xfId="5303" xr:uid="{00000000-0005-0000-0000-0000AF140000}"/>
    <cellStyle name="_pro forma tie-in DRAFT - WIP_Domestic TB" xfId="5304" xr:uid="{00000000-0005-0000-0000-0000B0140000}"/>
    <cellStyle name="_pro forma tie-in DRAFT - WIP_Domestic TB 2" xfId="5305" xr:uid="{00000000-0005-0000-0000-0000B1140000}"/>
    <cellStyle name="_pro forma tie-in DRAFT - WIP_Fund IV" xfId="5306" xr:uid="{00000000-0005-0000-0000-0000B2140000}"/>
    <cellStyle name="_pro forma tie-in DRAFT - WIP_Fund IV 9.30.08" xfId="5307" xr:uid="{00000000-0005-0000-0000-0000B3140000}"/>
    <cellStyle name="_pro forma tie-in DRAFT - WIP_Fund IV_1" xfId="5308" xr:uid="{00000000-0005-0000-0000-0000B4140000}"/>
    <cellStyle name="_pro forma tie-in DRAFT - WIP_Fund IV_AIF IV - Waterfall 3 31 09 vs  6 30 09" xfId="5309" xr:uid="{00000000-0005-0000-0000-0000B5140000}"/>
    <cellStyle name="_pro forma tie-in DRAFT - WIP_Fund IV_AIF IV, V, VI, VII, COF - Waterfall 3 31 09 vs  6 30 09" xfId="5310" xr:uid="{00000000-0005-0000-0000-0000B6140000}"/>
    <cellStyle name="_pro forma tie-in DRAFT - WIP_Fund IV_Fund IV" xfId="5311" xr:uid="{00000000-0005-0000-0000-0000B7140000}"/>
    <cellStyle name="_pro forma tie-in DRAFT - WIP_Fund IV_Funds IV Clawback Value Adjustment" xfId="5312" xr:uid="{00000000-0005-0000-0000-0000B8140000}"/>
    <cellStyle name="_pro forma tie-in DRAFT - WIP_IC Balance" xfId="5313" xr:uid="{00000000-0005-0000-0000-0000B9140000}"/>
    <cellStyle name="_pro forma tie-in DRAFT - WIP_Invested Capital Debt Worksheet" xfId="5314" xr:uid="{00000000-0005-0000-0000-0000BA140000}"/>
    <cellStyle name="_pro forma tie-in DRAFT - WIP_iPCs#1-Remaining" xfId="5315" xr:uid="{00000000-0005-0000-0000-0000BB140000}"/>
    <cellStyle name="_pro forma tie-in DRAFT - WIP_LS, LP - Dec  2010 Trial Balance Summary" xfId="5316" xr:uid="{00000000-0005-0000-0000-0000BC140000}"/>
    <cellStyle name="_pro forma tie-in DRAFT - WIP_Partners Capital Q1 2009" xfId="5317" xr:uid="{00000000-0005-0000-0000-0000BD140000}"/>
    <cellStyle name="_pro forma tie-in DRAFT - WIP_Partners Capital Q1 2009 2" xfId="5318" xr:uid="{00000000-0005-0000-0000-0000BE140000}"/>
    <cellStyle name="_pro forma tie-in DRAFT - WIP_Partners Capital Q1 2009 3" xfId="5319" xr:uid="{00000000-0005-0000-0000-0000BF140000}"/>
    <cellStyle name="_pro forma tie-in DRAFT - WIP_Partners Capital Q1 2009_Broadleaf Watefall 12-31-09" xfId="5320" xr:uid="{00000000-0005-0000-0000-0000C0140000}"/>
    <cellStyle name="_pro forma tie-in DRAFT - WIP_PR Calc" xfId="5321" xr:uid="{00000000-0005-0000-0000-0000C1140000}"/>
    <cellStyle name="_pro forma tie-in DRAFT - WIP_PR Calc - DOMESTIC" xfId="5322" xr:uid="{00000000-0005-0000-0000-0000C2140000}"/>
    <cellStyle name="_pro forma tie-in DRAFT - WIP_RCIV Q3 2009 Capital Analysis CURRENT" xfId="5323" xr:uid="{00000000-0005-0000-0000-0000C3140000}"/>
    <cellStyle name="_pro forma tie-in DRAFT - WIP_RCIV Q3 2009 Capital Analysis CURRENT 2" xfId="5324" xr:uid="{00000000-0005-0000-0000-0000C4140000}"/>
    <cellStyle name="_pro forma tie-in v2007_07_11-03_00" xfId="5325" xr:uid="{00000000-0005-0000-0000-0000C5140000}"/>
    <cellStyle name="_pro forma tie-in v2007_07_11-03_00 10" xfId="5326" xr:uid="{00000000-0005-0000-0000-0000C6140000}"/>
    <cellStyle name="_pro forma tie-in v2007_07_11-03_00 11" xfId="5327" xr:uid="{00000000-0005-0000-0000-0000C7140000}"/>
    <cellStyle name="_pro forma tie-in v2007_07_11-03_00 12" xfId="5328" xr:uid="{00000000-0005-0000-0000-0000C8140000}"/>
    <cellStyle name="_pro forma tie-in v2007_07_11-03_00 13" xfId="5329" xr:uid="{00000000-0005-0000-0000-0000C9140000}"/>
    <cellStyle name="_pro forma tie-in v2007_07_11-03_00 14" xfId="5330" xr:uid="{00000000-0005-0000-0000-0000CA140000}"/>
    <cellStyle name="_pro forma tie-in v2007_07_11-03_00 15" xfId="5331" xr:uid="{00000000-0005-0000-0000-0000CB140000}"/>
    <cellStyle name="_pro forma tie-in v2007_07_11-03_00 16" xfId="5332" xr:uid="{00000000-0005-0000-0000-0000CC140000}"/>
    <cellStyle name="_pro forma tie-in v2007_07_11-03_00 17" xfId="5333" xr:uid="{00000000-0005-0000-0000-0000CD140000}"/>
    <cellStyle name="_pro forma tie-in v2007_07_11-03_00 18" xfId="5334" xr:uid="{00000000-0005-0000-0000-0000CE140000}"/>
    <cellStyle name="_pro forma tie-in v2007_07_11-03_00 19" xfId="5335" xr:uid="{00000000-0005-0000-0000-0000CF140000}"/>
    <cellStyle name="_pro forma tie-in v2007_07_11-03_00 2" xfId="5336" xr:uid="{00000000-0005-0000-0000-0000D0140000}"/>
    <cellStyle name="_pro forma tie-in v2007_07_11-03_00 20" xfId="5337" xr:uid="{00000000-0005-0000-0000-0000D1140000}"/>
    <cellStyle name="_pro forma tie-in v2007_07_11-03_00 21" xfId="5338" xr:uid="{00000000-0005-0000-0000-0000D2140000}"/>
    <cellStyle name="_pro forma tie-in v2007_07_11-03_00 21 2" xfId="5339" xr:uid="{00000000-0005-0000-0000-0000D3140000}"/>
    <cellStyle name="_pro forma tie-in v2007_07_11-03_00 3" xfId="5340" xr:uid="{00000000-0005-0000-0000-0000D4140000}"/>
    <cellStyle name="_pro forma tie-in v2007_07_11-03_00 4" xfId="5341" xr:uid="{00000000-0005-0000-0000-0000D5140000}"/>
    <cellStyle name="_pro forma tie-in v2007_07_11-03_00 5" xfId="5342" xr:uid="{00000000-0005-0000-0000-0000D6140000}"/>
    <cellStyle name="_pro forma tie-in v2007_07_11-03_00 6" xfId="5343" xr:uid="{00000000-0005-0000-0000-0000D7140000}"/>
    <cellStyle name="_pro forma tie-in v2007_07_11-03_00 7" xfId="5344" xr:uid="{00000000-0005-0000-0000-0000D8140000}"/>
    <cellStyle name="_pro forma tie-in v2007_07_11-03_00 8" xfId="5345" xr:uid="{00000000-0005-0000-0000-0000D9140000}"/>
    <cellStyle name="_pro forma tie-in v2007_07_11-03_00 9" xfId="5346" xr:uid="{00000000-0005-0000-0000-0000DA140000}"/>
    <cellStyle name="_pro forma tie-in v2007_07_11-03_00_{6} Carry" xfId="5347" xr:uid="{00000000-0005-0000-0000-0000DB140000}"/>
    <cellStyle name="_pro forma tie-in v2007_07_11-03_00_{6} Clawback" xfId="5348" xr:uid="{00000000-0005-0000-0000-0000DC140000}"/>
    <cellStyle name="_pro forma tie-in v2007_07_11-03_00_2011 Q1 Monitoring Fees v3" xfId="5349" xr:uid="{00000000-0005-0000-0000-0000DD140000}"/>
    <cellStyle name="_pro forma tie-in v2007_07_11-03_00_AIF IV Financial Highlights 12-31-08 v4" xfId="5350" xr:uid="{00000000-0005-0000-0000-0000DE140000}"/>
    <cellStyle name="_pro forma tie-in v2007_07_11-03_00_AIF IV Financial Highlights 12-31-08 v4_Apollo Investment Fund IV  Q3 2009 Capital Analysis CURRENT" xfId="5351" xr:uid="{00000000-0005-0000-0000-0000DF140000}"/>
    <cellStyle name="_pro forma tie-in v2007_07_11-03_00_AIF IV Financial Highlights 12-31-08 v4_Apollo Investment Fund IV  Q3 2009 Capital Analysis iPCS &amp; URI Distribution" xfId="5352" xr:uid="{00000000-0005-0000-0000-0000E0140000}"/>
    <cellStyle name="_pro forma tie-in v2007_07_11-03_00_AIF IV Financial Highlights 12-31-08 v4_iPCs#1-Remaining" xfId="5353" xr:uid="{00000000-0005-0000-0000-0000E1140000}"/>
    <cellStyle name="_pro forma tie-in v2007_07_11-03_00_Andy Affrick - Schedulev2" xfId="5354" xr:uid="{00000000-0005-0000-0000-0000E2140000}"/>
    <cellStyle name="_pro forma tie-in v2007_07_11-03_00_Apollo Investment Fund IV  April Priority Return" xfId="5355" xr:uid="{00000000-0005-0000-0000-0000E3140000}"/>
    <cellStyle name="_pro forma tie-in v2007_07_11-03_00_Apollo Investment Fund IV  Q1 2009 Capital Analysis 5-22-09 with GAAP" xfId="5356" xr:uid="{00000000-0005-0000-0000-0000E4140000}"/>
    <cellStyle name="_pro forma tie-in v2007_07_11-03_00_Apollo Investment Fund IV  Q1 2009 Capital Analysis GAAP" xfId="5357" xr:uid="{00000000-0005-0000-0000-0000E5140000}"/>
    <cellStyle name="_pro forma tie-in v2007_07_11-03_00_Apollo Investment Fund IV  Q2 2009 Capital Analysis CURRENT" xfId="5358" xr:uid="{00000000-0005-0000-0000-0000E6140000}"/>
    <cellStyle name="_pro forma tie-in v2007_07_11-03_00_Apollo Investment Fund IV  Q3 2009 Capital Analysis CURRENT" xfId="5359" xr:uid="{00000000-0005-0000-0000-0000E7140000}"/>
    <cellStyle name="_pro forma tie-in v2007_07_11-03_00_Apollo Investment Fund IV  Q3 2009 Capital Analysis iPCS &amp; URI Distribution" xfId="5360" xr:uid="{00000000-0005-0000-0000-0000E8140000}"/>
    <cellStyle name="_pro forma tie-in v2007_07_11-03_00_Apollo Investment Fund IV Priority Return 6-30-09" xfId="5361" xr:uid="{00000000-0005-0000-0000-0000E9140000}"/>
    <cellStyle name="_pro forma tie-in v2007_07_11-03_00_Apollo Investment Fund IV Q1 2009 Capital Analysis PR CORRECTED 6-30-09" xfId="5362" xr:uid="{00000000-0005-0000-0000-0000EA140000}"/>
    <cellStyle name="_pro forma tie-in v2007_07_11-03_00_Broadleaf Watefall 9-30-09" xfId="5363" xr:uid="{00000000-0005-0000-0000-0000EB140000}"/>
    <cellStyle name="_pro forma tie-in v2007_07_11-03_00_Carry Calculation" xfId="5364" xr:uid="{00000000-0005-0000-0000-0000EC140000}"/>
    <cellStyle name="_pro forma tie-in v2007_07_11-03_00_COF I CAS" xfId="5365" xr:uid="{00000000-0005-0000-0000-0000ED140000}"/>
    <cellStyle name="_pro forma tie-in v2007_07_11-03_00_COF II CAS" xfId="5366" xr:uid="{00000000-0005-0000-0000-0000EE140000}"/>
    <cellStyle name="_pro forma tie-in v2007_07_11-03_00_Copy of AGM Dec '09 YTD COF I and II Dep  Liab (1-13-10) (2)" xfId="5367" xr:uid="{00000000-0005-0000-0000-0000EF140000}"/>
    <cellStyle name="_pro forma tie-in v2007_07_11-03_00_Dist Summary_11.XX.09" xfId="5368" xr:uid="{00000000-0005-0000-0000-0000F0140000}"/>
    <cellStyle name="_pro forma tie-in v2007_07_11-03_00_Domestic TB" xfId="5369" xr:uid="{00000000-0005-0000-0000-0000F1140000}"/>
    <cellStyle name="_pro forma tie-in v2007_07_11-03_00_Domestic TB 2" xfId="5370" xr:uid="{00000000-0005-0000-0000-0000F2140000}"/>
    <cellStyle name="_pro forma tie-in v2007_07_11-03_00_Fund IV" xfId="5371" xr:uid="{00000000-0005-0000-0000-0000F3140000}"/>
    <cellStyle name="_pro forma tie-in v2007_07_11-03_00_Fund IV 9.30.08" xfId="5372" xr:uid="{00000000-0005-0000-0000-0000F4140000}"/>
    <cellStyle name="_pro forma tie-in v2007_07_11-03_00_Fund IV_1" xfId="5373" xr:uid="{00000000-0005-0000-0000-0000F5140000}"/>
    <cellStyle name="_pro forma tie-in v2007_07_11-03_00_Fund IV_AIF IV - Waterfall 3 31 09 vs  6 30 09" xfId="5374" xr:uid="{00000000-0005-0000-0000-0000F6140000}"/>
    <cellStyle name="_pro forma tie-in v2007_07_11-03_00_Fund IV_AIF IV, V, VI, VII, COF - Waterfall 3 31 09 vs  6 30 09" xfId="5375" xr:uid="{00000000-0005-0000-0000-0000F7140000}"/>
    <cellStyle name="_pro forma tie-in v2007_07_11-03_00_Fund IV_Fund IV" xfId="5376" xr:uid="{00000000-0005-0000-0000-0000F8140000}"/>
    <cellStyle name="_pro forma tie-in v2007_07_11-03_00_Fund IV_Funds IV Clawback Value Adjustment" xfId="5377" xr:uid="{00000000-0005-0000-0000-0000F9140000}"/>
    <cellStyle name="_pro forma tie-in v2007_07_11-03_00_IC Balance" xfId="5378" xr:uid="{00000000-0005-0000-0000-0000FA140000}"/>
    <cellStyle name="_pro forma tie-in v2007_07_11-03_00_Invested Capital Debt Worksheet" xfId="5379" xr:uid="{00000000-0005-0000-0000-0000FB140000}"/>
    <cellStyle name="_pro forma tie-in v2007_07_11-03_00_iPCs#1-Remaining" xfId="5380" xr:uid="{00000000-0005-0000-0000-0000FC140000}"/>
    <cellStyle name="_pro forma tie-in v2007_07_11-03_00_LS, LP - Dec  2010 Trial Balance Summary" xfId="5381" xr:uid="{00000000-0005-0000-0000-0000FD140000}"/>
    <cellStyle name="_pro forma tie-in v2007_07_11-03_00_Partners Capital Q1 2009" xfId="5382" xr:uid="{00000000-0005-0000-0000-0000FE140000}"/>
    <cellStyle name="_pro forma tie-in v2007_07_11-03_00_Partners Capital Q1 2009 2" xfId="5383" xr:uid="{00000000-0005-0000-0000-0000FF140000}"/>
    <cellStyle name="_pro forma tie-in v2007_07_11-03_00_Partners Capital Q1 2009 3" xfId="5384" xr:uid="{00000000-0005-0000-0000-000000150000}"/>
    <cellStyle name="_pro forma tie-in v2007_07_11-03_00_Partners Capital Q1 2009_Broadleaf Watefall 12-31-09" xfId="5385" xr:uid="{00000000-0005-0000-0000-000001150000}"/>
    <cellStyle name="_pro forma tie-in v2007_07_11-03_00_PR Calc" xfId="5386" xr:uid="{00000000-0005-0000-0000-000002150000}"/>
    <cellStyle name="_pro forma tie-in v2007_07_11-03_00_PR Calc - DOMESTIC" xfId="5387" xr:uid="{00000000-0005-0000-0000-000003150000}"/>
    <cellStyle name="_pro forma tie-in v2007_07_11-03_00_RCIV Q3 2009 Capital Analysis CURRENT" xfId="5388" xr:uid="{00000000-0005-0000-0000-000004150000}"/>
    <cellStyle name="_pro forma tie-in v2007_07_11-03_00_RCIV Q3 2009 Capital Analysis CURRENT 2" xfId="5389" xr:uid="{00000000-0005-0000-0000-000005150000}"/>
    <cellStyle name="_Q4 2005  Italian Magna Charta" xfId="5390" xr:uid="{00000000-0005-0000-0000-000006150000}"/>
    <cellStyle name="_Q4 2005  Italian Magna Charta 10" xfId="5391" xr:uid="{00000000-0005-0000-0000-000007150000}"/>
    <cellStyle name="_Q4 2005  Italian Magna Charta 11" xfId="5392" xr:uid="{00000000-0005-0000-0000-000008150000}"/>
    <cellStyle name="_Q4 2005  Italian Magna Charta 12" xfId="5393" xr:uid="{00000000-0005-0000-0000-000009150000}"/>
    <cellStyle name="_Q4 2005  Italian Magna Charta 13" xfId="5394" xr:uid="{00000000-0005-0000-0000-00000A150000}"/>
    <cellStyle name="_Q4 2005  Italian Magna Charta 14" xfId="5395" xr:uid="{00000000-0005-0000-0000-00000B150000}"/>
    <cellStyle name="_Q4 2005  Italian Magna Charta 15" xfId="5396" xr:uid="{00000000-0005-0000-0000-00000C150000}"/>
    <cellStyle name="_Q4 2005  Italian Magna Charta 16" xfId="5397" xr:uid="{00000000-0005-0000-0000-00000D150000}"/>
    <cellStyle name="_Q4 2005  Italian Magna Charta 17" xfId="5398" xr:uid="{00000000-0005-0000-0000-00000E150000}"/>
    <cellStyle name="_Q4 2005  Italian Magna Charta 18" xfId="5399" xr:uid="{00000000-0005-0000-0000-00000F150000}"/>
    <cellStyle name="_Q4 2005  Italian Magna Charta 19" xfId="5400" xr:uid="{00000000-0005-0000-0000-000010150000}"/>
    <cellStyle name="_Q4 2005  Italian Magna Charta 2" xfId="5401" xr:uid="{00000000-0005-0000-0000-000011150000}"/>
    <cellStyle name="_Q4 2005  Italian Magna Charta 20" xfId="5402" xr:uid="{00000000-0005-0000-0000-000012150000}"/>
    <cellStyle name="_Q4 2005  Italian Magna Charta 21" xfId="5403" xr:uid="{00000000-0005-0000-0000-000013150000}"/>
    <cellStyle name="_Q4 2005  Italian Magna Charta 21 2" xfId="5404" xr:uid="{00000000-0005-0000-0000-000014150000}"/>
    <cellStyle name="_Q4 2005  Italian Magna Charta 3" xfId="5405" xr:uid="{00000000-0005-0000-0000-000015150000}"/>
    <cellStyle name="_Q4 2005  Italian Magna Charta 4" xfId="5406" xr:uid="{00000000-0005-0000-0000-000016150000}"/>
    <cellStyle name="_Q4 2005  Italian Magna Charta 5" xfId="5407" xr:uid="{00000000-0005-0000-0000-000017150000}"/>
    <cellStyle name="_Q4 2005  Italian Magna Charta 6" xfId="5408" xr:uid="{00000000-0005-0000-0000-000018150000}"/>
    <cellStyle name="_Q4 2005  Italian Magna Charta 7" xfId="5409" xr:uid="{00000000-0005-0000-0000-000019150000}"/>
    <cellStyle name="_Q4 2005  Italian Magna Charta 8" xfId="5410" xr:uid="{00000000-0005-0000-0000-00001A150000}"/>
    <cellStyle name="_Q4 2005  Italian Magna Charta 9" xfId="5411" xr:uid="{00000000-0005-0000-0000-00001B150000}"/>
    <cellStyle name="_Q4 2005  Italian Magna Charta_{6} Carry" xfId="5412" xr:uid="{00000000-0005-0000-0000-00001C150000}"/>
    <cellStyle name="_Q4 2005  Italian Magna Charta_{6} Clawback" xfId="5413" xr:uid="{00000000-0005-0000-0000-00001D150000}"/>
    <cellStyle name="_Q4 2005  Italian Magna Charta_2011 Q1 Monitoring Fees v3" xfId="5414" xr:uid="{00000000-0005-0000-0000-00001E150000}"/>
    <cellStyle name="_Q4 2005  Italian Magna Charta_Advisors VII DECEMBER on 3-31-09 8pm" xfId="5415" xr:uid="{00000000-0005-0000-0000-00001F150000}"/>
    <cellStyle name="_Q4 2005  Italian Magna Charta_AIF IV Financial Highlights 12-31-08 v4" xfId="5416" xr:uid="{00000000-0005-0000-0000-000020150000}"/>
    <cellStyle name="_Q4 2005  Italian Magna Charta_AIF IV Financial Highlights 12-31-08 v4_Apollo Investment Fund IV  Q3 2009 Capital Analysis CURRENT" xfId="5417" xr:uid="{00000000-0005-0000-0000-000021150000}"/>
    <cellStyle name="_Q4 2005  Italian Magna Charta_AIF IV Financial Highlights 12-31-08 v4_Apollo Investment Fund IV  Q3 2009 Capital Analysis iPCS &amp; URI Distribution" xfId="5418" xr:uid="{00000000-0005-0000-0000-000022150000}"/>
    <cellStyle name="_Q4 2005  Italian Magna Charta_AIF IV Financial Highlights 12-31-08 v4_iPCs#1-Remaining" xfId="5419" xr:uid="{00000000-0005-0000-0000-000023150000}"/>
    <cellStyle name="_Q4 2005  Italian Magna Charta_AIF V 1Q09 Cash - FINAL" xfId="5420" xr:uid="{00000000-0005-0000-0000-000024150000}"/>
    <cellStyle name="_Q4 2005  Italian Magna Charta_AIF VI  VII Summary Dec 2008 v3" xfId="5421" xr:uid="{00000000-0005-0000-0000-000025150000}"/>
    <cellStyle name="_Q4 2005  Italian Magna Charta_AIF VI  VII Summary Dec 2008 v3 10" xfId="5422" xr:uid="{00000000-0005-0000-0000-000026150000}"/>
    <cellStyle name="_Q4 2005  Italian Magna Charta_AIF VI  VII Summary Dec 2008 v3 11" xfId="5423" xr:uid="{00000000-0005-0000-0000-000027150000}"/>
    <cellStyle name="_Q4 2005  Italian Magna Charta_AIF VI  VII Summary Dec 2008 v3 12" xfId="5424" xr:uid="{00000000-0005-0000-0000-000028150000}"/>
    <cellStyle name="_Q4 2005  Italian Magna Charta_AIF VI  VII Summary Dec 2008 v3 13" xfId="5425" xr:uid="{00000000-0005-0000-0000-000029150000}"/>
    <cellStyle name="_Q4 2005  Italian Magna Charta_AIF VI  VII Summary Dec 2008 v3 14" xfId="5426" xr:uid="{00000000-0005-0000-0000-00002A150000}"/>
    <cellStyle name="_Q4 2005  Italian Magna Charta_AIF VI  VII Summary Dec 2008 v3 15" xfId="5427" xr:uid="{00000000-0005-0000-0000-00002B150000}"/>
    <cellStyle name="_Q4 2005  Italian Magna Charta_AIF VI  VII Summary Dec 2008 v3 16" xfId="5428" xr:uid="{00000000-0005-0000-0000-00002C150000}"/>
    <cellStyle name="_Q4 2005  Italian Magna Charta_AIF VI  VII Summary Dec 2008 v3 17" xfId="5429" xr:uid="{00000000-0005-0000-0000-00002D150000}"/>
    <cellStyle name="_Q4 2005  Italian Magna Charta_AIF VI  VII Summary Dec 2008 v3 18" xfId="5430" xr:uid="{00000000-0005-0000-0000-00002E150000}"/>
    <cellStyle name="_Q4 2005  Italian Magna Charta_AIF VI  VII Summary Dec 2008 v3 19" xfId="5431" xr:uid="{00000000-0005-0000-0000-00002F150000}"/>
    <cellStyle name="_Q4 2005  Italian Magna Charta_AIF VI  VII Summary Dec 2008 v3 2" xfId="5432" xr:uid="{00000000-0005-0000-0000-000030150000}"/>
    <cellStyle name="_Q4 2005  Italian Magna Charta_AIF VI  VII Summary Dec 2008 v3 20" xfId="5433" xr:uid="{00000000-0005-0000-0000-000031150000}"/>
    <cellStyle name="_Q4 2005  Italian Magna Charta_AIF VI  VII Summary Dec 2008 v3 21" xfId="5434" xr:uid="{00000000-0005-0000-0000-000032150000}"/>
    <cellStyle name="_Q4 2005  Italian Magna Charta_AIF VI  VII Summary Dec 2008 v3 3" xfId="5435" xr:uid="{00000000-0005-0000-0000-000033150000}"/>
    <cellStyle name="_Q4 2005  Italian Magna Charta_AIF VI  VII Summary Dec 2008 v3 4" xfId="5436" xr:uid="{00000000-0005-0000-0000-000034150000}"/>
    <cellStyle name="_Q4 2005  Italian Magna Charta_AIF VI  VII Summary Dec 2008 v3 5" xfId="5437" xr:uid="{00000000-0005-0000-0000-000035150000}"/>
    <cellStyle name="_Q4 2005  Italian Magna Charta_AIF VI  VII Summary Dec 2008 v3 6" xfId="5438" xr:uid="{00000000-0005-0000-0000-000036150000}"/>
    <cellStyle name="_Q4 2005  Italian Magna Charta_AIF VI  VII Summary Dec 2008 v3 7" xfId="5439" xr:uid="{00000000-0005-0000-0000-000037150000}"/>
    <cellStyle name="_Q4 2005  Italian Magna Charta_AIF VI  VII Summary Dec 2008 v3 8" xfId="5440" xr:uid="{00000000-0005-0000-0000-000038150000}"/>
    <cellStyle name="_Q4 2005  Italian Magna Charta_AIF VI  VII Summary Dec 2008 v3 9" xfId="5441" xr:uid="{00000000-0005-0000-0000-000039150000}"/>
    <cellStyle name="_Q4 2005  Italian Magna Charta_AIF VI  VII Summary Dec 2008 v3_Broadleaf Watefall 12-31-09" xfId="5442" xr:uid="{00000000-0005-0000-0000-00003A150000}"/>
    <cellStyle name="_Q4 2005  Italian Magna Charta_AIF VI  VII Summary Dec 2008 v3_Dist Summary_11.XX.09" xfId="5443" xr:uid="{00000000-0005-0000-0000-00003B150000}"/>
    <cellStyle name="_Q4 2005  Italian Magna Charta_AIF VI  VII Summary Dec 2008 v3_IC Balance" xfId="5444" xr:uid="{00000000-0005-0000-0000-00003C150000}"/>
    <cellStyle name="_Q4 2005  Italian Magna Charta_AIF VI  VII Summary Dec 2008 v3_Invested Capital Debt Worksheet" xfId="5445" xr:uid="{00000000-0005-0000-0000-00003D150000}"/>
    <cellStyle name="_Q4 2005  Italian Magna Charta_AIF VI CBA 3.20.08" xfId="5446" xr:uid="{00000000-0005-0000-0000-00003E150000}"/>
    <cellStyle name="_Q4 2005  Italian Magna Charta_AIF VI CBA 3.20.08_Broadleaf Watefall 12-31-09" xfId="5447" xr:uid="{00000000-0005-0000-0000-00003F150000}"/>
    <cellStyle name="_Q4 2005  Italian Magna Charta_AIF VI CBA 3.20.08_Dist Summary_11.XX.09" xfId="5448" xr:uid="{00000000-0005-0000-0000-000040150000}"/>
    <cellStyle name="_Q4 2005  Italian Magna Charta_AIF VI CBA 3.20.08_IC Balance" xfId="5449" xr:uid="{00000000-0005-0000-0000-000041150000}"/>
    <cellStyle name="_Q4 2005  Italian Magna Charta_AIF VI CBA 3.20.08_Invested Capital Debt Worksheet" xfId="5450" xr:uid="{00000000-0005-0000-0000-000042150000}"/>
    <cellStyle name="_Q4 2005  Italian Magna Charta_AIF VII Capital Balance Analysis INCEPTION to 09-30-08 on 10-13-08 8am" xfId="5451" xr:uid="{00000000-0005-0000-0000-000043150000}"/>
    <cellStyle name="_Q4 2005  Italian Magna Charta_AIF VII Capital Balance Analysis INCEPTION to 09-30-08 on 10-13-08 8am 2" xfId="5452" xr:uid="{00000000-0005-0000-0000-000044150000}"/>
    <cellStyle name="_Q4 2005  Italian Magna Charta_AIF VII Capital Balance Analysis INCEPTION to 09-30-08 on 10-13-08 8am_Broadleaf Watefall 12-31-09" xfId="5453" xr:uid="{00000000-0005-0000-0000-000045150000}"/>
    <cellStyle name="_Q4 2005  Italian Magna Charta_AIF VII Capital Balance Analysis INCEPTION to 09-30-08 on 10-13-08 8am_Dist Summary_11.XX.09" xfId="5454" xr:uid="{00000000-0005-0000-0000-000046150000}"/>
    <cellStyle name="_Q4 2005  Italian Magna Charta_AIF VII Capital Balance Analysis INCEPTION to 09-30-08 on 10-13-08 8am_IC Balance" xfId="5455" xr:uid="{00000000-0005-0000-0000-000047150000}"/>
    <cellStyle name="_Q4 2005  Italian Magna Charta_AIF VII Capital Balance Analysis INCEPTION to 09-30-08 on 10-13-08 8am_Invested Capital Debt Worksheet" xfId="5456" xr:uid="{00000000-0005-0000-0000-000048150000}"/>
    <cellStyle name="_Q4 2005  Italian Magna Charta_Andy Affrick - Schedulev2" xfId="5457" xr:uid="{00000000-0005-0000-0000-000049150000}"/>
    <cellStyle name="_Q4 2005  Italian Magna Charta_Apollo Advisors IV 12-31-08 GAAP TB Final" xfId="5458" xr:uid="{00000000-0005-0000-0000-00004A150000}"/>
    <cellStyle name="_Q4 2005  Italian Magna Charta_Apollo Advisors IV 12-31-08 TB (Revised for Aggr PR)" xfId="5459" xr:uid="{00000000-0005-0000-0000-00004B150000}"/>
    <cellStyle name="_Q4 2005  Italian Magna Charta_Apollo Advisors IV 6-30-09 GAAP TB" xfId="5460" xr:uid="{00000000-0005-0000-0000-00004C150000}"/>
    <cellStyle name="_Q4 2005  Italian Magna Charta_Apollo Advisors V 09-30-08 CURRENT" xfId="5461" xr:uid="{00000000-0005-0000-0000-00004D150000}"/>
    <cellStyle name="_Q4 2005  Italian Magna Charta_Apollo Investment Fund IV  April Priority Return" xfId="5462" xr:uid="{00000000-0005-0000-0000-00004E150000}"/>
    <cellStyle name="_Q4 2005  Italian Magna Charta_Apollo Investment Fund IV  Q1 2009 Capital Analysis 5-22-09 with GAAP" xfId="5463" xr:uid="{00000000-0005-0000-0000-00004F150000}"/>
    <cellStyle name="_Q4 2005  Italian Magna Charta_Apollo Investment Fund IV  Q1 2009 Capital Analysis GAAP" xfId="5464" xr:uid="{00000000-0005-0000-0000-000050150000}"/>
    <cellStyle name="_Q4 2005  Italian Magna Charta_Apollo Investment Fund IV  Q2 2009 Capital Analysis CURRENT" xfId="5465" xr:uid="{00000000-0005-0000-0000-000051150000}"/>
    <cellStyle name="_Q4 2005  Italian Magna Charta_Apollo Investment Fund IV  Q3 2009 Capital Analysis CURRENT" xfId="5466" xr:uid="{00000000-0005-0000-0000-000052150000}"/>
    <cellStyle name="_Q4 2005  Italian Magna Charta_Apollo Investment Fund IV  Q3 2009 Capital Analysis iPCS &amp; URI Distribution" xfId="5467" xr:uid="{00000000-0005-0000-0000-000053150000}"/>
    <cellStyle name="_Q4 2005  Italian Magna Charta_Apollo Investment Fund IV Priority Return 6-30-09" xfId="5468" xr:uid="{00000000-0005-0000-0000-000054150000}"/>
    <cellStyle name="_Q4 2005  Italian Magna Charta_Apollo Investment Fund IV Q1 2009 Capital Analysis PR CORRECTED 6-30-09" xfId="5469" xr:uid="{00000000-0005-0000-0000-000055150000}"/>
    <cellStyle name="_Q4 2005  Italian Magna Charta_Book4" xfId="5470" xr:uid="{00000000-0005-0000-0000-000056150000}"/>
    <cellStyle name="_Q4 2005  Italian Magna Charta_Book4 10" xfId="5471" xr:uid="{00000000-0005-0000-0000-000057150000}"/>
    <cellStyle name="_Q4 2005  Italian Magna Charta_Book4 11" xfId="5472" xr:uid="{00000000-0005-0000-0000-000058150000}"/>
    <cellStyle name="_Q4 2005  Italian Magna Charta_Book4 12" xfId="5473" xr:uid="{00000000-0005-0000-0000-000059150000}"/>
    <cellStyle name="_Q4 2005  Italian Magna Charta_Book4 13" xfId="5474" xr:uid="{00000000-0005-0000-0000-00005A150000}"/>
    <cellStyle name="_Q4 2005  Italian Magna Charta_Book4 14" xfId="5475" xr:uid="{00000000-0005-0000-0000-00005B150000}"/>
    <cellStyle name="_Q4 2005  Italian Magna Charta_Book4 15" xfId="5476" xr:uid="{00000000-0005-0000-0000-00005C150000}"/>
    <cellStyle name="_Q4 2005  Italian Magna Charta_Book4 16" xfId="5477" xr:uid="{00000000-0005-0000-0000-00005D150000}"/>
    <cellStyle name="_Q4 2005  Italian Magna Charta_Book4 17" xfId="5478" xr:uid="{00000000-0005-0000-0000-00005E150000}"/>
    <cellStyle name="_Q4 2005  Italian Magna Charta_Book4 18" xfId="5479" xr:uid="{00000000-0005-0000-0000-00005F150000}"/>
    <cellStyle name="_Q4 2005  Italian Magna Charta_Book4 19" xfId="5480" xr:uid="{00000000-0005-0000-0000-000060150000}"/>
    <cellStyle name="_Q4 2005  Italian Magna Charta_Book4 2" xfId="5481" xr:uid="{00000000-0005-0000-0000-000061150000}"/>
    <cellStyle name="_Q4 2005  Italian Magna Charta_Book4 20" xfId="5482" xr:uid="{00000000-0005-0000-0000-000062150000}"/>
    <cellStyle name="_Q4 2005  Italian Magna Charta_Book4 21" xfId="5483" xr:uid="{00000000-0005-0000-0000-000063150000}"/>
    <cellStyle name="_Q4 2005  Italian Magna Charta_Book4 21 2" xfId="5484" xr:uid="{00000000-0005-0000-0000-000064150000}"/>
    <cellStyle name="_Q4 2005  Italian Magna Charta_Book4 3" xfId="5485" xr:uid="{00000000-0005-0000-0000-000065150000}"/>
    <cellStyle name="_Q4 2005  Italian Magna Charta_Book4 4" xfId="5486" xr:uid="{00000000-0005-0000-0000-000066150000}"/>
    <cellStyle name="_Q4 2005  Italian Magna Charta_Book4 5" xfId="5487" xr:uid="{00000000-0005-0000-0000-000067150000}"/>
    <cellStyle name="_Q4 2005  Italian Magna Charta_Book4 6" xfId="5488" xr:uid="{00000000-0005-0000-0000-000068150000}"/>
    <cellStyle name="_Q4 2005  Italian Magna Charta_Book4 7" xfId="5489" xr:uid="{00000000-0005-0000-0000-000069150000}"/>
    <cellStyle name="_Q4 2005  Italian Magna Charta_Book4 8" xfId="5490" xr:uid="{00000000-0005-0000-0000-00006A150000}"/>
    <cellStyle name="_Q4 2005  Italian Magna Charta_Book4 9" xfId="5491" xr:uid="{00000000-0005-0000-0000-00006B150000}"/>
    <cellStyle name="_Q4 2005  Italian Magna Charta_Book4_2.10.10 LS Distribution" xfId="5492" xr:uid="{00000000-0005-0000-0000-00006C150000}"/>
    <cellStyle name="_Q4 2005  Italian Magna Charta_Book4_2011 Q1 Monitoring Fees v3" xfId="5493" xr:uid="{00000000-0005-0000-0000-00006D150000}"/>
    <cellStyle name="_Q4 2005  Italian Magna Charta_Book4_Broadleaf Watefall 9-30-09" xfId="5494" xr:uid="{00000000-0005-0000-0000-00006E150000}"/>
    <cellStyle name="_Q4 2005  Italian Magna Charta_Book4_Copy of AGM Dec '09 YTD COF I and II Dep  Liab (1-13-10) (2)" xfId="5495" xr:uid="{00000000-0005-0000-0000-00006F150000}"/>
    <cellStyle name="_Q4 2005  Italian Magna Charta_Book4_Dist Summary_11.XX.09" xfId="5496" xr:uid="{00000000-0005-0000-0000-000070150000}"/>
    <cellStyle name="_Q4 2005  Italian Magna Charta_Book4_IC Balance" xfId="5497" xr:uid="{00000000-0005-0000-0000-000071150000}"/>
    <cellStyle name="_Q4 2005  Italian Magna Charta_Book4_Invested Capital Debt Worksheet" xfId="5498" xr:uid="{00000000-0005-0000-0000-000072150000}"/>
    <cellStyle name="_Q4 2005  Italian Magna Charta_Book4_LS, LP - Dec  2010 Trial Balance Summary" xfId="5499" xr:uid="{00000000-0005-0000-0000-000073150000}"/>
    <cellStyle name="_Q4 2005  Italian Magna Charta_Book4_TX Details" xfId="5500" xr:uid="{00000000-0005-0000-0000-000074150000}"/>
    <cellStyle name="_Q4 2005  Italian Magna Charta_Broadleaf Watefall 9-30-09" xfId="5501" xr:uid="{00000000-0005-0000-0000-000075150000}"/>
    <cellStyle name="_Q4 2005  Italian Magna Charta_CALCS" xfId="5502" xr:uid="{00000000-0005-0000-0000-000076150000}"/>
    <cellStyle name="_Q4 2005  Italian Magna Charta_CALCS 10" xfId="5503" xr:uid="{00000000-0005-0000-0000-000077150000}"/>
    <cellStyle name="_Q4 2005  Italian Magna Charta_CALCS 11" xfId="5504" xr:uid="{00000000-0005-0000-0000-000078150000}"/>
    <cellStyle name="_Q4 2005  Italian Magna Charta_CALCS 12" xfId="5505" xr:uid="{00000000-0005-0000-0000-000079150000}"/>
    <cellStyle name="_Q4 2005  Italian Magna Charta_CALCS 13" xfId="5506" xr:uid="{00000000-0005-0000-0000-00007A150000}"/>
    <cellStyle name="_Q4 2005  Italian Magna Charta_CALCS 14" xfId="5507" xr:uid="{00000000-0005-0000-0000-00007B150000}"/>
    <cellStyle name="_Q4 2005  Italian Magna Charta_CALCS 15" xfId="5508" xr:uid="{00000000-0005-0000-0000-00007C150000}"/>
    <cellStyle name="_Q4 2005  Italian Magna Charta_CALCS 16" xfId="5509" xr:uid="{00000000-0005-0000-0000-00007D150000}"/>
    <cellStyle name="_Q4 2005  Italian Magna Charta_CALCS 17" xfId="5510" xr:uid="{00000000-0005-0000-0000-00007E150000}"/>
    <cellStyle name="_Q4 2005  Italian Magna Charta_CALCS 18" xfId="5511" xr:uid="{00000000-0005-0000-0000-00007F150000}"/>
    <cellStyle name="_Q4 2005  Italian Magna Charta_CALCS 19" xfId="5512" xr:uid="{00000000-0005-0000-0000-000080150000}"/>
    <cellStyle name="_Q4 2005  Italian Magna Charta_CALCS 2" xfId="5513" xr:uid="{00000000-0005-0000-0000-000081150000}"/>
    <cellStyle name="_Q4 2005  Italian Magna Charta_CALCS 20" xfId="5514" xr:uid="{00000000-0005-0000-0000-000082150000}"/>
    <cellStyle name="_Q4 2005  Italian Magna Charta_CALCS 21" xfId="5515" xr:uid="{00000000-0005-0000-0000-000083150000}"/>
    <cellStyle name="_Q4 2005  Italian Magna Charta_CALCS 3" xfId="5516" xr:uid="{00000000-0005-0000-0000-000084150000}"/>
    <cellStyle name="_Q4 2005  Italian Magna Charta_CALCS 4" xfId="5517" xr:uid="{00000000-0005-0000-0000-000085150000}"/>
    <cellStyle name="_Q4 2005  Italian Magna Charta_CALCS 5" xfId="5518" xr:uid="{00000000-0005-0000-0000-000086150000}"/>
    <cellStyle name="_Q4 2005  Italian Magna Charta_CALCS 6" xfId="5519" xr:uid="{00000000-0005-0000-0000-000087150000}"/>
    <cellStyle name="_Q4 2005  Italian Magna Charta_CALCS 7" xfId="5520" xr:uid="{00000000-0005-0000-0000-000088150000}"/>
    <cellStyle name="_Q4 2005  Italian Magna Charta_CALCS 8" xfId="5521" xr:uid="{00000000-0005-0000-0000-000089150000}"/>
    <cellStyle name="_Q4 2005  Italian Magna Charta_CALCS 9" xfId="5522" xr:uid="{00000000-0005-0000-0000-00008A150000}"/>
    <cellStyle name="_Q4 2005  Italian Magna Charta_CALCS_Broadleaf Watefall 9-30-09" xfId="5523" xr:uid="{00000000-0005-0000-0000-00008B150000}"/>
    <cellStyle name="_Q4 2005  Italian Magna Charta_CALCS_COF I CAS" xfId="5524" xr:uid="{00000000-0005-0000-0000-00008C150000}"/>
    <cellStyle name="_Q4 2005  Italian Magna Charta_CALCS_COF II CAS" xfId="5525" xr:uid="{00000000-0005-0000-0000-00008D150000}"/>
    <cellStyle name="_Q4 2005  Italian Magna Charta_CALCS_Dist Summary_11.XX.09" xfId="5526" xr:uid="{00000000-0005-0000-0000-00008E150000}"/>
    <cellStyle name="_Q4 2005  Italian Magna Charta_CALCS_IC Balance" xfId="5527" xr:uid="{00000000-0005-0000-0000-00008F150000}"/>
    <cellStyle name="_Q4 2005  Italian Magna Charta_CALCS_Invested Capital Debt Worksheet" xfId="5528" xr:uid="{00000000-0005-0000-0000-000090150000}"/>
    <cellStyle name="_Q4 2005  Italian Magna Charta_Carry Calculation" xfId="5529" xr:uid="{00000000-0005-0000-0000-000091150000}"/>
    <cellStyle name="_Q4 2005  Italian Magna Charta_Co Inv D Valuation 12-31-08" xfId="5530" xr:uid="{00000000-0005-0000-0000-000092150000}"/>
    <cellStyle name="_Q4 2005  Italian Magna Charta_COF I CAS" xfId="5531" xr:uid="{00000000-0005-0000-0000-000093150000}"/>
    <cellStyle name="_Q4 2005  Italian Magna Charta_COF II CAS" xfId="5532" xr:uid="{00000000-0005-0000-0000-000094150000}"/>
    <cellStyle name="_Q4 2005  Italian Magna Charta_Copy of AGM Dec '09 YTD COF I and II Dep  Liab (1-13-10) (2)" xfId="5533" xr:uid="{00000000-0005-0000-0000-000095150000}"/>
    <cellStyle name="_Q4 2005  Italian Magna Charta_Dist Summary_11.XX.09" xfId="5534" xr:uid="{00000000-0005-0000-0000-000096150000}"/>
    <cellStyle name="_Q4 2005  Italian Magna Charta_Domestic FS 12-31-08 v3-20-09" xfId="5535" xr:uid="{00000000-0005-0000-0000-000097150000}"/>
    <cellStyle name="_Q4 2005  Italian Magna Charta_Domestic FS 12-31-08 v3-20-09_Broadleaf Watefall 12-31-09" xfId="5536" xr:uid="{00000000-0005-0000-0000-000098150000}"/>
    <cellStyle name="_Q4 2005  Italian Magna Charta_Domestic FS 12-31-08 v3-20-09_Dist Summary_11.XX.09" xfId="5537" xr:uid="{00000000-0005-0000-0000-000099150000}"/>
    <cellStyle name="_Q4 2005  Italian Magna Charta_Domestic FS 12-31-08 v3-20-09_IC Balance" xfId="5538" xr:uid="{00000000-0005-0000-0000-00009A150000}"/>
    <cellStyle name="_Q4 2005  Italian Magna Charta_Domestic FS 12-31-08 v3-20-09_Invested Capital Debt Worksheet" xfId="5539" xr:uid="{00000000-0005-0000-0000-00009B150000}"/>
    <cellStyle name="_Q4 2005  Italian Magna Charta_Domestic TB" xfId="5540" xr:uid="{00000000-0005-0000-0000-00009C150000}"/>
    <cellStyle name="_Q4 2005  Italian Magna Charta_Domestic TB 2" xfId="5541" xr:uid="{00000000-0005-0000-0000-00009D150000}"/>
    <cellStyle name="_Q4 2005  Italian Magna Charta_Fund IV" xfId="5542" xr:uid="{00000000-0005-0000-0000-00009E150000}"/>
    <cellStyle name="_Q4 2005  Italian Magna Charta_Fund IV 9.30.08" xfId="5543" xr:uid="{00000000-0005-0000-0000-00009F150000}"/>
    <cellStyle name="_Q4 2005  Italian Magna Charta_Fund IV_1" xfId="5544" xr:uid="{00000000-0005-0000-0000-0000A0150000}"/>
    <cellStyle name="_Q4 2005  Italian Magna Charta_Fund IV_2" xfId="5545" xr:uid="{00000000-0005-0000-0000-0000A1150000}"/>
    <cellStyle name="_Q4 2005  Italian Magna Charta_Fund IV_3" xfId="5546" xr:uid="{00000000-0005-0000-0000-0000A2150000}"/>
    <cellStyle name="_Q4 2005  Italian Magna Charta_Fund IV_AIF IV - Waterfall 3 31 09 vs  6 30 09" xfId="5547" xr:uid="{00000000-0005-0000-0000-0000A3150000}"/>
    <cellStyle name="_Q4 2005  Italian Magna Charta_Fund IV_AIF IV, V, VI, VII, COF - Waterfall 3 31 09 vs  6 30 09" xfId="5548" xr:uid="{00000000-0005-0000-0000-0000A4150000}"/>
    <cellStyle name="_Q4 2005  Italian Magna Charta_Fund IV_Fund IV" xfId="5549" xr:uid="{00000000-0005-0000-0000-0000A5150000}"/>
    <cellStyle name="_Q4 2005  Italian Magna Charta_Fund IV_Funds IV Clawback Value Adjustment" xfId="5550" xr:uid="{00000000-0005-0000-0000-0000A6150000}"/>
    <cellStyle name="_Q4 2005  Italian Magna Charta_Funds IV Clawback Adjustment Summary" xfId="5551" xr:uid="{00000000-0005-0000-0000-0000A7150000}"/>
    <cellStyle name="_Q4 2005  Italian Magna Charta_Hexicon Adj" xfId="5552" xr:uid="{00000000-0005-0000-0000-0000A8150000}"/>
    <cellStyle name="_Q4 2005  Italian Magna Charta_Hexicon Adj_COF I CAS" xfId="5553" xr:uid="{00000000-0005-0000-0000-0000A9150000}"/>
    <cellStyle name="_Q4 2005  Italian Magna Charta_Hexicon Adj_COF II CAS" xfId="5554" xr:uid="{00000000-0005-0000-0000-0000AA150000}"/>
    <cellStyle name="_Q4 2005  Italian Magna Charta_IC Balance" xfId="5555" xr:uid="{00000000-0005-0000-0000-0000AB150000}"/>
    <cellStyle name="_Q4 2005  Italian Magna Charta_Inv Cap Roll" xfId="5556" xr:uid="{00000000-0005-0000-0000-0000AC150000}"/>
    <cellStyle name="_Q4 2005  Italian Magna Charta_Inv Cap Roll 2" xfId="5557" xr:uid="{00000000-0005-0000-0000-0000AD150000}"/>
    <cellStyle name="_Q4 2005  Italian Magna Charta_Inv Cap Roll_Broadleaf Watefall 12-31-09" xfId="5558" xr:uid="{00000000-0005-0000-0000-0000AE150000}"/>
    <cellStyle name="_Q4 2005  Italian Magna Charta_Inv Cap Roll_Dist Summary_11.XX.09" xfId="5559" xr:uid="{00000000-0005-0000-0000-0000AF150000}"/>
    <cellStyle name="_Q4 2005  Italian Magna Charta_Inv Cap Roll_IC Balance" xfId="5560" xr:uid="{00000000-0005-0000-0000-0000B0150000}"/>
    <cellStyle name="_Q4 2005  Italian Magna Charta_Inv Cap Roll_Invested Capital Debt Worksheet" xfId="5561" xr:uid="{00000000-0005-0000-0000-0000B1150000}"/>
    <cellStyle name="_Q4 2005  Italian Magna Charta_Invested Capital Debt Worksheet" xfId="5562" xr:uid="{00000000-0005-0000-0000-0000B2150000}"/>
    <cellStyle name="_Q4 2005  Italian Magna Charta_iPCs#1-Remaining" xfId="5563" xr:uid="{00000000-0005-0000-0000-0000B3150000}"/>
    <cellStyle name="_Q4 2005  Italian Magna Charta_LS, LP - Dec  2010 Trial Balance Summary" xfId="5564" xr:uid="{00000000-0005-0000-0000-0000B4150000}"/>
    <cellStyle name="_Q4 2005  Italian Magna Charta_Partners Capital Q1 2009" xfId="5565" xr:uid="{00000000-0005-0000-0000-0000B5150000}"/>
    <cellStyle name="_Q4 2005  Italian Magna Charta_Partners Capital Q1 2009 2" xfId="5566" xr:uid="{00000000-0005-0000-0000-0000B6150000}"/>
    <cellStyle name="_Q4 2005  Italian Magna Charta_Partners Capital Q1 2009 3" xfId="5567" xr:uid="{00000000-0005-0000-0000-0000B7150000}"/>
    <cellStyle name="_Q4 2005  Italian Magna Charta_Partners Capital Q1 2009_Broadleaf Watefall 12-31-09" xfId="5568" xr:uid="{00000000-0005-0000-0000-0000B8150000}"/>
    <cellStyle name="_Q4 2005  Italian Magna Charta_PR Calc" xfId="5569" xr:uid="{00000000-0005-0000-0000-0000B9150000}"/>
    <cellStyle name="_Q4 2005  Italian Magna Charta_PR Calc - DOMESTIC" xfId="5570" xr:uid="{00000000-0005-0000-0000-0000BA150000}"/>
    <cellStyle name="_Q4 2005  Italian Magna Charta_Priority Return" xfId="5571" xr:uid="{00000000-0005-0000-0000-0000BB150000}"/>
    <cellStyle name="_Q4 2005  Italian Magna Charta_Priority Return 10" xfId="5572" xr:uid="{00000000-0005-0000-0000-0000BC150000}"/>
    <cellStyle name="_Q4 2005  Italian Magna Charta_Priority Return 11" xfId="5573" xr:uid="{00000000-0005-0000-0000-0000BD150000}"/>
    <cellStyle name="_Q4 2005  Italian Magna Charta_Priority Return 12" xfId="5574" xr:uid="{00000000-0005-0000-0000-0000BE150000}"/>
    <cellStyle name="_Q4 2005  Italian Magna Charta_Priority Return 13" xfId="5575" xr:uid="{00000000-0005-0000-0000-0000BF150000}"/>
    <cellStyle name="_Q4 2005  Italian Magna Charta_Priority Return 14" xfId="5576" xr:uid="{00000000-0005-0000-0000-0000C0150000}"/>
    <cellStyle name="_Q4 2005  Italian Magna Charta_Priority Return 15" xfId="5577" xr:uid="{00000000-0005-0000-0000-0000C1150000}"/>
    <cellStyle name="_Q4 2005  Italian Magna Charta_Priority Return 16" xfId="5578" xr:uid="{00000000-0005-0000-0000-0000C2150000}"/>
    <cellStyle name="_Q4 2005  Italian Magna Charta_Priority Return 17" xfId="5579" xr:uid="{00000000-0005-0000-0000-0000C3150000}"/>
    <cellStyle name="_Q4 2005  Italian Magna Charta_Priority Return 18" xfId="5580" xr:uid="{00000000-0005-0000-0000-0000C4150000}"/>
    <cellStyle name="_Q4 2005  Italian Magna Charta_Priority Return 19" xfId="5581" xr:uid="{00000000-0005-0000-0000-0000C5150000}"/>
    <cellStyle name="_Q4 2005  Italian Magna Charta_Priority Return 2" xfId="5582" xr:uid="{00000000-0005-0000-0000-0000C6150000}"/>
    <cellStyle name="_Q4 2005  Italian Magna Charta_Priority Return 20" xfId="5583" xr:uid="{00000000-0005-0000-0000-0000C7150000}"/>
    <cellStyle name="_Q4 2005  Italian Magna Charta_Priority Return 21" xfId="5584" xr:uid="{00000000-0005-0000-0000-0000C8150000}"/>
    <cellStyle name="_Q4 2005  Italian Magna Charta_Priority Return 3" xfId="5585" xr:uid="{00000000-0005-0000-0000-0000C9150000}"/>
    <cellStyle name="_Q4 2005  Italian Magna Charta_Priority Return 4" xfId="5586" xr:uid="{00000000-0005-0000-0000-0000CA150000}"/>
    <cellStyle name="_Q4 2005  Italian Magna Charta_Priority Return 5" xfId="5587" xr:uid="{00000000-0005-0000-0000-0000CB150000}"/>
    <cellStyle name="_Q4 2005  Italian Magna Charta_Priority Return 6" xfId="5588" xr:uid="{00000000-0005-0000-0000-0000CC150000}"/>
    <cellStyle name="_Q4 2005  Italian Magna Charta_Priority Return 7" xfId="5589" xr:uid="{00000000-0005-0000-0000-0000CD150000}"/>
    <cellStyle name="_Q4 2005  Italian Magna Charta_Priority Return 8" xfId="5590" xr:uid="{00000000-0005-0000-0000-0000CE150000}"/>
    <cellStyle name="_Q4 2005  Italian Magna Charta_Priority Return 9" xfId="5591" xr:uid="{00000000-0005-0000-0000-0000CF150000}"/>
    <cellStyle name="_Q4 2005  Italian Magna Charta_Priority Return_Broadleaf Watefall 9-30-09" xfId="5592" xr:uid="{00000000-0005-0000-0000-0000D0150000}"/>
    <cellStyle name="_Q4 2005  Italian Magna Charta_Priority Return_Dist Summary_11.XX.09" xfId="5593" xr:uid="{00000000-0005-0000-0000-0000D1150000}"/>
    <cellStyle name="_Q4 2005  Italian Magna Charta_Priority Return_IC Balance" xfId="5594" xr:uid="{00000000-0005-0000-0000-0000D2150000}"/>
    <cellStyle name="_Q4 2005  Italian Magna Charta_Priority Return_Invested Capital Debt Worksheet" xfId="5595" xr:uid="{00000000-0005-0000-0000-0000D3150000}"/>
    <cellStyle name="_Q4 2005  Italian Magna Charta_RCIV Q3 2009 Capital Analysis CURRENT" xfId="5596" xr:uid="{00000000-0005-0000-0000-0000D4150000}"/>
    <cellStyle name="_Q4 2005  Italian Magna Charta_RCIV Q3 2009 Capital Analysis CURRENT 2" xfId="5597" xr:uid="{00000000-0005-0000-0000-0000D5150000}"/>
    <cellStyle name="_Q4 2005  Italian Magna Charta_Revenue breakout" xfId="5598" xr:uid="{00000000-0005-0000-0000-0000D6150000}"/>
    <cellStyle name="_Q4 2005  Italian Magna Charta_Revenue breakout 10" xfId="5599" xr:uid="{00000000-0005-0000-0000-0000D7150000}"/>
    <cellStyle name="_Q4 2005  Italian Magna Charta_Revenue breakout 11" xfId="5600" xr:uid="{00000000-0005-0000-0000-0000D8150000}"/>
    <cellStyle name="_Q4 2005  Italian Magna Charta_Revenue breakout 12" xfId="5601" xr:uid="{00000000-0005-0000-0000-0000D9150000}"/>
    <cellStyle name="_Q4 2005  Italian Magna Charta_Revenue breakout 13" xfId="5602" xr:uid="{00000000-0005-0000-0000-0000DA150000}"/>
    <cellStyle name="_Q4 2005  Italian Magna Charta_Revenue breakout 14" xfId="5603" xr:uid="{00000000-0005-0000-0000-0000DB150000}"/>
    <cellStyle name="_Q4 2005  Italian Magna Charta_Revenue breakout 15" xfId="5604" xr:uid="{00000000-0005-0000-0000-0000DC150000}"/>
    <cellStyle name="_Q4 2005  Italian Magna Charta_Revenue breakout 16" xfId="5605" xr:uid="{00000000-0005-0000-0000-0000DD150000}"/>
    <cellStyle name="_Q4 2005  Italian Magna Charta_Revenue breakout 17" xfId="5606" xr:uid="{00000000-0005-0000-0000-0000DE150000}"/>
    <cellStyle name="_Q4 2005  Italian Magna Charta_Revenue breakout 18" xfId="5607" xr:uid="{00000000-0005-0000-0000-0000DF150000}"/>
    <cellStyle name="_Q4 2005  Italian Magna Charta_Revenue breakout 19" xfId="5608" xr:uid="{00000000-0005-0000-0000-0000E0150000}"/>
    <cellStyle name="_Q4 2005  Italian Magna Charta_Revenue breakout 2" xfId="5609" xr:uid="{00000000-0005-0000-0000-0000E1150000}"/>
    <cellStyle name="_Q4 2005  Italian Magna Charta_Revenue breakout 20" xfId="5610" xr:uid="{00000000-0005-0000-0000-0000E2150000}"/>
    <cellStyle name="_Q4 2005  Italian Magna Charta_Revenue breakout 21" xfId="5611" xr:uid="{00000000-0005-0000-0000-0000E3150000}"/>
    <cellStyle name="_Q4 2005  Italian Magna Charta_Revenue breakout 21 2" xfId="5612" xr:uid="{00000000-0005-0000-0000-0000E4150000}"/>
    <cellStyle name="_Q4 2005  Italian Magna Charta_Revenue breakout 3" xfId="5613" xr:uid="{00000000-0005-0000-0000-0000E5150000}"/>
    <cellStyle name="_Q4 2005  Italian Magna Charta_Revenue breakout 4" xfId="5614" xr:uid="{00000000-0005-0000-0000-0000E6150000}"/>
    <cellStyle name="_Q4 2005  Italian Magna Charta_Revenue breakout 5" xfId="5615" xr:uid="{00000000-0005-0000-0000-0000E7150000}"/>
    <cellStyle name="_Q4 2005  Italian Magna Charta_Revenue breakout 6" xfId="5616" xr:uid="{00000000-0005-0000-0000-0000E8150000}"/>
    <cellStyle name="_Q4 2005  Italian Magna Charta_Revenue breakout 7" xfId="5617" xr:uid="{00000000-0005-0000-0000-0000E9150000}"/>
    <cellStyle name="_Q4 2005  Italian Magna Charta_Revenue breakout 8" xfId="5618" xr:uid="{00000000-0005-0000-0000-0000EA150000}"/>
    <cellStyle name="_Q4 2005  Italian Magna Charta_Revenue breakout 9" xfId="5619" xr:uid="{00000000-0005-0000-0000-0000EB150000}"/>
    <cellStyle name="_Q4 2005  Italian Magna Charta_Revenue breakout_2007 Revenue - RE fees" xfId="5620" xr:uid="{00000000-0005-0000-0000-0000EC150000}"/>
    <cellStyle name="_Q4 2005  Italian Magna Charta_Revenue breakout_2007 Revenue - RE fees 10" xfId="5621" xr:uid="{00000000-0005-0000-0000-0000ED150000}"/>
    <cellStyle name="_Q4 2005  Italian Magna Charta_Revenue breakout_2007 Revenue - RE fees 11" xfId="5622" xr:uid="{00000000-0005-0000-0000-0000EE150000}"/>
    <cellStyle name="_Q4 2005  Italian Magna Charta_Revenue breakout_2007 Revenue - RE fees 12" xfId="5623" xr:uid="{00000000-0005-0000-0000-0000EF150000}"/>
    <cellStyle name="_Q4 2005  Italian Magna Charta_Revenue breakout_2007 Revenue - RE fees 13" xfId="5624" xr:uid="{00000000-0005-0000-0000-0000F0150000}"/>
    <cellStyle name="_Q4 2005  Italian Magna Charta_Revenue breakout_2007 Revenue - RE fees 14" xfId="5625" xr:uid="{00000000-0005-0000-0000-0000F1150000}"/>
    <cellStyle name="_Q4 2005  Italian Magna Charta_Revenue breakout_2007 Revenue - RE fees 15" xfId="5626" xr:uid="{00000000-0005-0000-0000-0000F2150000}"/>
    <cellStyle name="_Q4 2005  Italian Magna Charta_Revenue breakout_2007 Revenue - RE fees 16" xfId="5627" xr:uid="{00000000-0005-0000-0000-0000F3150000}"/>
    <cellStyle name="_Q4 2005  Italian Magna Charta_Revenue breakout_2007 Revenue - RE fees 17" xfId="5628" xr:uid="{00000000-0005-0000-0000-0000F4150000}"/>
    <cellStyle name="_Q4 2005  Italian Magna Charta_Revenue breakout_2007 Revenue - RE fees 18" xfId="5629" xr:uid="{00000000-0005-0000-0000-0000F5150000}"/>
    <cellStyle name="_Q4 2005  Italian Magna Charta_Revenue breakout_2007 Revenue - RE fees 19" xfId="5630" xr:uid="{00000000-0005-0000-0000-0000F6150000}"/>
    <cellStyle name="_Q4 2005  Italian Magna Charta_Revenue breakout_2007 Revenue - RE fees 2" xfId="5631" xr:uid="{00000000-0005-0000-0000-0000F7150000}"/>
    <cellStyle name="_Q4 2005  Italian Magna Charta_Revenue breakout_2007 Revenue - RE fees 20" xfId="5632" xr:uid="{00000000-0005-0000-0000-0000F8150000}"/>
    <cellStyle name="_Q4 2005  Italian Magna Charta_Revenue breakout_2007 Revenue - RE fees 21" xfId="5633" xr:uid="{00000000-0005-0000-0000-0000F9150000}"/>
    <cellStyle name="_Q4 2005  Italian Magna Charta_Revenue breakout_2007 Revenue - RE fees 21 2" xfId="5634" xr:uid="{00000000-0005-0000-0000-0000FA150000}"/>
    <cellStyle name="_Q4 2005  Italian Magna Charta_Revenue breakout_2007 Revenue - RE fees 3" xfId="5635" xr:uid="{00000000-0005-0000-0000-0000FB150000}"/>
    <cellStyle name="_Q4 2005  Italian Magna Charta_Revenue breakout_2007 Revenue - RE fees 4" xfId="5636" xr:uid="{00000000-0005-0000-0000-0000FC150000}"/>
    <cellStyle name="_Q4 2005  Italian Magna Charta_Revenue breakout_2007 Revenue - RE fees 5" xfId="5637" xr:uid="{00000000-0005-0000-0000-0000FD150000}"/>
    <cellStyle name="_Q4 2005  Italian Magna Charta_Revenue breakout_2007 Revenue - RE fees 6" xfId="5638" xr:uid="{00000000-0005-0000-0000-0000FE150000}"/>
    <cellStyle name="_Q4 2005  Italian Magna Charta_Revenue breakout_2007 Revenue - RE fees 7" xfId="5639" xr:uid="{00000000-0005-0000-0000-0000FF150000}"/>
    <cellStyle name="_Q4 2005  Italian Magna Charta_Revenue breakout_2007 Revenue - RE fees 8" xfId="5640" xr:uid="{00000000-0005-0000-0000-000000160000}"/>
    <cellStyle name="_Q4 2005  Italian Magna Charta_Revenue breakout_2007 Revenue - RE fees 9" xfId="5641" xr:uid="{00000000-0005-0000-0000-000001160000}"/>
    <cellStyle name="_Q4 2005  Italian Magna Charta_Revenue breakout_2007 Revenue - RE fees_2011 Q1 Monitoring Fees v3" xfId="5642" xr:uid="{00000000-0005-0000-0000-000002160000}"/>
    <cellStyle name="_Q4 2005  Italian Magna Charta_Revenue breakout_2007 Revenue - RE fees_Broadleaf Watefall 9-30-09" xfId="5643" xr:uid="{00000000-0005-0000-0000-000003160000}"/>
    <cellStyle name="_Q4 2005  Italian Magna Charta_Revenue breakout_2007 Revenue - RE fees_COF I CAS" xfId="5644" xr:uid="{00000000-0005-0000-0000-000004160000}"/>
    <cellStyle name="_Q4 2005  Italian Magna Charta_Revenue breakout_2007 Revenue - RE fees_COF II CAS" xfId="5645" xr:uid="{00000000-0005-0000-0000-000005160000}"/>
    <cellStyle name="_Q4 2005  Italian Magna Charta_Revenue breakout_2007 Revenue - RE fees_Copy of AGM Dec '09 YTD COF I and II Dep  Liab (1-13-10) (2)" xfId="5646" xr:uid="{00000000-0005-0000-0000-000006160000}"/>
    <cellStyle name="_Q4 2005  Italian Magna Charta_Revenue breakout_2007 Revenue - RE fees_Dist Summary_11.XX.09" xfId="5647" xr:uid="{00000000-0005-0000-0000-000007160000}"/>
    <cellStyle name="_Q4 2005  Italian Magna Charta_Revenue breakout_2007 Revenue - RE fees_IC Balance" xfId="5648" xr:uid="{00000000-0005-0000-0000-000008160000}"/>
    <cellStyle name="_Q4 2005  Italian Magna Charta_Revenue breakout_2007 Revenue - RE fees_Invested Capital Debt Worksheet" xfId="5649" xr:uid="{00000000-0005-0000-0000-000009160000}"/>
    <cellStyle name="_Q4 2005  Italian Magna Charta_Revenue breakout_2007 Revenue - RE fees_Placement Fee Summary 05-14-09 - Current (2)" xfId="5650" xr:uid="{00000000-0005-0000-0000-00000A160000}"/>
    <cellStyle name="_Q4 2005  Italian Magna Charta_Revenue breakout_2007 Revenue - RE fees_Placement Fee Summary 05-14-09 - Current (2)_2011 Q1 Monitoring Fees v3" xfId="5651" xr:uid="{00000000-0005-0000-0000-00000B160000}"/>
    <cellStyle name="_Q4 2005  Italian Magna Charta_Revenue breakout_2011 Q1 Monitoring Fees v3" xfId="5652" xr:uid="{00000000-0005-0000-0000-00000C160000}"/>
    <cellStyle name="_Q4 2005  Italian Magna Charta_Revenue breakout_Broadleaf Watefall 9-30-09" xfId="5653" xr:uid="{00000000-0005-0000-0000-00000D160000}"/>
    <cellStyle name="_Q4 2005  Italian Magna Charta_Revenue breakout_COF I CAS" xfId="5654" xr:uid="{00000000-0005-0000-0000-00000E160000}"/>
    <cellStyle name="_Q4 2005  Italian Magna Charta_Revenue breakout_COF II CAS" xfId="5655" xr:uid="{00000000-0005-0000-0000-00000F160000}"/>
    <cellStyle name="_Q4 2005  Italian Magna Charta_Revenue breakout_Copy of AGM Dec '09 YTD COF I and II Dep  Liab (1-13-10) (2)" xfId="5656" xr:uid="{00000000-0005-0000-0000-000010160000}"/>
    <cellStyle name="_Q4 2005  Italian Magna Charta_Revenue breakout_Dist Summary_11.XX.09" xfId="5657" xr:uid="{00000000-0005-0000-0000-000011160000}"/>
    <cellStyle name="_Q4 2005  Italian Magna Charta_Revenue breakout_IC Balance" xfId="5658" xr:uid="{00000000-0005-0000-0000-000012160000}"/>
    <cellStyle name="_Q4 2005  Italian Magna Charta_Revenue breakout_Invested Capital Debt Worksheet" xfId="5659" xr:uid="{00000000-0005-0000-0000-000013160000}"/>
    <cellStyle name="_Q4 2005  Italian Magna Charta_Revenue breakout_LS, LP - Dec  2010 Trial Balance Summary" xfId="5660" xr:uid="{00000000-0005-0000-0000-000014160000}"/>
    <cellStyle name="_Q4 2005  Italian Magna Charta_Sheet1" xfId="5661" xr:uid="{00000000-0005-0000-0000-000015160000}"/>
    <cellStyle name="_Q4 2005  Italian Magna Charta_Sheet1 10" xfId="5662" xr:uid="{00000000-0005-0000-0000-000016160000}"/>
    <cellStyle name="_Q4 2005  Italian Magna Charta_Sheet1 11" xfId="5663" xr:uid="{00000000-0005-0000-0000-000017160000}"/>
    <cellStyle name="_Q4 2005  Italian Magna Charta_Sheet1 12" xfId="5664" xr:uid="{00000000-0005-0000-0000-000018160000}"/>
    <cellStyle name="_Q4 2005  Italian Magna Charta_Sheet1 13" xfId="5665" xr:uid="{00000000-0005-0000-0000-000019160000}"/>
    <cellStyle name="_Q4 2005  Italian Magna Charta_Sheet1 14" xfId="5666" xr:uid="{00000000-0005-0000-0000-00001A160000}"/>
    <cellStyle name="_Q4 2005  Italian Magna Charta_Sheet1 15" xfId="5667" xr:uid="{00000000-0005-0000-0000-00001B160000}"/>
    <cellStyle name="_Q4 2005  Italian Magna Charta_Sheet1 16" xfId="5668" xr:uid="{00000000-0005-0000-0000-00001C160000}"/>
    <cellStyle name="_Q4 2005  Italian Magna Charta_Sheet1 17" xfId="5669" xr:uid="{00000000-0005-0000-0000-00001D160000}"/>
    <cellStyle name="_Q4 2005  Italian Magna Charta_Sheet1 18" xfId="5670" xr:uid="{00000000-0005-0000-0000-00001E160000}"/>
    <cellStyle name="_Q4 2005  Italian Magna Charta_Sheet1 19" xfId="5671" xr:uid="{00000000-0005-0000-0000-00001F160000}"/>
    <cellStyle name="_Q4 2005  Italian Magna Charta_Sheet1 2" xfId="5672" xr:uid="{00000000-0005-0000-0000-000020160000}"/>
    <cellStyle name="_Q4 2005  Italian Magna Charta_Sheet1 20" xfId="5673" xr:uid="{00000000-0005-0000-0000-000021160000}"/>
    <cellStyle name="_Q4 2005  Italian Magna Charta_Sheet1 21" xfId="5674" xr:uid="{00000000-0005-0000-0000-000022160000}"/>
    <cellStyle name="_Q4 2005  Italian Magna Charta_Sheet1 3" xfId="5675" xr:uid="{00000000-0005-0000-0000-000023160000}"/>
    <cellStyle name="_Q4 2005  Italian Magna Charta_Sheet1 4" xfId="5676" xr:uid="{00000000-0005-0000-0000-000024160000}"/>
    <cellStyle name="_Q4 2005  Italian Magna Charta_Sheet1 5" xfId="5677" xr:uid="{00000000-0005-0000-0000-000025160000}"/>
    <cellStyle name="_Q4 2005  Italian Magna Charta_Sheet1 6" xfId="5678" xr:uid="{00000000-0005-0000-0000-000026160000}"/>
    <cellStyle name="_Q4 2005  Italian Magna Charta_Sheet1 7" xfId="5679" xr:uid="{00000000-0005-0000-0000-000027160000}"/>
    <cellStyle name="_Q4 2005  Italian Magna Charta_Sheet1 8" xfId="5680" xr:uid="{00000000-0005-0000-0000-000028160000}"/>
    <cellStyle name="_Q4 2005  Italian Magna Charta_Sheet1 9" xfId="5681" xr:uid="{00000000-0005-0000-0000-000029160000}"/>
    <cellStyle name="_Q4 2005  Italian Magna Charta_Sheet1_Broadleaf Watefall 9-30-09" xfId="5682" xr:uid="{00000000-0005-0000-0000-00002A160000}"/>
    <cellStyle name="_Q4 2005  Italian Magna Charta_Sheet1_Dist Summary_11.XX.09" xfId="5683" xr:uid="{00000000-0005-0000-0000-00002B160000}"/>
    <cellStyle name="_Q4 2005  Italian Magna Charta_Sheet1_IC Balance" xfId="5684" xr:uid="{00000000-0005-0000-0000-00002C160000}"/>
    <cellStyle name="_Q4 2005  Italian Magna Charta_Sheet1_Invested Capital Debt Worksheet" xfId="5685" xr:uid="{00000000-0005-0000-0000-00002D160000}"/>
    <cellStyle name="_Q4 2005  Italian Magna Charta_Sheet2" xfId="5686" xr:uid="{00000000-0005-0000-0000-00002E160000}"/>
    <cellStyle name="_Q4 2005  Italian Magna Charta_Sheet2 10" xfId="5687" xr:uid="{00000000-0005-0000-0000-00002F160000}"/>
    <cellStyle name="_Q4 2005  Italian Magna Charta_Sheet2 11" xfId="5688" xr:uid="{00000000-0005-0000-0000-000030160000}"/>
    <cellStyle name="_Q4 2005  Italian Magna Charta_Sheet2 12" xfId="5689" xr:uid="{00000000-0005-0000-0000-000031160000}"/>
    <cellStyle name="_Q4 2005  Italian Magna Charta_Sheet2 13" xfId="5690" xr:uid="{00000000-0005-0000-0000-000032160000}"/>
    <cellStyle name="_Q4 2005  Italian Magna Charta_Sheet2 14" xfId="5691" xr:uid="{00000000-0005-0000-0000-000033160000}"/>
    <cellStyle name="_Q4 2005  Italian Magna Charta_Sheet2 15" xfId="5692" xr:uid="{00000000-0005-0000-0000-000034160000}"/>
    <cellStyle name="_Q4 2005  Italian Magna Charta_Sheet2 16" xfId="5693" xr:uid="{00000000-0005-0000-0000-000035160000}"/>
    <cellStyle name="_Q4 2005  Italian Magna Charta_Sheet2 17" xfId="5694" xr:uid="{00000000-0005-0000-0000-000036160000}"/>
    <cellStyle name="_Q4 2005  Italian Magna Charta_Sheet2 18" xfId="5695" xr:uid="{00000000-0005-0000-0000-000037160000}"/>
    <cellStyle name="_Q4 2005  Italian Magna Charta_Sheet2 19" xfId="5696" xr:uid="{00000000-0005-0000-0000-000038160000}"/>
    <cellStyle name="_Q4 2005  Italian Magna Charta_Sheet2 2" xfId="5697" xr:uid="{00000000-0005-0000-0000-000039160000}"/>
    <cellStyle name="_Q4 2005  Italian Magna Charta_Sheet2 20" xfId="5698" xr:uid="{00000000-0005-0000-0000-00003A160000}"/>
    <cellStyle name="_Q4 2005  Italian Magna Charta_Sheet2 21" xfId="5699" xr:uid="{00000000-0005-0000-0000-00003B160000}"/>
    <cellStyle name="_Q4 2005  Italian Magna Charta_Sheet2 3" xfId="5700" xr:uid="{00000000-0005-0000-0000-00003C160000}"/>
    <cellStyle name="_Q4 2005  Italian Magna Charta_Sheet2 4" xfId="5701" xr:uid="{00000000-0005-0000-0000-00003D160000}"/>
    <cellStyle name="_Q4 2005  Italian Magna Charta_Sheet2 5" xfId="5702" xr:uid="{00000000-0005-0000-0000-00003E160000}"/>
    <cellStyle name="_Q4 2005  Italian Magna Charta_Sheet2 6" xfId="5703" xr:uid="{00000000-0005-0000-0000-00003F160000}"/>
    <cellStyle name="_Q4 2005  Italian Magna Charta_Sheet2 7" xfId="5704" xr:uid="{00000000-0005-0000-0000-000040160000}"/>
    <cellStyle name="_Q4 2005  Italian Magna Charta_Sheet2 8" xfId="5705" xr:uid="{00000000-0005-0000-0000-000041160000}"/>
    <cellStyle name="_Q4 2005  Italian Magna Charta_Sheet2 9" xfId="5706" xr:uid="{00000000-0005-0000-0000-000042160000}"/>
    <cellStyle name="_Q4 2005  Italian Magna Charta_Sheet2_Broadleaf Watefall 9-30-09" xfId="5707" xr:uid="{00000000-0005-0000-0000-000043160000}"/>
    <cellStyle name="_Q4 2005  Italian Magna Charta_Sheet2_Dist Summary_11.XX.09" xfId="5708" xr:uid="{00000000-0005-0000-0000-000044160000}"/>
    <cellStyle name="_Q4 2005  Italian Magna Charta_Sheet2_IC Balance" xfId="5709" xr:uid="{00000000-0005-0000-0000-000045160000}"/>
    <cellStyle name="_Q4 2005  Italian Magna Charta_Sheet2_Invested Capital Debt Worksheet" xfId="5710" xr:uid="{00000000-0005-0000-0000-000046160000}"/>
    <cellStyle name="_Q4 2005  Italian Magna Charta_Sheet3" xfId="5711" xr:uid="{00000000-0005-0000-0000-000047160000}"/>
    <cellStyle name="_Q4 2005  Italian Magna Charta_Sheet3 2" xfId="5712" xr:uid="{00000000-0005-0000-0000-000048160000}"/>
    <cellStyle name="_Q4 2005  Italian Magna Charta_Sheet3_Broadleaf Watefall 12-31-09" xfId="5713" xr:uid="{00000000-0005-0000-0000-000049160000}"/>
    <cellStyle name="_Q4 2005  Italian Magna Charta_Sheet3_Dist Summary_11.XX.09" xfId="5714" xr:uid="{00000000-0005-0000-0000-00004A160000}"/>
    <cellStyle name="_Q4 2005  Italian Magna Charta_Sheet3_IC Balance" xfId="5715" xr:uid="{00000000-0005-0000-0000-00004B160000}"/>
    <cellStyle name="_Q4 2005  Italian Magna Charta_Sheet3_Invested Capital Debt Worksheet" xfId="5716" xr:uid="{00000000-0005-0000-0000-00004C160000}"/>
    <cellStyle name="_Q4 2005  Italian Magna Charta_Summary" xfId="5717" xr:uid="{00000000-0005-0000-0000-00004D160000}"/>
    <cellStyle name="_Q4 2005  Italian Magna Charta_Summary 2" xfId="5718" xr:uid="{00000000-0005-0000-0000-00004E160000}"/>
    <cellStyle name="_Q4 2005  Italian Magna Charta_Summary_Broadleaf Watefall 12-31-09" xfId="5719" xr:uid="{00000000-0005-0000-0000-00004F160000}"/>
    <cellStyle name="_Q4 2005  Italian Magna Charta_Summary_Dist Summary_11.XX.09" xfId="5720" xr:uid="{00000000-0005-0000-0000-000050160000}"/>
    <cellStyle name="_Q4 2005  Italian Magna Charta_Summary_IC Balance" xfId="5721" xr:uid="{00000000-0005-0000-0000-000051160000}"/>
    <cellStyle name="_Q4 2005  Italian Magna Charta_Summary_Invested Capital Debt Worksheet" xfId="5722" xr:uid="{00000000-0005-0000-0000-000052160000}"/>
    <cellStyle name="_Repo-IAM" xfId="5723" xr:uid="{00000000-0005-0000-0000-000053160000}"/>
    <cellStyle name="_Repo-IAM_Cash Rec PB" xfId="5724" xr:uid="{00000000-0005-0000-0000-000054160000}"/>
    <cellStyle name="_Repo-IAM_Lightbox_Ops ME_OCT 09" xfId="5725" xr:uid="{00000000-0005-0000-0000-000055160000}"/>
    <cellStyle name="_Repo-IAM_Lightbox_Ops ME_Sept 09" xfId="5726" xr:uid="{00000000-0005-0000-0000-000056160000}"/>
    <cellStyle name="_Sheet1" xfId="5727" xr:uid="{00000000-0005-0000-0000-000057160000}"/>
    <cellStyle name="-_Sheet1" xfId="5728" xr:uid="{00000000-0005-0000-0000-000058160000}"/>
    <cellStyle name="_Sheet1 10" xfId="5729" xr:uid="{00000000-0005-0000-0000-000059160000}"/>
    <cellStyle name="_Sheet1 11" xfId="5730" xr:uid="{00000000-0005-0000-0000-00005A160000}"/>
    <cellStyle name="_Sheet1 12" xfId="5731" xr:uid="{00000000-0005-0000-0000-00005B160000}"/>
    <cellStyle name="_Sheet1 13" xfId="5732" xr:uid="{00000000-0005-0000-0000-00005C160000}"/>
    <cellStyle name="_Sheet1 14" xfId="5733" xr:uid="{00000000-0005-0000-0000-00005D160000}"/>
    <cellStyle name="_Sheet1 15" xfId="5734" xr:uid="{00000000-0005-0000-0000-00005E160000}"/>
    <cellStyle name="_Sheet1 16" xfId="5735" xr:uid="{00000000-0005-0000-0000-00005F160000}"/>
    <cellStyle name="_Sheet1 17" xfId="5736" xr:uid="{00000000-0005-0000-0000-000060160000}"/>
    <cellStyle name="_Sheet1 18" xfId="5737" xr:uid="{00000000-0005-0000-0000-000061160000}"/>
    <cellStyle name="_Sheet1 19" xfId="5738" xr:uid="{00000000-0005-0000-0000-000062160000}"/>
    <cellStyle name="_Sheet1 2" xfId="5739" xr:uid="{00000000-0005-0000-0000-000063160000}"/>
    <cellStyle name="_Sheet1 2 2" xfId="5740" xr:uid="{00000000-0005-0000-0000-000064160000}"/>
    <cellStyle name="_Sheet1 20" xfId="5741" xr:uid="{00000000-0005-0000-0000-000065160000}"/>
    <cellStyle name="_Sheet1 21" xfId="5742" xr:uid="{00000000-0005-0000-0000-000066160000}"/>
    <cellStyle name="_Sheet1 22" xfId="5743" xr:uid="{00000000-0005-0000-0000-000067160000}"/>
    <cellStyle name="_Sheet1 23" xfId="5744" xr:uid="{00000000-0005-0000-0000-000068160000}"/>
    <cellStyle name="_Sheet1 23 2" xfId="5745" xr:uid="{00000000-0005-0000-0000-000069160000}"/>
    <cellStyle name="_Sheet1 3" xfId="5746" xr:uid="{00000000-0005-0000-0000-00006A160000}"/>
    <cellStyle name="_Sheet1 3 2" xfId="5747" xr:uid="{00000000-0005-0000-0000-00006B160000}"/>
    <cellStyle name="_Sheet1 4" xfId="5748" xr:uid="{00000000-0005-0000-0000-00006C160000}"/>
    <cellStyle name="_Sheet1 5" xfId="5749" xr:uid="{00000000-0005-0000-0000-00006D160000}"/>
    <cellStyle name="_Sheet1 6" xfId="5750" xr:uid="{00000000-0005-0000-0000-00006E160000}"/>
    <cellStyle name="_Sheet1 7" xfId="5751" xr:uid="{00000000-0005-0000-0000-00006F160000}"/>
    <cellStyle name="_Sheet1 8" xfId="5752" xr:uid="{00000000-0005-0000-0000-000070160000}"/>
    <cellStyle name="_Sheet1 9" xfId="5753" xr:uid="{00000000-0005-0000-0000-000071160000}"/>
    <cellStyle name="_Sheet1_1" xfId="5754" xr:uid="{00000000-0005-0000-0000-000072160000}"/>
    <cellStyle name="_Sheet1_1 10" xfId="5755" xr:uid="{00000000-0005-0000-0000-000073160000}"/>
    <cellStyle name="_Sheet1_1 11" xfId="5756" xr:uid="{00000000-0005-0000-0000-000074160000}"/>
    <cellStyle name="_Sheet1_1 12" xfId="5757" xr:uid="{00000000-0005-0000-0000-000075160000}"/>
    <cellStyle name="_Sheet1_1 13" xfId="5758" xr:uid="{00000000-0005-0000-0000-000076160000}"/>
    <cellStyle name="_Sheet1_1 14" xfId="5759" xr:uid="{00000000-0005-0000-0000-000077160000}"/>
    <cellStyle name="_Sheet1_1 15" xfId="5760" xr:uid="{00000000-0005-0000-0000-000078160000}"/>
    <cellStyle name="_Sheet1_1 16" xfId="5761" xr:uid="{00000000-0005-0000-0000-000079160000}"/>
    <cellStyle name="_Sheet1_1 17" xfId="5762" xr:uid="{00000000-0005-0000-0000-00007A160000}"/>
    <cellStyle name="_Sheet1_1 18" xfId="5763" xr:uid="{00000000-0005-0000-0000-00007B160000}"/>
    <cellStyle name="_Sheet1_1 19" xfId="5764" xr:uid="{00000000-0005-0000-0000-00007C160000}"/>
    <cellStyle name="_Sheet1_1 2" xfId="5765" xr:uid="{00000000-0005-0000-0000-00007D160000}"/>
    <cellStyle name="_Sheet1_1 2 2" xfId="5766" xr:uid="{00000000-0005-0000-0000-00007E160000}"/>
    <cellStyle name="_Sheet1_1 20" xfId="5767" xr:uid="{00000000-0005-0000-0000-00007F160000}"/>
    <cellStyle name="_Sheet1_1 21" xfId="5768" xr:uid="{00000000-0005-0000-0000-000080160000}"/>
    <cellStyle name="_Sheet1_1 22" xfId="5769" xr:uid="{00000000-0005-0000-0000-000081160000}"/>
    <cellStyle name="_Sheet1_1 23" xfId="5770" xr:uid="{00000000-0005-0000-0000-000082160000}"/>
    <cellStyle name="_Sheet1_1 3" xfId="5771" xr:uid="{00000000-0005-0000-0000-000083160000}"/>
    <cellStyle name="_Sheet1_1 3 2" xfId="5772" xr:uid="{00000000-0005-0000-0000-000084160000}"/>
    <cellStyle name="_Sheet1_1 4" xfId="5773" xr:uid="{00000000-0005-0000-0000-000085160000}"/>
    <cellStyle name="_Sheet1_1 5" xfId="5774" xr:uid="{00000000-0005-0000-0000-000086160000}"/>
    <cellStyle name="_Sheet1_1 6" xfId="5775" xr:uid="{00000000-0005-0000-0000-000087160000}"/>
    <cellStyle name="_Sheet1_1 7" xfId="5776" xr:uid="{00000000-0005-0000-0000-000088160000}"/>
    <cellStyle name="_Sheet1_1 8" xfId="5777" xr:uid="{00000000-0005-0000-0000-000089160000}"/>
    <cellStyle name="_Sheet1_1 9" xfId="5778" xr:uid="{00000000-0005-0000-0000-00008A160000}"/>
    <cellStyle name="_Sheet1_1_AIF VI - BondcoVI_Entities Invested Capital (CURRENT)" xfId="5779" xr:uid="{00000000-0005-0000-0000-00008B160000}"/>
    <cellStyle name="_Sheet1_1_AIF VI Broadleaf Watefall Summary as of 6-30-09 FINAL" xfId="5780" xr:uid="{00000000-0005-0000-0000-00008C160000}"/>
    <cellStyle name="_Sheet1_1_AIF VI Broadleaf Watefall Summary as of 9-30-09" xfId="5781" xr:uid="{00000000-0005-0000-0000-00008D160000}"/>
    <cellStyle name="_Sheet1_1_Broadleaf Watefall 12-31-09" xfId="5782" xr:uid="{00000000-0005-0000-0000-00008E160000}"/>
    <cellStyle name="_Sheet1_1_Broadleaf Watefall 6-30-09" xfId="5783" xr:uid="{00000000-0005-0000-0000-00008F160000}"/>
    <cellStyle name="_Sheet1_1_Broadleaf Watefall 9-30-09" xfId="5784" xr:uid="{00000000-0005-0000-0000-000090160000}"/>
    <cellStyle name="_Sheet1_1_Geneva Fx Price" xfId="5785" xr:uid="{00000000-0005-0000-0000-000091160000}"/>
    <cellStyle name="_Sheet1_1_IC Balance" xfId="5786" xr:uid="{00000000-0005-0000-0000-000092160000}"/>
    <cellStyle name="_Sheet1_1_Invested Capital Debt Worksheet" xfId="5787" xr:uid="{00000000-0005-0000-0000-000093160000}"/>
    <cellStyle name="_Sheet1_1_MMF Income" xfId="5788" xr:uid="{00000000-0005-0000-0000-000094160000}"/>
    <cellStyle name="_Sheet1_1_Realized Gain Loss" xfId="5789" xr:uid="{00000000-0005-0000-0000-000095160000}"/>
    <cellStyle name="_Sheet1_10.12.09 Distribution Calculation based on LS III IC v3" xfId="5790" xr:uid="{00000000-0005-0000-0000-000096160000}"/>
    <cellStyle name="_Sheet1_2.10.10 LS Distribution" xfId="5791" xr:uid="{00000000-0005-0000-0000-000097160000}"/>
    <cellStyle name="_Sheet1_2008 COF I mgt fee calc" xfId="5792" xr:uid="{00000000-0005-0000-0000-000098160000}"/>
    <cellStyle name="_Sheet1_2009 Q3 Monitoring Fees" xfId="5793" xr:uid="{00000000-0005-0000-0000-000099160000}"/>
    <cellStyle name="_Sheet1_2011 Q1 Monitoring Fees v3" xfId="5794" xr:uid="{00000000-0005-0000-0000-00009A160000}"/>
    <cellStyle name="_Sheet1_ACOF I - Capital Calls- through 2009V3" xfId="5795" xr:uid="{00000000-0005-0000-0000-00009B160000}"/>
    <cellStyle name="_Sheet1_AGM Schedule of AR from LS for Monitoring Fees - provided by T. Bellows" xfId="5796" xr:uid="{00000000-0005-0000-0000-00009C160000}"/>
    <cellStyle name="_Sheet1_AGM Schedule of AR from LS for Monitoring Fees - provided by T. Bellows_2011 Q1 Monitoring Fees v3" xfId="5797" xr:uid="{00000000-0005-0000-0000-00009D160000}"/>
    <cellStyle name="_Sheet1_AIF IV Financial Highlights 12-31-08 v4" xfId="5798" xr:uid="{00000000-0005-0000-0000-00009E160000}"/>
    <cellStyle name="_Sheet1_AIF IV Financial Highlights 12-31-08 v4_Apollo Investment Fund IV  Q3 2009 Capital Analysis CURRENT" xfId="5799" xr:uid="{00000000-0005-0000-0000-00009F160000}"/>
    <cellStyle name="_Sheet1_AIF IV Financial Highlights 12-31-08 v4_Apollo Investment Fund IV  Q3 2009 Capital Analysis iPCS &amp; URI Distribution" xfId="5800" xr:uid="{00000000-0005-0000-0000-0000A0160000}"/>
    <cellStyle name="_Sheet1_AIF IV Financial Highlights 12-31-08 v4_iPCs#1-Remaining" xfId="5801" xr:uid="{00000000-0005-0000-0000-0000A1160000}"/>
    <cellStyle name="_Sheet1_AIF VI - BondcoVI_Entities Invested Capital (CURRENT)" xfId="5802" xr:uid="{00000000-0005-0000-0000-0000A2160000}"/>
    <cellStyle name="_Sheet1_AIF VI Broadleaf Watefall Summary as of 6-30-09 FINAL" xfId="5803" xr:uid="{00000000-0005-0000-0000-0000A3160000}"/>
    <cellStyle name="_Sheet1_AIF VI Broadleaf Watefall Summary as of 9-30-09" xfId="5804" xr:uid="{00000000-0005-0000-0000-0000A4160000}"/>
    <cellStyle name="_Sheet1_Book1" xfId="5805" xr:uid="{00000000-0005-0000-0000-0000A5160000}"/>
    <cellStyle name="_Sheet1_Broadleaf Watefall 12-31-09" xfId="5806" xr:uid="{00000000-0005-0000-0000-0000A6160000}"/>
    <cellStyle name="_Sheet1_Broadleaf Watefall 6-30-09" xfId="5807" xr:uid="{00000000-0005-0000-0000-0000A7160000}"/>
    <cellStyle name="_Sheet1_Broadleaf Watefall 9-30-09" xfId="5808" xr:uid="{00000000-0005-0000-0000-0000A8160000}"/>
    <cellStyle name="_Sheet1_Cash through 12 16 09 -150k" xfId="5809" xr:uid="{00000000-0005-0000-0000-0000A9160000}"/>
    <cellStyle name="_Sheet1_Cash through 8 25 09 -150k" xfId="5810" xr:uid="{00000000-0005-0000-0000-0000AA160000}"/>
    <cellStyle name="_Sheet1_COF I Invested Capital" xfId="5811" xr:uid="{00000000-0005-0000-0000-0000AB160000}"/>
    <cellStyle name="_Sheet1_Copy of AGM Dec '09 YTD COF I and II Dep  Liab (1-13-10) (2)" xfId="5812" xr:uid="{00000000-0005-0000-0000-0000AC160000}"/>
    <cellStyle name="_Sheet1_Domestic TB" xfId="5813" xr:uid="{00000000-0005-0000-0000-0000AD160000}"/>
    <cellStyle name="_Sheet1_Estimated Priority Return" xfId="5814" xr:uid="{00000000-0005-0000-0000-0000AE160000}"/>
    <cellStyle name="_Sheet1_Final Cash through 2 2 10  -150k" xfId="5815" xr:uid="{00000000-0005-0000-0000-0000AF160000}"/>
    <cellStyle name="_Sheet1_Geneva Fx Price" xfId="5816" xr:uid="{00000000-0005-0000-0000-0000B0160000}"/>
    <cellStyle name="_Sheet1_IC Balance" xfId="5817" xr:uid="{00000000-0005-0000-0000-0000B1160000}"/>
    <cellStyle name="_Sheet1_Invested Capital Debt Worksheet" xfId="5818" xr:uid="{00000000-0005-0000-0000-0000B2160000}"/>
    <cellStyle name="_Sheet1_LS, LP - Dec  2010 Trial Balance Summary" xfId="5819" xr:uid="{00000000-0005-0000-0000-0000B3160000}"/>
    <cellStyle name="_Sheet1_MMF Income" xfId="5820" xr:uid="{00000000-0005-0000-0000-0000B4160000}"/>
    <cellStyle name="_Sheet1_Normandy Hill_Workbook_20091031" xfId="5821" xr:uid="{00000000-0005-0000-0000-0000B5160000}"/>
    <cellStyle name="_Sheet1_Ownership Allocation" xfId="5822" xr:uid="{00000000-0005-0000-0000-0000B6160000}"/>
    <cellStyle name="_Sheet1_Partners Capital Q1 2009" xfId="5823" xr:uid="{00000000-0005-0000-0000-0000B7160000}"/>
    <cellStyle name="_Sheet1_Placement Fee Summary 05-14-09 - Current (2)" xfId="5824" xr:uid="{00000000-0005-0000-0000-0000B8160000}"/>
    <cellStyle name="_Sheet1_PR Calc - DOMESTIC" xfId="5825" xr:uid="{00000000-0005-0000-0000-0000B9160000}"/>
    <cellStyle name="_Sheet1_Q1 2011 Pmts" xfId="5826" xr:uid="{00000000-0005-0000-0000-0000BA160000}"/>
    <cellStyle name="_Sheet1_Realized Gain Loss" xfId="5827" xr:uid="{00000000-0005-0000-0000-0000BB160000}"/>
    <cellStyle name="_Sheet1_Sheet1" xfId="5828" xr:uid="{00000000-0005-0000-0000-0000BC160000}"/>
    <cellStyle name="_Sheet1_Sheet1 2" xfId="5829" xr:uid="{00000000-0005-0000-0000-0000BD160000}"/>
    <cellStyle name="_Sheet1_Sheet1_Geneva Fx Price" xfId="5830" xr:uid="{00000000-0005-0000-0000-0000BE160000}"/>
    <cellStyle name="_Sheet1_Sheet2" xfId="5831" xr:uid="{00000000-0005-0000-0000-0000BF160000}"/>
    <cellStyle name="_Sheet1_Sheet2 2" xfId="5832" xr:uid="{00000000-0005-0000-0000-0000C0160000}"/>
    <cellStyle name="_Sheet1_Sheet2_Geneva Fx Price" xfId="5833" xr:uid="{00000000-0005-0000-0000-0000C1160000}"/>
    <cellStyle name="_Sheet1_TB - 12.31.09" xfId="5834" xr:uid="{00000000-0005-0000-0000-0000C2160000}"/>
    <cellStyle name="_Sheet1_TB - 3.31.10" xfId="5835" xr:uid="{00000000-0005-0000-0000-0000C3160000}"/>
    <cellStyle name="_Sheet1_TX Details" xfId="5836" xr:uid="{00000000-0005-0000-0000-0000C4160000}"/>
    <cellStyle name="_Sheet1_TX Details_1" xfId="5837" xr:uid="{00000000-0005-0000-0000-0000C5160000}"/>
    <cellStyle name="_Sheet2" xfId="5838" xr:uid="{00000000-0005-0000-0000-0000C6160000}"/>
    <cellStyle name="_Sheet2 10" xfId="5839" xr:uid="{00000000-0005-0000-0000-0000C7160000}"/>
    <cellStyle name="_Sheet2 11" xfId="5840" xr:uid="{00000000-0005-0000-0000-0000C8160000}"/>
    <cellStyle name="_Sheet2 12" xfId="5841" xr:uid="{00000000-0005-0000-0000-0000C9160000}"/>
    <cellStyle name="_Sheet2 13" xfId="5842" xr:uid="{00000000-0005-0000-0000-0000CA160000}"/>
    <cellStyle name="_Sheet2 14" xfId="5843" xr:uid="{00000000-0005-0000-0000-0000CB160000}"/>
    <cellStyle name="_Sheet2 15" xfId="5844" xr:uid="{00000000-0005-0000-0000-0000CC160000}"/>
    <cellStyle name="_Sheet2 16" xfId="5845" xr:uid="{00000000-0005-0000-0000-0000CD160000}"/>
    <cellStyle name="_Sheet2 17" xfId="5846" xr:uid="{00000000-0005-0000-0000-0000CE160000}"/>
    <cellStyle name="_Sheet2 18" xfId="5847" xr:uid="{00000000-0005-0000-0000-0000CF160000}"/>
    <cellStyle name="_Sheet2 19" xfId="5848" xr:uid="{00000000-0005-0000-0000-0000D0160000}"/>
    <cellStyle name="_Sheet2 2" xfId="5849" xr:uid="{00000000-0005-0000-0000-0000D1160000}"/>
    <cellStyle name="_Sheet2 2 2" xfId="5850" xr:uid="{00000000-0005-0000-0000-0000D2160000}"/>
    <cellStyle name="_Sheet2 20" xfId="5851" xr:uid="{00000000-0005-0000-0000-0000D3160000}"/>
    <cellStyle name="_Sheet2 21" xfId="5852" xr:uid="{00000000-0005-0000-0000-0000D4160000}"/>
    <cellStyle name="_Sheet2 22" xfId="5853" xr:uid="{00000000-0005-0000-0000-0000D5160000}"/>
    <cellStyle name="_Sheet2 23" xfId="5854" xr:uid="{00000000-0005-0000-0000-0000D6160000}"/>
    <cellStyle name="_Sheet2 23 2" xfId="5855" xr:uid="{00000000-0005-0000-0000-0000D7160000}"/>
    <cellStyle name="_Sheet2 3" xfId="5856" xr:uid="{00000000-0005-0000-0000-0000D8160000}"/>
    <cellStyle name="_Sheet2 3 2" xfId="5857" xr:uid="{00000000-0005-0000-0000-0000D9160000}"/>
    <cellStyle name="_Sheet2 4" xfId="5858" xr:uid="{00000000-0005-0000-0000-0000DA160000}"/>
    <cellStyle name="_Sheet2 5" xfId="5859" xr:uid="{00000000-0005-0000-0000-0000DB160000}"/>
    <cellStyle name="_Sheet2 6" xfId="5860" xr:uid="{00000000-0005-0000-0000-0000DC160000}"/>
    <cellStyle name="_Sheet2 7" xfId="5861" xr:uid="{00000000-0005-0000-0000-0000DD160000}"/>
    <cellStyle name="_Sheet2 8" xfId="5862" xr:uid="{00000000-0005-0000-0000-0000DE160000}"/>
    <cellStyle name="_Sheet2 9" xfId="5863" xr:uid="{00000000-0005-0000-0000-0000DF160000}"/>
    <cellStyle name="_Sheet2_1" xfId="5864" xr:uid="{00000000-0005-0000-0000-0000E0160000}"/>
    <cellStyle name="_Sheet2_1 10" xfId="5865" xr:uid="{00000000-0005-0000-0000-0000E1160000}"/>
    <cellStyle name="_Sheet2_1 11" xfId="5866" xr:uid="{00000000-0005-0000-0000-0000E2160000}"/>
    <cellStyle name="_Sheet2_1 12" xfId="5867" xr:uid="{00000000-0005-0000-0000-0000E3160000}"/>
    <cellStyle name="_Sheet2_1 13" xfId="5868" xr:uid="{00000000-0005-0000-0000-0000E4160000}"/>
    <cellStyle name="_Sheet2_1 14" xfId="5869" xr:uid="{00000000-0005-0000-0000-0000E5160000}"/>
    <cellStyle name="_Sheet2_1 15" xfId="5870" xr:uid="{00000000-0005-0000-0000-0000E6160000}"/>
    <cellStyle name="_Sheet2_1 16" xfId="5871" xr:uid="{00000000-0005-0000-0000-0000E7160000}"/>
    <cellStyle name="_Sheet2_1 17" xfId="5872" xr:uid="{00000000-0005-0000-0000-0000E8160000}"/>
    <cellStyle name="_Sheet2_1 18" xfId="5873" xr:uid="{00000000-0005-0000-0000-0000E9160000}"/>
    <cellStyle name="_Sheet2_1 19" xfId="5874" xr:uid="{00000000-0005-0000-0000-0000EA160000}"/>
    <cellStyle name="_Sheet2_1 2" xfId="5875" xr:uid="{00000000-0005-0000-0000-0000EB160000}"/>
    <cellStyle name="_Sheet2_1 2 2" xfId="5876" xr:uid="{00000000-0005-0000-0000-0000EC160000}"/>
    <cellStyle name="_Sheet2_1 20" xfId="5877" xr:uid="{00000000-0005-0000-0000-0000ED160000}"/>
    <cellStyle name="_Sheet2_1 21" xfId="5878" xr:uid="{00000000-0005-0000-0000-0000EE160000}"/>
    <cellStyle name="_Sheet2_1 22" xfId="5879" xr:uid="{00000000-0005-0000-0000-0000EF160000}"/>
    <cellStyle name="_Sheet2_1 23" xfId="5880" xr:uid="{00000000-0005-0000-0000-0000F0160000}"/>
    <cellStyle name="_Sheet2_1 3" xfId="5881" xr:uid="{00000000-0005-0000-0000-0000F1160000}"/>
    <cellStyle name="_Sheet2_1 3 2" xfId="5882" xr:uid="{00000000-0005-0000-0000-0000F2160000}"/>
    <cellStyle name="_Sheet2_1 4" xfId="5883" xr:uid="{00000000-0005-0000-0000-0000F3160000}"/>
    <cellStyle name="_Sheet2_1 5" xfId="5884" xr:uid="{00000000-0005-0000-0000-0000F4160000}"/>
    <cellStyle name="_Sheet2_1 6" xfId="5885" xr:uid="{00000000-0005-0000-0000-0000F5160000}"/>
    <cellStyle name="_Sheet2_1 7" xfId="5886" xr:uid="{00000000-0005-0000-0000-0000F6160000}"/>
    <cellStyle name="_Sheet2_1 8" xfId="5887" xr:uid="{00000000-0005-0000-0000-0000F7160000}"/>
    <cellStyle name="_Sheet2_1 9" xfId="5888" xr:uid="{00000000-0005-0000-0000-0000F8160000}"/>
    <cellStyle name="_Sheet2_1_AIF VI - BondcoVI_Entities Invested Capital (CURRENT)" xfId="5889" xr:uid="{00000000-0005-0000-0000-0000F9160000}"/>
    <cellStyle name="_Sheet2_1_AIF VI Broadleaf Watefall Summary as of 6-30-09 FINAL" xfId="5890" xr:uid="{00000000-0005-0000-0000-0000FA160000}"/>
    <cellStyle name="_Sheet2_1_AIF VI Broadleaf Watefall Summary as of 9-30-09" xfId="5891" xr:uid="{00000000-0005-0000-0000-0000FB160000}"/>
    <cellStyle name="_Sheet2_1_Broadleaf Watefall 12-31-09" xfId="5892" xr:uid="{00000000-0005-0000-0000-0000FC160000}"/>
    <cellStyle name="_Sheet2_1_Broadleaf Watefall 6-30-09" xfId="5893" xr:uid="{00000000-0005-0000-0000-0000FD160000}"/>
    <cellStyle name="_Sheet2_1_Broadleaf Watefall 9-30-09" xfId="5894" xr:uid="{00000000-0005-0000-0000-0000FE160000}"/>
    <cellStyle name="_Sheet2_1_IC Balance" xfId="5895" xr:uid="{00000000-0005-0000-0000-0000FF160000}"/>
    <cellStyle name="_Sheet2_1_Invested Capital Debt Worksheet" xfId="5896" xr:uid="{00000000-0005-0000-0000-000000170000}"/>
    <cellStyle name="_Sheet2_1_MMF Income" xfId="5897" xr:uid="{00000000-0005-0000-0000-000001170000}"/>
    <cellStyle name="_Sheet2_1_Realized Gain Loss" xfId="5898" xr:uid="{00000000-0005-0000-0000-000002170000}"/>
    <cellStyle name="_Sheet2_2.10.10 LS Distribution" xfId="5899" xr:uid="{00000000-0005-0000-0000-000003170000}"/>
    <cellStyle name="_Sheet2_2011 Q1 Monitoring Fees v3" xfId="5900" xr:uid="{00000000-0005-0000-0000-000004170000}"/>
    <cellStyle name="_Sheet2_AIF IV Financial Highlights 12-31-08 v4" xfId="5901" xr:uid="{00000000-0005-0000-0000-000005170000}"/>
    <cellStyle name="_Sheet2_AIF IV Financial Highlights 12-31-08 v4_Apollo Investment Fund IV  Q3 2009 Capital Analysis CURRENT" xfId="5902" xr:uid="{00000000-0005-0000-0000-000006170000}"/>
    <cellStyle name="_Sheet2_AIF IV Financial Highlights 12-31-08 v4_Apollo Investment Fund IV  Q3 2009 Capital Analysis iPCS &amp; URI Distribution" xfId="5903" xr:uid="{00000000-0005-0000-0000-000007170000}"/>
    <cellStyle name="_Sheet2_AIF IV Financial Highlights 12-31-08 v4_iPCs#1-Remaining" xfId="5904" xr:uid="{00000000-0005-0000-0000-000008170000}"/>
    <cellStyle name="_Sheet2_AIF VI - BondcoVI_Entities Invested Capital (CURRENT)" xfId="5905" xr:uid="{00000000-0005-0000-0000-000009170000}"/>
    <cellStyle name="_Sheet2_AIF VI Broadleaf Watefall Summary as of 6-30-09 FINAL" xfId="5906" xr:uid="{00000000-0005-0000-0000-00000A170000}"/>
    <cellStyle name="_Sheet2_AIF VI Broadleaf Watefall Summary as of 9-30-09" xfId="5907" xr:uid="{00000000-0005-0000-0000-00000B170000}"/>
    <cellStyle name="_Sheet2_Broadleaf Watefall 12-31-09" xfId="5908" xr:uid="{00000000-0005-0000-0000-00000C170000}"/>
    <cellStyle name="_Sheet2_Broadleaf Watefall 6-30-09" xfId="5909" xr:uid="{00000000-0005-0000-0000-00000D170000}"/>
    <cellStyle name="_Sheet2_Broadleaf Watefall 9-30-09" xfId="5910" xr:uid="{00000000-0005-0000-0000-00000E170000}"/>
    <cellStyle name="_Sheet2_Copy of AGM Dec '09 YTD COF I and II Dep  Liab (1-13-10) (2)" xfId="5911" xr:uid="{00000000-0005-0000-0000-00000F170000}"/>
    <cellStyle name="_Sheet2_Domestic TB" xfId="5912" xr:uid="{00000000-0005-0000-0000-000010170000}"/>
    <cellStyle name="_Sheet2_Geneva Fx Price" xfId="5913" xr:uid="{00000000-0005-0000-0000-000011170000}"/>
    <cellStyle name="_Sheet2_IC Balance" xfId="5914" xr:uid="{00000000-0005-0000-0000-000012170000}"/>
    <cellStyle name="_Sheet2_Invested Capital Debt Worksheet" xfId="5915" xr:uid="{00000000-0005-0000-0000-000013170000}"/>
    <cellStyle name="_Sheet2_LS, LP - Dec  2010 Trial Balance Summary" xfId="5916" xr:uid="{00000000-0005-0000-0000-000014170000}"/>
    <cellStyle name="_Sheet2_MMF Income" xfId="5917" xr:uid="{00000000-0005-0000-0000-000015170000}"/>
    <cellStyle name="_Sheet2_Partners Capital Q1 2009" xfId="5918" xr:uid="{00000000-0005-0000-0000-000016170000}"/>
    <cellStyle name="_Sheet2_Placement Fee Summary 05-14-09 - Current (2)" xfId="5919" xr:uid="{00000000-0005-0000-0000-000017170000}"/>
    <cellStyle name="_Sheet2_PR Calc - DOMESTIC" xfId="5920" xr:uid="{00000000-0005-0000-0000-000018170000}"/>
    <cellStyle name="_Sheet2_Q1 2011 Pmts" xfId="5921" xr:uid="{00000000-0005-0000-0000-000019170000}"/>
    <cellStyle name="_Sheet2_Realized Gain Loss" xfId="5922" xr:uid="{00000000-0005-0000-0000-00001A170000}"/>
    <cellStyle name="_Sheet2_TX Details" xfId="5923" xr:uid="{00000000-0005-0000-0000-00001B170000}"/>
    <cellStyle name="_Sheet3" xfId="5924" xr:uid="{00000000-0005-0000-0000-00001C170000}"/>
    <cellStyle name="_Sheet3 2" xfId="5925" xr:uid="{00000000-0005-0000-0000-00001D170000}"/>
    <cellStyle name="_Sheet3 2 2" xfId="5926" xr:uid="{00000000-0005-0000-0000-00001E170000}"/>
    <cellStyle name="_Sheet3 3" xfId="5927" xr:uid="{00000000-0005-0000-0000-00001F170000}"/>
    <cellStyle name="_Sheet3_AIF VI - BondcoVI_Entities Invested Capital (CURRENT)" xfId="5928" xr:uid="{00000000-0005-0000-0000-000020170000}"/>
    <cellStyle name="_Sheet3_IC Balance" xfId="5929" xr:uid="{00000000-0005-0000-0000-000021170000}"/>
    <cellStyle name="_Sheet3_Invested Capital Debt Worksheet" xfId="5930" xr:uid="{00000000-0005-0000-0000-000022170000}"/>
    <cellStyle name="_Sheet3_MMF Income" xfId="5931" xr:uid="{00000000-0005-0000-0000-000023170000}"/>
    <cellStyle name="_Sheet3_Realized Gain Loss" xfId="5932" xr:uid="{00000000-0005-0000-0000-000024170000}"/>
    <cellStyle name="_Sheet9" xfId="5933" xr:uid="{00000000-0005-0000-0000-000025170000}"/>
    <cellStyle name="_Sheet9_2011 Q1 Monitoring Fees v3" xfId="5934" xr:uid="{00000000-0005-0000-0000-000026170000}"/>
    <cellStyle name="_Sheet9_LS, LP - Dec  2010 Trial Balance Summary" xfId="5935" xr:uid="{00000000-0005-0000-0000-000027170000}"/>
    <cellStyle name="_Sources  Uses v2 5.30.03" xfId="5936" xr:uid="{00000000-0005-0000-0000-000028170000}"/>
    <cellStyle name="_Sources  Uses v2 5.30.03 10" xfId="5937" xr:uid="{00000000-0005-0000-0000-000029170000}"/>
    <cellStyle name="_Sources  Uses v2 5.30.03 11" xfId="5938" xr:uid="{00000000-0005-0000-0000-00002A170000}"/>
    <cellStyle name="_Sources  Uses v2 5.30.03 12" xfId="5939" xr:uid="{00000000-0005-0000-0000-00002B170000}"/>
    <cellStyle name="_Sources  Uses v2 5.30.03 13" xfId="5940" xr:uid="{00000000-0005-0000-0000-00002C170000}"/>
    <cellStyle name="_Sources  Uses v2 5.30.03 14" xfId="5941" xr:uid="{00000000-0005-0000-0000-00002D170000}"/>
    <cellStyle name="_Sources  Uses v2 5.30.03 15" xfId="5942" xr:uid="{00000000-0005-0000-0000-00002E170000}"/>
    <cellStyle name="_Sources  Uses v2 5.30.03 16" xfId="5943" xr:uid="{00000000-0005-0000-0000-00002F170000}"/>
    <cellStyle name="_Sources  Uses v2 5.30.03 17" xfId="5944" xr:uid="{00000000-0005-0000-0000-000030170000}"/>
    <cellStyle name="_Sources  Uses v2 5.30.03 18" xfId="5945" xr:uid="{00000000-0005-0000-0000-000031170000}"/>
    <cellStyle name="_Sources  Uses v2 5.30.03 19" xfId="5946" xr:uid="{00000000-0005-0000-0000-000032170000}"/>
    <cellStyle name="_Sources  Uses v2 5.30.03 2" xfId="5947" xr:uid="{00000000-0005-0000-0000-000033170000}"/>
    <cellStyle name="_Sources  Uses v2 5.30.03 20" xfId="5948" xr:uid="{00000000-0005-0000-0000-000034170000}"/>
    <cellStyle name="_Sources  Uses v2 5.30.03 21" xfId="5949" xr:uid="{00000000-0005-0000-0000-000035170000}"/>
    <cellStyle name="_Sources  Uses v2 5.30.03 21 2" xfId="5950" xr:uid="{00000000-0005-0000-0000-000036170000}"/>
    <cellStyle name="_Sources  Uses v2 5.30.03 3" xfId="5951" xr:uid="{00000000-0005-0000-0000-000037170000}"/>
    <cellStyle name="_Sources  Uses v2 5.30.03 4" xfId="5952" xr:uid="{00000000-0005-0000-0000-000038170000}"/>
    <cellStyle name="_Sources  Uses v2 5.30.03 5" xfId="5953" xr:uid="{00000000-0005-0000-0000-000039170000}"/>
    <cellStyle name="_Sources  Uses v2 5.30.03 6" xfId="5954" xr:uid="{00000000-0005-0000-0000-00003A170000}"/>
    <cellStyle name="_Sources  Uses v2 5.30.03 7" xfId="5955" xr:uid="{00000000-0005-0000-0000-00003B170000}"/>
    <cellStyle name="_Sources  Uses v2 5.30.03 8" xfId="5956" xr:uid="{00000000-0005-0000-0000-00003C170000}"/>
    <cellStyle name="_Sources  Uses v2 5.30.03 9" xfId="5957" xr:uid="{00000000-0005-0000-0000-00003D170000}"/>
    <cellStyle name="_Sources  Uses v2 5.30.03_{6} Carry" xfId="5958" xr:uid="{00000000-0005-0000-0000-00003E170000}"/>
    <cellStyle name="_Sources  Uses v2 5.30.03_{6} Clawback" xfId="5959" xr:uid="{00000000-0005-0000-0000-00003F170000}"/>
    <cellStyle name="_Sources  Uses v2 5.30.03_2011 Q1 Monitoring Fees v3" xfId="5960" xr:uid="{00000000-0005-0000-0000-000040170000}"/>
    <cellStyle name="_Sources  Uses v2 5.30.03_AIF IV Financial Highlights 12-31-08 v4" xfId="5961" xr:uid="{00000000-0005-0000-0000-000041170000}"/>
    <cellStyle name="_Sources  Uses v2 5.30.03_AIF IV Financial Highlights 12-31-08 v4_Apollo Investment Fund IV  Q3 2009 Capital Analysis CURRENT" xfId="5962" xr:uid="{00000000-0005-0000-0000-000042170000}"/>
    <cellStyle name="_Sources  Uses v2 5.30.03_AIF IV Financial Highlights 12-31-08 v4_Apollo Investment Fund IV  Q3 2009 Capital Analysis iPCS &amp; URI Distribution" xfId="5963" xr:uid="{00000000-0005-0000-0000-000043170000}"/>
    <cellStyle name="_Sources  Uses v2 5.30.03_AIF IV Financial Highlights 12-31-08 v4_iPCs#1-Remaining" xfId="5964" xr:uid="{00000000-0005-0000-0000-000044170000}"/>
    <cellStyle name="_Sources  Uses v2 5.30.03_Andy Affrick - Schedulev2" xfId="5965" xr:uid="{00000000-0005-0000-0000-000045170000}"/>
    <cellStyle name="_Sources  Uses v2 5.30.03_Apollo Investment Fund IV  April Priority Return" xfId="5966" xr:uid="{00000000-0005-0000-0000-000046170000}"/>
    <cellStyle name="_Sources  Uses v2 5.30.03_Apollo Investment Fund IV  Q1 2009 Capital Analysis 5-22-09 with GAAP" xfId="5967" xr:uid="{00000000-0005-0000-0000-000047170000}"/>
    <cellStyle name="_Sources  Uses v2 5.30.03_Apollo Investment Fund IV  Q1 2009 Capital Analysis GAAP" xfId="5968" xr:uid="{00000000-0005-0000-0000-000048170000}"/>
    <cellStyle name="_Sources  Uses v2 5.30.03_Apollo Investment Fund IV  Q2 2009 Capital Analysis CURRENT" xfId="5969" xr:uid="{00000000-0005-0000-0000-000049170000}"/>
    <cellStyle name="_Sources  Uses v2 5.30.03_Apollo Investment Fund IV  Q3 2009 Capital Analysis CURRENT" xfId="5970" xr:uid="{00000000-0005-0000-0000-00004A170000}"/>
    <cellStyle name="_Sources  Uses v2 5.30.03_Apollo Investment Fund IV  Q3 2009 Capital Analysis iPCS &amp; URI Distribution" xfId="5971" xr:uid="{00000000-0005-0000-0000-00004B170000}"/>
    <cellStyle name="_Sources  Uses v2 5.30.03_Apollo Investment Fund IV Priority Return 6-30-09" xfId="5972" xr:uid="{00000000-0005-0000-0000-00004C170000}"/>
    <cellStyle name="_Sources  Uses v2 5.30.03_Apollo Investment Fund IV Q1 2009 Capital Analysis PR CORRECTED 6-30-09" xfId="5973" xr:uid="{00000000-0005-0000-0000-00004D170000}"/>
    <cellStyle name="_Sources  Uses v2 5.30.03_Broadleaf Watefall 9-30-09" xfId="5974" xr:uid="{00000000-0005-0000-0000-00004E170000}"/>
    <cellStyle name="_Sources  Uses v2 5.30.03_Carry Calculation" xfId="5975" xr:uid="{00000000-0005-0000-0000-00004F170000}"/>
    <cellStyle name="_Sources  Uses v2 5.30.03_COF I CAS" xfId="5976" xr:uid="{00000000-0005-0000-0000-000050170000}"/>
    <cellStyle name="_Sources  Uses v2 5.30.03_COF II CAS" xfId="5977" xr:uid="{00000000-0005-0000-0000-000051170000}"/>
    <cellStyle name="_Sources  Uses v2 5.30.03_Copy of AGM Dec '09 YTD COF I and II Dep  Liab (1-13-10) (2)" xfId="5978" xr:uid="{00000000-0005-0000-0000-000052170000}"/>
    <cellStyle name="_Sources  Uses v2 5.30.03_Dist Summary_11.XX.09" xfId="5979" xr:uid="{00000000-0005-0000-0000-000053170000}"/>
    <cellStyle name="_Sources  Uses v2 5.30.03_Domestic TB" xfId="5980" xr:uid="{00000000-0005-0000-0000-000054170000}"/>
    <cellStyle name="_Sources  Uses v2 5.30.03_Domestic TB 2" xfId="5981" xr:uid="{00000000-0005-0000-0000-000055170000}"/>
    <cellStyle name="_Sources  Uses v2 5.30.03_Fund IV" xfId="5982" xr:uid="{00000000-0005-0000-0000-000056170000}"/>
    <cellStyle name="_Sources  Uses v2 5.30.03_Fund IV 9.30.08" xfId="5983" xr:uid="{00000000-0005-0000-0000-000057170000}"/>
    <cellStyle name="_Sources  Uses v2 5.30.03_Fund IV_1" xfId="5984" xr:uid="{00000000-0005-0000-0000-000058170000}"/>
    <cellStyle name="_Sources  Uses v2 5.30.03_Fund IV_AIF IV - Waterfall 3 31 09 vs  6 30 09" xfId="5985" xr:uid="{00000000-0005-0000-0000-000059170000}"/>
    <cellStyle name="_Sources  Uses v2 5.30.03_Fund IV_AIF IV, V, VI, VII, COF - Waterfall 3 31 09 vs  6 30 09" xfId="5986" xr:uid="{00000000-0005-0000-0000-00005A170000}"/>
    <cellStyle name="_Sources  Uses v2 5.30.03_Fund IV_Fund IV" xfId="5987" xr:uid="{00000000-0005-0000-0000-00005B170000}"/>
    <cellStyle name="_Sources  Uses v2 5.30.03_Fund IV_Funds IV Clawback Value Adjustment" xfId="5988" xr:uid="{00000000-0005-0000-0000-00005C170000}"/>
    <cellStyle name="_Sources  Uses v2 5.30.03_IC Balance" xfId="5989" xr:uid="{00000000-0005-0000-0000-00005D170000}"/>
    <cellStyle name="_Sources  Uses v2 5.30.03_Invested Capital Debt Worksheet" xfId="5990" xr:uid="{00000000-0005-0000-0000-00005E170000}"/>
    <cellStyle name="_Sources  Uses v2 5.30.03_iPCs#1-Remaining" xfId="5991" xr:uid="{00000000-0005-0000-0000-00005F170000}"/>
    <cellStyle name="_Sources  Uses v2 5.30.03_LS, LP - Dec  2010 Trial Balance Summary" xfId="5992" xr:uid="{00000000-0005-0000-0000-000060170000}"/>
    <cellStyle name="_Sources  Uses v2 5.30.03_Partners Capital Q1 2009" xfId="5993" xr:uid="{00000000-0005-0000-0000-000061170000}"/>
    <cellStyle name="_Sources  Uses v2 5.30.03_Partners Capital Q1 2009 2" xfId="5994" xr:uid="{00000000-0005-0000-0000-000062170000}"/>
    <cellStyle name="_Sources  Uses v2 5.30.03_Partners Capital Q1 2009 3" xfId="5995" xr:uid="{00000000-0005-0000-0000-000063170000}"/>
    <cellStyle name="_Sources  Uses v2 5.30.03_Partners Capital Q1 2009_Broadleaf Watefall 12-31-09" xfId="5996" xr:uid="{00000000-0005-0000-0000-000064170000}"/>
    <cellStyle name="_Sources  Uses v2 5.30.03_PR Calc" xfId="5997" xr:uid="{00000000-0005-0000-0000-000065170000}"/>
    <cellStyle name="_Sources  Uses v2 5.30.03_PR Calc - DOMESTIC" xfId="5998" xr:uid="{00000000-0005-0000-0000-000066170000}"/>
    <cellStyle name="_Sources  Uses v2 5.30.03_RCIV Q3 2009 Capital Analysis CURRENT" xfId="5999" xr:uid="{00000000-0005-0000-0000-000067170000}"/>
    <cellStyle name="_Sources  Uses v2 5.30.03_RCIV Q3 2009 Capital Analysis CURRENT 2" xfId="6000" xr:uid="{00000000-0005-0000-0000-000068170000}"/>
    <cellStyle name="_Summary" xfId="6001" xr:uid="{00000000-0005-0000-0000-000069170000}"/>
    <cellStyle name="_Summary 2" xfId="6002" xr:uid="{00000000-0005-0000-0000-00006A170000}"/>
    <cellStyle name="_Summary 2 2" xfId="6003" xr:uid="{00000000-0005-0000-0000-00006B170000}"/>
    <cellStyle name="_Summary 3" xfId="6004" xr:uid="{00000000-0005-0000-0000-00006C170000}"/>
    <cellStyle name="_Summary_AIF VI - BondcoVI_Entities Invested Capital (CURRENT)" xfId="6005" xr:uid="{00000000-0005-0000-0000-00006D170000}"/>
    <cellStyle name="_Summary_IC Balance" xfId="6006" xr:uid="{00000000-0005-0000-0000-00006E170000}"/>
    <cellStyle name="_Summary_Invested Capital Debt Worksheet" xfId="6007" xr:uid="{00000000-0005-0000-0000-00006F170000}"/>
    <cellStyle name="_Summary_MMF Income" xfId="6008" xr:uid="{00000000-0005-0000-0000-000070170000}"/>
    <cellStyle name="_Summary_Realized Gain Loss" xfId="6009" xr:uid="{00000000-0005-0000-0000-000071170000}"/>
    <cellStyle name="_Tax calculation support" xfId="6010" xr:uid="{00000000-0005-0000-0000-000072170000}"/>
    <cellStyle name="_Tax calculation support 10" xfId="6011" xr:uid="{00000000-0005-0000-0000-000073170000}"/>
    <cellStyle name="_Tax calculation support 11" xfId="6012" xr:uid="{00000000-0005-0000-0000-000074170000}"/>
    <cellStyle name="_Tax calculation support 12" xfId="6013" xr:uid="{00000000-0005-0000-0000-000075170000}"/>
    <cellStyle name="_Tax calculation support 13" xfId="6014" xr:uid="{00000000-0005-0000-0000-000076170000}"/>
    <cellStyle name="_Tax calculation support 14" xfId="6015" xr:uid="{00000000-0005-0000-0000-000077170000}"/>
    <cellStyle name="_Tax calculation support 15" xfId="6016" xr:uid="{00000000-0005-0000-0000-000078170000}"/>
    <cellStyle name="_Tax calculation support 16" xfId="6017" xr:uid="{00000000-0005-0000-0000-000079170000}"/>
    <cellStyle name="_Tax calculation support 17" xfId="6018" xr:uid="{00000000-0005-0000-0000-00007A170000}"/>
    <cellStyle name="_Tax calculation support 18" xfId="6019" xr:uid="{00000000-0005-0000-0000-00007B170000}"/>
    <cellStyle name="_Tax calculation support 19" xfId="6020" xr:uid="{00000000-0005-0000-0000-00007C170000}"/>
    <cellStyle name="_Tax calculation support 2" xfId="6021" xr:uid="{00000000-0005-0000-0000-00007D170000}"/>
    <cellStyle name="_Tax calculation support 20" xfId="6022" xr:uid="{00000000-0005-0000-0000-00007E170000}"/>
    <cellStyle name="_Tax calculation support 21" xfId="6023" xr:uid="{00000000-0005-0000-0000-00007F170000}"/>
    <cellStyle name="_Tax calculation support 21 2" xfId="6024" xr:uid="{00000000-0005-0000-0000-000080170000}"/>
    <cellStyle name="_Tax calculation support 3" xfId="6025" xr:uid="{00000000-0005-0000-0000-000081170000}"/>
    <cellStyle name="_Tax calculation support 4" xfId="6026" xr:uid="{00000000-0005-0000-0000-000082170000}"/>
    <cellStyle name="_Tax calculation support 5" xfId="6027" xr:uid="{00000000-0005-0000-0000-000083170000}"/>
    <cellStyle name="_Tax calculation support 6" xfId="6028" xr:uid="{00000000-0005-0000-0000-000084170000}"/>
    <cellStyle name="_Tax calculation support 7" xfId="6029" xr:uid="{00000000-0005-0000-0000-000085170000}"/>
    <cellStyle name="_Tax calculation support 8" xfId="6030" xr:uid="{00000000-0005-0000-0000-000086170000}"/>
    <cellStyle name="_Tax calculation support 9" xfId="6031" xr:uid="{00000000-0005-0000-0000-000087170000}"/>
    <cellStyle name="_Tax calculation support_{6} Carry" xfId="6032" xr:uid="{00000000-0005-0000-0000-000088170000}"/>
    <cellStyle name="_Tax calculation support_{6} Clawback" xfId="6033" xr:uid="{00000000-0005-0000-0000-000089170000}"/>
    <cellStyle name="_Tax calculation support_2011 Q1 Monitoring Fees v3" xfId="6034" xr:uid="{00000000-0005-0000-0000-00008A170000}"/>
    <cellStyle name="_Tax calculation support_AIF IV Financial Highlights 12-31-08 v4" xfId="6035" xr:uid="{00000000-0005-0000-0000-00008B170000}"/>
    <cellStyle name="_Tax calculation support_AIF IV Financial Highlights 12-31-08 v4_Apollo Investment Fund IV  Q3 2009 Capital Analysis CURRENT" xfId="6036" xr:uid="{00000000-0005-0000-0000-00008C170000}"/>
    <cellStyle name="_Tax calculation support_AIF IV Financial Highlights 12-31-08 v4_Apollo Investment Fund IV  Q3 2009 Capital Analysis iPCS &amp; URI Distribution" xfId="6037" xr:uid="{00000000-0005-0000-0000-00008D170000}"/>
    <cellStyle name="_Tax calculation support_AIF IV Financial Highlights 12-31-08 v4_iPCs#1-Remaining" xfId="6038" xr:uid="{00000000-0005-0000-0000-00008E170000}"/>
    <cellStyle name="_Tax calculation support_Andy Affrick - Schedulev2" xfId="6039" xr:uid="{00000000-0005-0000-0000-00008F170000}"/>
    <cellStyle name="_Tax calculation support_Apollo Investment Fund IV  April Priority Return" xfId="6040" xr:uid="{00000000-0005-0000-0000-000090170000}"/>
    <cellStyle name="_Tax calculation support_Apollo Investment Fund IV  Q1 2009 Capital Analysis 5-22-09 with GAAP" xfId="6041" xr:uid="{00000000-0005-0000-0000-000091170000}"/>
    <cellStyle name="_Tax calculation support_Apollo Investment Fund IV  Q1 2009 Capital Analysis GAAP" xfId="6042" xr:uid="{00000000-0005-0000-0000-000092170000}"/>
    <cellStyle name="_Tax calculation support_Apollo Investment Fund IV  Q2 2009 Capital Analysis CURRENT" xfId="6043" xr:uid="{00000000-0005-0000-0000-000093170000}"/>
    <cellStyle name="_Tax calculation support_Apollo Investment Fund IV  Q3 2009 Capital Analysis CURRENT" xfId="6044" xr:uid="{00000000-0005-0000-0000-000094170000}"/>
    <cellStyle name="_Tax calculation support_Apollo Investment Fund IV  Q3 2009 Capital Analysis iPCS &amp; URI Distribution" xfId="6045" xr:uid="{00000000-0005-0000-0000-000095170000}"/>
    <cellStyle name="_Tax calculation support_Apollo Investment Fund IV Priority Return 6-30-09" xfId="6046" xr:uid="{00000000-0005-0000-0000-000096170000}"/>
    <cellStyle name="_Tax calculation support_Apollo Investment Fund IV Q1 2009 Capital Analysis PR CORRECTED 6-30-09" xfId="6047" xr:uid="{00000000-0005-0000-0000-000097170000}"/>
    <cellStyle name="_Tax calculation support_Broadleaf Watefall 9-30-09" xfId="6048" xr:uid="{00000000-0005-0000-0000-000098170000}"/>
    <cellStyle name="_Tax calculation support_Carry Calculation" xfId="6049" xr:uid="{00000000-0005-0000-0000-000099170000}"/>
    <cellStyle name="_Tax calculation support_COF I CAS" xfId="6050" xr:uid="{00000000-0005-0000-0000-00009A170000}"/>
    <cellStyle name="_Tax calculation support_COF II CAS" xfId="6051" xr:uid="{00000000-0005-0000-0000-00009B170000}"/>
    <cellStyle name="_Tax calculation support_Copy of AGM Dec '09 YTD COF I and II Dep  Liab (1-13-10) (2)" xfId="6052" xr:uid="{00000000-0005-0000-0000-00009C170000}"/>
    <cellStyle name="_Tax calculation support_Dist Summary_11.XX.09" xfId="6053" xr:uid="{00000000-0005-0000-0000-00009D170000}"/>
    <cellStyle name="_Tax calculation support_Domestic TB" xfId="6054" xr:uid="{00000000-0005-0000-0000-00009E170000}"/>
    <cellStyle name="_Tax calculation support_Domestic TB 2" xfId="6055" xr:uid="{00000000-0005-0000-0000-00009F170000}"/>
    <cellStyle name="_Tax calculation support_Fund IV" xfId="6056" xr:uid="{00000000-0005-0000-0000-0000A0170000}"/>
    <cellStyle name="_Tax calculation support_Fund IV 9.30.08" xfId="6057" xr:uid="{00000000-0005-0000-0000-0000A1170000}"/>
    <cellStyle name="_Tax calculation support_Fund IV_1" xfId="6058" xr:uid="{00000000-0005-0000-0000-0000A2170000}"/>
    <cellStyle name="_Tax calculation support_Fund IV_AIF IV - Waterfall 3 31 09 vs  6 30 09" xfId="6059" xr:uid="{00000000-0005-0000-0000-0000A3170000}"/>
    <cellStyle name="_Tax calculation support_Fund IV_AIF IV, V, VI, VII, COF - Waterfall 3 31 09 vs  6 30 09" xfId="6060" xr:uid="{00000000-0005-0000-0000-0000A4170000}"/>
    <cellStyle name="_Tax calculation support_Fund IV_Fund IV" xfId="6061" xr:uid="{00000000-0005-0000-0000-0000A5170000}"/>
    <cellStyle name="_Tax calculation support_Fund IV_Funds IV Clawback Value Adjustment" xfId="6062" xr:uid="{00000000-0005-0000-0000-0000A6170000}"/>
    <cellStyle name="_Tax calculation support_IC Balance" xfId="6063" xr:uid="{00000000-0005-0000-0000-0000A7170000}"/>
    <cellStyle name="_Tax calculation support_Invested Capital Debt Worksheet" xfId="6064" xr:uid="{00000000-0005-0000-0000-0000A8170000}"/>
    <cellStyle name="_Tax calculation support_iPCs#1-Remaining" xfId="6065" xr:uid="{00000000-0005-0000-0000-0000A9170000}"/>
    <cellStyle name="_Tax calculation support_LS, LP - Dec  2010 Trial Balance Summary" xfId="6066" xr:uid="{00000000-0005-0000-0000-0000AA170000}"/>
    <cellStyle name="_Tax calculation support_Partners Capital Q1 2009" xfId="6067" xr:uid="{00000000-0005-0000-0000-0000AB170000}"/>
    <cellStyle name="_Tax calculation support_Partners Capital Q1 2009 2" xfId="6068" xr:uid="{00000000-0005-0000-0000-0000AC170000}"/>
    <cellStyle name="_Tax calculation support_Partners Capital Q1 2009 3" xfId="6069" xr:uid="{00000000-0005-0000-0000-0000AD170000}"/>
    <cellStyle name="_Tax calculation support_Partners Capital Q1 2009_Broadleaf Watefall 12-31-09" xfId="6070" xr:uid="{00000000-0005-0000-0000-0000AE170000}"/>
    <cellStyle name="_Tax calculation support_PR Calc" xfId="6071" xr:uid="{00000000-0005-0000-0000-0000AF170000}"/>
    <cellStyle name="_Tax calculation support_PR Calc - DOMESTIC" xfId="6072" xr:uid="{00000000-0005-0000-0000-0000B0170000}"/>
    <cellStyle name="_Tax calculation support_RCIV Q3 2009 Capital Analysis CURRENT" xfId="6073" xr:uid="{00000000-0005-0000-0000-0000B1170000}"/>
    <cellStyle name="_Tax calculation support_RCIV Q3 2009 Capital Analysis CURRENT 2" xfId="6074" xr:uid="{00000000-0005-0000-0000-0000B2170000}"/>
    <cellStyle name="_TAX GTIH Model v49 (5.22.03) v6" xfId="6075" xr:uid="{00000000-0005-0000-0000-0000B3170000}"/>
    <cellStyle name="_TAX GTIH Model v49 (5.22.03) v6 10" xfId="6076" xr:uid="{00000000-0005-0000-0000-0000B4170000}"/>
    <cellStyle name="_TAX GTIH Model v49 (5.22.03) v6 11" xfId="6077" xr:uid="{00000000-0005-0000-0000-0000B5170000}"/>
    <cellStyle name="_TAX GTIH Model v49 (5.22.03) v6 12" xfId="6078" xr:uid="{00000000-0005-0000-0000-0000B6170000}"/>
    <cellStyle name="_TAX GTIH Model v49 (5.22.03) v6 13" xfId="6079" xr:uid="{00000000-0005-0000-0000-0000B7170000}"/>
    <cellStyle name="_TAX GTIH Model v49 (5.22.03) v6 14" xfId="6080" xr:uid="{00000000-0005-0000-0000-0000B8170000}"/>
    <cellStyle name="_TAX GTIH Model v49 (5.22.03) v6 15" xfId="6081" xr:uid="{00000000-0005-0000-0000-0000B9170000}"/>
    <cellStyle name="_TAX GTIH Model v49 (5.22.03) v6 16" xfId="6082" xr:uid="{00000000-0005-0000-0000-0000BA170000}"/>
    <cellStyle name="_TAX GTIH Model v49 (5.22.03) v6 17" xfId="6083" xr:uid="{00000000-0005-0000-0000-0000BB170000}"/>
    <cellStyle name="_TAX GTIH Model v49 (5.22.03) v6 18" xfId="6084" xr:uid="{00000000-0005-0000-0000-0000BC170000}"/>
    <cellStyle name="_TAX GTIH Model v49 (5.22.03) v6 19" xfId="6085" xr:uid="{00000000-0005-0000-0000-0000BD170000}"/>
    <cellStyle name="_TAX GTIH Model v49 (5.22.03) v6 2" xfId="6086" xr:uid="{00000000-0005-0000-0000-0000BE170000}"/>
    <cellStyle name="_TAX GTIH Model v49 (5.22.03) v6 20" xfId="6087" xr:uid="{00000000-0005-0000-0000-0000BF170000}"/>
    <cellStyle name="_TAX GTIH Model v49 (5.22.03) v6 21" xfId="6088" xr:uid="{00000000-0005-0000-0000-0000C0170000}"/>
    <cellStyle name="_TAX GTIH Model v49 (5.22.03) v6 21 2" xfId="6089" xr:uid="{00000000-0005-0000-0000-0000C1170000}"/>
    <cellStyle name="_TAX GTIH Model v49 (5.22.03) v6 3" xfId="6090" xr:uid="{00000000-0005-0000-0000-0000C2170000}"/>
    <cellStyle name="_TAX GTIH Model v49 (5.22.03) v6 4" xfId="6091" xr:uid="{00000000-0005-0000-0000-0000C3170000}"/>
    <cellStyle name="_TAX GTIH Model v49 (5.22.03) v6 5" xfId="6092" xr:uid="{00000000-0005-0000-0000-0000C4170000}"/>
    <cellStyle name="_TAX GTIH Model v49 (5.22.03) v6 6" xfId="6093" xr:uid="{00000000-0005-0000-0000-0000C5170000}"/>
    <cellStyle name="_TAX GTIH Model v49 (5.22.03) v6 7" xfId="6094" xr:uid="{00000000-0005-0000-0000-0000C6170000}"/>
    <cellStyle name="_TAX GTIH Model v49 (5.22.03) v6 8" xfId="6095" xr:uid="{00000000-0005-0000-0000-0000C7170000}"/>
    <cellStyle name="_TAX GTIH Model v49 (5.22.03) v6 9" xfId="6096" xr:uid="{00000000-0005-0000-0000-0000C8170000}"/>
    <cellStyle name="_TAX GTIH Model v49 (5.22.03) v6_{6} Carry" xfId="6097" xr:uid="{00000000-0005-0000-0000-0000C9170000}"/>
    <cellStyle name="_TAX GTIH Model v49 (5.22.03) v6_{6} Clawback" xfId="6098" xr:uid="{00000000-0005-0000-0000-0000CA170000}"/>
    <cellStyle name="_TAX GTIH Model v49 (5.22.03) v6_2011 Q1 Monitoring Fees v3" xfId="6099" xr:uid="{00000000-0005-0000-0000-0000CB170000}"/>
    <cellStyle name="_TAX GTIH Model v49 (5.22.03) v6_AIF IV Financial Highlights 12-31-08 v4" xfId="6100" xr:uid="{00000000-0005-0000-0000-0000CC170000}"/>
    <cellStyle name="_TAX GTIH Model v49 (5.22.03) v6_AIF IV Financial Highlights 12-31-08 v4_Apollo Investment Fund IV  Q3 2009 Capital Analysis CURRENT" xfId="6101" xr:uid="{00000000-0005-0000-0000-0000CD170000}"/>
    <cellStyle name="_TAX GTIH Model v49 (5.22.03) v6_AIF IV Financial Highlights 12-31-08 v4_Apollo Investment Fund IV  Q3 2009 Capital Analysis iPCS &amp; URI Distribution" xfId="6102" xr:uid="{00000000-0005-0000-0000-0000CE170000}"/>
    <cellStyle name="_TAX GTIH Model v49 (5.22.03) v6_AIF IV Financial Highlights 12-31-08 v4_iPCs#1-Remaining" xfId="6103" xr:uid="{00000000-0005-0000-0000-0000CF170000}"/>
    <cellStyle name="_TAX GTIH Model v49 (5.22.03) v6_Andy Affrick - Schedulev2" xfId="6104" xr:uid="{00000000-0005-0000-0000-0000D0170000}"/>
    <cellStyle name="_TAX GTIH Model v49 (5.22.03) v6_Apollo Investment Fund IV  April Priority Return" xfId="6105" xr:uid="{00000000-0005-0000-0000-0000D1170000}"/>
    <cellStyle name="_TAX GTIH Model v49 (5.22.03) v6_Apollo Investment Fund IV  Q1 2009 Capital Analysis 5-22-09 with GAAP" xfId="6106" xr:uid="{00000000-0005-0000-0000-0000D2170000}"/>
    <cellStyle name="_TAX GTIH Model v49 (5.22.03) v6_Apollo Investment Fund IV  Q1 2009 Capital Analysis GAAP" xfId="6107" xr:uid="{00000000-0005-0000-0000-0000D3170000}"/>
    <cellStyle name="_TAX GTIH Model v49 (5.22.03) v6_Apollo Investment Fund IV  Q2 2009 Capital Analysis CURRENT" xfId="6108" xr:uid="{00000000-0005-0000-0000-0000D4170000}"/>
    <cellStyle name="_TAX GTIH Model v49 (5.22.03) v6_Apollo Investment Fund IV  Q3 2009 Capital Analysis CURRENT" xfId="6109" xr:uid="{00000000-0005-0000-0000-0000D5170000}"/>
    <cellStyle name="_TAX GTIH Model v49 (5.22.03) v6_Apollo Investment Fund IV  Q3 2009 Capital Analysis iPCS &amp; URI Distribution" xfId="6110" xr:uid="{00000000-0005-0000-0000-0000D6170000}"/>
    <cellStyle name="_TAX GTIH Model v49 (5.22.03) v6_Apollo Investment Fund IV Priority Return 6-30-09" xfId="6111" xr:uid="{00000000-0005-0000-0000-0000D7170000}"/>
    <cellStyle name="_TAX GTIH Model v49 (5.22.03) v6_Apollo Investment Fund IV Q1 2009 Capital Analysis PR CORRECTED 6-30-09" xfId="6112" xr:uid="{00000000-0005-0000-0000-0000D8170000}"/>
    <cellStyle name="_TAX GTIH Model v49 (5.22.03) v6_Broadleaf Watefall 9-30-09" xfId="6113" xr:uid="{00000000-0005-0000-0000-0000D9170000}"/>
    <cellStyle name="_TAX GTIH Model v49 (5.22.03) v6_Carry Calculation" xfId="6114" xr:uid="{00000000-0005-0000-0000-0000DA170000}"/>
    <cellStyle name="_TAX GTIH Model v49 (5.22.03) v6_COF I CAS" xfId="6115" xr:uid="{00000000-0005-0000-0000-0000DB170000}"/>
    <cellStyle name="_TAX GTIH Model v49 (5.22.03) v6_COF II CAS" xfId="6116" xr:uid="{00000000-0005-0000-0000-0000DC170000}"/>
    <cellStyle name="_TAX GTIH Model v49 (5.22.03) v6_Copy of AGM Dec '09 YTD COF I and II Dep  Liab (1-13-10) (2)" xfId="6117" xr:uid="{00000000-0005-0000-0000-0000DD170000}"/>
    <cellStyle name="_TAX GTIH Model v49 (5.22.03) v6_Dist Summary_11.XX.09" xfId="6118" xr:uid="{00000000-0005-0000-0000-0000DE170000}"/>
    <cellStyle name="_TAX GTIH Model v49 (5.22.03) v6_Domestic TB" xfId="6119" xr:uid="{00000000-0005-0000-0000-0000DF170000}"/>
    <cellStyle name="_TAX GTIH Model v49 (5.22.03) v6_Domestic TB 2" xfId="6120" xr:uid="{00000000-0005-0000-0000-0000E0170000}"/>
    <cellStyle name="_TAX GTIH Model v49 (5.22.03) v6_Fund IV" xfId="6121" xr:uid="{00000000-0005-0000-0000-0000E1170000}"/>
    <cellStyle name="_TAX GTIH Model v49 (5.22.03) v6_Fund IV 9.30.08" xfId="6122" xr:uid="{00000000-0005-0000-0000-0000E2170000}"/>
    <cellStyle name="_TAX GTIH Model v49 (5.22.03) v6_Fund IV_1" xfId="6123" xr:uid="{00000000-0005-0000-0000-0000E3170000}"/>
    <cellStyle name="_TAX GTIH Model v49 (5.22.03) v6_Fund IV_AIF IV - Waterfall 3 31 09 vs  6 30 09" xfId="6124" xr:uid="{00000000-0005-0000-0000-0000E4170000}"/>
    <cellStyle name="_TAX GTIH Model v49 (5.22.03) v6_Fund IV_AIF IV, V, VI, VII, COF - Waterfall 3 31 09 vs  6 30 09" xfId="6125" xr:uid="{00000000-0005-0000-0000-0000E5170000}"/>
    <cellStyle name="_TAX GTIH Model v49 (5.22.03) v6_Fund IV_Fund IV" xfId="6126" xr:uid="{00000000-0005-0000-0000-0000E6170000}"/>
    <cellStyle name="_TAX GTIH Model v49 (5.22.03) v6_Fund IV_Funds IV Clawback Value Adjustment" xfId="6127" xr:uid="{00000000-0005-0000-0000-0000E7170000}"/>
    <cellStyle name="_TAX GTIH Model v49 (5.22.03) v6_IC Balance" xfId="6128" xr:uid="{00000000-0005-0000-0000-0000E8170000}"/>
    <cellStyle name="_TAX GTIH Model v49 (5.22.03) v6_Invested Capital Debt Worksheet" xfId="6129" xr:uid="{00000000-0005-0000-0000-0000E9170000}"/>
    <cellStyle name="_TAX GTIH Model v49 (5.22.03) v6_iPCs#1-Remaining" xfId="6130" xr:uid="{00000000-0005-0000-0000-0000EA170000}"/>
    <cellStyle name="_TAX GTIH Model v49 (5.22.03) v6_LS, LP - Dec  2010 Trial Balance Summary" xfId="6131" xr:uid="{00000000-0005-0000-0000-0000EB170000}"/>
    <cellStyle name="_TAX GTIH Model v49 (5.22.03) v6_Partners Capital Q1 2009" xfId="6132" xr:uid="{00000000-0005-0000-0000-0000EC170000}"/>
    <cellStyle name="_TAX GTIH Model v49 (5.22.03) v6_Partners Capital Q1 2009 2" xfId="6133" xr:uid="{00000000-0005-0000-0000-0000ED170000}"/>
    <cellStyle name="_TAX GTIH Model v49 (5.22.03) v6_Partners Capital Q1 2009 3" xfId="6134" xr:uid="{00000000-0005-0000-0000-0000EE170000}"/>
    <cellStyle name="_TAX GTIH Model v49 (5.22.03) v6_Partners Capital Q1 2009_Broadleaf Watefall 12-31-09" xfId="6135" xr:uid="{00000000-0005-0000-0000-0000EF170000}"/>
    <cellStyle name="_TAX GTIH Model v49 (5.22.03) v6_PR Calc" xfId="6136" xr:uid="{00000000-0005-0000-0000-0000F0170000}"/>
    <cellStyle name="_TAX GTIH Model v49 (5.22.03) v6_PR Calc - DOMESTIC" xfId="6137" xr:uid="{00000000-0005-0000-0000-0000F1170000}"/>
    <cellStyle name="_TAX GTIH Model v49 (5.22.03) v6_RCIV Q3 2009 Capital Analysis CURRENT" xfId="6138" xr:uid="{00000000-0005-0000-0000-0000F2170000}"/>
    <cellStyle name="_TAX GTIH Model v49 (5.22.03) v6_RCIV Q3 2009 Capital Analysis CURRENT 2" xfId="6139" xr:uid="{00000000-0005-0000-0000-0000F3170000}"/>
    <cellStyle name="_TAX GTIH Model v50 (6.01.03) v1" xfId="6140" xr:uid="{00000000-0005-0000-0000-0000F4170000}"/>
    <cellStyle name="_TAX GTIH Model v50 (6.01.03) v1 10" xfId="6141" xr:uid="{00000000-0005-0000-0000-0000F5170000}"/>
    <cellStyle name="_TAX GTIH Model v50 (6.01.03) v1 11" xfId="6142" xr:uid="{00000000-0005-0000-0000-0000F6170000}"/>
    <cellStyle name="_TAX GTIH Model v50 (6.01.03) v1 12" xfId="6143" xr:uid="{00000000-0005-0000-0000-0000F7170000}"/>
    <cellStyle name="_TAX GTIH Model v50 (6.01.03) v1 13" xfId="6144" xr:uid="{00000000-0005-0000-0000-0000F8170000}"/>
    <cellStyle name="_TAX GTIH Model v50 (6.01.03) v1 14" xfId="6145" xr:uid="{00000000-0005-0000-0000-0000F9170000}"/>
    <cellStyle name="_TAX GTIH Model v50 (6.01.03) v1 15" xfId="6146" xr:uid="{00000000-0005-0000-0000-0000FA170000}"/>
    <cellStyle name="_TAX GTIH Model v50 (6.01.03) v1 16" xfId="6147" xr:uid="{00000000-0005-0000-0000-0000FB170000}"/>
    <cellStyle name="_TAX GTIH Model v50 (6.01.03) v1 17" xfId="6148" xr:uid="{00000000-0005-0000-0000-0000FC170000}"/>
    <cellStyle name="_TAX GTIH Model v50 (6.01.03) v1 18" xfId="6149" xr:uid="{00000000-0005-0000-0000-0000FD170000}"/>
    <cellStyle name="_TAX GTIH Model v50 (6.01.03) v1 19" xfId="6150" xr:uid="{00000000-0005-0000-0000-0000FE170000}"/>
    <cellStyle name="_TAX GTIH Model v50 (6.01.03) v1 2" xfId="6151" xr:uid="{00000000-0005-0000-0000-0000FF170000}"/>
    <cellStyle name="_TAX GTIH Model v50 (6.01.03) v1 20" xfId="6152" xr:uid="{00000000-0005-0000-0000-000000180000}"/>
    <cellStyle name="_TAX GTIH Model v50 (6.01.03) v1 21" xfId="6153" xr:uid="{00000000-0005-0000-0000-000001180000}"/>
    <cellStyle name="_TAX GTIH Model v50 (6.01.03) v1 21 2" xfId="6154" xr:uid="{00000000-0005-0000-0000-000002180000}"/>
    <cellStyle name="_TAX GTIH Model v50 (6.01.03) v1 3" xfId="6155" xr:uid="{00000000-0005-0000-0000-000003180000}"/>
    <cellStyle name="_TAX GTIH Model v50 (6.01.03) v1 4" xfId="6156" xr:uid="{00000000-0005-0000-0000-000004180000}"/>
    <cellStyle name="_TAX GTIH Model v50 (6.01.03) v1 5" xfId="6157" xr:uid="{00000000-0005-0000-0000-000005180000}"/>
    <cellStyle name="_TAX GTIH Model v50 (6.01.03) v1 6" xfId="6158" xr:uid="{00000000-0005-0000-0000-000006180000}"/>
    <cellStyle name="_TAX GTIH Model v50 (6.01.03) v1 7" xfId="6159" xr:uid="{00000000-0005-0000-0000-000007180000}"/>
    <cellStyle name="_TAX GTIH Model v50 (6.01.03) v1 8" xfId="6160" xr:uid="{00000000-0005-0000-0000-000008180000}"/>
    <cellStyle name="_TAX GTIH Model v50 (6.01.03) v1 9" xfId="6161" xr:uid="{00000000-0005-0000-0000-000009180000}"/>
    <cellStyle name="_TAX GTIH Model v50 (6.01.03) v1_{6} Carry" xfId="6162" xr:uid="{00000000-0005-0000-0000-00000A180000}"/>
    <cellStyle name="_TAX GTIH Model v50 (6.01.03) v1_{6} Clawback" xfId="6163" xr:uid="{00000000-0005-0000-0000-00000B180000}"/>
    <cellStyle name="_TAX GTIH Model v50 (6.01.03) v1_2011 Q1 Monitoring Fees v3" xfId="6164" xr:uid="{00000000-0005-0000-0000-00000C180000}"/>
    <cellStyle name="_TAX GTIH Model v50 (6.01.03) v1_AIF IV Financial Highlights 12-31-08 v4" xfId="6165" xr:uid="{00000000-0005-0000-0000-00000D180000}"/>
    <cellStyle name="_TAX GTIH Model v50 (6.01.03) v1_AIF IV Financial Highlights 12-31-08 v4_Apollo Investment Fund IV  Q3 2009 Capital Analysis CURRENT" xfId="6166" xr:uid="{00000000-0005-0000-0000-00000E180000}"/>
    <cellStyle name="_TAX GTIH Model v50 (6.01.03) v1_AIF IV Financial Highlights 12-31-08 v4_Apollo Investment Fund IV  Q3 2009 Capital Analysis iPCS &amp; URI Distribution" xfId="6167" xr:uid="{00000000-0005-0000-0000-00000F180000}"/>
    <cellStyle name="_TAX GTIH Model v50 (6.01.03) v1_AIF IV Financial Highlights 12-31-08 v4_iPCs#1-Remaining" xfId="6168" xr:uid="{00000000-0005-0000-0000-000010180000}"/>
    <cellStyle name="_TAX GTIH Model v50 (6.01.03) v1_Andy Affrick - Schedulev2" xfId="6169" xr:uid="{00000000-0005-0000-0000-000011180000}"/>
    <cellStyle name="_TAX GTIH Model v50 (6.01.03) v1_Apollo Investment Fund IV  April Priority Return" xfId="6170" xr:uid="{00000000-0005-0000-0000-000012180000}"/>
    <cellStyle name="_TAX GTIH Model v50 (6.01.03) v1_Apollo Investment Fund IV  Q1 2009 Capital Analysis 5-22-09 with GAAP" xfId="6171" xr:uid="{00000000-0005-0000-0000-000013180000}"/>
    <cellStyle name="_TAX GTIH Model v50 (6.01.03) v1_Apollo Investment Fund IV  Q1 2009 Capital Analysis GAAP" xfId="6172" xr:uid="{00000000-0005-0000-0000-000014180000}"/>
    <cellStyle name="_TAX GTIH Model v50 (6.01.03) v1_Apollo Investment Fund IV  Q2 2009 Capital Analysis CURRENT" xfId="6173" xr:uid="{00000000-0005-0000-0000-000015180000}"/>
    <cellStyle name="_TAX GTIH Model v50 (6.01.03) v1_Apollo Investment Fund IV  Q3 2009 Capital Analysis CURRENT" xfId="6174" xr:uid="{00000000-0005-0000-0000-000016180000}"/>
    <cellStyle name="_TAX GTIH Model v50 (6.01.03) v1_Apollo Investment Fund IV  Q3 2009 Capital Analysis iPCS &amp; URI Distribution" xfId="6175" xr:uid="{00000000-0005-0000-0000-000017180000}"/>
    <cellStyle name="_TAX GTIH Model v50 (6.01.03) v1_Apollo Investment Fund IV Priority Return 6-30-09" xfId="6176" xr:uid="{00000000-0005-0000-0000-000018180000}"/>
    <cellStyle name="_TAX GTIH Model v50 (6.01.03) v1_Apollo Investment Fund IV Q1 2009 Capital Analysis PR CORRECTED 6-30-09" xfId="6177" xr:uid="{00000000-0005-0000-0000-000019180000}"/>
    <cellStyle name="_TAX GTIH Model v50 (6.01.03) v1_Broadleaf Watefall 9-30-09" xfId="6178" xr:uid="{00000000-0005-0000-0000-00001A180000}"/>
    <cellStyle name="_TAX GTIH Model v50 (6.01.03) v1_Carry Calculation" xfId="6179" xr:uid="{00000000-0005-0000-0000-00001B180000}"/>
    <cellStyle name="_TAX GTIH Model v50 (6.01.03) v1_COF I CAS" xfId="6180" xr:uid="{00000000-0005-0000-0000-00001C180000}"/>
    <cellStyle name="_TAX GTIH Model v50 (6.01.03) v1_COF II CAS" xfId="6181" xr:uid="{00000000-0005-0000-0000-00001D180000}"/>
    <cellStyle name="_TAX GTIH Model v50 (6.01.03) v1_Copy of AGM Dec '09 YTD COF I and II Dep  Liab (1-13-10) (2)" xfId="6182" xr:uid="{00000000-0005-0000-0000-00001E180000}"/>
    <cellStyle name="_TAX GTIH Model v50 (6.01.03) v1_Dist Summary_11.XX.09" xfId="6183" xr:uid="{00000000-0005-0000-0000-00001F180000}"/>
    <cellStyle name="_TAX GTIH Model v50 (6.01.03) v1_Domestic TB" xfId="6184" xr:uid="{00000000-0005-0000-0000-000020180000}"/>
    <cellStyle name="_TAX GTIH Model v50 (6.01.03) v1_Domestic TB 2" xfId="6185" xr:uid="{00000000-0005-0000-0000-000021180000}"/>
    <cellStyle name="_TAX GTIH Model v50 (6.01.03) v1_Fund IV" xfId="6186" xr:uid="{00000000-0005-0000-0000-000022180000}"/>
    <cellStyle name="_TAX GTIH Model v50 (6.01.03) v1_Fund IV 9.30.08" xfId="6187" xr:uid="{00000000-0005-0000-0000-000023180000}"/>
    <cellStyle name="_TAX GTIH Model v50 (6.01.03) v1_Fund IV_1" xfId="6188" xr:uid="{00000000-0005-0000-0000-000024180000}"/>
    <cellStyle name="_TAX GTIH Model v50 (6.01.03) v1_Fund IV_AIF IV - Waterfall 3 31 09 vs  6 30 09" xfId="6189" xr:uid="{00000000-0005-0000-0000-000025180000}"/>
    <cellStyle name="_TAX GTIH Model v50 (6.01.03) v1_Fund IV_AIF IV, V, VI, VII, COF - Waterfall 3 31 09 vs  6 30 09" xfId="6190" xr:uid="{00000000-0005-0000-0000-000026180000}"/>
    <cellStyle name="_TAX GTIH Model v50 (6.01.03) v1_Fund IV_Fund IV" xfId="6191" xr:uid="{00000000-0005-0000-0000-000027180000}"/>
    <cellStyle name="_TAX GTIH Model v50 (6.01.03) v1_Fund IV_Funds IV Clawback Value Adjustment" xfId="6192" xr:uid="{00000000-0005-0000-0000-000028180000}"/>
    <cellStyle name="_TAX GTIH Model v50 (6.01.03) v1_IC Balance" xfId="6193" xr:uid="{00000000-0005-0000-0000-000029180000}"/>
    <cellStyle name="_TAX GTIH Model v50 (6.01.03) v1_Invested Capital Debt Worksheet" xfId="6194" xr:uid="{00000000-0005-0000-0000-00002A180000}"/>
    <cellStyle name="_TAX GTIH Model v50 (6.01.03) v1_iPCs#1-Remaining" xfId="6195" xr:uid="{00000000-0005-0000-0000-00002B180000}"/>
    <cellStyle name="_TAX GTIH Model v50 (6.01.03) v1_LS, LP - Dec  2010 Trial Balance Summary" xfId="6196" xr:uid="{00000000-0005-0000-0000-00002C180000}"/>
    <cellStyle name="_TAX GTIH Model v50 (6.01.03) v1_Partners Capital Q1 2009" xfId="6197" xr:uid="{00000000-0005-0000-0000-00002D180000}"/>
    <cellStyle name="_TAX GTIH Model v50 (6.01.03) v1_Partners Capital Q1 2009 2" xfId="6198" xr:uid="{00000000-0005-0000-0000-00002E180000}"/>
    <cellStyle name="_TAX GTIH Model v50 (6.01.03) v1_Partners Capital Q1 2009 3" xfId="6199" xr:uid="{00000000-0005-0000-0000-00002F180000}"/>
    <cellStyle name="_TAX GTIH Model v50 (6.01.03) v1_Partners Capital Q1 2009_Broadleaf Watefall 12-31-09" xfId="6200" xr:uid="{00000000-0005-0000-0000-000030180000}"/>
    <cellStyle name="_TAX GTIH Model v50 (6.01.03) v1_PR Calc" xfId="6201" xr:uid="{00000000-0005-0000-0000-000031180000}"/>
    <cellStyle name="_TAX GTIH Model v50 (6.01.03) v1_PR Calc - DOMESTIC" xfId="6202" xr:uid="{00000000-0005-0000-0000-000032180000}"/>
    <cellStyle name="_TAX GTIH Model v50 (6.01.03) v1_RCIV Q3 2009 Capital Analysis CURRENT" xfId="6203" xr:uid="{00000000-0005-0000-0000-000033180000}"/>
    <cellStyle name="_TAX GTIH Model v50 (6.01.03) v1_RCIV Q3 2009 Capital Analysis CURRENT 2" xfId="6204" xr:uid="{00000000-0005-0000-0000-000034180000}"/>
    <cellStyle name="_TF NAV 200805 (2)" xfId="6205" xr:uid="{00000000-0005-0000-0000-000035180000}"/>
    <cellStyle name="_TF NAV 200805 (2)_Cash Rec PB" xfId="6206" xr:uid="{00000000-0005-0000-0000-000036180000}"/>
    <cellStyle name="_TF NAV 200805 (2)_Lightbox_Ops ME_OCT 09" xfId="6207" xr:uid="{00000000-0005-0000-0000-000037180000}"/>
    <cellStyle name="_TF NAV 200805 (2)_Lightbox_Ops ME_Sept 09" xfId="6208" xr:uid="{00000000-0005-0000-0000-000038180000}"/>
    <cellStyle name="_TGI Feeder III(Onshore)BK" xfId="6209" xr:uid="{00000000-0005-0000-0000-000039180000}"/>
    <cellStyle name="_Top-side and SUD schedule for Q4 2007 V3-5-08" xfId="6210" xr:uid="{00000000-0005-0000-0000-00003A180000}"/>
    <cellStyle name="_Top-side and SUD schedule for Q4 2007 V3-5-08 10" xfId="6211" xr:uid="{00000000-0005-0000-0000-00003B180000}"/>
    <cellStyle name="_Top-side and SUD schedule for Q4 2007 V3-5-08 11" xfId="6212" xr:uid="{00000000-0005-0000-0000-00003C180000}"/>
    <cellStyle name="_Top-side and SUD schedule for Q4 2007 V3-5-08 12" xfId="6213" xr:uid="{00000000-0005-0000-0000-00003D180000}"/>
    <cellStyle name="_Top-side and SUD schedule for Q4 2007 V3-5-08 13" xfId="6214" xr:uid="{00000000-0005-0000-0000-00003E180000}"/>
    <cellStyle name="_Top-side and SUD schedule for Q4 2007 V3-5-08 14" xfId="6215" xr:uid="{00000000-0005-0000-0000-00003F180000}"/>
    <cellStyle name="_Top-side and SUD schedule for Q4 2007 V3-5-08 15" xfId="6216" xr:uid="{00000000-0005-0000-0000-000040180000}"/>
    <cellStyle name="_Top-side and SUD schedule for Q4 2007 V3-5-08 16" xfId="6217" xr:uid="{00000000-0005-0000-0000-000041180000}"/>
    <cellStyle name="_Top-side and SUD schedule for Q4 2007 V3-5-08 17" xfId="6218" xr:uid="{00000000-0005-0000-0000-000042180000}"/>
    <cellStyle name="_Top-side and SUD schedule for Q4 2007 V3-5-08 18" xfId="6219" xr:uid="{00000000-0005-0000-0000-000043180000}"/>
    <cellStyle name="_Top-side and SUD schedule for Q4 2007 V3-5-08 19" xfId="6220" xr:uid="{00000000-0005-0000-0000-000044180000}"/>
    <cellStyle name="_Top-side and SUD schedule for Q4 2007 V3-5-08 2" xfId="6221" xr:uid="{00000000-0005-0000-0000-000045180000}"/>
    <cellStyle name="_Top-side and SUD schedule for Q4 2007 V3-5-08 2 2" xfId="6222" xr:uid="{00000000-0005-0000-0000-000046180000}"/>
    <cellStyle name="_Top-side and SUD schedule for Q4 2007 V3-5-08 20" xfId="6223" xr:uid="{00000000-0005-0000-0000-000047180000}"/>
    <cellStyle name="_Top-side and SUD schedule for Q4 2007 V3-5-08 21" xfId="6224" xr:uid="{00000000-0005-0000-0000-000048180000}"/>
    <cellStyle name="_Top-side and SUD schedule for Q4 2007 V3-5-08 22" xfId="6225" xr:uid="{00000000-0005-0000-0000-000049180000}"/>
    <cellStyle name="_Top-side and SUD schedule for Q4 2007 V3-5-08 23" xfId="6226" xr:uid="{00000000-0005-0000-0000-00004A180000}"/>
    <cellStyle name="_Top-side and SUD schedule for Q4 2007 V3-5-08 3" xfId="6227" xr:uid="{00000000-0005-0000-0000-00004B180000}"/>
    <cellStyle name="_Top-side and SUD schedule for Q4 2007 V3-5-08 3 2" xfId="6228" xr:uid="{00000000-0005-0000-0000-00004C180000}"/>
    <cellStyle name="_Top-side and SUD schedule for Q4 2007 V3-5-08 4" xfId="6229" xr:uid="{00000000-0005-0000-0000-00004D180000}"/>
    <cellStyle name="_Top-side and SUD schedule for Q4 2007 V3-5-08 5" xfId="6230" xr:uid="{00000000-0005-0000-0000-00004E180000}"/>
    <cellStyle name="_Top-side and SUD schedule for Q4 2007 V3-5-08 6" xfId="6231" xr:uid="{00000000-0005-0000-0000-00004F180000}"/>
    <cellStyle name="_Top-side and SUD schedule for Q4 2007 V3-5-08 7" xfId="6232" xr:uid="{00000000-0005-0000-0000-000050180000}"/>
    <cellStyle name="_Top-side and SUD schedule for Q4 2007 V3-5-08 8" xfId="6233" xr:uid="{00000000-0005-0000-0000-000051180000}"/>
    <cellStyle name="_Top-side and SUD schedule for Q4 2007 V3-5-08 9" xfId="6234" xr:uid="{00000000-0005-0000-0000-000052180000}"/>
    <cellStyle name="_Top-side and SUD schedule for Q4 2007 V3-5-08_AIF VI - BondcoVI_Entities Invested Capital (CURRENT)" xfId="6235" xr:uid="{00000000-0005-0000-0000-000053180000}"/>
    <cellStyle name="_Top-side and SUD schedule for Q4 2007 V3-5-08_AIF VI Broadleaf Watefall Summary as of 6-30-09 FINAL" xfId="6236" xr:uid="{00000000-0005-0000-0000-000054180000}"/>
    <cellStyle name="_Top-side and SUD schedule for Q4 2007 V3-5-08_AIF VI Broadleaf Watefall Summary as of 9-30-09" xfId="6237" xr:uid="{00000000-0005-0000-0000-000055180000}"/>
    <cellStyle name="_Top-side and SUD schedule for Q4 2007 V3-5-08_Broadleaf Watefall 12-31-09" xfId="6238" xr:uid="{00000000-0005-0000-0000-000056180000}"/>
    <cellStyle name="_Top-side and SUD schedule for Q4 2007 V3-5-08_Broadleaf Watefall 6-30-09" xfId="6239" xr:uid="{00000000-0005-0000-0000-000057180000}"/>
    <cellStyle name="_Top-side and SUD schedule for Q4 2007 V3-5-08_Broadleaf Watefall 9-30-09" xfId="6240" xr:uid="{00000000-0005-0000-0000-000058180000}"/>
    <cellStyle name="_Top-side and SUD schedule for Q4 2007 V3-5-08_IC Balance" xfId="6241" xr:uid="{00000000-0005-0000-0000-000059180000}"/>
    <cellStyle name="_Top-side and SUD schedule for Q4 2007 V3-5-08_Invested Capital Debt Worksheet" xfId="6242" xr:uid="{00000000-0005-0000-0000-00005A180000}"/>
    <cellStyle name="_Top-side and SUD schedule for Q4 2007 V3-5-08_MMF Income" xfId="6243" xr:uid="{00000000-0005-0000-0000-00005B180000}"/>
    <cellStyle name="_Top-side and SUD schedule for Q4 2007 V3-5-08_Realized Gain Loss" xfId="6244" xr:uid="{00000000-0005-0000-0000-00005C180000}"/>
    <cellStyle name="_Tribeca PAK Sheet 2006-1-FOF" xfId="6245" xr:uid="{00000000-0005-0000-0000-00005D180000}"/>
    <cellStyle name="_TX Details" xfId="6246" xr:uid="{00000000-0005-0000-0000-00005E180000}"/>
    <cellStyle name="-_Val" xfId="6247" xr:uid="{00000000-0005-0000-0000-00005F180000}"/>
    <cellStyle name="-_Val 2" xfId="6248" xr:uid="{00000000-0005-0000-0000-000060180000}"/>
    <cellStyle name="-_Val 8-31-08" xfId="6249" xr:uid="{00000000-0005-0000-0000-000061180000}"/>
    <cellStyle name="-_Val 8-31-08 10" xfId="6250" xr:uid="{00000000-0005-0000-0000-000062180000}"/>
    <cellStyle name="-_Val 8-31-08 11" xfId="6251" xr:uid="{00000000-0005-0000-0000-000063180000}"/>
    <cellStyle name="-_Val 8-31-08 12" xfId="6252" xr:uid="{00000000-0005-0000-0000-000064180000}"/>
    <cellStyle name="-_Val 8-31-08 13" xfId="6253" xr:uid="{00000000-0005-0000-0000-000065180000}"/>
    <cellStyle name="-_Val 8-31-08 14" xfId="6254" xr:uid="{00000000-0005-0000-0000-000066180000}"/>
    <cellStyle name="-_Val 8-31-08 15" xfId="6255" xr:uid="{00000000-0005-0000-0000-000067180000}"/>
    <cellStyle name="-_Val 8-31-08 16" xfId="6256" xr:uid="{00000000-0005-0000-0000-000068180000}"/>
    <cellStyle name="-_Val 8-31-08 17" xfId="6257" xr:uid="{00000000-0005-0000-0000-000069180000}"/>
    <cellStyle name="-_Val 8-31-08 18" xfId="6258" xr:uid="{00000000-0005-0000-0000-00006A180000}"/>
    <cellStyle name="-_Val 8-31-08 19" xfId="6259" xr:uid="{00000000-0005-0000-0000-00006B180000}"/>
    <cellStyle name="-_Val 8-31-08 2" xfId="6260" xr:uid="{00000000-0005-0000-0000-00006C180000}"/>
    <cellStyle name="-_Val 8-31-08 20" xfId="6261" xr:uid="{00000000-0005-0000-0000-00006D180000}"/>
    <cellStyle name="-_Val 8-31-08 21" xfId="6262" xr:uid="{00000000-0005-0000-0000-00006E180000}"/>
    <cellStyle name="-_Val 8-31-08 21 2" xfId="6263" xr:uid="{00000000-0005-0000-0000-00006F180000}"/>
    <cellStyle name="-_Val 8-31-08 3" xfId="6264" xr:uid="{00000000-0005-0000-0000-000070180000}"/>
    <cellStyle name="-_Val 8-31-08 4" xfId="6265" xr:uid="{00000000-0005-0000-0000-000071180000}"/>
    <cellStyle name="-_Val 8-31-08 5" xfId="6266" xr:uid="{00000000-0005-0000-0000-000072180000}"/>
    <cellStyle name="-_Val 8-31-08 6" xfId="6267" xr:uid="{00000000-0005-0000-0000-000073180000}"/>
    <cellStyle name="-_Val 8-31-08 7" xfId="6268" xr:uid="{00000000-0005-0000-0000-000074180000}"/>
    <cellStyle name="-_Val 8-31-08 8" xfId="6269" xr:uid="{00000000-0005-0000-0000-000075180000}"/>
    <cellStyle name="-_Val 8-31-08 9" xfId="6270" xr:uid="{00000000-0005-0000-0000-000076180000}"/>
    <cellStyle name="-_Val 8-31-08_Copy of AGM Dec '09 YTD COF I and II Dep  Liab (1-13-10) (2)" xfId="6271" xr:uid="{00000000-0005-0000-0000-000077180000}"/>
    <cellStyle name="-_Valuations Summary 2008-09-05" xfId="6272" xr:uid="{00000000-0005-0000-0000-000078180000}"/>
    <cellStyle name="-_Valuations Summary 2008-10-03" xfId="6273" xr:uid="{00000000-0005-0000-0000-000079180000}"/>
    <cellStyle name="-_Valuations Summary 2008-10-08" xfId="6274" xr:uid="{00000000-0005-0000-0000-00007A180000}"/>
    <cellStyle name="-_Valuations Summary 2008-10-24" xfId="6275" xr:uid="{00000000-0005-0000-0000-00007B180000}"/>
    <cellStyle name="-_Valuations Summary 2008-11-07" xfId="6276" xr:uid="{00000000-0005-0000-0000-00007C180000}"/>
    <cellStyle name="-_Valuations Summary 2008-11-17" xfId="6277" xr:uid="{00000000-0005-0000-0000-00007D180000}"/>
    <cellStyle name="-_Valuations Summary 2008-12-05" xfId="6278" xr:uid="{00000000-0005-0000-0000-00007E180000}"/>
    <cellStyle name="-_Valuations Summary 2008-12-19" xfId="6279" xr:uid="{00000000-0005-0000-0000-00007F180000}"/>
    <cellStyle name="-_Valuations Summary 2009-05-07" xfId="6280" xr:uid="{00000000-0005-0000-0000-000080180000}"/>
    <cellStyle name="-_Valuations Summary 2009-06-26" xfId="6281" xr:uid="{00000000-0005-0000-0000-000081180000}"/>
    <cellStyle name="-_Valuations Summary 2009-07-02" xfId="6282" xr:uid="{00000000-0005-0000-0000-000082180000}"/>
    <cellStyle name="_Verify Detail" xfId="6283" xr:uid="{00000000-0005-0000-0000-000083180000}"/>
    <cellStyle name="_Waterstone MST Valuation 6-30-06" xfId="6284" xr:uid="{00000000-0005-0000-0000-000084180000}"/>
    <cellStyle name="_Waterstone MST Valuation 6-30-06 2" xfId="6285" xr:uid="{00000000-0005-0000-0000-000085180000}"/>
    <cellStyle name="_Waterstone MST Valuation 6-30-06_Geneva Fx Price" xfId="6286" xr:uid="{00000000-0005-0000-0000-000086180000}"/>
    <cellStyle name="’Ê‰Ý [0.00]_GE 3 MINIMUM" xfId="6287" xr:uid="{00000000-0005-0000-0000-000087180000}"/>
    <cellStyle name="’Ê‰Ý_GE 3 MINIMUM" xfId="6288" xr:uid="{00000000-0005-0000-0000-000088180000}"/>
    <cellStyle name="¢ Currency [1]" xfId="6289" xr:uid="{00000000-0005-0000-0000-000089180000}"/>
    <cellStyle name="¢ Currency [2]" xfId="6290" xr:uid="{00000000-0005-0000-0000-00008A180000}"/>
    <cellStyle name="¢ Currency [3]" xfId="6291" xr:uid="{00000000-0005-0000-0000-00008B180000}"/>
    <cellStyle name="£ BP" xfId="6292" xr:uid="{00000000-0005-0000-0000-00008C180000}"/>
    <cellStyle name="£ BP 10" xfId="6293" xr:uid="{00000000-0005-0000-0000-00008D180000}"/>
    <cellStyle name="£ BP 11" xfId="6294" xr:uid="{00000000-0005-0000-0000-00008E180000}"/>
    <cellStyle name="£ BP 12" xfId="6295" xr:uid="{00000000-0005-0000-0000-00008F180000}"/>
    <cellStyle name="£ BP 13" xfId="6296" xr:uid="{00000000-0005-0000-0000-000090180000}"/>
    <cellStyle name="£ BP 14" xfId="6297" xr:uid="{00000000-0005-0000-0000-000091180000}"/>
    <cellStyle name="£ BP 15" xfId="6298" xr:uid="{00000000-0005-0000-0000-000092180000}"/>
    <cellStyle name="£ BP 16" xfId="6299" xr:uid="{00000000-0005-0000-0000-000093180000}"/>
    <cellStyle name="£ BP 17" xfId="6300" xr:uid="{00000000-0005-0000-0000-000094180000}"/>
    <cellStyle name="£ BP 18" xfId="6301" xr:uid="{00000000-0005-0000-0000-000095180000}"/>
    <cellStyle name="£ BP 19" xfId="6302" xr:uid="{00000000-0005-0000-0000-000096180000}"/>
    <cellStyle name="£ BP 2" xfId="6303" xr:uid="{00000000-0005-0000-0000-000097180000}"/>
    <cellStyle name="£ BP 20" xfId="6304" xr:uid="{00000000-0005-0000-0000-000098180000}"/>
    <cellStyle name="£ BP 21" xfId="6305" xr:uid="{00000000-0005-0000-0000-000099180000}"/>
    <cellStyle name="£ BP 21 2" xfId="6306" xr:uid="{00000000-0005-0000-0000-00009A180000}"/>
    <cellStyle name="£ BP 3" xfId="6307" xr:uid="{00000000-0005-0000-0000-00009B180000}"/>
    <cellStyle name="£ BP 4" xfId="6308" xr:uid="{00000000-0005-0000-0000-00009C180000}"/>
    <cellStyle name="£ BP 5" xfId="6309" xr:uid="{00000000-0005-0000-0000-00009D180000}"/>
    <cellStyle name="£ BP 6" xfId="6310" xr:uid="{00000000-0005-0000-0000-00009E180000}"/>
    <cellStyle name="£ BP 7" xfId="6311" xr:uid="{00000000-0005-0000-0000-00009F180000}"/>
    <cellStyle name="£ BP 8" xfId="6312" xr:uid="{00000000-0005-0000-0000-0000A0180000}"/>
    <cellStyle name="£ BP 9" xfId="6313" xr:uid="{00000000-0005-0000-0000-0000A1180000}"/>
    <cellStyle name="£ Currency [0]" xfId="6314" xr:uid="{00000000-0005-0000-0000-0000A2180000}"/>
    <cellStyle name="£ Currency [1]" xfId="6315" xr:uid="{00000000-0005-0000-0000-0000A3180000}"/>
    <cellStyle name="£ Currency [2]" xfId="6316" xr:uid="{00000000-0005-0000-0000-0000A4180000}"/>
    <cellStyle name="¥ JY" xfId="6317" xr:uid="{00000000-0005-0000-0000-0000A5180000}"/>
    <cellStyle name="¥ JY 10" xfId="6318" xr:uid="{00000000-0005-0000-0000-0000A6180000}"/>
    <cellStyle name="¥ JY 11" xfId="6319" xr:uid="{00000000-0005-0000-0000-0000A7180000}"/>
    <cellStyle name="¥ JY 12" xfId="6320" xr:uid="{00000000-0005-0000-0000-0000A8180000}"/>
    <cellStyle name="¥ JY 13" xfId="6321" xr:uid="{00000000-0005-0000-0000-0000A9180000}"/>
    <cellStyle name="¥ JY 14" xfId="6322" xr:uid="{00000000-0005-0000-0000-0000AA180000}"/>
    <cellStyle name="¥ JY 15" xfId="6323" xr:uid="{00000000-0005-0000-0000-0000AB180000}"/>
    <cellStyle name="¥ JY 16" xfId="6324" xr:uid="{00000000-0005-0000-0000-0000AC180000}"/>
    <cellStyle name="¥ JY 17" xfId="6325" xr:uid="{00000000-0005-0000-0000-0000AD180000}"/>
    <cellStyle name="¥ JY 18" xfId="6326" xr:uid="{00000000-0005-0000-0000-0000AE180000}"/>
    <cellStyle name="¥ JY 19" xfId="6327" xr:uid="{00000000-0005-0000-0000-0000AF180000}"/>
    <cellStyle name="¥ JY 2" xfId="6328" xr:uid="{00000000-0005-0000-0000-0000B0180000}"/>
    <cellStyle name="¥ JY 20" xfId="6329" xr:uid="{00000000-0005-0000-0000-0000B1180000}"/>
    <cellStyle name="¥ JY 21" xfId="6330" xr:uid="{00000000-0005-0000-0000-0000B2180000}"/>
    <cellStyle name="¥ JY 21 2" xfId="6331" xr:uid="{00000000-0005-0000-0000-0000B3180000}"/>
    <cellStyle name="¥ JY 3" xfId="6332" xr:uid="{00000000-0005-0000-0000-0000B4180000}"/>
    <cellStyle name="¥ JY 4" xfId="6333" xr:uid="{00000000-0005-0000-0000-0000B5180000}"/>
    <cellStyle name="¥ JY 5" xfId="6334" xr:uid="{00000000-0005-0000-0000-0000B6180000}"/>
    <cellStyle name="¥ JY 6" xfId="6335" xr:uid="{00000000-0005-0000-0000-0000B7180000}"/>
    <cellStyle name="¥ JY 7" xfId="6336" xr:uid="{00000000-0005-0000-0000-0000B8180000}"/>
    <cellStyle name="¥ JY 8" xfId="6337" xr:uid="{00000000-0005-0000-0000-0000B9180000}"/>
    <cellStyle name="¥ JY 9" xfId="6338" xr:uid="{00000000-0005-0000-0000-0000BA180000}"/>
    <cellStyle name="=C:\WINNT\SYSTEM32\COMMAND.COM" xfId="6339" xr:uid="{00000000-0005-0000-0000-0000BB180000}"/>
    <cellStyle name="=C:\WINNT\SYSTEM32\COMMAND.COM 10" xfId="6340" xr:uid="{00000000-0005-0000-0000-0000BC180000}"/>
    <cellStyle name="=C:\WINNT\SYSTEM32\COMMAND.COM 11" xfId="6341" xr:uid="{00000000-0005-0000-0000-0000BD180000}"/>
    <cellStyle name="=C:\WINNT\SYSTEM32\COMMAND.COM 12" xfId="6342" xr:uid="{00000000-0005-0000-0000-0000BE180000}"/>
    <cellStyle name="=C:\WINNT\SYSTEM32\COMMAND.COM 13" xfId="6343" xr:uid="{00000000-0005-0000-0000-0000BF180000}"/>
    <cellStyle name="=C:\WINNT\SYSTEM32\COMMAND.COM 14" xfId="6344" xr:uid="{00000000-0005-0000-0000-0000C0180000}"/>
    <cellStyle name="=C:\WINNT\SYSTEM32\COMMAND.COM 15" xfId="6345" xr:uid="{00000000-0005-0000-0000-0000C1180000}"/>
    <cellStyle name="=C:\WINNT\SYSTEM32\COMMAND.COM 16" xfId="6346" xr:uid="{00000000-0005-0000-0000-0000C2180000}"/>
    <cellStyle name="=C:\WINNT\SYSTEM32\COMMAND.COM 17" xfId="6347" xr:uid="{00000000-0005-0000-0000-0000C3180000}"/>
    <cellStyle name="=C:\WINNT\SYSTEM32\COMMAND.COM 18" xfId="6348" xr:uid="{00000000-0005-0000-0000-0000C4180000}"/>
    <cellStyle name="=C:\WINNT\SYSTEM32\COMMAND.COM 19" xfId="6349" xr:uid="{00000000-0005-0000-0000-0000C5180000}"/>
    <cellStyle name="=C:\WINNT\SYSTEM32\COMMAND.COM 2" xfId="6350" xr:uid="{00000000-0005-0000-0000-0000C6180000}"/>
    <cellStyle name="=C:\WINNT\SYSTEM32\COMMAND.COM 20" xfId="6351" xr:uid="{00000000-0005-0000-0000-0000C7180000}"/>
    <cellStyle name="=C:\WINNT\SYSTEM32\COMMAND.COM 21" xfId="6352" xr:uid="{00000000-0005-0000-0000-0000C8180000}"/>
    <cellStyle name="=C:\WINNT\SYSTEM32\COMMAND.COM 21 2" xfId="6353" xr:uid="{00000000-0005-0000-0000-0000C9180000}"/>
    <cellStyle name="=C:\WINNT\SYSTEM32\COMMAND.COM 3" xfId="6354" xr:uid="{00000000-0005-0000-0000-0000CA180000}"/>
    <cellStyle name="=C:\WINNT\SYSTEM32\COMMAND.COM 4" xfId="6355" xr:uid="{00000000-0005-0000-0000-0000CB180000}"/>
    <cellStyle name="=C:\WINNT\SYSTEM32\COMMAND.COM 5" xfId="6356" xr:uid="{00000000-0005-0000-0000-0000CC180000}"/>
    <cellStyle name="=C:\WINNT\SYSTEM32\COMMAND.COM 6" xfId="6357" xr:uid="{00000000-0005-0000-0000-0000CD180000}"/>
    <cellStyle name="=C:\WINNT\SYSTEM32\COMMAND.COM 7" xfId="6358" xr:uid="{00000000-0005-0000-0000-0000CE180000}"/>
    <cellStyle name="=C:\WINNT\SYSTEM32\COMMAND.COM 8" xfId="6359" xr:uid="{00000000-0005-0000-0000-0000CF180000}"/>
    <cellStyle name="=C:\WINNT\SYSTEM32\COMMAND.COM 9" xfId="6360" xr:uid="{00000000-0005-0000-0000-0000D0180000}"/>
    <cellStyle name="=C:\WINNT35\SYSTEM32\COMMAND.COM" xfId="6361" xr:uid="{00000000-0005-0000-0000-0000D1180000}"/>
    <cellStyle name="=C:\WINNT35\SYSTEM32\COMMAND.COM 10" xfId="6362" xr:uid="{00000000-0005-0000-0000-0000D2180000}"/>
    <cellStyle name="=C:\WINNT35\SYSTEM32\COMMAND.COM 11" xfId="6363" xr:uid="{00000000-0005-0000-0000-0000D3180000}"/>
    <cellStyle name="=C:\WINNT35\SYSTEM32\COMMAND.COM 12" xfId="6364" xr:uid="{00000000-0005-0000-0000-0000D4180000}"/>
    <cellStyle name="=C:\WINNT35\SYSTEM32\COMMAND.COM 13" xfId="6365" xr:uid="{00000000-0005-0000-0000-0000D5180000}"/>
    <cellStyle name="=C:\WINNT35\SYSTEM32\COMMAND.COM 14" xfId="6366" xr:uid="{00000000-0005-0000-0000-0000D6180000}"/>
    <cellStyle name="=C:\WINNT35\SYSTEM32\COMMAND.COM 15" xfId="6367" xr:uid="{00000000-0005-0000-0000-0000D7180000}"/>
    <cellStyle name="=C:\WINNT35\SYSTEM32\COMMAND.COM 16" xfId="6368" xr:uid="{00000000-0005-0000-0000-0000D8180000}"/>
    <cellStyle name="=C:\WINNT35\SYSTEM32\COMMAND.COM 17" xfId="6369" xr:uid="{00000000-0005-0000-0000-0000D9180000}"/>
    <cellStyle name="=C:\WINNT35\SYSTEM32\COMMAND.COM 18" xfId="6370" xr:uid="{00000000-0005-0000-0000-0000DA180000}"/>
    <cellStyle name="=C:\WINNT35\SYSTEM32\COMMAND.COM 19" xfId="6371" xr:uid="{00000000-0005-0000-0000-0000DB180000}"/>
    <cellStyle name="=C:\WINNT35\SYSTEM32\COMMAND.COM 2" xfId="6372" xr:uid="{00000000-0005-0000-0000-0000DC180000}"/>
    <cellStyle name="=C:\WINNT35\SYSTEM32\COMMAND.COM 20" xfId="6373" xr:uid="{00000000-0005-0000-0000-0000DD180000}"/>
    <cellStyle name="=C:\WINNT35\SYSTEM32\COMMAND.COM 21" xfId="6374" xr:uid="{00000000-0005-0000-0000-0000DE180000}"/>
    <cellStyle name="=C:\WINNT35\SYSTEM32\COMMAND.COM 21 2" xfId="6375" xr:uid="{00000000-0005-0000-0000-0000DF180000}"/>
    <cellStyle name="=C:\WINNT35\SYSTEM32\COMMAND.COM 3" xfId="6376" xr:uid="{00000000-0005-0000-0000-0000E0180000}"/>
    <cellStyle name="=C:\WINNT35\SYSTEM32\COMMAND.COM 4" xfId="6377" xr:uid="{00000000-0005-0000-0000-0000E1180000}"/>
    <cellStyle name="=C:\WINNT35\SYSTEM32\COMMAND.COM 5" xfId="6378" xr:uid="{00000000-0005-0000-0000-0000E2180000}"/>
    <cellStyle name="=C:\WINNT35\SYSTEM32\COMMAND.COM 6" xfId="6379" xr:uid="{00000000-0005-0000-0000-0000E3180000}"/>
    <cellStyle name="=C:\WINNT35\SYSTEM32\COMMAND.COM 7" xfId="6380" xr:uid="{00000000-0005-0000-0000-0000E4180000}"/>
    <cellStyle name="=C:\WINNT35\SYSTEM32\COMMAND.COM 8" xfId="6381" xr:uid="{00000000-0005-0000-0000-0000E5180000}"/>
    <cellStyle name="=C:\WINNT35\SYSTEM32\COMMAND.COM 9" xfId="6382" xr:uid="{00000000-0005-0000-0000-0000E6180000}"/>
    <cellStyle name="=C:\WINNT35\SYSTEM32\COMMAND.COM_Geneva Fx Price" xfId="6383" xr:uid="{00000000-0005-0000-0000-0000E7180000}"/>
    <cellStyle name="•W€_GE 3 MINIMUM" xfId="6384" xr:uid="{00000000-0005-0000-0000-0000E8180000}"/>
    <cellStyle name="•W_GE 3 MINIMUM" xfId="6385" xr:uid="{00000000-0005-0000-0000-0000E9180000}"/>
    <cellStyle name="0" xfId="6386" xr:uid="{00000000-0005-0000-0000-0000EA180000}"/>
    <cellStyle name="0 10" xfId="6387" xr:uid="{00000000-0005-0000-0000-0000EB180000}"/>
    <cellStyle name="0 11" xfId="6388" xr:uid="{00000000-0005-0000-0000-0000EC180000}"/>
    <cellStyle name="0 12" xfId="6389" xr:uid="{00000000-0005-0000-0000-0000ED180000}"/>
    <cellStyle name="0 13" xfId="6390" xr:uid="{00000000-0005-0000-0000-0000EE180000}"/>
    <cellStyle name="0 14" xfId="6391" xr:uid="{00000000-0005-0000-0000-0000EF180000}"/>
    <cellStyle name="0 15" xfId="6392" xr:uid="{00000000-0005-0000-0000-0000F0180000}"/>
    <cellStyle name="0 16" xfId="6393" xr:uid="{00000000-0005-0000-0000-0000F1180000}"/>
    <cellStyle name="0 17" xfId="6394" xr:uid="{00000000-0005-0000-0000-0000F2180000}"/>
    <cellStyle name="0 18" xfId="6395" xr:uid="{00000000-0005-0000-0000-0000F3180000}"/>
    <cellStyle name="0 19" xfId="6396" xr:uid="{00000000-0005-0000-0000-0000F4180000}"/>
    <cellStyle name="0 2" xfId="6397" xr:uid="{00000000-0005-0000-0000-0000F5180000}"/>
    <cellStyle name="0 20" xfId="6398" xr:uid="{00000000-0005-0000-0000-0000F6180000}"/>
    <cellStyle name="0 21" xfId="6399" xr:uid="{00000000-0005-0000-0000-0000F7180000}"/>
    <cellStyle name="0 21 2" xfId="6400" xr:uid="{00000000-0005-0000-0000-0000F8180000}"/>
    <cellStyle name="0 3" xfId="6401" xr:uid="{00000000-0005-0000-0000-0000F9180000}"/>
    <cellStyle name="0 4" xfId="6402" xr:uid="{00000000-0005-0000-0000-0000FA180000}"/>
    <cellStyle name="0 5" xfId="6403" xr:uid="{00000000-0005-0000-0000-0000FB180000}"/>
    <cellStyle name="0 6" xfId="6404" xr:uid="{00000000-0005-0000-0000-0000FC180000}"/>
    <cellStyle name="0 7" xfId="6405" xr:uid="{00000000-0005-0000-0000-0000FD180000}"/>
    <cellStyle name="0 8" xfId="6406" xr:uid="{00000000-0005-0000-0000-0000FE180000}"/>
    <cellStyle name="0 9" xfId="6407" xr:uid="{00000000-0005-0000-0000-0000FF180000}"/>
    <cellStyle name="0%" xfId="6408" xr:uid="{00000000-0005-0000-0000-000000190000}"/>
    <cellStyle name="0% 10" xfId="6409" xr:uid="{00000000-0005-0000-0000-000001190000}"/>
    <cellStyle name="0% 11" xfId="6410" xr:uid="{00000000-0005-0000-0000-000002190000}"/>
    <cellStyle name="0% 12" xfId="6411" xr:uid="{00000000-0005-0000-0000-000003190000}"/>
    <cellStyle name="0% 13" xfId="6412" xr:uid="{00000000-0005-0000-0000-000004190000}"/>
    <cellStyle name="0% 14" xfId="6413" xr:uid="{00000000-0005-0000-0000-000005190000}"/>
    <cellStyle name="0% 15" xfId="6414" xr:uid="{00000000-0005-0000-0000-000006190000}"/>
    <cellStyle name="0% 16" xfId="6415" xr:uid="{00000000-0005-0000-0000-000007190000}"/>
    <cellStyle name="0% 17" xfId="6416" xr:uid="{00000000-0005-0000-0000-000008190000}"/>
    <cellStyle name="0% 18" xfId="6417" xr:uid="{00000000-0005-0000-0000-000009190000}"/>
    <cellStyle name="0% 19" xfId="6418" xr:uid="{00000000-0005-0000-0000-00000A190000}"/>
    <cellStyle name="0% 2" xfId="6419" xr:uid="{00000000-0005-0000-0000-00000B190000}"/>
    <cellStyle name="0% 20" xfId="6420" xr:uid="{00000000-0005-0000-0000-00000C190000}"/>
    <cellStyle name="0% 21" xfId="6421" xr:uid="{00000000-0005-0000-0000-00000D190000}"/>
    <cellStyle name="0% 3" xfId="6422" xr:uid="{00000000-0005-0000-0000-00000E190000}"/>
    <cellStyle name="0% 4" xfId="6423" xr:uid="{00000000-0005-0000-0000-00000F190000}"/>
    <cellStyle name="0% 5" xfId="6424" xr:uid="{00000000-0005-0000-0000-000010190000}"/>
    <cellStyle name="0% 6" xfId="6425" xr:uid="{00000000-0005-0000-0000-000011190000}"/>
    <cellStyle name="0% 7" xfId="6426" xr:uid="{00000000-0005-0000-0000-000012190000}"/>
    <cellStyle name="0% 8" xfId="6427" xr:uid="{00000000-0005-0000-0000-000013190000}"/>
    <cellStyle name="0% 9" xfId="6428" xr:uid="{00000000-0005-0000-0000-000014190000}"/>
    <cellStyle name="0.0" xfId="6429" xr:uid="{00000000-0005-0000-0000-000015190000}"/>
    <cellStyle name="0.0 10" xfId="6430" xr:uid="{00000000-0005-0000-0000-000016190000}"/>
    <cellStyle name="0.0 11" xfId="6431" xr:uid="{00000000-0005-0000-0000-000017190000}"/>
    <cellStyle name="0.0 12" xfId="6432" xr:uid="{00000000-0005-0000-0000-000018190000}"/>
    <cellStyle name="0.0 13" xfId="6433" xr:uid="{00000000-0005-0000-0000-000019190000}"/>
    <cellStyle name="0.0 14" xfId="6434" xr:uid="{00000000-0005-0000-0000-00001A190000}"/>
    <cellStyle name="0.0 15" xfId="6435" xr:uid="{00000000-0005-0000-0000-00001B190000}"/>
    <cellStyle name="0.0 16" xfId="6436" xr:uid="{00000000-0005-0000-0000-00001C190000}"/>
    <cellStyle name="0.0 17" xfId="6437" xr:uid="{00000000-0005-0000-0000-00001D190000}"/>
    <cellStyle name="0.0 18" xfId="6438" xr:uid="{00000000-0005-0000-0000-00001E190000}"/>
    <cellStyle name="0.0 19" xfId="6439" xr:uid="{00000000-0005-0000-0000-00001F190000}"/>
    <cellStyle name="0.0 2" xfId="6440" xr:uid="{00000000-0005-0000-0000-000020190000}"/>
    <cellStyle name="0.0 20" xfId="6441" xr:uid="{00000000-0005-0000-0000-000021190000}"/>
    <cellStyle name="0.0 21" xfId="6442" xr:uid="{00000000-0005-0000-0000-000022190000}"/>
    <cellStyle name="0.0 21 2" xfId="6443" xr:uid="{00000000-0005-0000-0000-000023190000}"/>
    <cellStyle name="0.0 3" xfId="6444" xr:uid="{00000000-0005-0000-0000-000024190000}"/>
    <cellStyle name="0.0 4" xfId="6445" xr:uid="{00000000-0005-0000-0000-000025190000}"/>
    <cellStyle name="0.0 5" xfId="6446" xr:uid="{00000000-0005-0000-0000-000026190000}"/>
    <cellStyle name="0.0 6" xfId="6447" xr:uid="{00000000-0005-0000-0000-000027190000}"/>
    <cellStyle name="0.0 7" xfId="6448" xr:uid="{00000000-0005-0000-0000-000028190000}"/>
    <cellStyle name="0.0 8" xfId="6449" xr:uid="{00000000-0005-0000-0000-000029190000}"/>
    <cellStyle name="0.0 9" xfId="6450" xr:uid="{00000000-0005-0000-0000-00002A190000}"/>
    <cellStyle name="0.0%" xfId="6451" xr:uid="{00000000-0005-0000-0000-00002B190000}"/>
    <cellStyle name="0.0% 10" xfId="6452" xr:uid="{00000000-0005-0000-0000-00002C190000}"/>
    <cellStyle name="0.0% 11" xfId="6453" xr:uid="{00000000-0005-0000-0000-00002D190000}"/>
    <cellStyle name="0.0% 12" xfId="6454" xr:uid="{00000000-0005-0000-0000-00002E190000}"/>
    <cellStyle name="0.0% 13" xfId="6455" xr:uid="{00000000-0005-0000-0000-00002F190000}"/>
    <cellStyle name="0.0% 14" xfId="6456" xr:uid="{00000000-0005-0000-0000-000030190000}"/>
    <cellStyle name="0.0% 15" xfId="6457" xr:uid="{00000000-0005-0000-0000-000031190000}"/>
    <cellStyle name="0.0% 16" xfId="6458" xr:uid="{00000000-0005-0000-0000-000032190000}"/>
    <cellStyle name="0.0% 17" xfId="6459" xr:uid="{00000000-0005-0000-0000-000033190000}"/>
    <cellStyle name="0.0% 18" xfId="6460" xr:uid="{00000000-0005-0000-0000-000034190000}"/>
    <cellStyle name="0.0% 19" xfId="6461" xr:uid="{00000000-0005-0000-0000-000035190000}"/>
    <cellStyle name="0.0% 2" xfId="6462" xr:uid="{00000000-0005-0000-0000-000036190000}"/>
    <cellStyle name="0.0% 20" xfId="6463" xr:uid="{00000000-0005-0000-0000-000037190000}"/>
    <cellStyle name="0.0% 21" xfId="6464" xr:uid="{00000000-0005-0000-0000-000038190000}"/>
    <cellStyle name="0.0% 21 2" xfId="6465" xr:uid="{00000000-0005-0000-0000-000039190000}"/>
    <cellStyle name="0.0% 3" xfId="6466" xr:uid="{00000000-0005-0000-0000-00003A190000}"/>
    <cellStyle name="0.0% 4" xfId="6467" xr:uid="{00000000-0005-0000-0000-00003B190000}"/>
    <cellStyle name="0.0% 5" xfId="6468" xr:uid="{00000000-0005-0000-0000-00003C190000}"/>
    <cellStyle name="0.0% 6" xfId="6469" xr:uid="{00000000-0005-0000-0000-00003D190000}"/>
    <cellStyle name="0.0% 7" xfId="6470" xr:uid="{00000000-0005-0000-0000-00003E190000}"/>
    <cellStyle name="0.0% 8" xfId="6471" xr:uid="{00000000-0005-0000-0000-00003F190000}"/>
    <cellStyle name="0.0% 9" xfId="6472" xr:uid="{00000000-0005-0000-0000-000040190000}"/>
    <cellStyle name="0.0_{6} Clawback" xfId="6473" xr:uid="{00000000-0005-0000-0000-000041190000}"/>
    <cellStyle name="0.00" xfId="6474" xr:uid="{00000000-0005-0000-0000-000042190000}"/>
    <cellStyle name="0.00 10" xfId="6475" xr:uid="{00000000-0005-0000-0000-000043190000}"/>
    <cellStyle name="0.00 11" xfId="6476" xr:uid="{00000000-0005-0000-0000-000044190000}"/>
    <cellStyle name="0.00 12" xfId="6477" xr:uid="{00000000-0005-0000-0000-000045190000}"/>
    <cellStyle name="0.00 13" xfId="6478" xr:uid="{00000000-0005-0000-0000-000046190000}"/>
    <cellStyle name="0.00 14" xfId="6479" xr:uid="{00000000-0005-0000-0000-000047190000}"/>
    <cellStyle name="0.00 15" xfId="6480" xr:uid="{00000000-0005-0000-0000-000048190000}"/>
    <cellStyle name="0.00 16" xfId="6481" xr:uid="{00000000-0005-0000-0000-000049190000}"/>
    <cellStyle name="0.00 17" xfId="6482" xr:uid="{00000000-0005-0000-0000-00004A190000}"/>
    <cellStyle name="0.00 18" xfId="6483" xr:uid="{00000000-0005-0000-0000-00004B190000}"/>
    <cellStyle name="0.00 19" xfId="6484" xr:uid="{00000000-0005-0000-0000-00004C190000}"/>
    <cellStyle name="0.00 2" xfId="6485" xr:uid="{00000000-0005-0000-0000-00004D190000}"/>
    <cellStyle name="0.00 20" xfId="6486" xr:uid="{00000000-0005-0000-0000-00004E190000}"/>
    <cellStyle name="0.00 21" xfId="6487" xr:uid="{00000000-0005-0000-0000-00004F190000}"/>
    <cellStyle name="0.00 21 2" xfId="6488" xr:uid="{00000000-0005-0000-0000-000050190000}"/>
    <cellStyle name="0.00 3" xfId="6489" xr:uid="{00000000-0005-0000-0000-000051190000}"/>
    <cellStyle name="0.00 4" xfId="6490" xr:uid="{00000000-0005-0000-0000-000052190000}"/>
    <cellStyle name="0.00 5" xfId="6491" xr:uid="{00000000-0005-0000-0000-000053190000}"/>
    <cellStyle name="0.00 6" xfId="6492" xr:uid="{00000000-0005-0000-0000-000054190000}"/>
    <cellStyle name="0.00 7" xfId="6493" xr:uid="{00000000-0005-0000-0000-000055190000}"/>
    <cellStyle name="0.00 8" xfId="6494" xr:uid="{00000000-0005-0000-0000-000056190000}"/>
    <cellStyle name="0.00 9" xfId="6495" xr:uid="{00000000-0005-0000-0000-000057190000}"/>
    <cellStyle name="0.00%" xfId="6496" xr:uid="{00000000-0005-0000-0000-000058190000}"/>
    <cellStyle name="0.00% 10" xfId="6497" xr:uid="{00000000-0005-0000-0000-000059190000}"/>
    <cellStyle name="0.00% 11" xfId="6498" xr:uid="{00000000-0005-0000-0000-00005A190000}"/>
    <cellStyle name="0.00% 12" xfId="6499" xr:uid="{00000000-0005-0000-0000-00005B190000}"/>
    <cellStyle name="0.00% 13" xfId="6500" xr:uid="{00000000-0005-0000-0000-00005C190000}"/>
    <cellStyle name="0.00% 14" xfId="6501" xr:uid="{00000000-0005-0000-0000-00005D190000}"/>
    <cellStyle name="0.00% 15" xfId="6502" xr:uid="{00000000-0005-0000-0000-00005E190000}"/>
    <cellStyle name="0.00% 16" xfId="6503" xr:uid="{00000000-0005-0000-0000-00005F190000}"/>
    <cellStyle name="0.00% 17" xfId="6504" xr:uid="{00000000-0005-0000-0000-000060190000}"/>
    <cellStyle name="0.00% 18" xfId="6505" xr:uid="{00000000-0005-0000-0000-000061190000}"/>
    <cellStyle name="0.00% 19" xfId="6506" xr:uid="{00000000-0005-0000-0000-000062190000}"/>
    <cellStyle name="0.00% 2" xfId="6507" xr:uid="{00000000-0005-0000-0000-000063190000}"/>
    <cellStyle name="0.00% 20" xfId="6508" xr:uid="{00000000-0005-0000-0000-000064190000}"/>
    <cellStyle name="0.00% 21" xfId="6509" xr:uid="{00000000-0005-0000-0000-000065190000}"/>
    <cellStyle name="0.00% 21 2" xfId="6510" xr:uid="{00000000-0005-0000-0000-000066190000}"/>
    <cellStyle name="0.00% 3" xfId="6511" xr:uid="{00000000-0005-0000-0000-000067190000}"/>
    <cellStyle name="0.00% 4" xfId="6512" xr:uid="{00000000-0005-0000-0000-000068190000}"/>
    <cellStyle name="0.00% 5" xfId="6513" xr:uid="{00000000-0005-0000-0000-000069190000}"/>
    <cellStyle name="0.00% 6" xfId="6514" xr:uid="{00000000-0005-0000-0000-00006A190000}"/>
    <cellStyle name="0.00% 7" xfId="6515" xr:uid="{00000000-0005-0000-0000-00006B190000}"/>
    <cellStyle name="0.00% 8" xfId="6516" xr:uid="{00000000-0005-0000-0000-00006C190000}"/>
    <cellStyle name="0.00% 9" xfId="6517" xr:uid="{00000000-0005-0000-0000-00006D190000}"/>
    <cellStyle name="0.00_{6} Clawback" xfId="6518" xr:uid="{00000000-0005-0000-0000-00006E190000}"/>
    <cellStyle name="0_{6} Clawback" xfId="6519" xr:uid="{00000000-0005-0000-0000-00006F190000}"/>
    <cellStyle name="0_2.10.10 LS Distribution" xfId="6520" xr:uid="{00000000-0005-0000-0000-000070190000}"/>
    <cellStyle name="0_2.10.10 LS Distribution_LS, LP - Dec  2010 Trial Balance Summary" xfId="6521" xr:uid="{00000000-0005-0000-0000-000071190000}"/>
    <cellStyle name="0_2011 Q1 Monitoring Fees v3" xfId="6522" xr:uid="{00000000-0005-0000-0000-000072190000}"/>
    <cellStyle name="0_AIF IV Financial Highlights 12-31-08 v4" xfId="6523" xr:uid="{00000000-0005-0000-0000-000073190000}"/>
    <cellStyle name="0_AIF IV Financial Highlights 12-31-08 v4_Apollo Investment Fund IV  Q3 2009 Capital Analysis CURRENT" xfId="6524" xr:uid="{00000000-0005-0000-0000-000074190000}"/>
    <cellStyle name="0_AIF IV Financial Highlights 12-31-08 v4_Apollo Investment Fund IV  Q3 2009 Capital Analysis iPCS &amp; URI Distribution" xfId="6525" xr:uid="{00000000-0005-0000-0000-000075190000}"/>
    <cellStyle name="0_AIF IV Financial Highlights 12-31-08 v4_iPCs#1-Remaining" xfId="6526" xr:uid="{00000000-0005-0000-0000-000076190000}"/>
    <cellStyle name="0_AIF V 1Q09 Cash - FINAL" xfId="6527" xr:uid="{00000000-0005-0000-0000-000077190000}"/>
    <cellStyle name="0_AIF V Professional Fees and other operating expenses(5)" xfId="6528" xr:uid="{00000000-0005-0000-0000-000078190000}"/>
    <cellStyle name="0_Andy Affrick - Schedulev2" xfId="6529" xr:uid="{00000000-0005-0000-0000-000079190000}"/>
    <cellStyle name="0_Apollo Investment Fund IV  April Priority Return" xfId="6530" xr:uid="{00000000-0005-0000-0000-00007A190000}"/>
    <cellStyle name="0_Carry Calculation" xfId="6531" xr:uid="{00000000-0005-0000-0000-00007B190000}"/>
    <cellStyle name="0_Copy of AGM Dec '09 YTD COF I and II Dep  Liab (1-13-10) (2)" xfId="6532" xr:uid="{00000000-0005-0000-0000-00007C190000}"/>
    <cellStyle name="0_Fund IV" xfId="6533" xr:uid="{00000000-0005-0000-0000-00007D190000}"/>
    <cellStyle name="0_Fund IV_1" xfId="6534" xr:uid="{00000000-0005-0000-0000-00007E190000}"/>
    <cellStyle name="0_Fund IV_AIF IV - Waterfall 3 31 09 vs  6 30 09" xfId="6535" xr:uid="{00000000-0005-0000-0000-00007F190000}"/>
    <cellStyle name="0_Fund IV_AIF IV, V, VI, VII, COF - Waterfall 3 31 09 vs  6 30 09" xfId="6536" xr:uid="{00000000-0005-0000-0000-000080190000}"/>
    <cellStyle name="0_Fund IV_Fund IV" xfId="6537" xr:uid="{00000000-0005-0000-0000-000081190000}"/>
    <cellStyle name="0_Fund IV_Funds IV Clawback Value Adjustment" xfId="6538" xr:uid="{00000000-0005-0000-0000-000082190000}"/>
    <cellStyle name="0_Funds IV Clawback Adjustment Summary" xfId="6539" xr:uid="{00000000-0005-0000-0000-000083190000}"/>
    <cellStyle name="0_MMF Income" xfId="6540" xr:uid="{00000000-0005-0000-0000-000084190000}"/>
    <cellStyle name="0_Partners Capital Q1 2009" xfId="6541" xr:uid="{00000000-0005-0000-0000-000085190000}"/>
    <cellStyle name="0_Partners Capital Q1 2009 2" xfId="6542" xr:uid="{00000000-0005-0000-0000-000086190000}"/>
    <cellStyle name="0_Partners Capital Q1 2009 3" xfId="6543" xr:uid="{00000000-0005-0000-0000-000087190000}"/>
    <cellStyle name="0_Partners Capital Q1 2009_AIF VI - BondcoVI_Entities Invested Capital (CURRENT)" xfId="6544" xr:uid="{00000000-0005-0000-0000-000088190000}"/>
    <cellStyle name="0_Partners Capital Q1 2009_Invested Capital Debt Worksheet" xfId="6545" xr:uid="{00000000-0005-0000-0000-000089190000}"/>
    <cellStyle name="0_Partners Capital Q1 2009_MMF Income" xfId="6546" xr:uid="{00000000-0005-0000-0000-00008A190000}"/>
    <cellStyle name="0_Partners Capital Q1 2009_Realized Gain Loss" xfId="6547" xr:uid="{00000000-0005-0000-0000-00008B190000}"/>
    <cellStyle name="0_Placement Fee Summary 05-14-09 - Current (2)" xfId="6548" xr:uid="{00000000-0005-0000-0000-00008C190000}"/>
    <cellStyle name="0_PR Calc" xfId="6549" xr:uid="{00000000-0005-0000-0000-00008D190000}"/>
    <cellStyle name="0_Realized Gain Loss" xfId="6550" xr:uid="{00000000-0005-0000-0000-00008E190000}"/>
    <cellStyle name="0_TX Details" xfId="6551" xr:uid="{00000000-0005-0000-0000-00008F190000}"/>
    <cellStyle name="0_TX Details_LS, LP - Dec  2010 Trial Balance Summary" xfId="6552" xr:uid="{00000000-0005-0000-0000-000090190000}"/>
    <cellStyle name="000" xfId="6553" xr:uid="{00000000-0005-0000-0000-000091190000}"/>
    <cellStyle name="000 10" xfId="6554" xr:uid="{00000000-0005-0000-0000-000092190000}"/>
    <cellStyle name="000 11" xfId="6555" xr:uid="{00000000-0005-0000-0000-000093190000}"/>
    <cellStyle name="000 12" xfId="6556" xr:uid="{00000000-0005-0000-0000-000094190000}"/>
    <cellStyle name="000 13" xfId="6557" xr:uid="{00000000-0005-0000-0000-000095190000}"/>
    <cellStyle name="000 14" xfId="6558" xr:uid="{00000000-0005-0000-0000-000096190000}"/>
    <cellStyle name="000 15" xfId="6559" xr:uid="{00000000-0005-0000-0000-000097190000}"/>
    <cellStyle name="000 16" xfId="6560" xr:uid="{00000000-0005-0000-0000-000098190000}"/>
    <cellStyle name="000 17" xfId="6561" xr:uid="{00000000-0005-0000-0000-000099190000}"/>
    <cellStyle name="000 18" xfId="6562" xr:uid="{00000000-0005-0000-0000-00009A190000}"/>
    <cellStyle name="000 19" xfId="6563" xr:uid="{00000000-0005-0000-0000-00009B190000}"/>
    <cellStyle name="000 2" xfId="6564" xr:uid="{00000000-0005-0000-0000-00009C190000}"/>
    <cellStyle name="000 20" xfId="6565" xr:uid="{00000000-0005-0000-0000-00009D190000}"/>
    <cellStyle name="000 21" xfId="6566" xr:uid="{00000000-0005-0000-0000-00009E190000}"/>
    <cellStyle name="000 21 2" xfId="6567" xr:uid="{00000000-0005-0000-0000-00009F190000}"/>
    <cellStyle name="000 3" xfId="6568" xr:uid="{00000000-0005-0000-0000-0000A0190000}"/>
    <cellStyle name="000 4" xfId="6569" xr:uid="{00000000-0005-0000-0000-0000A1190000}"/>
    <cellStyle name="000 5" xfId="6570" xr:uid="{00000000-0005-0000-0000-0000A2190000}"/>
    <cellStyle name="000 6" xfId="6571" xr:uid="{00000000-0005-0000-0000-0000A3190000}"/>
    <cellStyle name="000 7" xfId="6572" xr:uid="{00000000-0005-0000-0000-0000A4190000}"/>
    <cellStyle name="000 8" xfId="6573" xr:uid="{00000000-0005-0000-0000-0000A5190000}"/>
    <cellStyle name="000 9" xfId="6574" xr:uid="{00000000-0005-0000-0000-0000A6190000}"/>
    <cellStyle name="1" xfId="6575" xr:uid="{00000000-0005-0000-0000-0000A7190000}"/>
    <cellStyle name="1 10" xfId="6576" xr:uid="{00000000-0005-0000-0000-0000A8190000}"/>
    <cellStyle name="1 11" xfId="6577" xr:uid="{00000000-0005-0000-0000-0000A9190000}"/>
    <cellStyle name="1 12" xfId="6578" xr:uid="{00000000-0005-0000-0000-0000AA190000}"/>
    <cellStyle name="1 13" xfId="6579" xr:uid="{00000000-0005-0000-0000-0000AB190000}"/>
    <cellStyle name="1 14" xfId="6580" xr:uid="{00000000-0005-0000-0000-0000AC190000}"/>
    <cellStyle name="1 15" xfId="6581" xr:uid="{00000000-0005-0000-0000-0000AD190000}"/>
    <cellStyle name="1 16" xfId="6582" xr:uid="{00000000-0005-0000-0000-0000AE190000}"/>
    <cellStyle name="1 17" xfId="6583" xr:uid="{00000000-0005-0000-0000-0000AF190000}"/>
    <cellStyle name="1 18" xfId="6584" xr:uid="{00000000-0005-0000-0000-0000B0190000}"/>
    <cellStyle name="1 19" xfId="6585" xr:uid="{00000000-0005-0000-0000-0000B1190000}"/>
    <cellStyle name="1 2" xfId="6586" xr:uid="{00000000-0005-0000-0000-0000B2190000}"/>
    <cellStyle name="1 2 2" xfId="6587" xr:uid="{00000000-0005-0000-0000-0000B3190000}"/>
    <cellStyle name="1 20" xfId="6588" xr:uid="{00000000-0005-0000-0000-0000B4190000}"/>
    <cellStyle name="1 21" xfId="6589" xr:uid="{00000000-0005-0000-0000-0000B5190000}"/>
    <cellStyle name="1 22" xfId="6590" xr:uid="{00000000-0005-0000-0000-0000B6190000}"/>
    <cellStyle name="1 23" xfId="6591" xr:uid="{00000000-0005-0000-0000-0000B7190000}"/>
    <cellStyle name="1 23 2" xfId="6592" xr:uid="{00000000-0005-0000-0000-0000B8190000}"/>
    <cellStyle name="1 3" xfId="6593" xr:uid="{00000000-0005-0000-0000-0000B9190000}"/>
    <cellStyle name="1 3 2" xfId="6594" xr:uid="{00000000-0005-0000-0000-0000BA190000}"/>
    <cellStyle name="1 4" xfId="6595" xr:uid="{00000000-0005-0000-0000-0000BB190000}"/>
    <cellStyle name="1 5" xfId="6596" xr:uid="{00000000-0005-0000-0000-0000BC190000}"/>
    <cellStyle name="1 6" xfId="6597" xr:uid="{00000000-0005-0000-0000-0000BD190000}"/>
    <cellStyle name="1 7" xfId="6598" xr:uid="{00000000-0005-0000-0000-0000BE190000}"/>
    <cellStyle name="1 8" xfId="6599" xr:uid="{00000000-0005-0000-0000-0000BF190000}"/>
    <cellStyle name="1 9" xfId="6600" xr:uid="{00000000-0005-0000-0000-0000C0190000}"/>
    <cellStyle name="1,comma" xfId="6601" xr:uid="{00000000-0005-0000-0000-0000C1190000}"/>
    <cellStyle name="1,comma 10" xfId="6602" xr:uid="{00000000-0005-0000-0000-0000C2190000}"/>
    <cellStyle name="1,comma 11" xfId="6603" xr:uid="{00000000-0005-0000-0000-0000C3190000}"/>
    <cellStyle name="1,comma 12" xfId="6604" xr:uid="{00000000-0005-0000-0000-0000C4190000}"/>
    <cellStyle name="1,comma 13" xfId="6605" xr:uid="{00000000-0005-0000-0000-0000C5190000}"/>
    <cellStyle name="1,comma 14" xfId="6606" xr:uid="{00000000-0005-0000-0000-0000C6190000}"/>
    <cellStyle name="1,comma 15" xfId="6607" xr:uid="{00000000-0005-0000-0000-0000C7190000}"/>
    <cellStyle name="1,comma 16" xfId="6608" xr:uid="{00000000-0005-0000-0000-0000C8190000}"/>
    <cellStyle name="1,comma 17" xfId="6609" xr:uid="{00000000-0005-0000-0000-0000C9190000}"/>
    <cellStyle name="1,comma 18" xfId="6610" xr:uid="{00000000-0005-0000-0000-0000CA190000}"/>
    <cellStyle name="1,comma 19" xfId="6611" xr:uid="{00000000-0005-0000-0000-0000CB190000}"/>
    <cellStyle name="1,comma 2" xfId="6612" xr:uid="{00000000-0005-0000-0000-0000CC190000}"/>
    <cellStyle name="1,comma 20" xfId="6613" xr:uid="{00000000-0005-0000-0000-0000CD190000}"/>
    <cellStyle name="1,comma 21" xfId="6614" xr:uid="{00000000-0005-0000-0000-0000CE190000}"/>
    <cellStyle name="1,comma 22" xfId="6615" xr:uid="{00000000-0005-0000-0000-0000CF190000}"/>
    <cellStyle name="1,comma 23" xfId="6616" xr:uid="{00000000-0005-0000-0000-0000D0190000}"/>
    <cellStyle name="1,comma 23 2" xfId="6617" xr:uid="{00000000-0005-0000-0000-0000D1190000}"/>
    <cellStyle name="1,comma 24" xfId="6618" xr:uid="{00000000-0005-0000-0000-0000D2190000}"/>
    <cellStyle name="1,comma 24 2" xfId="6619" xr:uid="{00000000-0005-0000-0000-0000D3190000}"/>
    <cellStyle name="1,comma 25" xfId="6620" xr:uid="{00000000-0005-0000-0000-0000D4190000}"/>
    <cellStyle name="1,comma 26" xfId="6621" xr:uid="{00000000-0005-0000-0000-0000D5190000}"/>
    <cellStyle name="1,comma 27" xfId="6622" xr:uid="{00000000-0005-0000-0000-0000D6190000}"/>
    <cellStyle name="1,comma 28" xfId="6623" xr:uid="{00000000-0005-0000-0000-0000D7190000}"/>
    <cellStyle name="1,comma 29" xfId="6624" xr:uid="{00000000-0005-0000-0000-0000D8190000}"/>
    <cellStyle name="1,comma 3" xfId="6625" xr:uid="{00000000-0005-0000-0000-0000D9190000}"/>
    <cellStyle name="1,comma 3 2" xfId="6626" xr:uid="{00000000-0005-0000-0000-0000DA190000}"/>
    <cellStyle name="1,comma 30" xfId="6627" xr:uid="{00000000-0005-0000-0000-0000DB190000}"/>
    <cellStyle name="1,comma 31" xfId="6628" xr:uid="{00000000-0005-0000-0000-0000DC190000}"/>
    <cellStyle name="1,comma 32" xfId="6629" xr:uid="{00000000-0005-0000-0000-0000DD190000}"/>
    <cellStyle name="1,comma 33" xfId="6630" xr:uid="{00000000-0005-0000-0000-0000DE190000}"/>
    <cellStyle name="1,comma 34" xfId="6631" xr:uid="{00000000-0005-0000-0000-0000DF190000}"/>
    <cellStyle name="1,comma 35" xfId="6632" xr:uid="{00000000-0005-0000-0000-0000E0190000}"/>
    <cellStyle name="1,comma 36" xfId="6633" xr:uid="{00000000-0005-0000-0000-0000E1190000}"/>
    <cellStyle name="1,comma 37" xfId="6634" xr:uid="{00000000-0005-0000-0000-0000E2190000}"/>
    <cellStyle name="1,comma 38" xfId="6635" xr:uid="{00000000-0005-0000-0000-0000E3190000}"/>
    <cellStyle name="1,comma 4" xfId="6636" xr:uid="{00000000-0005-0000-0000-0000E4190000}"/>
    <cellStyle name="1,comma 4 2" xfId="6637" xr:uid="{00000000-0005-0000-0000-0000E5190000}"/>
    <cellStyle name="1,comma 5" xfId="6638" xr:uid="{00000000-0005-0000-0000-0000E6190000}"/>
    <cellStyle name="1,comma 5 2" xfId="6639" xr:uid="{00000000-0005-0000-0000-0000E7190000}"/>
    <cellStyle name="1,comma 6" xfId="6640" xr:uid="{00000000-0005-0000-0000-0000E8190000}"/>
    <cellStyle name="1,comma 6 2" xfId="6641" xr:uid="{00000000-0005-0000-0000-0000E9190000}"/>
    <cellStyle name="1,comma 7" xfId="6642" xr:uid="{00000000-0005-0000-0000-0000EA190000}"/>
    <cellStyle name="1,comma 7 2" xfId="6643" xr:uid="{00000000-0005-0000-0000-0000EB190000}"/>
    <cellStyle name="1,comma 8" xfId="6644" xr:uid="{00000000-0005-0000-0000-0000EC190000}"/>
    <cellStyle name="1,comma 8 2" xfId="6645" xr:uid="{00000000-0005-0000-0000-0000ED190000}"/>
    <cellStyle name="1,comma 9" xfId="6646" xr:uid="{00000000-0005-0000-0000-0000EE190000}"/>
    <cellStyle name="1_{6} Carry" xfId="6647" xr:uid="{00000000-0005-0000-0000-0000EF190000}"/>
    <cellStyle name="1_AIF IV Financial Highlights 12-31-08 v4" xfId="6648" xr:uid="{00000000-0005-0000-0000-0000F0190000}"/>
    <cellStyle name="1_AIF V Cash - CURRENT" xfId="6649" xr:uid="{00000000-0005-0000-0000-0000F1190000}"/>
    <cellStyle name="1_AIF VI Broadleaf Watefall Summary as of 6-30-09 FINAL" xfId="6650" xr:uid="{00000000-0005-0000-0000-0000F2190000}"/>
    <cellStyle name="1_AIF VI Broadleaf Watefall Summary as of 9-30-09" xfId="6651" xr:uid="{00000000-0005-0000-0000-0000F3190000}"/>
    <cellStyle name="1_Apollo Investment Fund IV  Q1 2009 Capital Analysis 5-22-09 with GAAP" xfId="6652" xr:uid="{00000000-0005-0000-0000-0000F4190000}"/>
    <cellStyle name="1_Apollo Investment Fund IV  Q1 2009 Capital Analysis GAAP" xfId="6653" xr:uid="{00000000-0005-0000-0000-0000F5190000}"/>
    <cellStyle name="1_Apollo Investment Fund IV  Q2 2009 Capital Analysis CURRENT" xfId="6654" xr:uid="{00000000-0005-0000-0000-0000F6190000}"/>
    <cellStyle name="1_Apollo Investment Fund IV  Q3 2009 Capital Analysis CURRENT" xfId="6655" xr:uid="{00000000-0005-0000-0000-0000F7190000}"/>
    <cellStyle name="1_Apollo Investment Fund IV  Q3 2009 Capital Analysis iPCS &amp; URI Distribution" xfId="6656" xr:uid="{00000000-0005-0000-0000-0000F8190000}"/>
    <cellStyle name="1_Apollo Investment Fund IV Priority Return 6-30-09" xfId="6657" xr:uid="{00000000-0005-0000-0000-0000F9190000}"/>
    <cellStyle name="1_Apollo Investment Fund IV Q1 2009 Capital Analysis PR CORRECTED 6-30-09" xfId="6658" xr:uid="{00000000-0005-0000-0000-0000FA190000}"/>
    <cellStyle name="1_Broadleaf Watefall 12-31-09" xfId="6659" xr:uid="{00000000-0005-0000-0000-0000FB190000}"/>
    <cellStyle name="1_Broadleaf Watefall 6-30-09" xfId="6660" xr:uid="{00000000-0005-0000-0000-0000FC190000}"/>
    <cellStyle name="1_Broadleaf Watefall 9-30-09" xfId="6661" xr:uid="{00000000-0005-0000-0000-0000FD190000}"/>
    <cellStyle name="1_Copy of AGM Dec '09 YTD COF I and II Dep  Liab (1-13-10) (2)" xfId="6662" xr:uid="{00000000-0005-0000-0000-0000FE190000}"/>
    <cellStyle name="1_IC Balance" xfId="6663" xr:uid="{00000000-0005-0000-0000-0000FF190000}"/>
    <cellStyle name="1_iPCs#1-Remaining" xfId="6664" xr:uid="{00000000-0005-0000-0000-0000001A0000}"/>
    <cellStyle name="1_MMF Income" xfId="6665" xr:uid="{00000000-0005-0000-0000-0000011A0000}"/>
    <cellStyle name="1_PR Calc - DOMESTIC" xfId="6666" xr:uid="{00000000-0005-0000-0000-0000021A0000}"/>
    <cellStyle name="1_Q1 2011 Pmts" xfId="6667" xr:uid="{00000000-0005-0000-0000-0000031A0000}"/>
    <cellStyle name="1_RCIV Q3 2009 Capital Analysis CURRENT" xfId="6668" xr:uid="{00000000-0005-0000-0000-0000041A0000}"/>
    <cellStyle name="1_Realized Gain Loss" xfId="6669" xr:uid="{00000000-0005-0000-0000-0000051A0000}"/>
    <cellStyle name="20% - Accent1" xfId="35707" builtinId="30" customBuiltin="1"/>
    <cellStyle name="20% - Accent1 10" xfId="6670" xr:uid="{00000000-0005-0000-0000-0000061A0000}"/>
    <cellStyle name="20% - Accent1 11" xfId="6671" xr:uid="{00000000-0005-0000-0000-0000071A0000}"/>
    <cellStyle name="20% - Accent1 12" xfId="6672" xr:uid="{00000000-0005-0000-0000-0000081A0000}"/>
    <cellStyle name="20% - Accent1 13" xfId="6673" xr:uid="{00000000-0005-0000-0000-0000091A0000}"/>
    <cellStyle name="20% - Accent1 14" xfId="6674" xr:uid="{00000000-0005-0000-0000-00000A1A0000}"/>
    <cellStyle name="20% - Accent1 15" xfId="6675" xr:uid="{00000000-0005-0000-0000-00000B1A0000}"/>
    <cellStyle name="20% - Accent1 16" xfId="6676" xr:uid="{00000000-0005-0000-0000-00000C1A0000}"/>
    <cellStyle name="20% - Accent1 17" xfId="6677" xr:uid="{00000000-0005-0000-0000-00000D1A0000}"/>
    <cellStyle name="20% - Accent1 18" xfId="6678" xr:uid="{00000000-0005-0000-0000-00000E1A0000}"/>
    <cellStyle name="20% - Accent1 19" xfId="6679" xr:uid="{00000000-0005-0000-0000-00000F1A0000}"/>
    <cellStyle name="20% - Accent1 2" xfId="6680" xr:uid="{00000000-0005-0000-0000-0000101A0000}"/>
    <cellStyle name="20% - Accent1 2 2" xfId="6681" xr:uid="{00000000-0005-0000-0000-0000111A0000}"/>
    <cellStyle name="20% - Accent1 20" xfId="6682" xr:uid="{00000000-0005-0000-0000-0000121A0000}"/>
    <cellStyle name="20% - Accent1 21" xfId="6683" xr:uid="{00000000-0005-0000-0000-0000131A0000}"/>
    <cellStyle name="20% - Accent1 22" xfId="6684" xr:uid="{00000000-0005-0000-0000-0000141A0000}"/>
    <cellStyle name="20% - Accent1 23" xfId="6685" xr:uid="{00000000-0005-0000-0000-0000151A0000}"/>
    <cellStyle name="20% - Accent1 24" xfId="6686" xr:uid="{00000000-0005-0000-0000-0000161A0000}"/>
    <cellStyle name="20% - Accent1 25" xfId="6687" xr:uid="{00000000-0005-0000-0000-0000171A0000}"/>
    <cellStyle name="20% - Accent1 26" xfId="6688" xr:uid="{00000000-0005-0000-0000-0000181A0000}"/>
    <cellStyle name="20% - Accent1 27" xfId="6689" xr:uid="{00000000-0005-0000-0000-0000191A0000}"/>
    <cellStyle name="20% - Accent1 28" xfId="6690" xr:uid="{00000000-0005-0000-0000-00001A1A0000}"/>
    <cellStyle name="20% - Accent1 29" xfId="6691" xr:uid="{00000000-0005-0000-0000-00001B1A0000}"/>
    <cellStyle name="20% - Accent1 29 2" xfId="6692" xr:uid="{00000000-0005-0000-0000-00001C1A0000}"/>
    <cellStyle name="20% - Accent1 3" xfId="6693" xr:uid="{00000000-0005-0000-0000-00001D1A0000}"/>
    <cellStyle name="20% - Accent1 30" xfId="6694" xr:uid="{00000000-0005-0000-0000-00001E1A0000}"/>
    <cellStyle name="20% - Accent1 31" xfId="6695" xr:uid="{00000000-0005-0000-0000-00001F1A0000}"/>
    <cellStyle name="20% - Accent1 32" xfId="6696" xr:uid="{00000000-0005-0000-0000-0000201A0000}"/>
    <cellStyle name="20% - Accent1 33" xfId="6697" xr:uid="{00000000-0005-0000-0000-0000211A0000}"/>
    <cellStyle name="20% - Accent1 34" xfId="6698" xr:uid="{00000000-0005-0000-0000-0000221A0000}"/>
    <cellStyle name="20% - Accent1 35" xfId="6699" xr:uid="{00000000-0005-0000-0000-0000231A0000}"/>
    <cellStyle name="20% - Accent1 36" xfId="6700" xr:uid="{00000000-0005-0000-0000-0000241A0000}"/>
    <cellStyle name="20% - Accent1 37" xfId="6701" xr:uid="{00000000-0005-0000-0000-0000251A0000}"/>
    <cellStyle name="20% - Accent1 38" xfId="6702" xr:uid="{00000000-0005-0000-0000-0000261A0000}"/>
    <cellStyle name="20% - Accent1 4" xfId="6703" xr:uid="{00000000-0005-0000-0000-0000271A0000}"/>
    <cellStyle name="20% - Accent1 5" xfId="6704" xr:uid="{00000000-0005-0000-0000-0000281A0000}"/>
    <cellStyle name="20% - Accent1 6" xfId="6705" xr:uid="{00000000-0005-0000-0000-0000291A0000}"/>
    <cellStyle name="20% - Accent1 7" xfId="6706" xr:uid="{00000000-0005-0000-0000-00002A1A0000}"/>
    <cellStyle name="20% - Accent1 8" xfId="6707" xr:uid="{00000000-0005-0000-0000-00002B1A0000}"/>
    <cellStyle name="20% - Accent1 9" xfId="6708" xr:uid="{00000000-0005-0000-0000-00002C1A0000}"/>
    <cellStyle name="20% - Accent2" xfId="35711" builtinId="34" customBuiltin="1"/>
    <cellStyle name="20% - Accent2 10" xfId="6709" xr:uid="{00000000-0005-0000-0000-00002D1A0000}"/>
    <cellStyle name="20% - Accent2 11" xfId="6710" xr:uid="{00000000-0005-0000-0000-00002E1A0000}"/>
    <cellStyle name="20% - Accent2 12" xfId="6711" xr:uid="{00000000-0005-0000-0000-00002F1A0000}"/>
    <cellStyle name="20% - Accent2 13" xfId="6712" xr:uid="{00000000-0005-0000-0000-0000301A0000}"/>
    <cellStyle name="20% - Accent2 14" xfId="6713" xr:uid="{00000000-0005-0000-0000-0000311A0000}"/>
    <cellStyle name="20% - Accent2 15" xfId="6714" xr:uid="{00000000-0005-0000-0000-0000321A0000}"/>
    <cellStyle name="20% - Accent2 16" xfId="6715" xr:uid="{00000000-0005-0000-0000-0000331A0000}"/>
    <cellStyle name="20% - Accent2 17" xfId="6716" xr:uid="{00000000-0005-0000-0000-0000341A0000}"/>
    <cellStyle name="20% - Accent2 18" xfId="6717" xr:uid="{00000000-0005-0000-0000-0000351A0000}"/>
    <cellStyle name="20% - Accent2 19" xfId="6718" xr:uid="{00000000-0005-0000-0000-0000361A0000}"/>
    <cellStyle name="20% - Accent2 2" xfId="6719" xr:uid="{00000000-0005-0000-0000-0000371A0000}"/>
    <cellStyle name="20% - Accent2 2 2" xfId="6720" xr:uid="{00000000-0005-0000-0000-0000381A0000}"/>
    <cellStyle name="20% - Accent2 20" xfId="6721" xr:uid="{00000000-0005-0000-0000-0000391A0000}"/>
    <cellStyle name="20% - Accent2 21" xfId="6722" xr:uid="{00000000-0005-0000-0000-00003A1A0000}"/>
    <cellStyle name="20% - Accent2 22" xfId="6723" xr:uid="{00000000-0005-0000-0000-00003B1A0000}"/>
    <cellStyle name="20% - Accent2 23" xfId="6724" xr:uid="{00000000-0005-0000-0000-00003C1A0000}"/>
    <cellStyle name="20% - Accent2 24" xfId="6725" xr:uid="{00000000-0005-0000-0000-00003D1A0000}"/>
    <cellStyle name="20% - Accent2 25" xfId="6726" xr:uid="{00000000-0005-0000-0000-00003E1A0000}"/>
    <cellStyle name="20% - Accent2 26" xfId="6727" xr:uid="{00000000-0005-0000-0000-00003F1A0000}"/>
    <cellStyle name="20% - Accent2 27" xfId="6728" xr:uid="{00000000-0005-0000-0000-0000401A0000}"/>
    <cellStyle name="20% - Accent2 28" xfId="6729" xr:uid="{00000000-0005-0000-0000-0000411A0000}"/>
    <cellStyle name="20% - Accent2 29" xfId="6730" xr:uid="{00000000-0005-0000-0000-0000421A0000}"/>
    <cellStyle name="20% - Accent2 29 2" xfId="6731" xr:uid="{00000000-0005-0000-0000-0000431A0000}"/>
    <cellStyle name="20% - Accent2 3" xfId="6732" xr:uid="{00000000-0005-0000-0000-0000441A0000}"/>
    <cellStyle name="20% - Accent2 30" xfId="6733" xr:uid="{00000000-0005-0000-0000-0000451A0000}"/>
    <cellStyle name="20% - Accent2 31" xfId="6734" xr:uid="{00000000-0005-0000-0000-0000461A0000}"/>
    <cellStyle name="20% - Accent2 32" xfId="6735" xr:uid="{00000000-0005-0000-0000-0000471A0000}"/>
    <cellStyle name="20% - Accent2 33" xfId="6736" xr:uid="{00000000-0005-0000-0000-0000481A0000}"/>
    <cellStyle name="20% - Accent2 34" xfId="6737" xr:uid="{00000000-0005-0000-0000-0000491A0000}"/>
    <cellStyle name="20% - Accent2 35" xfId="6738" xr:uid="{00000000-0005-0000-0000-00004A1A0000}"/>
    <cellStyle name="20% - Accent2 36" xfId="6739" xr:uid="{00000000-0005-0000-0000-00004B1A0000}"/>
    <cellStyle name="20% - Accent2 37" xfId="6740" xr:uid="{00000000-0005-0000-0000-00004C1A0000}"/>
    <cellStyle name="20% - Accent2 38" xfId="6741" xr:uid="{00000000-0005-0000-0000-00004D1A0000}"/>
    <cellStyle name="20% - Accent2 4" xfId="6742" xr:uid="{00000000-0005-0000-0000-00004E1A0000}"/>
    <cellStyle name="20% - Accent2 5" xfId="6743" xr:uid="{00000000-0005-0000-0000-00004F1A0000}"/>
    <cellStyle name="20% - Accent2 6" xfId="6744" xr:uid="{00000000-0005-0000-0000-0000501A0000}"/>
    <cellStyle name="20% - Accent2 7" xfId="6745" xr:uid="{00000000-0005-0000-0000-0000511A0000}"/>
    <cellStyle name="20% - Accent2 8" xfId="6746" xr:uid="{00000000-0005-0000-0000-0000521A0000}"/>
    <cellStyle name="20% - Accent2 9" xfId="6747" xr:uid="{00000000-0005-0000-0000-0000531A0000}"/>
    <cellStyle name="20% - Accent3" xfId="35715" builtinId="38" customBuiltin="1"/>
    <cellStyle name="20% - Accent3 10" xfId="6748" xr:uid="{00000000-0005-0000-0000-0000541A0000}"/>
    <cellStyle name="20% - Accent3 11" xfId="6749" xr:uid="{00000000-0005-0000-0000-0000551A0000}"/>
    <cellStyle name="20% - Accent3 12" xfId="6750" xr:uid="{00000000-0005-0000-0000-0000561A0000}"/>
    <cellStyle name="20% - Accent3 13" xfId="6751" xr:uid="{00000000-0005-0000-0000-0000571A0000}"/>
    <cellStyle name="20% - Accent3 14" xfId="6752" xr:uid="{00000000-0005-0000-0000-0000581A0000}"/>
    <cellStyle name="20% - Accent3 15" xfId="6753" xr:uid="{00000000-0005-0000-0000-0000591A0000}"/>
    <cellStyle name="20% - Accent3 16" xfId="6754" xr:uid="{00000000-0005-0000-0000-00005A1A0000}"/>
    <cellStyle name="20% - Accent3 17" xfId="6755" xr:uid="{00000000-0005-0000-0000-00005B1A0000}"/>
    <cellStyle name="20% - Accent3 18" xfId="6756" xr:uid="{00000000-0005-0000-0000-00005C1A0000}"/>
    <cellStyle name="20% - Accent3 19" xfId="6757" xr:uid="{00000000-0005-0000-0000-00005D1A0000}"/>
    <cellStyle name="20% - Accent3 2" xfId="6758" xr:uid="{00000000-0005-0000-0000-00005E1A0000}"/>
    <cellStyle name="20% - Accent3 2 2" xfId="6759" xr:uid="{00000000-0005-0000-0000-00005F1A0000}"/>
    <cellStyle name="20% - Accent3 20" xfId="6760" xr:uid="{00000000-0005-0000-0000-0000601A0000}"/>
    <cellStyle name="20% - Accent3 21" xfId="6761" xr:uid="{00000000-0005-0000-0000-0000611A0000}"/>
    <cellStyle name="20% - Accent3 22" xfId="6762" xr:uid="{00000000-0005-0000-0000-0000621A0000}"/>
    <cellStyle name="20% - Accent3 23" xfId="6763" xr:uid="{00000000-0005-0000-0000-0000631A0000}"/>
    <cellStyle name="20% - Accent3 24" xfId="6764" xr:uid="{00000000-0005-0000-0000-0000641A0000}"/>
    <cellStyle name="20% - Accent3 25" xfId="6765" xr:uid="{00000000-0005-0000-0000-0000651A0000}"/>
    <cellStyle name="20% - Accent3 26" xfId="6766" xr:uid="{00000000-0005-0000-0000-0000661A0000}"/>
    <cellStyle name="20% - Accent3 27" xfId="6767" xr:uid="{00000000-0005-0000-0000-0000671A0000}"/>
    <cellStyle name="20% - Accent3 28" xfId="6768" xr:uid="{00000000-0005-0000-0000-0000681A0000}"/>
    <cellStyle name="20% - Accent3 29" xfId="6769" xr:uid="{00000000-0005-0000-0000-0000691A0000}"/>
    <cellStyle name="20% - Accent3 29 2" xfId="6770" xr:uid="{00000000-0005-0000-0000-00006A1A0000}"/>
    <cellStyle name="20% - Accent3 3" xfId="6771" xr:uid="{00000000-0005-0000-0000-00006B1A0000}"/>
    <cellStyle name="20% - Accent3 30" xfId="6772" xr:uid="{00000000-0005-0000-0000-00006C1A0000}"/>
    <cellStyle name="20% - Accent3 31" xfId="6773" xr:uid="{00000000-0005-0000-0000-00006D1A0000}"/>
    <cellStyle name="20% - Accent3 32" xfId="6774" xr:uid="{00000000-0005-0000-0000-00006E1A0000}"/>
    <cellStyle name="20% - Accent3 33" xfId="6775" xr:uid="{00000000-0005-0000-0000-00006F1A0000}"/>
    <cellStyle name="20% - Accent3 34" xfId="6776" xr:uid="{00000000-0005-0000-0000-0000701A0000}"/>
    <cellStyle name="20% - Accent3 35" xfId="6777" xr:uid="{00000000-0005-0000-0000-0000711A0000}"/>
    <cellStyle name="20% - Accent3 36" xfId="6778" xr:uid="{00000000-0005-0000-0000-0000721A0000}"/>
    <cellStyle name="20% - Accent3 37" xfId="6779" xr:uid="{00000000-0005-0000-0000-0000731A0000}"/>
    <cellStyle name="20% - Accent3 38" xfId="6780" xr:uid="{00000000-0005-0000-0000-0000741A0000}"/>
    <cellStyle name="20% - Accent3 4" xfId="6781" xr:uid="{00000000-0005-0000-0000-0000751A0000}"/>
    <cellStyle name="20% - Accent3 5" xfId="6782" xr:uid="{00000000-0005-0000-0000-0000761A0000}"/>
    <cellStyle name="20% - Accent3 6" xfId="6783" xr:uid="{00000000-0005-0000-0000-0000771A0000}"/>
    <cellStyle name="20% - Accent3 7" xfId="6784" xr:uid="{00000000-0005-0000-0000-0000781A0000}"/>
    <cellStyle name="20% - Accent3 8" xfId="6785" xr:uid="{00000000-0005-0000-0000-0000791A0000}"/>
    <cellStyle name="20% - Accent3 9" xfId="6786" xr:uid="{00000000-0005-0000-0000-00007A1A0000}"/>
    <cellStyle name="20% - Accent4" xfId="35719" builtinId="42" customBuiltin="1"/>
    <cellStyle name="20% - Accent4 10" xfId="6787" xr:uid="{00000000-0005-0000-0000-00007B1A0000}"/>
    <cellStyle name="20% - Accent4 11" xfId="6788" xr:uid="{00000000-0005-0000-0000-00007C1A0000}"/>
    <cellStyle name="20% - Accent4 12" xfId="6789" xr:uid="{00000000-0005-0000-0000-00007D1A0000}"/>
    <cellStyle name="20% - Accent4 13" xfId="6790" xr:uid="{00000000-0005-0000-0000-00007E1A0000}"/>
    <cellStyle name="20% - Accent4 14" xfId="6791" xr:uid="{00000000-0005-0000-0000-00007F1A0000}"/>
    <cellStyle name="20% - Accent4 15" xfId="6792" xr:uid="{00000000-0005-0000-0000-0000801A0000}"/>
    <cellStyle name="20% - Accent4 16" xfId="6793" xr:uid="{00000000-0005-0000-0000-0000811A0000}"/>
    <cellStyle name="20% - Accent4 17" xfId="6794" xr:uid="{00000000-0005-0000-0000-0000821A0000}"/>
    <cellStyle name="20% - Accent4 18" xfId="6795" xr:uid="{00000000-0005-0000-0000-0000831A0000}"/>
    <cellStyle name="20% - Accent4 19" xfId="6796" xr:uid="{00000000-0005-0000-0000-0000841A0000}"/>
    <cellStyle name="20% - Accent4 2" xfId="6797" xr:uid="{00000000-0005-0000-0000-0000851A0000}"/>
    <cellStyle name="20% - Accent4 2 2" xfId="6798" xr:uid="{00000000-0005-0000-0000-0000861A0000}"/>
    <cellStyle name="20% - Accent4 20" xfId="6799" xr:uid="{00000000-0005-0000-0000-0000871A0000}"/>
    <cellStyle name="20% - Accent4 21" xfId="6800" xr:uid="{00000000-0005-0000-0000-0000881A0000}"/>
    <cellStyle name="20% - Accent4 22" xfId="6801" xr:uid="{00000000-0005-0000-0000-0000891A0000}"/>
    <cellStyle name="20% - Accent4 23" xfId="6802" xr:uid="{00000000-0005-0000-0000-00008A1A0000}"/>
    <cellStyle name="20% - Accent4 24" xfId="6803" xr:uid="{00000000-0005-0000-0000-00008B1A0000}"/>
    <cellStyle name="20% - Accent4 25" xfId="6804" xr:uid="{00000000-0005-0000-0000-00008C1A0000}"/>
    <cellStyle name="20% - Accent4 26" xfId="6805" xr:uid="{00000000-0005-0000-0000-00008D1A0000}"/>
    <cellStyle name="20% - Accent4 27" xfId="6806" xr:uid="{00000000-0005-0000-0000-00008E1A0000}"/>
    <cellStyle name="20% - Accent4 28" xfId="6807" xr:uid="{00000000-0005-0000-0000-00008F1A0000}"/>
    <cellStyle name="20% - Accent4 29" xfId="6808" xr:uid="{00000000-0005-0000-0000-0000901A0000}"/>
    <cellStyle name="20% - Accent4 29 2" xfId="6809" xr:uid="{00000000-0005-0000-0000-0000911A0000}"/>
    <cellStyle name="20% - Accent4 3" xfId="6810" xr:uid="{00000000-0005-0000-0000-0000921A0000}"/>
    <cellStyle name="20% - Accent4 30" xfId="6811" xr:uid="{00000000-0005-0000-0000-0000931A0000}"/>
    <cellStyle name="20% - Accent4 31" xfId="6812" xr:uid="{00000000-0005-0000-0000-0000941A0000}"/>
    <cellStyle name="20% - Accent4 32" xfId="6813" xr:uid="{00000000-0005-0000-0000-0000951A0000}"/>
    <cellStyle name="20% - Accent4 33" xfId="6814" xr:uid="{00000000-0005-0000-0000-0000961A0000}"/>
    <cellStyle name="20% - Accent4 34" xfId="6815" xr:uid="{00000000-0005-0000-0000-0000971A0000}"/>
    <cellStyle name="20% - Accent4 35" xfId="6816" xr:uid="{00000000-0005-0000-0000-0000981A0000}"/>
    <cellStyle name="20% - Accent4 36" xfId="6817" xr:uid="{00000000-0005-0000-0000-0000991A0000}"/>
    <cellStyle name="20% - Accent4 37" xfId="6818" xr:uid="{00000000-0005-0000-0000-00009A1A0000}"/>
    <cellStyle name="20% - Accent4 38" xfId="6819" xr:uid="{00000000-0005-0000-0000-00009B1A0000}"/>
    <cellStyle name="20% - Accent4 4" xfId="6820" xr:uid="{00000000-0005-0000-0000-00009C1A0000}"/>
    <cellStyle name="20% - Accent4 5" xfId="6821" xr:uid="{00000000-0005-0000-0000-00009D1A0000}"/>
    <cellStyle name="20% - Accent4 6" xfId="6822" xr:uid="{00000000-0005-0000-0000-00009E1A0000}"/>
    <cellStyle name="20% - Accent4 7" xfId="6823" xr:uid="{00000000-0005-0000-0000-00009F1A0000}"/>
    <cellStyle name="20% - Accent4 8" xfId="6824" xr:uid="{00000000-0005-0000-0000-0000A01A0000}"/>
    <cellStyle name="20% - Accent4 9" xfId="6825" xr:uid="{00000000-0005-0000-0000-0000A11A0000}"/>
    <cellStyle name="20% - Accent5" xfId="35723" builtinId="46" customBuiltin="1"/>
    <cellStyle name="20% - Accent5 10" xfId="6826" xr:uid="{00000000-0005-0000-0000-0000A21A0000}"/>
    <cellStyle name="20% - Accent5 11" xfId="6827" xr:uid="{00000000-0005-0000-0000-0000A31A0000}"/>
    <cellStyle name="20% - Accent5 12" xfId="6828" xr:uid="{00000000-0005-0000-0000-0000A41A0000}"/>
    <cellStyle name="20% - Accent5 13" xfId="6829" xr:uid="{00000000-0005-0000-0000-0000A51A0000}"/>
    <cellStyle name="20% - Accent5 14" xfId="6830" xr:uid="{00000000-0005-0000-0000-0000A61A0000}"/>
    <cellStyle name="20% - Accent5 15" xfId="6831" xr:uid="{00000000-0005-0000-0000-0000A71A0000}"/>
    <cellStyle name="20% - Accent5 16" xfId="6832" xr:uid="{00000000-0005-0000-0000-0000A81A0000}"/>
    <cellStyle name="20% - Accent5 17" xfId="6833" xr:uid="{00000000-0005-0000-0000-0000A91A0000}"/>
    <cellStyle name="20% - Accent5 18" xfId="6834" xr:uid="{00000000-0005-0000-0000-0000AA1A0000}"/>
    <cellStyle name="20% - Accent5 19" xfId="6835" xr:uid="{00000000-0005-0000-0000-0000AB1A0000}"/>
    <cellStyle name="20% - Accent5 2" xfId="6836" xr:uid="{00000000-0005-0000-0000-0000AC1A0000}"/>
    <cellStyle name="20% - Accent5 2 2" xfId="6837" xr:uid="{00000000-0005-0000-0000-0000AD1A0000}"/>
    <cellStyle name="20% - Accent5 20" xfId="6838" xr:uid="{00000000-0005-0000-0000-0000AE1A0000}"/>
    <cellStyle name="20% - Accent5 21" xfId="6839" xr:uid="{00000000-0005-0000-0000-0000AF1A0000}"/>
    <cellStyle name="20% - Accent5 22" xfId="6840" xr:uid="{00000000-0005-0000-0000-0000B01A0000}"/>
    <cellStyle name="20% - Accent5 23" xfId="6841" xr:uid="{00000000-0005-0000-0000-0000B11A0000}"/>
    <cellStyle name="20% - Accent5 24" xfId="6842" xr:uid="{00000000-0005-0000-0000-0000B21A0000}"/>
    <cellStyle name="20% - Accent5 25" xfId="6843" xr:uid="{00000000-0005-0000-0000-0000B31A0000}"/>
    <cellStyle name="20% - Accent5 26" xfId="6844" xr:uid="{00000000-0005-0000-0000-0000B41A0000}"/>
    <cellStyle name="20% - Accent5 27" xfId="6845" xr:uid="{00000000-0005-0000-0000-0000B51A0000}"/>
    <cellStyle name="20% - Accent5 28" xfId="6846" xr:uid="{00000000-0005-0000-0000-0000B61A0000}"/>
    <cellStyle name="20% - Accent5 29" xfId="6847" xr:uid="{00000000-0005-0000-0000-0000B71A0000}"/>
    <cellStyle name="20% - Accent5 29 2" xfId="6848" xr:uid="{00000000-0005-0000-0000-0000B81A0000}"/>
    <cellStyle name="20% - Accent5 3" xfId="6849" xr:uid="{00000000-0005-0000-0000-0000B91A0000}"/>
    <cellStyle name="20% - Accent5 30" xfId="6850" xr:uid="{00000000-0005-0000-0000-0000BA1A0000}"/>
    <cellStyle name="20% - Accent5 31" xfId="6851" xr:uid="{00000000-0005-0000-0000-0000BB1A0000}"/>
    <cellStyle name="20% - Accent5 32" xfId="6852" xr:uid="{00000000-0005-0000-0000-0000BC1A0000}"/>
    <cellStyle name="20% - Accent5 33" xfId="6853" xr:uid="{00000000-0005-0000-0000-0000BD1A0000}"/>
    <cellStyle name="20% - Accent5 34" xfId="6854" xr:uid="{00000000-0005-0000-0000-0000BE1A0000}"/>
    <cellStyle name="20% - Accent5 35" xfId="6855" xr:uid="{00000000-0005-0000-0000-0000BF1A0000}"/>
    <cellStyle name="20% - Accent5 36" xfId="6856" xr:uid="{00000000-0005-0000-0000-0000C01A0000}"/>
    <cellStyle name="20% - Accent5 37" xfId="6857" xr:uid="{00000000-0005-0000-0000-0000C11A0000}"/>
    <cellStyle name="20% - Accent5 38" xfId="6858" xr:uid="{00000000-0005-0000-0000-0000C21A0000}"/>
    <cellStyle name="20% - Accent5 4" xfId="6859" xr:uid="{00000000-0005-0000-0000-0000C31A0000}"/>
    <cellStyle name="20% - Accent5 5" xfId="6860" xr:uid="{00000000-0005-0000-0000-0000C41A0000}"/>
    <cellStyle name="20% - Accent5 6" xfId="6861" xr:uid="{00000000-0005-0000-0000-0000C51A0000}"/>
    <cellStyle name="20% - Accent5 7" xfId="6862" xr:uid="{00000000-0005-0000-0000-0000C61A0000}"/>
    <cellStyle name="20% - Accent5 8" xfId="6863" xr:uid="{00000000-0005-0000-0000-0000C71A0000}"/>
    <cellStyle name="20% - Accent5 9" xfId="6864" xr:uid="{00000000-0005-0000-0000-0000C81A0000}"/>
    <cellStyle name="20% - Accent6" xfId="35727" builtinId="50" customBuiltin="1"/>
    <cellStyle name="20% - Accent6 10" xfId="6865" xr:uid="{00000000-0005-0000-0000-0000C91A0000}"/>
    <cellStyle name="20% - Accent6 11" xfId="6866" xr:uid="{00000000-0005-0000-0000-0000CA1A0000}"/>
    <cellStyle name="20% - Accent6 12" xfId="6867" xr:uid="{00000000-0005-0000-0000-0000CB1A0000}"/>
    <cellStyle name="20% - Accent6 13" xfId="6868" xr:uid="{00000000-0005-0000-0000-0000CC1A0000}"/>
    <cellStyle name="20% - Accent6 14" xfId="6869" xr:uid="{00000000-0005-0000-0000-0000CD1A0000}"/>
    <cellStyle name="20% - Accent6 15" xfId="6870" xr:uid="{00000000-0005-0000-0000-0000CE1A0000}"/>
    <cellStyle name="20% - Accent6 16" xfId="6871" xr:uid="{00000000-0005-0000-0000-0000CF1A0000}"/>
    <cellStyle name="20% - Accent6 17" xfId="6872" xr:uid="{00000000-0005-0000-0000-0000D01A0000}"/>
    <cellStyle name="20% - Accent6 18" xfId="6873" xr:uid="{00000000-0005-0000-0000-0000D11A0000}"/>
    <cellStyle name="20% - Accent6 19" xfId="6874" xr:uid="{00000000-0005-0000-0000-0000D21A0000}"/>
    <cellStyle name="20% - Accent6 2" xfId="6875" xr:uid="{00000000-0005-0000-0000-0000D31A0000}"/>
    <cellStyle name="20% - Accent6 2 2" xfId="6876" xr:uid="{00000000-0005-0000-0000-0000D41A0000}"/>
    <cellStyle name="20% - Accent6 20" xfId="6877" xr:uid="{00000000-0005-0000-0000-0000D51A0000}"/>
    <cellStyle name="20% - Accent6 21" xfId="6878" xr:uid="{00000000-0005-0000-0000-0000D61A0000}"/>
    <cellStyle name="20% - Accent6 22" xfId="6879" xr:uid="{00000000-0005-0000-0000-0000D71A0000}"/>
    <cellStyle name="20% - Accent6 23" xfId="6880" xr:uid="{00000000-0005-0000-0000-0000D81A0000}"/>
    <cellStyle name="20% - Accent6 24" xfId="6881" xr:uid="{00000000-0005-0000-0000-0000D91A0000}"/>
    <cellStyle name="20% - Accent6 25" xfId="6882" xr:uid="{00000000-0005-0000-0000-0000DA1A0000}"/>
    <cellStyle name="20% - Accent6 26" xfId="6883" xr:uid="{00000000-0005-0000-0000-0000DB1A0000}"/>
    <cellStyle name="20% - Accent6 27" xfId="6884" xr:uid="{00000000-0005-0000-0000-0000DC1A0000}"/>
    <cellStyle name="20% - Accent6 28" xfId="6885" xr:uid="{00000000-0005-0000-0000-0000DD1A0000}"/>
    <cellStyle name="20% - Accent6 29" xfId="6886" xr:uid="{00000000-0005-0000-0000-0000DE1A0000}"/>
    <cellStyle name="20% - Accent6 29 2" xfId="6887" xr:uid="{00000000-0005-0000-0000-0000DF1A0000}"/>
    <cellStyle name="20% - Accent6 3" xfId="6888" xr:uid="{00000000-0005-0000-0000-0000E01A0000}"/>
    <cellStyle name="20% - Accent6 30" xfId="6889" xr:uid="{00000000-0005-0000-0000-0000E11A0000}"/>
    <cellStyle name="20% - Accent6 31" xfId="6890" xr:uid="{00000000-0005-0000-0000-0000E21A0000}"/>
    <cellStyle name="20% - Accent6 32" xfId="6891" xr:uid="{00000000-0005-0000-0000-0000E31A0000}"/>
    <cellStyle name="20% - Accent6 33" xfId="6892" xr:uid="{00000000-0005-0000-0000-0000E41A0000}"/>
    <cellStyle name="20% - Accent6 34" xfId="6893" xr:uid="{00000000-0005-0000-0000-0000E51A0000}"/>
    <cellStyle name="20% - Accent6 35" xfId="6894" xr:uid="{00000000-0005-0000-0000-0000E61A0000}"/>
    <cellStyle name="20% - Accent6 36" xfId="6895" xr:uid="{00000000-0005-0000-0000-0000E71A0000}"/>
    <cellStyle name="20% - Accent6 37" xfId="6896" xr:uid="{00000000-0005-0000-0000-0000E81A0000}"/>
    <cellStyle name="20% - Accent6 38" xfId="6897" xr:uid="{00000000-0005-0000-0000-0000E91A0000}"/>
    <cellStyle name="20% - Accent6 4" xfId="6898" xr:uid="{00000000-0005-0000-0000-0000EA1A0000}"/>
    <cellStyle name="20% - Accent6 5" xfId="6899" xr:uid="{00000000-0005-0000-0000-0000EB1A0000}"/>
    <cellStyle name="20% - Accent6 6" xfId="6900" xr:uid="{00000000-0005-0000-0000-0000EC1A0000}"/>
    <cellStyle name="20% - Accent6 7" xfId="6901" xr:uid="{00000000-0005-0000-0000-0000ED1A0000}"/>
    <cellStyle name="20% - Accent6 8" xfId="6902" xr:uid="{00000000-0005-0000-0000-0000EE1A0000}"/>
    <cellStyle name="20% - Accent6 9" xfId="6903" xr:uid="{00000000-0005-0000-0000-0000EF1A0000}"/>
    <cellStyle name="227.2" xfId="6904" xr:uid="{00000000-0005-0000-0000-0000F01A0000}"/>
    <cellStyle name="227.2 10" xfId="6905" xr:uid="{00000000-0005-0000-0000-0000F11A0000}"/>
    <cellStyle name="227.2 11" xfId="6906" xr:uid="{00000000-0005-0000-0000-0000F21A0000}"/>
    <cellStyle name="227.2 12" xfId="6907" xr:uid="{00000000-0005-0000-0000-0000F31A0000}"/>
    <cellStyle name="227.2 13" xfId="6908" xr:uid="{00000000-0005-0000-0000-0000F41A0000}"/>
    <cellStyle name="227.2 14" xfId="6909" xr:uid="{00000000-0005-0000-0000-0000F51A0000}"/>
    <cellStyle name="227.2 15" xfId="6910" xr:uid="{00000000-0005-0000-0000-0000F61A0000}"/>
    <cellStyle name="227.2 16" xfId="6911" xr:uid="{00000000-0005-0000-0000-0000F71A0000}"/>
    <cellStyle name="227.2 17" xfId="6912" xr:uid="{00000000-0005-0000-0000-0000F81A0000}"/>
    <cellStyle name="227.2 18" xfId="6913" xr:uid="{00000000-0005-0000-0000-0000F91A0000}"/>
    <cellStyle name="227.2 19" xfId="6914" xr:uid="{00000000-0005-0000-0000-0000FA1A0000}"/>
    <cellStyle name="227.2 2" xfId="6915" xr:uid="{00000000-0005-0000-0000-0000FB1A0000}"/>
    <cellStyle name="227.2 20" xfId="6916" xr:uid="{00000000-0005-0000-0000-0000FC1A0000}"/>
    <cellStyle name="227.2 21" xfId="6917" xr:uid="{00000000-0005-0000-0000-0000FD1A0000}"/>
    <cellStyle name="227.2 21 2" xfId="6918" xr:uid="{00000000-0005-0000-0000-0000FE1A0000}"/>
    <cellStyle name="227.2 3" xfId="6919" xr:uid="{00000000-0005-0000-0000-0000FF1A0000}"/>
    <cellStyle name="227.2 4" xfId="6920" xr:uid="{00000000-0005-0000-0000-0000001B0000}"/>
    <cellStyle name="227.2 5" xfId="6921" xr:uid="{00000000-0005-0000-0000-0000011B0000}"/>
    <cellStyle name="227.2 6" xfId="6922" xr:uid="{00000000-0005-0000-0000-0000021B0000}"/>
    <cellStyle name="227.2 7" xfId="6923" xr:uid="{00000000-0005-0000-0000-0000031B0000}"/>
    <cellStyle name="227.2 8" xfId="6924" xr:uid="{00000000-0005-0000-0000-0000041B0000}"/>
    <cellStyle name="227.2 9" xfId="6925" xr:uid="{00000000-0005-0000-0000-0000051B0000}"/>
    <cellStyle name="40% - Accent1" xfId="35708" builtinId="31" customBuiltin="1"/>
    <cellStyle name="40% - Accent1 10" xfId="6926" xr:uid="{00000000-0005-0000-0000-0000061B0000}"/>
    <cellStyle name="40% - Accent1 11" xfId="6927" xr:uid="{00000000-0005-0000-0000-0000071B0000}"/>
    <cellStyle name="40% - Accent1 12" xfId="6928" xr:uid="{00000000-0005-0000-0000-0000081B0000}"/>
    <cellStyle name="40% - Accent1 13" xfId="6929" xr:uid="{00000000-0005-0000-0000-0000091B0000}"/>
    <cellStyle name="40% - Accent1 14" xfId="6930" xr:uid="{00000000-0005-0000-0000-00000A1B0000}"/>
    <cellStyle name="40% - Accent1 15" xfId="6931" xr:uid="{00000000-0005-0000-0000-00000B1B0000}"/>
    <cellStyle name="40% - Accent1 16" xfId="6932" xr:uid="{00000000-0005-0000-0000-00000C1B0000}"/>
    <cellStyle name="40% - Accent1 17" xfId="6933" xr:uid="{00000000-0005-0000-0000-00000D1B0000}"/>
    <cellStyle name="40% - Accent1 18" xfId="6934" xr:uid="{00000000-0005-0000-0000-00000E1B0000}"/>
    <cellStyle name="40% - Accent1 19" xfId="6935" xr:uid="{00000000-0005-0000-0000-00000F1B0000}"/>
    <cellStyle name="40% - Accent1 2" xfId="6936" xr:uid="{00000000-0005-0000-0000-0000101B0000}"/>
    <cellStyle name="40% - Accent1 2 2" xfId="6937" xr:uid="{00000000-0005-0000-0000-0000111B0000}"/>
    <cellStyle name="40% - Accent1 20" xfId="6938" xr:uid="{00000000-0005-0000-0000-0000121B0000}"/>
    <cellStyle name="40% - Accent1 21" xfId="6939" xr:uid="{00000000-0005-0000-0000-0000131B0000}"/>
    <cellStyle name="40% - Accent1 22" xfId="6940" xr:uid="{00000000-0005-0000-0000-0000141B0000}"/>
    <cellStyle name="40% - Accent1 23" xfId="6941" xr:uid="{00000000-0005-0000-0000-0000151B0000}"/>
    <cellStyle name="40% - Accent1 24" xfId="6942" xr:uid="{00000000-0005-0000-0000-0000161B0000}"/>
    <cellStyle name="40% - Accent1 25" xfId="6943" xr:uid="{00000000-0005-0000-0000-0000171B0000}"/>
    <cellStyle name="40% - Accent1 26" xfId="6944" xr:uid="{00000000-0005-0000-0000-0000181B0000}"/>
    <cellStyle name="40% - Accent1 27" xfId="6945" xr:uid="{00000000-0005-0000-0000-0000191B0000}"/>
    <cellStyle name="40% - Accent1 28" xfId="6946" xr:uid="{00000000-0005-0000-0000-00001A1B0000}"/>
    <cellStyle name="40% - Accent1 29" xfId="6947" xr:uid="{00000000-0005-0000-0000-00001B1B0000}"/>
    <cellStyle name="40% - Accent1 29 2" xfId="6948" xr:uid="{00000000-0005-0000-0000-00001C1B0000}"/>
    <cellStyle name="40% - Accent1 3" xfId="6949" xr:uid="{00000000-0005-0000-0000-00001D1B0000}"/>
    <cellStyle name="40% - Accent1 30" xfId="6950" xr:uid="{00000000-0005-0000-0000-00001E1B0000}"/>
    <cellStyle name="40% - Accent1 31" xfId="6951" xr:uid="{00000000-0005-0000-0000-00001F1B0000}"/>
    <cellStyle name="40% - Accent1 32" xfId="6952" xr:uid="{00000000-0005-0000-0000-0000201B0000}"/>
    <cellStyle name="40% - Accent1 33" xfId="6953" xr:uid="{00000000-0005-0000-0000-0000211B0000}"/>
    <cellStyle name="40% - Accent1 34" xfId="6954" xr:uid="{00000000-0005-0000-0000-0000221B0000}"/>
    <cellStyle name="40% - Accent1 35" xfId="6955" xr:uid="{00000000-0005-0000-0000-0000231B0000}"/>
    <cellStyle name="40% - Accent1 36" xfId="6956" xr:uid="{00000000-0005-0000-0000-0000241B0000}"/>
    <cellStyle name="40% - Accent1 37" xfId="6957" xr:uid="{00000000-0005-0000-0000-0000251B0000}"/>
    <cellStyle name="40% - Accent1 38" xfId="6958" xr:uid="{00000000-0005-0000-0000-0000261B0000}"/>
    <cellStyle name="40% - Accent1 4" xfId="6959" xr:uid="{00000000-0005-0000-0000-0000271B0000}"/>
    <cellStyle name="40% - Accent1 5" xfId="6960" xr:uid="{00000000-0005-0000-0000-0000281B0000}"/>
    <cellStyle name="40% - Accent1 6" xfId="6961" xr:uid="{00000000-0005-0000-0000-0000291B0000}"/>
    <cellStyle name="40% - Accent1 7" xfId="6962" xr:uid="{00000000-0005-0000-0000-00002A1B0000}"/>
    <cellStyle name="40% - Accent1 8" xfId="6963" xr:uid="{00000000-0005-0000-0000-00002B1B0000}"/>
    <cellStyle name="40% - Accent1 9" xfId="6964" xr:uid="{00000000-0005-0000-0000-00002C1B0000}"/>
    <cellStyle name="40% - Accent2" xfId="35712" builtinId="35" customBuiltin="1"/>
    <cellStyle name="40% - Accent2 10" xfId="6965" xr:uid="{00000000-0005-0000-0000-00002D1B0000}"/>
    <cellStyle name="40% - Accent2 11" xfId="6966" xr:uid="{00000000-0005-0000-0000-00002E1B0000}"/>
    <cellStyle name="40% - Accent2 12" xfId="6967" xr:uid="{00000000-0005-0000-0000-00002F1B0000}"/>
    <cellStyle name="40% - Accent2 13" xfId="6968" xr:uid="{00000000-0005-0000-0000-0000301B0000}"/>
    <cellStyle name="40% - Accent2 14" xfId="6969" xr:uid="{00000000-0005-0000-0000-0000311B0000}"/>
    <cellStyle name="40% - Accent2 15" xfId="6970" xr:uid="{00000000-0005-0000-0000-0000321B0000}"/>
    <cellStyle name="40% - Accent2 16" xfId="6971" xr:uid="{00000000-0005-0000-0000-0000331B0000}"/>
    <cellStyle name="40% - Accent2 17" xfId="6972" xr:uid="{00000000-0005-0000-0000-0000341B0000}"/>
    <cellStyle name="40% - Accent2 18" xfId="6973" xr:uid="{00000000-0005-0000-0000-0000351B0000}"/>
    <cellStyle name="40% - Accent2 19" xfId="6974" xr:uid="{00000000-0005-0000-0000-0000361B0000}"/>
    <cellStyle name="40% - Accent2 2" xfId="6975" xr:uid="{00000000-0005-0000-0000-0000371B0000}"/>
    <cellStyle name="40% - Accent2 2 2" xfId="6976" xr:uid="{00000000-0005-0000-0000-0000381B0000}"/>
    <cellStyle name="40% - Accent2 20" xfId="6977" xr:uid="{00000000-0005-0000-0000-0000391B0000}"/>
    <cellStyle name="40% - Accent2 21" xfId="6978" xr:uid="{00000000-0005-0000-0000-00003A1B0000}"/>
    <cellStyle name="40% - Accent2 22" xfId="6979" xr:uid="{00000000-0005-0000-0000-00003B1B0000}"/>
    <cellStyle name="40% - Accent2 23" xfId="6980" xr:uid="{00000000-0005-0000-0000-00003C1B0000}"/>
    <cellStyle name="40% - Accent2 24" xfId="6981" xr:uid="{00000000-0005-0000-0000-00003D1B0000}"/>
    <cellStyle name="40% - Accent2 25" xfId="6982" xr:uid="{00000000-0005-0000-0000-00003E1B0000}"/>
    <cellStyle name="40% - Accent2 26" xfId="6983" xr:uid="{00000000-0005-0000-0000-00003F1B0000}"/>
    <cellStyle name="40% - Accent2 27" xfId="6984" xr:uid="{00000000-0005-0000-0000-0000401B0000}"/>
    <cellStyle name="40% - Accent2 28" xfId="6985" xr:uid="{00000000-0005-0000-0000-0000411B0000}"/>
    <cellStyle name="40% - Accent2 29" xfId="6986" xr:uid="{00000000-0005-0000-0000-0000421B0000}"/>
    <cellStyle name="40% - Accent2 29 2" xfId="6987" xr:uid="{00000000-0005-0000-0000-0000431B0000}"/>
    <cellStyle name="40% - Accent2 3" xfId="6988" xr:uid="{00000000-0005-0000-0000-0000441B0000}"/>
    <cellStyle name="40% - Accent2 30" xfId="6989" xr:uid="{00000000-0005-0000-0000-0000451B0000}"/>
    <cellStyle name="40% - Accent2 31" xfId="6990" xr:uid="{00000000-0005-0000-0000-0000461B0000}"/>
    <cellStyle name="40% - Accent2 32" xfId="6991" xr:uid="{00000000-0005-0000-0000-0000471B0000}"/>
    <cellStyle name="40% - Accent2 33" xfId="6992" xr:uid="{00000000-0005-0000-0000-0000481B0000}"/>
    <cellStyle name="40% - Accent2 34" xfId="6993" xr:uid="{00000000-0005-0000-0000-0000491B0000}"/>
    <cellStyle name="40% - Accent2 35" xfId="6994" xr:uid="{00000000-0005-0000-0000-00004A1B0000}"/>
    <cellStyle name="40% - Accent2 36" xfId="6995" xr:uid="{00000000-0005-0000-0000-00004B1B0000}"/>
    <cellStyle name="40% - Accent2 37" xfId="6996" xr:uid="{00000000-0005-0000-0000-00004C1B0000}"/>
    <cellStyle name="40% - Accent2 38" xfId="6997" xr:uid="{00000000-0005-0000-0000-00004D1B0000}"/>
    <cellStyle name="40% - Accent2 4" xfId="6998" xr:uid="{00000000-0005-0000-0000-00004E1B0000}"/>
    <cellStyle name="40% - Accent2 5" xfId="6999" xr:uid="{00000000-0005-0000-0000-00004F1B0000}"/>
    <cellStyle name="40% - Accent2 6" xfId="7000" xr:uid="{00000000-0005-0000-0000-0000501B0000}"/>
    <cellStyle name="40% - Accent2 7" xfId="7001" xr:uid="{00000000-0005-0000-0000-0000511B0000}"/>
    <cellStyle name="40% - Accent2 8" xfId="7002" xr:uid="{00000000-0005-0000-0000-0000521B0000}"/>
    <cellStyle name="40% - Accent2 9" xfId="7003" xr:uid="{00000000-0005-0000-0000-0000531B0000}"/>
    <cellStyle name="40% - Accent3" xfId="35716" builtinId="39" customBuiltin="1"/>
    <cellStyle name="40% - Accent3 10" xfId="7004" xr:uid="{00000000-0005-0000-0000-0000541B0000}"/>
    <cellStyle name="40% - Accent3 11" xfId="7005" xr:uid="{00000000-0005-0000-0000-0000551B0000}"/>
    <cellStyle name="40% - Accent3 12" xfId="7006" xr:uid="{00000000-0005-0000-0000-0000561B0000}"/>
    <cellStyle name="40% - Accent3 13" xfId="7007" xr:uid="{00000000-0005-0000-0000-0000571B0000}"/>
    <cellStyle name="40% - Accent3 14" xfId="7008" xr:uid="{00000000-0005-0000-0000-0000581B0000}"/>
    <cellStyle name="40% - Accent3 15" xfId="7009" xr:uid="{00000000-0005-0000-0000-0000591B0000}"/>
    <cellStyle name="40% - Accent3 16" xfId="7010" xr:uid="{00000000-0005-0000-0000-00005A1B0000}"/>
    <cellStyle name="40% - Accent3 17" xfId="7011" xr:uid="{00000000-0005-0000-0000-00005B1B0000}"/>
    <cellStyle name="40% - Accent3 18" xfId="7012" xr:uid="{00000000-0005-0000-0000-00005C1B0000}"/>
    <cellStyle name="40% - Accent3 19" xfId="7013" xr:uid="{00000000-0005-0000-0000-00005D1B0000}"/>
    <cellStyle name="40% - Accent3 2" xfId="7014" xr:uid="{00000000-0005-0000-0000-00005E1B0000}"/>
    <cellStyle name="40% - Accent3 2 2" xfId="7015" xr:uid="{00000000-0005-0000-0000-00005F1B0000}"/>
    <cellStyle name="40% - Accent3 20" xfId="7016" xr:uid="{00000000-0005-0000-0000-0000601B0000}"/>
    <cellStyle name="40% - Accent3 21" xfId="7017" xr:uid="{00000000-0005-0000-0000-0000611B0000}"/>
    <cellStyle name="40% - Accent3 22" xfId="7018" xr:uid="{00000000-0005-0000-0000-0000621B0000}"/>
    <cellStyle name="40% - Accent3 23" xfId="7019" xr:uid="{00000000-0005-0000-0000-0000631B0000}"/>
    <cellStyle name="40% - Accent3 24" xfId="7020" xr:uid="{00000000-0005-0000-0000-0000641B0000}"/>
    <cellStyle name="40% - Accent3 25" xfId="7021" xr:uid="{00000000-0005-0000-0000-0000651B0000}"/>
    <cellStyle name="40% - Accent3 26" xfId="7022" xr:uid="{00000000-0005-0000-0000-0000661B0000}"/>
    <cellStyle name="40% - Accent3 27" xfId="7023" xr:uid="{00000000-0005-0000-0000-0000671B0000}"/>
    <cellStyle name="40% - Accent3 28" xfId="7024" xr:uid="{00000000-0005-0000-0000-0000681B0000}"/>
    <cellStyle name="40% - Accent3 29" xfId="7025" xr:uid="{00000000-0005-0000-0000-0000691B0000}"/>
    <cellStyle name="40% - Accent3 29 2" xfId="7026" xr:uid="{00000000-0005-0000-0000-00006A1B0000}"/>
    <cellStyle name="40% - Accent3 3" xfId="7027" xr:uid="{00000000-0005-0000-0000-00006B1B0000}"/>
    <cellStyle name="40% - Accent3 30" xfId="7028" xr:uid="{00000000-0005-0000-0000-00006C1B0000}"/>
    <cellStyle name="40% - Accent3 31" xfId="7029" xr:uid="{00000000-0005-0000-0000-00006D1B0000}"/>
    <cellStyle name="40% - Accent3 32" xfId="7030" xr:uid="{00000000-0005-0000-0000-00006E1B0000}"/>
    <cellStyle name="40% - Accent3 33" xfId="7031" xr:uid="{00000000-0005-0000-0000-00006F1B0000}"/>
    <cellStyle name="40% - Accent3 34" xfId="7032" xr:uid="{00000000-0005-0000-0000-0000701B0000}"/>
    <cellStyle name="40% - Accent3 35" xfId="7033" xr:uid="{00000000-0005-0000-0000-0000711B0000}"/>
    <cellStyle name="40% - Accent3 36" xfId="7034" xr:uid="{00000000-0005-0000-0000-0000721B0000}"/>
    <cellStyle name="40% - Accent3 37" xfId="7035" xr:uid="{00000000-0005-0000-0000-0000731B0000}"/>
    <cellStyle name="40% - Accent3 38" xfId="7036" xr:uid="{00000000-0005-0000-0000-0000741B0000}"/>
    <cellStyle name="40% - Accent3 4" xfId="7037" xr:uid="{00000000-0005-0000-0000-0000751B0000}"/>
    <cellStyle name="40% - Accent3 5" xfId="7038" xr:uid="{00000000-0005-0000-0000-0000761B0000}"/>
    <cellStyle name="40% - Accent3 6" xfId="7039" xr:uid="{00000000-0005-0000-0000-0000771B0000}"/>
    <cellStyle name="40% - Accent3 7" xfId="7040" xr:uid="{00000000-0005-0000-0000-0000781B0000}"/>
    <cellStyle name="40% - Accent3 8" xfId="7041" xr:uid="{00000000-0005-0000-0000-0000791B0000}"/>
    <cellStyle name="40% - Accent3 9" xfId="7042" xr:uid="{00000000-0005-0000-0000-00007A1B0000}"/>
    <cellStyle name="40% - Accent4" xfId="35720" builtinId="43" customBuiltin="1"/>
    <cellStyle name="40% - Accent4 10" xfId="7043" xr:uid="{00000000-0005-0000-0000-00007B1B0000}"/>
    <cellStyle name="40% - Accent4 11" xfId="7044" xr:uid="{00000000-0005-0000-0000-00007C1B0000}"/>
    <cellStyle name="40% - Accent4 12" xfId="7045" xr:uid="{00000000-0005-0000-0000-00007D1B0000}"/>
    <cellStyle name="40% - Accent4 13" xfId="7046" xr:uid="{00000000-0005-0000-0000-00007E1B0000}"/>
    <cellStyle name="40% - Accent4 14" xfId="7047" xr:uid="{00000000-0005-0000-0000-00007F1B0000}"/>
    <cellStyle name="40% - Accent4 15" xfId="7048" xr:uid="{00000000-0005-0000-0000-0000801B0000}"/>
    <cellStyle name="40% - Accent4 16" xfId="7049" xr:uid="{00000000-0005-0000-0000-0000811B0000}"/>
    <cellStyle name="40% - Accent4 17" xfId="7050" xr:uid="{00000000-0005-0000-0000-0000821B0000}"/>
    <cellStyle name="40% - Accent4 18" xfId="7051" xr:uid="{00000000-0005-0000-0000-0000831B0000}"/>
    <cellStyle name="40% - Accent4 19" xfId="7052" xr:uid="{00000000-0005-0000-0000-0000841B0000}"/>
    <cellStyle name="40% - Accent4 2" xfId="7053" xr:uid="{00000000-0005-0000-0000-0000851B0000}"/>
    <cellStyle name="40% - Accent4 2 2" xfId="7054" xr:uid="{00000000-0005-0000-0000-0000861B0000}"/>
    <cellStyle name="40% - Accent4 20" xfId="7055" xr:uid="{00000000-0005-0000-0000-0000871B0000}"/>
    <cellStyle name="40% - Accent4 21" xfId="7056" xr:uid="{00000000-0005-0000-0000-0000881B0000}"/>
    <cellStyle name="40% - Accent4 22" xfId="7057" xr:uid="{00000000-0005-0000-0000-0000891B0000}"/>
    <cellStyle name="40% - Accent4 23" xfId="7058" xr:uid="{00000000-0005-0000-0000-00008A1B0000}"/>
    <cellStyle name="40% - Accent4 24" xfId="7059" xr:uid="{00000000-0005-0000-0000-00008B1B0000}"/>
    <cellStyle name="40% - Accent4 25" xfId="7060" xr:uid="{00000000-0005-0000-0000-00008C1B0000}"/>
    <cellStyle name="40% - Accent4 26" xfId="7061" xr:uid="{00000000-0005-0000-0000-00008D1B0000}"/>
    <cellStyle name="40% - Accent4 27" xfId="7062" xr:uid="{00000000-0005-0000-0000-00008E1B0000}"/>
    <cellStyle name="40% - Accent4 28" xfId="7063" xr:uid="{00000000-0005-0000-0000-00008F1B0000}"/>
    <cellStyle name="40% - Accent4 29" xfId="7064" xr:uid="{00000000-0005-0000-0000-0000901B0000}"/>
    <cellStyle name="40% - Accent4 29 2" xfId="7065" xr:uid="{00000000-0005-0000-0000-0000911B0000}"/>
    <cellStyle name="40% - Accent4 3" xfId="7066" xr:uid="{00000000-0005-0000-0000-0000921B0000}"/>
    <cellStyle name="40% - Accent4 30" xfId="7067" xr:uid="{00000000-0005-0000-0000-0000931B0000}"/>
    <cellStyle name="40% - Accent4 31" xfId="7068" xr:uid="{00000000-0005-0000-0000-0000941B0000}"/>
    <cellStyle name="40% - Accent4 32" xfId="7069" xr:uid="{00000000-0005-0000-0000-0000951B0000}"/>
    <cellStyle name="40% - Accent4 33" xfId="7070" xr:uid="{00000000-0005-0000-0000-0000961B0000}"/>
    <cellStyle name="40% - Accent4 34" xfId="7071" xr:uid="{00000000-0005-0000-0000-0000971B0000}"/>
    <cellStyle name="40% - Accent4 35" xfId="7072" xr:uid="{00000000-0005-0000-0000-0000981B0000}"/>
    <cellStyle name="40% - Accent4 36" xfId="7073" xr:uid="{00000000-0005-0000-0000-0000991B0000}"/>
    <cellStyle name="40% - Accent4 37" xfId="7074" xr:uid="{00000000-0005-0000-0000-00009A1B0000}"/>
    <cellStyle name="40% - Accent4 38" xfId="7075" xr:uid="{00000000-0005-0000-0000-00009B1B0000}"/>
    <cellStyle name="40% - Accent4 4" xfId="7076" xr:uid="{00000000-0005-0000-0000-00009C1B0000}"/>
    <cellStyle name="40% - Accent4 5" xfId="7077" xr:uid="{00000000-0005-0000-0000-00009D1B0000}"/>
    <cellStyle name="40% - Accent4 6" xfId="7078" xr:uid="{00000000-0005-0000-0000-00009E1B0000}"/>
    <cellStyle name="40% - Accent4 7" xfId="7079" xr:uid="{00000000-0005-0000-0000-00009F1B0000}"/>
    <cellStyle name="40% - Accent4 8" xfId="7080" xr:uid="{00000000-0005-0000-0000-0000A01B0000}"/>
    <cellStyle name="40% - Accent4 9" xfId="7081" xr:uid="{00000000-0005-0000-0000-0000A11B0000}"/>
    <cellStyle name="40% - Accent5" xfId="35724" builtinId="47" customBuiltin="1"/>
    <cellStyle name="40% - Accent5 10" xfId="7082" xr:uid="{00000000-0005-0000-0000-0000A21B0000}"/>
    <cellStyle name="40% - Accent5 11" xfId="7083" xr:uid="{00000000-0005-0000-0000-0000A31B0000}"/>
    <cellStyle name="40% - Accent5 12" xfId="7084" xr:uid="{00000000-0005-0000-0000-0000A41B0000}"/>
    <cellStyle name="40% - Accent5 13" xfId="7085" xr:uid="{00000000-0005-0000-0000-0000A51B0000}"/>
    <cellStyle name="40% - Accent5 14" xfId="7086" xr:uid="{00000000-0005-0000-0000-0000A61B0000}"/>
    <cellStyle name="40% - Accent5 15" xfId="7087" xr:uid="{00000000-0005-0000-0000-0000A71B0000}"/>
    <cellStyle name="40% - Accent5 16" xfId="7088" xr:uid="{00000000-0005-0000-0000-0000A81B0000}"/>
    <cellStyle name="40% - Accent5 17" xfId="7089" xr:uid="{00000000-0005-0000-0000-0000A91B0000}"/>
    <cellStyle name="40% - Accent5 18" xfId="7090" xr:uid="{00000000-0005-0000-0000-0000AA1B0000}"/>
    <cellStyle name="40% - Accent5 19" xfId="7091" xr:uid="{00000000-0005-0000-0000-0000AB1B0000}"/>
    <cellStyle name="40% - Accent5 2" xfId="7092" xr:uid="{00000000-0005-0000-0000-0000AC1B0000}"/>
    <cellStyle name="40% - Accent5 2 2" xfId="7093" xr:uid="{00000000-0005-0000-0000-0000AD1B0000}"/>
    <cellStyle name="40% - Accent5 20" xfId="7094" xr:uid="{00000000-0005-0000-0000-0000AE1B0000}"/>
    <cellStyle name="40% - Accent5 21" xfId="7095" xr:uid="{00000000-0005-0000-0000-0000AF1B0000}"/>
    <cellStyle name="40% - Accent5 22" xfId="7096" xr:uid="{00000000-0005-0000-0000-0000B01B0000}"/>
    <cellStyle name="40% - Accent5 23" xfId="7097" xr:uid="{00000000-0005-0000-0000-0000B11B0000}"/>
    <cellStyle name="40% - Accent5 24" xfId="7098" xr:uid="{00000000-0005-0000-0000-0000B21B0000}"/>
    <cellStyle name="40% - Accent5 25" xfId="7099" xr:uid="{00000000-0005-0000-0000-0000B31B0000}"/>
    <cellStyle name="40% - Accent5 26" xfId="7100" xr:uid="{00000000-0005-0000-0000-0000B41B0000}"/>
    <cellStyle name="40% - Accent5 27" xfId="7101" xr:uid="{00000000-0005-0000-0000-0000B51B0000}"/>
    <cellStyle name="40% - Accent5 28" xfId="7102" xr:uid="{00000000-0005-0000-0000-0000B61B0000}"/>
    <cellStyle name="40% - Accent5 29" xfId="7103" xr:uid="{00000000-0005-0000-0000-0000B71B0000}"/>
    <cellStyle name="40% - Accent5 29 2" xfId="7104" xr:uid="{00000000-0005-0000-0000-0000B81B0000}"/>
    <cellStyle name="40% - Accent5 3" xfId="7105" xr:uid="{00000000-0005-0000-0000-0000B91B0000}"/>
    <cellStyle name="40% - Accent5 30" xfId="7106" xr:uid="{00000000-0005-0000-0000-0000BA1B0000}"/>
    <cellStyle name="40% - Accent5 31" xfId="7107" xr:uid="{00000000-0005-0000-0000-0000BB1B0000}"/>
    <cellStyle name="40% - Accent5 32" xfId="7108" xr:uid="{00000000-0005-0000-0000-0000BC1B0000}"/>
    <cellStyle name="40% - Accent5 33" xfId="7109" xr:uid="{00000000-0005-0000-0000-0000BD1B0000}"/>
    <cellStyle name="40% - Accent5 34" xfId="7110" xr:uid="{00000000-0005-0000-0000-0000BE1B0000}"/>
    <cellStyle name="40% - Accent5 35" xfId="7111" xr:uid="{00000000-0005-0000-0000-0000BF1B0000}"/>
    <cellStyle name="40% - Accent5 36" xfId="7112" xr:uid="{00000000-0005-0000-0000-0000C01B0000}"/>
    <cellStyle name="40% - Accent5 37" xfId="7113" xr:uid="{00000000-0005-0000-0000-0000C11B0000}"/>
    <cellStyle name="40% - Accent5 38" xfId="7114" xr:uid="{00000000-0005-0000-0000-0000C21B0000}"/>
    <cellStyle name="40% - Accent5 4" xfId="7115" xr:uid="{00000000-0005-0000-0000-0000C31B0000}"/>
    <cellStyle name="40% - Accent5 5" xfId="7116" xr:uid="{00000000-0005-0000-0000-0000C41B0000}"/>
    <cellStyle name="40% - Accent5 6" xfId="7117" xr:uid="{00000000-0005-0000-0000-0000C51B0000}"/>
    <cellStyle name="40% - Accent5 7" xfId="7118" xr:uid="{00000000-0005-0000-0000-0000C61B0000}"/>
    <cellStyle name="40% - Accent5 8" xfId="7119" xr:uid="{00000000-0005-0000-0000-0000C71B0000}"/>
    <cellStyle name="40% - Accent5 9" xfId="7120" xr:uid="{00000000-0005-0000-0000-0000C81B0000}"/>
    <cellStyle name="40% - Accent6" xfId="35728" builtinId="51" customBuiltin="1"/>
    <cellStyle name="40% - Accent6 10" xfId="7121" xr:uid="{00000000-0005-0000-0000-0000C91B0000}"/>
    <cellStyle name="40% - Accent6 11" xfId="7122" xr:uid="{00000000-0005-0000-0000-0000CA1B0000}"/>
    <cellStyle name="40% - Accent6 12" xfId="7123" xr:uid="{00000000-0005-0000-0000-0000CB1B0000}"/>
    <cellStyle name="40% - Accent6 13" xfId="7124" xr:uid="{00000000-0005-0000-0000-0000CC1B0000}"/>
    <cellStyle name="40% - Accent6 14" xfId="7125" xr:uid="{00000000-0005-0000-0000-0000CD1B0000}"/>
    <cellStyle name="40% - Accent6 15" xfId="7126" xr:uid="{00000000-0005-0000-0000-0000CE1B0000}"/>
    <cellStyle name="40% - Accent6 16" xfId="7127" xr:uid="{00000000-0005-0000-0000-0000CF1B0000}"/>
    <cellStyle name="40% - Accent6 17" xfId="7128" xr:uid="{00000000-0005-0000-0000-0000D01B0000}"/>
    <cellStyle name="40% - Accent6 18" xfId="7129" xr:uid="{00000000-0005-0000-0000-0000D11B0000}"/>
    <cellStyle name="40% - Accent6 19" xfId="7130" xr:uid="{00000000-0005-0000-0000-0000D21B0000}"/>
    <cellStyle name="40% - Accent6 2" xfId="7131" xr:uid="{00000000-0005-0000-0000-0000D31B0000}"/>
    <cellStyle name="40% - Accent6 2 2" xfId="7132" xr:uid="{00000000-0005-0000-0000-0000D41B0000}"/>
    <cellStyle name="40% - Accent6 20" xfId="7133" xr:uid="{00000000-0005-0000-0000-0000D51B0000}"/>
    <cellStyle name="40% - Accent6 21" xfId="7134" xr:uid="{00000000-0005-0000-0000-0000D61B0000}"/>
    <cellStyle name="40% - Accent6 22" xfId="7135" xr:uid="{00000000-0005-0000-0000-0000D71B0000}"/>
    <cellStyle name="40% - Accent6 23" xfId="7136" xr:uid="{00000000-0005-0000-0000-0000D81B0000}"/>
    <cellStyle name="40% - Accent6 24" xfId="7137" xr:uid="{00000000-0005-0000-0000-0000D91B0000}"/>
    <cellStyle name="40% - Accent6 25" xfId="7138" xr:uid="{00000000-0005-0000-0000-0000DA1B0000}"/>
    <cellStyle name="40% - Accent6 26" xfId="7139" xr:uid="{00000000-0005-0000-0000-0000DB1B0000}"/>
    <cellStyle name="40% - Accent6 27" xfId="7140" xr:uid="{00000000-0005-0000-0000-0000DC1B0000}"/>
    <cellStyle name="40% - Accent6 28" xfId="7141" xr:uid="{00000000-0005-0000-0000-0000DD1B0000}"/>
    <cellStyle name="40% - Accent6 29" xfId="7142" xr:uid="{00000000-0005-0000-0000-0000DE1B0000}"/>
    <cellStyle name="40% - Accent6 29 2" xfId="7143" xr:uid="{00000000-0005-0000-0000-0000DF1B0000}"/>
    <cellStyle name="40% - Accent6 3" xfId="7144" xr:uid="{00000000-0005-0000-0000-0000E01B0000}"/>
    <cellStyle name="40% - Accent6 30" xfId="7145" xr:uid="{00000000-0005-0000-0000-0000E11B0000}"/>
    <cellStyle name="40% - Accent6 31" xfId="7146" xr:uid="{00000000-0005-0000-0000-0000E21B0000}"/>
    <cellStyle name="40% - Accent6 32" xfId="7147" xr:uid="{00000000-0005-0000-0000-0000E31B0000}"/>
    <cellStyle name="40% - Accent6 33" xfId="7148" xr:uid="{00000000-0005-0000-0000-0000E41B0000}"/>
    <cellStyle name="40% - Accent6 34" xfId="7149" xr:uid="{00000000-0005-0000-0000-0000E51B0000}"/>
    <cellStyle name="40% - Accent6 35" xfId="7150" xr:uid="{00000000-0005-0000-0000-0000E61B0000}"/>
    <cellStyle name="40% - Accent6 36" xfId="7151" xr:uid="{00000000-0005-0000-0000-0000E71B0000}"/>
    <cellStyle name="40% - Accent6 37" xfId="7152" xr:uid="{00000000-0005-0000-0000-0000E81B0000}"/>
    <cellStyle name="40% - Accent6 38" xfId="7153" xr:uid="{00000000-0005-0000-0000-0000E91B0000}"/>
    <cellStyle name="40% - Accent6 4" xfId="7154" xr:uid="{00000000-0005-0000-0000-0000EA1B0000}"/>
    <cellStyle name="40% - Accent6 5" xfId="7155" xr:uid="{00000000-0005-0000-0000-0000EB1B0000}"/>
    <cellStyle name="40% - Accent6 6" xfId="7156" xr:uid="{00000000-0005-0000-0000-0000EC1B0000}"/>
    <cellStyle name="40% - Accent6 7" xfId="7157" xr:uid="{00000000-0005-0000-0000-0000ED1B0000}"/>
    <cellStyle name="40% - Accent6 8" xfId="7158" xr:uid="{00000000-0005-0000-0000-0000EE1B0000}"/>
    <cellStyle name="40% - Accent6 9" xfId="7159" xr:uid="{00000000-0005-0000-0000-0000EF1B0000}"/>
    <cellStyle name="60% - Accent1" xfId="35709" builtinId="32" customBuiltin="1"/>
    <cellStyle name="60% - Accent1 10" xfId="7160" xr:uid="{00000000-0005-0000-0000-0000F01B0000}"/>
    <cellStyle name="60% - Accent1 11" xfId="7161" xr:uid="{00000000-0005-0000-0000-0000F11B0000}"/>
    <cellStyle name="60% - Accent1 12" xfId="7162" xr:uid="{00000000-0005-0000-0000-0000F21B0000}"/>
    <cellStyle name="60% - Accent1 13" xfId="7163" xr:uid="{00000000-0005-0000-0000-0000F31B0000}"/>
    <cellStyle name="60% - Accent1 14" xfId="7164" xr:uid="{00000000-0005-0000-0000-0000F41B0000}"/>
    <cellStyle name="60% - Accent1 15" xfId="7165" xr:uid="{00000000-0005-0000-0000-0000F51B0000}"/>
    <cellStyle name="60% - Accent1 16" xfId="7166" xr:uid="{00000000-0005-0000-0000-0000F61B0000}"/>
    <cellStyle name="60% - Accent1 17" xfId="7167" xr:uid="{00000000-0005-0000-0000-0000F71B0000}"/>
    <cellStyle name="60% - Accent1 18" xfId="7168" xr:uid="{00000000-0005-0000-0000-0000F81B0000}"/>
    <cellStyle name="60% - Accent1 19" xfId="7169" xr:uid="{00000000-0005-0000-0000-0000F91B0000}"/>
    <cellStyle name="60% - Accent1 2" xfId="7170" xr:uid="{00000000-0005-0000-0000-0000FA1B0000}"/>
    <cellStyle name="60% - Accent1 2 2" xfId="7171" xr:uid="{00000000-0005-0000-0000-0000FB1B0000}"/>
    <cellStyle name="60% - Accent1 20" xfId="7172" xr:uid="{00000000-0005-0000-0000-0000FC1B0000}"/>
    <cellStyle name="60% - Accent1 21" xfId="7173" xr:uid="{00000000-0005-0000-0000-0000FD1B0000}"/>
    <cellStyle name="60% - Accent1 22" xfId="7174" xr:uid="{00000000-0005-0000-0000-0000FE1B0000}"/>
    <cellStyle name="60% - Accent1 23" xfId="7175" xr:uid="{00000000-0005-0000-0000-0000FF1B0000}"/>
    <cellStyle name="60% - Accent1 24" xfId="7176" xr:uid="{00000000-0005-0000-0000-0000001C0000}"/>
    <cellStyle name="60% - Accent1 25" xfId="7177" xr:uid="{00000000-0005-0000-0000-0000011C0000}"/>
    <cellStyle name="60% - Accent1 26" xfId="7178" xr:uid="{00000000-0005-0000-0000-0000021C0000}"/>
    <cellStyle name="60% - Accent1 27" xfId="7179" xr:uid="{00000000-0005-0000-0000-0000031C0000}"/>
    <cellStyle name="60% - Accent1 28" xfId="7180" xr:uid="{00000000-0005-0000-0000-0000041C0000}"/>
    <cellStyle name="60% - Accent1 29" xfId="7181" xr:uid="{00000000-0005-0000-0000-0000051C0000}"/>
    <cellStyle name="60% - Accent1 29 2" xfId="7182" xr:uid="{00000000-0005-0000-0000-0000061C0000}"/>
    <cellStyle name="60% - Accent1 3" xfId="7183" xr:uid="{00000000-0005-0000-0000-0000071C0000}"/>
    <cellStyle name="60% - Accent1 30" xfId="7184" xr:uid="{00000000-0005-0000-0000-0000081C0000}"/>
    <cellStyle name="60% - Accent1 31" xfId="7185" xr:uid="{00000000-0005-0000-0000-0000091C0000}"/>
    <cellStyle name="60% - Accent1 32" xfId="7186" xr:uid="{00000000-0005-0000-0000-00000A1C0000}"/>
    <cellStyle name="60% - Accent1 33" xfId="7187" xr:uid="{00000000-0005-0000-0000-00000B1C0000}"/>
    <cellStyle name="60% - Accent1 34" xfId="7188" xr:uid="{00000000-0005-0000-0000-00000C1C0000}"/>
    <cellStyle name="60% - Accent1 35" xfId="7189" xr:uid="{00000000-0005-0000-0000-00000D1C0000}"/>
    <cellStyle name="60% - Accent1 36" xfId="7190" xr:uid="{00000000-0005-0000-0000-00000E1C0000}"/>
    <cellStyle name="60% - Accent1 37" xfId="7191" xr:uid="{00000000-0005-0000-0000-00000F1C0000}"/>
    <cellStyle name="60% - Accent1 38" xfId="7192" xr:uid="{00000000-0005-0000-0000-0000101C0000}"/>
    <cellStyle name="60% - Accent1 4" xfId="7193" xr:uid="{00000000-0005-0000-0000-0000111C0000}"/>
    <cellStyle name="60% - Accent1 5" xfId="7194" xr:uid="{00000000-0005-0000-0000-0000121C0000}"/>
    <cellStyle name="60% - Accent1 6" xfId="7195" xr:uid="{00000000-0005-0000-0000-0000131C0000}"/>
    <cellStyle name="60% - Accent1 7" xfId="7196" xr:uid="{00000000-0005-0000-0000-0000141C0000}"/>
    <cellStyle name="60% - Accent1 8" xfId="7197" xr:uid="{00000000-0005-0000-0000-0000151C0000}"/>
    <cellStyle name="60% - Accent1 9" xfId="7198" xr:uid="{00000000-0005-0000-0000-0000161C0000}"/>
    <cellStyle name="60% - Accent2" xfId="35713" builtinId="36" customBuiltin="1"/>
    <cellStyle name="60% - Accent2 10" xfId="7199" xr:uid="{00000000-0005-0000-0000-0000171C0000}"/>
    <cellStyle name="60% - Accent2 11" xfId="7200" xr:uid="{00000000-0005-0000-0000-0000181C0000}"/>
    <cellStyle name="60% - Accent2 12" xfId="7201" xr:uid="{00000000-0005-0000-0000-0000191C0000}"/>
    <cellStyle name="60% - Accent2 13" xfId="7202" xr:uid="{00000000-0005-0000-0000-00001A1C0000}"/>
    <cellStyle name="60% - Accent2 14" xfId="7203" xr:uid="{00000000-0005-0000-0000-00001B1C0000}"/>
    <cellStyle name="60% - Accent2 15" xfId="7204" xr:uid="{00000000-0005-0000-0000-00001C1C0000}"/>
    <cellStyle name="60% - Accent2 16" xfId="7205" xr:uid="{00000000-0005-0000-0000-00001D1C0000}"/>
    <cellStyle name="60% - Accent2 17" xfId="7206" xr:uid="{00000000-0005-0000-0000-00001E1C0000}"/>
    <cellStyle name="60% - Accent2 18" xfId="7207" xr:uid="{00000000-0005-0000-0000-00001F1C0000}"/>
    <cellStyle name="60% - Accent2 19" xfId="7208" xr:uid="{00000000-0005-0000-0000-0000201C0000}"/>
    <cellStyle name="60% - Accent2 2" xfId="7209" xr:uid="{00000000-0005-0000-0000-0000211C0000}"/>
    <cellStyle name="60% - Accent2 2 2" xfId="7210" xr:uid="{00000000-0005-0000-0000-0000221C0000}"/>
    <cellStyle name="60% - Accent2 20" xfId="7211" xr:uid="{00000000-0005-0000-0000-0000231C0000}"/>
    <cellStyle name="60% - Accent2 21" xfId="7212" xr:uid="{00000000-0005-0000-0000-0000241C0000}"/>
    <cellStyle name="60% - Accent2 22" xfId="7213" xr:uid="{00000000-0005-0000-0000-0000251C0000}"/>
    <cellStyle name="60% - Accent2 23" xfId="7214" xr:uid="{00000000-0005-0000-0000-0000261C0000}"/>
    <cellStyle name="60% - Accent2 24" xfId="7215" xr:uid="{00000000-0005-0000-0000-0000271C0000}"/>
    <cellStyle name="60% - Accent2 25" xfId="7216" xr:uid="{00000000-0005-0000-0000-0000281C0000}"/>
    <cellStyle name="60% - Accent2 26" xfId="7217" xr:uid="{00000000-0005-0000-0000-0000291C0000}"/>
    <cellStyle name="60% - Accent2 27" xfId="7218" xr:uid="{00000000-0005-0000-0000-00002A1C0000}"/>
    <cellStyle name="60% - Accent2 28" xfId="7219" xr:uid="{00000000-0005-0000-0000-00002B1C0000}"/>
    <cellStyle name="60% - Accent2 29" xfId="7220" xr:uid="{00000000-0005-0000-0000-00002C1C0000}"/>
    <cellStyle name="60% - Accent2 29 2" xfId="7221" xr:uid="{00000000-0005-0000-0000-00002D1C0000}"/>
    <cellStyle name="60% - Accent2 3" xfId="7222" xr:uid="{00000000-0005-0000-0000-00002E1C0000}"/>
    <cellStyle name="60% - Accent2 30" xfId="7223" xr:uid="{00000000-0005-0000-0000-00002F1C0000}"/>
    <cellStyle name="60% - Accent2 31" xfId="7224" xr:uid="{00000000-0005-0000-0000-0000301C0000}"/>
    <cellStyle name="60% - Accent2 32" xfId="7225" xr:uid="{00000000-0005-0000-0000-0000311C0000}"/>
    <cellStyle name="60% - Accent2 33" xfId="7226" xr:uid="{00000000-0005-0000-0000-0000321C0000}"/>
    <cellStyle name="60% - Accent2 34" xfId="7227" xr:uid="{00000000-0005-0000-0000-0000331C0000}"/>
    <cellStyle name="60% - Accent2 35" xfId="7228" xr:uid="{00000000-0005-0000-0000-0000341C0000}"/>
    <cellStyle name="60% - Accent2 36" xfId="7229" xr:uid="{00000000-0005-0000-0000-0000351C0000}"/>
    <cellStyle name="60% - Accent2 37" xfId="7230" xr:uid="{00000000-0005-0000-0000-0000361C0000}"/>
    <cellStyle name="60% - Accent2 38" xfId="7231" xr:uid="{00000000-0005-0000-0000-0000371C0000}"/>
    <cellStyle name="60% - Accent2 4" xfId="7232" xr:uid="{00000000-0005-0000-0000-0000381C0000}"/>
    <cellStyle name="60% - Accent2 5" xfId="7233" xr:uid="{00000000-0005-0000-0000-0000391C0000}"/>
    <cellStyle name="60% - Accent2 6" xfId="7234" xr:uid="{00000000-0005-0000-0000-00003A1C0000}"/>
    <cellStyle name="60% - Accent2 7" xfId="7235" xr:uid="{00000000-0005-0000-0000-00003B1C0000}"/>
    <cellStyle name="60% - Accent2 8" xfId="7236" xr:uid="{00000000-0005-0000-0000-00003C1C0000}"/>
    <cellStyle name="60% - Accent2 9" xfId="7237" xr:uid="{00000000-0005-0000-0000-00003D1C0000}"/>
    <cellStyle name="60% - Accent3" xfId="35717" builtinId="40" customBuiltin="1"/>
    <cellStyle name="60% - Accent3 10" xfId="7238" xr:uid="{00000000-0005-0000-0000-00003E1C0000}"/>
    <cellStyle name="60% - Accent3 11" xfId="7239" xr:uid="{00000000-0005-0000-0000-00003F1C0000}"/>
    <cellStyle name="60% - Accent3 12" xfId="7240" xr:uid="{00000000-0005-0000-0000-0000401C0000}"/>
    <cellStyle name="60% - Accent3 13" xfId="7241" xr:uid="{00000000-0005-0000-0000-0000411C0000}"/>
    <cellStyle name="60% - Accent3 14" xfId="7242" xr:uid="{00000000-0005-0000-0000-0000421C0000}"/>
    <cellStyle name="60% - Accent3 15" xfId="7243" xr:uid="{00000000-0005-0000-0000-0000431C0000}"/>
    <cellStyle name="60% - Accent3 16" xfId="7244" xr:uid="{00000000-0005-0000-0000-0000441C0000}"/>
    <cellStyle name="60% - Accent3 17" xfId="7245" xr:uid="{00000000-0005-0000-0000-0000451C0000}"/>
    <cellStyle name="60% - Accent3 18" xfId="7246" xr:uid="{00000000-0005-0000-0000-0000461C0000}"/>
    <cellStyle name="60% - Accent3 19" xfId="7247" xr:uid="{00000000-0005-0000-0000-0000471C0000}"/>
    <cellStyle name="60% - Accent3 2" xfId="7248" xr:uid="{00000000-0005-0000-0000-0000481C0000}"/>
    <cellStyle name="60% - Accent3 2 2" xfId="7249" xr:uid="{00000000-0005-0000-0000-0000491C0000}"/>
    <cellStyle name="60% - Accent3 20" xfId="7250" xr:uid="{00000000-0005-0000-0000-00004A1C0000}"/>
    <cellStyle name="60% - Accent3 21" xfId="7251" xr:uid="{00000000-0005-0000-0000-00004B1C0000}"/>
    <cellStyle name="60% - Accent3 22" xfId="7252" xr:uid="{00000000-0005-0000-0000-00004C1C0000}"/>
    <cellStyle name="60% - Accent3 23" xfId="7253" xr:uid="{00000000-0005-0000-0000-00004D1C0000}"/>
    <cellStyle name="60% - Accent3 24" xfId="7254" xr:uid="{00000000-0005-0000-0000-00004E1C0000}"/>
    <cellStyle name="60% - Accent3 25" xfId="7255" xr:uid="{00000000-0005-0000-0000-00004F1C0000}"/>
    <cellStyle name="60% - Accent3 26" xfId="7256" xr:uid="{00000000-0005-0000-0000-0000501C0000}"/>
    <cellStyle name="60% - Accent3 27" xfId="7257" xr:uid="{00000000-0005-0000-0000-0000511C0000}"/>
    <cellStyle name="60% - Accent3 28" xfId="7258" xr:uid="{00000000-0005-0000-0000-0000521C0000}"/>
    <cellStyle name="60% - Accent3 29" xfId="7259" xr:uid="{00000000-0005-0000-0000-0000531C0000}"/>
    <cellStyle name="60% - Accent3 29 2" xfId="7260" xr:uid="{00000000-0005-0000-0000-0000541C0000}"/>
    <cellStyle name="60% - Accent3 3" xfId="7261" xr:uid="{00000000-0005-0000-0000-0000551C0000}"/>
    <cellStyle name="60% - Accent3 30" xfId="7262" xr:uid="{00000000-0005-0000-0000-0000561C0000}"/>
    <cellStyle name="60% - Accent3 31" xfId="7263" xr:uid="{00000000-0005-0000-0000-0000571C0000}"/>
    <cellStyle name="60% - Accent3 32" xfId="7264" xr:uid="{00000000-0005-0000-0000-0000581C0000}"/>
    <cellStyle name="60% - Accent3 33" xfId="7265" xr:uid="{00000000-0005-0000-0000-0000591C0000}"/>
    <cellStyle name="60% - Accent3 34" xfId="7266" xr:uid="{00000000-0005-0000-0000-00005A1C0000}"/>
    <cellStyle name="60% - Accent3 35" xfId="7267" xr:uid="{00000000-0005-0000-0000-00005B1C0000}"/>
    <cellStyle name="60% - Accent3 36" xfId="7268" xr:uid="{00000000-0005-0000-0000-00005C1C0000}"/>
    <cellStyle name="60% - Accent3 37" xfId="7269" xr:uid="{00000000-0005-0000-0000-00005D1C0000}"/>
    <cellStyle name="60% - Accent3 38" xfId="7270" xr:uid="{00000000-0005-0000-0000-00005E1C0000}"/>
    <cellStyle name="60% - Accent3 4" xfId="7271" xr:uid="{00000000-0005-0000-0000-00005F1C0000}"/>
    <cellStyle name="60% - Accent3 5" xfId="7272" xr:uid="{00000000-0005-0000-0000-0000601C0000}"/>
    <cellStyle name="60% - Accent3 6" xfId="7273" xr:uid="{00000000-0005-0000-0000-0000611C0000}"/>
    <cellStyle name="60% - Accent3 7" xfId="7274" xr:uid="{00000000-0005-0000-0000-0000621C0000}"/>
    <cellStyle name="60% - Accent3 8" xfId="7275" xr:uid="{00000000-0005-0000-0000-0000631C0000}"/>
    <cellStyle name="60% - Accent3 9" xfId="7276" xr:uid="{00000000-0005-0000-0000-0000641C0000}"/>
    <cellStyle name="60% - Accent4" xfId="35721" builtinId="44" customBuiltin="1"/>
    <cellStyle name="60% - Accent4 10" xfId="7277" xr:uid="{00000000-0005-0000-0000-0000651C0000}"/>
    <cellStyle name="60% - Accent4 11" xfId="7278" xr:uid="{00000000-0005-0000-0000-0000661C0000}"/>
    <cellStyle name="60% - Accent4 12" xfId="7279" xr:uid="{00000000-0005-0000-0000-0000671C0000}"/>
    <cellStyle name="60% - Accent4 13" xfId="7280" xr:uid="{00000000-0005-0000-0000-0000681C0000}"/>
    <cellStyle name="60% - Accent4 14" xfId="7281" xr:uid="{00000000-0005-0000-0000-0000691C0000}"/>
    <cellStyle name="60% - Accent4 15" xfId="7282" xr:uid="{00000000-0005-0000-0000-00006A1C0000}"/>
    <cellStyle name="60% - Accent4 16" xfId="7283" xr:uid="{00000000-0005-0000-0000-00006B1C0000}"/>
    <cellStyle name="60% - Accent4 17" xfId="7284" xr:uid="{00000000-0005-0000-0000-00006C1C0000}"/>
    <cellStyle name="60% - Accent4 18" xfId="7285" xr:uid="{00000000-0005-0000-0000-00006D1C0000}"/>
    <cellStyle name="60% - Accent4 19" xfId="7286" xr:uid="{00000000-0005-0000-0000-00006E1C0000}"/>
    <cellStyle name="60% - Accent4 2" xfId="7287" xr:uid="{00000000-0005-0000-0000-00006F1C0000}"/>
    <cellStyle name="60% - Accent4 2 2" xfId="7288" xr:uid="{00000000-0005-0000-0000-0000701C0000}"/>
    <cellStyle name="60% - Accent4 20" xfId="7289" xr:uid="{00000000-0005-0000-0000-0000711C0000}"/>
    <cellStyle name="60% - Accent4 21" xfId="7290" xr:uid="{00000000-0005-0000-0000-0000721C0000}"/>
    <cellStyle name="60% - Accent4 22" xfId="7291" xr:uid="{00000000-0005-0000-0000-0000731C0000}"/>
    <cellStyle name="60% - Accent4 23" xfId="7292" xr:uid="{00000000-0005-0000-0000-0000741C0000}"/>
    <cellStyle name="60% - Accent4 24" xfId="7293" xr:uid="{00000000-0005-0000-0000-0000751C0000}"/>
    <cellStyle name="60% - Accent4 25" xfId="7294" xr:uid="{00000000-0005-0000-0000-0000761C0000}"/>
    <cellStyle name="60% - Accent4 26" xfId="7295" xr:uid="{00000000-0005-0000-0000-0000771C0000}"/>
    <cellStyle name="60% - Accent4 27" xfId="7296" xr:uid="{00000000-0005-0000-0000-0000781C0000}"/>
    <cellStyle name="60% - Accent4 28" xfId="7297" xr:uid="{00000000-0005-0000-0000-0000791C0000}"/>
    <cellStyle name="60% - Accent4 29" xfId="7298" xr:uid="{00000000-0005-0000-0000-00007A1C0000}"/>
    <cellStyle name="60% - Accent4 29 2" xfId="7299" xr:uid="{00000000-0005-0000-0000-00007B1C0000}"/>
    <cellStyle name="60% - Accent4 3" xfId="7300" xr:uid="{00000000-0005-0000-0000-00007C1C0000}"/>
    <cellStyle name="60% - Accent4 30" xfId="7301" xr:uid="{00000000-0005-0000-0000-00007D1C0000}"/>
    <cellStyle name="60% - Accent4 31" xfId="7302" xr:uid="{00000000-0005-0000-0000-00007E1C0000}"/>
    <cellStyle name="60% - Accent4 32" xfId="7303" xr:uid="{00000000-0005-0000-0000-00007F1C0000}"/>
    <cellStyle name="60% - Accent4 33" xfId="7304" xr:uid="{00000000-0005-0000-0000-0000801C0000}"/>
    <cellStyle name="60% - Accent4 34" xfId="7305" xr:uid="{00000000-0005-0000-0000-0000811C0000}"/>
    <cellStyle name="60% - Accent4 35" xfId="7306" xr:uid="{00000000-0005-0000-0000-0000821C0000}"/>
    <cellStyle name="60% - Accent4 36" xfId="7307" xr:uid="{00000000-0005-0000-0000-0000831C0000}"/>
    <cellStyle name="60% - Accent4 37" xfId="7308" xr:uid="{00000000-0005-0000-0000-0000841C0000}"/>
    <cellStyle name="60% - Accent4 38" xfId="7309" xr:uid="{00000000-0005-0000-0000-0000851C0000}"/>
    <cellStyle name="60% - Accent4 4" xfId="7310" xr:uid="{00000000-0005-0000-0000-0000861C0000}"/>
    <cellStyle name="60% - Accent4 5" xfId="7311" xr:uid="{00000000-0005-0000-0000-0000871C0000}"/>
    <cellStyle name="60% - Accent4 6" xfId="7312" xr:uid="{00000000-0005-0000-0000-0000881C0000}"/>
    <cellStyle name="60% - Accent4 7" xfId="7313" xr:uid="{00000000-0005-0000-0000-0000891C0000}"/>
    <cellStyle name="60% - Accent4 8" xfId="7314" xr:uid="{00000000-0005-0000-0000-00008A1C0000}"/>
    <cellStyle name="60% - Accent4 9" xfId="7315" xr:uid="{00000000-0005-0000-0000-00008B1C0000}"/>
    <cellStyle name="60% - Accent5" xfId="35725" builtinId="48" customBuiltin="1"/>
    <cellStyle name="60% - Accent5 10" xfId="7316" xr:uid="{00000000-0005-0000-0000-00008C1C0000}"/>
    <cellStyle name="60% - Accent5 11" xfId="7317" xr:uid="{00000000-0005-0000-0000-00008D1C0000}"/>
    <cellStyle name="60% - Accent5 12" xfId="7318" xr:uid="{00000000-0005-0000-0000-00008E1C0000}"/>
    <cellStyle name="60% - Accent5 13" xfId="7319" xr:uid="{00000000-0005-0000-0000-00008F1C0000}"/>
    <cellStyle name="60% - Accent5 14" xfId="7320" xr:uid="{00000000-0005-0000-0000-0000901C0000}"/>
    <cellStyle name="60% - Accent5 15" xfId="7321" xr:uid="{00000000-0005-0000-0000-0000911C0000}"/>
    <cellStyle name="60% - Accent5 16" xfId="7322" xr:uid="{00000000-0005-0000-0000-0000921C0000}"/>
    <cellStyle name="60% - Accent5 17" xfId="7323" xr:uid="{00000000-0005-0000-0000-0000931C0000}"/>
    <cellStyle name="60% - Accent5 18" xfId="7324" xr:uid="{00000000-0005-0000-0000-0000941C0000}"/>
    <cellStyle name="60% - Accent5 19" xfId="7325" xr:uid="{00000000-0005-0000-0000-0000951C0000}"/>
    <cellStyle name="60% - Accent5 2" xfId="7326" xr:uid="{00000000-0005-0000-0000-0000961C0000}"/>
    <cellStyle name="60% - Accent5 2 2" xfId="7327" xr:uid="{00000000-0005-0000-0000-0000971C0000}"/>
    <cellStyle name="60% - Accent5 20" xfId="7328" xr:uid="{00000000-0005-0000-0000-0000981C0000}"/>
    <cellStyle name="60% - Accent5 21" xfId="7329" xr:uid="{00000000-0005-0000-0000-0000991C0000}"/>
    <cellStyle name="60% - Accent5 22" xfId="7330" xr:uid="{00000000-0005-0000-0000-00009A1C0000}"/>
    <cellStyle name="60% - Accent5 23" xfId="7331" xr:uid="{00000000-0005-0000-0000-00009B1C0000}"/>
    <cellStyle name="60% - Accent5 24" xfId="7332" xr:uid="{00000000-0005-0000-0000-00009C1C0000}"/>
    <cellStyle name="60% - Accent5 25" xfId="7333" xr:uid="{00000000-0005-0000-0000-00009D1C0000}"/>
    <cellStyle name="60% - Accent5 26" xfId="7334" xr:uid="{00000000-0005-0000-0000-00009E1C0000}"/>
    <cellStyle name="60% - Accent5 27" xfId="7335" xr:uid="{00000000-0005-0000-0000-00009F1C0000}"/>
    <cellStyle name="60% - Accent5 28" xfId="7336" xr:uid="{00000000-0005-0000-0000-0000A01C0000}"/>
    <cellStyle name="60% - Accent5 29" xfId="7337" xr:uid="{00000000-0005-0000-0000-0000A11C0000}"/>
    <cellStyle name="60% - Accent5 29 2" xfId="7338" xr:uid="{00000000-0005-0000-0000-0000A21C0000}"/>
    <cellStyle name="60% - Accent5 3" xfId="7339" xr:uid="{00000000-0005-0000-0000-0000A31C0000}"/>
    <cellStyle name="60% - Accent5 30" xfId="7340" xr:uid="{00000000-0005-0000-0000-0000A41C0000}"/>
    <cellStyle name="60% - Accent5 31" xfId="7341" xr:uid="{00000000-0005-0000-0000-0000A51C0000}"/>
    <cellStyle name="60% - Accent5 32" xfId="7342" xr:uid="{00000000-0005-0000-0000-0000A61C0000}"/>
    <cellStyle name="60% - Accent5 33" xfId="7343" xr:uid="{00000000-0005-0000-0000-0000A71C0000}"/>
    <cellStyle name="60% - Accent5 34" xfId="7344" xr:uid="{00000000-0005-0000-0000-0000A81C0000}"/>
    <cellStyle name="60% - Accent5 35" xfId="7345" xr:uid="{00000000-0005-0000-0000-0000A91C0000}"/>
    <cellStyle name="60% - Accent5 36" xfId="7346" xr:uid="{00000000-0005-0000-0000-0000AA1C0000}"/>
    <cellStyle name="60% - Accent5 37" xfId="7347" xr:uid="{00000000-0005-0000-0000-0000AB1C0000}"/>
    <cellStyle name="60% - Accent5 38" xfId="7348" xr:uid="{00000000-0005-0000-0000-0000AC1C0000}"/>
    <cellStyle name="60% - Accent5 4" xfId="7349" xr:uid="{00000000-0005-0000-0000-0000AD1C0000}"/>
    <cellStyle name="60% - Accent5 5" xfId="7350" xr:uid="{00000000-0005-0000-0000-0000AE1C0000}"/>
    <cellStyle name="60% - Accent5 6" xfId="7351" xr:uid="{00000000-0005-0000-0000-0000AF1C0000}"/>
    <cellStyle name="60% - Accent5 7" xfId="7352" xr:uid="{00000000-0005-0000-0000-0000B01C0000}"/>
    <cellStyle name="60% - Accent5 8" xfId="7353" xr:uid="{00000000-0005-0000-0000-0000B11C0000}"/>
    <cellStyle name="60% - Accent5 9" xfId="7354" xr:uid="{00000000-0005-0000-0000-0000B21C0000}"/>
    <cellStyle name="60% - Accent6" xfId="35729" builtinId="52" customBuiltin="1"/>
    <cellStyle name="60% - Accent6 10" xfId="7355" xr:uid="{00000000-0005-0000-0000-0000B31C0000}"/>
    <cellStyle name="60% - Accent6 11" xfId="7356" xr:uid="{00000000-0005-0000-0000-0000B41C0000}"/>
    <cellStyle name="60% - Accent6 12" xfId="7357" xr:uid="{00000000-0005-0000-0000-0000B51C0000}"/>
    <cellStyle name="60% - Accent6 13" xfId="7358" xr:uid="{00000000-0005-0000-0000-0000B61C0000}"/>
    <cellStyle name="60% - Accent6 14" xfId="7359" xr:uid="{00000000-0005-0000-0000-0000B71C0000}"/>
    <cellStyle name="60% - Accent6 15" xfId="7360" xr:uid="{00000000-0005-0000-0000-0000B81C0000}"/>
    <cellStyle name="60% - Accent6 16" xfId="7361" xr:uid="{00000000-0005-0000-0000-0000B91C0000}"/>
    <cellStyle name="60% - Accent6 17" xfId="7362" xr:uid="{00000000-0005-0000-0000-0000BA1C0000}"/>
    <cellStyle name="60% - Accent6 18" xfId="7363" xr:uid="{00000000-0005-0000-0000-0000BB1C0000}"/>
    <cellStyle name="60% - Accent6 19" xfId="7364" xr:uid="{00000000-0005-0000-0000-0000BC1C0000}"/>
    <cellStyle name="60% - Accent6 2" xfId="7365" xr:uid="{00000000-0005-0000-0000-0000BD1C0000}"/>
    <cellStyle name="60% - Accent6 2 2" xfId="7366" xr:uid="{00000000-0005-0000-0000-0000BE1C0000}"/>
    <cellStyle name="60% - Accent6 20" xfId="7367" xr:uid="{00000000-0005-0000-0000-0000BF1C0000}"/>
    <cellStyle name="60% - Accent6 21" xfId="7368" xr:uid="{00000000-0005-0000-0000-0000C01C0000}"/>
    <cellStyle name="60% - Accent6 22" xfId="7369" xr:uid="{00000000-0005-0000-0000-0000C11C0000}"/>
    <cellStyle name="60% - Accent6 23" xfId="7370" xr:uid="{00000000-0005-0000-0000-0000C21C0000}"/>
    <cellStyle name="60% - Accent6 24" xfId="7371" xr:uid="{00000000-0005-0000-0000-0000C31C0000}"/>
    <cellStyle name="60% - Accent6 25" xfId="7372" xr:uid="{00000000-0005-0000-0000-0000C41C0000}"/>
    <cellStyle name="60% - Accent6 26" xfId="7373" xr:uid="{00000000-0005-0000-0000-0000C51C0000}"/>
    <cellStyle name="60% - Accent6 27" xfId="7374" xr:uid="{00000000-0005-0000-0000-0000C61C0000}"/>
    <cellStyle name="60% - Accent6 28" xfId="7375" xr:uid="{00000000-0005-0000-0000-0000C71C0000}"/>
    <cellStyle name="60% - Accent6 29" xfId="7376" xr:uid="{00000000-0005-0000-0000-0000C81C0000}"/>
    <cellStyle name="60% - Accent6 29 2" xfId="7377" xr:uid="{00000000-0005-0000-0000-0000C91C0000}"/>
    <cellStyle name="60% - Accent6 3" xfId="7378" xr:uid="{00000000-0005-0000-0000-0000CA1C0000}"/>
    <cellStyle name="60% - Accent6 30" xfId="7379" xr:uid="{00000000-0005-0000-0000-0000CB1C0000}"/>
    <cellStyle name="60% - Accent6 31" xfId="7380" xr:uid="{00000000-0005-0000-0000-0000CC1C0000}"/>
    <cellStyle name="60% - Accent6 32" xfId="7381" xr:uid="{00000000-0005-0000-0000-0000CD1C0000}"/>
    <cellStyle name="60% - Accent6 33" xfId="7382" xr:uid="{00000000-0005-0000-0000-0000CE1C0000}"/>
    <cellStyle name="60% - Accent6 34" xfId="7383" xr:uid="{00000000-0005-0000-0000-0000CF1C0000}"/>
    <cellStyle name="60% - Accent6 35" xfId="7384" xr:uid="{00000000-0005-0000-0000-0000D01C0000}"/>
    <cellStyle name="60% - Accent6 36" xfId="7385" xr:uid="{00000000-0005-0000-0000-0000D11C0000}"/>
    <cellStyle name="60% - Accent6 37" xfId="7386" xr:uid="{00000000-0005-0000-0000-0000D21C0000}"/>
    <cellStyle name="60% - Accent6 38" xfId="7387" xr:uid="{00000000-0005-0000-0000-0000D31C0000}"/>
    <cellStyle name="60% - Accent6 4" xfId="7388" xr:uid="{00000000-0005-0000-0000-0000D41C0000}"/>
    <cellStyle name="60% - Accent6 5" xfId="7389" xr:uid="{00000000-0005-0000-0000-0000D51C0000}"/>
    <cellStyle name="60% - Accent6 6" xfId="7390" xr:uid="{00000000-0005-0000-0000-0000D61C0000}"/>
    <cellStyle name="60% - Accent6 7" xfId="7391" xr:uid="{00000000-0005-0000-0000-0000D71C0000}"/>
    <cellStyle name="60% - Accent6 8" xfId="7392" xr:uid="{00000000-0005-0000-0000-0000D81C0000}"/>
    <cellStyle name="60% - Accent6 9" xfId="7393" xr:uid="{00000000-0005-0000-0000-0000D91C0000}"/>
    <cellStyle name="752131" xfId="7394" xr:uid="{00000000-0005-0000-0000-0000DA1C0000}"/>
    <cellStyle name="752131 10" xfId="7395" xr:uid="{00000000-0005-0000-0000-0000DB1C0000}"/>
    <cellStyle name="752131 11" xfId="7396" xr:uid="{00000000-0005-0000-0000-0000DC1C0000}"/>
    <cellStyle name="752131 12" xfId="7397" xr:uid="{00000000-0005-0000-0000-0000DD1C0000}"/>
    <cellStyle name="752131 13" xfId="7398" xr:uid="{00000000-0005-0000-0000-0000DE1C0000}"/>
    <cellStyle name="752131 14" xfId="7399" xr:uid="{00000000-0005-0000-0000-0000DF1C0000}"/>
    <cellStyle name="752131 15" xfId="7400" xr:uid="{00000000-0005-0000-0000-0000E01C0000}"/>
    <cellStyle name="752131 16" xfId="7401" xr:uid="{00000000-0005-0000-0000-0000E11C0000}"/>
    <cellStyle name="752131 17" xfId="7402" xr:uid="{00000000-0005-0000-0000-0000E21C0000}"/>
    <cellStyle name="752131 18" xfId="7403" xr:uid="{00000000-0005-0000-0000-0000E31C0000}"/>
    <cellStyle name="752131 19" xfId="7404" xr:uid="{00000000-0005-0000-0000-0000E41C0000}"/>
    <cellStyle name="752131 2" xfId="7405" xr:uid="{00000000-0005-0000-0000-0000E51C0000}"/>
    <cellStyle name="752131 20" xfId="7406" xr:uid="{00000000-0005-0000-0000-0000E61C0000}"/>
    <cellStyle name="752131 21" xfId="7407" xr:uid="{00000000-0005-0000-0000-0000E71C0000}"/>
    <cellStyle name="752131 21 2" xfId="7408" xr:uid="{00000000-0005-0000-0000-0000E81C0000}"/>
    <cellStyle name="752131 3" xfId="7409" xr:uid="{00000000-0005-0000-0000-0000E91C0000}"/>
    <cellStyle name="752131 4" xfId="7410" xr:uid="{00000000-0005-0000-0000-0000EA1C0000}"/>
    <cellStyle name="752131 5" xfId="7411" xr:uid="{00000000-0005-0000-0000-0000EB1C0000}"/>
    <cellStyle name="752131 6" xfId="7412" xr:uid="{00000000-0005-0000-0000-0000EC1C0000}"/>
    <cellStyle name="752131 7" xfId="7413" xr:uid="{00000000-0005-0000-0000-0000ED1C0000}"/>
    <cellStyle name="752131 8" xfId="7414" xr:uid="{00000000-0005-0000-0000-0000EE1C0000}"/>
    <cellStyle name="752131 9" xfId="7415" xr:uid="{00000000-0005-0000-0000-0000EF1C0000}"/>
    <cellStyle name="9.86" xfId="7416" xr:uid="{00000000-0005-0000-0000-0000F01C0000}"/>
    <cellStyle name="Accent1" xfId="35706" builtinId="29" customBuiltin="1"/>
    <cellStyle name="Accent1 10" xfId="7417" xr:uid="{00000000-0005-0000-0000-0000F11C0000}"/>
    <cellStyle name="Accent1 11" xfId="7418" xr:uid="{00000000-0005-0000-0000-0000F21C0000}"/>
    <cellStyle name="Accent1 12" xfId="7419" xr:uid="{00000000-0005-0000-0000-0000F31C0000}"/>
    <cellStyle name="Accent1 13" xfId="7420" xr:uid="{00000000-0005-0000-0000-0000F41C0000}"/>
    <cellStyle name="Accent1 14" xfId="7421" xr:uid="{00000000-0005-0000-0000-0000F51C0000}"/>
    <cellStyle name="Accent1 15" xfId="7422" xr:uid="{00000000-0005-0000-0000-0000F61C0000}"/>
    <cellStyle name="Accent1 16" xfId="7423" xr:uid="{00000000-0005-0000-0000-0000F71C0000}"/>
    <cellStyle name="Accent1 17" xfId="7424" xr:uid="{00000000-0005-0000-0000-0000F81C0000}"/>
    <cellStyle name="Accent1 18" xfId="7425" xr:uid="{00000000-0005-0000-0000-0000F91C0000}"/>
    <cellStyle name="Accent1 19" xfId="7426" xr:uid="{00000000-0005-0000-0000-0000FA1C0000}"/>
    <cellStyle name="Accent1 2" xfId="7427" xr:uid="{00000000-0005-0000-0000-0000FB1C0000}"/>
    <cellStyle name="Accent1 2 2" xfId="7428" xr:uid="{00000000-0005-0000-0000-0000FC1C0000}"/>
    <cellStyle name="Accent1 20" xfId="7429" xr:uid="{00000000-0005-0000-0000-0000FD1C0000}"/>
    <cellStyle name="Accent1 21" xfId="7430" xr:uid="{00000000-0005-0000-0000-0000FE1C0000}"/>
    <cellStyle name="Accent1 22" xfId="7431" xr:uid="{00000000-0005-0000-0000-0000FF1C0000}"/>
    <cellStyle name="Accent1 23" xfId="7432" xr:uid="{00000000-0005-0000-0000-0000001D0000}"/>
    <cellStyle name="Accent1 24" xfId="7433" xr:uid="{00000000-0005-0000-0000-0000011D0000}"/>
    <cellStyle name="Accent1 25" xfId="7434" xr:uid="{00000000-0005-0000-0000-0000021D0000}"/>
    <cellStyle name="Accent1 26" xfId="7435" xr:uid="{00000000-0005-0000-0000-0000031D0000}"/>
    <cellStyle name="Accent1 27" xfId="7436" xr:uid="{00000000-0005-0000-0000-0000041D0000}"/>
    <cellStyle name="Accent1 28" xfId="7437" xr:uid="{00000000-0005-0000-0000-0000051D0000}"/>
    <cellStyle name="Accent1 29" xfId="7438" xr:uid="{00000000-0005-0000-0000-0000061D0000}"/>
    <cellStyle name="Accent1 29 2" xfId="7439" xr:uid="{00000000-0005-0000-0000-0000071D0000}"/>
    <cellStyle name="Accent1 3" xfId="7440" xr:uid="{00000000-0005-0000-0000-0000081D0000}"/>
    <cellStyle name="Accent1 30" xfId="7441" xr:uid="{00000000-0005-0000-0000-0000091D0000}"/>
    <cellStyle name="Accent1 31" xfId="7442" xr:uid="{00000000-0005-0000-0000-00000A1D0000}"/>
    <cellStyle name="Accent1 32" xfId="7443" xr:uid="{00000000-0005-0000-0000-00000B1D0000}"/>
    <cellStyle name="Accent1 33" xfId="7444" xr:uid="{00000000-0005-0000-0000-00000C1D0000}"/>
    <cellStyle name="Accent1 34" xfId="7445" xr:uid="{00000000-0005-0000-0000-00000D1D0000}"/>
    <cellStyle name="Accent1 35" xfId="7446" xr:uid="{00000000-0005-0000-0000-00000E1D0000}"/>
    <cellStyle name="Accent1 36" xfId="7447" xr:uid="{00000000-0005-0000-0000-00000F1D0000}"/>
    <cellStyle name="Accent1 37" xfId="7448" xr:uid="{00000000-0005-0000-0000-0000101D0000}"/>
    <cellStyle name="Accent1 38" xfId="7449" xr:uid="{00000000-0005-0000-0000-0000111D0000}"/>
    <cellStyle name="Accent1 39" xfId="7450" xr:uid="{00000000-0005-0000-0000-0000121D0000}"/>
    <cellStyle name="Accent1 4" xfId="7451" xr:uid="{00000000-0005-0000-0000-0000131D0000}"/>
    <cellStyle name="Accent1 5" xfId="7452" xr:uid="{00000000-0005-0000-0000-0000141D0000}"/>
    <cellStyle name="Accent1 6" xfId="7453" xr:uid="{00000000-0005-0000-0000-0000151D0000}"/>
    <cellStyle name="Accent1 7" xfId="7454" xr:uid="{00000000-0005-0000-0000-0000161D0000}"/>
    <cellStyle name="Accent1 8" xfId="7455" xr:uid="{00000000-0005-0000-0000-0000171D0000}"/>
    <cellStyle name="Accent1 9" xfId="7456" xr:uid="{00000000-0005-0000-0000-0000181D0000}"/>
    <cellStyle name="Accent2" xfId="35710" builtinId="33" customBuiltin="1"/>
    <cellStyle name="Accent2 10" xfId="7457" xr:uid="{00000000-0005-0000-0000-0000191D0000}"/>
    <cellStyle name="Accent2 11" xfId="7458" xr:uid="{00000000-0005-0000-0000-00001A1D0000}"/>
    <cellStyle name="Accent2 12" xfId="7459" xr:uid="{00000000-0005-0000-0000-00001B1D0000}"/>
    <cellStyle name="Accent2 13" xfId="7460" xr:uid="{00000000-0005-0000-0000-00001C1D0000}"/>
    <cellStyle name="Accent2 14" xfId="7461" xr:uid="{00000000-0005-0000-0000-00001D1D0000}"/>
    <cellStyle name="Accent2 15" xfId="7462" xr:uid="{00000000-0005-0000-0000-00001E1D0000}"/>
    <cellStyle name="Accent2 16" xfId="7463" xr:uid="{00000000-0005-0000-0000-00001F1D0000}"/>
    <cellStyle name="Accent2 17" xfId="7464" xr:uid="{00000000-0005-0000-0000-0000201D0000}"/>
    <cellStyle name="Accent2 18" xfId="7465" xr:uid="{00000000-0005-0000-0000-0000211D0000}"/>
    <cellStyle name="Accent2 19" xfId="7466" xr:uid="{00000000-0005-0000-0000-0000221D0000}"/>
    <cellStyle name="Accent2 2" xfId="7467" xr:uid="{00000000-0005-0000-0000-0000231D0000}"/>
    <cellStyle name="Accent2 2 2" xfId="7468" xr:uid="{00000000-0005-0000-0000-0000241D0000}"/>
    <cellStyle name="Accent2 20" xfId="7469" xr:uid="{00000000-0005-0000-0000-0000251D0000}"/>
    <cellStyle name="Accent2 21" xfId="7470" xr:uid="{00000000-0005-0000-0000-0000261D0000}"/>
    <cellStyle name="Accent2 22" xfId="7471" xr:uid="{00000000-0005-0000-0000-0000271D0000}"/>
    <cellStyle name="Accent2 23" xfId="7472" xr:uid="{00000000-0005-0000-0000-0000281D0000}"/>
    <cellStyle name="Accent2 24" xfId="7473" xr:uid="{00000000-0005-0000-0000-0000291D0000}"/>
    <cellStyle name="Accent2 25" xfId="7474" xr:uid="{00000000-0005-0000-0000-00002A1D0000}"/>
    <cellStyle name="Accent2 26" xfId="7475" xr:uid="{00000000-0005-0000-0000-00002B1D0000}"/>
    <cellStyle name="Accent2 27" xfId="7476" xr:uid="{00000000-0005-0000-0000-00002C1D0000}"/>
    <cellStyle name="Accent2 28" xfId="7477" xr:uid="{00000000-0005-0000-0000-00002D1D0000}"/>
    <cellStyle name="Accent2 29" xfId="7478" xr:uid="{00000000-0005-0000-0000-00002E1D0000}"/>
    <cellStyle name="Accent2 29 2" xfId="7479" xr:uid="{00000000-0005-0000-0000-00002F1D0000}"/>
    <cellStyle name="Accent2 3" xfId="7480" xr:uid="{00000000-0005-0000-0000-0000301D0000}"/>
    <cellStyle name="Accent2 30" xfId="7481" xr:uid="{00000000-0005-0000-0000-0000311D0000}"/>
    <cellStyle name="Accent2 31" xfId="7482" xr:uid="{00000000-0005-0000-0000-0000321D0000}"/>
    <cellStyle name="Accent2 32" xfId="7483" xr:uid="{00000000-0005-0000-0000-0000331D0000}"/>
    <cellStyle name="Accent2 33" xfId="7484" xr:uid="{00000000-0005-0000-0000-0000341D0000}"/>
    <cellStyle name="Accent2 34" xfId="7485" xr:uid="{00000000-0005-0000-0000-0000351D0000}"/>
    <cellStyle name="Accent2 35" xfId="7486" xr:uid="{00000000-0005-0000-0000-0000361D0000}"/>
    <cellStyle name="Accent2 36" xfId="7487" xr:uid="{00000000-0005-0000-0000-0000371D0000}"/>
    <cellStyle name="Accent2 37" xfId="7488" xr:uid="{00000000-0005-0000-0000-0000381D0000}"/>
    <cellStyle name="Accent2 38" xfId="7489" xr:uid="{00000000-0005-0000-0000-0000391D0000}"/>
    <cellStyle name="Accent2 4" xfId="7490" xr:uid="{00000000-0005-0000-0000-00003A1D0000}"/>
    <cellStyle name="Accent2 5" xfId="7491" xr:uid="{00000000-0005-0000-0000-00003B1D0000}"/>
    <cellStyle name="Accent2 6" xfId="7492" xr:uid="{00000000-0005-0000-0000-00003C1D0000}"/>
    <cellStyle name="Accent2 7" xfId="7493" xr:uid="{00000000-0005-0000-0000-00003D1D0000}"/>
    <cellStyle name="Accent2 8" xfId="7494" xr:uid="{00000000-0005-0000-0000-00003E1D0000}"/>
    <cellStyle name="Accent2 9" xfId="7495" xr:uid="{00000000-0005-0000-0000-00003F1D0000}"/>
    <cellStyle name="Accent3" xfId="35714" builtinId="37" customBuiltin="1"/>
    <cellStyle name="Accent3 10" xfId="7496" xr:uid="{00000000-0005-0000-0000-0000401D0000}"/>
    <cellStyle name="Accent3 11" xfId="7497" xr:uid="{00000000-0005-0000-0000-0000411D0000}"/>
    <cellStyle name="Accent3 12" xfId="7498" xr:uid="{00000000-0005-0000-0000-0000421D0000}"/>
    <cellStyle name="Accent3 13" xfId="7499" xr:uid="{00000000-0005-0000-0000-0000431D0000}"/>
    <cellStyle name="Accent3 14" xfId="7500" xr:uid="{00000000-0005-0000-0000-0000441D0000}"/>
    <cellStyle name="Accent3 15" xfId="7501" xr:uid="{00000000-0005-0000-0000-0000451D0000}"/>
    <cellStyle name="Accent3 16" xfId="7502" xr:uid="{00000000-0005-0000-0000-0000461D0000}"/>
    <cellStyle name="Accent3 17" xfId="7503" xr:uid="{00000000-0005-0000-0000-0000471D0000}"/>
    <cellStyle name="Accent3 18" xfId="7504" xr:uid="{00000000-0005-0000-0000-0000481D0000}"/>
    <cellStyle name="Accent3 19" xfId="7505" xr:uid="{00000000-0005-0000-0000-0000491D0000}"/>
    <cellStyle name="Accent3 2" xfId="7506" xr:uid="{00000000-0005-0000-0000-00004A1D0000}"/>
    <cellStyle name="Accent3 2 2" xfId="7507" xr:uid="{00000000-0005-0000-0000-00004B1D0000}"/>
    <cellStyle name="Accent3 20" xfId="7508" xr:uid="{00000000-0005-0000-0000-00004C1D0000}"/>
    <cellStyle name="Accent3 21" xfId="7509" xr:uid="{00000000-0005-0000-0000-00004D1D0000}"/>
    <cellStyle name="Accent3 22" xfId="7510" xr:uid="{00000000-0005-0000-0000-00004E1D0000}"/>
    <cellStyle name="Accent3 23" xfId="7511" xr:uid="{00000000-0005-0000-0000-00004F1D0000}"/>
    <cellStyle name="Accent3 24" xfId="7512" xr:uid="{00000000-0005-0000-0000-0000501D0000}"/>
    <cellStyle name="Accent3 25" xfId="7513" xr:uid="{00000000-0005-0000-0000-0000511D0000}"/>
    <cellStyle name="Accent3 26" xfId="7514" xr:uid="{00000000-0005-0000-0000-0000521D0000}"/>
    <cellStyle name="Accent3 27" xfId="7515" xr:uid="{00000000-0005-0000-0000-0000531D0000}"/>
    <cellStyle name="Accent3 28" xfId="7516" xr:uid="{00000000-0005-0000-0000-0000541D0000}"/>
    <cellStyle name="Accent3 29" xfId="7517" xr:uid="{00000000-0005-0000-0000-0000551D0000}"/>
    <cellStyle name="Accent3 29 2" xfId="7518" xr:uid="{00000000-0005-0000-0000-0000561D0000}"/>
    <cellStyle name="Accent3 3" xfId="7519" xr:uid="{00000000-0005-0000-0000-0000571D0000}"/>
    <cellStyle name="Accent3 30" xfId="7520" xr:uid="{00000000-0005-0000-0000-0000581D0000}"/>
    <cellStyle name="Accent3 31" xfId="7521" xr:uid="{00000000-0005-0000-0000-0000591D0000}"/>
    <cellStyle name="Accent3 32" xfId="7522" xr:uid="{00000000-0005-0000-0000-00005A1D0000}"/>
    <cellStyle name="Accent3 33" xfId="7523" xr:uid="{00000000-0005-0000-0000-00005B1D0000}"/>
    <cellStyle name="Accent3 34" xfId="7524" xr:uid="{00000000-0005-0000-0000-00005C1D0000}"/>
    <cellStyle name="Accent3 35" xfId="7525" xr:uid="{00000000-0005-0000-0000-00005D1D0000}"/>
    <cellStyle name="Accent3 36" xfId="7526" xr:uid="{00000000-0005-0000-0000-00005E1D0000}"/>
    <cellStyle name="Accent3 37" xfId="7527" xr:uid="{00000000-0005-0000-0000-00005F1D0000}"/>
    <cellStyle name="Accent3 38" xfId="7528" xr:uid="{00000000-0005-0000-0000-0000601D0000}"/>
    <cellStyle name="Accent3 4" xfId="7529" xr:uid="{00000000-0005-0000-0000-0000611D0000}"/>
    <cellStyle name="Accent3 5" xfId="7530" xr:uid="{00000000-0005-0000-0000-0000621D0000}"/>
    <cellStyle name="Accent3 6" xfId="7531" xr:uid="{00000000-0005-0000-0000-0000631D0000}"/>
    <cellStyle name="Accent3 7" xfId="7532" xr:uid="{00000000-0005-0000-0000-0000641D0000}"/>
    <cellStyle name="Accent3 8" xfId="7533" xr:uid="{00000000-0005-0000-0000-0000651D0000}"/>
    <cellStyle name="Accent3 9" xfId="7534" xr:uid="{00000000-0005-0000-0000-0000661D0000}"/>
    <cellStyle name="Accent4" xfId="35718" builtinId="41" customBuiltin="1"/>
    <cellStyle name="Accent4 10" xfId="7535" xr:uid="{00000000-0005-0000-0000-0000671D0000}"/>
    <cellStyle name="Accent4 11" xfId="7536" xr:uid="{00000000-0005-0000-0000-0000681D0000}"/>
    <cellStyle name="Accent4 12" xfId="7537" xr:uid="{00000000-0005-0000-0000-0000691D0000}"/>
    <cellStyle name="Accent4 13" xfId="7538" xr:uid="{00000000-0005-0000-0000-00006A1D0000}"/>
    <cellStyle name="Accent4 14" xfId="7539" xr:uid="{00000000-0005-0000-0000-00006B1D0000}"/>
    <cellStyle name="Accent4 15" xfId="7540" xr:uid="{00000000-0005-0000-0000-00006C1D0000}"/>
    <cellStyle name="Accent4 16" xfId="7541" xr:uid="{00000000-0005-0000-0000-00006D1D0000}"/>
    <cellStyle name="Accent4 17" xfId="7542" xr:uid="{00000000-0005-0000-0000-00006E1D0000}"/>
    <cellStyle name="Accent4 18" xfId="7543" xr:uid="{00000000-0005-0000-0000-00006F1D0000}"/>
    <cellStyle name="Accent4 19" xfId="7544" xr:uid="{00000000-0005-0000-0000-0000701D0000}"/>
    <cellStyle name="Accent4 2" xfId="7545" xr:uid="{00000000-0005-0000-0000-0000711D0000}"/>
    <cellStyle name="Accent4 2 2" xfId="7546" xr:uid="{00000000-0005-0000-0000-0000721D0000}"/>
    <cellStyle name="Accent4 20" xfId="7547" xr:uid="{00000000-0005-0000-0000-0000731D0000}"/>
    <cellStyle name="Accent4 21" xfId="7548" xr:uid="{00000000-0005-0000-0000-0000741D0000}"/>
    <cellStyle name="Accent4 22" xfId="7549" xr:uid="{00000000-0005-0000-0000-0000751D0000}"/>
    <cellStyle name="Accent4 23" xfId="7550" xr:uid="{00000000-0005-0000-0000-0000761D0000}"/>
    <cellStyle name="Accent4 24" xfId="7551" xr:uid="{00000000-0005-0000-0000-0000771D0000}"/>
    <cellStyle name="Accent4 25" xfId="7552" xr:uid="{00000000-0005-0000-0000-0000781D0000}"/>
    <cellStyle name="Accent4 26" xfId="7553" xr:uid="{00000000-0005-0000-0000-0000791D0000}"/>
    <cellStyle name="Accent4 27" xfId="7554" xr:uid="{00000000-0005-0000-0000-00007A1D0000}"/>
    <cellStyle name="Accent4 28" xfId="7555" xr:uid="{00000000-0005-0000-0000-00007B1D0000}"/>
    <cellStyle name="Accent4 29" xfId="7556" xr:uid="{00000000-0005-0000-0000-00007C1D0000}"/>
    <cellStyle name="Accent4 29 2" xfId="7557" xr:uid="{00000000-0005-0000-0000-00007D1D0000}"/>
    <cellStyle name="Accent4 3" xfId="7558" xr:uid="{00000000-0005-0000-0000-00007E1D0000}"/>
    <cellStyle name="Accent4 30" xfId="7559" xr:uid="{00000000-0005-0000-0000-00007F1D0000}"/>
    <cellStyle name="Accent4 31" xfId="7560" xr:uid="{00000000-0005-0000-0000-0000801D0000}"/>
    <cellStyle name="Accent4 32" xfId="7561" xr:uid="{00000000-0005-0000-0000-0000811D0000}"/>
    <cellStyle name="Accent4 33" xfId="7562" xr:uid="{00000000-0005-0000-0000-0000821D0000}"/>
    <cellStyle name="Accent4 34" xfId="7563" xr:uid="{00000000-0005-0000-0000-0000831D0000}"/>
    <cellStyle name="Accent4 35" xfId="7564" xr:uid="{00000000-0005-0000-0000-0000841D0000}"/>
    <cellStyle name="Accent4 36" xfId="7565" xr:uid="{00000000-0005-0000-0000-0000851D0000}"/>
    <cellStyle name="Accent4 37" xfId="7566" xr:uid="{00000000-0005-0000-0000-0000861D0000}"/>
    <cellStyle name="Accent4 38" xfId="7567" xr:uid="{00000000-0005-0000-0000-0000871D0000}"/>
    <cellStyle name="Accent4 4" xfId="7568" xr:uid="{00000000-0005-0000-0000-0000881D0000}"/>
    <cellStyle name="Accent4 5" xfId="7569" xr:uid="{00000000-0005-0000-0000-0000891D0000}"/>
    <cellStyle name="Accent4 6" xfId="7570" xr:uid="{00000000-0005-0000-0000-00008A1D0000}"/>
    <cellStyle name="Accent4 7" xfId="7571" xr:uid="{00000000-0005-0000-0000-00008B1D0000}"/>
    <cellStyle name="Accent4 8" xfId="7572" xr:uid="{00000000-0005-0000-0000-00008C1D0000}"/>
    <cellStyle name="Accent4 9" xfId="7573" xr:uid="{00000000-0005-0000-0000-00008D1D0000}"/>
    <cellStyle name="Accent5" xfId="35722" builtinId="45" customBuiltin="1"/>
    <cellStyle name="Accent5 10" xfId="7574" xr:uid="{00000000-0005-0000-0000-00008E1D0000}"/>
    <cellStyle name="Accent5 11" xfId="7575" xr:uid="{00000000-0005-0000-0000-00008F1D0000}"/>
    <cellStyle name="Accent5 12" xfId="7576" xr:uid="{00000000-0005-0000-0000-0000901D0000}"/>
    <cellStyle name="Accent5 13" xfId="7577" xr:uid="{00000000-0005-0000-0000-0000911D0000}"/>
    <cellStyle name="Accent5 14" xfId="7578" xr:uid="{00000000-0005-0000-0000-0000921D0000}"/>
    <cellStyle name="Accent5 15" xfId="7579" xr:uid="{00000000-0005-0000-0000-0000931D0000}"/>
    <cellStyle name="Accent5 16" xfId="7580" xr:uid="{00000000-0005-0000-0000-0000941D0000}"/>
    <cellStyle name="Accent5 17" xfId="7581" xr:uid="{00000000-0005-0000-0000-0000951D0000}"/>
    <cellStyle name="Accent5 18" xfId="7582" xr:uid="{00000000-0005-0000-0000-0000961D0000}"/>
    <cellStyle name="Accent5 19" xfId="7583" xr:uid="{00000000-0005-0000-0000-0000971D0000}"/>
    <cellStyle name="Accent5 2" xfId="7584" xr:uid="{00000000-0005-0000-0000-0000981D0000}"/>
    <cellStyle name="Accent5 2 2" xfId="7585" xr:uid="{00000000-0005-0000-0000-0000991D0000}"/>
    <cellStyle name="Accent5 20" xfId="7586" xr:uid="{00000000-0005-0000-0000-00009A1D0000}"/>
    <cellStyle name="Accent5 21" xfId="7587" xr:uid="{00000000-0005-0000-0000-00009B1D0000}"/>
    <cellStyle name="Accent5 22" xfId="7588" xr:uid="{00000000-0005-0000-0000-00009C1D0000}"/>
    <cellStyle name="Accent5 23" xfId="7589" xr:uid="{00000000-0005-0000-0000-00009D1D0000}"/>
    <cellStyle name="Accent5 24" xfId="7590" xr:uid="{00000000-0005-0000-0000-00009E1D0000}"/>
    <cellStyle name="Accent5 25" xfId="7591" xr:uid="{00000000-0005-0000-0000-00009F1D0000}"/>
    <cellStyle name="Accent5 26" xfId="7592" xr:uid="{00000000-0005-0000-0000-0000A01D0000}"/>
    <cellStyle name="Accent5 27" xfId="7593" xr:uid="{00000000-0005-0000-0000-0000A11D0000}"/>
    <cellStyle name="Accent5 28" xfId="7594" xr:uid="{00000000-0005-0000-0000-0000A21D0000}"/>
    <cellStyle name="Accent5 29" xfId="7595" xr:uid="{00000000-0005-0000-0000-0000A31D0000}"/>
    <cellStyle name="Accent5 29 2" xfId="7596" xr:uid="{00000000-0005-0000-0000-0000A41D0000}"/>
    <cellStyle name="Accent5 3" xfId="7597" xr:uid="{00000000-0005-0000-0000-0000A51D0000}"/>
    <cellStyle name="Accent5 30" xfId="7598" xr:uid="{00000000-0005-0000-0000-0000A61D0000}"/>
    <cellStyle name="Accent5 31" xfId="7599" xr:uid="{00000000-0005-0000-0000-0000A71D0000}"/>
    <cellStyle name="Accent5 32" xfId="7600" xr:uid="{00000000-0005-0000-0000-0000A81D0000}"/>
    <cellStyle name="Accent5 33" xfId="7601" xr:uid="{00000000-0005-0000-0000-0000A91D0000}"/>
    <cellStyle name="Accent5 34" xfId="7602" xr:uid="{00000000-0005-0000-0000-0000AA1D0000}"/>
    <cellStyle name="Accent5 35" xfId="7603" xr:uid="{00000000-0005-0000-0000-0000AB1D0000}"/>
    <cellStyle name="Accent5 36" xfId="7604" xr:uid="{00000000-0005-0000-0000-0000AC1D0000}"/>
    <cellStyle name="Accent5 37" xfId="7605" xr:uid="{00000000-0005-0000-0000-0000AD1D0000}"/>
    <cellStyle name="Accent5 38" xfId="7606" xr:uid="{00000000-0005-0000-0000-0000AE1D0000}"/>
    <cellStyle name="Accent5 4" xfId="7607" xr:uid="{00000000-0005-0000-0000-0000AF1D0000}"/>
    <cellStyle name="Accent5 5" xfId="7608" xr:uid="{00000000-0005-0000-0000-0000B01D0000}"/>
    <cellStyle name="Accent5 6" xfId="7609" xr:uid="{00000000-0005-0000-0000-0000B11D0000}"/>
    <cellStyle name="Accent5 7" xfId="7610" xr:uid="{00000000-0005-0000-0000-0000B21D0000}"/>
    <cellStyle name="Accent5 8" xfId="7611" xr:uid="{00000000-0005-0000-0000-0000B31D0000}"/>
    <cellStyle name="Accent5 9" xfId="7612" xr:uid="{00000000-0005-0000-0000-0000B41D0000}"/>
    <cellStyle name="Accent6" xfId="35726" builtinId="49" customBuiltin="1"/>
    <cellStyle name="Accent6 10" xfId="7613" xr:uid="{00000000-0005-0000-0000-0000B51D0000}"/>
    <cellStyle name="Accent6 11" xfId="7614" xr:uid="{00000000-0005-0000-0000-0000B61D0000}"/>
    <cellStyle name="Accent6 12" xfId="7615" xr:uid="{00000000-0005-0000-0000-0000B71D0000}"/>
    <cellStyle name="Accent6 13" xfId="7616" xr:uid="{00000000-0005-0000-0000-0000B81D0000}"/>
    <cellStyle name="Accent6 14" xfId="7617" xr:uid="{00000000-0005-0000-0000-0000B91D0000}"/>
    <cellStyle name="Accent6 15" xfId="7618" xr:uid="{00000000-0005-0000-0000-0000BA1D0000}"/>
    <cellStyle name="Accent6 16" xfId="7619" xr:uid="{00000000-0005-0000-0000-0000BB1D0000}"/>
    <cellStyle name="Accent6 17" xfId="7620" xr:uid="{00000000-0005-0000-0000-0000BC1D0000}"/>
    <cellStyle name="Accent6 18" xfId="7621" xr:uid="{00000000-0005-0000-0000-0000BD1D0000}"/>
    <cellStyle name="Accent6 19" xfId="7622" xr:uid="{00000000-0005-0000-0000-0000BE1D0000}"/>
    <cellStyle name="Accent6 2" xfId="7623" xr:uid="{00000000-0005-0000-0000-0000BF1D0000}"/>
    <cellStyle name="Accent6 2 2" xfId="7624" xr:uid="{00000000-0005-0000-0000-0000C01D0000}"/>
    <cellStyle name="Accent6 20" xfId="7625" xr:uid="{00000000-0005-0000-0000-0000C11D0000}"/>
    <cellStyle name="Accent6 21" xfId="7626" xr:uid="{00000000-0005-0000-0000-0000C21D0000}"/>
    <cellStyle name="Accent6 22" xfId="7627" xr:uid="{00000000-0005-0000-0000-0000C31D0000}"/>
    <cellStyle name="Accent6 23" xfId="7628" xr:uid="{00000000-0005-0000-0000-0000C41D0000}"/>
    <cellStyle name="Accent6 24" xfId="7629" xr:uid="{00000000-0005-0000-0000-0000C51D0000}"/>
    <cellStyle name="Accent6 25" xfId="7630" xr:uid="{00000000-0005-0000-0000-0000C61D0000}"/>
    <cellStyle name="Accent6 26" xfId="7631" xr:uid="{00000000-0005-0000-0000-0000C71D0000}"/>
    <cellStyle name="Accent6 27" xfId="7632" xr:uid="{00000000-0005-0000-0000-0000C81D0000}"/>
    <cellStyle name="Accent6 28" xfId="7633" xr:uid="{00000000-0005-0000-0000-0000C91D0000}"/>
    <cellStyle name="Accent6 29" xfId="7634" xr:uid="{00000000-0005-0000-0000-0000CA1D0000}"/>
    <cellStyle name="Accent6 29 2" xfId="7635" xr:uid="{00000000-0005-0000-0000-0000CB1D0000}"/>
    <cellStyle name="Accent6 3" xfId="7636" xr:uid="{00000000-0005-0000-0000-0000CC1D0000}"/>
    <cellStyle name="Accent6 30" xfId="7637" xr:uid="{00000000-0005-0000-0000-0000CD1D0000}"/>
    <cellStyle name="Accent6 31" xfId="7638" xr:uid="{00000000-0005-0000-0000-0000CE1D0000}"/>
    <cellStyle name="Accent6 32" xfId="7639" xr:uid="{00000000-0005-0000-0000-0000CF1D0000}"/>
    <cellStyle name="Accent6 33" xfId="7640" xr:uid="{00000000-0005-0000-0000-0000D01D0000}"/>
    <cellStyle name="Accent6 34" xfId="7641" xr:uid="{00000000-0005-0000-0000-0000D11D0000}"/>
    <cellStyle name="Accent6 35" xfId="7642" xr:uid="{00000000-0005-0000-0000-0000D21D0000}"/>
    <cellStyle name="Accent6 36" xfId="7643" xr:uid="{00000000-0005-0000-0000-0000D31D0000}"/>
    <cellStyle name="Accent6 37" xfId="7644" xr:uid="{00000000-0005-0000-0000-0000D41D0000}"/>
    <cellStyle name="Accent6 38" xfId="7645" xr:uid="{00000000-0005-0000-0000-0000D51D0000}"/>
    <cellStyle name="Accent6 4" xfId="7646" xr:uid="{00000000-0005-0000-0000-0000D61D0000}"/>
    <cellStyle name="Accent6 5" xfId="7647" xr:uid="{00000000-0005-0000-0000-0000D71D0000}"/>
    <cellStyle name="Accent6 6" xfId="7648" xr:uid="{00000000-0005-0000-0000-0000D81D0000}"/>
    <cellStyle name="Accent6 7" xfId="7649" xr:uid="{00000000-0005-0000-0000-0000D91D0000}"/>
    <cellStyle name="Accent6 8" xfId="7650" xr:uid="{00000000-0005-0000-0000-0000DA1D0000}"/>
    <cellStyle name="Accent6 9" xfId="7651" xr:uid="{00000000-0005-0000-0000-0000DB1D0000}"/>
    <cellStyle name="Acct[0]0" xfId="7652" xr:uid="{00000000-0005-0000-0000-0000DC1D0000}"/>
    <cellStyle name="Acct[0]0 10" xfId="7653" xr:uid="{00000000-0005-0000-0000-0000DD1D0000}"/>
    <cellStyle name="Acct[0]0 11" xfId="7654" xr:uid="{00000000-0005-0000-0000-0000DE1D0000}"/>
    <cellStyle name="Acct[0]0 12" xfId="7655" xr:uid="{00000000-0005-0000-0000-0000DF1D0000}"/>
    <cellStyle name="Acct[0]0 13" xfId="7656" xr:uid="{00000000-0005-0000-0000-0000E01D0000}"/>
    <cellStyle name="Acct[0]0 14" xfId="7657" xr:uid="{00000000-0005-0000-0000-0000E11D0000}"/>
    <cellStyle name="Acct[0]0 15" xfId="7658" xr:uid="{00000000-0005-0000-0000-0000E21D0000}"/>
    <cellStyle name="Acct[0]0 16" xfId="7659" xr:uid="{00000000-0005-0000-0000-0000E31D0000}"/>
    <cellStyle name="Acct[0]0 17" xfId="7660" xr:uid="{00000000-0005-0000-0000-0000E41D0000}"/>
    <cellStyle name="Acct[0]0 18" xfId="7661" xr:uid="{00000000-0005-0000-0000-0000E51D0000}"/>
    <cellStyle name="Acct[0]0 19" xfId="7662" xr:uid="{00000000-0005-0000-0000-0000E61D0000}"/>
    <cellStyle name="Acct[0]0 2" xfId="7663" xr:uid="{00000000-0005-0000-0000-0000E71D0000}"/>
    <cellStyle name="Acct[0]0 20" xfId="7664" xr:uid="{00000000-0005-0000-0000-0000E81D0000}"/>
    <cellStyle name="Acct[0]0 21" xfId="7665" xr:uid="{00000000-0005-0000-0000-0000E91D0000}"/>
    <cellStyle name="Acct[0]0 21 2" xfId="7666" xr:uid="{00000000-0005-0000-0000-0000EA1D0000}"/>
    <cellStyle name="Acct[0]0 3" xfId="7667" xr:uid="{00000000-0005-0000-0000-0000EB1D0000}"/>
    <cellStyle name="Acct[0]0 4" xfId="7668" xr:uid="{00000000-0005-0000-0000-0000EC1D0000}"/>
    <cellStyle name="Acct[0]0 5" xfId="7669" xr:uid="{00000000-0005-0000-0000-0000ED1D0000}"/>
    <cellStyle name="Acct[0]0 6" xfId="7670" xr:uid="{00000000-0005-0000-0000-0000EE1D0000}"/>
    <cellStyle name="Acct[0]0 7" xfId="7671" xr:uid="{00000000-0005-0000-0000-0000EF1D0000}"/>
    <cellStyle name="Acct[0]0 8" xfId="7672" xr:uid="{00000000-0005-0000-0000-0000F01D0000}"/>
    <cellStyle name="Acct[0]0 9" xfId="7673" xr:uid="{00000000-0005-0000-0000-0000F11D0000}"/>
    <cellStyle name="Acct[2]0" xfId="7674" xr:uid="{00000000-0005-0000-0000-0000F21D0000}"/>
    <cellStyle name="Acct[2]0 10" xfId="7675" xr:uid="{00000000-0005-0000-0000-0000F31D0000}"/>
    <cellStyle name="Acct[2]0 11" xfId="7676" xr:uid="{00000000-0005-0000-0000-0000F41D0000}"/>
    <cellStyle name="Acct[2]0 12" xfId="7677" xr:uid="{00000000-0005-0000-0000-0000F51D0000}"/>
    <cellStyle name="Acct[2]0 13" xfId="7678" xr:uid="{00000000-0005-0000-0000-0000F61D0000}"/>
    <cellStyle name="Acct[2]0 14" xfId="7679" xr:uid="{00000000-0005-0000-0000-0000F71D0000}"/>
    <cellStyle name="Acct[2]0 15" xfId="7680" xr:uid="{00000000-0005-0000-0000-0000F81D0000}"/>
    <cellStyle name="Acct[2]0 16" xfId="7681" xr:uid="{00000000-0005-0000-0000-0000F91D0000}"/>
    <cellStyle name="Acct[2]0 17" xfId="7682" xr:uid="{00000000-0005-0000-0000-0000FA1D0000}"/>
    <cellStyle name="Acct[2]0 18" xfId="7683" xr:uid="{00000000-0005-0000-0000-0000FB1D0000}"/>
    <cellStyle name="Acct[2]0 19" xfId="7684" xr:uid="{00000000-0005-0000-0000-0000FC1D0000}"/>
    <cellStyle name="Acct[2]0 2" xfId="7685" xr:uid="{00000000-0005-0000-0000-0000FD1D0000}"/>
    <cellStyle name="Acct[2]0 20" xfId="7686" xr:uid="{00000000-0005-0000-0000-0000FE1D0000}"/>
    <cellStyle name="Acct[2]0 21" xfId="7687" xr:uid="{00000000-0005-0000-0000-0000FF1D0000}"/>
    <cellStyle name="Acct[2]0 21 2" xfId="7688" xr:uid="{00000000-0005-0000-0000-0000001E0000}"/>
    <cellStyle name="Acct[2]0 3" xfId="7689" xr:uid="{00000000-0005-0000-0000-0000011E0000}"/>
    <cellStyle name="Acct[2]0 4" xfId="7690" xr:uid="{00000000-0005-0000-0000-0000021E0000}"/>
    <cellStyle name="Acct[2]0 5" xfId="7691" xr:uid="{00000000-0005-0000-0000-0000031E0000}"/>
    <cellStyle name="Acct[2]0 6" xfId="7692" xr:uid="{00000000-0005-0000-0000-0000041E0000}"/>
    <cellStyle name="Acct[2]0 7" xfId="7693" xr:uid="{00000000-0005-0000-0000-0000051E0000}"/>
    <cellStyle name="Acct[2]0 8" xfId="7694" xr:uid="{00000000-0005-0000-0000-0000061E0000}"/>
    <cellStyle name="Acct[2]0 9" xfId="7695" xr:uid="{00000000-0005-0000-0000-0000071E0000}"/>
    <cellStyle name="Acct[3]0" xfId="7696" xr:uid="{00000000-0005-0000-0000-0000081E0000}"/>
    <cellStyle name="Acct[3]0 10" xfId="7697" xr:uid="{00000000-0005-0000-0000-0000091E0000}"/>
    <cellStyle name="Acct[3]0 11" xfId="7698" xr:uid="{00000000-0005-0000-0000-00000A1E0000}"/>
    <cellStyle name="Acct[3]0 12" xfId="7699" xr:uid="{00000000-0005-0000-0000-00000B1E0000}"/>
    <cellStyle name="Acct[3]0 13" xfId="7700" xr:uid="{00000000-0005-0000-0000-00000C1E0000}"/>
    <cellStyle name="Acct[3]0 14" xfId="7701" xr:uid="{00000000-0005-0000-0000-00000D1E0000}"/>
    <cellStyle name="Acct[3]0 15" xfId="7702" xr:uid="{00000000-0005-0000-0000-00000E1E0000}"/>
    <cellStyle name="Acct[3]0 16" xfId="7703" xr:uid="{00000000-0005-0000-0000-00000F1E0000}"/>
    <cellStyle name="Acct[3]0 17" xfId="7704" xr:uid="{00000000-0005-0000-0000-0000101E0000}"/>
    <cellStyle name="Acct[3]0 18" xfId="7705" xr:uid="{00000000-0005-0000-0000-0000111E0000}"/>
    <cellStyle name="Acct[3]0 19" xfId="7706" xr:uid="{00000000-0005-0000-0000-0000121E0000}"/>
    <cellStyle name="Acct[3]0 2" xfId="7707" xr:uid="{00000000-0005-0000-0000-0000131E0000}"/>
    <cellStyle name="Acct[3]0 20" xfId="7708" xr:uid="{00000000-0005-0000-0000-0000141E0000}"/>
    <cellStyle name="Acct[3]0 21" xfId="7709" xr:uid="{00000000-0005-0000-0000-0000151E0000}"/>
    <cellStyle name="Acct[3]0 21 2" xfId="7710" xr:uid="{00000000-0005-0000-0000-0000161E0000}"/>
    <cellStyle name="Acct[3]0 3" xfId="7711" xr:uid="{00000000-0005-0000-0000-0000171E0000}"/>
    <cellStyle name="Acct[3]0 4" xfId="7712" xr:uid="{00000000-0005-0000-0000-0000181E0000}"/>
    <cellStyle name="Acct[3]0 5" xfId="7713" xr:uid="{00000000-0005-0000-0000-0000191E0000}"/>
    <cellStyle name="Acct[3]0 6" xfId="7714" xr:uid="{00000000-0005-0000-0000-00001A1E0000}"/>
    <cellStyle name="Acct[3]0 7" xfId="7715" xr:uid="{00000000-0005-0000-0000-00001B1E0000}"/>
    <cellStyle name="Acct[3]0 8" xfId="7716" xr:uid="{00000000-0005-0000-0000-00001C1E0000}"/>
    <cellStyle name="Acct[3]0 9" xfId="7717" xr:uid="{00000000-0005-0000-0000-00001D1E0000}"/>
    <cellStyle name="Acctg" xfId="7718" xr:uid="{00000000-0005-0000-0000-00001E1E0000}"/>
    <cellStyle name="Acctg 10" xfId="7719" xr:uid="{00000000-0005-0000-0000-00001F1E0000}"/>
    <cellStyle name="Acctg 11" xfId="7720" xr:uid="{00000000-0005-0000-0000-0000201E0000}"/>
    <cellStyle name="Acctg 12" xfId="7721" xr:uid="{00000000-0005-0000-0000-0000211E0000}"/>
    <cellStyle name="Acctg 13" xfId="7722" xr:uid="{00000000-0005-0000-0000-0000221E0000}"/>
    <cellStyle name="Acctg 14" xfId="7723" xr:uid="{00000000-0005-0000-0000-0000231E0000}"/>
    <cellStyle name="Acctg 15" xfId="7724" xr:uid="{00000000-0005-0000-0000-0000241E0000}"/>
    <cellStyle name="Acctg 16" xfId="7725" xr:uid="{00000000-0005-0000-0000-0000251E0000}"/>
    <cellStyle name="Acctg 17" xfId="7726" xr:uid="{00000000-0005-0000-0000-0000261E0000}"/>
    <cellStyle name="Acctg 18" xfId="7727" xr:uid="{00000000-0005-0000-0000-0000271E0000}"/>
    <cellStyle name="Acctg 19" xfId="7728" xr:uid="{00000000-0005-0000-0000-0000281E0000}"/>
    <cellStyle name="Acctg 2" xfId="7729" xr:uid="{00000000-0005-0000-0000-0000291E0000}"/>
    <cellStyle name="Acctg 20" xfId="7730" xr:uid="{00000000-0005-0000-0000-00002A1E0000}"/>
    <cellStyle name="Acctg 21" xfId="7731" xr:uid="{00000000-0005-0000-0000-00002B1E0000}"/>
    <cellStyle name="Acctg 21 2" xfId="7732" xr:uid="{00000000-0005-0000-0000-00002C1E0000}"/>
    <cellStyle name="Acctg 3" xfId="7733" xr:uid="{00000000-0005-0000-0000-00002D1E0000}"/>
    <cellStyle name="Acctg 4" xfId="7734" xr:uid="{00000000-0005-0000-0000-00002E1E0000}"/>
    <cellStyle name="Acctg 5" xfId="7735" xr:uid="{00000000-0005-0000-0000-00002F1E0000}"/>
    <cellStyle name="Acctg 6" xfId="7736" xr:uid="{00000000-0005-0000-0000-0000301E0000}"/>
    <cellStyle name="Acctg 7" xfId="7737" xr:uid="{00000000-0005-0000-0000-0000311E0000}"/>
    <cellStyle name="Acctg 8" xfId="7738" xr:uid="{00000000-0005-0000-0000-0000321E0000}"/>
    <cellStyle name="Acctg 9" xfId="7739" xr:uid="{00000000-0005-0000-0000-0000331E0000}"/>
    <cellStyle name="Acctg$" xfId="7740" xr:uid="{00000000-0005-0000-0000-0000341E0000}"/>
    <cellStyle name="Acctg$ 10" xfId="7741" xr:uid="{00000000-0005-0000-0000-0000351E0000}"/>
    <cellStyle name="Acctg$ 11" xfId="7742" xr:uid="{00000000-0005-0000-0000-0000361E0000}"/>
    <cellStyle name="Acctg$ 12" xfId="7743" xr:uid="{00000000-0005-0000-0000-0000371E0000}"/>
    <cellStyle name="Acctg$ 13" xfId="7744" xr:uid="{00000000-0005-0000-0000-0000381E0000}"/>
    <cellStyle name="Acctg$ 14" xfId="7745" xr:uid="{00000000-0005-0000-0000-0000391E0000}"/>
    <cellStyle name="Acctg$ 15" xfId="7746" xr:uid="{00000000-0005-0000-0000-00003A1E0000}"/>
    <cellStyle name="Acctg$ 16" xfId="7747" xr:uid="{00000000-0005-0000-0000-00003B1E0000}"/>
    <cellStyle name="Acctg$ 17" xfId="7748" xr:uid="{00000000-0005-0000-0000-00003C1E0000}"/>
    <cellStyle name="Acctg$ 18" xfId="7749" xr:uid="{00000000-0005-0000-0000-00003D1E0000}"/>
    <cellStyle name="Acctg$ 19" xfId="7750" xr:uid="{00000000-0005-0000-0000-00003E1E0000}"/>
    <cellStyle name="Acctg$ 2" xfId="7751" xr:uid="{00000000-0005-0000-0000-00003F1E0000}"/>
    <cellStyle name="Acctg$ 20" xfId="7752" xr:uid="{00000000-0005-0000-0000-0000401E0000}"/>
    <cellStyle name="Acctg$ 21" xfId="7753" xr:uid="{00000000-0005-0000-0000-0000411E0000}"/>
    <cellStyle name="Acctg$ 21 2" xfId="7754" xr:uid="{00000000-0005-0000-0000-0000421E0000}"/>
    <cellStyle name="Acctg$ 3" xfId="7755" xr:uid="{00000000-0005-0000-0000-0000431E0000}"/>
    <cellStyle name="Acctg$ 4" xfId="7756" xr:uid="{00000000-0005-0000-0000-0000441E0000}"/>
    <cellStyle name="Acctg$ 5" xfId="7757" xr:uid="{00000000-0005-0000-0000-0000451E0000}"/>
    <cellStyle name="Acctg$ 6" xfId="7758" xr:uid="{00000000-0005-0000-0000-0000461E0000}"/>
    <cellStyle name="Acctg$ 7" xfId="7759" xr:uid="{00000000-0005-0000-0000-0000471E0000}"/>
    <cellStyle name="Acctg$ 8" xfId="7760" xr:uid="{00000000-0005-0000-0000-0000481E0000}"/>
    <cellStyle name="Acctg$ 9" xfId="7761" xr:uid="{00000000-0005-0000-0000-0000491E0000}"/>
    <cellStyle name="active" xfId="7762" xr:uid="{00000000-0005-0000-0000-00004A1E0000}"/>
    <cellStyle name="active 10" xfId="7763" xr:uid="{00000000-0005-0000-0000-00004B1E0000}"/>
    <cellStyle name="active 11" xfId="7764" xr:uid="{00000000-0005-0000-0000-00004C1E0000}"/>
    <cellStyle name="active 12" xfId="7765" xr:uid="{00000000-0005-0000-0000-00004D1E0000}"/>
    <cellStyle name="active 13" xfId="7766" xr:uid="{00000000-0005-0000-0000-00004E1E0000}"/>
    <cellStyle name="active 14" xfId="7767" xr:uid="{00000000-0005-0000-0000-00004F1E0000}"/>
    <cellStyle name="active 15" xfId="7768" xr:uid="{00000000-0005-0000-0000-0000501E0000}"/>
    <cellStyle name="active 16" xfId="7769" xr:uid="{00000000-0005-0000-0000-0000511E0000}"/>
    <cellStyle name="active 17" xfId="7770" xr:uid="{00000000-0005-0000-0000-0000521E0000}"/>
    <cellStyle name="active 18" xfId="7771" xr:uid="{00000000-0005-0000-0000-0000531E0000}"/>
    <cellStyle name="active 19" xfId="7772" xr:uid="{00000000-0005-0000-0000-0000541E0000}"/>
    <cellStyle name="active 2" xfId="7773" xr:uid="{00000000-0005-0000-0000-0000551E0000}"/>
    <cellStyle name="active 2 2" xfId="7774" xr:uid="{00000000-0005-0000-0000-0000561E0000}"/>
    <cellStyle name="active 20" xfId="7775" xr:uid="{00000000-0005-0000-0000-0000571E0000}"/>
    <cellStyle name="active 21" xfId="7776" xr:uid="{00000000-0005-0000-0000-0000581E0000}"/>
    <cellStyle name="active 22" xfId="7777" xr:uid="{00000000-0005-0000-0000-0000591E0000}"/>
    <cellStyle name="active 23" xfId="7778" xr:uid="{00000000-0005-0000-0000-00005A1E0000}"/>
    <cellStyle name="active 23 2" xfId="7779" xr:uid="{00000000-0005-0000-0000-00005B1E0000}"/>
    <cellStyle name="active 3" xfId="7780" xr:uid="{00000000-0005-0000-0000-00005C1E0000}"/>
    <cellStyle name="active 3 2" xfId="7781" xr:uid="{00000000-0005-0000-0000-00005D1E0000}"/>
    <cellStyle name="active 4" xfId="7782" xr:uid="{00000000-0005-0000-0000-00005E1E0000}"/>
    <cellStyle name="active 5" xfId="7783" xr:uid="{00000000-0005-0000-0000-00005F1E0000}"/>
    <cellStyle name="active 6" xfId="7784" xr:uid="{00000000-0005-0000-0000-0000601E0000}"/>
    <cellStyle name="active 7" xfId="7785" xr:uid="{00000000-0005-0000-0000-0000611E0000}"/>
    <cellStyle name="active 8" xfId="7786" xr:uid="{00000000-0005-0000-0000-0000621E0000}"/>
    <cellStyle name="active 9" xfId="7787" xr:uid="{00000000-0005-0000-0000-0000631E0000}"/>
    <cellStyle name="active_Copy of AGM Dec '09 YTD COF I and II Dep  Liab (1-13-10) (2)" xfId="7788" xr:uid="{00000000-0005-0000-0000-0000641E0000}"/>
    <cellStyle name="Actual Date" xfId="7789" xr:uid="{00000000-0005-0000-0000-0000651E0000}"/>
    <cellStyle name="Actual Date 10" xfId="7790" xr:uid="{00000000-0005-0000-0000-0000661E0000}"/>
    <cellStyle name="Actual Date 11" xfId="7791" xr:uid="{00000000-0005-0000-0000-0000671E0000}"/>
    <cellStyle name="Actual Date 12" xfId="7792" xr:uid="{00000000-0005-0000-0000-0000681E0000}"/>
    <cellStyle name="Actual Date 13" xfId="7793" xr:uid="{00000000-0005-0000-0000-0000691E0000}"/>
    <cellStyle name="Actual Date 14" xfId="7794" xr:uid="{00000000-0005-0000-0000-00006A1E0000}"/>
    <cellStyle name="Actual Date 15" xfId="7795" xr:uid="{00000000-0005-0000-0000-00006B1E0000}"/>
    <cellStyle name="Actual Date 16" xfId="7796" xr:uid="{00000000-0005-0000-0000-00006C1E0000}"/>
    <cellStyle name="Actual Date 17" xfId="7797" xr:uid="{00000000-0005-0000-0000-00006D1E0000}"/>
    <cellStyle name="Actual Date 18" xfId="7798" xr:uid="{00000000-0005-0000-0000-00006E1E0000}"/>
    <cellStyle name="Actual Date 19" xfId="7799" xr:uid="{00000000-0005-0000-0000-00006F1E0000}"/>
    <cellStyle name="Actual Date 2" xfId="7800" xr:uid="{00000000-0005-0000-0000-0000701E0000}"/>
    <cellStyle name="Actual Date 20" xfId="7801" xr:uid="{00000000-0005-0000-0000-0000711E0000}"/>
    <cellStyle name="Actual Date 21" xfId="7802" xr:uid="{00000000-0005-0000-0000-0000721E0000}"/>
    <cellStyle name="Actual Date 21 2" xfId="7803" xr:uid="{00000000-0005-0000-0000-0000731E0000}"/>
    <cellStyle name="Actual Date 3" xfId="7804" xr:uid="{00000000-0005-0000-0000-0000741E0000}"/>
    <cellStyle name="Actual Date 4" xfId="7805" xr:uid="{00000000-0005-0000-0000-0000751E0000}"/>
    <cellStyle name="Actual Date 5" xfId="7806" xr:uid="{00000000-0005-0000-0000-0000761E0000}"/>
    <cellStyle name="Actual Date 6" xfId="7807" xr:uid="{00000000-0005-0000-0000-0000771E0000}"/>
    <cellStyle name="Actual Date 7" xfId="7808" xr:uid="{00000000-0005-0000-0000-0000781E0000}"/>
    <cellStyle name="Actual Date 8" xfId="7809" xr:uid="{00000000-0005-0000-0000-0000791E0000}"/>
    <cellStyle name="Actual Date 9" xfId="7810" xr:uid="{00000000-0005-0000-0000-00007A1E0000}"/>
    <cellStyle name="AFE" xfId="7811" xr:uid="{00000000-0005-0000-0000-00007B1E0000}"/>
    <cellStyle name="AFE 10" xfId="7812" xr:uid="{00000000-0005-0000-0000-00007C1E0000}"/>
    <cellStyle name="AFE 11" xfId="7813" xr:uid="{00000000-0005-0000-0000-00007D1E0000}"/>
    <cellStyle name="AFE 12" xfId="7814" xr:uid="{00000000-0005-0000-0000-00007E1E0000}"/>
    <cellStyle name="AFE 13" xfId="7815" xr:uid="{00000000-0005-0000-0000-00007F1E0000}"/>
    <cellStyle name="AFE 14" xfId="7816" xr:uid="{00000000-0005-0000-0000-0000801E0000}"/>
    <cellStyle name="AFE 15" xfId="7817" xr:uid="{00000000-0005-0000-0000-0000811E0000}"/>
    <cellStyle name="AFE 16" xfId="7818" xr:uid="{00000000-0005-0000-0000-0000821E0000}"/>
    <cellStyle name="AFE 17" xfId="7819" xr:uid="{00000000-0005-0000-0000-0000831E0000}"/>
    <cellStyle name="AFE 18" xfId="7820" xr:uid="{00000000-0005-0000-0000-0000841E0000}"/>
    <cellStyle name="AFE 19" xfId="7821" xr:uid="{00000000-0005-0000-0000-0000851E0000}"/>
    <cellStyle name="AFE 2" xfId="7822" xr:uid="{00000000-0005-0000-0000-0000861E0000}"/>
    <cellStyle name="AFE 20" xfId="7823" xr:uid="{00000000-0005-0000-0000-0000871E0000}"/>
    <cellStyle name="AFE 21" xfId="7824" xr:uid="{00000000-0005-0000-0000-0000881E0000}"/>
    <cellStyle name="AFE 22" xfId="7825" xr:uid="{00000000-0005-0000-0000-0000891E0000}"/>
    <cellStyle name="AFE 23" xfId="7826" xr:uid="{00000000-0005-0000-0000-00008A1E0000}"/>
    <cellStyle name="AFE 24" xfId="7827" xr:uid="{00000000-0005-0000-0000-00008B1E0000}"/>
    <cellStyle name="AFE 25" xfId="7828" xr:uid="{00000000-0005-0000-0000-00008C1E0000}"/>
    <cellStyle name="AFE 26" xfId="7829" xr:uid="{00000000-0005-0000-0000-00008D1E0000}"/>
    <cellStyle name="AFE 27" xfId="7830" xr:uid="{00000000-0005-0000-0000-00008E1E0000}"/>
    <cellStyle name="AFE 28" xfId="7831" xr:uid="{00000000-0005-0000-0000-00008F1E0000}"/>
    <cellStyle name="AFE 29" xfId="7832" xr:uid="{00000000-0005-0000-0000-0000901E0000}"/>
    <cellStyle name="AFE 29 2" xfId="7833" xr:uid="{00000000-0005-0000-0000-0000911E0000}"/>
    <cellStyle name="AFE 3" xfId="7834" xr:uid="{00000000-0005-0000-0000-0000921E0000}"/>
    <cellStyle name="AFE 30" xfId="7835" xr:uid="{00000000-0005-0000-0000-0000931E0000}"/>
    <cellStyle name="AFE 31" xfId="7836" xr:uid="{00000000-0005-0000-0000-0000941E0000}"/>
    <cellStyle name="AFE 32" xfId="7837" xr:uid="{00000000-0005-0000-0000-0000951E0000}"/>
    <cellStyle name="AFE 33" xfId="7838" xr:uid="{00000000-0005-0000-0000-0000961E0000}"/>
    <cellStyle name="AFE 34" xfId="7839" xr:uid="{00000000-0005-0000-0000-0000971E0000}"/>
    <cellStyle name="AFE 35" xfId="7840" xr:uid="{00000000-0005-0000-0000-0000981E0000}"/>
    <cellStyle name="AFE 36" xfId="7841" xr:uid="{00000000-0005-0000-0000-0000991E0000}"/>
    <cellStyle name="AFE 37" xfId="7842" xr:uid="{00000000-0005-0000-0000-00009A1E0000}"/>
    <cellStyle name="AFE 38" xfId="7843" xr:uid="{00000000-0005-0000-0000-00009B1E0000}"/>
    <cellStyle name="AFE 4" xfId="7844" xr:uid="{00000000-0005-0000-0000-00009C1E0000}"/>
    <cellStyle name="AFE 5" xfId="7845" xr:uid="{00000000-0005-0000-0000-00009D1E0000}"/>
    <cellStyle name="AFE 6" xfId="7846" xr:uid="{00000000-0005-0000-0000-00009E1E0000}"/>
    <cellStyle name="AFE 7" xfId="7847" xr:uid="{00000000-0005-0000-0000-00009F1E0000}"/>
    <cellStyle name="AFE 8" xfId="7848" xr:uid="{00000000-0005-0000-0000-0000A01E0000}"/>
    <cellStyle name="AFE 9" xfId="7849" xr:uid="{00000000-0005-0000-0000-0000A11E0000}"/>
    <cellStyle name="AFE_Dist Summary_11.XX.09" xfId="7850" xr:uid="{00000000-0005-0000-0000-0000A21E0000}"/>
    <cellStyle name="ales" xfId="7851" xr:uid="{00000000-0005-0000-0000-0000A31E0000}"/>
    <cellStyle name="ales 10" xfId="7852" xr:uid="{00000000-0005-0000-0000-0000A41E0000}"/>
    <cellStyle name="ales 11" xfId="7853" xr:uid="{00000000-0005-0000-0000-0000A51E0000}"/>
    <cellStyle name="ales 12" xfId="7854" xr:uid="{00000000-0005-0000-0000-0000A61E0000}"/>
    <cellStyle name="ales 13" xfId="7855" xr:uid="{00000000-0005-0000-0000-0000A71E0000}"/>
    <cellStyle name="ales 14" xfId="7856" xr:uid="{00000000-0005-0000-0000-0000A81E0000}"/>
    <cellStyle name="ales 15" xfId="7857" xr:uid="{00000000-0005-0000-0000-0000A91E0000}"/>
    <cellStyle name="ales 16" xfId="7858" xr:uid="{00000000-0005-0000-0000-0000AA1E0000}"/>
    <cellStyle name="ales 17" xfId="7859" xr:uid="{00000000-0005-0000-0000-0000AB1E0000}"/>
    <cellStyle name="ales 18" xfId="7860" xr:uid="{00000000-0005-0000-0000-0000AC1E0000}"/>
    <cellStyle name="ales 19" xfId="7861" xr:uid="{00000000-0005-0000-0000-0000AD1E0000}"/>
    <cellStyle name="ales 2" xfId="7862" xr:uid="{00000000-0005-0000-0000-0000AE1E0000}"/>
    <cellStyle name="ales 20" xfId="7863" xr:uid="{00000000-0005-0000-0000-0000AF1E0000}"/>
    <cellStyle name="ales 21" xfId="7864" xr:uid="{00000000-0005-0000-0000-0000B01E0000}"/>
    <cellStyle name="ales 21 2" xfId="7865" xr:uid="{00000000-0005-0000-0000-0000B11E0000}"/>
    <cellStyle name="ales 3" xfId="7866" xr:uid="{00000000-0005-0000-0000-0000B21E0000}"/>
    <cellStyle name="ales 4" xfId="7867" xr:uid="{00000000-0005-0000-0000-0000B31E0000}"/>
    <cellStyle name="ales 5" xfId="7868" xr:uid="{00000000-0005-0000-0000-0000B41E0000}"/>
    <cellStyle name="ales 6" xfId="7869" xr:uid="{00000000-0005-0000-0000-0000B51E0000}"/>
    <cellStyle name="ales 7" xfId="7870" xr:uid="{00000000-0005-0000-0000-0000B61E0000}"/>
    <cellStyle name="ales 8" xfId="7871" xr:uid="{00000000-0005-0000-0000-0000B71E0000}"/>
    <cellStyle name="ales 9" xfId="7872" xr:uid="{00000000-0005-0000-0000-0000B81E0000}"/>
    <cellStyle name="args.style" xfId="7873" xr:uid="{00000000-0005-0000-0000-0000B91E0000}"/>
    <cellStyle name="args.style 10" xfId="7874" xr:uid="{00000000-0005-0000-0000-0000BA1E0000}"/>
    <cellStyle name="args.style 11" xfId="7875" xr:uid="{00000000-0005-0000-0000-0000BB1E0000}"/>
    <cellStyle name="args.style 12" xfId="7876" xr:uid="{00000000-0005-0000-0000-0000BC1E0000}"/>
    <cellStyle name="args.style 13" xfId="7877" xr:uid="{00000000-0005-0000-0000-0000BD1E0000}"/>
    <cellStyle name="args.style 14" xfId="7878" xr:uid="{00000000-0005-0000-0000-0000BE1E0000}"/>
    <cellStyle name="args.style 15" xfId="7879" xr:uid="{00000000-0005-0000-0000-0000BF1E0000}"/>
    <cellStyle name="args.style 16" xfId="7880" xr:uid="{00000000-0005-0000-0000-0000C01E0000}"/>
    <cellStyle name="args.style 17" xfId="7881" xr:uid="{00000000-0005-0000-0000-0000C11E0000}"/>
    <cellStyle name="args.style 18" xfId="7882" xr:uid="{00000000-0005-0000-0000-0000C21E0000}"/>
    <cellStyle name="args.style 19" xfId="7883" xr:uid="{00000000-0005-0000-0000-0000C31E0000}"/>
    <cellStyle name="args.style 2" xfId="7884" xr:uid="{00000000-0005-0000-0000-0000C41E0000}"/>
    <cellStyle name="args.style 2 2" xfId="7885" xr:uid="{00000000-0005-0000-0000-0000C51E0000}"/>
    <cellStyle name="args.style 20" xfId="7886" xr:uid="{00000000-0005-0000-0000-0000C61E0000}"/>
    <cellStyle name="args.style 21" xfId="7887" xr:uid="{00000000-0005-0000-0000-0000C71E0000}"/>
    <cellStyle name="args.style 22" xfId="7888" xr:uid="{00000000-0005-0000-0000-0000C81E0000}"/>
    <cellStyle name="args.style 23" xfId="7889" xr:uid="{00000000-0005-0000-0000-0000C91E0000}"/>
    <cellStyle name="args.style 23 2" xfId="7890" xr:uid="{00000000-0005-0000-0000-0000CA1E0000}"/>
    <cellStyle name="args.style 3" xfId="7891" xr:uid="{00000000-0005-0000-0000-0000CB1E0000}"/>
    <cellStyle name="args.style 3 2" xfId="7892" xr:uid="{00000000-0005-0000-0000-0000CC1E0000}"/>
    <cellStyle name="args.style 4" xfId="7893" xr:uid="{00000000-0005-0000-0000-0000CD1E0000}"/>
    <cellStyle name="args.style 5" xfId="7894" xr:uid="{00000000-0005-0000-0000-0000CE1E0000}"/>
    <cellStyle name="args.style 6" xfId="7895" xr:uid="{00000000-0005-0000-0000-0000CF1E0000}"/>
    <cellStyle name="args.style 7" xfId="7896" xr:uid="{00000000-0005-0000-0000-0000D01E0000}"/>
    <cellStyle name="args.style 8" xfId="7897" xr:uid="{00000000-0005-0000-0000-0000D11E0000}"/>
    <cellStyle name="args.style 9" xfId="7898" xr:uid="{00000000-0005-0000-0000-0000D21E0000}"/>
    <cellStyle name="args.style_Copy of AGM Dec '09 YTD COF I and II Dep  Liab (1-13-10) (2)" xfId="7899" xr:uid="{00000000-0005-0000-0000-0000D31E0000}"/>
    <cellStyle name="Arial 10" xfId="7900" xr:uid="{00000000-0005-0000-0000-0000D41E0000}"/>
    <cellStyle name="Arial 10 10" xfId="7901" xr:uid="{00000000-0005-0000-0000-0000D51E0000}"/>
    <cellStyle name="Arial 10 11" xfId="7902" xr:uid="{00000000-0005-0000-0000-0000D61E0000}"/>
    <cellStyle name="Arial 10 12" xfId="7903" xr:uid="{00000000-0005-0000-0000-0000D71E0000}"/>
    <cellStyle name="Arial 10 13" xfId="7904" xr:uid="{00000000-0005-0000-0000-0000D81E0000}"/>
    <cellStyle name="Arial 10 14" xfId="7905" xr:uid="{00000000-0005-0000-0000-0000D91E0000}"/>
    <cellStyle name="Arial 10 15" xfId="7906" xr:uid="{00000000-0005-0000-0000-0000DA1E0000}"/>
    <cellStyle name="Arial 10 16" xfId="7907" xr:uid="{00000000-0005-0000-0000-0000DB1E0000}"/>
    <cellStyle name="Arial 10 17" xfId="7908" xr:uid="{00000000-0005-0000-0000-0000DC1E0000}"/>
    <cellStyle name="Arial 10 18" xfId="7909" xr:uid="{00000000-0005-0000-0000-0000DD1E0000}"/>
    <cellStyle name="Arial 10 19" xfId="7910" xr:uid="{00000000-0005-0000-0000-0000DE1E0000}"/>
    <cellStyle name="Arial 10 2" xfId="7911" xr:uid="{00000000-0005-0000-0000-0000DF1E0000}"/>
    <cellStyle name="Arial 10 2 2" xfId="7912" xr:uid="{00000000-0005-0000-0000-0000E01E0000}"/>
    <cellStyle name="Arial 10 20" xfId="7913" xr:uid="{00000000-0005-0000-0000-0000E11E0000}"/>
    <cellStyle name="Arial 10 21" xfId="7914" xr:uid="{00000000-0005-0000-0000-0000E21E0000}"/>
    <cellStyle name="Arial 10 22" xfId="7915" xr:uid="{00000000-0005-0000-0000-0000E31E0000}"/>
    <cellStyle name="Arial 10 23" xfId="7916" xr:uid="{00000000-0005-0000-0000-0000E41E0000}"/>
    <cellStyle name="Arial 10 23 2" xfId="7917" xr:uid="{00000000-0005-0000-0000-0000E51E0000}"/>
    <cellStyle name="Arial 10 3" xfId="7918" xr:uid="{00000000-0005-0000-0000-0000E61E0000}"/>
    <cellStyle name="Arial 10 3 2" xfId="7919" xr:uid="{00000000-0005-0000-0000-0000E71E0000}"/>
    <cellStyle name="Arial 10 4" xfId="7920" xr:uid="{00000000-0005-0000-0000-0000E81E0000}"/>
    <cellStyle name="Arial 10 5" xfId="7921" xr:uid="{00000000-0005-0000-0000-0000E91E0000}"/>
    <cellStyle name="Arial 10 6" xfId="7922" xr:uid="{00000000-0005-0000-0000-0000EA1E0000}"/>
    <cellStyle name="Arial 10 7" xfId="7923" xr:uid="{00000000-0005-0000-0000-0000EB1E0000}"/>
    <cellStyle name="Arial 10 8" xfId="7924" xr:uid="{00000000-0005-0000-0000-0000EC1E0000}"/>
    <cellStyle name="Arial 10 9" xfId="7925" xr:uid="{00000000-0005-0000-0000-0000ED1E0000}"/>
    <cellStyle name="Arial 12" xfId="7926" xr:uid="{00000000-0005-0000-0000-0000EE1E0000}"/>
    <cellStyle name="Arial 12 10" xfId="7927" xr:uid="{00000000-0005-0000-0000-0000EF1E0000}"/>
    <cellStyle name="Arial 12 11" xfId="7928" xr:uid="{00000000-0005-0000-0000-0000F01E0000}"/>
    <cellStyle name="Arial 12 12" xfId="7929" xr:uid="{00000000-0005-0000-0000-0000F11E0000}"/>
    <cellStyle name="Arial 12 13" xfId="7930" xr:uid="{00000000-0005-0000-0000-0000F21E0000}"/>
    <cellStyle name="Arial 12 14" xfId="7931" xr:uid="{00000000-0005-0000-0000-0000F31E0000}"/>
    <cellStyle name="Arial 12 15" xfId="7932" xr:uid="{00000000-0005-0000-0000-0000F41E0000}"/>
    <cellStyle name="Arial 12 16" xfId="7933" xr:uid="{00000000-0005-0000-0000-0000F51E0000}"/>
    <cellStyle name="Arial 12 17" xfId="7934" xr:uid="{00000000-0005-0000-0000-0000F61E0000}"/>
    <cellStyle name="Arial 12 18" xfId="7935" xr:uid="{00000000-0005-0000-0000-0000F71E0000}"/>
    <cellStyle name="Arial 12 19" xfId="7936" xr:uid="{00000000-0005-0000-0000-0000F81E0000}"/>
    <cellStyle name="Arial 12 2" xfId="7937" xr:uid="{00000000-0005-0000-0000-0000F91E0000}"/>
    <cellStyle name="Arial 12 20" xfId="7938" xr:uid="{00000000-0005-0000-0000-0000FA1E0000}"/>
    <cellStyle name="Arial 12 21" xfId="7939" xr:uid="{00000000-0005-0000-0000-0000FB1E0000}"/>
    <cellStyle name="Arial 12 21 2" xfId="7940" xr:uid="{00000000-0005-0000-0000-0000FC1E0000}"/>
    <cellStyle name="Arial 12 3" xfId="7941" xr:uid="{00000000-0005-0000-0000-0000FD1E0000}"/>
    <cellStyle name="Arial 12 4" xfId="7942" xr:uid="{00000000-0005-0000-0000-0000FE1E0000}"/>
    <cellStyle name="Arial 12 5" xfId="7943" xr:uid="{00000000-0005-0000-0000-0000FF1E0000}"/>
    <cellStyle name="Arial 12 6" xfId="7944" xr:uid="{00000000-0005-0000-0000-0000001F0000}"/>
    <cellStyle name="Arial 12 7" xfId="7945" xr:uid="{00000000-0005-0000-0000-0000011F0000}"/>
    <cellStyle name="Arial 12 8" xfId="7946" xr:uid="{00000000-0005-0000-0000-0000021F0000}"/>
    <cellStyle name="Arial 12 9" xfId="7947" xr:uid="{00000000-0005-0000-0000-0000031F0000}"/>
    <cellStyle name="Assumption" xfId="7948" xr:uid="{00000000-0005-0000-0000-0000041F0000}"/>
    <cellStyle name="Assumption 10" xfId="7949" xr:uid="{00000000-0005-0000-0000-0000051F0000}"/>
    <cellStyle name="Assumption 11" xfId="7950" xr:uid="{00000000-0005-0000-0000-0000061F0000}"/>
    <cellStyle name="Assumption 12" xfId="7951" xr:uid="{00000000-0005-0000-0000-0000071F0000}"/>
    <cellStyle name="Assumption 13" xfId="7952" xr:uid="{00000000-0005-0000-0000-0000081F0000}"/>
    <cellStyle name="Assumption 14" xfId="7953" xr:uid="{00000000-0005-0000-0000-0000091F0000}"/>
    <cellStyle name="Assumption 15" xfId="7954" xr:uid="{00000000-0005-0000-0000-00000A1F0000}"/>
    <cellStyle name="Assumption 16" xfId="7955" xr:uid="{00000000-0005-0000-0000-00000B1F0000}"/>
    <cellStyle name="Assumption 17" xfId="7956" xr:uid="{00000000-0005-0000-0000-00000C1F0000}"/>
    <cellStyle name="Assumption 18" xfId="7957" xr:uid="{00000000-0005-0000-0000-00000D1F0000}"/>
    <cellStyle name="Assumption 19" xfId="7958" xr:uid="{00000000-0005-0000-0000-00000E1F0000}"/>
    <cellStyle name="Assumption 2" xfId="7959" xr:uid="{00000000-0005-0000-0000-00000F1F0000}"/>
    <cellStyle name="Assumption 2 2" xfId="7960" xr:uid="{00000000-0005-0000-0000-0000101F0000}"/>
    <cellStyle name="Assumption 20" xfId="7961" xr:uid="{00000000-0005-0000-0000-0000111F0000}"/>
    <cellStyle name="Assumption 21" xfId="7962" xr:uid="{00000000-0005-0000-0000-0000121F0000}"/>
    <cellStyle name="Assumption 22" xfId="7963" xr:uid="{00000000-0005-0000-0000-0000131F0000}"/>
    <cellStyle name="Assumption 23" xfId="7964" xr:uid="{00000000-0005-0000-0000-0000141F0000}"/>
    <cellStyle name="Assumption 23 2" xfId="7965" xr:uid="{00000000-0005-0000-0000-0000151F0000}"/>
    <cellStyle name="Assumption 3" xfId="7966" xr:uid="{00000000-0005-0000-0000-0000161F0000}"/>
    <cellStyle name="Assumption 3 2" xfId="7967" xr:uid="{00000000-0005-0000-0000-0000171F0000}"/>
    <cellStyle name="Assumption 4" xfId="7968" xr:uid="{00000000-0005-0000-0000-0000181F0000}"/>
    <cellStyle name="Assumption 5" xfId="7969" xr:uid="{00000000-0005-0000-0000-0000191F0000}"/>
    <cellStyle name="Assumption 6" xfId="7970" xr:uid="{00000000-0005-0000-0000-00001A1F0000}"/>
    <cellStyle name="Assumption 7" xfId="7971" xr:uid="{00000000-0005-0000-0000-00001B1F0000}"/>
    <cellStyle name="Assumption 8" xfId="7972" xr:uid="{00000000-0005-0000-0000-00001C1F0000}"/>
    <cellStyle name="Assumption 9" xfId="7973" xr:uid="{00000000-0005-0000-0000-00001D1F0000}"/>
    <cellStyle name="Assumption_Copy of AGM Dec '09 YTD COF I and II Dep  Liab (1-13-10) (2)" xfId="7974" xr:uid="{00000000-0005-0000-0000-00001E1F0000}"/>
    <cellStyle name="b" xfId="7975" xr:uid="{00000000-0005-0000-0000-00001F1F0000}"/>
    <cellStyle name="b 10" xfId="7976" xr:uid="{00000000-0005-0000-0000-0000201F0000}"/>
    <cellStyle name="b 11" xfId="7977" xr:uid="{00000000-0005-0000-0000-0000211F0000}"/>
    <cellStyle name="b 12" xfId="7978" xr:uid="{00000000-0005-0000-0000-0000221F0000}"/>
    <cellStyle name="b 13" xfId="7979" xr:uid="{00000000-0005-0000-0000-0000231F0000}"/>
    <cellStyle name="b 14" xfId="7980" xr:uid="{00000000-0005-0000-0000-0000241F0000}"/>
    <cellStyle name="b 15" xfId="7981" xr:uid="{00000000-0005-0000-0000-0000251F0000}"/>
    <cellStyle name="b 16" xfId="7982" xr:uid="{00000000-0005-0000-0000-0000261F0000}"/>
    <cellStyle name="b 17" xfId="7983" xr:uid="{00000000-0005-0000-0000-0000271F0000}"/>
    <cellStyle name="b 18" xfId="7984" xr:uid="{00000000-0005-0000-0000-0000281F0000}"/>
    <cellStyle name="b 19" xfId="7985" xr:uid="{00000000-0005-0000-0000-0000291F0000}"/>
    <cellStyle name="b 2" xfId="7986" xr:uid="{00000000-0005-0000-0000-00002A1F0000}"/>
    <cellStyle name="b 20" xfId="7987" xr:uid="{00000000-0005-0000-0000-00002B1F0000}"/>
    <cellStyle name="b 21" xfId="7988" xr:uid="{00000000-0005-0000-0000-00002C1F0000}"/>
    <cellStyle name="b 21 2" xfId="7989" xr:uid="{00000000-0005-0000-0000-00002D1F0000}"/>
    <cellStyle name="b 3" xfId="7990" xr:uid="{00000000-0005-0000-0000-00002E1F0000}"/>
    <cellStyle name="b 4" xfId="7991" xr:uid="{00000000-0005-0000-0000-00002F1F0000}"/>
    <cellStyle name="b 5" xfId="7992" xr:uid="{00000000-0005-0000-0000-0000301F0000}"/>
    <cellStyle name="b 6" xfId="7993" xr:uid="{00000000-0005-0000-0000-0000311F0000}"/>
    <cellStyle name="b 7" xfId="7994" xr:uid="{00000000-0005-0000-0000-0000321F0000}"/>
    <cellStyle name="b 8" xfId="7995" xr:uid="{00000000-0005-0000-0000-0000331F0000}"/>
    <cellStyle name="b 9" xfId="7996" xr:uid="{00000000-0005-0000-0000-0000341F0000}"/>
    <cellStyle name="b_{6} Clawback" xfId="7997" xr:uid="{00000000-0005-0000-0000-0000351F0000}"/>
    <cellStyle name="b_2007 Trans Fees for NMFI Calc" xfId="7998" xr:uid="{00000000-0005-0000-0000-0000361F0000}"/>
    <cellStyle name="b_2007 Trans Fees for NMFI Calc 10" xfId="7999" xr:uid="{00000000-0005-0000-0000-0000371F0000}"/>
    <cellStyle name="b_2007 Trans Fees for NMFI Calc 11" xfId="8000" xr:uid="{00000000-0005-0000-0000-0000381F0000}"/>
    <cellStyle name="b_2007 Trans Fees for NMFI Calc 12" xfId="8001" xr:uid="{00000000-0005-0000-0000-0000391F0000}"/>
    <cellStyle name="b_2007 Trans Fees for NMFI Calc 13" xfId="8002" xr:uid="{00000000-0005-0000-0000-00003A1F0000}"/>
    <cellStyle name="b_2007 Trans Fees for NMFI Calc 14" xfId="8003" xr:uid="{00000000-0005-0000-0000-00003B1F0000}"/>
    <cellStyle name="b_2007 Trans Fees for NMFI Calc 15" xfId="8004" xr:uid="{00000000-0005-0000-0000-00003C1F0000}"/>
    <cellStyle name="b_2007 Trans Fees for NMFI Calc 16" xfId="8005" xr:uid="{00000000-0005-0000-0000-00003D1F0000}"/>
    <cellStyle name="b_2007 Trans Fees for NMFI Calc 17" xfId="8006" xr:uid="{00000000-0005-0000-0000-00003E1F0000}"/>
    <cellStyle name="b_2007 Trans Fees for NMFI Calc 18" xfId="8007" xr:uid="{00000000-0005-0000-0000-00003F1F0000}"/>
    <cellStyle name="b_2007 Trans Fees for NMFI Calc 19" xfId="8008" xr:uid="{00000000-0005-0000-0000-0000401F0000}"/>
    <cellStyle name="b_2007 Trans Fees for NMFI Calc 2" xfId="8009" xr:uid="{00000000-0005-0000-0000-0000411F0000}"/>
    <cellStyle name="b_2007 Trans Fees for NMFI Calc 20" xfId="8010" xr:uid="{00000000-0005-0000-0000-0000421F0000}"/>
    <cellStyle name="b_2007 Trans Fees for NMFI Calc 21" xfId="8011" xr:uid="{00000000-0005-0000-0000-0000431F0000}"/>
    <cellStyle name="b_2007 Trans Fees for NMFI Calc 21 2" xfId="8012" xr:uid="{00000000-0005-0000-0000-0000441F0000}"/>
    <cellStyle name="b_2007 Trans Fees for NMFI Calc 3" xfId="8013" xr:uid="{00000000-0005-0000-0000-0000451F0000}"/>
    <cellStyle name="b_2007 Trans Fees for NMFI Calc 4" xfId="8014" xr:uid="{00000000-0005-0000-0000-0000461F0000}"/>
    <cellStyle name="b_2007 Trans Fees for NMFI Calc 5" xfId="8015" xr:uid="{00000000-0005-0000-0000-0000471F0000}"/>
    <cellStyle name="b_2007 Trans Fees for NMFI Calc 6" xfId="8016" xr:uid="{00000000-0005-0000-0000-0000481F0000}"/>
    <cellStyle name="b_2007 Trans Fees for NMFI Calc 7" xfId="8017" xr:uid="{00000000-0005-0000-0000-0000491F0000}"/>
    <cellStyle name="b_2007 Trans Fees for NMFI Calc 8" xfId="8018" xr:uid="{00000000-0005-0000-0000-00004A1F0000}"/>
    <cellStyle name="b_2007 Trans Fees for NMFI Calc 9" xfId="8019" xr:uid="{00000000-0005-0000-0000-00004B1F0000}"/>
    <cellStyle name="b_2007 Trans Fees for NMFI Calc_2.10.10 LS Distribution" xfId="8020" xr:uid="{00000000-0005-0000-0000-00004C1F0000}"/>
    <cellStyle name="b_2007 Trans Fees for NMFI Calc_2011 Q1 Monitoring Fees v3" xfId="8021" xr:uid="{00000000-0005-0000-0000-00004D1F0000}"/>
    <cellStyle name="b_2007 Trans Fees for NMFI Calc_AIF VI - BondcoVI_Entities Invested Capital (CURRENT)" xfId="8022" xr:uid="{00000000-0005-0000-0000-00004E1F0000}"/>
    <cellStyle name="b_2007 Trans Fees for NMFI Calc_Copy of AGM Dec '09 YTD COF I and II Dep  Liab (1-13-10) (2)" xfId="8023" xr:uid="{00000000-0005-0000-0000-00004F1F0000}"/>
    <cellStyle name="b_2007 Trans Fees for NMFI Calc_Invested Capital Debt Worksheet" xfId="8024" xr:uid="{00000000-0005-0000-0000-0000501F0000}"/>
    <cellStyle name="b_2007 Trans Fees for NMFI Calc_LS, LP - Dec  2010 Trial Balance Summary" xfId="8025" xr:uid="{00000000-0005-0000-0000-0000511F0000}"/>
    <cellStyle name="b_2007 Trans Fees for NMFI Calc_MMF Income" xfId="8026" xr:uid="{00000000-0005-0000-0000-0000521F0000}"/>
    <cellStyle name="b_2007 Trans Fees for NMFI Calc_Placement Fee Summary 05-14-09 - Current (2)" xfId="8027" xr:uid="{00000000-0005-0000-0000-0000531F0000}"/>
    <cellStyle name="b_2007 Trans Fees for NMFI Calc_Realized Gain Loss" xfId="8028" xr:uid="{00000000-0005-0000-0000-0000541F0000}"/>
    <cellStyle name="b_2007 Trans Fees for NMFI Calc_TX Details" xfId="8029" xr:uid="{00000000-0005-0000-0000-0000551F0000}"/>
    <cellStyle name="b_2008 COF I mgt fee calc" xfId="8030" xr:uid="{00000000-0005-0000-0000-0000561F0000}"/>
    <cellStyle name="b_3Q 07 Revenue Overview" xfId="8031" xr:uid="{00000000-0005-0000-0000-0000571F0000}"/>
    <cellStyle name="b_3Q 07 Revenue Overview 10" xfId="8032" xr:uid="{00000000-0005-0000-0000-0000581F0000}"/>
    <cellStyle name="b_3Q 07 Revenue Overview 11" xfId="8033" xr:uid="{00000000-0005-0000-0000-0000591F0000}"/>
    <cellStyle name="b_3Q 07 Revenue Overview 12" xfId="8034" xr:uid="{00000000-0005-0000-0000-00005A1F0000}"/>
    <cellStyle name="b_3Q 07 Revenue Overview 13" xfId="8035" xr:uid="{00000000-0005-0000-0000-00005B1F0000}"/>
    <cellStyle name="b_3Q 07 Revenue Overview 14" xfId="8036" xr:uid="{00000000-0005-0000-0000-00005C1F0000}"/>
    <cellStyle name="b_3Q 07 Revenue Overview 15" xfId="8037" xr:uid="{00000000-0005-0000-0000-00005D1F0000}"/>
    <cellStyle name="b_3Q 07 Revenue Overview 16" xfId="8038" xr:uid="{00000000-0005-0000-0000-00005E1F0000}"/>
    <cellStyle name="b_3Q 07 Revenue Overview 17" xfId="8039" xr:uid="{00000000-0005-0000-0000-00005F1F0000}"/>
    <cellStyle name="b_3Q 07 Revenue Overview 18" xfId="8040" xr:uid="{00000000-0005-0000-0000-0000601F0000}"/>
    <cellStyle name="b_3Q 07 Revenue Overview 19" xfId="8041" xr:uid="{00000000-0005-0000-0000-0000611F0000}"/>
    <cellStyle name="b_3Q 07 Revenue Overview 2" xfId="8042" xr:uid="{00000000-0005-0000-0000-0000621F0000}"/>
    <cellStyle name="b_3Q 07 Revenue Overview 20" xfId="8043" xr:uid="{00000000-0005-0000-0000-0000631F0000}"/>
    <cellStyle name="b_3Q 07 Revenue Overview 21" xfId="8044" xr:uid="{00000000-0005-0000-0000-0000641F0000}"/>
    <cellStyle name="b_3Q 07 Revenue Overview 21 2" xfId="8045" xr:uid="{00000000-0005-0000-0000-0000651F0000}"/>
    <cellStyle name="b_3Q 07 Revenue Overview 3" xfId="8046" xr:uid="{00000000-0005-0000-0000-0000661F0000}"/>
    <cellStyle name="b_3Q 07 Revenue Overview 4" xfId="8047" xr:uid="{00000000-0005-0000-0000-0000671F0000}"/>
    <cellStyle name="b_3Q 07 Revenue Overview 5" xfId="8048" xr:uid="{00000000-0005-0000-0000-0000681F0000}"/>
    <cellStyle name="b_3Q 07 Revenue Overview 6" xfId="8049" xr:uid="{00000000-0005-0000-0000-0000691F0000}"/>
    <cellStyle name="b_3Q 07 Revenue Overview 7" xfId="8050" xr:uid="{00000000-0005-0000-0000-00006A1F0000}"/>
    <cellStyle name="b_3Q 07 Revenue Overview 8" xfId="8051" xr:uid="{00000000-0005-0000-0000-00006B1F0000}"/>
    <cellStyle name="b_3Q 07 Revenue Overview 9" xfId="8052" xr:uid="{00000000-0005-0000-0000-00006C1F0000}"/>
    <cellStyle name="b_3Q 07 Revenue Overview_Copy of AGM Dec '09 YTD COF I and II Dep  Liab (1-13-10) (2)" xfId="8053" xr:uid="{00000000-0005-0000-0000-00006D1F0000}"/>
    <cellStyle name="b_ACOF I - Capital Calls- through 2009V3" xfId="8054" xr:uid="{00000000-0005-0000-0000-00006E1F0000}"/>
    <cellStyle name="b_Advisors Capital Rollforward 2008 Q2" xfId="8055" xr:uid="{00000000-0005-0000-0000-00006F1F0000}"/>
    <cellStyle name="b_Advisors Capital Rollforward 2008 Q2 10" xfId="8056" xr:uid="{00000000-0005-0000-0000-0000701F0000}"/>
    <cellStyle name="b_Advisors Capital Rollforward 2008 Q2 11" xfId="8057" xr:uid="{00000000-0005-0000-0000-0000711F0000}"/>
    <cellStyle name="b_Advisors Capital Rollforward 2008 Q2 12" xfId="8058" xr:uid="{00000000-0005-0000-0000-0000721F0000}"/>
    <cellStyle name="b_Advisors Capital Rollforward 2008 Q2 13" xfId="8059" xr:uid="{00000000-0005-0000-0000-0000731F0000}"/>
    <cellStyle name="b_Advisors Capital Rollforward 2008 Q2 14" xfId="8060" xr:uid="{00000000-0005-0000-0000-0000741F0000}"/>
    <cellStyle name="b_Advisors Capital Rollforward 2008 Q2 15" xfId="8061" xr:uid="{00000000-0005-0000-0000-0000751F0000}"/>
    <cellStyle name="b_Advisors Capital Rollforward 2008 Q2 16" xfId="8062" xr:uid="{00000000-0005-0000-0000-0000761F0000}"/>
    <cellStyle name="b_Advisors Capital Rollforward 2008 Q2 17" xfId="8063" xr:uid="{00000000-0005-0000-0000-0000771F0000}"/>
    <cellStyle name="b_Advisors Capital Rollforward 2008 Q2 18" xfId="8064" xr:uid="{00000000-0005-0000-0000-0000781F0000}"/>
    <cellStyle name="b_Advisors Capital Rollforward 2008 Q2 19" xfId="8065" xr:uid="{00000000-0005-0000-0000-0000791F0000}"/>
    <cellStyle name="b_Advisors Capital Rollforward 2008 Q2 2" xfId="8066" xr:uid="{00000000-0005-0000-0000-00007A1F0000}"/>
    <cellStyle name="b_Advisors Capital Rollforward 2008 Q2 20" xfId="8067" xr:uid="{00000000-0005-0000-0000-00007B1F0000}"/>
    <cellStyle name="b_Advisors Capital Rollforward 2008 Q2 21" xfId="8068" xr:uid="{00000000-0005-0000-0000-00007C1F0000}"/>
    <cellStyle name="b_Advisors Capital Rollforward 2008 Q2 3" xfId="8069" xr:uid="{00000000-0005-0000-0000-00007D1F0000}"/>
    <cellStyle name="b_Advisors Capital Rollforward 2008 Q2 4" xfId="8070" xr:uid="{00000000-0005-0000-0000-00007E1F0000}"/>
    <cellStyle name="b_Advisors Capital Rollforward 2008 Q2 5" xfId="8071" xr:uid="{00000000-0005-0000-0000-00007F1F0000}"/>
    <cellStyle name="b_Advisors Capital Rollforward 2008 Q2 6" xfId="8072" xr:uid="{00000000-0005-0000-0000-0000801F0000}"/>
    <cellStyle name="b_Advisors Capital Rollforward 2008 Q2 7" xfId="8073" xr:uid="{00000000-0005-0000-0000-0000811F0000}"/>
    <cellStyle name="b_Advisors Capital Rollforward 2008 Q2 8" xfId="8074" xr:uid="{00000000-0005-0000-0000-0000821F0000}"/>
    <cellStyle name="b_Advisors Capital Rollforward 2008 Q2 9" xfId="8075" xr:uid="{00000000-0005-0000-0000-0000831F0000}"/>
    <cellStyle name="b_Advisors VII DECEMBER on 3-31-09 8pm" xfId="8076" xr:uid="{00000000-0005-0000-0000-0000841F0000}"/>
    <cellStyle name="b_AGM Professional Fees (summary)" xfId="8077" xr:uid="{00000000-0005-0000-0000-0000851F0000}"/>
    <cellStyle name="b_AGM Professional Fees (summary) 10" xfId="8078" xr:uid="{00000000-0005-0000-0000-0000861F0000}"/>
    <cellStyle name="b_AGM Professional Fees (summary) 11" xfId="8079" xr:uid="{00000000-0005-0000-0000-0000871F0000}"/>
    <cellStyle name="b_AGM Professional Fees (summary) 12" xfId="8080" xr:uid="{00000000-0005-0000-0000-0000881F0000}"/>
    <cellStyle name="b_AGM Professional Fees (summary) 13" xfId="8081" xr:uid="{00000000-0005-0000-0000-0000891F0000}"/>
    <cellStyle name="b_AGM Professional Fees (summary) 14" xfId="8082" xr:uid="{00000000-0005-0000-0000-00008A1F0000}"/>
    <cellStyle name="b_AGM Professional Fees (summary) 15" xfId="8083" xr:uid="{00000000-0005-0000-0000-00008B1F0000}"/>
    <cellStyle name="b_AGM Professional Fees (summary) 16" xfId="8084" xr:uid="{00000000-0005-0000-0000-00008C1F0000}"/>
    <cellStyle name="b_AGM Professional Fees (summary) 17" xfId="8085" xr:uid="{00000000-0005-0000-0000-00008D1F0000}"/>
    <cellStyle name="b_AGM Professional Fees (summary) 18" xfId="8086" xr:uid="{00000000-0005-0000-0000-00008E1F0000}"/>
    <cellStyle name="b_AGM Professional Fees (summary) 19" xfId="8087" xr:uid="{00000000-0005-0000-0000-00008F1F0000}"/>
    <cellStyle name="b_AGM Professional Fees (summary) 2" xfId="8088" xr:uid="{00000000-0005-0000-0000-0000901F0000}"/>
    <cellStyle name="b_AGM Professional Fees (summary) 20" xfId="8089" xr:uid="{00000000-0005-0000-0000-0000911F0000}"/>
    <cellStyle name="b_AGM Professional Fees (summary) 21" xfId="8090" xr:uid="{00000000-0005-0000-0000-0000921F0000}"/>
    <cellStyle name="b_AGM Professional Fees (summary) 21 2" xfId="8091" xr:uid="{00000000-0005-0000-0000-0000931F0000}"/>
    <cellStyle name="b_AGM Professional Fees (summary) 3" xfId="8092" xr:uid="{00000000-0005-0000-0000-0000941F0000}"/>
    <cellStyle name="b_AGM Professional Fees (summary) 4" xfId="8093" xr:uid="{00000000-0005-0000-0000-0000951F0000}"/>
    <cellStyle name="b_AGM Professional Fees (summary) 5" xfId="8094" xr:uid="{00000000-0005-0000-0000-0000961F0000}"/>
    <cellStyle name="b_AGM Professional Fees (summary) 6" xfId="8095" xr:uid="{00000000-0005-0000-0000-0000971F0000}"/>
    <cellStyle name="b_AGM Professional Fees (summary) 7" xfId="8096" xr:uid="{00000000-0005-0000-0000-0000981F0000}"/>
    <cellStyle name="b_AGM Professional Fees (summary) 8" xfId="8097" xr:uid="{00000000-0005-0000-0000-0000991F0000}"/>
    <cellStyle name="b_AGM Professional Fees (summary) 9" xfId="8098" xr:uid="{00000000-0005-0000-0000-00009A1F0000}"/>
    <cellStyle name="b_AGM Professional Fees (summary)_Copy of AGM Dec '09 YTD COF I and II Dep  Liab (1-13-10) (2)" xfId="8099" xr:uid="{00000000-0005-0000-0000-00009B1F0000}"/>
    <cellStyle name="b_AGM YE NMFI (Estimated) 12-5-07 v1.3" xfId="8100" xr:uid="{00000000-0005-0000-0000-00009C1F0000}"/>
    <cellStyle name="b_AGM YE NMFI (Estimated) 12-5-07 v1.3 10" xfId="8101" xr:uid="{00000000-0005-0000-0000-00009D1F0000}"/>
    <cellStyle name="b_AGM YE NMFI (Estimated) 12-5-07 v1.3 11" xfId="8102" xr:uid="{00000000-0005-0000-0000-00009E1F0000}"/>
    <cellStyle name="b_AGM YE NMFI (Estimated) 12-5-07 v1.3 12" xfId="8103" xr:uid="{00000000-0005-0000-0000-00009F1F0000}"/>
    <cellStyle name="b_AGM YE NMFI (Estimated) 12-5-07 v1.3 13" xfId="8104" xr:uid="{00000000-0005-0000-0000-0000A01F0000}"/>
    <cellStyle name="b_AGM YE NMFI (Estimated) 12-5-07 v1.3 14" xfId="8105" xr:uid="{00000000-0005-0000-0000-0000A11F0000}"/>
    <cellStyle name="b_AGM YE NMFI (Estimated) 12-5-07 v1.3 15" xfId="8106" xr:uid="{00000000-0005-0000-0000-0000A21F0000}"/>
    <cellStyle name="b_AGM YE NMFI (Estimated) 12-5-07 v1.3 16" xfId="8107" xr:uid="{00000000-0005-0000-0000-0000A31F0000}"/>
    <cellStyle name="b_AGM YE NMFI (Estimated) 12-5-07 v1.3 17" xfId="8108" xr:uid="{00000000-0005-0000-0000-0000A41F0000}"/>
    <cellStyle name="b_AGM YE NMFI (Estimated) 12-5-07 v1.3 18" xfId="8109" xr:uid="{00000000-0005-0000-0000-0000A51F0000}"/>
    <cellStyle name="b_AGM YE NMFI (Estimated) 12-5-07 v1.3 19" xfId="8110" xr:uid="{00000000-0005-0000-0000-0000A61F0000}"/>
    <cellStyle name="b_AGM YE NMFI (Estimated) 12-5-07 v1.3 2" xfId="8111" xr:uid="{00000000-0005-0000-0000-0000A71F0000}"/>
    <cellStyle name="b_AGM YE NMFI (Estimated) 12-5-07 v1.3 20" xfId="8112" xr:uid="{00000000-0005-0000-0000-0000A81F0000}"/>
    <cellStyle name="b_AGM YE NMFI (Estimated) 12-5-07 v1.3 21" xfId="8113" xr:uid="{00000000-0005-0000-0000-0000A91F0000}"/>
    <cellStyle name="b_AGM YE NMFI (Estimated) 12-5-07 v1.3 21 2" xfId="8114" xr:uid="{00000000-0005-0000-0000-0000AA1F0000}"/>
    <cellStyle name="b_AGM YE NMFI (Estimated) 12-5-07 v1.3 3" xfId="8115" xr:uid="{00000000-0005-0000-0000-0000AB1F0000}"/>
    <cellStyle name="b_AGM YE NMFI (Estimated) 12-5-07 v1.3 4" xfId="8116" xr:uid="{00000000-0005-0000-0000-0000AC1F0000}"/>
    <cellStyle name="b_AGM YE NMFI (Estimated) 12-5-07 v1.3 5" xfId="8117" xr:uid="{00000000-0005-0000-0000-0000AD1F0000}"/>
    <cellStyle name="b_AGM YE NMFI (Estimated) 12-5-07 v1.3 6" xfId="8118" xr:uid="{00000000-0005-0000-0000-0000AE1F0000}"/>
    <cellStyle name="b_AGM YE NMFI (Estimated) 12-5-07 v1.3 7" xfId="8119" xr:uid="{00000000-0005-0000-0000-0000AF1F0000}"/>
    <cellStyle name="b_AGM YE NMFI (Estimated) 12-5-07 v1.3 8" xfId="8120" xr:uid="{00000000-0005-0000-0000-0000B01F0000}"/>
    <cellStyle name="b_AGM YE NMFI (Estimated) 12-5-07 v1.3 9" xfId="8121" xr:uid="{00000000-0005-0000-0000-0000B11F0000}"/>
    <cellStyle name="b_AGM YE NMFI (Estimated) 12-5-07 v1.3_2.10.10 LS Distribution" xfId="8122" xr:uid="{00000000-0005-0000-0000-0000B21F0000}"/>
    <cellStyle name="b_AGM YE NMFI (Estimated) 12-5-07 v1.3_2011 Q1 Monitoring Fees v3" xfId="8123" xr:uid="{00000000-0005-0000-0000-0000B31F0000}"/>
    <cellStyle name="b_AGM YE NMFI (Estimated) 12-5-07 v1.3_AIF VI - BondcoVI_Entities Invested Capital (CURRENT)" xfId="8124" xr:uid="{00000000-0005-0000-0000-0000B41F0000}"/>
    <cellStyle name="b_AGM YE NMFI (Estimated) 12-5-07 v1.3_Copy of AGM Dec '09 YTD COF I and II Dep  Liab (1-13-10) (2)" xfId="8125" xr:uid="{00000000-0005-0000-0000-0000B51F0000}"/>
    <cellStyle name="b_AGM YE NMFI (Estimated) 12-5-07 v1.3_Invested Capital Debt Worksheet" xfId="8126" xr:uid="{00000000-0005-0000-0000-0000B61F0000}"/>
    <cellStyle name="b_AGM YE NMFI (Estimated) 12-5-07 v1.3_LS, LP - Dec  2010 Trial Balance Summary" xfId="8127" xr:uid="{00000000-0005-0000-0000-0000B71F0000}"/>
    <cellStyle name="b_AGM YE NMFI (Estimated) 12-5-07 v1.3_MMF Income" xfId="8128" xr:uid="{00000000-0005-0000-0000-0000B81F0000}"/>
    <cellStyle name="b_AGM YE NMFI (Estimated) 12-5-07 v1.3_Placement Fee Summary 05-14-09 - Current (2)" xfId="8129" xr:uid="{00000000-0005-0000-0000-0000B91F0000}"/>
    <cellStyle name="b_AGM YE NMFI (Estimated) 12-5-07 v1.3_Realized Gain Loss" xfId="8130" xr:uid="{00000000-0005-0000-0000-0000BA1F0000}"/>
    <cellStyle name="b_AGM YE NMFI (Estimated) 12-5-07 v1.3_TX Details" xfId="8131" xr:uid="{00000000-0005-0000-0000-0000BB1F0000}"/>
    <cellStyle name="b_AIF IV - Waterfall 3 31 09 vs  6 30 09" xfId="8132" xr:uid="{00000000-0005-0000-0000-0000BC1F0000}"/>
    <cellStyle name="b_AIF IV Financial Highlights 12-31-08 v4" xfId="8133" xr:uid="{00000000-0005-0000-0000-0000BD1F0000}"/>
    <cellStyle name="b_AIF IV Financial Highlights 12-31-08 v4_Apollo Investment Fund IV  Q3 2009 Capital Analysis CURRENT" xfId="8134" xr:uid="{00000000-0005-0000-0000-0000BE1F0000}"/>
    <cellStyle name="b_AIF IV Financial Highlights 12-31-08 v4_Apollo Investment Fund IV  Q3 2009 Capital Analysis iPCS &amp; URI Distribution" xfId="8135" xr:uid="{00000000-0005-0000-0000-0000BF1F0000}"/>
    <cellStyle name="b_AIF IV Financial Highlights 12-31-08 v4_iPCs#1-Remaining" xfId="8136" xr:uid="{00000000-0005-0000-0000-0000C01F0000}"/>
    <cellStyle name="b_AIF IV, V, VI, VII, COF - Waterfall 3 31 09 vs  6 30 09" xfId="8137" xr:uid="{00000000-0005-0000-0000-0000C11F0000}"/>
    <cellStyle name="b_AIF VI - BondcoVI_Entities Invested Capital (CURRENT)" xfId="8138" xr:uid="{00000000-0005-0000-0000-0000C21F0000}"/>
    <cellStyle name="b_AIF VI  VII Summary Dec 2008 v3" xfId="8139" xr:uid="{00000000-0005-0000-0000-0000C31F0000}"/>
    <cellStyle name="b_AIF VI  VII Summary Dec 2008 v3 10" xfId="8140" xr:uid="{00000000-0005-0000-0000-0000C41F0000}"/>
    <cellStyle name="b_AIF VI  VII Summary Dec 2008 v3 11" xfId="8141" xr:uid="{00000000-0005-0000-0000-0000C51F0000}"/>
    <cellStyle name="b_AIF VI  VII Summary Dec 2008 v3 12" xfId="8142" xr:uid="{00000000-0005-0000-0000-0000C61F0000}"/>
    <cellStyle name="b_AIF VI  VII Summary Dec 2008 v3 13" xfId="8143" xr:uid="{00000000-0005-0000-0000-0000C71F0000}"/>
    <cellStyle name="b_AIF VI  VII Summary Dec 2008 v3 14" xfId="8144" xr:uid="{00000000-0005-0000-0000-0000C81F0000}"/>
    <cellStyle name="b_AIF VI  VII Summary Dec 2008 v3 15" xfId="8145" xr:uid="{00000000-0005-0000-0000-0000C91F0000}"/>
    <cellStyle name="b_AIF VI  VII Summary Dec 2008 v3 16" xfId="8146" xr:uid="{00000000-0005-0000-0000-0000CA1F0000}"/>
    <cellStyle name="b_AIF VI  VII Summary Dec 2008 v3 17" xfId="8147" xr:uid="{00000000-0005-0000-0000-0000CB1F0000}"/>
    <cellStyle name="b_AIF VI  VII Summary Dec 2008 v3 18" xfId="8148" xr:uid="{00000000-0005-0000-0000-0000CC1F0000}"/>
    <cellStyle name="b_AIF VI  VII Summary Dec 2008 v3 19" xfId="8149" xr:uid="{00000000-0005-0000-0000-0000CD1F0000}"/>
    <cellStyle name="b_AIF VI  VII Summary Dec 2008 v3 2" xfId="8150" xr:uid="{00000000-0005-0000-0000-0000CE1F0000}"/>
    <cellStyle name="b_AIF VI  VII Summary Dec 2008 v3 20" xfId="8151" xr:uid="{00000000-0005-0000-0000-0000CF1F0000}"/>
    <cellStyle name="b_AIF VI  VII Summary Dec 2008 v3 21" xfId="8152" xr:uid="{00000000-0005-0000-0000-0000D01F0000}"/>
    <cellStyle name="b_AIF VI  VII Summary Dec 2008 v3 3" xfId="8153" xr:uid="{00000000-0005-0000-0000-0000D11F0000}"/>
    <cellStyle name="b_AIF VI  VII Summary Dec 2008 v3 4" xfId="8154" xr:uid="{00000000-0005-0000-0000-0000D21F0000}"/>
    <cellStyle name="b_AIF VI  VII Summary Dec 2008 v3 5" xfId="8155" xr:uid="{00000000-0005-0000-0000-0000D31F0000}"/>
    <cellStyle name="b_AIF VI  VII Summary Dec 2008 v3 6" xfId="8156" xr:uid="{00000000-0005-0000-0000-0000D41F0000}"/>
    <cellStyle name="b_AIF VI  VII Summary Dec 2008 v3 7" xfId="8157" xr:uid="{00000000-0005-0000-0000-0000D51F0000}"/>
    <cellStyle name="b_AIF VI  VII Summary Dec 2008 v3 8" xfId="8158" xr:uid="{00000000-0005-0000-0000-0000D61F0000}"/>
    <cellStyle name="b_AIF VI  VII Summary Dec 2008 v3 9" xfId="8159" xr:uid="{00000000-0005-0000-0000-0000D71F0000}"/>
    <cellStyle name="b_AIF VI  VII Summary Dec 2008 v3_AIF VI - BondcoVI_Entities Invested Capital (CURRENT)" xfId="8160" xr:uid="{00000000-0005-0000-0000-0000D81F0000}"/>
    <cellStyle name="b_AIF VI  VII Summary Dec 2008 v3_Invested Capital Debt Worksheet" xfId="8161" xr:uid="{00000000-0005-0000-0000-0000D91F0000}"/>
    <cellStyle name="b_AIF VI  VII Summary Dec 2008 v3_MMF Income" xfId="8162" xr:uid="{00000000-0005-0000-0000-0000DA1F0000}"/>
    <cellStyle name="b_AIF VI  VII Summary Dec 2008 v3_Realized Gain Loss" xfId="8163" xr:uid="{00000000-0005-0000-0000-0000DB1F0000}"/>
    <cellStyle name="b_AIF VI CBA 3.20.08" xfId="8164" xr:uid="{00000000-0005-0000-0000-0000DC1F0000}"/>
    <cellStyle name="b_AIF VI CBA 3.20.08 2" xfId="8165" xr:uid="{00000000-0005-0000-0000-0000DD1F0000}"/>
    <cellStyle name="b_AIF VI CBA 3.20.08_AIF VI - BondcoVI_Entities Invested Capital (CURRENT)" xfId="8166" xr:uid="{00000000-0005-0000-0000-0000DE1F0000}"/>
    <cellStyle name="b_AIF VI CBA 3.20.08_Invested Capital Debt Worksheet" xfId="8167" xr:uid="{00000000-0005-0000-0000-0000DF1F0000}"/>
    <cellStyle name="b_AIF VI CBA 3.20.08_MMF Income" xfId="8168" xr:uid="{00000000-0005-0000-0000-0000E01F0000}"/>
    <cellStyle name="b_AIF VI CBA 3.20.08_Realized Gain Loss" xfId="8169" xr:uid="{00000000-0005-0000-0000-0000E11F0000}"/>
    <cellStyle name="b_AIF VII Capital Balance Analysis INCEPTION to 09-30-08 on 10-13-08 8am" xfId="8170" xr:uid="{00000000-0005-0000-0000-0000E21F0000}"/>
    <cellStyle name="b_AIF VII Capital Balance Analysis INCEPTION to 09-30-08 on 10-13-08 8am 2" xfId="8171" xr:uid="{00000000-0005-0000-0000-0000E31F0000}"/>
    <cellStyle name="b_Andy Affrick - Schedulev2" xfId="8172" xr:uid="{00000000-0005-0000-0000-0000E41F0000}"/>
    <cellStyle name="b_Apollo Advisors V 09-30-08 CURRENT" xfId="8173" xr:uid="{00000000-0005-0000-0000-0000E51F0000}"/>
    <cellStyle name="b_Apollo Due from -Due to as of 12-31-07 (D) revised" xfId="8174" xr:uid="{00000000-0005-0000-0000-0000E61F0000}"/>
    <cellStyle name="b_Apollo Due from -Due to as of 12-31-07 (D) revised 10" xfId="8175" xr:uid="{00000000-0005-0000-0000-0000E71F0000}"/>
    <cellStyle name="b_Apollo Due from -Due to as of 12-31-07 (D) revised 11" xfId="8176" xr:uid="{00000000-0005-0000-0000-0000E81F0000}"/>
    <cellStyle name="b_Apollo Due from -Due to as of 12-31-07 (D) revised 12" xfId="8177" xr:uid="{00000000-0005-0000-0000-0000E91F0000}"/>
    <cellStyle name="b_Apollo Due from -Due to as of 12-31-07 (D) revised 13" xfId="8178" xr:uid="{00000000-0005-0000-0000-0000EA1F0000}"/>
    <cellStyle name="b_Apollo Due from -Due to as of 12-31-07 (D) revised 14" xfId="8179" xr:uid="{00000000-0005-0000-0000-0000EB1F0000}"/>
    <cellStyle name="b_Apollo Due from -Due to as of 12-31-07 (D) revised 15" xfId="8180" xr:uid="{00000000-0005-0000-0000-0000EC1F0000}"/>
    <cellStyle name="b_Apollo Due from -Due to as of 12-31-07 (D) revised 16" xfId="8181" xr:uid="{00000000-0005-0000-0000-0000ED1F0000}"/>
    <cellStyle name="b_Apollo Due from -Due to as of 12-31-07 (D) revised 17" xfId="8182" xr:uid="{00000000-0005-0000-0000-0000EE1F0000}"/>
    <cellStyle name="b_Apollo Due from -Due to as of 12-31-07 (D) revised 18" xfId="8183" xr:uid="{00000000-0005-0000-0000-0000EF1F0000}"/>
    <cellStyle name="b_Apollo Due from -Due to as of 12-31-07 (D) revised 19" xfId="8184" xr:uid="{00000000-0005-0000-0000-0000F01F0000}"/>
    <cellStyle name="b_Apollo Due from -Due to as of 12-31-07 (D) revised 2" xfId="8185" xr:uid="{00000000-0005-0000-0000-0000F11F0000}"/>
    <cellStyle name="b_Apollo Due from -Due to as of 12-31-07 (D) revised 20" xfId="8186" xr:uid="{00000000-0005-0000-0000-0000F21F0000}"/>
    <cellStyle name="b_Apollo Due from -Due to as of 12-31-07 (D) revised 21" xfId="8187" xr:uid="{00000000-0005-0000-0000-0000F31F0000}"/>
    <cellStyle name="b_Apollo Due from -Due to as of 12-31-07 (D) revised 3" xfId="8188" xr:uid="{00000000-0005-0000-0000-0000F41F0000}"/>
    <cellStyle name="b_Apollo Due from -Due to as of 12-31-07 (D) revised 4" xfId="8189" xr:uid="{00000000-0005-0000-0000-0000F51F0000}"/>
    <cellStyle name="b_Apollo Due from -Due to as of 12-31-07 (D) revised 5" xfId="8190" xr:uid="{00000000-0005-0000-0000-0000F61F0000}"/>
    <cellStyle name="b_Apollo Due from -Due to as of 12-31-07 (D) revised 6" xfId="8191" xr:uid="{00000000-0005-0000-0000-0000F71F0000}"/>
    <cellStyle name="b_Apollo Due from -Due to as of 12-31-07 (D) revised 7" xfId="8192" xr:uid="{00000000-0005-0000-0000-0000F81F0000}"/>
    <cellStyle name="b_Apollo Due from -Due to as of 12-31-07 (D) revised 8" xfId="8193" xr:uid="{00000000-0005-0000-0000-0000F91F0000}"/>
    <cellStyle name="b_Apollo Due from -Due to as of 12-31-07 (D) revised 9" xfId="8194" xr:uid="{00000000-0005-0000-0000-0000FA1F0000}"/>
    <cellStyle name="b_Apollo Due from -Due to as of 12-31-07 (D) revised_AIF VI - BondcoVI_Entities Invested Capital (CURRENT)" xfId="8195" xr:uid="{00000000-0005-0000-0000-0000FB1F0000}"/>
    <cellStyle name="b_Apollo Due from -Due to as of 12-31-07 (D) revised_Invested Capital Debt Worksheet" xfId="8196" xr:uid="{00000000-0005-0000-0000-0000FC1F0000}"/>
    <cellStyle name="b_Apollo Due from -Due to as of 12-31-07 (D) revised_MMF Income" xfId="8197" xr:uid="{00000000-0005-0000-0000-0000FD1F0000}"/>
    <cellStyle name="b_Apollo Due from -Due to as of 12-31-07 (D) revised_Realized Gain Loss" xfId="8198" xr:uid="{00000000-0005-0000-0000-0000FE1F0000}"/>
    <cellStyle name="b_Apollo Investment Fund IV  April Priority Return" xfId="8199" xr:uid="{00000000-0005-0000-0000-0000FF1F0000}"/>
    <cellStyle name="b_Apollo Operating Group Control Schedule ver 2" xfId="8200" xr:uid="{00000000-0005-0000-0000-000000200000}"/>
    <cellStyle name="b_Book1" xfId="8201" xr:uid="{00000000-0005-0000-0000-000001200000}"/>
    <cellStyle name="b_CALCS" xfId="8202" xr:uid="{00000000-0005-0000-0000-000002200000}"/>
    <cellStyle name="b_CALCS 10" xfId="8203" xr:uid="{00000000-0005-0000-0000-000003200000}"/>
    <cellStyle name="b_CALCS 11" xfId="8204" xr:uid="{00000000-0005-0000-0000-000004200000}"/>
    <cellStyle name="b_CALCS 12" xfId="8205" xr:uid="{00000000-0005-0000-0000-000005200000}"/>
    <cellStyle name="b_CALCS 13" xfId="8206" xr:uid="{00000000-0005-0000-0000-000006200000}"/>
    <cellStyle name="b_CALCS 14" xfId="8207" xr:uid="{00000000-0005-0000-0000-000007200000}"/>
    <cellStyle name="b_CALCS 15" xfId="8208" xr:uid="{00000000-0005-0000-0000-000008200000}"/>
    <cellStyle name="b_CALCS 16" xfId="8209" xr:uid="{00000000-0005-0000-0000-000009200000}"/>
    <cellStyle name="b_CALCS 17" xfId="8210" xr:uid="{00000000-0005-0000-0000-00000A200000}"/>
    <cellStyle name="b_CALCS 18" xfId="8211" xr:uid="{00000000-0005-0000-0000-00000B200000}"/>
    <cellStyle name="b_CALCS 19" xfId="8212" xr:uid="{00000000-0005-0000-0000-00000C200000}"/>
    <cellStyle name="b_CALCS 2" xfId="8213" xr:uid="{00000000-0005-0000-0000-00000D200000}"/>
    <cellStyle name="b_CALCS 20" xfId="8214" xr:uid="{00000000-0005-0000-0000-00000E200000}"/>
    <cellStyle name="b_CALCS 21" xfId="8215" xr:uid="{00000000-0005-0000-0000-00000F200000}"/>
    <cellStyle name="b_CALCS 3" xfId="8216" xr:uid="{00000000-0005-0000-0000-000010200000}"/>
    <cellStyle name="b_CALCS 4" xfId="8217" xr:uid="{00000000-0005-0000-0000-000011200000}"/>
    <cellStyle name="b_CALCS 5" xfId="8218" xr:uid="{00000000-0005-0000-0000-000012200000}"/>
    <cellStyle name="b_CALCS 6" xfId="8219" xr:uid="{00000000-0005-0000-0000-000013200000}"/>
    <cellStyle name="b_CALCS 7" xfId="8220" xr:uid="{00000000-0005-0000-0000-000014200000}"/>
    <cellStyle name="b_CALCS 8" xfId="8221" xr:uid="{00000000-0005-0000-0000-000015200000}"/>
    <cellStyle name="b_CALCS 9" xfId="8222" xr:uid="{00000000-0005-0000-0000-000016200000}"/>
    <cellStyle name="b_Carry Calculation" xfId="8223" xr:uid="{00000000-0005-0000-0000-000017200000}"/>
    <cellStyle name="b_Co Inv D Valuation 12-31-08" xfId="8224" xr:uid="{00000000-0005-0000-0000-000018200000}"/>
    <cellStyle name="b_COF I Invested Capital" xfId="8225" xr:uid="{00000000-0005-0000-0000-000019200000}"/>
    <cellStyle name="b_Domestic FS 12-31-08 v3-20-09" xfId="8226" xr:uid="{00000000-0005-0000-0000-00001A200000}"/>
    <cellStyle name="b_Estimated Priority Return" xfId="8227" xr:uid="{00000000-0005-0000-0000-00001B200000}"/>
    <cellStyle name="b_Fund IV" xfId="8228" xr:uid="{00000000-0005-0000-0000-00001C200000}"/>
    <cellStyle name="b_Fund IV 9.30.08" xfId="8229" xr:uid="{00000000-0005-0000-0000-00001D200000}"/>
    <cellStyle name="b_Fund IV_1" xfId="8230" xr:uid="{00000000-0005-0000-0000-00001E200000}"/>
    <cellStyle name="b_Funds IV Clawback Adjustment Summary" xfId="8231" xr:uid="{00000000-0005-0000-0000-00001F200000}"/>
    <cellStyle name="b_Funds IV Clawback Value Adjustment" xfId="8232" xr:uid="{00000000-0005-0000-0000-000020200000}"/>
    <cellStyle name="b_Hexicon Adj" xfId="8233" xr:uid="{00000000-0005-0000-0000-000021200000}"/>
    <cellStyle name="b_Inv Cap Roll" xfId="8234" xr:uid="{00000000-0005-0000-0000-000022200000}"/>
    <cellStyle name="b_Inv Cap Roll 2" xfId="8235" xr:uid="{00000000-0005-0000-0000-000023200000}"/>
    <cellStyle name="b_Inv Cap Roll_AIF VI - BondcoVI_Entities Invested Capital (CURRENT)" xfId="8236" xr:uid="{00000000-0005-0000-0000-000024200000}"/>
    <cellStyle name="b_Inv Cap Roll_Invested Capital Debt Worksheet" xfId="8237" xr:uid="{00000000-0005-0000-0000-000025200000}"/>
    <cellStyle name="b_Inv Cap Roll_MMF Income" xfId="8238" xr:uid="{00000000-0005-0000-0000-000026200000}"/>
    <cellStyle name="b_Inv Cap Roll_Realized Gain Loss" xfId="8239" xr:uid="{00000000-0005-0000-0000-000027200000}"/>
    <cellStyle name="b_Invested Capital Debt Worksheet" xfId="8240" xr:uid="{00000000-0005-0000-0000-000028200000}"/>
    <cellStyle name="b_Invested Capital Debt Worksheet_1" xfId="8241" xr:uid="{00000000-0005-0000-0000-000029200000}"/>
    <cellStyle name="b_MMF Income" xfId="8242" xr:uid="{00000000-0005-0000-0000-00002A200000}"/>
    <cellStyle name="b_Partners Capital Q1 2009" xfId="8243" xr:uid="{00000000-0005-0000-0000-00002B200000}"/>
    <cellStyle name="b_Partners Capital Q1 2009 2" xfId="8244" xr:uid="{00000000-0005-0000-0000-00002C200000}"/>
    <cellStyle name="b_Partners Capital Q1 2009_MMF Income" xfId="8245" xr:uid="{00000000-0005-0000-0000-00002D200000}"/>
    <cellStyle name="b_Partners Capital Q1 2009_Realized Gain Loss" xfId="8246" xr:uid="{00000000-0005-0000-0000-00002E200000}"/>
    <cellStyle name="b_PF Model 8.2 v2" xfId="8247" xr:uid="{00000000-0005-0000-0000-00002F200000}"/>
    <cellStyle name="b_PF Model 8.2 v2 10" xfId="8248" xr:uid="{00000000-0005-0000-0000-000030200000}"/>
    <cellStyle name="b_PF Model 8.2 v2 11" xfId="8249" xr:uid="{00000000-0005-0000-0000-000031200000}"/>
    <cellStyle name="b_PF Model 8.2 v2 12" xfId="8250" xr:uid="{00000000-0005-0000-0000-000032200000}"/>
    <cellStyle name="b_PF Model 8.2 v2 13" xfId="8251" xr:uid="{00000000-0005-0000-0000-000033200000}"/>
    <cellStyle name="b_PF Model 8.2 v2 14" xfId="8252" xr:uid="{00000000-0005-0000-0000-000034200000}"/>
    <cellStyle name="b_PF Model 8.2 v2 15" xfId="8253" xr:uid="{00000000-0005-0000-0000-000035200000}"/>
    <cellStyle name="b_PF Model 8.2 v2 16" xfId="8254" xr:uid="{00000000-0005-0000-0000-000036200000}"/>
    <cellStyle name="b_PF Model 8.2 v2 17" xfId="8255" xr:uid="{00000000-0005-0000-0000-000037200000}"/>
    <cellStyle name="b_PF Model 8.2 v2 18" xfId="8256" xr:uid="{00000000-0005-0000-0000-000038200000}"/>
    <cellStyle name="b_PF Model 8.2 v2 19" xfId="8257" xr:uid="{00000000-0005-0000-0000-000039200000}"/>
    <cellStyle name="b_PF Model 8.2 v2 2" xfId="8258" xr:uid="{00000000-0005-0000-0000-00003A200000}"/>
    <cellStyle name="b_PF Model 8.2 v2 20" xfId="8259" xr:uid="{00000000-0005-0000-0000-00003B200000}"/>
    <cellStyle name="b_PF Model 8.2 v2 21" xfId="8260" xr:uid="{00000000-0005-0000-0000-00003C200000}"/>
    <cellStyle name="b_PF Model 8.2 v2 21 2" xfId="8261" xr:uid="{00000000-0005-0000-0000-00003D200000}"/>
    <cellStyle name="b_PF Model 8.2 v2 3" xfId="8262" xr:uid="{00000000-0005-0000-0000-00003E200000}"/>
    <cellStyle name="b_PF Model 8.2 v2 4" xfId="8263" xr:uid="{00000000-0005-0000-0000-00003F200000}"/>
    <cellStyle name="b_PF Model 8.2 v2 5" xfId="8264" xr:uid="{00000000-0005-0000-0000-000040200000}"/>
    <cellStyle name="b_PF Model 8.2 v2 6" xfId="8265" xr:uid="{00000000-0005-0000-0000-000041200000}"/>
    <cellStyle name="b_PF Model 8.2 v2 7" xfId="8266" xr:uid="{00000000-0005-0000-0000-000042200000}"/>
    <cellStyle name="b_PF Model 8.2 v2 8" xfId="8267" xr:uid="{00000000-0005-0000-0000-000043200000}"/>
    <cellStyle name="b_PF Model 8.2 v2 9" xfId="8268" xr:uid="{00000000-0005-0000-0000-000044200000}"/>
    <cellStyle name="b_PF Model 8.2 v2_2.10.10 LS Distribution" xfId="8269" xr:uid="{00000000-0005-0000-0000-000045200000}"/>
    <cellStyle name="b_PF Model 8.2 v2_AIF V 1Q09 Cash - FINAL" xfId="8270" xr:uid="{00000000-0005-0000-0000-000046200000}"/>
    <cellStyle name="b_PF Model 8.2 v2_AIF V Professional Fees and other operating expenses(5)" xfId="8271" xr:uid="{00000000-0005-0000-0000-000047200000}"/>
    <cellStyle name="b_PF Model 8.2 v2_AIF VI - BondcoVI_Entities Invested Capital (CURRENT)" xfId="8272" xr:uid="{00000000-0005-0000-0000-000048200000}"/>
    <cellStyle name="b_PF Model 8.2 v2_Copy of AGM Dec '09 YTD COF I and II Dep  Liab (1-13-10) (2)" xfId="8273" xr:uid="{00000000-0005-0000-0000-000049200000}"/>
    <cellStyle name="b_PF Model 8.2 v2_Invested Capital Debt Worksheet" xfId="8274" xr:uid="{00000000-0005-0000-0000-00004A200000}"/>
    <cellStyle name="b_PF Model 8.2 v2_MMF Income" xfId="8275" xr:uid="{00000000-0005-0000-0000-00004B200000}"/>
    <cellStyle name="b_PF Model 8.2 v2_Q1 2011 Pmts" xfId="8276" xr:uid="{00000000-0005-0000-0000-00004C200000}"/>
    <cellStyle name="b_PF Model 8.2 v2_Realized Gain Loss" xfId="8277" xr:uid="{00000000-0005-0000-0000-00004D200000}"/>
    <cellStyle name="b_PF Model 8.2 v2_TX Details" xfId="8278" xr:uid="{00000000-0005-0000-0000-00004E200000}"/>
    <cellStyle name="b_PR Calc" xfId="8279" xr:uid="{00000000-0005-0000-0000-00004F200000}"/>
    <cellStyle name="b_Priority Return" xfId="8280" xr:uid="{00000000-0005-0000-0000-000050200000}"/>
    <cellStyle name="b_Priority Return 10" xfId="8281" xr:uid="{00000000-0005-0000-0000-000051200000}"/>
    <cellStyle name="b_Priority Return 11" xfId="8282" xr:uid="{00000000-0005-0000-0000-000052200000}"/>
    <cellStyle name="b_Priority Return 12" xfId="8283" xr:uid="{00000000-0005-0000-0000-000053200000}"/>
    <cellStyle name="b_Priority Return 13" xfId="8284" xr:uid="{00000000-0005-0000-0000-000054200000}"/>
    <cellStyle name="b_Priority Return 14" xfId="8285" xr:uid="{00000000-0005-0000-0000-000055200000}"/>
    <cellStyle name="b_Priority Return 15" xfId="8286" xr:uid="{00000000-0005-0000-0000-000056200000}"/>
    <cellStyle name="b_Priority Return 16" xfId="8287" xr:uid="{00000000-0005-0000-0000-000057200000}"/>
    <cellStyle name="b_Priority Return 17" xfId="8288" xr:uid="{00000000-0005-0000-0000-000058200000}"/>
    <cellStyle name="b_Priority Return 18" xfId="8289" xr:uid="{00000000-0005-0000-0000-000059200000}"/>
    <cellStyle name="b_Priority Return 19" xfId="8290" xr:uid="{00000000-0005-0000-0000-00005A200000}"/>
    <cellStyle name="b_Priority Return 2" xfId="8291" xr:uid="{00000000-0005-0000-0000-00005B200000}"/>
    <cellStyle name="b_Priority Return 20" xfId="8292" xr:uid="{00000000-0005-0000-0000-00005C200000}"/>
    <cellStyle name="b_Priority Return 21" xfId="8293" xr:uid="{00000000-0005-0000-0000-00005D200000}"/>
    <cellStyle name="b_Priority Return 3" xfId="8294" xr:uid="{00000000-0005-0000-0000-00005E200000}"/>
    <cellStyle name="b_Priority Return 4" xfId="8295" xr:uid="{00000000-0005-0000-0000-00005F200000}"/>
    <cellStyle name="b_Priority Return 5" xfId="8296" xr:uid="{00000000-0005-0000-0000-000060200000}"/>
    <cellStyle name="b_Priority Return 6" xfId="8297" xr:uid="{00000000-0005-0000-0000-000061200000}"/>
    <cellStyle name="b_Priority Return 7" xfId="8298" xr:uid="{00000000-0005-0000-0000-000062200000}"/>
    <cellStyle name="b_Priority Return 8" xfId="8299" xr:uid="{00000000-0005-0000-0000-000063200000}"/>
    <cellStyle name="b_Priority Return 9" xfId="8300" xr:uid="{00000000-0005-0000-0000-000064200000}"/>
    <cellStyle name="b_Realized Gain Loss" xfId="8301" xr:uid="{00000000-0005-0000-0000-000065200000}"/>
    <cellStyle name="b_Sheet1" xfId="8302" xr:uid="{00000000-0005-0000-0000-000066200000}"/>
    <cellStyle name="b_Sheet1 10" xfId="8303" xr:uid="{00000000-0005-0000-0000-000067200000}"/>
    <cellStyle name="b_Sheet1 11" xfId="8304" xr:uid="{00000000-0005-0000-0000-000068200000}"/>
    <cellStyle name="b_Sheet1 12" xfId="8305" xr:uid="{00000000-0005-0000-0000-000069200000}"/>
    <cellStyle name="b_Sheet1 13" xfId="8306" xr:uid="{00000000-0005-0000-0000-00006A200000}"/>
    <cellStyle name="b_Sheet1 14" xfId="8307" xr:uid="{00000000-0005-0000-0000-00006B200000}"/>
    <cellStyle name="b_Sheet1 15" xfId="8308" xr:uid="{00000000-0005-0000-0000-00006C200000}"/>
    <cellStyle name="b_Sheet1 16" xfId="8309" xr:uid="{00000000-0005-0000-0000-00006D200000}"/>
    <cellStyle name="b_Sheet1 17" xfId="8310" xr:uid="{00000000-0005-0000-0000-00006E200000}"/>
    <cellStyle name="b_Sheet1 18" xfId="8311" xr:uid="{00000000-0005-0000-0000-00006F200000}"/>
    <cellStyle name="b_Sheet1 19" xfId="8312" xr:uid="{00000000-0005-0000-0000-000070200000}"/>
    <cellStyle name="b_Sheet1 2" xfId="8313" xr:uid="{00000000-0005-0000-0000-000071200000}"/>
    <cellStyle name="b_Sheet1 20" xfId="8314" xr:uid="{00000000-0005-0000-0000-000072200000}"/>
    <cellStyle name="b_Sheet1 21" xfId="8315" xr:uid="{00000000-0005-0000-0000-000073200000}"/>
    <cellStyle name="b_Sheet1 3" xfId="8316" xr:uid="{00000000-0005-0000-0000-000074200000}"/>
    <cellStyle name="b_Sheet1 4" xfId="8317" xr:uid="{00000000-0005-0000-0000-000075200000}"/>
    <cellStyle name="b_Sheet1 5" xfId="8318" xr:uid="{00000000-0005-0000-0000-000076200000}"/>
    <cellStyle name="b_Sheet1 6" xfId="8319" xr:uid="{00000000-0005-0000-0000-000077200000}"/>
    <cellStyle name="b_Sheet1 7" xfId="8320" xr:uid="{00000000-0005-0000-0000-000078200000}"/>
    <cellStyle name="b_Sheet1 8" xfId="8321" xr:uid="{00000000-0005-0000-0000-000079200000}"/>
    <cellStyle name="b_Sheet1 9" xfId="8322" xr:uid="{00000000-0005-0000-0000-00007A200000}"/>
    <cellStyle name="b_Sheet2" xfId="8323" xr:uid="{00000000-0005-0000-0000-00007B200000}"/>
    <cellStyle name="b_Sheet2 10" xfId="8324" xr:uid="{00000000-0005-0000-0000-00007C200000}"/>
    <cellStyle name="b_Sheet2 11" xfId="8325" xr:uid="{00000000-0005-0000-0000-00007D200000}"/>
    <cellStyle name="b_Sheet2 12" xfId="8326" xr:uid="{00000000-0005-0000-0000-00007E200000}"/>
    <cellStyle name="b_Sheet2 13" xfId="8327" xr:uid="{00000000-0005-0000-0000-00007F200000}"/>
    <cellStyle name="b_Sheet2 14" xfId="8328" xr:uid="{00000000-0005-0000-0000-000080200000}"/>
    <cellStyle name="b_Sheet2 15" xfId="8329" xr:uid="{00000000-0005-0000-0000-000081200000}"/>
    <cellStyle name="b_Sheet2 16" xfId="8330" xr:uid="{00000000-0005-0000-0000-000082200000}"/>
    <cellStyle name="b_Sheet2 17" xfId="8331" xr:uid="{00000000-0005-0000-0000-000083200000}"/>
    <cellStyle name="b_Sheet2 18" xfId="8332" xr:uid="{00000000-0005-0000-0000-000084200000}"/>
    <cellStyle name="b_Sheet2 19" xfId="8333" xr:uid="{00000000-0005-0000-0000-000085200000}"/>
    <cellStyle name="b_Sheet2 2" xfId="8334" xr:uid="{00000000-0005-0000-0000-000086200000}"/>
    <cellStyle name="b_Sheet2 20" xfId="8335" xr:uid="{00000000-0005-0000-0000-000087200000}"/>
    <cellStyle name="b_Sheet2 21" xfId="8336" xr:uid="{00000000-0005-0000-0000-000088200000}"/>
    <cellStyle name="b_Sheet2 3" xfId="8337" xr:uid="{00000000-0005-0000-0000-000089200000}"/>
    <cellStyle name="b_Sheet2 4" xfId="8338" xr:uid="{00000000-0005-0000-0000-00008A200000}"/>
    <cellStyle name="b_Sheet2 5" xfId="8339" xr:uid="{00000000-0005-0000-0000-00008B200000}"/>
    <cellStyle name="b_Sheet2 6" xfId="8340" xr:uid="{00000000-0005-0000-0000-00008C200000}"/>
    <cellStyle name="b_Sheet2 7" xfId="8341" xr:uid="{00000000-0005-0000-0000-00008D200000}"/>
    <cellStyle name="b_Sheet2 8" xfId="8342" xr:uid="{00000000-0005-0000-0000-00008E200000}"/>
    <cellStyle name="b_Sheet2 9" xfId="8343" xr:uid="{00000000-0005-0000-0000-00008F200000}"/>
    <cellStyle name="b_Sheet3" xfId="8344" xr:uid="{00000000-0005-0000-0000-000090200000}"/>
    <cellStyle name="b_Sheet3 2" xfId="8345" xr:uid="{00000000-0005-0000-0000-000091200000}"/>
    <cellStyle name="b_Sheet3_AIF VI - BondcoVI_Entities Invested Capital (CURRENT)" xfId="8346" xr:uid="{00000000-0005-0000-0000-000092200000}"/>
    <cellStyle name="b_Sheet3_Invested Capital Debt Worksheet" xfId="8347" xr:uid="{00000000-0005-0000-0000-000093200000}"/>
    <cellStyle name="b_Sheet3_MMF Income" xfId="8348" xr:uid="{00000000-0005-0000-0000-000094200000}"/>
    <cellStyle name="b_Sheet3_Realized Gain Loss" xfId="8349" xr:uid="{00000000-0005-0000-0000-000095200000}"/>
    <cellStyle name="b_SOI" xfId="8350" xr:uid="{00000000-0005-0000-0000-000096200000}"/>
    <cellStyle name="b_Summary" xfId="8351" xr:uid="{00000000-0005-0000-0000-000097200000}"/>
    <cellStyle name="b_Summary 2" xfId="8352" xr:uid="{00000000-0005-0000-0000-000098200000}"/>
    <cellStyle name="b_Summary_AIF VI - BondcoVI_Entities Invested Capital (CURRENT)" xfId="8353" xr:uid="{00000000-0005-0000-0000-000099200000}"/>
    <cellStyle name="b_Summary_Invested Capital Debt Worksheet" xfId="8354" xr:uid="{00000000-0005-0000-0000-00009A200000}"/>
    <cellStyle name="b_Summary_MMF Income" xfId="8355" xr:uid="{00000000-0005-0000-0000-00009B200000}"/>
    <cellStyle name="b_Summary_Realized Gain Loss" xfId="8356" xr:uid="{00000000-0005-0000-0000-00009C200000}"/>
    <cellStyle name="b_Valuations" xfId="8357" xr:uid="{00000000-0005-0000-0000-00009D200000}"/>
    <cellStyle name="Bad" xfId="35695" builtinId="27" customBuiltin="1"/>
    <cellStyle name="Bad 10" xfId="8358" xr:uid="{00000000-0005-0000-0000-00009E200000}"/>
    <cellStyle name="Bad 11" xfId="8359" xr:uid="{00000000-0005-0000-0000-00009F200000}"/>
    <cellStyle name="Bad 12" xfId="8360" xr:uid="{00000000-0005-0000-0000-0000A0200000}"/>
    <cellStyle name="Bad 13" xfId="8361" xr:uid="{00000000-0005-0000-0000-0000A1200000}"/>
    <cellStyle name="Bad 14" xfId="8362" xr:uid="{00000000-0005-0000-0000-0000A2200000}"/>
    <cellStyle name="Bad 15" xfId="8363" xr:uid="{00000000-0005-0000-0000-0000A3200000}"/>
    <cellStyle name="Bad 16" xfId="8364" xr:uid="{00000000-0005-0000-0000-0000A4200000}"/>
    <cellStyle name="Bad 17" xfId="8365" xr:uid="{00000000-0005-0000-0000-0000A5200000}"/>
    <cellStyle name="Bad 18" xfId="8366" xr:uid="{00000000-0005-0000-0000-0000A6200000}"/>
    <cellStyle name="Bad 19" xfId="8367" xr:uid="{00000000-0005-0000-0000-0000A7200000}"/>
    <cellStyle name="Bad 2" xfId="8368" xr:uid="{00000000-0005-0000-0000-0000A8200000}"/>
    <cellStyle name="Bad 2 2" xfId="8369" xr:uid="{00000000-0005-0000-0000-0000A9200000}"/>
    <cellStyle name="Bad 20" xfId="8370" xr:uid="{00000000-0005-0000-0000-0000AA200000}"/>
    <cellStyle name="Bad 21" xfId="8371" xr:uid="{00000000-0005-0000-0000-0000AB200000}"/>
    <cellStyle name="Bad 22" xfId="8372" xr:uid="{00000000-0005-0000-0000-0000AC200000}"/>
    <cellStyle name="Bad 23" xfId="8373" xr:uid="{00000000-0005-0000-0000-0000AD200000}"/>
    <cellStyle name="Bad 24" xfId="8374" xr:uid="{00000000-0005-0000-0000-0000AE200000}"/>
    <cellStyle name="Bad 25" xfId="8375" xr:uid="{00000000-0005-0000-0000-0000AF200000}"/>
    <cellStyle name="Bad 26" xfId="8376" xr:uid="{00000000-0005-0000-0000-0000B0200000}"/>
    <cellStyle name="Bad 27" xfId="8377" xr:uid="{00000000-0005-0000-0000-0000B1200000}"/>
    <cellStyle name="Bad 28" xfId="8378" xr:uid="{00000000-0005-0000-0000-0000B2200000}"/>
    <cellStyle name="Bad 29" xfId="8379" xr:uid="{00000000-0005-0000-0000-0000B3200000}"/>
    <cellStyle name="Bad 29 2" xfId="8380" xr:uid="{00000000-0005-0000-0000-0000B4200000}"/>
    <cellStyle name="Bad 3" xfId="8381" xr:uid="{00000000-0005-0000-0000-0000B5200000}"/>
    <cellStyle name="Bad 30" xfId="8382" xr:uid="{00000000-0005-0000-0000-0000B6200000}"/>
    <cellStyle name="Bad 31" xfId="8383" xr:uid="{00000000-0005-0000-0000-0000B7200000}"/>
    <cellStyle name="Bad 32" xfId="8384" xr:uid="{00000000-0005-0000-0000-0000B8200000}"/>
    <cellStyle name="Bad 33" xfId="8385" xr:uid="{00000000-0005-0000-0000-0000B9200000}"/>
    <cellStyle name="Bad 34" xfId="8386" xr:uid="{00000000-0005-0000-0000-0000BA200000}"/>
    <cellStyle name="Bad 35" xfId="8387" xr:uid="{00000000-0005-0000-0000-0000BB200000}"/>
    <cellStyle name="Bad 36" xfId="8388" xr:uid="{00000000-0005-0000-0000-0000BC200000}"/>
    <cellStyle name="Bad 37" xfId="8389" xr:uid="{00000000-0005-0000-0000-0000BD200000}"/>
    <cellStyle name="Bad 38" xfId="8390" xr:uid="{00000000-0005-0000-0000-0000BE200000}"/>
    <cellStyle name="Bad 4" xfId="8391" xr:uid="{00000000-0005-0000-0000-0000BF200000}"/>
    <cellStyle name="Bad 5" xfId="8392" xr:uid="{00000000-0005-0000-0000-0000C0200000}"/>
    <cellStyle name="Bad 6" xfId="8393" xr:uid="{00000000-0005-0000-0000-0000C1200000}"/>
    <cellStyle name="Bad 7" xfId="8394" xr:uid="{00000000-0005-0000-0000-0000C2200000}"/>
    <cellStyle name="Bad 8" xfId="8395" xr:uid="{00000000-0005-0000-0000-0000C3200000}"/>
    <cellStyle name="Bad 9" xfId="8396" xr:uid="{00000000-0005-0000-0000-0000C4200000}"/>
    <cellStyle name="Basic" xfId="8397" xr:uid="{00000000-0005-0000-0000-0000C5200000}"/>
    <cellStyle name="Black" xfId="8398" xr:uid="{00000000-0005-0000-0000-0000C6200000}"/>
    <cellStyle name="Black 10" xfId="8399" xr:uid="{00000000-0005-0000-0000-0000C7200000}"/>
    <cellStyle name="Black 11" xfId="8400" xr:uid="{00000000-0005-0000-0000-0000C8200000}"/>
    <cellStyle name="Black 12" xfId="8401" xr:uid="{00000000-0005-0000-0000-0000C9200000}"/>
    <cellStyle name="Black 13" xfId="8402" xr:uid="{00000000-0005-0000-0000-0000CA200000}"/>
    <cellStyle name="Black 14" xfId="8403" xr:uid="{00000000-0005-0000-0000-0000CB200000}"/>
    <cellStyle name="Black 15" xfId="8404" xr:uid="{00000000-0005-0000-0000-0000CC200000}"/>
    <cellStyle name="Black 16" xfId="8405" xr:uid="{00000000-0005-0000-0000-0000CD200000}"/>
    <cellStyle name="Black 17" xfId="8406" xr:uid="{00000000-0005-0000-0000-0000CE200000}"/>
    <cellStyle name="Black 18" xfId="8407" xr:uid="{00000000-0005-0000-0000-0000CF200000}"/>
    <cellStyle name="Black 19" xfId="8408" xr:uid="{00000000-0005-0000-0000-0000D0200000}"/>
    <cellStyle name="Black 2" xfId="8409" xr:uid="{00000000-0005-0000-0000-0000D1200000}"/>
    <cellStyle name="Black 2 2" xfId="8410" xr:uid="{00000000-0005-0000-0000-0000D2200000}"/>
    <cellStyle name="Black 20" xfId="8411" xr:uid="{00000000-0005-0000-0000-0000D3200000}"/>
    <cellStyle name="Black 21" xfId="8412" xr:uid="{00000000-0005-0000-0000-0000D4200000}"/>
    <cellStyle name="Black 22" xfId="8413" xr:uid="{00000000-0005-0000-0000-0000D5200000}"/>
    <cellStyle name="Black 23" xfId="8414" xr:uid="{00000000-0005-0000-0000-0000D6200000}"/>
    <cellStyle name="Black 23 2" xfId="8415" xr:uid="{00000000-0005-0000-0000-0000D7200000}"/>
    <cellStyle name="Black 3" xfId="8416" xr:uid="{00000000-0005-0000-0000-0000D8200000}"/>
    <cellStyle name="Black 3 2" xfId="8417" xr:uid="{00000000-0005-0000-0000-0000D9200000}"/>
    <cellStyle name="Black 4" xfId="8418" xr:uid="{00000000-0005-0000-0000-0000DA200000}"/>
    <cellStyle name="Black 5" xfId="8419" xr:uid="{00000000-0005-0000-0000-0000DB200000}"/>
    <cellStyle name="Black 6" xfId="8420" xr:uid="{00000000-0005-0000-0000-0000DC200000}"/>
    <cellStyle name="Black 7" xfId="8421" xr:uid="{00000000-0005-0000-0000-0000DD200000}"/>
    <cellStyle name="Black 8" xfId="8422" xr:uid="{00000000-0005-0000-0000-0000DE200000}"/>
    <cellStyle name="Black 9" xfId="8423" xr:uid="{00000000-0005-0000-0000-0000DF200000}"/>
    <cellStyle name="Black Days" xfId="8424" xr:uid="{00000000-0005-0000-0000-0000E0200000}"/>
    <cellStyle name="Black Days 10" xfId="8425" xr:uid="{00000000-0005-0000-0000-0000E1200000}"/>
    <cellStyle name="Black Days 11" xfId="8426" xr:uid="{00000000-0005-0000-0000-0000E2200000}"/>
    <cellStyle name="Black Days 12" xfId="8427" xr:uid="{00000000-0005-0000-0000-0000E3200000}"/>
    <cellStyle name="Black Days 13" xfId="8428" xr:uid="{00000000-0005-0000-0000-0000E4200000}"/>
    <cellStyle name="Black Days 14" xfId="8429" xr:uid="{00000000-0005-0000-0000-0000E5200000}"/>
    <cellStyle name="Black Days 15" xfId="8430" xr:uid="{00000000-0005-0000-0000-0000E6200000}"/>
    <cellStyle name="Black Days 16" xfId="8431" xr:uid="{00000000-0005-0000-0000-0000E7200000}"/>
    <cellStyle name="Black Days 17" xfId="8432" xr:uid="{00000000-0005-0000-0000-0000E8200000}"/>
    <cellStyle name="Black Days 18" xfId="8433" xr:uid="{00000000-0005-0000-0000-0000E9200000}"/>
    <cellStyle name="Black Days 19" xfId="8434" xr:uid="{00000000-0005-0000-0000-0000EA200000}"/>
    <cellStyle name="Black Days 2" xfId="8435" xr:uid="{00000000-0005-0000-0000-0000EB200000}"/>
    <cellStyle name="Black Days 20" xfId="8436" xr:uid="{00000000-0005-0000-0000-0000EC200000}"/>
    <cellStyle name="Black Days 21" xfId="8437" xr:uid="{00000000-0005-0000-0000-0000ED200000}"/>
    <cellStyle name="Black Days 3" xfId="8438" xr:uid="{00000000-0005-0000-0000-0000EE200000}"/>
    <cellStyle name="Black Days 4" xfId="8439" xr:uid="{00000000-0005-0000-0000-0000EF200000}"/>
    <cellStyle name="Black Days 5" xfId="8440" xr:uid="{00000000-0005-0000-0000-0000F0200000}"/>
    <cellStyle name="Black Days 6" xfId="8441" xr:uid="{00000000-0005-0000-0000-0000F1200000}"/>
    <cellStyle name="Black Days 7" xfId="8442" xr:uid="{00000000-0005-0000-0000-0000F2200000}"/>
    <cellStyle name="Black Days 8" xfId="8443" xr:uid="{00000000-0005-0000-0000-0000F3200000}"/>
    <cellStyle name="Black Days 9" xfId="8444" xr:uid="{00000000-0005-0000-0000-0000F4200000}"/>
    <cellStyle name="Black Decimal" xfId="8445" xr:uid="{00000000-0005-0000-0000-0000F5200000}"/>
    <cellStyle name="Black Decimal 10" xfId="8446" xr:uid="{00000000-0005-0000-0000-0000F6200000}"/>
    <cellStyle name="Black Decimal 11" xfId="8447" xr:uid="{00000000-0005-0000-0000-0000F7200000}"/>
    <cellStyle name="Black Decimal 12" xfId="8448" xr:uid="{00000000-0005-0000-0000-0000F8200000}"/>
    <cellStyle name="Black Decimal 13" xfId="8449" xr:uid="{00000000-0005-0000-0000-0000F9200000}"/>
    <cellStyle name="Black Decimal 14" xfId="8450" xr:uid="{00000000-0005-0000-0000-0000FA200000}"/>
    <cellStyle name="Black Decimal 15" xfId="8451" xr:uid="{00000000-0005-0000-0000-0000FB200000}"/>
    <cellStyle name="Black Decimal 16" xfId="8452" xr:uid="{00000000-0005-0000-0000-0000FC200000}"/>
    <cellStyle name="Black Decimal 17" xfId="8453" xr:uid="{00000000-0005-0000-0000-0000FD200000}"/>
    <cellStyle name="Black Decimal 18" xfId="8454" xr:uid="{00000000-0005-0000-0000-0000FE200000}"/>
    <cellStyle name="Black Decimal 19" xfId="8455" xr:uid="{00000000-0005-0000-0000-0000FF200000}"/>
    <cellStyle name="Black Decimal 2" xfId="8456" xr:uid="{00000000-0005-0000-0000-000000210000}"/>
    <cellStyle name="Black Decimal 2 2" xfId="8457" xr:uid="{00000000-0005-0000-0000-000001210000}"/>
    <cellStyle name="Black Decimal 20" xfId="8458" xr:uid="{00000000-0005-0000-0000-000002210000}"/>
    <cellStyle name="Black Decimal 21" xfId="8459" xr:uid="{00000000-0005-0000-0000-000003210000}"/>
    <cellStyle name="Black Decimal 22" xfId="8460" xr:uid="{00000000-0005-0000-0000-000004210000}"/>
    <cellStyle name="Black Decimal 23" xfId="8461" xr:uid="{00000000-0005-0000-0000-000005210000}"/>
    <cellStyle name="Black Decimal 23 2" xfId="8462" xr:uid="{00000000-0005-0000-0000-000006210000}"/>
    <cellStyle name="Black Decimal 3" xfId="8463" xr:uid="{00000000-0005-0000-0000-000007210000}"/>
    <cellStyle name="Black Decimal 3 2" xfId="8464" xr:uid="{00000000-0005-0000-0000-000008210000}"/>
    <cellStyle name="Black Decimal 4" xfId="8465" xr:uid="{00000000-0005-0000-0000-000009210000}"/>
    <cellStyle name="Black Decimal 5" xfId="8466" xr:uid="{00000000-0005-0000-0000-00000A210000}"/>
    <cellStyle name="Black Decimal 6" xfId="8467" xr:uid="{00000000-0005-0000-0000-00000B210000}"/>
    <cellStyle name="Black Decimal 7" xfId="8468" xr:uid="{00000000-0005-0000-0000-00000C210000}"/>
    <cellStyle name="Black Decimal 8" xfId="8469" xr:uid="{00000000-0005-0000-0000-00000D210000}"/>
    <cellStyle name="Black Decimal 9" xfId="8470" xr:uid="{00000000-0005-0000-0000-00000E210000}"/>
    <cellStyle name="Black Decimal_Copy of AGM Dec '09 YTD COF I and II Dep  Liab (1-13-10) (2)" xfId="8471" xr:uid="{00000000-0005-0000-0000-00000F210000}"/>
    <cellStyle name="Black Dollar" xfId="8472" xr:uid="{00000000-0005-0000-0000-000010210000}"/>
    <cellStyle name="Black Dollar 10" xfId="8473" xr:uid="{00000000-0005-0000-0000-000011210000}"/>
    <cellStyle name="Black Dollar 11" xfId="8474" xr:uid="{00000000-0005-0000-0000-000012210000}"/>
    <cellStyle name="Black Dollar 12" xfId="8475" xr:uid="{00000000-0005-0000-0000-000013210000}"/>
    <cellStyle name="Black Dollar 13" xfId="8476" xr:uid="{00000000-0005-0000-0000-000014210000}"/>
    <cellStyle name="Black Dollar 14" xfId="8477" xr:uid="{00000000-0005-0000-0000-000015210000}"/>
    <cellStyle name="Black Dollar 15" xfId="8478" xr:uid="{00000000-0005-0000-0000-000016210000}"/>
    <cellStyle name="Black Dollar 16" xfId="8479" xr:uid="{00000000-0005-0000-0000-000017210000}"/>
    <cellStyle name="Black Dollar 17" xfId="8480" xr:uid="{00000000-0005-0000-0000-000018210000}"/>
    <cellStyle name="Black Dollar 18" xfId="8481" xr:uid="{00000000-0005-0000-0000-000019210000}"/>
    <cellStyle name="Black Dollar 19" xfId="8482" xr:uid="{00000000-0005-0000-0000-00001A210000}"/>
    <cellStyle name="Black Dollar 2" xfId="8483" xr:uid="{00000000-0005-0000-0000-00001B210000}"/>
    <cellStyle name="Black Dollar 2 2" xfId="8484" xr:uid="{00000000-0005-0000-0000-00001C210000}"/>
    <cellStyle name="Black Dollar 20" xfId="8485" xr:uid="{00000000-0005-0000-0000-00001D210000}"/>
    <cellStyle name="Black Dollar 21" xfId="8486" xr:uid="{00000000-0005-0000-0000-00001E210000}"/>
    <cellStyle name="Black Dollar 22" xfId="8487" xr:uid="{00000000-0005-0000-0000-00001F210000}"/>
    <cellStyle name="Black Dollar 23" xfId="8488" xr:uid="{00000000-0005-0000-0000-000020210000}"/>
    <cellStyle name="Black Dollar 23 2" xfId="8489" xr:uid="{00000000-0005-0000-0000-000021210000}"/>
    <cellStyle name="Black Dollar 3" xfId="8490" xr:uid="{00000000-0005-0000-0000-000022210000}"/>
    <cellStyle name="Black Dollar 3 2" xfId="8491" xr:uid="{00000000-0005-0000-0000-000023210000}"/>
    <cellStyle name="Black Dollar 4" xfId="8492" xr:uid="{00000000-0005-0000-0000-000024210000}"/>
    <cellStyle name="Black Dollar 5" xfId="8493" xr:uid="{00000000-0005-0000-0000-000025210000}"/>
    <cellStyle name="Black Dollar 6" xfId="8494" xr:uid="{00000000-0005-0000-0000-000026210000}"/>
    <cellStyle name="Black Dollar 7" xfId="8495" xr:uid="{00000000-0005-0000-0000-000027210000}"/>
    <cellStyle name="Black Dollar 8" xfId="8496" xr:uid="{00000000-0005-0000-0000-000028210000}"/>
    <cellStyle name="Black Dollar 9" xfId="8497" xr:uid="{00000000-0005-0000-0000-000029210000}"/>
    <cellStyle name="Black Dollar_Copy of AGM Dec '09 YTD COF I and II Dep  Liab (1-13-10) (2)" xfId="8498" xr:uid="{00000000-0005-0000-0000-00002A210000}"/>
    <cellStyle name="Black EPS" xfId="8499" xr:uid="{00000000-0005-0000-0000-00002B210000}"/>
    <cellStyle name="Black EPS 10" xfId="8500" xr:uid="{00000000-0005-0000-0000-00002C210000}"/>
    <cellStyle name="Black EPS 11" xfId="8501" xr:uid="{00000000-0005-0000-0000-00002D210000}"/>
    <cellStyle name="Black EPS 12" xfId="8502" xr:uid="{00000000-0005-0000-0000-00002E210000}"/>
    <cellStyle name="Black EPS 13" xfId="8503" xr:uid="{00000000-0005-0000-0000-00002F210000}"/>
    <cellStyle name="Black EPS 14" xfId="8504" xr:uid="{00000000-0005-0000-0000-000030210000}"/>
    <cellStyle name="Black EPS 15" xfId="8505" xr:uid="{00000000-0005-0000-0000-000031210000}"/>
    <cellStyle name="Black EPS 16" xfId="8506" xr:uid="{00000000-0005-0000-0000-000032210000}"/>
    <cellStyle name="Black EPS 17" xfId="8507" xr:uid="{00000000-0005-0000-0000-000033210000}"/>
    <cellStyle name="Black EPS 18" xfId="8508" xr:uid="{00000000-0005-0000-0000-000034210000}"/>
    <cellStyle name="Black EPS 19" xfId="8509" xr:uid="{00000000-0005-0000-0000-000035210000}"/>
    <cellStyle name="Black EPS 2" xfId="8510" xr:uid="{00000000-0005-0000-0000-000036210000}"/>
    <cellStyle name="Black EPS 20" xfId="8511" xr:uid="{00000000-0005-0000-0000-000037210000}"/>
    <cellStyle name="Black EPS 21" xfId="8512" xr:uid="{00000000-0005-0000-0000-000038210000}"/>
    <cellStyle name="Black EPS 21 2" xfId="8513" xr:uid="{00000000-0005-0000-0000-000039210000}"/>
    <cellStyle name="Black EPS 3" xfId="8514" xr:uid="{00000000-0005-0000-0000-00003A210000}"/>
    <cellStyle name="Black EPS 4" xfId="8515" xr:uid="{00000000-0005-0000-0000-00003B210000}"/>
    <cellStyle name="Black EPS 5" xfId="8516" xr:uid="{00000000-0005-0000-0000-00003C210000}"/>
    <cellStyle name="Black EPS 6" xfId="8517" xr:uid="{00000000-0005-0000-0000-00003D210000}"/>
    <cellStyle name="Black EPS 7" xfId="8518" xr:uid="{00000000-0005-0000-0000-00003E210000}"/>
    <cellStyle name="Black EPS 8" xfId="8519" xr:uid="{00000000-0005-0000-0000-00003F210000}"/>
    <cellStyle name="Black EPS 9" xfId="8520" xr:uid="{00000000-0005-0000-0000-000040210000}"/>
    <cellStyle name="Black Percent" xfId="8521" xr:uid="{00000000-0005-0000-0000-000041210000}"/>
    <cellStyle name="Black Percent 10" xfId="8522" xr:uid="{00000000-0005-0000-0000-000042210000}"/>
    <cellStyle name="Black Percent 11" xfId="8523" xr:uid="{00000000-0005-0000-0000-000043210000}"/>
    <cellStyle name="Black Percent 12" xfId="8524" xr:uid="{00000000-0005-0000-0000-000044210000}"/>
    <cellStyle name="Black Percent 13" xfId="8525" xr:uid="{00000000-0005-0000-0000-000045210000}"/>
    <cellStyle name="Black Percent 14" xfId="8526" xr:uid="{00000000-0005-0000-0000-000046210000}"/>
    <cellStyle name="Black Percent 15" xfId="8527" xr:uid="{00000000-0005-0000-0000-000047210000}"/>
    <cellStyle name="Black Percent 16" xfId="8528" xr:uid="{00000000-0005-0000-0000-000048210000}"/>
    <cellStyle name="Black Percent 17" xfId="8529" xr:uid="{00000000-0005-0000-0000-000049210000}"/>
    <cellStyle name="Black Percent 18" xfId="8530" xr:uid="{00000000-0005-0000-0000-00004A210000}"/>
    <cellStyle name="Black Percent 19" xfId="8531" xr:uid="{00000000-0005-0000-0000-00004B210000}"/>
    <cellStyle name="Black Percent 2" xfId="8532" xr:uid="{00000000-0005-0000-0000-00004C210000}"/>
    <cellStyle name="Black Percent 20" xfId="8533" xr:uid="{00000000-0005-0000-0000-00004D210000}"/>
    <cellStyle name="Black Percent 21" xfId="8534" xr:uid="{00000000-0005-0000-0000-00004E210000}"/>
    <cellStyle name="Black Percent 3" xfId="8535" xr:uid="{00000000-0005-0000-0000-00004F210000}"/>
    <cellStyle name="Black Percent 4" xfId="8536" xr:uid="{00000000-0005-0000-0000-000050210000}"/>
    <cellStyle name="Black Percent 5" xfId="8537" xr:uid="{00000000-0005-0000-0000-000051210000}"/>
    <cellStyle name="Black Percent 6" xfId="8538" xr:uid="{00000000-0005-0000-0000-000052210000}"/>
    <cellStyle name="Black Percent 7" xfId="8539" xr:uid="{00000000-0005-0000-0000-000053210000}"/>
    <cellStyle name="Black Percent 8" xfId="8540" xr:uid="{00000000-0005-0000-0000-000054210000}"/>
    <cellStyle name="Black Percent 9" xfId="8541" xr:uid="{00000000-0005-0000-0000-000055210000}"/>
    <cellStyle name="Black Percent2" xfId="8542" xr:uid="{00000000-0005-0000-0000-000056210000}"/>
    <cellStyle name="Black Percent2 10" xfId="8543" xr:uid="{00000000-0005-0000-0000-000057210000}"/>
    <cellStyle name="Black Percent2 11" xfId="8544" xr:uid="{00000000-0005-0000-0000-000058210000}"/>
    <cellStyle name="Black Percent2 12" xfId="8545" xr:uid="{00000000-0005-0000-0000-000059210000}"/>
    <cellStyle name="Black Percent2 13" xfId="8546" xr:uid="{00000000-0005-0000-0000-00005A210000}"/>
    <cellStyle name="Black Percent2 14" xfId="8547" xr:uid="{00000000-0005-0000-0000-00005B210000}"/>
    <cellStyle name="Black Percent2 15" xfId="8548" xr:uid="{00000000-0005-0000-0000-00005C210000}"/>
    <cellStyle name="Black Percent2 16" xfId="8549" xr:uid="{00000000-0005-0000-0000-00005D210000}"/>
    <cellStyle name="Black Percent2 17" xfId="8550" xr:uid="{00000000-0005-0000-0000-00005E210000}"/>
    <cellStyle name="Black Percent2 18" xfId="8551" xr:uid="{00000000-0005-0000-0000-00005F210000}"/>
    <cellStyle name="Black Percent2 19" xfId="8552" xr:uid="{00000000-0005-0000-0000-000060210000}"/>
    <cellStyle name="Black Percent2 2" xfId="8553" xr:uid="{00000000-0005-0000-0000-000061210000}"/>
    <cellStyle name="Black Percent2 20" xfId="8554" xr:uid="{00000000-0005-0000-0000-000062210000}"/>
    <cellStyle name="Black Percent2 21" xfId="8555" xr:uid="{00000000-0005-0000-0000-000063210000}"/>
    <cellStyle name="Black Percent2 21 2" xfId="8556" xr:uid="{00000000-0005-0000-0000-000064210000}"/>
    <cellStyle name="Black Percent2 3" xfId="8557" xr:uid="{00000000-0005-0000-0000-000065210000}"/>
    <cellStyle name="Black Percent2 4" xfId="8558" xr:uid="{00000000-0005-0000-0000-000066210000}"/>
    <cellStyle name="Black Percent2 5" xfId="8559" xr:uid="{00000000-0005-0000-0000-000067210000}"/>
    <cellStyle name="Black Percent2 6" xfId="8560" xr:uid="{00000000-0005-0000-0000-000068210000}"/>
    <cellStyle name="Black Percent2 7" xfId="8561" xr:uid="{00000000-0005-0000-0000-000069210000}"/>
    <cellStyle name="Black Percent2 8" xfId="8562" xr:uid="{00000000-0005-0000-0000-00006A210000}"/>
    <cellStyle name="Black Percent2 9" xfId="8563" xr:uid="{00000000-0005-0000-0000-00006B210000}"/>
    <cellStyle name="Black Times" xfId="8564" xr:uid="{00000000-0005-0000-0000-00006C210000}"/>
    <cellStyle name="Black Times 10" xfId="8565" xr:uid="{00000000-0005-0000-0000-00006D210000}"/>
    <cellStyle name="Black Times 11" xfId="8566" xr:uid="{00000000-0005-0000-0000-00006E210000}"/>
    <cellStyle name="Black Times 12" xfId="8567" xr:uid="{00000000-0005-0000-0000-00006F210000}"/>
    <cellStyle name="Black Times 13" xfId="8568" xr:uid="{00000000-0005-0000-0000-000070210000}"/>
    <cellStyle name="Black Times 14" xfId="8569" xr:uid="{00000000-0005-0000-0000-000071210000}"/>
    <cellStyle name="Black Times 15" xfId="8570" xr:uid="{00000000-0005-0000-0000-000072210000}"/>
    <cellStyle name="Black Times 16" xfId="8571" xr:uid="{00000000-0005-0000-0000-000073210000}"/>
    <cellStyle name="Black Times 17" xfId="8572" xr:uid="{00000000-0005-0000-0000-000074210000}"/>
    <cellStyle name="Black Times 18" xfId="8573" xr:uid="{00000000-0005-0000-0000-000075210000}"/>
    <cellStyle name="Black Times 19" xfId="8574" xr:uid="{00000000-0005-0000-0000-000076210000}"/>
    <cellStyle name="Black Times 2" xfId="8575" xr:uid="{00000000-0005-0000-0000-000077210000}"/>
    <cellStyle name="Black Times 20" xfId="8576" xr:uid="{00000000-0005-0000-0000-000078210000}"/>
    <cellStyle name="Black Times 21" xfId="8577" xr:uid="{00000000-0005-0000-0000-000079210000}"/>
    <cellStyle name="Black Times 21 2" xfId="8578" xr:uid="{00000000-0005-0000-0000-00007A210000}"/>
    <cellStyle name="Black Times 3" xfId="8579" xr:uid="{00000000-0005-0000-0000-00007B210000}"/>
    <cellStyle name="Black Times 4" xfId="8580" xr:uid="{00000000-0005-0000-0000-00007C210000}"/>
    <cellStyle name="Black Times 5" xfId="8581" xr:uid="{00000000-0005-0000-0000-00007D210000}"/>
    <cellStyle name="Black Times 6" xfId="8582" xr:uid="{00000000-0005-0000-0000-00007E210000}"/>
    <cellStyle name="Black Times 7" xfId="8583" xr:uid="{00000000-0005-0000-0000-00007F210000}"/>
    <cellStyle name="Black Times 8" xfId="8584" xr:uid="{00000000-0005-0000-0000-000080210000}"/>
    <cellStyle name="Black Times 9" xfId="8585" xr:uid="{00000000-0005-0000-0000-000081210000}"/>
    <cellStyle name="Black Times Two Deci" xfId="8586" xr:uid="{00000000-0005-0000-0000-000082210000}"/>
    <cellStyle name="Black Times Two Deci 10" xfId="8587" xr:uid="{00000000-0005-0000-0000-000083210000}"/>
    <cellStyle name="Black Times Two Deci 11" xfId="8588" xr:uid="{00000000-0005-0000-0000-000084210000}"/>
    <cellStyle name="Black Times Two Deci 12" xfId="8589" xr:uid="{00000000-0005-0000-0000-000085210000}"/>
    <cellStyle name="Black Times Two Deci 13" xfId="8590" xr:uid="{00000000-0005-0000-0000-000086210000}"/>
    <cellStyle name="Black Times Two Deci 14" xfId="8591" xr:uid="{00000000-0005-0000-0000-000087210000}"/>
    <cellStyle name="Black Times Two Deci 15" xfId="8592" xr:uid="{00000000-0005-0000-0000-000088210000}"/>
    <cellStyle name="Black Times Two Deci 16" xfId="8593" xr:uid="{00000000-0005-0000-0000-000089210000}"/>
    <cellStyle name="Black Times Two Deci 17" xfId="8594" xr:uid="{00000000-0005-0000-0000-00008A210000}"/>
    <cellStyle name="Black Times Two Deci 18" xfId="8595" xr:uid="{00000000-0005-0000-0000-00008B210000}"/>
    <cellStyle name="Black Times Two Deci 19" xfId="8596" xr:uid="{00000000-0005-0000-0000-00008C210000}"/>
    <cellStyle name="Black Times Two Deci 2" xfId="8597" xr:uid="{00000000-0005-0000-0000-00008D210000}"/>
    <cellStyle name="Black Times Two Deci 20" xfId="8598" xr:uid="{00000000-0005-0000-0000-00008E210000}"/>
    <cellStyle name="Black Times Two Deci 21" xfId="8599" xr:uid="{00000000-0005-0000-0000-00008F210000}"/>
    <cellStyle name="Black Times Two Deci 21 2" xfId="8600" xr:uid="{00000000-0005-0000-0000-000090210000}"/>
    <cellStyle name="Black Times Two Deci 3" xfId="8601" xr:uid="{00000000-0005-0000-0000-000091210000}"/>
    <cellStyle name="Black Times Two Deci 4" xfId="8602" xr:uid="{00000000-0005-0000-0000-000092210000}"/>
    <cellStyle name="Black Times Two Deci 5" xfId="8603" xr:uid="{00000000-0005-0000-0000-000093210000}"/>
    <cellStyle name="Black Times Two Deci 6" xfId="8604" xr:uid="{00000000-0005-0000-0000-000094210000}"/>
    <cellStyle name="Black Times Two Deci 7" xfId="8605" xr:uid="{00000000-0005-0000-0000-000095210000}"/>
    <cellStyle name="Black Times Two Deci 8" xfId="8606" xr:uid="{00000000-0005-0000-0000-000096210000}"/>
    <cellStyle name="Black Times Two Deci 9" xfId="8607" xr:uid="{00000000-0005-0000-0000-000097210000}"/>
    <cellStyle name="Black Times Two Deci2" xfId="8608" xr:uid="{00000000-0005-0000-0000-000098210000}"/>
    <cellStyle name="Black Times Two Deci2 10" xfId="8609" xr:uid="{00000000-0005-0000-0000-000099210000}"/>
    <cellStyle name="Black Times Two Deci2 11" xfId="8610" xr:uid="{00000000-0005-0000-0000-00009A210000}"/>
    <cellStyle name="Black Times Two Deci2 12" xfId="8611" xr:uid="{00000000-0005-0000-0000-00009B210000}"/>
    <cellStyle name="Black Times Two Deci2 13" xfId="8612" xr:uid="{00000000-0005-0000-0000-00009C210000}"/>
    <cellStyle name="Black Times Two Deci2 14" xfId="8613" xr:uid="{00000000-0005-0000-0000-00009D210000}"/>
    <cellStyle name="Black Times Two Deci2 15" xfId="8614" xr:uid="{00000000-0005-0000-0000-00009E210000}"/>
    <cellStyle name="Black Times Two Deci2 16" xfId="8615" xr:uid="{00000000-0005-0000-0000-00009F210000}"/>
    <cellStyle name="Black Times Two Deci2 17" xfId="8616" xr:uid="{00000000-0005-0000-0000-0000A0210000}"/>
    <cellStyle name="Black Times Two Deci2 18" xfId="8617" xr:uid="{00000000-0005-0000-0000-0000A1210000}"/>
    <cellStyle name="Black Times Two Deci2 19" xfId="8618" xr:uid="{00000000-0005-0000-0000-0000A2210000}"/>
    <cellStyle name="Black Times Two Deci2 2" xfId="8619" xr:uid="{00000000-0005-0000-0000-0000A3210000}"/>
    <cellStyle name="Black Times Two Deci2 20" xfId="8620" xr:uid="{00000000-0005-0000-0000-0000A4210000}"/>
    <cellStyle name="Black Times Two Deci2 21" xfId="8621" xr:uid="{00000000-0005-0000-0000-0000A5210000}"/>
    <cellStyle name="Black Times Two Deci2 21 2" xfId="8622" xr:uid="{00000000-0005-0000-0000-0000A6210000}"/>
    <cellStyle name="Black Times Two Deci2 3" xfId="8623" xr:uid="{00000000-0005-0000-0000-0000A7210000}"/>
    <cellStyle name="Black Times Two Deci2 4" xfId="8624" xr:uid="{00000000-0005-0000-0000-0000A8210000}"/>
    <cellStyle name="Black Times Two Deci2 5" xfId="8625" xr:uid="{00000000-0005-0000-0000-0000A9210000}"/>
    <cellStyle name="Black Times Two Deci2 6" xfId="8626" xr:uid="{00000000-0005-0000-0000-0000AA210000}"/>
    <cellStyle name="Black Times Two Deci2 7" xfId="8627" xr:uid="{00000000-0005-0000-0000-0000AB210000}"/>
    <cellStyle name="Black Times Two Deci2 8" xfId="8628" xr:uid="{00000000-0005-0000-0000-0000AC210000}"/>
    <cellStyle name="Black Times Two Deci2 9" xfId="8629" xr:uid="{00000000-0005-0000-0000-0000AD210000}"/>
    <cellStyle name="Black Times_{6} Carry" xfId="8630" xr:uid="{00000000-0005-0000-0000-0000AE210000}"/>
    <cellStyle name="Black Times2" xfId="8631" xr:uid="{00000000-0005-0000-0000-0000AF210000}"/>
    <cellStyle name="Black Times2 10" xfId="8632" xr:uid="{00000000-0005-0000-0000-0000B0210000}"/>
    <cellStyle name="Black Times2 11" xfId="8633" xr:uid="{00000000-0005-0000-0000-0000B1210000}"/>
    <cellStyle name="Black Times2 12" xfId="8634" xr:uid="{00000000-0005-0000-0000-0000B2210000}"/>
    <cellStyle name="Black Times2 13" xfId="8635" xr:uid="{00000000-0005-0000-0000-0000B3210000}"/>
    <cellStyle name="Black Times2 14" xfId="8636" xr:uid="{00000000-0005-0000-0000-0000B4210000}"/>
    <cellStyle name="Black Times2 15" xfId="8637" xr:uid="{00000000-0005-0000-0000-0000B5210000}"/>
    <cellStyle name="Black Times2 16" xfId="8638" xr:uid="{00000000-0005-0000-0000-0000B6210000}"/>
    <cellStyle name="Black Times2 17" xfId="8639" xr:uid="{00000000-0005-0000-0000-0000B7210000}"/>
    <cellStyle name="Black Times2 18" xfId="8640" xr:uid="{00000000-0005-0000-0000-0000B8210000}"/>
    <cellStyle name="Black Times2 19" xfId="8641" xr:uid="{00000000-0005-0000-0000-0000B9210000}"/>
    <cellStyle name="Black Times2 2" xfId="8642" xr:uid="{00000000-0005-0000-0000-0000BA210000}"/>
    <cellStyle name="Black Times2 20" xfId="8643" xr:uid="{00000000-0005-0000-0000-0000BB210000}"/>
    <cellStyle name="Black Times2 21" xfId="8644" xr:uid="{00000000-0005-0000-0000-0000BC210000}"/>
    <cellStyle name="Black Times2 21 2" xfId="8645" xr:uid="{00000000-0005-0000-0000-0000BD210000}"/>
    <cellStyle name="Black Times2 3" xfId="8646" xr:uid="{00000000-0005-0000-0000-0000BE210000}"/>
    <cellStyle name="Black Times2 4" xfId="8647" xr:uid="{00000000-0005-0000-0000-0000BF210000}"/>
    <cellStyle name="Black Times2 5" xfId="8648" xr:uid="{00000000-0005-0000-0000-0000C0210000}"/>
    <cellStyle name="Black Times2 6" xfId="8649" xr:uid="{00000000-0005-0000-0000-0000C1210000}"/>
    <cellStyle name="Black Times2 7" xfId="8650" xr:uid="{00000000-0005-0000-0000-0000C2210000}"/>
    <cellStyle name="Black Times2 8" xfId="8651" xr:uid="{00000000-0005-0000-0000-0000C3210000}"/>
    <cellStyle name="Black Times2 9" xfId="8652" xr:uid="{00000000-0005-0000-0000-0000C4210000}"/>
    <cellStyle name="Black_~6376512" xfId="8653" xr:uid="{00000000-0005-0000-0000-0000C5210000}"/>
    <cellStyle name="Blank [$]" xfId="8654" xr:uid="{00000000-0005-0000-0000-0000C6210000}"/>
    <cellStyle name="Blank [$] 10" xfId="8655" xr:uid="{00000000-0005-0000-0000-0000C7210000}"/>
    <cellStyle name="Blank [$] 11" xfId="8656" xr:uid="{00000000-0005-0000-0000-0000C8210000}"/>
    <cellStyle name="Blank [$] 12" xfId="8657" xr:uid="{00000000-0005-0000-0000-0000C9210000}"/>
    <cellStyle name="Blank [$] 13" xfId="8658" xr:uid="{00000000-0005-0000-0000-0000CA210000}"/>
    <cellStyle name="Blank [$] 14" xfId="8659" xr:uid="{00000000-0005-0000-0000-0000CB210000}"/>
    <cellStyle name="Blank [$] 15" xfId="8660" xr:uid="{00000000-0005-0000-0000-0000CC210000}"/>
    <cellStyle name="Blank [$] 16" xfId="8661" xr:uid="{00000000-0005-0000-0000-0000CD210000}"/>
    <cellStyle name="Blank [$] 17" xfId="8662" xr:uid="{00000000-0005-0000-0000-0000CE210000}"/>
    <cellStyle name="Blank [$] 18" xfId="8663" xr:uid="{00000000-0005-0000-0000-0000CF210000}"/>
    <cellStyle name="Blank [$] 19" xfId="8664" xr:uid="{00000000-0005-0000-0000-0000D0210000}"/>
    <cellStyle name="Blank [$] 2" xfId="8665" xr:uid="{00000000-0005-0000-0000-0000D1210000}"/>
    <cellStyle name="Blank [$] 20" xfId="8666" xr:uid="{00000000-0005-0000-0000-0000D2210000}"/>
    <cellStyle name="Blank [$] 21" xfId="8667" xr:uid="{00000000-0005-0000-0000-0000D3210000}"/>
    <cellStyle name="Blank [$] 21 2" xfId="8668" xr:uid="{00000000-0005-0000-0000-0000D4210000}"/>
    <cellStyle name="Blank [$] 3" xfId="8669" xr:uid="{00000000-0005-0000-0000-0000D5210000}"/>
    <cellStyle name="Blank [$] 4" xfId="8670" xr:uid="{00000000-0005-0000-0000-0000D6210000}"/>
    <cellStyle name="Blank [$] 5" xfId="8671" xr:uid="{00000000-0005-0000-0000-0000D7210000}"/>
    <cellStyle name="Blank [$] 6" xfId="8672" xr:uid="{00000000-0005-0000-0000-0000D8210000}"/>
    <cellStyle name="Blank [$] 7" xfId="8673" xr:uid="{00000000-0005-0000-0000-0000D9210000}"/>
    <cellStyle name="Blank [$] 8" xfId="8674" xr:uid="{00000000-0005-0000-0000-0000DA210000}"/>
    <cellStyle name="Blank [$] 9" xfId="8675" xr:uid="{00000000-0005-0000-0000-0000DB210000}"/>
    <cellStyle name="Blank [,]" xfId="8676" xr:uid="{00000000-0005-0000-0000-0000DC210000}"/>
    <cellStyle name="Blank [,] 10" xfId="8677" xr:uid="{00000000-0005-0000-0000-0000DD210000}"/>
    <cellStyle name="Blank [,] 11" xfId="8678" xr:uid="{00000000-0005-0000-0000-0000DE210000}"/>
    <cellStyle name="Blank [,] 12" xfId="8679" xr:uid="{00000000-0005-0000-0000-0000DF210000}"/>
    <cellStyle name="Blank [,] 13" xfId="8680" xr:uid="{00000000-0005-0000-0000-0000E0210000}"/>
    <cellStyle name="Blank [,] 14" xfId="8681" xr:uid="{00000000-0005-0000-0000-0000E1210000}"/>
    <cellStyle name="Blank [,] 15" xfId="8682" xr:uid="{00000000-0005-0000-0000-0000E2210000}"/>
    <cellStyle name="Blank [,] 16" xfId="8683" xr:uid="{00000000-0005-0000-0000-0000E3210000}"/>
    <cellStyle name="Blank [,] 17" xfId="8684" xr:uid="{00000000-0005-0000-0000-0000E4210000}"/>
    <cellStyle name="Blank [,] 18" xfId="8685" xr:uid="{00000000-0005-0000-0000-0000E5210000}"/>
    <cellStyle name="Blank [,] 19" xfId="8686" xr:uid="{00000000-0005-0000-0000-0000E6210000}"/>
    <cellStyle name="Blank [,] 2" xfId="8687" xr:uid="{00000000-0005-0000-0000-0000E7210000}"/>
    <cellStyle name="Blank [,] 20" xfId="8688" xr:uid="{00000000-0005-0000-0000-0000E8210000}"/>
    <cellStyle name="Blank [,] 21" xfId="8689" xr:uid="{00000000-0005-0000-0000-0000E9210000}"/>
    <cellStyle name="Blank [,] 21 2" xfId="8690" xr:uid="{00000000-0005-0000-0000-0000EA210000}"/>
    <cellStyle name="Blank [,] 3" xfId="8691" xr:uid="{00000000-0005-0000-0000-0000EB210000}"/>
    <cellStyle name="Blank [,] 4" xfId="8692" xr:uid="{00000000-0005-0000-0000-0000EC210000}"/>
    <cellStyle name="Blank [,] 5" xfId="8693" xr:uid="{00000000-0005-0000-0000-0000ED210000}"/>
    <cellStyle name="Blank [,] 6" xfId="8694" xr:uid="{00000000-0005-0000-0000-0000EE210000}"/>
    <cellStyle name="Blank [,] 7" xfId="8695" xr:uid="{00000000-0005-0000-0000-0000EF210000}"/>
    <cellStyle name="Blank [,] 8" xfId="8696" xr:uid="{00000000-0005-0000-0000-0000F0210000}"/>
    <cellStyle name="Blank [,] 9" xfId="8697" xr:uid="{00000000-0005-0000-0000-0000F1210000}"/>
    <cellStyle name="Blank [2$]" xfId="8698" xr:uid="{00000000-0005-0000-0000-0000F2210000}"/>
    <cellStyle name="Blank [2$] 10" xfId="8699" xr:uid="{00000000-0005-0000-0000-0000F3210000}"/>
    <cellStyle name="Blank [2$] 11" xfId="8700" xr:uid="{00000000-0005-0000-0000-0000F4210000}"/>
    <cellStyle name="Blank [2$] 12" xfId="8701" xr:uid="{00000000-0005-0000-0000-0000F5210000}"/>
    <cellStyle name="Blank [2$] 13" xfId="8702" xr:uid="{00000000-0005-0000-0000-0000F6210000}"/>
    <cellStyle name="Blank [2$] 14" xfId="8703" xr:uid="{00000000-0005-0000-0000-0000F7210000}"/>
    <cellStyle name="Blank [2$] 15" xfId="8704" xr:uid="{00000000-0005-0000-0000-0000F8210000}"/>
    <cellStyle name="Blank [2$] 16" xfId="8705" xr:uid="{00000000-0005-0000-0000-0000F9210000}"/>
    <cellStyle name="Blank [2$] 17" xfId="8706" xr:uid="{00000000-0005-0000-0000-0000FA210000}"/>
    <cellStyle name="Blank [2$] 18" xfId="8707" xr:uid="{00000000-0005-0000-0000-0000FB210000}"/>
    <cellStyle name="Blank [2$] 19" xfId="8708" xr:uid="{00000000-0005-0000-0000-0000FC210000}"/>
    <cellStyle name="Blank [2$] 2" xfId="8709" xr:uid="{00000000-0005-0000-0000-0000FD210000}"/>
    <cellStyle name="Blank [2$] 20" xfId="8710" xr:uid="{00000000-0005-0000-0000-0000FE210000}"/>
    <cellStyle name="Blank [2$] 21" xfId="8711" xr:uid="{00000000-0005-0000-0000-0000FF210000}"/>
    <cellStyle name="Blank [2$] 21 2" xfId="8712" xr:uid="{00000000-0005-0000-0000-000000220000}"/>
    <cellStyle name="Blank [2$] 3" xfId="8713" xr:uid="{00000000-0005-0000-0000-000001220000}"/>
    <cellStyle name="Blank [2$] 4" xfId="8714" xr:uid="{00000000-0005-0000-0000-000002220000}"/>
    <cellStyle name="Blank [2$] 5" xfId="8715" xr:uid="{00000000-0005-0000-0000-000003220000}"/>
    <cellStyle name="Blank [2$] 6" xfId="8716" xr:uid="{00000000-0005-0000-0000-000004220000}"/>
    <cellStyle name="Blank [2$] 7" xfId="8717" xr:uid="{00000000-0005-0000-0000-000005220000}"/>
    <cellStyle name="Blank [2$] 8" xfId="8718" xr:uid="{00000000-0005-0000-0000-000006220000}"/>
    <cellStyle name="Blank [2$] 9" xfId="8719" xr:uid="{00000000-0005-0000-0000-000007220000}"/>
    <cellStyle name="Blank Out" xfId="8720" xr:uid="{00000000-0005-0000-0000-000008220000}"/>
    <cellStyle name="Blank Out 10" xfId="8721" xr:uid="{00000000-0005-0000-0000-000009220000}"/>
    <cellStyle name="Blank Out 11" xfId="8722" xr:uid="{00000000-0005-0000-0000-00000A220000}"/>
    <cellStyle name="Blank Out 12" xfId="8723" xr:uid="{00000000-0005-0000-0000-00000B220000}"/>
    <cellStyle name="Blank Out 13" xfId="8724" xr:uid="{00000000-0005-0000-0000-00000C220000}"/>
    <cellStyle name="Blank Out 14" xfId="8725" xr:uid="{00000000-0005-0000-0000-00000D220000}"/>
    <cellStyle name="Blank Out 15" xfId="8726" xr:uid="{00000000-0005-0000-0000-00000E220000}"/>
    <cellStyle name="Blank Out 16" xfId="8727" xr:uid="{00000000-0005-0000-0000-00000F220000}"/>
    <cellStyle name="Blank Out 17" xfId="8728" xr:uid="{00000000-0005-0000-0000-000010220000}"/>
    <cellStyle name="Blank Out 18" xfId="8729" xr:uid="{00000000-0005-0000-0000-000011220000}"/>
    <cellStyle name="Blank Out 19" xfId="8730" xr:uid="{00000000-0005-0000-0000-000012220000}"/>
    <cellStyle name="Blank Out 2" xfId="8731" xr:uid="{00000000-0005-0000-0000-000013220000}"/>
    <cellStyle name="Blank Out 2 2" xfId="8732" xr:uid="{00000000-0005-0000-0000-000014220000}"/>
    <cellStyle name="Blank Out 20" xfId="8733" xr:uid="{00000000-0005-0000-0000-000015220000}"/>
    <cellStyle name="Blank Out 21" xfId="8734" xr:uid="{00000000-0005-0000-0000-000016220000}"/>
    <cellStyle name="Blank Out 22" xfId="8735" xr:uid="{00000000-0005-0000-0000-000017220000}"/>
    <cellStyle name="Blank Out 23" xfId="8736" xr:uid="{00000000-0005-0000-0000-000018220000}"/>
    <cellStyle name="Blank Out 23 2" xfId="8737" xr:uid="{00000000-0005-0000-0000-000019220000}"/>
    <cellStyle name="Blank Out 3" xfId="8738" xr:uid="{00000000-0005-0000-0000-00001A220000}"/>
    <cellStyle name="Blank Out 3 2" xfId="8739" xr:uid="{00000000-0005-0000-0000-00001B220000}"/>
    <cellStyle name="Blank Out 4" xfId="8740" xr:uid="{00000000-0005-0000-0000-00001C220000}"/>
    <cellStyle name="Blank Out 5" xfId="8741" xr:uid="{00000000-0005-0000-0000-00001D220000}"/>
    <cellStyle name="Blank Out 6" xfId="8742" xr:uid="{00000000-0005-0000-0000-00001E220000}"/>
    <cellStyle name="Blank Out 7" xfId="8743" xr:uid="{00000000-0005-0000-0000-00001F220000}"/>
    <cellStyle name="Blank Out 8" xfId="8744" xr:uid="{00000000-0005-0000-0000-000020220000}"/>
    <cellStyle name="Blank Out 9" xfId="8745" xr:uid="{00000000-0005-0000-0000-000021220000}"/>
    <cellStyle name="BlankedZeros" xfId="8746" xr:uid="{00000000-0005-0000-0000-000022220000}"/>
    <cellStyle name="Blue" xfId="8747" xr:uid="{00000000-0005-0000-0000-000023220000}"/>
    <cellStyle name="Blue 10" xfId="8748" xr:uid="{00000000-0005-0000-0000-000024220000}"/>
    <cellStyle name="Blue 11" xfId="8749" xr:uid="{00000000-0005-0000-0000-000025220000}"/>
    <cellStyle name="Blue 12" xfId="8750" xr:uid="{00000000-0005-0000-0000-000026220000}"/>
    <cellStyle name="Blue 13" xfId="8751" xr:uid="{00000000-0005-0000-0000-000027220000}"/>
    <cellStyle name="Blue 14" xfId="8752" xr:uid="{00000000-0005-0000-0000-000028220000}"/>
    <cellStyle name="Blue 15" xfId="8753" xr:uid="{00000000-0005-0000-0000-000029220000}"/>
    <cellStyle name="Blue 16" xfId="8754" xr:uid="{00000000-0005-0000-0000-00002A220000}"/>
    <cellStyle name="Blue 17" xfId="8755" xr:uid="{00000000-0005-0000-0000-00002B220000}"/>
    <cellStyle name="Blue 18" xfId="8756" xr:uid="{00000000-0005-0000-0000-00002C220000}"/>
    <cellStyle name="Blue 19" xfId="8757" xr:uid="{00000000-0005-0000-0000-00002D220000}"/>
    <cellStyle name="Blue 2" xfId="8758" xr:uid="{00000000-0005-0000-0000-00002E220000}"/>
    <cellStyle name="Blue 20" xfId="8759" xr:uid="{00000000-0005-0000-0000-00002F220000}"/>
    <cellStyle name="Blue 21" xfId="8760" xr:uid="{00000000-0005-0000-0000-000030220000}"/>
    <cellStyle name="Blue 22" xfId="8761" xr:uid="{00000000-0005-0000-0000-000031220000}"/>
    <cellStyle name="Blue 23" xfId="8762" xr:uid="{00000000-0005-0000-0000-000032220000}"/>
    <cellStyle name="Blue 24" xfId="8763" xr:uid="{00000000-0005-0000-0000-000033220000}"/>
    <cellStyle name="Blue 25" xfId="8764" xr:uid="{00000000-0005-0000-0000-000034220000}"/>
    <cellStyle name="Blue 26" xfId="8765" xr:uid="{00000000-0005-0000-0000-000035220000}"/>
    <cellStyle name="Blue 27" xfId="8766" xr:uid="{00000000-0005-0000-0000-000036220000}"/>
    <cellStyle name="Blue 28" xfId="8767" xr:uid="{00000000-0005-0000-0000-000037220000}"/>
    <cellStyle name="Blue 29" xfId="8768" xr:uid="{00000000-0005-0000-0000-000038220000}"/>
    <cellStyle name="Blue 29 2" xfId="8769" xr:uid="{00000000-0005-0000-0000-000039220000}"/>
    <cellStyle name="Blue 3" xfId="8770" xr:uid="{00000000-0005-0000-0000-00003A220000}"/>
    <cellStyle name="Blue 30" xfId="8771" xr:uid="{00000000-0005-0000-0000-00003B220000}"/>
    <cellStyle name="Blue 31" xfId="8772" xr:uid="{00000000-0005-0000-0000-00003C220000}"/>
    <cellStyle name="Blue 32" xfId="8773" xr:uid="{00000000-0005-0000-0000-00003D220000}"/>
    <cellStyle name="Blue 33" xfId="8774" xr:uid="{00000000-0005-0000-0000-00003E220000}"/>
    <cellStyle name="Blue 34" xfId="8775" xr:uid="{00000000-0005-0000-0000-00003F220000}"/>
    <cellStyle name="Blue 35" xfId="8776" xr:uid="{00000000-0005-0000-0000-000040220000}"/>
    <cellStyle name="Blue 36" xfId="8777" xr:uid="{00000000-0005-0000-0000-000041220000}"/>
    <cellStyle name="Blue 37" xfId="8778" xr:uid="{00000000-0005-0000-0000-000042220000}"/>
    <cellStyle name="Blue 38" xfId="8779" xr:uid="{00000000-0005-0000-0000-000043220000}"/>
    <cellStyle name="Blue 4" xfId="8780" xr:uid="{00000000-0005-0000-0000-000044220000}"/>
    <cellStyle name="Blue 5" xfId="8781" xr:uid="{00000000-0005-0000-0000-000045220000}"/>
    <cellStyle name="Blue 6" xfId="8782" xr:uid="{00000000-0005-0000-0000-000046220000}"/>
    <cellStyle name="Blue 7" xfId="8783" xr:uid="{00000000-0005-0000-0000-000047220000}"/>
    <cellStyle name="Blue 8" xfId="8784" xr:uid="{00000000-0005-0000-0000-000048220000}"/>
    <cellStyle name="Blue 9" xfId="8785" xr:uid="{00000000-0005-0000-0000-000049220000}"/>
    <cellStyle name="Blue Decimal" xfId="8786" xr:uid="{00000000-0005-0000-0000-00004A220000}"/>
    <cellStyle name="Blue Decimal 10" xfId="8787" xr:uid="{00000000-0005-0000-0000-00004B220000}"/>
    <cellStyle name="Blue Decimal 11" xfId="8788" xr:uid="{00000000-0005-0000-0000-00004C220000}"/>
    <cellStyle name="Blue Decimal 12" xfId="8789" xr:uid="{00000000-0005-0000-0000-00004D220000}"/>
    <cellStyle name="Blue Decimal 13" xfId="8790" xr:uid="{00000000-0005-0000-0000-00004E220000}"/>
    <cellStyle name="Blue Decimal 14" xfId="8791" xr:uid="{00000000-0005-0000-0000-00004F220000}"/>
    <cellStyle name="Blue Decimal 15" xfId="8792" xr:uid="{00000000-0005-0000-0000-000050220000}"/>
    <cellStyle name="Blue Decimal 16" xfId="8793" xr:uid="{00000000-0005-0000-0000-000051220000}"/>
    <cellStyle name="Blue Decimal 17" xfId="8794" xr:uid="{00000000-0005-0000-0000-000052220000}"/>
    <cellStyle name="Blue Decimal 18" xfId="8795" xr:uid="{00000000-0005-0000-0000-000053220000}"/>
    <cellStyle name="Blue Decimal 19" xfId="8796" xr:uid="{00000000-0005-0000-0000-000054220000}"/>
    <cellStyle name="Blue Decimal 2" xfId="8797" xr:uid="{00000000-0005-0000-0000-000055220000}"/>
    <cellStyle name="Blue Decimal 20" xfId="8798" xr:uid="{00000000-0005-0000-0000-000056220000}"/>
    <cellStyle name="Blue Decimal 21" xfId="8799" xr:uid="{00000000-0005-0000-0000-000057220000}"/>
    <cellStyle name="Blue Decimal 21 2" xfId="8800" xr:uid="{00000000-0005-0000-0000-000058220000}"/>
    <cellStyle name="Blue Decimal 3" xfId="8801" xr:uid="{00000000-0005-0000-0000-000059220000}"/>
    <cellStyle name="Blue Decimal 4" xfId="8802" xr:uid="{00000000-0005-0000-0000-00005A220000}"/>
    <cellStyle name="Blue Decimal 5" xfId="8803" xr:uid="{00000000-0005-0000-0000-00005B220000}"/>
    <cellStyle name="Blue Decimal 6" xfId="8804" xr:uid="{00000000-0005-0000-0000-00005C220000}"/>
    <cellStyle name="Blue Decimal 7" xfId="8805" xr:uid="{00000000-0005-0000-0000-00005D220000}"/>
    <cellStyle name="Blue Decimal 8" xfId="8806" xr:uid="{00000000-0005-0000-0000-00005E220000}"/>
    <cellStyle name="Blue Decimal 9" xfId="8807" xr:uid="{00000000-0005-0000-0000-00005F220000}"/>
    <cellStyle name="Blue Dollar" xfId="8808" xr:uid="{00000000-0005-0000-0000-000060220000}"/>
    <cellStyle name="Blue Dollar 10" xfId="8809" xr:uid="{00000000-0005-0000-0000-000061220000}"/>
    <cellStyle name="Blue Dollar 11" xfId="8810" xr:uid="{00000000-0005-0000-0000-000062220000}"/>
    <cellStyle name="Blue Dollar 12" xfId="8811" xr:uid="{00000000-0005-0000-0000-000063220000}"/>
    <cellStyle name="Blue Dollar 13" xfId="8812" xr:uid="{00000000-0005-0000-0000-000064220000}"/>
    <cellStyle name="Blue Dollar 14" xfId="8813" xr:uid="{00000000-0005-0000-0000-000065220000}"/>
    <cellStyle name="Blue Dollar 15" xfId="8814" xr:uid="{00000000-0005-0000-0000-000066220000}"/>
    <cellStyle name="Blue Dollar 16" xfId="8815" xr:uid="{00000000-0005-0000-0000-000067220000}"/>
    <cellStyle name="Blue Dollar 17" xfId="8816" xr:uid="{00000000-0005-0000-0000-000068220000}"/>
    <cellStyle name="Blue Dollar 18" xfId="8817" xr:uid="{00000000-0005-0000-0000-000069220000}"/>
    <cellStyle name="Blue Dollar 19" xfId="8818" xr:uid="{00000000-0005-0000-0000-00006A220000}"/>
    <cellStyle name="Blue Dollar 2" xfId="8819" xr:uid="{00000000-0005-0000-0000-00006B220000}"/>
    <cellStyle name="Blue Dollar 20" xfId="8820" xr:uid="{00000000-0005-0000-0000-00006C220000}"/>
    <cellStyle name="Blue Dollar 21" xfId="8821" xr:uid="{00000000-0005-0000-0000-00006D220000}"/>
    <cellStyle name="Blue Dollar 21 2" xfId="8822" xr:uid="{00000000-0005-0000-0000-00006E220000}"/>
    <cellStyle name="Blue Dollar 3" xfId="8823" xr:uid="{00000000-0005-0000-0000-00006F220000}"/>
    <cellStyle name="Blue Dollar 4" xfId="8824" xr:uid="{00000000-0005-0000-0000-000070220000}"/>
    <cellStyle name="Blue Dollar 5" xfId="8825" xr:uid="{00000000-0005-0000-0000-000071220000}"/>
    <cellStyle name="Blue Dollar 6" xfId="8826" xr:uid="{00000000-0005-0000-0000-000072220000}"/>
    <cellStyle name="Blue Dollar 7" xfId="8827" xr:uid="{00000000-0005-0000-0000-000073220000}"/>
    <cellStyle name="Blue Dollar 8" xfId="8828" xr:uid="{00000000-0005-0000-0000-000074220000}"/>
    <cellStyle name="Blue Dollar 9" xfId="8829" xr:uid="{00000000-0005-0000-0000-000075220000}"/>
    <cellStyle name="Blue EPS" xfId="8830" xr:uid="{00000000-0005-0000-0000-000076220000}"/>
    <cellStyle name="Blue EPS 10" xfId="8831" xr:uid="{00000000-0005-0000-0000-000077220000}"/>
    <cellStyle name="Blue EPS 11" xfId="8832" xr:uid="{00000000-0005-0000-0000-000078220000}"/>
    <cellStyle name="Blue EPS 12" xfId="8833" xr:uid="{00000000-0005-0000-0000-000079220000}"/>
    <cellStyle name="Blue EPS 13" xfId="8834" xr:uid="{00000000-0005-0000-0000-00007A220000}"/>
    <cellStyle name="Blue EPS 14" xfId="8835" xr:uid="{00000000-0005-0000-0000-00007B220000}"/>
    <cellStyle name="Blue EPS 15" xfId="8836" xr:uid="{00000000-0005-0000-0000-00007C220000}"/>
    <cellStyle name="Blue EPS 16" xfId="8837" xr:uid="{00000000-0005-0000-0000-00007D220000}"/>
    <cellStyle name="Blue EPS 17" xfId="8838" xr:uid="{00000000-0005-0000-0000-00007E220000}"/>
    <cellStyle name="Blue EPS 18" xfId="8839" xr:uid="{00000000-0005-0000-0000-00007F220000}"/>
    <cellStyle name="Blue EPS 19" xfId="8840" xr:uid="{00000000-0005-0000-0000-000080220000}"/>
    <cellStyle name="Blue EPS 2" xfId="8841" xr:uid="{00000000-0005-0000-0000-000081220000}"/>
    <cellStyle name="Blue EPS 20" xfId="8842" xr:uid="{00000000-0005-0000-0000-000082220000}"/>
    <cellStyle name="Blue EPS 21" xfId="8843" xr:uid="{00000000-0005-0000-0000-000083220000}"/>
    <cellStyle name="Blue EPS 3" xfId="8844" xr:uid="{00000000-0005-0000-0000-000084220000}"/>
    <cellStyle name="Blue EPS 4" xfId="8845" xr:uid="{00000000-0005-0000-0000-000085220000}"/>
    <cellStyle name="Blue EPS 5" xfId="8846" xr:uid="{00000000-0005-0000-0000-000086220000}"/>
    <cellStyle name="Blue EPS 6" xfId="8847" xr:uid="{00000000-0005-0000-0000-000087220000}"/>
    <cellStyle name="Blue EPS 7" xfId="8848" xr:uid="{00000000-0005-0000-0000-000088220000}"/>
    <cellStyle name="Blue EPS 8" xfId="8849" xr:uid="{00000000-0005-0000-0000-000089220000}"/>
    <cellStyle name="Blue EPS 9" xfId="8850" xr:uid="{00000000-0005-0000-0000-00008A220000}"/>
    <cellStyle name="Blue Text" xfId="8851" xr:uid="{00000000-0005-0000-0000-00008B220000}"/>
    <cellStyle name="Blue Text 10" xfId="8852" xr:uid="{00000000-0005-0000-0000-00008C220000}"/>
    <cellStyle name="Blue Text 11" xfId="8853" xr:uid="{00000000-0005-0000-0000-00008D220000}"/>
    <cellStyle name="Blue Text 12" xfId="8854" xr:uid="{00000000-0005-0000-0000-00008E220000}"/>
    <cellStyle name="Blue Text 13" xfId="8855" xr:uid="{00000000-0005-0000-0000-00008F220000}"/>
    <cellStyle name="Blue Text 14" xfId="8856" xr:uid="{00000000-0005-0000-0000-000090220000}"/>
    <cellStyle name="Blue Text 15" xfId="8857" xr:uid="{00000000-0005-0000-0000-000091220000}"/>
    <cellStyle name="Blue Text 16" xfId="8858" xr:uid="{00000000-0005-0000-0000-000092220000}"/>
    <cellStyle name="Blue Text 17" xfId="8859" xr:uid="{00000000-0005-0000-0000-000093220000}"/>
    <cellStyle name="Blue Text 18" xfId="8860" xr:uid="{00000000-0005-0000-0000-000094220000}"/>
    <cellStyle name="Blue Text 19" xfId="8861" xr:uid="{00000000-0005-0000-0000-000095220000}"/>
    <cellStyle name="Blue Text 2" xfId="8862" xr:uid="{00000000-0005-0000-0000-000096220000}"/>
    <cellStyle name="Blue Text 20" xfId="8863" xr:uid="{00000000-0005-0000-0000-000097220000}"/>
    <cellStyle name="Blue Text 21" xfId="8864" xr:uid="{00000000-0005-0000-0000-000098220000}"/>
    <cellStyle name="Blue Text 3" xfId="8865" xr:uid="{00000000-0005-0000-0000-000099220000}"/>
    <cellStyle name="Blue Text 4" xfId="8866" xr:uid="{00000000-0005-0000-0000-00009A220000}"/>
    <cellStyle name="Blue Text 5" xfId="8867" xr:uid="{00000000-0005-0000-0000-00009B220000}"/>
    <cellStyle name="Blue Text 6" xfId="8868" xr:uid="{00000000-0005-0000-0000-00009C220000}"/>
    <cellStyle name="Blue Text 7" xfId="8869" xr:uid="{00000000-0005-0000-0000-00009D220000}"/>
    <cellStyle name="Blue Text 8" xfId="8870" xr:uid="{00000000-0005-0000-0000-00009E220000}"/>
    <cellStyle name="Blue Text 9" xfId="8871" xr:uid="{00000000-0005-0000-0000-00009F220000}"/>
    <cellStyle name="Blue Zero Deci" xfId="8872" xr:uid="{00000000-0005-0000-0000-0000A0220000}"/>
    <cellStyle name="Blue Zero Deci 10" xfId="8873" xr:uid="{00000000-0005-0000-0000-0000A1220000}"/>
    <cellStyle name="Blue Zero Deci 11" xfId="8874" xr:uid="{00000000-0005-0000-0000-0000A2220000}"/>
    <cellStyle name="Blue Zero Deci 12" xfId="8875" xr:uid="{00000000-0005-0000-0000-0000A3220000}"/>
    <cellStyle name="Blue Zero Deci 13" xfId="8876" xr:uid="{00000000-0005-0000-0000-0000A4220000}"/>
    <cellStyle name="Blue Zero Deci 14" xfId="8877" xr:uid="{00000000-0005-0000-0000-0000A5220000}"/>
    <cellStyle name="Blue Zero Deci 15" xfId="8878" xr:uid="{00000000-0005-0000-0000-0000A6220000}"/>
    <cellStyle name="Blue Zero Deci 16" xfId="8879" xr:uid="{00000000-0005-0000-0000-0000A7220000}"/>
    <cellStyle name="Blue Zero Deci 17" xfId="8880" xr:uid="{00000000-0005-0000-0000-0000A8220000}"/>
    <cellStyle name="Blue Zero Deci 18" xfId="8881" xr:uid="{00000000-0005-0000-0000-0000A9220000}"/>
    <cellStyle name="Blue Zero Deci 19" xfId="8882" xr:uid="{00000000-0005-0000-0000-0000AA220000}"/>
    <cellStyle name="Blue Zero Deci 2" xfId="8883" xr:uid="{00000000-0005-0000-0000-0000AB220000}"/>
    <cellStyle name="Blue Zero Deci 20" xfId="8884" xr:uid="{00000000-0005-0000-0000-0000AC220000}"/>
    <cellStyle name="Blue Zero Deci 21" xfId="8885" xr:uid="{00000000-0005-0000-0000-0000AD220000}"/>
    <cellStyle name="Blue Zero Deci 3" xfId="8886" xr:uid="{00000000-0005-0000-0000-0000AE220000}"/>
    <cellStyle name="Blue Zero Deci 4" xfId="8887" xr:uid="{00000000-0005-0000-0000-0000AF220000}"/>
    <cellStyle name="Blue Zero Deci 5" xfId="8888" xr:uid="{00000000-0005-0000-0000-0000B0220000}"/>
    <cellStyle name="Blue Zero Deci 6" xfId="8889" xr:uid="{00000000-0005-0000-0000-0000B1220000}"/>
    <cellStyle name="Blue Zero Deci 7" xfId="8890" xr:uid="{00000000-0005-0000-0000-0000B2220000}"/>
    <cellStyle name="Blue Zero Deci 8" xfId="8891" xr:uid="{00000000-0005-0000-0000-0000B3220000}"/>
    <cellStyle name="Blue Zero Deci 9" xfId="8892" xr:uid="{00000000-0005-0000-0000-0000B4220000}"/>
    <cellStyle name="blue$00" xfId="8893" xr:uid="{00000000-0005-0000-0000-0000B5220000}"/>
    <cellStyle name="blue$00 10" xfId="8894" xr:uid="{00000000-0005-0000-0000-0000B6220000}"/>
    <cellStyle name="blue$00 11" xfId="8895" xr:uid="{00000000-0005-0000-0000-0000B7220000}"/>
    <cellStyle name="blue$00 12" xfId="8896" xr:uid="{00000000-0005-0000-0000-0000B8220000}"/>
    <cellStyle name="blue$00 13" xfId="8897" xr:uid="{00000000-0005-0000-0000-0000B9220000}"/>
    <cellStyle name="blue$00 14" xfId="8898" xr:uid="{00000000-0005-0000-0000-0000BA220000}"/>
    <cellStyle name="blue$00 15" xfId="8899" xr:uid="{00000000-0005-0000-0000-0000BB220000}"/>
    <cellStyle name="blue$00 16" xfId="8900" xr:uid="{00000000-0005-0000-0000-0000BC220000}"/>
    <cellStyle name="blue$00 17" xfId="8901" xr:uid="{00000000-0005-0000-0000-0000BD220000}"/>
    <cellStyle name="blue$00 18" xfId="8902" xr:uid="{00000000-0005-0000-0000-0000BE220000}"/>
    <cellStyle name="blue$00 19" xfId="8903" xr:uid="{00000000-0005-0000-0000-0000BF220000}"/>
    <cellStyle name="blue$00 2" xfId="8904" xr:uid="{00000000-0005-0000-0000-0000C0220000}"/>
    <cellStyle name="blue$00 2 2" xfId="8905" xr:uid="{00000000-0005-0000-0000-0000C1220000}"/>
    <cellStyle name="blue$00 20" xfId="8906" xr:uid="{00000000-0005-0000-0000-0000C2220000}"/>
    <cellStyle name="blue$00 21" xfId="8907" xr:uid="{00000000-0005-0000-0000-0000C3220000}"/>
    <cellStyle name="blue$00 22" xfId="8908" xr:uid="{00000000-0005-0000-0000-0000C4220000}"/>
    <cellStyle name="blue$00 23" xfId="8909" xr:uid="{00000000-0005-0000-0000-0000C5220000}"/>
    <cellStyle name="blue$00 23 2" xfId="8910" xr:uid="{00000000-0005-0000-0000-0000C6220000}"/>
    <cellStyle name="blue$00 3" xfId="8911" xr:uid="{00000000-0005-0000-0000-0000C7220000}"/>
    <cellStyle name="blue$00 3 2" xfId="8912" xr:uid="{00000000-0005-0000-0000-0000C8220000}"/>
    <cellStyle name="blue$00 4" xfId="8913" xr:uid="{00000000-0005-0000-0000-0000C9220000}"/>
    <cellStyle name="blue$00 5" xfId="8914" xr:uid="{00000000-0005-0000-0000-0000CA220000}"/>
    <cellStyle name="blue$00 6" xfId="8915" xr:uid="{00000000-0005-0000-0000-0000CB220000}"/>
    <cellStyle name="blue$00 7" xfId="8916" xr:uid="{00000000-0005-0000-0000-0000CC220000}"/>
    <cellStyle name="blue$00 8" xfId="8917" xr:uid="{00000000-0005-0000-0000-0000CD220000}"/>
    <cellStyle name="blue$00 9" xfId="8918" xr:uid="{00000000-0005-0000-0000-0000CE220000}"/>
    <cellStyle name="blue$00_Copy of AGM Dec '09 YTD COF I and II Dep  Liab (1-13-10) (2)" xfId="8919" xr:uid="{00000000-0005-0000-0000-0000CF220000}"/>
    <cellStyle name="Blue_Copy of AGM Dec '09 YTD COF I and II Dep  Liab (1-13-10) (2)" xfId="8920" xr:uid="{00000000-0005-0000-0000-0000D0220000}"/>
    <cellStyle name="Body" xfId="8921" xr:uid="{00000000-0005-0000-0000-0000D1220000}"/>
    <cellStyle name="Body 10" xfId="8922" xr:uid="{00000000-0005-0000-0000-0000D2220000}"/>
    <cellStyle name="Body 11" xfId="8923" xr:uid="{00000000-0005-0000-0000-0000D3220000}"/>
    <cellStyle name="Body 12" xfId="8924" xr:uid="{00000000-0005-0000-0000-0000D4220000}"/>
    <cellStyle name="Body 13" xfId="8925" xr:uid="{00000000-0005-0000-0000-0000D5220000}"/>
    <cellStyle name="Body 14" xfId="8926" xr:uid="{00000000-0005-0000-0000-0000D6220000}"/>
    <cellStyle name="Body 15" xfId="8927" xr:uid="{00000000-0005-0000-0000-0000D7220000}"/>
    <cellStyle name="Body 16" xfId="8928" xr:uid="{00000000-0005-0000-0000-0000D8220000}"/>
    <cellStyle name="Body 17" xfId="8929" xr:uid="{00000000-0005-0000-0000-0000D9220000}"/>
    <cellStyle name="Body 18" xfId="8930" xr:uid="{00000000-0005-0000-0000-0000DA220000}"/>
    <cellStyle name="Body 19" xfId="8931" xr:uid="{00000000-0005-0000-0000-0000DB220000}"/>
    <cellStyle name="Body 2" xfId="8932" xr:uid="{00000000-0005-0000-0000-0000DC220000}"/>
    <cellStyle name="Body 20" xfId="8933" xr:uid="{00000000-0005-0000-0000-0000DD220000}"/>
    <cellStyle name="Body 21" xfId="8934" xr:uid="{00000000-0005-0000-0000-0000DE220000}"/>
    <cellStyle name="Body 21 2" xfId="8935" xr:uid="{00000000-0005-0000-0000-0000DF220000}"/>
    <cellStyle name="Body 3" xfId="8936" xr:uid="{00000000-0005-0000-0000-0000E0220000}"/>
    <cellStyle name="Body 4" xfId="8937" xr:uid="{00000000-0005-0000-0000-0000E1220000}"/>
    <cellStyle name="Body 5" xfId="8938" xr:uid="{00000000-0005-0000-0000-0000E2220000}"/>
    <cellStyle name="Body 6" xfId="8939" xr:uid="{00000000-0005-0000-0000-0000E3220000}"/>
    <cellStyle name="Body 7" xfId="8940" xr:uid="{00000000-0005-0000-0000-0000E4220000}"/>
    <cellStyle name="Body 8" xfId="8941" xr:uid="{00000000-0005-0000-0000-0000E5220000}"/>
    <cellStyle name="Body 9" xfId="8942" xr:uid="{00000000-0005-0000-0000-0000E6220000}"/>
    <cellStyle name="Bold/Border" xfId="8943" xr:uid="{00000000-0005-0000-0000-0000E7220000}"/>
    <cellStyle name="Bold/Border 10" xfId="8944" xr:uid="{00000000-0005-0000-0000-0000E8220000}"/>
    <cellStyle name="Bold/Border 11" xfId="8945" xr:uid="{00000000-0005-0000-0000-0000E9220000}"/>
    <cellStyle name="Bold/Border 12" xfId="8946" xr:uid="{00000000-0005-0000-0000-0000EA220000}"/>
    <cellStyle name="Bold/Border 13" xfId="8947" xr:uid="{00000000-0005-0000-0000-0000EB220000}"/>
    <cellStyle name="Bold/Border 14" xfId="8948" xr:uid="{00000000-0005-0000-0000-0000EC220000}"/>
    <cellStyle name="Bold/Border 15" xfId="8949" xr:uid="{00000000-0005-0000-0000-0000ED220000}"/>
    <cellStyle name="Bold/Border 16" xfId="8950" xr:uid="{00000000-0005-0000-0000-0000EE220000}"/>
    <cellStyle name="Bold/Border 17" xfId="8951" xr:uid="{00000000-0005-0000-0000-0000EF220000}"/>
    <cellStyle name="Bold/Border 18" xfId="8952" xr:uid="{00000000-0005-0000-0000-0000F0220000}"/>
    <cellStyle name="Bold/Border 19" xfId="8953" xr:uid="{00000000-0005-0000-0000-0000F1220000}"/>
    <cellStyle name="Bold/Border 2" xfId="8954" xr:uid="{00000000-0005-0000-0000-0000F2220000}"/>
    <cellStyle name="Bold/Border 20" xfId="8955" xr:uid="{00000000-0005-0000-0000-0000F3220000}"/>
    <cellStyle name="Bold/Border 21" xfId="8956" xr:uid="{00000000-0005-0000-0000-0000F4220000}"/>
    <cellStyle name="Bold/Border 21 2" xfId="8957" xr:uid="{00000000-0005-0000-0000-0000F5220000}"/>
    <cellStyle name="Bold/Border 3" xfId="8958" xr:uid="{00000000-0005-0000-0000-0000F6220000}"/>
    <cellStyle name="Bold/Border 4" xfId="8959" xr:uid="{00000000-0005-0000-0000-0000F7220000}"/>
    <cellStyle name="Bold/Border 5" xfId="8960" xr:uid="{00000000-0005-0000-0000-0000F8220000}"/>
    <cellStyle name="Bold/Border 6" xfId="8961" xr:uid="{00000000-0005-0000-0000-0000F9220000}"/>
    <cellStyle name="Bold/Border 7" xfId="8962" xr:uid="{00000000-0005-0000-0000-0000FA220000}"/>
    <cellStyle name="Bold/Border 8" xfId="8963" xr:uid="{00000000-0005-0000-0000-0000FB220000}"/>
    <cellStyle name="Bold/Border 9" xfId="8964" xr:uid="{00000000-0005-0000-0000-0000FC220000}"/>
    <cellStyle name="Border Heavy" xfId="8965" xr:uid="{00000000-0005-0000-0000-0000FD220000}"/>
    <cellStyle name="Border Heavy 10" xfId="8966" xr:uid="{00000000-0005-0000-0000-0000FE220000}"/>
    <cellStyle name="Border Heavy 11" xfId="8967" xr:uid="{00000000-0005-0000-0000-0000FF220000}"/>
    <cellStyle name="Border Heavy 12" xfId="8968" xr:uid="{00000000-0005-0000-0000-000000230000}"/>
    <cellStyle name="Border Heavy 13" xfId="8969" xr:uid="{00000000-0005-0000-0000-000001230000}"/>
    <cellStyle name="Border Heavy 14" xfId="8970" xr:uid="{00000000-0005-0000-0000-000002230000}"/>
    <cellStyle name="Border Heavy 15" xfId="8971" xr:uid="{00000000-0005-0000-0000-000003230000}"/>
    <cellStyle name="Border Heavy 16" xfId="8972" xr:uid="{00000000-0005-0000-0000-000004230000}"/>
    <cellStyle name="Border Heavy 17" xfId="8973" xr:uid="{00000000-0005-0000-0000-000005230000}"/>
    <cellStyle name="Border Heavy 18" xfId="8974" xr:uid="{00000000-0005-0000-0000-000006230000}"/>
    <cellStyle name="Border Heavy 19" xfId="8975" xr:uid="{00000000-0005-0000-0000-000007230000}"/>
    <cellStyle name="Border Heavy 2" xfId="8976" xr:uid="{00000000-0005-0000-0000-000008230000}"/>
    <cellStyle name="Border Heavy 20" xfId="8977" xr:uid="{00000000-0005-0000-0000-000009230000}"/>
    <cellStyle name="Border Heavy 21" xfId="8978" xr:uid="{00000000-0005-0000-0000-00000A230000}"/>
    <cellStyle name="Border Heavy 21 2" xfId="8979" xr:uid="{00000000-0005-0000-0000-00000B230000}"/>
    <cellStyle name="Border Heavy 3" xfId="8980" xr:uid="{00000000-0005-0000-0000-00000C230000}"/>
    <cellStyle name="Border Heavy 4" xfId="8981" xr:uid="{00000000-0005-0000-0000-00000D230000}"/>
    <cellStyle name="Border Heavy 5" xfId="8982" xr:uid="{00000000-0005-0000-0000-00000E230000}"/>
    <cellStyle name="Border Heavy 6" xfId="8983" xr:uid="{00000000-0005-0000-0000-00000F230000}"/>
    <cellStyle name="Border Heavy 7" xfId="8984" xr:uid="{00000000-0005-0000-0000-000010230000}"/>
    <cellStyle name="Border Heavy 8" xfId="8985" xr:uid="{00000000-0005-0000-0000-000011230000}"/>
    <cellStyle name="Border Heavy 9" xfId="8986" xr:uid="{00000000-0005-0000-0000-000012230000}"/>
    <cellStyle name="Border Thin" xfId="8987" xr:uid="{00000000-0005-0000-0000-000013230000}"/>
    <cellStyle name="Border Thin 10" xfId="8988" xr:uid="{00000000-0005-0000-0000-000014230000}"/>
    <cellStyle name="Border Thin 11" xfId="8989" xr:uid="{00000000-0005-0000-0000-000015230000}"/>
    <cellStyle name="Border Thin 12" xfId="8990" xr:uid="{00000000-0005-0000-0000-000016230000}"/>
    <cellStyle name="Border Thin 13" xfId="8991" xr:uid="{00000000-0005-0000-0000-000017230000}"/>
    <cellStyle name="Border Thin 14" xfId="8992" xr:uid="{00000000-0005-0000-0000-000018230000}"/>
    <cellStyle name="Border Thin 15" xfId="8993" xr:uid="{00000000-0005-0000-0000-000019230000}"/>
    <cellStyle name="Border Thin 16" xfId="8994" xr:uid="{00000000-0005-0000-0000-00001A230000}"/>
    <cellStyle name="Border Thin 17" xfId="8995" xr:uid="{00000000-0005-0000-0000-00001B230000}"/>
    <cellStyle name="Border Thin 18" xfId="8996" xr:uid="{00000000-0005-0000-0000-00001C230000}"/>
    <cellStyle name="Border Thin 19" xfId="8997" xr:uid="{00000000-0005-0000-0000-00001D230000}"/>
    <cellStyle name="Border Thin 2" xfId="8998" xr:uid="{00000000-0005-0000-0000-00001E230000}"/>
    <cellStyle name="Border Thin 2 2" xfId="8999" xr:uid="{00000000-0005-0000-0000-00001F230000}"/>
    <cellStyle name="Border Thin 20" xfId="9000" xr:uid="{00000000-0005-0000-0000-000020230000}"/>
    <cellStyle name="Border Thin 21" xfId="9001" xr:uid="{00000000-0005-0000-0000-000021230000}"/>
    <cellStyle name="Border Thin 22" xfId="9002" xr:uid="{00000000-0005-0000-0000-000022230000}"/>
    <cellStyle name="Border Thin 23" xfId="9003" xr:uid="{00000000-0005-0000-0000-000023230000}"/>
    <cellStyle name="Border Thin 23 2" xfId="9004" xr:uid="{00000000-0005-0000-0000-000024230000}"/>
    <cellStyle name="Border Thin 3" xfId="9005" xr:uid="{00000000-0005-0000-0000-000025230000}"/>
    <cellStyle name="Border Thin 3 2" xfId="9006" xr:uid="{00000000-0005-0000-0000-000026230000}"/>
    <cellStyle name="Border Thin 4" xfId="9007" xr:uid="{00000000-0005-0000-0000-000027230000}"/>
    <cellStyle name="Border Thin 5" xfId="9008" xr:uid="{00000000-0005-0000-0000-000028230000}"/>
    <cellStyle name="Border Thin 6" xfId="9009" xr:uid="{00000000-0005-0000-0000-000029230000}"/>
    <cellStyle name="Border Thin 7" xfId="9010" xr:uid="{00000000-0005-0000-0000-00002A230000}"/>
    <cellStyle name="Border Thin 8" xfId="9011" xr:uid="{00000000-0005-0000-0000-00002B230000}"/>
    <cellStyle name="Border Thin 9" xfId="9012" xr:uid="{00000000-0005-0000-0000-00002C230000}"/>
    <cellStyle name="Border Thin_2008 COF I mgt fee calc" xfId="9013" xr:uid="{00000000-0005-0000-0000-00002D230000}"/>
    <cellStyle name="Bottom bold border" xfId="9014" xr:uid="{00000000-0005-0000-0000-00002E230000}"/>
    <cellStyle name="Bottom single border" xfId="9015" xr:uid="{00000000-0005-0000-0000-00002F230000}"/>
    <cellStyle name="Brand Align Left Text" xfId="9016" xr:uid="{00000000-0005-0000-0000-000030230000}"/>
    <cellStyle name="Brand Default" xfId="9017" xr:uid="{00000000-0005-0000-0000-000031230000}"/>
    <cellStyle name="Brand Percent" xfId="9018" xr:uid="{00000000-0005-0000-0000-000032230000}"/>
    <cellStyle name="Brand Source" xfId="9019" xr:uid="{00000000-0005-0000-0000-000033230000}"/>
    <cellStyle name="Brand Subtitle with Underline" xfId="9020" xr:uid="{00000000-0005-0000-0000-000034230000}"/>
    <cellStyle name="Brand Subtitle without Underline" xfId="9021" xr:uid="{00000000-0005-0000-0000-000035230000}"/>
    <cellStyle name="Brand Title" xfId="9022" xr:uid="{00000000-0005-0000-0000-000036230000}"/>
    <cellStyle name="British Pound" xfId="9023" xr:uid="{00000000-0005-0000-0000-000037230000}"/>
    <cellStyle name="British Pound 10" xfId="9024" xr:uid="{00000000-0005-0000-0000-000038230000}"/>
    <cellStyle name="British Pound 11" xfId="9025" xr:uid="{00000000-0005-0000-0000-000039230000}"/>
    <cellStyle name="British Pound 12" xfId="9026" xr:uid="{00000000-0005-0000-0000-00003A230000}"/>
    <cellStyle name="British Pound 13" xfId="9027" xr:uid="{00000000-0005-0000-0000-00003B230000}"/>
    <cellStyle name="British Pound 14" xfId="9028" xr:uid="{00000000-0005-0000-0000-00003C230000}"/>
    <cellStyle name="British Pound 15" xfId="9029" xr:uid="{00000000-0005-0000-0000-00003D230000}"/>
    <cellStyle name="British Pound 16" xfId="9030" xr:uid="{00000000-0005-0000-0000-00003E230000}"/>
    <cellStyle name="British Pound 17" xfId="9031" xr:uid="{00000000-0005-0000-0000-00003F230000}"/>
    <cellStyle name="British Pound 18" xfId="9032" xr:uid="{00000000-0005-0000-0000-000040230000}"/>
    <cellStyle name="British Pound 19" xfId="9033" xr:uid="{00000000-0005-0000-0000-000041230000}"/>
    <cellStyle name="British Pound 2" xfId="9034" xr:uid="{00000000-0005-0000-0000-000042230000}"/>
    <cellStyle name="British Pound 20" xfId="9035" xr:uid="{00000000-0005-0000-0000-000043230000}"/>
    <cellStyle name="British Pound 21" xfId="9036" xr:uid="{00000000-0005-0000-0000-000044230000}"/>
    <cellStyle name="British Pound 21 2" xfId="9037" xr:uid="{00000000-0005-0000-0000-000045230000}"/>
    <cellStyle name="British Pound 3" xfId="9038" xr:uid="{00000000-0005-0000-0000-000046230000}"/>
    <cellStyle name="British Pound 4" xfId="9039" xr:uid="{00000000-0005-0000-0000-000047230000}"/>
    <cellStyle name="British Pound 5" xfId="9040" xr:uid="{00000000-0005-0000-0000-000048230000}"/>
    <cellStyle name="British Pound 6" xfId="9041" xr:uid="{00000000-0005-0000-0000-000049230000}"/>
    <cellStyle name="British Pound 7" xfId="9042" xr:uid="{00000000-0005-0000-0000-00004A230000}"/>
    <cellStyle name="British Pound 8" xfId="9043" xr:uid="{00000000-0005-0000-0000-00004B230000}"/>
    <cellStyle name="British Pound 9" xfId="9044" xr:uid="{00000000-0005-0000-0000-00004C230000}"/>
    <cellStyle name="Bullet" xfId="9045" xr:uid="{00000000-0005-0000-0000-00004D230000}"/>
    <cellStyle name="Bullet [0]" xfId="9046" xr:uid="{00000000-0005-0000-0000-00004E230000}"/>
    <cellStyle name="Bullet [2]" xfId="9047" xr:uid="{00000000-0005-0000-0000-00004F230000}"/>
    <cellStyle name="Bullet [4]" xfId="9048" xr:uid="{00000000-0005-0000-0000-000050230000}"/>
    <cellStyle name="Bullet 10" xfId="9049" xr:uid="{00000000-0005-0000-0000-000051230000}"/>
    <cellStyle name="Bullet 11" xfId="9050" xr:uid="{00000000-0005-0000-0000-000052230000}"/>
    <cellStyle name="Bullet 12" xfId="9051" xr:uid="{00000000-0005-0000-0000-000053230000}"/>
    <cellStyle name="Bullet 13" xfId="9052" xr:uid="{00000000-0005-0000-0000-000054230000}"/>
    <cellStyle name="Bullet 14" xfId="9053" xr:uid="{00000000-0005-0000-0000-000055230000}"/>
    <cellStyle name="Bullet 15" xfId="9054" xr:uid="{00000000-0005-0000-0000-000056230000}"/>
    <cellStyle name="Bullet 16" xfId="9055" xr:uid="{00000000-0005-0000-0000-000057230000}"/>
    <cellStyle name="Bullet 17" xfId="9056" xr:uid="{00000000-0005-0000-0000-000058230000}"/>
    <cellStyle name="Bullet 18" xfId="9057" xr:uid="{00000000-0005-0000-0000-000059230000}"/>
    <cellStyle name="Bullet 19" xfId="9058" xr:uid="{00000000-0005-0000-0000-00005A230000}"/>
    <cellStyle name="Bullet 2" xfId="9059" xr:uid="{00000000-0005-0000-0000-00005B230000}"/>
    <cellStyle name="Bullet 20" xfId="9060" xr:uid="{00000000-0005-0000-0000-00005C230000}"/>
    <cellStyle name="Bullet 21" xfId="9061" xr:uid="{00000000-0005-0000-0000-00005D230000}"/>
    <cellStyle name="Bullet 21 2" xfId="9062" xr:uid="{00000000-0005-0000-0000-00005E230000}"/>
    <cellStyle name="Bullet 3" xfId="9063" xr:uid="{00000000-0005-0000-0000-00005F230000}"/>
    <cellStyle name="Bullet 4" xfId="9064" xr:uid="{00000000-0005-0000-0000-000060230000}"/>
    <cellStyle name="Bullet 5" xfId="9065" xr:uid="{00000000-0005-0000-0000-000061230000}"/>
    <cellStyle name="Bullet 6" xfId="9066" xr:uid="{00000000-0005-0000-0000-000062230000}"/>
    <cellStyle name="Bullet 7" xfId="9067" xr:uid="{00000000-0005-0000-0000-000063230000}"/>
    <cellStyle name="Bullet 8" xfId="9068" xr:uid="{00000000-0005-0000-0000-000064230000}"/>
    <cellStyle name="Bullet 9" xfId="9069" xr:uid="{00000000-0005-0000-0000-000065230000}"/>
    <cellStyle name="c" xfId="9070" xr:uid="{00000000-0005-0000-0000-000066230000}"/>
    <cellStyle name="c 10" xfId="9071" xr:uid="{00000000-0005-0000-0000-000067230000}"/>
    <cellStyle name="c 11" xfId="9072" xr:uid="{00000000-0005-0000-0000-000068230000}"/>
    <cellStyle name="c 12" xfId="9073" xr:uid="{00000000-0005-0000-0000-000069230000}"/>
    <cellStyle name="c 13" xfId="9074" xr:uid="{00000000-0005-0000-0000-00006A230000}"/>
    <cellStyle name="c 14" xfId="9075" xr:uid="{00000000-0005-0000-0000-00006B230000}"/>
    <cellStyle name="c 15" xfId="9076" xr:uid="{00000000-0005-0000-0000-00006C230000}"/>
    <cellStyle name="c 16" xfId="9077" xr:uid="{00000000-0005-0000-0000-00006D230000}"/>
    <cellStyle name="c 17" xfId="9078" xr:uid="{00000000-0005-0000-0000-00006E230000}"/>
    <cellStyle name="c 18" xfId="9079" xr:uid="{00000000-0005-0000-0000-00006F230000}"/>
    <cellStyle name="c 19" xfId="9080" xr:uid="{00000000-0005-0000-0000-000070230000}"/>
    <cellStyle name="c 2" xfId="9081" xr:uid="{00000000-0005-0000-0000-000071230000}"/>
    <cellStyle name="c 20" xfId="9082" xr:uid="{00000000-0005-0000-0000-000072230000}"/>
    <cellStyle name="c 21" xfId="9083" xr:uid="{00000000-0005-0000-0000-000073230000}"/>
    <cellStyle name="c 21 2" xfId="9084" xr:uid="{00000000-0005-0000-0000-000074230000}"/>
    <cellStyle name="c 3" xfId="9085" xr:uid="{00000000-0005-0000-0000-000075230000}"/>
    <cellStyle name="c 4" xfId="9086" xr:uid="{00000000-0005-0000-0000-000076230000}"/>
    <cellStyle name="c 5" xfId="9087" xr:uid="{00000000-0005-0000-0000-000077230000}"/>
    <cellStyle name="c 6" xfId="9088" xr:uid="{00000000-0005-0000-0000-000078230000}"/>
    <cellStyle name="c 7" xfId="9089" xr:uid="{00000000-0005-0000-0000-000079230000}"/>
    <cellStyle name="c 8" xfId="9090" xr:uid="{00000000-0005-0000-0000-00007A230000}"/>
    <cellStyle name="c 9" xfId="9091" xr:uid="{00000000-0005-0000-0000-00007B230000}"/>
    <cellStyle name="c_{6} Clawback" xfId="9092" xr:uid="{00000000-0005-0000-0000-00007C230000}"/>
    <cellStyle name="c_Agnesi (2)" xfId="9093" xr:uid="{00000000-0005-0000-0000-00007D230000}"/>
    <cellStyle name="c_Agnesi (2) 10" xfId="9094" xr:uid="{00000000-0005-0000-0000-00007E230000}"/>
    <cellStyle name="c_Agnesi (2) 11" xfId="9095" xr:uid="{00000000-0005-0000-0000-00007F230000}"/>
    <cellStyle name="c_Agnesi (2) 12" xfId="9096" xr:uid="{00000000-0005-0000-0000-000080230000}"/>
    <cellStyle name="c_Agnesi (2) 13" xfId="9097" xr:uid="{00000000-0005-0000-0000-000081230000}"/>
    <cellStyle name="c_Agnesi (2) 14" xfId="9098" xr:uid="{00000000-0005-0000-0000-000082230000}"/>
    <cellStyle name="c_Agnesi (2) 15" xfId="9099" xr:uid="{00000000-0005-0000-0000-000083230000}"/>
    <cellStyle name="c_Agnesi (2) 16" xfId="9100" xr:uid="{00000000-0005-0000-0000-000084230000}"/>
    <cellStyle name="c_Agnesi (2) 17" xfId="9101" xr:uid="{00000000-0005-0000-0000-000085230000}"/>
    <cellStyle name="c_Agnesi (2) 18" xfId="9102" xr:uid="{00000000-0005-0000-0000-000086230000}"/>
    <cellStyle name="c_Agnesi (2) 19" xfId="9103" xr:uid="{00000000-0005-0000-0000-000087230000}"/>
    <cellStyle name="c_Agnesi (2) 2" xfId="9104" xr:uid="{00000000-0005-0000-0000-000088230000}"/>
    <cellStyle name="c_Agnesi (2) 20" xfId="9105" xr:uid="{00000000-0005-0000-0000-000089230000}"/>
    <cellStyle name="c_Agnesi (2) 21" xfId="9106" xr:uid="{00000000-0005-0000-0000-00008A230000}"/>
    <cellStyle name="c_Agnesi (2) 21 2" xfId="9107" xr:uid="{00000000-0005-0000-0000-00008B230000}"/>
    <cellStyle name="c_Agnesi (2) 3" xfId="9108" xr:uid="{00000000-0005-0000-0000-00008C230000}"/>
    <cellStyle name="c_Agnesi (2) 4" xfId="9109" xr:uid="{00000000-0005-0000-0000-00008D230000}"/>
    <cellStyle name="c_Agnesi (2) 5" xfId="9110" xr:uid="{00000000-0005-0000-0000-00008E230000}"/>
    <cellStyle name="c_Agnesi (2) 6" xfId="9111" xr:uid="{00000000-0005-0000-0000-00008F230000}"/>
    <cellStyle name="c_Agnesi (2) 7" xfId="9112" xr:uid="{00000000-0005-0000-0000-000090230000}"/>
    <cellStyle name="c_Agnesi (2) 8" xfId="9113" xr:uid="{00000000-0005-0000-0000-000091230000}"/>
    <cellStyle name="c_Agnesi (2) 9" xfId="9114" xr:uid="{00000000-0005-0000-0000-000092230000}"/>
    <cellStyle name="c_Agnesi (2)_{6} Clawback" xfId="9115" xr:uid="{00000000-0005-0000-0000-000093230000}"/>
    <cellStyle name="c_Agnesi (2)_AIF IV Financial Highlights 12-31-08 v4" xfId="9116" xr:uid="{00000000-0005-0000-0000-000094230000}"/>
    <cellStyle name="c_Agnesi (2)_AIF IV Financial Highlights 12-31-08 v4_Apollo Investment Fund IV  Q3 2009 Capital Analysis CURRENT" xfId="9117" xr:uid="{00000000-0005-0000-0000-000095230000}"/>
    <cellStyle name="c_Agnesi (2)_AIF IV Financial Highlights 12-31-08 v4_Apollo Investment Fund IV  Q3 2009 Capital Analysis iPCS &amp; URI Distribution" xfId="9118" xr:uid="{00000000-0005-0000-0000-000096230000}"/>
    <cellStyle name="c_Agnesi (2)_AIF IV Financial Highlights 12-31-08 v4_iPCs#1-Remaining" xfId="9119" xr:uid="{00000000-0005-0000-0000-000097230000}"/>
    <cellStyle name="c_Agnesi (2)_Andy Affrick - Schedulev2" xfId="9120" xr:uid="{00000000-0005-0000-0000-000098230000}"/>
    <cellStyle name="c_Agnesi (2)_Apollo Investment Fund IV  April Priority Return" xfId="9121" xr:uid="{00000000-0005-0000-0000-000099230000}"/>
    <cellStyle name="c_Agnesi (2)_Carry Calculation" xfId="9122" xr:uid="{00000000-0005-0000-0000-00009A230000}"/>
    <cellStyle name="c_Agnesi (2)_Fund IV" xfId="9123" xr:uid="{00000000-0005-0000-0000-00009B230000}"/>
    <cellStyle name="c_Agnesi (2)_Fund IV_1" xfId="9124" xr:uid="{00000000-0005-0000-0000-00009C230000}"/>
    <cellStyle name="c_Agnesi (2)_Fund IV_Funds IV Clawback Value Adjustment" xfId="9125" xr:uid="{00000000-0005-0000-0000-00009D230000}"/>
    <cellStyle name="c_Agnesi (2)_Funds IV Clawback Adjustment Summary" xfId="9126" xr:uid="{00000000-0005-0000-0000-00009E230000}"/>
    <cellStyle name="c_Agnesi (2)_MMF Income" xfId="9127" xr:uid="{00000000-0005-0000-0000-00009F230000}"/>
    <cellStyle name="c_Agnesi (2)_Partners Capital Q1 2009" xfId="9128" xr:uid="{00000000-0005-0000-0000-0000A0230000}"/>
    <cellStyle name="c_Agnesi (2)_Partners Capital Q1 2009 2" xfId="9129" xr:uid="{00000000-0005-0000-0000-0000A1230000}"/>
    <cellStyle name="c_Agnesi (2)_Partners Capital Q1 2009 3" xfId="9130" xr:uid="{00000000-0005-0000-0000-0000A2230000}"/>
    <cellStyle name="c_Agnesi (2)_Partners Capital Q1 2009_AIF VI - BondcoVI_Entities Invested Capital (CURRENT)" xfId="9131" xr:uid="{00000000-0005-0000-0000-0000A3230000}"/>
    <cellStyle name="c_Agnesi (2)_Partners Capital Q1 2009_Invested Capital Debt Worksheet" xfId="9132" xr:uid="{00000000-0005-0000-0000-0000A4230000}"/>
    <cellStyle name="c_Agnesi (2)_Partners Capital Q1 2009_MMF Income" xfId="9133" xr:uid="{00000000-0005-0000-0000-0000A5230000}"/>
    <cellStyle name="c_Agnesi (2)_Partners Capital Q1 2009_Realized Gain Loss" xfId="9134" xr:uid="{00000000-0005-0000-0000-0000A6230000}"/>
    <cellStyle name="c_Agnesi (2)_Placement Fee Summary 05-14-09 - Current (2)" xfId="9135" xr:uid="{00000000-0005-0000-0000-0000A7230000}"/>
    <cellStyle name="c_Agnesi (2)_PR Calc" xfId="9136" xr:uid="{00000000-0005-0000-0000-0000A8230000}"/>
    <cellStyle name="c_Agnesi (2)_Realized Gain Loss" xfId="9137" xr:uid="{00000000-0005-0000-0000-0000A9230000}"/>
    <cellStyle name="c_AIF IV Financial Highlights 12-31-08 v4" xfId="9138" xr:uid="{00000000-0005-0000-0000-0000AA230000}"/>
    <cellStyle name="c_AIF IV Financial Highlights 12-31-08 v4_Apollo Investment Fund IV  Q3 2009 Capital Analysis CURRENT" xfId="9139" xr:uid="{00000000-0005-0000-0000-0000AB230000}"/>
    <cellStyle name="c_AIF IV Financial Highlights 12-31-08 v4_Apollo Investment Fund IV  Q3 2009 Capital Analysis iPCS &amp; URI Distribution" xfId="9140" xr:uid="{00000000-0005-0000-0000-0000AC230000}"/>
    <cellStyle name="c_AIF IV Financial Highlights 12-31-08 v4_iPCs#1-Remaining" xfId="9141" xr:uid="{00000000-0005-0000-0000-0000AD230000}"/>
    <cellStyle name="c_Andy Affrick - Schedulev2" xfId="9142" xr:uid="{00000000-0005-0000-0000-0000AE230000}"/>
    <cellStyle name="c_Apollo Investment Fund IV  April Priority Return" xfId="9143" xr:uid="{00000000-0005-0000-0000-0000AF230000}"/>
    <cellStyle name="c_Carry Calculation" xfId="9144" xr:uid="{00000000-0005-0000-0000-0000B0230000}"/>
    <cellStyle name="c_Cases (2)" xfId="9145" xr:uid="{00000000-0005-0000-0000-0000B1230000}"/>
    <cellStyle name="c_Cases (2) 10" xfId="9146" xr:uid="{00000000-0005-0000-0000-0000B2230000}"/>
    <cellStyle name="c_Cases (2) 11" xfId="9147" xr:uid="{00000000-0005-0000-0000-0000B3230000}"/>
    <cellStyle name="c_Cases (2) 12" xfId="9148" xr:uid="{00000000-0005-0000-0000-0000B4230000}"/>
    <cellStyle name="c_Cases (2) 13" xfId="9149" xr:uid="{00000000-0005-0000-0000-0000B5230000}"/>
    <cellStyle name="c_Cases (2) 14" xfId="9150" xr:uid="{00000000-0005-0000-0000-0000B6230000}"/>
    <cellStyle name="c_Cases (2) 15" xfId="9151" xr:uid="{00000000-0005-0000-0000-0000B7230000}"/>
    <cellStyle name="c_Cases (2) 16" xfId="9152" xr:uid="{00000000-0005-0000-0000-0000B8230000}"/>
    <cellStyle name="c_Cases (2) 17" xfId="9153" xr:uid="{00000000-0005-0000-0000-0000B9230000}"/>
    <cellStyle name="c_Cases (2) 18" xfId="9154" xr:uid="{00000000-0005-0000-0000-0000BA230000}"/>
    <cellStyle name="c_Cases (2) 19" xfId="9155" xr:uid="{00000000-0005-0000-0000-0000BB230000}"/>
    <cellStyle name="c_Cases (2) 2" xfId="9156" xr:uid="{00000000-0005-0000-0000-0000BC230000}"/>
    <cellStyle name="c_Cases (2) 20" xfId="9157" xr:uid="{00000000-0005-0000-0000-0000BD230000}"/>
    <cellStyle name="c_Cases (2) 21" xfId="9158" xr:uid="{00000000-0005-0000-0000-0000BE230000}"/>
    <cellStyle name="c_Cases (2) 21 2" xfId="9159" xr:uid="{00000000-0005-0000-0000-0000BF230000}"/>
    <cellStyle name="c_Cases (2) 3" xfId="9160" xr:uid="{00000000-0005-0000-0000-0000C0230000}"/>
    <cellStyle name="c_Cases (2) 4" xfId="9161" xr:uid="{00000000-0005-0000-0000-0000C1230000}"/>
    <cellStyle name="c_Cases (2) 5" xfId="9162" xr:uid="{00000000-0005-0000-0000-0000C2230000}"/>
    <cellStyle name="c_Cases (2) 6" xfId="9163" xr:uid="{00000000-0005-0000-0000-0000C3230000}"/>
    <cellStyle name="c_Cases (2) 7" xfId="9164" xr:uid="{00000000-0005-0000-0000-0000C4230000}"/>
    <cellStyle name="c_Cases (2) 8" xfId="9165" xr:uid="{00000000-0005-0000-0000-0000C5230000}"/>
    <cellStyle name="c_Cases (2) 9" xfId="9166" xr:uid="{00000000-0005-0000-0000-0000C6230000}"/>
    <cellStyle name="c_Cases (2)_{6} Clawback" xfId="9167" xr:uid="{00000000-0005-0000-0000-0000C7230000}"/>
    <cellStyle name="c_Cases (2)_AIF IV Financial Highlights 12-31-08 v4" xfId="9168" xr:uid="{00000000-0005-0000-0000-0000C8230000}"/>
    <cellStyle name="c_Cases (2)_AIF IV Financial Highlights 12-31-08 v4_Apollo Investment Fund IV  Q3 2009 Capital Analysis CURRENT" xfId="9169" xr:uid="{00000000-0005-0000-0000-0000C9230000}"/>
    <cellStyle name="c_Cases (2)_AIF IV Financial Highlights 12-31-08 v4_Apollo Investment Fund IV  Q3 2009 Capital Analysis iPCS &amp; URI Distribution" xfId="9170" xr:uid="{00000000-0005-0000-0000-0000CA230000}"/>
    <cellStyle name="c_Cases (2)_AIF IV Financial Highlights 12-31-08 v4_iPCs#1-Remaining" xfId="9171" xr:uid="{00000000-0005-0000-0000-0000CB230000}"/>
    <cellStyle name="c_Cases (2)_Andy Affrick - Schedulev2" xfId="9172" xr:uid="{00000000-0005-0000-0000-0000CC230000}"/>
    <cellStyle name="c_Cases (2)_Apollo Investment Fund IV  April Priority Return" xfId="9173" xr:uid="{00000000-0005-0000-0000-0000CD230000}"/>
    <cellStyle name="c_Cases (2)_Carry Calculation" xfId="9174" xr:uid="{00000000-0005-0000-0000-0000CE230000}"/>
    <cellStyle name="c_Cases (2)_Fund IV" xfId="9175" xr:uid="{00000000-0005-0000-0000-0000CF230000}"/>
    <cellStyle name="c_Cases (2)_Fund IV_1" xfId="9176" xr:uid="{00000000-0005-0000-0000-0000D0230000}"/>
    <cellStyle name="c_Cases (2)_Fund IV_Funds IV Clawback Value Adjustment" xfId="9177" xr:uid="{00000000-0005-0000-0000-0000D1230000}"/>
    <cellStyle name="c_Cases (2)_Funds IV Clawback Adjustment Summary" xfId="9178" xr:uid="{00000000-0005-0000-0000-0000D2230000}"/>
    <cellStyle name="c_Cases (2)_MMF Income" xfId="9179" xr:uid="{00000000-0005-0000-0000-0000D3230000}"/>
    <cellStyle name="c_Cases (2)_Partners Capital Q1 2009" xfId="9180" xr:uid="{00000000-0005-0000-0000-0000D4230000}"/>
    <cellStyle name="c_Cases (2)_Partners Capital Q1 2009 2" xfId="9181" xr:uid="{00000000-0005-0000-0000-0000D5230000}"/>
    <cellStyle name="c_Cases (2)_Partners Capital Q1 2009 3" xfId="9182" xr:uid="{00000000-0005-0000-0000-0000D6230000}"/>
    <cellStyle name="c_Cases (2)_Partners Capital Q1 2009_AIF VI - BondcoVI_Entities Invested Capital (CURRENT)" xfId="9183" xr:uid="{00000000-0005-0000-0000-0000D7230000}"/>
    <cellStyle name="c_Cases (2)_Partners Capital Q1 2009_Invested Capital Debt Worksheet" xfId="9184" xr:uid="{00000000-0005-0000-0000-0000D8230000}"/>
    <cellStyle name="c_Cases (2)_Partners Capital Q1 2009_MMF Income" xfId="9185" xr:uid="{00000000-0005-0000-0000-0000D9230000}"/>
    <cellStyle name="c_Cases (2)_Partners Capital Q1 2009_Realized Gain Loss" xfId="9186" xr:uid="{00000000-0005-0000-0000-0000DA230000}"/>
    <cellStyle name="c_Cases (2)_Placement Fee Summary 05-14-09 - Current (2)" xfId="9187" xr:uid="{00000000-0005-0000-0000-0000DB230000}"/>
    <cellStyle name="c_Cases (2)_PR Calc" xfId="9188" xr:uid="{00000000-0005-0000-0000-0000DC230000}"/>
    <cellStyle name="c_Cases (2)_Realized Gain Loss" xfId="9189" xr:uid="{00000000-0005-0000-0000-0000DD230000}"/>
    <cellStyle name="c_Consolidated_Bal Sheets (2)" xfId="9190" xr:uid="{00000000-0005-0000-0000-0000DE230000}"/>
    <cellStyle name="c_Consolidated_Bal Sheets (2) 10" xfId="9191" xr:uid="{00000000-0005-0000-0000-0000DF230000}"/>
    <cellStyle name="c_Consolidated_Bal Sheets (2) 11" xfId="9192" xr:uid="{00000000-0005-0000-0000-0000E0230000}"/>
    <cellStyle name="c_Consolidated_Bal Sheets (2) 12" xfId="9193" xr:uid="{00000000-0005-0000-0000-0000E1230000}"/>
    <cellStyle name="c_Consolidated_Bal Sheets (2) 13" xfId="9194" xr:uid="{00000000-0005-0000-0000-0000E2230000}"/>
    <cellStyle name="c_Consolidated_Bal Sheets (2) 14" xfId="9195" xr:uid="{00000000-0005-0000-0000-0000E3230000}"/>
    <cellStyle name="c_Consolidated_Bal Sheets (2) 15" xfId="9196" xr:uid="{00000000-0005-0000-0000-0000E4230000}"/>
    <cellStyle name="c_Consolidated_Bal Sheets (2) 16" xfId="9197" xr:uid="{00000000-0005-0000-0000-0000E5230000}"/>
    <cellStyle name="c_Consolidated_Bal Sheets (2) 17" xfId="9198" xr:uid="{00000000-0005-0000-0000-0000E6230000}"/>
    <cellStyle name="c_Consolidated_Bal Sheets (2) 18" xfId="9199" xr:uid="{00000000-0005-0000-0000-0000E7230000}"/>
    <cellStyle name="c_Consolidated_Bal Sheets (2) 19" xfId="9200" xr:uid="{00000000-0005-0000-0000-0000E8230000}"/>
    <cellStyle name="c_Consolidated_Bal Sheets (2) 2" xfId="9201" xr:uid="{00000000-0005-0000-0000-0000E9230000}"/>
    <cellStyle name="c_Consolidated_Bal Sheets (2) 20" xfId="9202" xr:uid="{00000000-0005-0000-0000-0000EA230000}"/>
    <cellStyle name="c_Consolidated_Bal Sheets (2) 21" xfId="9203" xr:uid="{00000000-0005-0000-0000-0000EB230000}"/>
    <cellStyle name="c_Consolidated_Bal Sheets (2) 21 2" xfId="9204" xr:uid="{00000000-0005-0000-0000-0000EC230000}"/>
    <cellStyle name="c_Consolidated_Bal Sheets (2) 3" xfId="9205" xr:uid="{00000000-0005-0000-0000-0000ED230000}"/>
    <cellStyle name="c_Consolidated_Bal Sheets (2) 4" xfId="9206" xr:uid="{00000000-0005-0000-0000-0000EE230000}"/>
    <cellStyle name="c_Consolidated_Bal Sheets (2) 5" xfId="9207" xr:uid="{00000000-0005-0000-0000-0000EF230000}"/>
    <cellStyle name="c_Consolidated_Bal Sheets (2) 6" xfId="9208" xr:uid="{00000000-0005-0000-0000-0000F0230000}"/>
    <cellStyle name="c_Consolidated_Bal Sheets (2) 7" xfId="9209" xr:uid="{00000000-0005-0000-0000-0000F1230000}"/>
    <cellStyle name="c_Consolidated_Bal Sheets (2) 8" xfId="9210" xr:uid="{00000000-0005-0000-0000-0000F2230000}"/>
    <cellStyle name="c_Consolidated_Bal Sheets (2) 9" xfId="9211" xr:uid="{00000000-0005-0000-0000-0000F3230000}"/>
    <cellStyle name="c_Consolidated_Bal Sheets (2)_{6} Clawback" xfId="9212" xr:uid="{00000000-0005-0000-0000-0000F4230000}"/>
    <cellStyle name="c_Consolidated_Bal Sheets (2)_AIF IV Financial Highlights 12-31-08 v4" xfId="9213" xr:uid="{00000000-0005-0000-0000-0000F5230000}"/>
    <cellStyle name="c_Consolidated_Bal Sheets (2)_AIF IV Financial Highlights 12-31-08 v4_Apollo Investment Fund IV  Q3 2009 Capital Analysis CURRENT" xfId="9214" xr:uid="{00000000-0005-0000-0000-0000F6230000}"/>
    <cellStyle name="c_Consolidated_Bal Sheets (2)_AIF IV Financial Highlights 12-31-08 v4_Apollo Investment Fund IV  Q3 2009 Capital Analysis iPCS &amp; URI Distribution" xfId="9215" xr:uid="{00000000-0005-0000-0000-0000F7230000}"/>
    <cellStyle name="c_Consolidated_Bal Sheets (2)_AIF IV Financial Highlights 12-31-08 v4_iPCs#1-Remaining" xfId="9216" xr:uid="{00000000-0005-0000-0000-0000F8230000}"/>
    <cellStyle name="c_Consolidated_Bal Sheets (2)_Andy Affrick - Schedulev2" xfId="9217" xr:uid="{00000000-0005-0000-0000-0000F9230000}"/>
    <cellStyle name="c_Consolidated_Bal Sheets (2)_Apollo Investment Fund IV  April Priority Return" xfId="9218" xr:uid="{00000000-0005-0000-0000-0000FA230000}"/>
    <cellStyle name="c_Consolidated_Bal Sheets (2)_Carry Calculation" xfId="9219" xr:uid="{00000000-0005-0000-0000-0000FB230000}"/>
    <cellStyle name="c_Consolidated_Bal Sheets (2)_Fund IV" xfId="9220" xr:uid="{00000000-0005-0000-0000-0000FC230000}"/>
    <cellStyle name="c_Consolidated_Bal Sheets (2)_Fund IV_1" xfId="9221" xr:uid="{00000000-0005-0000-0000-0000FD230000}"/>
    <cellStyle name="c_Consolidated_Bal Sheets (2)_Fund IV_Funds IV Clawback Value Adjustment" xfId="9222" xr:uid="{00000000-0005-0000-0000-0000FE230000}"/>
    <cellStyle name="c_Consolidated_Bal Sheets (2)_Funds IV Clawback Adjustment Summary" xfId="9223" xr:uid="{00000000-0005-0000-0000-0000FF230000}"/>
    <cellStyle name="c_Consolidated_Bal Sheets (2)_MMF Income" xfId="9224" xr:uid="{00000000-0005-0000-0000-000000240000}"/>
    <cellStyle name="c_Consolidated_Bal Sheets (2)_Partners Capital Q1 2009" xfId="9225" xr:uid="{00000000-0005-0000-0000-000001240000}"/>
    <cellStyle name="c_Consolidated_Bal Sheets (2)_Partners Capital Q1 2009 2" xfId="9226" xr:uid="{00000000-0005-0000-0000-000002240000}"/>
    <cellStyle name="c_Consolidated_Bal Sheets (2)_Partners Capital Q1 2009 3" xfId="9227" xr:uid="{00000000-0005-0000-0000-000003240000}"/>
    <cellStyle name="c_Consolidated_Bal Sheets (2)_Partners Capital Q1 2009_AIF VI - BondcoVI_Entities Invested Capital (CURRENT)" xfId="9228" xr:uid="{00000000-0005-0000-0000-000004240000}"/>
    <cellStyle name="c_Consolidated_Bal Sheets (2)_Partners Capital Q1 2009_Invested Capital Debt Worksheet" xfId="9229" xr:uid="{00000000-0005-0000-0000-000005240000}"/>
    <cellStyle name="c_Consolidated_Bal Sheets (2)_Partners Capital Q1 2009_MMF Income" xfId="9230" xr:uid="{00000000-0005-0000-0000-000006240000}"/>
    <cellStyle name="c_Consolidated_Bal Sheets (2)_Partners Capital Q1 2009_Realized Gain Loss" xfId="9231" xr:uid="{00000000-0005-0000-0000-000007240000}"/>
    <cellStyle name="c_Consolidated_Bal Sheets (2)_Placement Fee Summary 05-14-09 - Current (2)" xfId="9232" xr:uid="{00000000-0005-0000-0000-000008240000}"/>
    <cellStyle name="c_Consolidated_Bal Sheets (2)_PR Calc" xfId="9233" xr:uid="{00000000-0005-0000-0000-000009240000}"/>
    <cellStyle name="c_Consolidated_Bal Sheets (2)_Realized Gain Loss" xfId="9234" xr:uid="{00000000-0005-0000-0000-00000A240000}"/>
    <cellStyle name="c_Consolidated_Earnings (2)" xfId="9235" xr:uid="{00000000-0005-0000-0000-00000B240000}"/>
    <cellStyle name="c_Consolidated_Earnings (2) 10" xfId="9236" xr:uid="{00000000-0005-0000-0000-00000C240000}"/>
    <cellStyle name="c_Consolidated_Earnings (2) 11" xfId="9237" xr:uid="{00000000-0005-0000-0000-00000D240000}"/>
    <cellStyle name="c_Consolidated_Earnings (2) 12" xfId="9238" xr:uid="{00000000-0005-0000-0000-00000E240000}"/>
    <cellStyle name="c_Consolidated_Earnings (2) 13" xfId="9239" xr:uid="{00000000-0005-0000-0000-00000F240000}"/>
    <cellStyle name="c_Consolidated_Earnings (2) 14" xfId="9240" xr:uid="{00000000-0005-0000-0000-000010240000}"/>
    <cellStyle name="c_Consolidated_Earnings (2) 15" xfId="9241" xr:uid="{00000000-0005-0000-0000-000011240000}"/>
    <cellStyle name="c_Consolidated_Earnings (2) 16" xfId="9242" xr:uid="{00000000-0005-0000-0000-000012240000}"/>
    <cellStyle name="c_Consolidated_Earnings (2) 17" xfId="9243" xr:uid="{00000000-0005-0000-0000-000013240000}"/>
    <cellStyle name="c_Consolidated_Earnings (2) 18" xfId="9244" xr:uid="{00000000-0005-0000-0000-000014240000}"/>
    <cellStyle name="c_Consolidated_Earnings (2) 19" xfId="9245" xr:uid="{00000000-0005-0000-0000-000015240000}"/>
    <cellStyle name="c_Consolidated_Earnings (2) 2" xfId="9246" xr:uid="{00000000-0005-0000-0000-000016240000}"/>
    <cellStyle name="c_Consolidated_Earnings (2) 20" xfId="9247" xr:uid="{00000000-0005-0000-0000-000017240000}"/>
    <cellStyle name="c_Consolidated_Earnings (2) 21" xfId="9248" xr:uid="{00000000-0005-0000-0000-000018240000}"/>
    <cellStyle name="c_Consolidated_Earnings (2) 21 2" xfId="9249" xr:uid="{00000000-0005-0000-0000-000019240000}"/>
    <cellStyle name="c_Consolidated_Earnings (2) 3" xfId="9250" xr:uid="{00000000-0005-0000-0000-00001A240000}"/>
    <cellStyle name="c_Consolidated_Earnings (2) 4" xfId="9251" xr:uid="{00000000-0005-0000-0000-00001B240000}"/>
    <cellStyle name="c_Consolidated_Earnings (2) 5" xfId="9252" xr:uid="{00000000-0005-0000-0000-00001C240000}"/>
    <cellStyle name="c_Consolidated_Earnings (2) 6" xfId="9253" xr:uid="{00000000-0005-0000-0000-00001D240000}"/>
    <cellStyle name="c_Consolidated_Earnings (2) 7" xfId="9254" xr:uid="{00000000-0005-0000-0000-00001E240000}"/>
    <cellStyle name="c_Consolidated_Earnings (2) 8" xfId="9255" xr:uid="{00000000-0005-0000-0000-00001F240000}"/>
    <cellStyle name="c_Consolidated_Earnings (2) 9" xfId="9256" xr:uid="{00000000-0005-0000-0000-000020240000}"/>
    <cellStyle name="c_Consolidated_Earnings (2)_{6} Clawback" xfId="9257" xr:uid="{00000000-0005-0000-0000-000021240000}"/>
    <cellStyle name="c_Consolidated_Earnings (2)_AIF IV Financial Highlights 12-31-08 v4" xfId="9258" xr:uid="{00000000-0005-0000-0000-000022240000}"/>
    <cellStyle name="c_Consolidated_Earnings (2)_AIF IV Financial Highlights 12-31-08 v4_Apollo Investment Fund IV  Q3 2009 Capital Analysis CURRENT" xfId="9259" xr:uid="{00000000-0005-0000-0000-000023240000}"/>
    <cellStyle name="c_Consolidated_Earnings (2)_AIF IV Financial Highlights 12-31-08 v4_Apollo Investment Fund IV  Q3 2009 Capital Analysis iPCS &amp; URI Distribution" xfId="9260" xr:uid="{00000000-0005-0000-0000-000024240000}"/>
    <cellStyle name="c_Consolidated_Earnings (2)_AIF IV Financial Highlights 12-31-08 v4_iPCs#1-Remaining" xfId="9261" xr:uid="{00000000-0005-0000-0000-000025240000}"/>
    <cellStyle name="c_Consolidated_Earnings (2)_Andy Affrick - Schedulev2" xfId="9262" xr:uid="{00000000-0005-0000-0000-000026240000}"/>
    <cellStyle name="c_Consolidated_Earnings (2)_Apollo Investment Fund IV  April Priority Return" xfId="9263" xr:uid="{00000000-0005-0000-0000-000027240000}"/>
    <cellStyle name="c_Consolidated_Earnings (2)_Carry Calculation" xfId="9264" xr:uid="{00000000-0005-0000-0000-000028240000}"/>
    <cellStyle name="c_Consolidated_Earnings (2)_Fund IV" xfId="9265" xr:uid="{00000000-0005-0000-0000-000029240000}"/>
    <cellStyle name="c_Consolidated_Earnings (2)_Fund IV_1" xfId="9266" xr:uid="{00000000-0005-0000-0000-00002A240000}"/>
    <cellStyle name="c_Consolidated_Earnings (2)_Fund IV_Funds IV Clawback Value Adjustment" xfId="9267" xr:uid="{00000000-0005-0000-0000-00002B240000}"/>
    <cellStyle name="c_Consolidated_Earnings (2)_Funds IV Clawback Adjustment Summary" xfId="9268" xr:uid="{00000000-0005-0000-0000-00002C240000}"/>
    <cellStyle name="c_Consolidated_Earnings (2)_MMF Income" xfId="9269" xr:uid="{00000000-0005-0000-0000-00002D240000}"/>
    <cellStyle name="c_Consolidated_Earnings (2)_Partners Capital Q1 2009" xfId="9270" xr:uid="{00000000-0005-0000-0000-00002E240000}"/>
    <cellStyle name="c_Consolidated_Earnings (2)_Partners Capital Q1 2009 2" xfId="9271" xr:uid="{00000000-0005-0000-0000-00002F240000}"/>
    <cellStyle name="c_Consolidated_Earnings (2)_Partners Capital Q1 2009 3" xfId="9272" xr:uid="{00000000-0005-0000-0000-000030240000}"/>
    <cellStyle name="c_Consolidated_Earnings (2)_Partners Capital Q1 2009_AIF VI - BondcoVI_Entities Invested Capital (CURRENT)" xfId="9273" xr:uid="{00000000-0005-0000-0000-000031240000}"/>
    <cellStyle name="c_Consolidated_Earnings (2)_Partners Capital Q1 2009_Invested Capital Debt Worksheet" xfId="9274" xr:uid="{00000000-0005-0000-0000-000032240000}"/>
    <cellStyle name="c_Consolidated_Earnings (2)_Partners Capital Q1 2009_MMF Income" xfId="9275" xr:uid="{00000000-0005-0000-0000-000033240000}"/>
    <cellStyle name="c_Consolidated_Earnings (2)_Partners Capital Q1 2009_Realized Gain Loss" xfId="9276" xr:uid="{00000000-0005-0000-0000-000034240000}"/>
    <cellStyle name="c_Consolidated_Earnings (2)_Placement Fee Summary 05-14-09 - Current (2)" xfId="9277" xr:uid="{00000000-0005-0000-0000-000035240000}"/>
    <cellStyle name="c_Consolidated_Earnings (2)_PR Calc" xfId="9278" xr:uid="{00000000-0005-0000-0000-000036240000}"/>
    <cellStyle name="c_Consolidated_Earnings (2)_Realized Gain Loss" xfId="9279" xr:uid="{00000000-0005-0000-0000-000037240000}"/>
    <cellStyle name="c_Consolidated_Schedules (2)" xfId="9280" xr:uid="{00000000-0005-0000-0000-000038240000}"/>
    <cellStyle name="c_Consolidated_Schedules (2) 10" xfId="9281" xr:uid="{00000000-0005-0000-0000-000039240000}"/>
    <cellStyle name="c_Consolidated_Schedules (2) 11" xfId="9282" xr:uid="{00000000-0005-0000-0000-00003A240000}"/>
    <cellStyle name="c_Consolidated_Schedules (2) 12" xfId="9283" xr:uid="{00000000-0005-0000-0000-00003B240000}"/>
    <cellStyle name="c_Consolidated_Schedules (2) 13" xfId="9284" xr:uid="{00000000-0005-0000-0000-00003C240000}"/>
    <cellStyle name="c_Consolidated_Schedules (2) 14" xfId="9285" xr:uid="{00000000-0005-0000-0000-00003D240000}"/>
    <cellStyle name="c_Consolidated_Schedules (2) 15" xfId="9286" xr:uid="{00000000-0005-0000-0000-00003E240000}"/>
    <cellStyle name="c_Consolidated_Schedules (2) 16" xfId="9287" xr:uid="{00000000-0005-0000-0000-00003F240000}"/>
    <cellStyle name="c_Consolidated_Schedules (2) 17" xfId="9288" xr:uid="{00000000-0005-0000-0000-000040240000}"/>
    <cellStyle name="c_Consolidated_Schedules (2) 18" xfId="9289" xr:uid="{00000000-0005-0000-0000-000041240000}"/>
    <cellStyle name="c_Consolidated_Schedules (2) 19" xfId="9290" xr:uid="{00000000-0005-0000-0000-000042240000}"/>
    <cellStyle name="c_Consolidated_Schedules (2) 2" xfId="9291" xr:uid="{00000000-0005-0000-0000-000043240000}"/>
    <cellStyle name="c_Consolidated_Schedules (2) 20" xfId="9292" xr:uid="{00000000-0005-0000-0000-000044240000}"/>
    <cellStyle name="c_Consolidated_Schedules (2) 21" xfId="9293" xr:uid="{00000000-0005-0000-0000-000045240000}"/>
    <cellStyle name="c_Consolidated_Schedules (2) 21 2" xfId="9294" xr:uid="{00000000-0005-0000-0000-000046240000}"/>
    <cellStyle name="c_Consolidated_Schedules (2) 3" xfId="9295" xr:uid="{00000000-0005-0000-0000-000047240000}"/>
    <cellStyle name="c_Consolidated_Schedules (2) 4" xfId="9296" xr:uid="{00000000-0005-0000-0000-000048240000}"/>
    <cellStyle name="c_Consolidated_Schedules (2) 5" xfId="9297" xr:uid="{00000000-0005-0000-0000-000049240000}"/>
    <cellStyle name="c_Consolidated_Schedules (2) 6" xfId="9298" xr:uid="{00000000-0005-0000-0000-00004A240000}"/>
    <cellStyle name="c_Consolidated_Schedules (2) 7" xfId="9299" xr:uid="{00000000-0005-0000-0000-00004B240000}"/>
    <cellStyle name="c_Consolidated_Schedules (2) 8" xfId="9300" xr:uid="{00000000-0005-0000-0000-00004C240000}"/>
    <cellStyle name="c_Consolidated_Schedules (2) 9" xfId="9301" xr:uid="{00000000-0005-0000-0000-00004D240000}"/>
    <cellStyle name="c_Consolidated_Schedules (2)_{6} Clawback" xfId="9302" xr:uid="{00000000-0005-0000-0000-00004E240000}"/>
    <cellStyle name="c_Consolidated_Schedules (2)_AIF IV Financial Highlights 12-31-08 v4" xfId="9303" xr:uid="{00000000-0005-0000-0000-00004F240000}"/>
    <cellStyle name="c_Consolidated_Schedules (2)_AIF IV Financial Highlights 12-31-08 v4_Apollo Investment Fund IV  Q3 2009 Capital Analysis CURRENT" xfId="9304" xr:uid="{00000000-0005-0000-0000-000050240000}"/>
    <cellStyle name="c_Consolidated_Schedules (2)_AIF IV Financial Highlights 12-31-08 v4_Apollo Investment Fund IV  Q3 2009 Capital Analysis iPCS &amp; URI Distribution" xfId="9305" xr:uid="{00000000-0005-0000-0000-000051240000}"/>
    <cellStyle name="c_Consolidated_Schedules (2)_AIF IV Financial Highlights 12-31-08 v4_iPCs#1-Remaining" xfId="9306" xr:uid="{00000000-0005-0000-0000-000052240000}"/>
    <cellStyle name="c_Consolidated_Schedules (2)_Andy Affrick - Schedulev2" xfId="9307" xr:uid="{00000000-0005-0000-0000-000053240000}"/>
    <cellStyle name="c_Consolidated_Schedules (2)_Apollo Investment Fund IV  April Priority Return" xfId="9308" xr:uid="{00000000-0005-0000-0000-000054240000}"/>
    <cellStyle name="c_Consolidated_Schedules (2)_Carry Calculation" xfId="9309" xr:uid="{00000000-0005-0000-0000-000055240000}"/>
    <cellStyle name="c_Consolidated_Schedules (2)_Fund IV" xfId="9310" xr:uid="{00000000-0005-0000-0000-000056240000}"/>
    <cellStyle name="c_Consolidated_Schedules (2)_Fund IV_1" xfId="9311" xr:uid="{00000000-0005-0000-0000-000057240000}"/>
    <cellStyle name="c_Consolidated_Schedules (2)_Fund IV_Funds IV Clawback Value Adjustment" xfId="9312" xr:uid="{00000000-0005-0000-0000-000058240000}"/>
    <cellStyle name="c_Consolidated_Schedules (2)_Funds IV Clawback Adjustment Summary" xfId="9313" xr:uid="{00000000-0005-0000-0000-000059240000}"/>
    <cellStyle name="c_Consolidated_Schedules (2)_MMF Income" xfId="9314" xr:uid="{00000000-0005-0000-0000-00005A240000}"/>
    <cellStyle name="c_Consolidated_Schedules (2)_Partners Capital Q1 2009" xfId="9315" xr:uid="{00000000-0005-0000-0000-00005B240000}"/>
    <cellStyle name="c_Consolidated_Schedules (2)_Partners Capital Q1 2009 2" xfId="9316" xr:uid="{00000000-0005-0000-0000-00005C240000}"/>
    <cellStyle name="c_Consolidated_Schedules (2)_Partners Capital Q1 2009 3" xfId="9317" xr:uid="{00000000-0005-0000-0000-00005D240000}"/>
    <cellStyle name="c_Consolidated_Schedules (2)_Partners Capital Q1 2009_AIF VI - BondcoVI_Entities Invested Capital (CURRENT)" xfId="9318" xr:uid="{00000000-0005-0000-0000-00005E240000}"/>
    <cellStyle name="c_Consolidated_Schedules (2)_Partners Capital Q1 2009_Invested Capital Debt Worksheet" xfId="9319" xr:uid="{00000000-0005-0000-0000-00005F240000}"/>
    <cellStyle name="c_Consolidated_Schedules (2)_Partners Capital Q1 2009_MMF Income" xfId="9320" xr:uid="{00000000-0005-0000-0000-000060240000}"/>
    <cellStyle name="c_Consolidated_Schedules (2)_Partners Capital Q1 2009_Realized Gain Loss" xfId="9321" xr:uid="{00000000-0005-0000-0000-000061240000}"/>
    <cellStyle name="c_Consolidated_Schedules (2)_Placement Fee Summary 05-14-09 - Current (2)" xfId="9322" xr:uid="{00000000-0005-0000-0000-000062240000}"/>
    <cellStyle name="c_Consolidated_Schedules (2)_PR Calc" xfId="9323" xr:uid="{00000000-0005-0000-0000-000063240000}"/>
    <cellStyle name="c_Consolidated_Schedules (2)_Realized Gain Loss" xfId="9324" xr:uid="{00000000-0005-0000-0000-000064240000}"/>
    <cellStyle name="c_Earnings (2)" xfId="9325" xr:uid="{00000000-0005-0000-0000-000065240000}"/>
    <cellStyle name="c_Earnings (2) 10" xfId="9326" xr:uid="{00000000-0005-0000-0000-000066240000}"/>
    <cellStyle name="c_Earnings (2) 11" xfId="9327" xr:uid="{00000000-0005-0000-0000-000067240000}"/>
    <cellStyle name="c_Earnings (2) 12" xfId="9328" xr:uid="{00000000-0005-0000-0000-000068240000}"/>
    <cellStyle name="c_Earnings (2) 13" xfId="9329" xr:uid="{00000000-0005-0000-0000-000069240000}"/>
    <cellStyle name="c_Earnings (2) 14" xfId="9330" xr:uid="{00000000-0005-0000-0000-00006A240000}"/>
    <cellStyle name="c_Earnings (2) 15" xfId="9331" xr:uid="{00000000-0005-0000-0000-00006B240000}"/>
    <cellStyle name="c_Earnings (2) 16" xfId="9332" xr:uid="{00000000-0005-0000-0000-00006C240000}"/>
    <cellStyle name="c_Earnings (2) 17" xfId="9333" xr:uid="{00000000-0005-0000-0000-00006D240000}"/>
    <cellStyle name="c_Earnings (2) 18" xfId="9334" xr:uid="{00000000-0005-0000-0000-00006E240000}"/>
    <cellStyle name="c_Earnings (2) 19" xfId="9335" xr:uid="{00000000-0005-0000-0000-00006F240000}"/>
    <cellStyle name="c_Earnings (2) 2" xfId="9336" xr:uid="{00000000-0005-0000-0000-000070240000}"/>
    <cellStyle name="c_Earnings (2) 20" xfId="9337" xr:uid="{00000000-0005-0000-0000-000071240000}"/>
    <cellStyle name="c_Earnings (2) 21" xfId="9338" xr:uid="{00000000-0005-0000-0000-000072240000}"/>
    <cellStyle name="c_Earnings (2) 21 2" xfId="9339" xr:uid="{00000000-0005-0000-0000-000073240000}"/>
    <cellStyle name="c_Earnings (2) 3" xfId="9340" xr:uid="{00000000-0005-0000-0000-000074240000}"/>
    <cellStyle name="c_Earnings (2) 4" xfId="9341" xr:uid="{00000000-0005-0000-0000-000075240000}"/>
    <cellStyle name="c_Earnings (2) 5" xfId="9342" xr:uid="{00000000-0005-0000-0000-000076240000}"/>
    <cellStyle name="c_Earnings (2) 6" xfId="9343" xr:uid="{00000000-0005-0000-0000-000077240000}"/>
    <cellStyle name="c_Earnings (2) 7" xfId="9344" xr:uid="{00000000-0005-0000-0000-000078240000}"/>
    <cellStyle name="c_Earnings (2) 8" xfId="9345" xr:uid="{00000000-0005-0000-0000-000079240000}"/>
    <cellStyle name="c_Earnings (2) 9" xfId="9346" xr:uid="{00000000-0005-0000-0000-00007A240000}"/>
    <cellStyle name="c_Earnings (2)_{6} Clawback" xfId="9347" xr:uid="{00000000-0005-0000-0000-00007B240000}"/>
    <cellStyle name="c_Earnings (2)_AIF IV Financial Highlights 12-31-08 v4" xfId="9348" xr:uid="{00000000-0005-0000-0000-00007C240000}"/>
    <cellStyle name="c_Earnings (2)_AIF IV Financial Highlights 12-31-08 v4_Apollo Investment Fund IV  Q3 2009 Capital Analysis CURRENT" xfId="9349" xr:uid="{00000000-0005-0000-0000-00007D240000}"/>
    <cellStyle name="c_Earnings (2)_AIF IV Financial Highlights 12-31-08 v4_Apollo Investment Fund IV  Q3 2009 Capital Analysis iPCS &amp; URI Distribution" xfId="9350" xr:uid="{00000000-0005-0000-0000-00007E240000}"/>
    <cellStyle name="c_Earnings (2)_AIF IV Financial Highlights 12-31-08 v4_iPCs#1-Remaining" xfId="9351" xr:uid="{00000000-0005-0000-0000-00007F240000}"/>
    <cellStyle name="c_Earnings (2)_Andy Affrick - Schedulev2" xfId="9352" xr:uid="{00000000-0005-0000-0000-000080240000}"/>
    <cellStyle name="c_Earnings (2)_Apollo Investment Fund IV  April Priority Return" xfId="9353" xr:uid="{00000000-0005-0000-0000-000081240000}"/>
    <cellStyle name="c_Earnings (2)_Carry Calculation" xfId="9354" xr:uid="{00000000-0005-0000-0000-000082240000}"/>
    <cellStyle name="c_Earnings (2)_Fund IV" xfId="9355" xr:uid="{00000000-0005-0000-0000-000083240000}"/>
    <cellStyle name="c_Earnings (2)_Fund IV_1" xfId="9356" xr:uid="{00000000-0005-0000-0000-000084240000}"/>
    <cellStyle name="c_Earnings (2)_Fund IV_Funds IV Clawback Value Adjustment" xfId="9357" xr:uid="{00000000-0005-0000-0000-000085240000}"/>
    <cellStyle name="c_Earnings (2)_Funds IV Clawback Adjustment Summary" xfId="9358" xr:uid="{00000000-0005-0000-0000-000086240000}"/>
    <cellStyle name="c_Earnings (2)_MMF Income" xfId="9359" xr:uid="{00000000-0005-0000-0000-000087240000}"/>
    <cellStyle name="c_Earnings (2)_Partners Capital Q1 2009" xfId="9360" xr:uid="{00000000-0005-0000-0000-000088240000}"/>
    <cellStyle name="c_Earnings (2)_Partners Capital Q1 2009 2" xfId="9361" xr:uid="{00000000-0005-0000-0000-000089240000}"/>
    <cellStyle name="c_Earnings (2)_Partners Capital Q1 2009 3" xfId="9362" xr:uid="{00000000-0005-0000-0000-00008A240000}"/>
    <cellStyle name="c_Earnings (2)_Partners Capital Q1 2009_AIF VI - BondcoVI_Entities Invested Capital (CURRENT)" xfId="9363" xr:uid="{00000000-0005-0000-0000-00008B240000}"/>
    <cellStyle name="c_Earnings (2)_Partners Capital Q1 2009_Invested Capital Debt Worksheet" xfId="9364" xr:uid="{00000000-0005-0000-0000-00008C240000}"/>
    <cellStyle name="c_Earnings (2)_Partners Capital Q1 2009_MMF Income" xfId="9365" xr:uid="{00000000-0005-0000-0000-00008D240000}"/>
    <cellStyle name="c_Earnings (2)_Partners Capital Q1 2009_Realized Gain Loss" xfId="9366" xr:uid="{00000000-0005-0000-0000-00008E240000}"/>
    <cellStyle name="c_Earnings (2)_Placement Fee Summary 05-14-09 - Current (2)" xfId="9367" xr:uid="{00000000-0005-0000-0000-00008F240000}"/>
    <cellStyle name="c_Earnings (2)_PR Calc" xfId="9368" xr:uid="{00000000-0005-0000-0000-000090240000}"/>
    <cellStyle name="c_Earnings (2)_Realized Gain Loss" xfId="9369" xr:uid="{00000000-0005-0000-0000-000091240000}"/>
    <cellStyle name="c_Fund IV" xfId="9370" xr:uid="{00000000-0005-0000-0000-000092240000}"/>
    <cellStyle name="c_Fund IV_1" xfId="9371" xr:uid="{00000000-0005-0000-0000-000093240000}"/>
    <cellStyle name="c_Fund IV_Funds IV Clawback Value Adjustment" xfId="9372" xr:uid="{00000000-0005-0000-0000-000094240000}"/>
    <cellStyle name="c_Funds IV Clawback Adjustment Summary" xfId="9373" xr:uid="{00000000-0005-0000-0000-000095240000}"/>
    <cellStyle name="c_HardInc " xfId="9374" xr:uid="{00000000-0005-0000-0000-000096240000}"/>
    <cellStyle name="c_HardInc  10" xfId="9375" xr:uid="{00000000-0005-0000-0000-000097240000}"/>
    <cellStyle name="c_HardInc  11" xfId="9376" xr:uid="{00000000-0005-0000-0000-000098240000}"/>
    <cellStyle name="c_HardInc  12" xfId="9377" xr:uid="{00000000-0005-0000-0000-000099240000}"/>
    <cellStyle name="c_HardInc  13" xfId="9378" xr:uid="{00000000-0005-0000-0000-00009A240000}"/>
    <cellStyle name="c_HardInc  14" xfId="9379" xr:uid="{00000000-0005-0000-0000-00009B240000}"/>
    <cellStyle name="c_HardInc  15" xfId="9380" xr:uid="{00000000-0005-0000-0000-00009C240000}"/>
    <cellStyle name="c_HardInc  16" xfId="9381" xr:uid="{00000000-0005-0000-0000-00009D240000}"/>
    <cellStyle name="c_HardInc  17" xfId="9382" xr:uid="{00000000-0005-0000-0000-00009E240000}"/>
    <cellStyle name="c_HardInc  18" xfId="9383" xr:uid="{00000000-0005-0000-0000-00009F240000}"/>
    <cellStyle name="c_HardInc  19" xfId="9384" xr:uid="{00000000-0005-0000-0000-0000A0240000}"/>
    <cellStyle name="c_HardInc  2" xfId="9385" xr:uid="{00000000-0005-0000-0000-0000A1240000}"/>
    <cellStyle name="c_HardInc  20" xfId="9386" xr:uid="{00000000-0005-0000-0000-0000A2240000}"/>
    <cellStyle name="c_HardInc  21" xfId="9387" xr:uid="{00000000-0005-0000-0000-0000A3240000}"/>
    <cellStyle name="c_HardInc  21 2" xfId="9388" xr:uid="{00000000-0005-0000-0000-0000A4240000}"/>
    <cellStyle name="c_HardInc  3" xfId="9389" xr:uid="{00000000-0005-0000-0000-0000A5240000}"/>
    <cellStyle name="c_HardInc  4" xfId="9390" xr:uid="{00000000-0005-0000-0000-0000A6240000}"/>
    <cellStyle name="c_HardInc  5" xfId="9391" xr:uid="{00000000-0005-0000-0000-0000A7240000}"/>
    <cellStyle name="c_HardInc  6" xfId="9392" xr:uid="{00000000-0005-0000-0000-0000A8240000}"/>
    <cellStyle name="c_HardInc  7" xfId="9393" xr:uid="{00000000-0005-0000-0000-0000A9240000}"/>
    <cellStyle name="c_HardInc  8" xfId="9394" xr:uid="{00000000-0005-0000-0000-0000AA240000}"/>
    <cellStyle name="c_HardInc  9" xfId="9395" xr:uid="{00000000-0005-0000-0000-0000AB240000}"/>
    <cellStyle name="c_HardInc _{6} Clawback" xfId="9396" xr:uid="{00000000-0005-0000-0000-0000AC240000}"/>
    <cellStyle name="c_HardInc _AIF IV Financial Highlights 12-31-08 v4" xfId="9397" xr:uid="{00000000-0005-0000-0000-0000AD240000}"/>
    <cellStyle name="c_HardInc _AIF IV Financial Highlights 12-31-08 v4_Apollo Investment Fund IV  Q3 2009 Capital Analysis CURRENT" xfId="9398" xr:uid="{00000000-0005-0000-0000-0000AE240000}"/>
    <cellStyle name="c_HardInc _AIF IV Financial Highlights 12-31-08 v4_Apollo Investment Fund IV  Q3 2009 Capital Analysis iPCS &amp; URI Distribution" xfId="9399" xr:uid="{00000000-0005-0000-0000-0000AF240000}"/>
    <cellStyle name="c_HardInc _AIF IV Financial Highlights 12-31-08 v4_iPCs#1-Remaining" xfId="9400" xr:uid="{00000000-0005-0000-0000-0000B0240000}"/>
    <cellStyle name="c_HardInc _Andy Affrick - Schedulev2" xfId="9401" xr:uid="{00000000-0005-0000-0000-0000B1240000}"/>
    <cellStyle name="c_HardInc _Apollo Investment Fund IV  April Priority Return" xfId="9402" xr:uid="{00000000-0005-0000-0000-0000B2240000}"/>
    <cellStyle name="c_HardInc _Carry Calculation" xfId="9403" xr:uid="{00000000-0005-0000-0000-0000B3240000}"/>
    <cellStyle name="c_HardInc _Fund IV" xfId="9404" xr:uid="{00000000-0005-0000-0000-0000B4240000}"/>
    <cellStyle name="c_HardInc _Fund IV_1" xfId="9405" xr:uid="{00000000-0005-0000-0000-0000B5240000}"/>
    <cellStyle name="c_HardInc _Fund IV_Funds IV Clawback Value Adjustment" xfId="9406" xr:uid="{00000000-0005-0000-0000-0000B6240000}"/>
    <cellStyle name="c_HardInc _Funds IV Clawback Adjustment Summary" xfId="9407" xr:uid="{00000000-0005-0000-0000-0000B7240000}"/>
    <cellStyle name="c_HardInc _MMF Income" xfId="9408" xr:uid="{00000000-0005-0000-0000-0000B8240000}"/>
    <cellStyle name="c_HardInc _Partners Capital Q1 2009" xfId="9409" xr:uid="{00000000-0005-0000-0000-0000B9240000}"/>
    <cellStyle name="c_HardInc _Partners Capital Q1 2009 2" xfId="9410" xr:uid="{00000000-0005-0000-0000-0000BA240000}"/>
    <cellStyle name="c_HardInc _Partners Capital Q1 2009 3" xfId="9411" xr:uid="{00000000-0005-0000-0000-0000BB240000}"/>
    <cellStyle name="c_HardInc _Partners Capital Q1 2009_AIF VI - BondcoVI_Entities Invested Capital (CURRENT)" xfId="9412" xr:uid="{00000000-0005-0000-0000-0000BC240000}"/>
    <cellStyle name="c_HardInc _Partners Capital Q1 2009_Invested Capital Debt Worksheet" xfId="9413" xr:uid="{00000000-0005-0000-0000-0000BD240000}"/>
    <cellStyle name="c_HardInc _Partners Capital Q1 2009_MMF Income" xfId="9414" xr:uid="{00000000-0005-0000-0000-0000BE240000}"/>
    <cellStyle name="c_HardInc _Partners Capital Q1 2009_Realized Gain Loss" xfId="9415" xr:uid="{00000000-0005-0000-0000-0000BF240000}"/>
    <cellStyle name="c_HardInc _Placement Fee Summary 05-14-09 - Current (2)" xfId="9416" xr:uid="{00000000-0005-0000-0000-0000C0240000}"/>
    <cellStyle name="c_HardInc _PR Calc" xfId="9417" xr:uid="{00000000-0005-0000-0000-0000C1240000}"/>
    <cellStyle name="c_HardInc _Realized Gain Loss" xfId="9418" xr:uid="{00000000-0005-0000-0000-0000C2240000}"/>
    <cellStyle name="c_LMA (2)" xfId="9419" xr:uid="{00000000-0005-0000-0000-0000C3240000}"/>
    <cellStyle name="c_LMA (2) 10" xfId="9420" xr:uid="{00000000-0005-0000-0000-0000C4240000}"/>
    <cellStyle name="c_LMA (2) 11" xfId="9421" xr:uid="{00000000-0005-0000-0000-0000C5240000}"/>
    <cellStyle name="c_LMA (2) 12" xfId="9422" xr:uid="{00000000-0005-0000-0000-0000C6240000}"/>
    <cellStyle name="c_LMA (2) 13" xfId="9423" xr:uid="{00000000-0005-0000-0000-0000C7240000}"/>
    <cellStyle name="c_LMA (2) 14" xfId="9424" xr:uid="{00000000-0005-0000-0000-0000C8240000}"/>
    <cellStyle name="c_LMA (2) 15" xfId="9425" xr:uid="{00000000-0005-0000-0000-0000C9240000}"/>
    <cellStyle name="c_LMA (2) 16" xfId="9426" xr:uid="{00000000-0005-0000-0000-0000CA240000}"/>
    <cellStyle name="c_LMA (2) 17" xfId="9427" xr:uid="{00000000-0005-0000-0000-0000CB240000}"/>
    <cellStyle name="c_LMA (2) 18" xfId="9428" xr:uid="{00000000-0005-0000-0000-0000CC240000}"/>
    <cellStyle name="c_LMA (2) 19" xfId="9429" xr:uid="{00000000-0005-0000-0000-0000CD240000}"/>
    <cellStyle name="c_LMA (2) 2" xfId="9430" xr:uid="{00000000-0005-0000-0000-0000CE240000}"/>
    <cellStyle name="c_LMA (2) 20" xfId="9431" xr:uid="{00000000-0005-0000-0000-0000CF240000}"/>
    <cellStyle name="c_LMA (2) 21" xfId="9432" xr:uid="{00000000-0005-0000-0000-0000D0240000}"/>
    <cellStyle name="c_LMA (2) 21 2" xfId="9433" xr:uid="{00000000-0005-0000-0000-0000D1240000}"/>
    <cellStyle name="c_LMA (2) 3" xfId="9434" xr:uid="{00000000-0005-0000-0000-0000D2240000}"/>
    <cellStyle name="c_LMA (2) 4" xfId="9435" xr:uid="{00000000-0005-0000-0000-0000D3240000}"/>
    <cellStyle name="c_LMA (2) 5" xfId="9436" xr:uid="{00000000-0005-0000-0000-0000D4240000}"/>
    <cellStyle name="c_LMA (2) 6" xfId="9437" xr:uid="{00000000-0005-0000-0000-0000D5240000}"/>
    <cellStyle name="c_LMA (2) 7" xfId="9438" xr:uid="{00000000-0005-0000-0000-0000D6240000}"/>
    <cellStyle name="c_LMA (2) 8" xfId="9439" xr:uid="{00000000-0005-0000-0000-0000D7240000}"/>
    <cellStyle name="c_LMA (2) 9" xfId="9440" xr:uid="{00000000-0005-0000-0000-0000D8240000}"/>
    <cellStyle name="c_LMA (2)_{6} Clawback" xfId="9441" xr:uid="{00000000-0005-0000-0000-0000D9240000}"/>
    <cellStyle name="c_LMA (2)_AIF IV Financial Highlights 12-31-08 v4" xfId="9442" xr:uid="{00000000-0005-0000-0000-0000DA240000}"/>
    <cellStyle name="c_LMA (2)_AIF IV Financial Highlights 12-31-08 v4_Apollo Investment Fund IV  Q3 2009 Capital Analysis CURRENT" xfId="9443" xr:uid="{00000000-0005-0000-0000-0000DB240000}"/>
    <cellStyle name="c_LMA (2)_AIF IV Financial Highlights 12-31-08 v4_Apollo Investment Fund IV  Q3 2009 Capital Analysis iPCS &amp; URI Distribution" xfId="9444" xr:uid="{00000000-0005-0000-0000-0000DC240000}"/>
    <cellStyle name="c_LMA (2)_AIF IV Financial Highlights 12-31-08 v4_iPCs#1-Remaining" xfId="9445" xr:uid="{00000000-0005-0000-0000-0000DD240000}"/>
    <cellStyle name="c_LMA (2)_Andy Affrick - Schedulev2" xfId="9446" xr:uid="{00000000-0005-0000-0000-0000DE240000}"/>
    <cellStyle name="c_LMA (2)_Apollo Investment Fund IV  April Priority Return" xfId="9447" xr:uid="{00000000-0005-0000-0000-0000DF240000}"/>
    <cellStyle name="c_LMA (2)_Carry Calculation" xfId="9448" xr:uid="{00000000-0005-0000-0000-0000E0240000}"/>
    <cellStyle name="c_LMA (2)_Fund IV" xfId="9449" xr:uid="{00000000-0005-0000-0000-0000E1240000}"/>
    <cellStyle name="c_LMA (2)_Fund IV_1" xfId="9450" xr:uid="{00000000-0005-0000-0000-0000E2240000}"/>
    <cellStyle name="c_LMA (2)_Fund IV_Funds IV Clawback Value Adjustment" xfId="9451" xr:uid="{00000000-0005-0000-0000-0000E3240000}"/>
    <cellStyle name="c_LMA (2)_Funds IV Clawback Adjustment Summary" xfId="9452" xr:uid="{00000000-0005-0000-0000-0000E4240000}"/>
    <cellStyle name="c_LMA (2)_MMF Income" xfId="9453" xr:uid="{00000000-0005-0000-0000-0000E5240000}"/>
    <cellStyle name="c_LMA (2)_Partners Capital Q1 2009" xfId="9454" xr:uid="{00000000-0005-0000-0000-0000E6240000}"/>
    <cellStyle name="c_LMA (2)_Partners Capital Q1 2009 2" xfId="9455" xr:uid="{00000000-0005-0000-0000-0000E7240000}"/>
    <cellStyle name="c_LMA (2)_Partners Capital Q1 2009 3" xfId="9456" xr:uid="{00000000-0005-0000-0000-0000E8240000}"/>
    <cellStyle name="c_LMA (2)_Partners Capital Q1 2009_AIF VI - BondcoVI_Entities Invested Capital (CURRENT)" xfId="9457" xr:uid="{00000000-0005-0000-0000-0000E9240000}"/>
    <cellStyle name="c_LMA (2)_Partners Capital Q1 2009_Invested Capital Debt Worksheet" xfId="9458" xr:uid="{00000000-0005-0000-0000-0000EA240000}"/>
    <cellStyle name="c_LMA (2)_Partners Capital Q1 2009_MMF Income" xfId="9459" xr:uid="{00000000-0005-0000-0000-0000EB240000}"/>
    <cellStyle name="c_LMA (2)_Partners Capital Q1 2009_Realized Gain Loss" xfId="9460" xr:uid="{00000000-0005-0000-0000-0000EC240000}"/>
    <cellStyle name="c_LMA (2)_Placement Fee Summary 05-14-09 - Current (2)" xfId="9461" xr:uid="{00000000-0005-0000-0000-0000ED240000}"/>
    <cellStyle name="c_LMA (2)_PR Calc" xfId="9462" xr:uid="{00000000-0005-0000-0000-0000EE240000}"/>
    <cellStyle name="c_LMA (2)_Realized Gain Loss" xfId="9463" xr:uid="{00000000-0005-0000-0000-0000EF240000}"/>
    <cellStyle name="c_mer-mod15" xfId="9464" xr:uid="{00000000-0005-0000-0000-0000F0240000}"/>
    <cellStyle name="c_mer-mod15 10" xfId="9465" xr:uid="{00000000-0005-0000-0000-0000F1240000}"/>
    <cellStyle name="c_mer-mod15 11" xfId="9466" xr:uid="{00000000-0005-0000-0000-0000F2240000}"/>
    <cellStyle name="c_mer-mod15 12" xfId="9467" xr:uid="{00000000-0005-0000-0000-0000F3240000}"/>
    <cellStyle name="c_mer-mod15 13" xfId="9468" xr:uid="{00000000-0005-0000-0000-0000F4240000}"/>
    <cellStyle name="c_mer-mod15 14" xfId="9469" xr:uid="{00000000-0005-0000-0000-0000F5240000}"/>
    <cellStyle name="c_mer-mod15 15" xfId="9470" xr:uid="{00000000-0005-0000-0000-0000F6240000}"/>
    <cellStyle name="c_mer-mod15 16" xfId="9471" xr:uid="{00000000-0005-0000-0000-0000F7240000}"/>
    <cellStyle name="c_mer-mod15 17" xfId="9472" xr:uid="{00000000-0005-0000-0000-0000F8240000}"/>
    <cellStyle name="c_mer-mod15 18" xfId="9473" xr:uid="{00000000-0005-0000-0000-0000F9240000}"/>
    <cellStyle name="c_mer-mod15 19" xfId="9474" xr:uid="{00000000-0005-0000-0000-0000FA240000}"/>
    <cellStyle name="c_mer-mod15 2" xfId="9475" xr:uid="{00000000-0005-0000-0000-0000FB240000}"/>
    <cellStyle name="c_mer-mod15 20" xfId="9476" xr:uid="{00000000-0005-0000-0000-0000FC240000}"/>
    <cellStyle name="c_mer-mod15 21" xfId="9477" xr:uid="{00000000-0005-0000-0000-0000FD240000}"/>
    <cellStyle name="c_mer-mod15 21 2" xfId="9478" xr:uid="{00000000-0005-0000-0000-0000FE240000}"/>
    <cellStyle name="c_mer-mod15 3" xfId="9479" xr:uid="{00000000-0005-0000-0000-0000FF240000}"/>
    <cellStyle name="c_mer-mod15 4" xfId="9480" xr:uid="{00000000-0005-0000-0000-000000250000}"/>
    <cellStyle name="c_mer-mod15 5" xfId="9481" xr:uid="{00000000-0005-0000-0000-000001250000}"/>
    <cellStyle name="c_mer-mod15 6" xfId="9482" xr:uid="{00000000-0005-0000-0000-000002250000}"/>
    <cellStyle name="c_mer-mod15 7" xfId="9483" xr:uid="{00000000-0005-0000-0000-000003250000}"/>
    <cellStyle name="c_mer-mod15 8" xfId="9484" xr:uid="{00000000-0005-0000-0000-000004250000}"/>
    <cellStyle name="c_mer-mod15 9" xfId="9485" xr:uid="{00000000-0005-0000-0000-000005250000}"/>
    <cellStyle name="c_mer-mod15_{6} Clawback" xfId="9486" xr:uid="{00000000-0005-0000-0000-000006250000}"/>
    <cellStyle name="c_mer-mod15_AIF IV Financial Highlights 12-31-08 v4" xfId="9487" xr:uid="{00000000-0005-0000-0000-000007250000}"/>
    <cellStyle name="c_mer-mod15_AIF IV Financial Highlights 12-31-08 v4_Apollo Investment Fund IV  Q3 2009 Capital Analysis CURRENT" xfId="9488" xr:uid="{00000000-0005-0000-0000-000008250000}"/>
    <cellStyle name="c_mer-mod15_AIF IV Financial Highlights 12-31-08 v4_Apollo Investment Fund IV  Q3 2009 Capital Analysis iPCS &amp; URI Distribution" xfId="9489" xr:uid="{00000000-0005-0000-0000-000009250000}"/>
    <cellStyle name="c_mer-mod15_AIF IV Financial Highlights 12-31-08 v4_iPCs#1-Remaining" xfId="9490" xr:uid="{00000000-0005-0000-0000-00000A250000}"/>
    <cellStyle name="c_mer-mod15_AIF VI - BondcoVI_Entities Invested Capital (CURRENT)" xfId="9491" xr:uid="{00000000-0005-0000-0000-00000B250000}"/>
    <cellStyle name="c_mer-mod15_Andy Affrick - Schedulev2" xfId="9492" xr:uid="{00000000-0005-0000-0000-00000C250000}"/>
    <cellStyle name="c_mer-mod15_Apollo Investment Fund IV  April Priority Return" xfId="9493" xr:uid="{00000000-0005-0000-0000-00000D250000}"/>
    <cellStyle name="c_mer-mod15_BT" xfId="9494" xr:uid="{00000000-0005-0000-0000-00000E250000}"/>
    <cellStyle name="c_mer-mod15_BT 10" xfId="9495" xr:uid="{00000000-0005-0000-0000-00000F250000}"/>
    <cellStyle name="c_mer-mod15_BT 11" xfId="9496" xr:uid="{00000000-0005-0000-0000-000010250000}"/>
    <cellStyle name="c_mer-mod15_BT 12" xfId="9497" xr:uid="{00000000-0005-0000-0000-000011250000}"/>
    <cellStyle name="c_mer-mod15_BT 13" xfId="9498" xr:uid="{00000000-0005-0000-0000-000012250000}"/>
    <cellStyle name="c_mer-mod15_BT 14" xfId="9499" xr:uid="{00000000-0005-0000-0000-000013250000}"/>
    <cellStyle name="c_mer-mod15_BT 15" xfId="9500" xr:uid="{00000000-0005-0000-0000-000014250000}"/>
    <cellStyle name="c_mer-mod15_BT 16" xfId="9501" xr:uid="{00000000-0005-0000-0000-000015250000}"/>
    <cellStyle name="c_mer-mod15_BT 17" xfId="9502" xr:uid="{00000000-0005-0000-0000-000016250000}"/>
    <cellStyle name="c_mer-mod15_BT 18" xfId="9503" xr:uid="{00000000-0005-0000-0000-000017250000}"/>
    <cellStyle name="c_mer-mod15_BT 19" xfId="9504" xr:uid="{00000000-0005-0000-0000-000018250000}"/>
    <cellStyle name="c_mer-mod15_BT 2" xfId="9505" xr:uid="{00000000-0005-0000-0000-000019250000}"/>
    <cellStyle name="c_mer-mod15_BT 20" xfId="9506" xr:uid="{00000000-0005-0000-0000-00001A250000}"/>
    <cellStyle name="c_mer-mod15_BT 21" xfId="9507" xr:uid="{00000000-0005-0000-0000-00001B250000}"/>
    <cellStyle name="c_mer-mod15_BT 21 2" xfId="9508" xr:uid="{00000000-0005-0000-0000-00001C250000}"/>
    <cellStyle name="c_mer-mod15_BT 3" xfId="9509" xr:uid="{00000000-0005-0000-0000-00001D250000}"/>
    <cellStyle name="c_mer-mod15_BT 4" xfId="9510" xr:uid="{00000000-0005-0000-0000-00001E250000}"/>
    <cellStyle name="c_mer-mod15_BT 5" xfId="9511" xr:uid="{00000000-0005-0000-0000-00001F250000}"/>
    <cellStyle name="c_mer-mod15_BT 6" xfId="9512" xr:uid="{00000000-0005-0000-0000-000020250000}"/>
    <cellStyle name="c_mer-mod15_BT 7" xfId="9513" xr:uid="{00000000-0005-0000-0000-000021250000}"/>
    <cellStyle name="c_mer-mod15_BT 8" xfId="9514" xr:uid="{00000000-0005-0000-0000-000022250000}"/>
    <cellStyle name="c_mer-mod15_BT 9" xfId="9515" xr:uid="{00000000-0005-0000-0000-000023250000}"/>
    <cellStyle name="c_mer-mod15_BT_{6} Clawback" xfId="9516" xr:uid="{00000000-0005-0000-0000-000024250000}"/>
    <cellStyle name="c_mer-mod15_BT_AIF IV Financial Highlights 12-31-08 v4" xfId="9517" xr:uid="{00000000-0005-0000-0000-000025250000}"/>
    <cellStyle name="c_mer-mod15_BT_AIF IV Financial Highlights 12-31-08 v4_Apollo Investment Fund IV  Q3 2009 Capital Analysis CURRENT" xfId="9518" xr:uid="{00000000-0005-0000-0000-000026250000}"/>
    <cellStyle name="c_mer-mod15_BT_AIF IV Financial Highlights 12-31-08 v4_Apollo Investment Fund IV  Q3 2009 Capital Analysis iPCS &amp; URI Distribution" xfId="9519" xr:uid="{00000000-0005-0000-0000-000027250000}"/>
    <cellStyle name="c_mer-mod15_BT_AIF IV Financial Highlights 12-31-08 v4_iPCs#1-Remaining" xfId="9520" xr:uid="{00000000-0005-0000-0000-000028250000}"/>
    <cellStyle name="c_mer-mod15_BT_AIF VI - BondcoVI_Entities Invested Capital (CURRENT)" xfId="9521" xr:uid="{00000000-0005-0000-0000-000029250000}"/>
    <cellStyle name="c_mer-mod15_BT_Andy Affrick - Schedulev2" xfId="9522" xr:uid="{00000000-0005-0000-0000-00002A250000}"/>
    <cellStyle name="c_mer-mod15_BT_Apollo Investment Fund IV  April Priority Return" xfId="9523" xr:uid="{00000000-0005-0000-0000-00002B250000}"/>
    <cellStyle name="c_mer-mod15_BT_Carry Calculation" xfId="9524" xr:uid="{00000000-0005-0000-0000-00002C250000}"/>
    <cellStyle name="c_mer-mod15_BT_Fund IV" xfId="9525" xr:uid="{00000000-0005-0000-0000-00002D250000}"/>
    <cellStyle name="c_mer-mod15_BT_Fund IV 9.30.08" xfId="9526" xr:uid="{00000000-0005-0000-0000-00002E250000}"/>
    <cellStyle name="c_mer-mod15_BT_Fund IV_1" xfId="9527" xr:uid="{00000000-0005-0000-0000-00002F250000}"/>
    <cellStyle name="c_mer-mod15_BT_Funds IV Clawback Adjustment Summary" xfId="9528" xr:uid="{00000000-0005-0000-0000-000030250000}"/>
    <cellStyle name="c_mer-mod15_BT_Funds IV Clawback Value Adjustment" xfId="9529" xr:uid="{00000000-0005-0000-0000-000031250000}"/>
    <cellStyle name="c_mer-mod15_BT_Invested Capital Debt Worksheet" xfId="9530" xr:uid="{00000000-0005-0000-0000-000032250000}"/>
    <cellStyle name="c_mer-mod15_BT_MMF Income" xfId="9531" xr:uid="{00000000-0005-0000-0000-000033250000}"/>
    <cellStyle name="c_mer-mod15_BT_Partners Capital Q1 2009" xfId="9532" xr:uid="{00000000-0005-0000-0000-000034250000}"/>
    <cellStyle name="c_mer-mod15_BT_Partners Capital Q1 2009 2" xfId="9533" xr:uid="{00000000-0005-0000-0000-000035250000}"/>
    <cellStyle name="c_mer-mod15_BT_Partners Capital Q1 2009_MMF Income" xfId="9534" xr:uid="{00000000-0005-0000-0000-000036250000}"/>
    <cellStyle name="c_mer-mod15_BT_Partners Capital Q1 2009_Realized Gain Loss" xfId="9535" xr:uid="{00000000-0005-0000-0000-000037250000}"/>
    <cellStyle name="c_mer-mod15_BT_Placement Fee Summary 05-14-09 - Current (2)" xfId="9536" xr:uid="{00000000-0005-0000-0000-000038250000}"/>
    <cellStyle name="c_mer-mod15_BT_PR Calc" xfId="9537" xr:uid="{00000000-0005-0000-0000-000039250000}"/>
    <cellStyle name="c_mer-mod15_BT_Realized Gain Loss" xfId="9538" xr:uid="{00000000-0005-0000-0000-00003A250000}"/>
    <cellStyle name="c_mer-mod15_Carry Calculation" xfId="9539" xr:uid="{00000000-0005-0000-0000-00003B250000}"/>
    <cellStyle name="c_mer-mod15_Fund IV" xfId="9540" xr:uid="{00000000-0005-0000-0000-00003C250000}"/>
    <cellStyle name="c_mer-mod15_Fund IV 9.30.08" xfId="9541" xr:uid="{00000000-0005-0000-0000-00003D250000}"/>
    <cellStyle name="c_mer-mod15_Fund IV_1" xfId="9542" xr:uid="{00000000-0005-0000-0000-00003E250000}"/>
    <cellStyle name="c_mer-mod15_Funds IV Clawback Adjustment Summary" xfId="9543" xr:uid="{00000000-0005-0000-0000-00003F250000}"/>
    <cellStyle name="c_mer-mod15_Funds IV Clawback Value Adjustment" xfId="9544" xr:uid="{00000000-0005-0000-0000-000040250000}"/>
    <cellStyle name="c_mer-mod15_Invested Capital Debt Worksheet" xfId="9545" xr:uid="{00000000-0005-0000-0000-000041250000}"/>
    <cellStyle name="c_mer-mod15_MMF Income" xfId="9546" xr:uid="{00000000-0005-0000-0000-000042250000}"/>
    <cellStyle name="c_mer-mod15_Partners Capital Q1 2009" xfId="9547" xr:uid="{00000000-0005-0000-0000-000043250000}"/>
    <cellStyle name="c_mer-mod15_Partners Capital Q1 2009 2" xfId="9548" xr:uid="{00000000-0005-0000-0000-000044250000}"/>
    <cellStyle name="c_mer-mod15_Partners Capital Q1 2009_MMF Income" xfId="9549" xr:uid="{00000000-0005-0000-0000-000045250000}"/>
    <cellStyle name="c_mer-mod15_Partners Capital Q1 2009_Realized Gain Loss" xfId="9550" xr:uid="{00000000-0005-0000-0000-000046250000}"/>
    <cellStyle name="c_mer-mod15_Placement Fee Summary 05-14-09 - Current (2)" xfId="9551" xr:uid="{00000000-0005-0000-0000-000047250000}"/>
    <cellStyle name="c_mer-mod15_PR Calc" xfId="9552" xr:uid="{00000000-0005-0000-0000-000048250000}"/>
    <cellStyle name="c_mer-mod15_Realized Gain Loss" xfId="9553" xr:uid="{00000000-0005-0000-0000-000049250000}"/>
    <cellStyle name="c_MMF Income" xfId="9554" xr:uid="{00000000-0005-0000-0000-00004A250000}"/>
    <cellStyle name="c_OMNI_BalSheets (2)" xfId="9555" xr:uid="{00000000-0005-0000-0000-00004B250000}"/>
    <cellStyle name="c_OMNI_BalSheets (2) 10" xfId="9556" xr:uid="{00000000-0005-0000-0000-00004C250000}"/>
    <cellStyle name="c_OMNI_BalSheets (2) 11" xfId="9557" xr:uid="{00000000-0005-0000-0000-00004D250000}"/>
    <cellStyle name="c_OMNI_BalSheets (2) 12" xfId="9558" xr:uid="{00000000-0005-0000-0000-00004E250000}"/>
    <cellStyle name="c_OMNI_BalSheets (2) 13" xfId="9559" xr:uid="{00000000-0005-0000-0000-00004F250000}"/>
    <cellStyle name="c_OMNI_BalSheets (2) 14" xfId="9560" xr:uid="{00000000-0005-0000-0000-000050250000}"/>
    <cellStyle name="c_OMNI_BalSheets (2) 15" xfId="9561" xr:uid="{00000000-0005-0000-0000-000051250000}"/>
    <cellStyle name="c_OMNI_BalSheets (2) 16" xfId="9562" xr:uid="{00000000-0005-0000-0000-000052250000}"/>
    <cellStyle name="c_OMNI_BalSheets (2) 17" xfId="9563" xr:uid="{00000000-0005-0000-0000-000053250000}"/>
    <cellStyle name="c_OMNI_BalSheets (2) 18" xfId="9564" xr:uid="{00000000-0005-0000-0000-000054250000}"/>
    <cellStyle name="c_OMNI_BalSheets (2) 19" xfId="9565" xr:uid="{00000000-0005-0000-0000-000055250000}"/>
    <cellStyle name="c_OMNI_BalSheets (2) 2" xfId="9566" xr:uid="{00000000-0005-0000-0000-000056250000}"/>
    <cellStyle name="c_OMNI_BalSheets (2) 20" xfId="9567" xr:uid="{00000000-0005-0000-0000-000057250000}"/>
    <cellStyle name="c_OMNI_BalSheets (2) 21" xfId="9568" xr:uid="{00000000-0005-0000-0000-000058250000}"/>
    <cellStyle name="c_OMNI_BalSheets (2) 21 2" xfId="9569" xr:uid="{00000000-0005-0000-0000-000059250000}"/>
    <cellStyle name="c_OMNI_BalSheets (2) 3" xfId="9570" xr:uid="{00000000-0005-0000-0000-00005A250000}"/>
    <cellStyle name="c_OMNI_BalSheets (2) 4" xfId="9571" xr:uid="{00000000-0005-0000-0000-00005B250000}"/>
    <cellStyle name="c_OMNI_BalSheets (2) 5" xfId="9572" xr:uid="{00000000-0005-0000-0000-00005C250000}"/>
    <cellStyle name="c_OMNI_BalSheets (2) 6" xfId="9573" xr:uid="{00000000-0005-0000-0000-00005D250000}"/>
    <cellStyle name="c_OMNI_BalSheets (2) 7" xfId="9574" xr:uid="{00000000-0005-0000-0000-00005E250000}"/>
    <cellStyle name="c_OMNI_BalSheets (2) 8" xfId="9575" xr:uid="{00000000-0005-0000-0000-00005F250000}"/>
    <cellStyle name="c_OMNI_BalSheets (2) 9" xfId="9576" xr:uid="{00000000-0005-0000-0000-000060250000}"/>
    <cellStyle name="c_OMNI_BalSheets (2)_{6} Clawback" xfId="9577" xr:uid="{00000000-0005-0000-0000-000061250000}"/>
    <cellStyle name="c_OMNI_BalSheets (2)_AIF IV Financial Highlights 12-31-08 v4" xfId="9578" xr:uid="{00000000-0005-0000-0000-000062250000}"/>
    <cellStyle name="c_OMNI_BalSheets (2)_AIF IV Financial Highlights 12-31-08 v4_Apollo Investment Fund IV  Q3 2009 Capital Analysis CURRENT" xfId="9579" xr:uid="{00000000-0005-0000-0000-000063250000}"/>
    <cellStyle name="c_OMNI_BalSheets (2)_AIF IV Financial Highlights 12-31-08 v4_Apollo Investment Fund IV  Q3 2009 Capital Analysis iPCS &amp; URI Distribution" xfId="9580" xr:uid="{00000000-0005-0000-0000-000064250000}"/>
    <cellStyle name="c_OMNI_BalSheets (2)_AIF IV Financial Highlights 12-31-08 v4_iPCs#1-Remaining" xfId="9581" xr:uid="{00000000-0005-0000-0000-000065250000}"/>
    <cellStyle name="c_OMNI_BalSheets (2)_Andy Affrick - Schedulev2" xfId="9582" xr:uid="{00000000-0005-0000-0000-000066250000}"/>
    <cellStyle name="c_OMNI_BalSheets (2)_Apollo Investment Fund IV  April Priority Return" xfId="9583" xr:uid="{00000000-0005-0000-0000-000067250000}"/>
    <cellStyle name="c_OMNI_BalSheets (2)_Carry Calculation" xfId="9584" xr:uid="{00000000-0005-0000-0000-000068250000}"/>
    <cellStyle name="c_OMNI_BalSheets (2)_Fund IV" xfId="9585" xr:uid="{00000000-0005-0000-0000-000069250000}"/>
    <cellStyle name="c_OMNI_BalSheets (2)_Fund IV_1" xfId="9586" xr:uid="{00000000-0005-0000-0000-00006A250000}"/>
    <cellStyle name="c_OMNI_BalSheets (2)_Fund IV_Funds IV Clawback Value Adjustment" xfId="9587" xr:uid="{00000000-0005-0000-0000-00006B250000}"/>
    <cellStyle name="c_OMNI_BalSheets (2)_Funds IV Clawback Adjustment Summary" xfId="9588" xr:uid="{00000000-0005-0000-0000-00006C250000}"/>
    <cellStyle name="c_OMNI_BalSheets (2)_MMF Income" xfId="9589" xr:uid="{00000000-0005-0000-0000-00006D250000}"/>
    <cellStyle name="c_OMNI_BalSheets (2)_Partners Capital Q1 2009" xfId="9590" xr:uid="{00000000-0005-0000-0000-00006E250000}"/>
    <cellStyle name="c_OMNI_BalSheets (2)_Partners Capital Q1 2009 2" xfId="9591" xr:uid="{00000000-0005-0000-0000-00006F250000}"/>
    <cellStyle name="c_OMNI_BalSheets (2)_Partners Capital Q1 2009 3" xfId="9592" xr:uid="{00000000-0005-0000-0000-000070250000}"/>
    <cellStyle name="c_OMNI_BalSheets (2)_Partners Capital Q1 2009_AIF VI - BondcoVI_Entities Invested Capital (CURRENT)" xfId="9593" xr:uid="{00000000-0005-0000-0000-000071250000}"/>
    <cellStyle name="c_OMNI_BalSheets (2)_Partners Capital Q1 2009_Invested Capital Debt Worksheet" xfId="9594" xr:uid="{00000000-0005-0000-0000-000072250000}"/>
    <cellStyle name="c_OMNI_BalSheets (2)_Partners Capital Q1 2009_MMF Income" xfId="9595" xr:uid="{00000000-0005-0000-0000-000073250000}"/>
    <cellStyle name="c_OMNI_BalSheets (2)_Partners Capital Q1 2009_Realized Gain Loss" xfId="9596" xr:uid="{00000000-0005-0000-0000-000074250000}"/>
    <cellStyle name="c_OMNI_BalSheets (2)_Placement Fee Summary 05-14-09 - Current (2)" xfId="9597" xr:uid="{00000000-0005-0000-0000-000075250000}"/>
    <cellStyle name="c_OMNI_BalSheets (2)_PR Calc" xfId="9598" xr:uid="{00000000-0005-0000-0000-000076250000}"/>
    <cellStyle name="c_OMNI_BalSheets (2)_Realized Gain Loss" xfId="9599" xr:uid="{00000000-0005-0000-0000-000077250000}"/>
    <cellStyle name="c_OMNI_Earnings (2)" xfId="9600" xr:uid="{00000000-0005-0000-0000-000078250000}"/>
    <cellStyle name="c_OMNI_Earnings (2) 10" xfId="9601" xr:uid="{00000000-0005-0000-0000-000079250000}"/>
    <cellStyle name="c_OMNI_Earnings (2) 11" xfId="9602" xr:uid="{00000000-0005-0000-0000-00007A250000}"/>
    <cellStyle name="c_OMNI_Earnings (2) 12" xfId="9603" xr:uid="{00000000-0005-0000-0000-00007B250000}"/>
    <cellStyle name="c_OMNI_Earnings (2) 13" xfId="9604" xr:uid="{00000000-0005-0000-0000-00007C250000}"/>
    <cellStyle name="c_OMNI_Earnings (2) 14" xfId="9605" xr:uid="{00000000-0005-0000-0000-00007D250000}"/>
    <cellStyle name="c_OMNI_Earnings (2) 15" xfId="9606" xr:uid="{00000000-0005-0000-0000-00007E250000}"/>
    <cellStyle name="c_OMNI_Earnings (2) 16" xfId="9607" xr:uid="{00000000-0005-0000-0000-00007F250000}"/>
    <cellStyle name="c_OMNI_Earnings (2) 17" xfId="9608" xr:uid="{00000000-0005-0000-0000-000080250000}"/>
    <cellStyle name="c_OMNI_Earnings (2) 18" xfId="9609" xr:uid="{00000000-0005-0000-0000-000081250000}"/>
    <cellStyle name="c_OMNI_Earnings (2) 19" xfId="9610" xr:uid="{00000000-0005-0000-0000-000082250000}"/>
    <cellStyle name="c_OMNI_Earnings (2) 2" xfId="9611" xr:uid="{00000000-0005-0000-0000-000083250000}"/>
    <cellStyle name="c_OMNI_Earnings (2) 20" xfId="9612" xr:uid="{00000000-0005-0000-0000-000084250000}"/>
    <cellStyle name="c_OMNI_Earnings (2) 21" xfId="9613" xr:uid="{00000000-0005-0000-0000-000085250000}"/>
    <cellStyle name="c_OMNI_Earnings (2) 21 2" xfId="9614" xr:uid="{00000000-0005-0000-0000-000086250000}"/>
    <cellStyle name="c_OMNI_Earnings (2) 3" xfId="9615" xr:uid="{00000000-0005-0000-0000-000087250000}"/>
    <cellStyle name="c_OMNI_Earnings (2) 4" xfId="9616" xr:uid="{00000000-0005-0000-0000-000088250000}"/>
    <cellStyle name="c_OMNI_Earnings (2) 5" xfId="9617" xr:uid="{00000000-0005-0000-0000-000089250000}"/>
    <cellStyle name="c_OMNI_Earnings (2) 6" xfId="9618" xr:uid="{00000000-0005-0000-0000-00008A250000}"/>
    <cellStyle name="c_OMNI_Earnings (2) 7" xfId="9619" xr:uid="{00000000-0005-0000-0000-00008B250000}"/>
    <cellStyle name="c_OMNI_Earnings (2) 8" xfId="9620" xr:uid="{00000000-0005-0000-0000-00008C250000}"/>
    <cellStyle name="c_OMNI_Earnings (2) 9" xfId="9621" xr:uid="{00000000-0005-0000-0000-00008D250000}"/>
    <cellStyle name="c_OMNI_Earnings (2)_{6} Clawback" xfId="9622" xr:uid="{00000000-0005-0000-0000-00008E250000}"/>
    <cellStyle name="c_OMNI_Earnings (2)_AIF IV Financial Highlights 12-31-08 v4" xfId="9623" xr:uid="{00000000-0005-0000-0000-00008F250000}"/>
    <cellStyle name="c_OMNI_Earnings (2)_AIF IV Financial Highlights 12-31-08 v4_Apollo Investment Fund IV  Q3 2009 Capital Analysis CURRENT" xfId="9624" xr:uid="{00000000-0005-0000-0000-000090250000}"/>
    <cellStyle name="c_OMNI_Earnings (2)_AIF IV Financial Highlights 12-31-08 v4_Apollo Investment Fund IV  Q3 2009 Capital Analysis iPCS &amp; URI Distribution" xfId="9625" xr:uid="{00000000-0005-0000-0000-000091250000}"/>
    <cellStyle name="c_OMNI_Earnings (2)_AIF IV Financial Highlights 12-31-08 v4_iPCs#1-Remaining" xfId="9626" xr:uid="{00000000-0005-0000-0000-000092250000}"/>
    <cellStyle name="c_OMNI_Earnings (2)_Andy Affrick - Schedulev2" xfId="9627" xr:uid="{00000000-0005-0000-0000-000093250000}"/>
    <cellStyle name="c_OMNI_Earnings (2)_Apollo Investment Fund IV  April Priority Return" xfId="9628" xr:uid="{00000000-0005-0000-0000-000094250000}"/>
    <cellStyle name="c_OMNI_Earnings (2)_Carry Calculation" xfId="9629" xr:uid="{00000000-0005-0000-0000-000095250000}"/>
    <cellStyle name="c_OMNI_Earnings (2)_Fund IV" xfId="9630" xr:uid="{00000000-0005-0000-0000-000096250000}"/>
    <cellStyle name="c_OMNI_Earnings (2)_Fund IV_1" xfId="9631" xr:uid="{00000000-0005-0000-0000-000097250000}"/>
    <cellStyle name="c_OMNI_Earnings (2)_Fund IV_Funds IV Clawback Value Adjustment" xfId="9632" xr:uid="{00000000-0005-0000-0000-000098250000}"/>
    <cellStyle name="c_OMNI_Earnings (2)_Funds IV Clawback Adjustment Summary" xfId="9633" xr:uid="{00000000-0005-0000-0000-000099250000}"/>
    <cellStyle name="c_OMNI_Earnings (2)_MMF Income" xfId="9634" xr:uid="{00000000-0005-0000-0000-00009A250000}"/>
    <cellStyle name="c_OMNI_Earnings (2)_Partners Capital Q1 2009" xfId="9635" xr:uid="{00000000-0005-0000-0000-00009B250000}"/>
    <cellStyle name="c_OMNI_Earnings (2)_Partners Capital Q1 2009 2" xfId="9636" xr:uid="{00000000-0005-0000-0000-00009C250000}"/>
    <cellStyle name="c_OMNI_Earnings (2)_Partners Capital Q1 2009 3" xfId="9637" xr:uid="{00000000-0005-0000-0000-00009D250000}"/>
    <cellStyle name="c_OMNI_Earnings (2)_Partners Capital Q1 2009_AIF VI - BondcoVI_Entities Invested Capital (CURRENT)" xfId="9638" xr:uid="{00000000-0005-0000-0000-00009E250000}"/>
    <cellStyle name="c_OMNI_Earnings (2)_Partners Capital Q1 2009_Invested Capital Debt Worksheet" xfId="9639" xr:uid="{00000000-0005-0000-0000-00009F250000}"/>
    <cellStyle name="c_OMNI_Earnings (2)_Partners Capital Q1 2009_MMF Income" xfId="9640" xr:uid="{00000000-0005-0000-0000-0000A0250000}"/>
    <cellStyle name="c_OMNI_Earnings (2)_Partners Capital Q1 2009_Realized Gain Loss" xfId="9641" xr:uid="{00000000-0005-0000-0000-0000A1250000}"/>
    <cellStyle name="c_OMNI_Earnings (2)_Placement Fee Summary 05-14-09 - Current (2)" xfId="9642" xr:uid="{00000000-0005-0000-0000-0000A2250000}"/>
    <cellStyle name="c_OMNI_Earnings (2)_PR Calc" xfId="9643" xr:uid="{00000000-0005-0000-0000-0000A3250000}"/>
    <cellStyle name="c_OMNI_Earnings (2)_Realized Gain Loss" xfId="9644" xr:uid="{00000000-0005-0000-0000-0000A4250000}"/>
    <cellStyle name="c_Omni_Schedules (2)" xfId="9645" xr:uid="{00000000-0005-0000-0000-0000A5250000}"/>
    <cellStyle name="c_Omni_Schedules (2) 10" xfId="9646" xr:uid="{00000000-0005-0000-0000-0000A6250000}"/>
    <cellStyle name="c_Omni_Schedules (2) 11" xfId="9647" xr:uid="{00000000-0005-0000-0000-0000A7250000}"/>
    <cellStyle name="c_Omni_Schedules (2) 12" xfId="9648" xr:uid="{00000000-0005-0000-0000-0000A8250000}"/>
    <cellStyle name="c_Omni_Schedules (2) 13" xfId="9649" xr:uid="{00000000-0005-0000-0000-0000A9250000}"/>
    <cellStyle name="c_Omni_Schedules (2) 14" xfId="9650" xr:uid="{00000000-0005-0000-0000-0000AA250000}"/>
    <cellStyle name="c_Omni_Schedules (2) 15" xfId="9651" xr:uid="{00000000-0005-0000-0000-0000AB250000}"/>
    <cellStyle name="c_Omni_Schedules (2) 16" xfId="9652" xr:uid="{00000000-0005-0000-0000-0000AC250000}"/>
    <cellStyle name="c_Omni_Schedules (2) 17" xfId="9653" xr:uid="{00000000-0005-0000-0000-0000AD250000}"/>
    <cellStyle name="c_Omni_Schedules (2) 18" xfId="9654" xr:uid="{00000000-0005-0000-0000-0000AE250000}"/>
    <cellStyle name="c_Omni_Schedules (2) 19" xfId="9655" xr:uid="{00000000-0005-0000-0000-0000AF250000}"/>
    <cellStyle name="c_Omni_Schedules (2) 2" xfId="9656" xr:uid="{00000000-0005-0000-0000-0000B0250000}"/>
    <cellStyle name="c_Omni_Schedules (2) 20" xfId="9657" xr:uid="{00000000-0005-0000-0000-0000B1250000}"/>
    <cellStyle name="c_Omni_Schedules (2) 21" xfId="9658" xr:uid="{00000000-0005-0000-0000-0000B2250000}"/>
    <cellStyle name="c_Omni_Schedules (2) 21 2" xfId="9659" xr:uid="{00000000-0005-0000-0000-0000B3250000}"/>
    <cellStyle name="c_Omni_Schedules (2) 3" xfId="9660" xr:uid="{00000000-0005-0000-0000-0000B4250000}"/>
    <cellStyle name="c_Omni_Schedules (2) 4" xfId="9661" xr:uid="{00000000-0005-0000-0000-0000B5250000}"/>
    <cellStyle name="c_Omni_Schedules (2) 5" xfId="9662" xr:uid="{00000000-0005-0000-0000-0000B6250000}"/>
    <cellStyle name="c_Omni_Schedules (2) 6" xfId="9663" xr:uid="{00000000-0005-0000-0000-0000B7250000}"/>
    <cellStyle name="c_Omni_Schedules (2) 7" xfId="9664" xr:uid="{00000000-0005-0000-0000-0000B8250000}"/>
    <cellStyle name="c_Omni_Schedules (2) 8" xfId="9665" xr:uid="{00000000-0005-0000-0000-0000B9250000}"/>
    <cellStyle name="c_Omni_Schedules (2) 9" xfId="9666" xr:uid="{00000000-0005-0000-0000-0000BA250000}"/>
    <cellStyle name="c_Omni_Schedules (2)_{6} Clawback" xfId="9667" xr:uid="{00000000-0005-0000-0000-0000BB250000}"/>
    <cellStyle name="c_Omni_Schedules (2)_AIF IV Financial Highlights 12-31-08 v4" xfId="9668" xr:uid="{00000000-0005-0000-0000-0000BC250000}"/>
    <cellStyle name="c_Omni_Schedules (2)_AIF IV Financial Highlights 12-31-08 v4_Apollo Investment Fund IV  Q3 2009 Capital Analysis CURRENT" xfId="9669" xr:uid="{00000000-0005-0000-0000-0000BD250000}"/>
    <cellStyle name="c_Omni_Schedules (2)_AIF IV Financial Highlights 12-31-08 v4_Apollo Investment Fund IV  Q3 2009 Capital Analysis iPCS &amp; URI Distribution" xfId="9670" xr:uid="{00000000-0005-0000-0000-0000BE250000}"/>
    <cellStyle name="c_Omni_Schedules (2)_AIF IV Financial Highlights 12-31-08 v4_iPCs#1-Remaining" xfId="9671" xr:uid="{00000000-0005-0000-0000-0000BF250000}"/>
    <cellStyle name="c_Omni_Schedules (2)_Andy Affrick - Schedulev2" xfId="9672" xr:uid="{00000000-0005-0000-0000-0000C0250000}"/>
    <cellStyle name="c_Omni_Schedules (2)_Apollo Investment Fund IV  April Priority Return" xfId="9673" xr:uid="{00000000-0005-0000-0000-0000C1250000}"/>
    <cellStyle name="c_Omni_Schedules (2)_Carry Calculation" xfId="9674" xr:uid="{00000000-0005-0000-0000-0000C2250000}"/>
    <cellStyle name="c_Omni_Schedules (2)_Fund IV" xfId="9675" xr:uid="{00000000-0005-0000-0000-0000C3250000}"/>
    <cellStyle name="c_Omni_Schedules (2)_Fund IV_1" xfId="9676" xr:uid="{00000000-0005-0000-0000-0000C4250000}"/>
    <cellStyle name="c_Omni_Schedules (2)_Fund IV_Funds IV Clawback Value Adjustment" xfId="9677" xr:uid="{00000000-0005-0000-0000-0000C5250000}"/>
    <cellStyle name="c_Omni_Schedules (2)_Funds IV Clawback Adjustment Summary" xfId="9678" xr:uid="{00000000-0005-0000-0000-0000C6250000}"/>
    <cellStyle name="c_Omni_Schedules (2)_MMF Income" xfId="9679" xr:uid="{00000000-0005-0000-0000-0000C7250000}"/>
    <cellStyle name="c_Omni_Schedules (2)_Partners Capital Q1 2009" xfId="9680" xr:uid="{00000000-0005-0000-0000-0000C8250000}"/>
    <cellStyle name="c_Omni_Schedules (2)_Partners Capital Q1 2009 2" xfId="9681" xr:uid="{00000000-0005-0000-0000-0000C9250000}"/>
    <cellStyle name="c_Omni_Schedules (2)_Partners Capital Q1 2009 3" xfId="9682" xr:uid="{00000000-0005-0000-0000-0000CA250000}"/>
    <cellStyle name="c_Omni_Schedules (2)_Partners Capital Q1 2009_AIF VI - BondcoVI_Entities Invested Capital (CURRENT)" xfId="9683" xr:uid="{00000000-0005-0000-0000-0000CB250000}"/>
    <cellStyle name="c_Omni_Schedules (2)_Partners Capital Q1 2009_Invested Capital Debt Worksheet" xfId="9684" xr:uid="{00000000-0005-0000-0000-0000CC250000}"/>
    <cellStyle name="c_Omni_Schedules (2)_Partners Capital Q1 2009_MMF Income" xfId="9685" xr:uid="{00000000-0005-0000-0000-0000CD250000}"/>
    <cellStyle name="c_Omni_Schedules (2)_Partners Capital Q1 2009_Realized Gain Loss" xfId="9686" xr:uid="{00000000-0005-0000-0000-0000CE250000}"/>
    <cellStyle name="c_Omni_Schedules (2)_Placement Fee Summary 05-14-09 - Current (2)" xfId="9687" xr:uid="{00000000-0005-0000-0000-0000CF250000}"/>
    <cellStyle name="c_Omni_Schedules (2)_PR Calc" xfId="9688" xr:uid="{00000000-0005-0000-0000-0000D0250000}"/>
    <cellStyle name="c_Omni_Schedules (2)_Realized Gain Loss" xfId="9689" xr:uid="{00000000-0005-0000-0000-0000D1250000}"/>
    <cellStyle name="c_Partners Capital Q1 2009" xfId="9690" xr:uid="{00000000-0005-0000-0000-0000D2250000}"/>
    <cellStyle name="c_Partners Capital Q1 2009 2" xfId="9691" xr:uid="{00000000-0005-0000-0000-0000D3250000}"/>
    <cellStyle name="c_Partners Capital Q1 2009 3" xfId="9692" xr:uid="{00000000-0005-0000-0000-0000D4250000}"/>
    <cellStyle name="c_Partners Capital Q1 2009_AIF VI - BondcoVI_Entities Invested Capital (CURRENT)" xfId="9693" xr:uid="{00000000-0005-0000-0000-0000D5250000}"/>
    <cellStyle name="c_Partners Capital Q1 2009_Invested Capital Debt Worksheet" xfId="9694" xr:uid="{00000000-0005-0000-0000-0000D6250000}"/>
    <cellStyle name="c_Partners Capital Q1 2009_MMF Income" xfId="9695" xr:uid="{00000000-0005-0000-0000-0000D7250000}"/>
    <cellStyle name="c_Partners Capital Q1 2009_Realized Gain Loss" xfId="9696" xr:uid="{00000000-0005-0000-0000-0000D8250000}"/>
    <cellStyle name="c_PFMA Cap (2)" xfId="9697" xr:uid="{00000000-0005-0000-0000-0000D9250000}"/>
    <cellStyle name="c_PFMA Cap (2) 10" xfId="9698" xr:uid="{00000000-0005-0000-0000-0000DA250000}"/>
    <cellStyle name="c_PFMA Cap (2) 11" xfId="9699" xr:uid="{00000000-0005-0000-0000-0000DB250000}"/>
    <cellStyle name="c_PFMA Cap (2) 12" xfId="9700" xr:uid="{00000000-0005-0000-0000-0000DC250000}"/>
    <cellStyle name="c_PFMA Cap (2) 13" xfId="9701" xr:uid="{00000000-0005-0000-0000-0000DD250000}"/>
    <cellStyle name="c_PFMA Cap (2) 14" xfId="9702" xr:uid="{00000000-0005-0000-0000-0000DE250000}"/>
    <cellStyle name="c_PFMA Cap (2) 15" xfId="9703" xr:uid="{00000000-0005-0000-0000-0000DF250000}"/>
    <cellStyle name="c_PFMA Cap (2) 16" xfId="9704" xr:uid="{00000000-0005-0000-0000-0000E0250000}"/>
    <cellStyle name="c_PFMA Cap (2) 17" xfId="9705" xr:uid="{00000000-0005-0000-0000-0000E1250000}"/>
    <cellStyle name="c_PFMA Cap (2) 18" xfId="9706" xr:uid="{00000000-0005-0000-0000-0000E2250000}"/>
    <cellStyle name="c_PFMA Cap (2) 19" xfId="9707" xr:uid="{00000000-0005-0000-0000-0000E3250000}"/>
    <cellStyle name="c_PFMA Cap (2) 2" xfId="9708" xr:uid="{00000000-0005-0000-0000-0000E4250000}"/>
    <cellStyle name="c_PFMA Cap (2) 20" xfId="9709" xr:uid="{00000000-0005-0000-0000-0000E5250000}"/>
    <cellStyle name="c_PFMA Cap (2) 21" xfId="9710" xr:uid="{00000000-0005-0000-0000-0000E6250000}"/>
    <cellStyle name="c_PFMA Cap (2) 21 2" xfId="9711" xr:uid="{00000000-0005-0000-0000-0000E7250000}"/>
    <cellStyle name="c_PFMA Cap (2) 3" xfId="9712" xr:uid="{00000000-0005-0000-0000-0000E8250000}"/>
    <cellStyle name="c_PFMA Cap (2) 4" xfId="9713" xr:uid="{00000000-0005-0000-0000-0000E9250000}"/>
    <cellStyle name="c_PFMA Cap (2) 5" xfId="9714" xr:uid="{00000000-0005-0000-0000-0000EA250000}"/>
    <cellStyle name="c_PFMA Cap (2) 6" xfId="9715" xr:uid="{00000000-0005-0000-0000-0000EB250000}"/>
    <cellStyle name="c_PFMA Cap (2) 7" xfId="9716" xr:uid="{00000000-0005-0000-0000-0000EC250000}"/>
    <cellStyle name="c_PFMA Cap (2) 8" xfId="9717" xr:uid="{00000000-0005-0000-0000-0000ED250000}"/>
    <cellStyle name="c_PFMA Cap (2) 9" xfId="9718" xr:uid="{00000000-0005-0000-0000-0000EE250000}"/>
    <cellStyle name="c_PFMA Cap (2)_{6} Clawback" xfId="9719" xr:uid="{00000000-0005-0000-0000-0000EF250000}"/>
    <cellStyle name="c_PFMA Cap (2)_AIF IV Financial Highlights 12-31-08 v4" xfId="9720" xr:uid="{00000000-0005-0000-0000-0000F0250000}"/>
    <cellStyle name="c_PFMA Cap (2)_AIF IV Financial Highlights 12-31-08 v4_Apollo Investment Fund IV  Q3 2009 Capital Analysis CURRENT" xfId="9721" xr:uid="{00000000-0005-0000-0000-0000F1250000}"/>
    <cellStyle name="c_PFMA Cap (2)_AIF IV Financial Highlights 12-31-08 v4_Apollo Investment Fund IV  Q3 2009 Capital Analysis iPCS &amp; URI Distribution" xfId="9722" xr:uid="{00000000-0005-0000-0000-0000F2250000}"/>
    <cellStyle name="c_PFMA Cap (2)_AIF IV Financial Highlights 12-31-08 v4_iPCs#1-Remaining" xfId="9723" xr:uid="{00000000-0005-0000-0000-0000F3250000}"/>
    <cellStyle name="c_PFMA Cap (2)_Andy Affrick - Schedulev2" xfId="9724" xr:uid="{00000000-0005-0000-0000-0000F4250000}"/>
    <cellStyle name="c_PFMA Cap (2)_Apollo Investment Fund IV  April Priority Return" xfId="9725" xr:uid="{00000000-0005-0000-0000-0000F5250000}"/>
    <cellStyle name="c_PFMA Cap (2)_Carry Calculation" xfId="9726" xr:uid="{00000000-0005-0000-0000-0000F6250000}"/>
    <cellStyle name="c_PFMA Cap (2)_Fund IV" xfId="9727" xr:uid="{00000000-0005-0000-0000-0000F7250000}"/>
    <cellStyle name="c_PFMA Cap (2)_Fund IV_1" xfId="9728" xr:uid="{00000000-0005-0000-0000-0000F8250000}"/>
    <cellStyle name="c_PFMA Cap (2)_Fund IV_Funds IV Clawback Value Adjustment" xfId="9729" xr:uid="{00000000-0005-0000-0000-0000F9250000}"/>
    <cellStyle name="c_PFMA Cap (2)_Funds IV Clawback Adjustment Summary" xfId="9730" xr:uid="{00000000-0005-0000-0000-0000FA250000}"/>
    <cellStyle name="c_PFMA Cap (2)_MMF Income" xfId="9731" xr:uid="{00000000-0005-0000-0000-0000FB250000}"/>
    <cellStyle name="c_PFMA Cap (2)_Partners Capital Q1 2009" xfId="9732" xr:uid="{00000000-0005-0000-0000-0000FC250000}"/>
    <cellStyle name="c_PFMA Cap (2)_Partners Capital Q1 2009 2" xfId="9733" xr:uid="{00000000-0005-0000-0000-0000FD250000}"/>
    <cellStyle name="c_PFMA Cap (2)_Partners Capital Q1 2009 3" xfId="9734" xr:uid="{00000000-0005-0000-0000-0000FE250000}"/>
    <cellStyle name="c_PFMA Cap (2)_Partners Capital Q1 2009_AIF VI - BondcoVI_Entities Invested Capital (CURRENT)" xfId="9735" xr:uid="{00000000-0005-0000-0000-0000FF250000}"/>
    <cellStyle name="c_PFMA Cap (2)_Partners Capital Q1 2009_Invested Capital Debt Worksheet" xfId="9736" xr:uid="{00000000-0005-0000-0000-000000260000}"/>
    <cellStyle name="c_PFMA Cap (2)_Partners Capital Q1 2009_MMF Income" xfId="9737" xr:uid="{00000000-0005-0000-0000-000001260000}"/>
    <cellStyle name="c_PFMA Cap (2)_Partners Capital Q1 2009_Realized Gain Loss" xfId="9738" xr:uid="{00000000-0005-0000-0000-000002260000}"/>
    <cellStyle name="c_PFMA Cap (2)_Placement Fee Summary 05-14-09 - Current (2)" xfId="9739" xr:uid="{00000000-0005-0000-0000-000003260000}"/>
    <cellStyle name="c_PFMA Cap (2)_PR Calc" xfId="9740" xr:uid="{00000000-0005-0000-0000-000004260000}"/>
    <cellStyle name="c_PFMA Cap (2)_Realized Gain Loss" xfId="9741" xr:uid="{00000000-0005-0000-0000-000005260000}"/>
    <cellStyle name="c_PFMA Credit (2)" xfId="9742" xr:uid="{00000000-0005-0000-0000-000006260000}"/>
    <cellStyle name="c_PFMA Credit (2) 10" xfId="9743" xr:uid="{00000000-0005-0000-0000-000007260000}"/>
    <cellStyle name="c_PFMA Credit (2) 11" xfId="9744" xr:uid="{00000000-0005-0000-0000-000008260000}"/>
    <cellStyle name="c_PFMA Credit (2) 12" xfId="9745" xr:uid="{00000000-0005-0000-0000-000009260000}"/>
    <cellStyle name="c_PFMA Credit (2) 13" xfId="9746" xr:uid="{00000000-0005-0000-0000-00000A260000}"/>
    <cellStyle name="c_PFMA Credit (2) 14" xfId="9747" xr:uid="{00000000-0005-0000-0000-00000B260000}"/>
    <cellStyle name="c_PFMA Credit (2) 15" xfId="9748" xr:uid="{00000000-0005-0000-0000-00000C260000}"/>
    <cellStyle name="c_PFMA Credit (2) 16" xfId="9749" xr:uid="{00000000-0005-0000-0000-00000D260000}"/>
    <cellStyle name="c_PFMA Credit (2) 17" xfId="9750" xr:uid="{00000000-0005-0000-0000-00000E260000}"/>
    <cellStyle name="c_PFMA Credit (2) 18" xfId="9751" xr:uid="{00000000-0005-0000-0000-00000F260000}"/>
    <cellStyle name="c_PFMA Credit (2) 19" xfId="9752" xr:uid="{00000000-0005-0000-0000-000010260000}"/>
    <cellStyle name="c_PFMA Credit (2) 2" xfId="9753" xr:uid="{00000000-0005-0000-0000-000011260000}"/>
    <cellStyle name="c_PFMA Credit (2) 20" xfId="9754" xr:uid="{00000000-0005-0000-0000-000012260000}"/>
    <cellStyle name="c_PFMA Credit (2) 21" xfId="9755" xr:uid="{00000000-0005-0000-0000-000013260000}"/>
    <cellStyle name="c_PFMA Credit (2) 21 2" xfId="9756" xr:uid="{00000000-0005-0000-0000-000014260000}"/>
    <cellStyle name="c_PFMA Credit (2) 3" xfId="9757" xr:uid="{00000000-0005-0000-0000-000015260000}"/>
    <cellStyle name="c_PFMA Credit (2) 4" xfId="9758" xr:uid="{00000000-0005-0000-0000-000016260000}"/>
    <cellStyle name="c_PFMA Credit (2) 5" xfId="9759" xr:uid="{00000000-0005-0000-0000-000017260000}"/>
    <cellStyle name="c_PFMA Credit (2) 6" xfId="9760" xr:uid="{00000000-0005-0000-0000-000018260000}"/>
    <cellStyle name="c_PFMA Credit (2) 7" xfId="9761" xr:uid="{00000000-0005-0000-0000-000019260000}"/>
    <cellStyle name="c_PFMA Credit (2) 8" xfId="9762" xr:uid="{00000000-0005-0000-0000-00001A260000}"/>
    <cellStyle name="c_PFMA Credit (2) 9" xfId="9763" xr:uid="{00000000-0005-0000-0000-00001B260000}"/>
    <cellStyle name="c_PFMA Credit (2)_{6} Clawback" xfId="9764" xr:uid="{00000000-0005-0000-0000-00001C260000}"/>
    <cellStyle name="c_PFMA Credit (2)_AIF IV Financial Highlights 12-31-08 v4" xfId="9765" xr:uid="{00000000-0005-0000-0000-00001D260000}"/>
    <cellStyle name="c_PFMA Credit (2)_AIF IV Financial Highlights 12-31-08 v4_Apollo Investment Fund IV  Q3 2009 Capital Analysis CURRENT" xfId="9766" xr:uid="{00000000-0005-0000-0000-00001E260000}"/>
    <cellStyle name="c_PFMA Credit (2)_AIF IV Financial Highlights 12-31-08 v4_Apollo Investment Fund IV  Q3 2009 Capital Analysis iPCS &amp; URI Distribution" xfId="9767" xr:uid="{00000000-0005-0000-0000-00001F260000}"/>
    <cellStyle name="c_PFMA Credit (2)_AIF IV Financial Highlights 12-31-08 v4_iPCs#1-Remaining" xfId="9768" xr:uid="{00000000-0005-0000-0000-000020260000}"/>
    <cellStyle name="c_PFMA Credit (2)_Andy Affrick - Schedulev2" xfId="9769" xr:uid="{00000000-0005-0000-0000-000021260000}"/>
    <cellStyle name="c_PFMA Credit (2)_Apollo Investment Fund IV  April Priority Return" xfId="9770" xr:uid="{00000000-0005-0000-0000-000022260000}"/>
    <cellStyle name="c_PFMA Credit (2)_Carry Calculation" xfId="9771" xr:uid="{00000000-0005-0000-0000-000023260000}"/>
    <cellStyle name="c_PFMA Credit (2)_Fund IV" xfId="9772" xr:uid="{00000000-0005-0000-0000-000024260000}"/>
    <cellStyle name="c_PFMA Credit (2)_Fund IV_1" xfId="9773" xr:uid="{00000000-0005-0000-0000-000025260000}"/>
    <cellStyle name="c_PFMA Credit (2)_Fund IV_Funds IV Clawback Value Adjustment" xfId="9774" xr:uid="{00000000-0005-0000-0000-000026260000}"/>
    <cellStyle name="c_PFMA Credit (2)_Funds IV Clawback Adjustment Summary" xfId="9775" xr:uid="{00000000-0005-0000-0000-000027260000}"/>
    <cellStyle name="c_PFMA Credit (2)_MMF Income" xfId="9776" xr:uid="{00000000-0005-0000-0000-000028260000}"/>
    <cellStyle name="c_PFMA Credit (2)_Partners Capital Q1 2009" xfId="9777" xr:uid="{00000000-0005-0000-0000-000029260000}"/>
    <cellStyle name="c_PFMA Credit (2)_Partners Capital Q1 2009 2" xfId="9778" xr:uid="{00000000-0005-0000-0000-00002A260000}"/>
    <cellStyle name="c_PFMA Credit (2)_Partners Capital Q1 2009 3" xfId="9779" xr:uid="{00000000-0005-0000-0000-00002B260000}"/>
    <cellStyle name="c_PFMA Credit (2)_Partners Capital Q1 2009_AIF VI - BondcoVI_Entities Invested Capital (CURRENT)" xfId="9780" xr:uid="{00000000-0005-0000-0000-00002C260000}"/>
    <cellStyle name="c_PFMA Credit (2)_Partners Capital Q1 2009_Invested Capital Debt Worksheet" xfId="9781" xr:uid="{00000000-0005-0000-0000-00002D260000}"/>
    <cellStyle name="c_PFMA Credit (2)_Partners Capital Q1 2009_MMF Income" xfId="9782" xr:uid="{00000000-0005-0000-0000-00002E260000}"/>
    <cellStyle name="c_PFMA Credit (2)_Partners Capital Q1 2009_Realized Gain Loss" xfId="9783" xr:uid="{00000000-0005-0000-0000-00002F260000}"/>
    <cellStyle name="c_PFMA Credit (2)_Placement Fee Summary 05-14-09 - Current (2)" xfId="9784" xr:uid="{00000000-0005-0000-0000-000030260000}"/>
    <cellStyle name="c_PFMA Credit (2)_PR Calc" xfId="9785" xr:uid="{00000000-0005-0000-0000-000031260000}"/>
    <cellStyle name="c_PFMA Credit (2)_Realized Gain Loss" xfId="9786" xr:uid="{00000000-0005-0000-0000-000032260000}"/>
    <cellStyle name="c_Placement Fee Summary 05-14-09 - Current (2)" xfId="9787" xr:uid="{00000000-0005-0000-0000-000033260000}"/>
    <cellStyle name="c_PR Calc" xfId="9788" xr:uid="{00000000-0005-0000-0000-000034260000}"/>
    <cellStyle name="c_Print macros" xfId="9789" xr:uid="{00000000-0005-0000-0000-000035260000}"/>
    <cellStyle name="c_Print macros 10" xfId="9790" xr:uid="{00000000-0005-0000-0000-000036260000}"/>
    <cellStyle name="c_Print macros 11" xfId="9791" xr:uid="{00000000-0005-0000-0000-000037260000}"/>
    <cellStyle name="c_Print macros 12" xfId="9792" xr:uid="{00000000-0005-0000-0000-000038260000}"/>
    <cellStyle name="c_Print macros 13" xfId="9793" xr:uid="{00000000-0005-0000-0000-000039260000}"/>
    <cellStyle name="c_Print macros 14" xfId="9794" xr:uid="{00000000-0005-0000-0000-00003A260000}"/>
    <cellStyle name="c_Print macros 15" xfId="9795" xr:uid="{00000000-0005-0000-0000-00003B260000}"/>
    <cellStyle name="c_Print macros 16" xfId="9796" xr:uid="{00000000-0005-0000-0000-00003C260000}"/>
    <cellStyle name="c_Print macros 17" xfId="9797" xr:uid="{00000000-0005-0000-0000-00003D260000}"/>
    <cellStyle name="c_Print macros 18" xfId="9798" xr:uid="{00000000-0005-0000-0000-00003E260000}"/>
    <cellStyle name="c_Print macros 19" xfId="9799" xr:uid="{00000000-0005-0000-0000-00003F260000}"/>
    <cellStyle name="c_Print macros 2" xfId="9800" xr:uid="{00000000-0005-0000-0000-000040260000}"/>
    <cellStyle name="c_Print macros 20" xfId="9801" xr:uid="{00000000-0005-0000-0000-000041260000}"/>
    <cellStyle name="c_Print macros 21" xfId="9802" xr:uid="{00000000-0005-0000-0000-000042260000}"/>
    <cellStyle name="c_Print macros 21 2" xfId="9803" xr:uid="{00000000-0005-0000-0000-000043260000}"/>
    <cellStyle name="c_Print macros 3" xfId="9804" xr:uid="{00000000-0005-0000-0000-000044260000}"/>
    <cellStyle name="c_Print macros 4" xfId="9805" xr:uid="{00000000-0005-0000-0000-000045260000}"/>
    <cellStyle name="c_Print macros 5" xfId="9806" xr:uid="{00000000-0005-0000-0000-000046260000}"/>
    <cellStyle name="c_Print macros 6" xfId="9807" xr:uid="{00000000-0005-0000-0000-000047260000}"/>
    <cellStyle name="c_Print macros 7" xfId="9808" xr:uid="{00000000-0005-0000-0000-000048260000}"/>
    <cellStyle name="c_Print macros 8" xfId="9809" xr:uid="{00000000-0005-0000-0000-000049260000}"/>
    <cellStyle name="c_Print macros 9" xfId="9810" xr:uid="{00000000-0005-0000-0000-00004A260000}"/>
    <cellStyle name="c_Print macros_{6} Clawback" xfId="9811" xr:uid="{00000000-0005-0000-0000-00004B260000}"/>
    <cellStyle name="c_Print macros_AIF IV Financial Highlights 12-31-08 v4" xfId="9812" xr:uid="{00000000-0005-0000-0000-00004C260000}"/>
    <cellStyle name="c_Print macros_AIF IV Financial Highlights 12-31-08 v4_Apollo Investment Fund IV  Q3 2009 Capital Analysis CURRENT" xfId="9813" xr:uid="{00000000-0005-0000-0000-00004D260000}"/>
    <cellStyle name="c_Print macros_AIF IV Financial Highlights 12-31-08 v4_Apollo Investment Fund IV  Q3 2009 Capital Analysis iPCS &amp; URI Distribution" xfId="9814" xr:uid="{00000000-0005-0000-0000-00004E260000}"/>
    <cellStyle name="c_Print macros_AIF IV Financial Highlights 12-31-08 v4_iPCs#1-Remaining" xfId="9815" xr:uid="{00000000-0005-0000-0000-00004F260000}"/>
    <cellStyle name="c_Print macros_Andy Affrick - Schedulev2" xfId="9816" xr:uid="{00000000-0005-0000-0000-000050260000}"/>
    <cellStyle name="c_Print macros_Apollo Investment Fund IV  April Priority Return" xfId="9817" xr:uid="{00000000-0005-0000-0000-000051260000}"/>
    <cellStyle name="c_Print macros_Carry Calculation" xfId="9818" xr:uid="{00000000-0005-0000-0000-000052260000}"/>
    <cellStyle name="c_Print macros_Fund IV" xfId="9819" xr:uid="{00000000-0005-0000-0000-000053260000}"/>
    <cellStyle name="c_Print macros_Fund IV_1" xfId="9820" xr:uid="{00000000-0005-0000-0000-000054260000}"/>
    <cellStyle name="c_Print macros_Fund IV_Funds IV Clawback Value Adjustment" xfId="9821" xr:uid="{00000000-0005-0000-0000-000055260000}"/>
    <cellStyle name="c_Print macros_Funds IV Clawback Adjustment Summary" xfId="9822" xr:uid="{00000000-0005-0000-0000-000056260000}"/>
    <cellStyle name="c_Print macros_MMF Income" xfId="9823" xr:uid="{00000000-0005-0000-0000-000057260000}"/>
    <cellStyle name="c_Print macros_Partners Capital Q1 2009" xfId="9824" xr:uid="{00000000-0005-0000-0000-000058260000}"/>
    <cellStyle name="c_Print macros_Partners Capital Q1 2009 2" xfId="9825" xr:uid="{00000000-0005-0000-0000-000059260000}"/>
    <cellStyle name="c_Print macros_Partners Capital Q1 2009 3" xfId="9826" xr:uid="{00000000-0005-0000-0000-00005A260000}"/>
    <cellStyle name="c_Print macros_Partners Capital Q1 2009_AIF VI - BondcoVI_Entities Invested Capital (CURRENT)" xfId="9827" xr:uid="{00000000-0005-0000-0000-00005B260000}"/>
    <cellStyle name="c_Print macros_Partners Capital Q1 2009_Invested Capital Debt Worksheet" xfId="9828" xr:uid="{00000000-0005-0000-0000-00005C260000}"/>
    <cellStyle name="c_Print macros_Partners Capital Q1 2009_MMF Income" xfId="9829" xr:uid="{00000000-0005-0000-0000-00005D260000}"/>
    <cellStyle name="c_Print macros_Partners Capital Q1 2009_Realized Gain Loss" xfId="9830" xr:uid="{00000000-0005-0000-0000-00005E260000}"/>
    <cellStyle name="c_Print macros_Placement Fee Summary 05-14-09 - Current (2)" xfId="9831" xr:uid="{00000000-0005-0000-0000-00005F260000}"/>
    <cellStyle name="c_Print macros_PR Calc" xfId="9832" xr:uid="{00000000-0005-0000-0000-000060260000}"/>
    <cellStyle name="c_Print macros_Realized Gain Loss" xfId="9833" xr:uid="{00000000-0005-0000-0000-000061260000}"/>
    <cellStyle name="c_PWS (2)" xfId="9834" xr:uid="{00000000-0005-0000-0000-000062260000}"/>
    <cellStyle name="c_PWS (2) 10" xfId="9835" xr:uid="{00000000-0005-0000-0000-000063260000}"/>
    <cellStyle name="c_PWS (2) 11" xfId="9836" xr:uid="{00000000-0005-0000-0000-000064260000}"/>
    <cellStyle name="c_PWS (2) 12" xfId="9837" xr:uid="{00000000-0005-0000-0000-000065260000}"/>
    <cellStyle name="c_PWS (2) 13" xfId="9838" xr:uid="{00000000-0005-0000-0000-000066260000}"/>
    <cellStyle name="c_PWS (2) 14" xfId="9839" xr:uid="{00000000-0005-0000-0000-000067260000}"/>
    <cellStyle name="c_PWS (2) 15" xfId="9840" xr:uid="{00000000-0005-0000-0000-000068260000}"/>
    <cellStyle name="c_PWS (2) 16" xfId="9841" xr:uid="{00000000-0005-0000-0000-000069260000}"/>
    <cellStyle name="c_PWS (2) 17" xfId="9842" xr:uid="{00000000-0005-0000-0000-00006A260000}"/>
    <cellStyle name="c_PWS (2) 18" xfId="9843" xr:uid="{00000000-0005-0000-0000-00006B260000}"/>
    <cellStyle name="c_PWS (2) 19" xfId="9844" xr:uid="{00000000-0005-0000-0000-00006C260000}"/>
    <cellStyle name="c_PWS (2) 2" xfId="9845" xr:uid="{00000000-0005-0000-0000-00006D260000}"/>
    <cellStyle name="c_PWS (2) 20" xfId="9846" xr:uid="{00000000-0005-0000-0000-00006E260000}"/>
    <cellStyle name="c_PWS (2) 21" xfId="9847" xr:uid="{00000000-0005-0000-0000-00006F260000}"/>
    <cellStyle name="c_PWS (2) 21 2" xfId="9848" xr:uid="{00000000-0005-0000-0000-000070260000}"/>
    <cellStyle name="c_PWS (2) 3" xfId="9849" xr:uid="{00000000-0005-0000-0000-000071260000}"/>
    <cellStyle name="c_PWS (2) 4" xfId="9850" xr:uid="{00000000-0005-0000-0000-000072260000}"/>
    <cellStyle name="c_PWS (2) 5" xfId="9851" xr:uid="{00000000-0005-0000-0000-000073260000}"/>
    <cellStyle name="c_PWS (2) 6" xfId="9852" xr:uid="{00000000-0005-0000-0000-000074260000}"/>
    <cellStyle name="c_PWS (2) 7" xfId="9853" xr:uid="{00000000-0005-0000-0000-000075260000}"/>
    <cellStyle name="c_PWS (2) 8" xfId="9854" xr:uid="{00000000-0005-0000-0000-000076260000}"/>
    <cellStyle name="c_PWS (2) 9" xfId="9855" xr:uid="{00000000-0005-0000-0000-000077260000}"/>
    <cellStyle name="c_PWS (2)_{6} Clawback" xfId="9856" xr:uid="{00000000-0005-0000-0000-000078260000}"/>
    <cellStyle name="c_PWS (2)_AIF IV Financial Highlights 12-31-08 v4" xfId="9857" xr:uid="{00000000-0005-0000-0000-000079260000}"/>
    <cellStyle name="c_PWS (2)_AIF IV Financial Highlights 12-31-08 v4_Apollo Investment Fund IV  Q3 2009 Capital Analysis CURRENT" xfId="9858" xr:uid="{00000000-0005-0000-0000-00007A260000}"/>
    <cellStyle name="c_PWS (2)_AIF IV Financial Highlights 12-31-08 v4_Apollo Investment Fund IV  Q3 2009 Capital Analysis iPCS &amp; URI Distribution" xfId="9859" xr:uid="{00000000-0005-0000-0000-00007B260000}"/>
    <cellStyle name="c_PWS (2)_AIF IV Financial Highlights 12-31-08 v4_iPCs#1-Remaining" xfId="9860" xr:uid="{00000000-0005-0000-0000-00007C260000}"/>
    <cellStyle name="c_PWS (2)_Andy Affrick - Schedulev2" xfId="9861" xr:uid="{00000000-0005-0000-0000-00007D260000}"/>
    <cellStyle name="c_PWS (2)_Apollo Investment Fund IV  April Priority Return" xfId="9862" xr:uid="{00000000-0005-0000-0000-00007E260000}"/>
    <cellStyle name="c_PWS (2)_Carry Calculation" xfId="9863" xr:uid="{00000000-0005-0000-0000-00007F260000}"/>
    <cellStyle name="c_PWS (2)_Fund IV" xfId="9864" xr:uid="{00000000-0005-0000-0000-000080260000}"/>
    <cellStyle name="c_PWS (2)_Fund IV_1" xfId="9865" xr:uid="{00000000-0005-0000-0000-000081260000}"/>
    <cellStyle name="c_PWS (2)_Fund IV_Funds IV Clawback Value Adjustment" xfId="9866" xr:uid="{00000000-0005-0000-0000-000082260000}"/>
    <cellStyle name="c_PWS (2)_Funds IV Clawback Adjustment Summary" xfId="9867" xr:uid="{00000000-0005-0000-0000-000083260000}"/>
    <cellStyle name="c_PWS (2)_MMF Income" xfId="9868" xr:uid="{00000000-0005-0000-0000-000084260000}"/>
    <cellStyle name="c_PWS (2)_Partners Capital Q1 2009" xfId="9869" xr:uid="{00000000-0005-0000-0000-000085260000}"/>
    <cellStyle name="c_PWS (2)_Partners Capital Q1 2009 2" xfId="9870" xr:uid="{00000000-0005-0000-0000-000086260000}"/>
    <cellStyle name="c_PWS (2)_Partners Capital Q1 2009 3" xfId="9871" xr:uid="{00000000-0005-0000-0000-000087260000}"/>
    <cellStyle name="c_PWS (2)_Partners Capital Q1 2009_AIF VI - BondcoVI_Entities Invested Capital (CURRENT)" xfId="9872" xr:uid="{00000000-0005-0000-0000-000088260000}"/>
    <cellStyle name="c_PWS (2)_Partners Capital Q1 2009_Invested Capital Debt Worksheet" xfId="9873" xr:uid="{00000000-0005-0000-0000-000089260000}"/>
    <cellStyle name="c_PWS (2)_Partners Capital Q1 2009_MMF Income" xfId="9874" xr:uid="{00000000-0005-0000-0000-00008A260000}"/>
    <cellStyle name="c_PWS (2)_Partners Capital Q1 2009_Realized Gain Loss" xfId="9875" xr:uid="{00000000-0005-0000-0000-00008B260000}"/>
    <cellStyle name="c_PWS (2)_Placement Fee Summary 05-14-09 - Current (2)" xfId="9876" xr:uid="{00000000-0005-0000-0000-00008C260000}"/>
    <cellStyle name="c_PWS (2)_PR Calc" xfId="9877" xr:uid="{00000000-0005-0000-0000-00008D260000}"/>
    <cellStyle name="c_PWS (2)_Realized Gain Loss" xfId="9878" xr:uid="{00000000-0005-0000-0000-00008E260000}"/>
    <cellStyle name="c_Realized Gain Loss" xfId="9879" xr:uid="{00000000-0005-0000-0000-00008F260000}"/>
    <cellStyle name="c_Standalone (2)" xfId="9880" xr:uid="{00000000-0005-0000-0000-000090260000}"/>
    <cellStyle name="c_Standalone (2) 10" xfId="9881" xr:uid="{00000000-0005-0000-0000-000091260000}"/>
    <cellStyle name="c_Standalone (2) 11" xfId="9882" xr:uid="{00000000-0005-0000-0000-000092260000}"/>
    <cellStyle name="c_Standalone (2) 12" xfId="9883" xr:uid="{00000000-0005-0000-0000-000093260000}"/>
    <cellStyle name="c_Standalone (2) 13" xfId="9884" xr:uid="{00000000-0005-0000-0000-000094260000}"/>
    <cellStyle name="c_Standalone (2) 14" xfId="9885" xr:uid="{00000000-0005-0000-0000-000095260000}"/>
    <cellStyle name="c_Standalone (2) 15" xfId="9886" xr:uid="{00000000-0005-0000-0000-000096260000}"/>
    <cellStyle name="c_Standalone (2) 16" xfId="9887" xr:uid="{00000000-0005-0000-0000-000097260000}"/>
    <cellStyle name="c_Standalone (2) 17" xfId="9888" xr:uid="{00000000-0005-0000-0000-000098260000}"/>
    <cellStyle name="c_Standalone (2) 18" xfId="9889" xr:uid="{00000000-0005-0000-0000-000099260000}"/>
    <cellStyle name="c_Standalone (2) 19" xfId="9890" xr:uid="{00000000-0005-0000-0000-00009A260000}"/>
    <cellStyle name="c_Standalone (2) 2" xfId="9891" xr:uid="{00000000-0005-0000-0000-00009B260000}"/>
    <cellStyle name="c_Standalone (2) 20" xfId="9892" xr:uid="{00000000-0005-0000-0000-00009C260000}"/>
    <cellStyle name="c_Standalone (2) 21" xfId="9893" xr:uid="{00000000-0005-0000-0000-00009D260000}"/>
    <cellStyle name="c_Standalone (2) 21 2" xfId="9894" xr:uid="{00000000-0005-0000-0000-00009E260000}"/>
    <cellStyle name="c_Standalone (2) 3" xfId="9895" xr:uid="{00000000-0005-0000-0000-00009F260000}"/>
    <cellStyle name="c_Standalone (2) 4" xfId="9896" xr:uid="{00000000-0005-0000-0000-0000A0260000}"/>
    <cellStyle name="c_Standalone (2) 5" xfId="9897" xr:uid="{00000000-0005-0000-0000-0000A1260000}"/>
    <cellStyle name="c_Standalone (2) 6" xfId="9898" xr:uid="{00000000-0005-0000-0000-0000A2260000}"/>
    <cellStyle name="c_Standalone (2) 7" xfId="9899" xr:uid="{00000000-0005-0000-0000-0000A3260000}"/>
    <cellStyle name="c_Standalone (2) 8" xfId="9900" xr:uid="{00000000-0005-0000-0000-0000A4260000}"/>
    <cellStyle name="c_Standalone (2) 9" xfId="9901" xr:uid="{00000000-0005-0000-0000-0000A5260000}"/>
    <cellStyle name="c_Standalone (2)_{6} Clawback" xfId="9902" xr:uid="{00000000-0005-0000-0000-0000A6260000}"/>
    <cellStyle name="c_Standalone (2)_AIF IV Financial Highlights 12-31-08 v4" xfId="9903" xr:uid="{00000000-0005-0000-0000-0000A7260000}"/>
    <cellStyle name="c_Standalone (2)_AIF IV Financial Highlights 12-31-08 v4_Apollo Investment Fund IV  Q3 2009 Capital Analysis CURRENT" xfId="9904" xr:uid="{00000000-0005-0000-0000-0000A8260000}"/>
    <cellStyle name="c_Standalone (2)_AIF IV Financial Highlights 12-31-08 v4_Apollo Investment Fund IV  Q3 2009 Capital Analysis iPCS &amp; URI Distribution" xfId="9905" xr:uid="{00000000-0005-0000-0000-0000A9260000}"/>
    <cellStyle name="c_Standalone (2)_AIF IV Financial Highlights 12-31-08 v4_iPCs#1-Remaining" xfId="9906" xr:uid="{00000000-0005-0000-0000-0000AA260000}"/>
    <cellStyle name="c_Standalone (2)_Andy Affrick - Schedulev2" xfId="9907" xr:uid="{00000000-0005-0000-0000-0000AB260000}"/>
    <cellStyle name="c_Standalone (2)_Apollo Investment Fund IV  April Priority Return" xfId="9908" xr:uid="{00000000-0005-0000-0000-0000AC260000}"/>
    <cellStyle name="c_Standalone (2)_Carry Calculation" xfId="9909" xr:uid="{00000000-0005-0000-0000-0000AD260000}"/>
    <cellStyle name="c_Standalone (2)_Fund IV" xfId="9910" xr:uid="{00000000-0005-0000-0000-0000AE260000}"/>
    <cellStyle name="c_Standalone (2)_Fund IV_1" xfId="9911" xr:uid="{00000000-0005-0000-0000-0000AF260000}"/>
    <cellStyle name="c_Standalone (2)_Fund IV_Funds IV Clawback Value Adjustment" xfId="9912" xr:uid="{00000000-0005-0000-0000-0000B0260000}"/>
    <cellStyle name="c_Standalone (2)_Funds IV Clawback Adjustment Summary" xfId="9913" xr:uid="{00000000-0005-0000-0000-0000B1260000}"/>
    <cellStyle name="c_Standalone (2)_MMF Income" xfId="9914" xr:uid="{00000000-0005-0000-0000-0000B2260000}"/>
    <cellStyle name="c_Standalone (2)_Partners Capital Q1 2009" xfId="9915" xr:uid="{00000000-0005-0000-0000-0000B3260000}"/>
    <cellStyle name="c_Standalone (2)_Partners Capital Q1 2009 2" xfId="9916" xr:uid="{00000000-0005-0000-0000-0000B4260000}"/>
    <cellStyle name="c_Standalone (2)_Partners Capital Q1 2009 3" xfId="9917" xr:uid="{00000000-0005-0000-0000-0000B5260000}"/>
    <cellStyle name="c_Standalone (2)_Partners Capital Q1 2009_AIF VI - BondcoVI_Entities Invested Capital (CURRENT)" xfId="9918" xr:uid="{00000000-0005-0000-0000-0000B6260000}"/>
    <cellStyle name="c_Standalone (2)_Partners Capital Q1 2009_Invested Capital Debt Worksheet" xfId="9919" xr:uid="{00000000-0005-0000-0000-0000B7260000}"/>
    <cellStyle name="c_Standalone (2)_Partners Capital Q1 2009_MMF Income" xfId="9920" xr:uid="{00000000-0005-0000-0000-0000B8260000}"/>
    <cellStyle name="c_Standalone (2)_Partners Capital Q1 2009_Realized Gain Loss" xfId="9921" xr:uid="{00000000-0005-0000-0000-0000B9260000}"/>
    <cellStyle name="c_Standalone (2)_Placement Fee Summary 05-14-09 - Current (2)" xfId="9922" xr:uid="{00000000-0005-0000-0000-0000BA260000}"/>
    <cellStyle name="c_Standalone (2)_PR Calc" xfId="9923" xr:uid="{00000000-0005-0000-0000-0000BB260000}"/>
    <cellStyle name="c_Standalone (2)_Realized Gain Loss" xfId="9924" xr:uid="{00000000-0005-0000-0000-0000BC260000}"/>
    <cellStyle name="C00A" xfId="9925" xr:uid="{00000000-0005-0000-0000-0000BD260000}"/>
    <cellStyle name="C00A 10" xfId="9926" xr:uid="{00000000-0005-0000-0000-0000BE260000}"/>
    <cellStyle name="C00A 11" xfId="9927" xr:uid="{00000000-0005-0000-0000-0000BF260000}"/>
    <cellStyle name="C00A 12" xfId="9928" xr:uid="{00000000-0005-0000-0000-0000C0260000}"/>
    <cellStyle name="C00A 13" xfId="9929" xr:uid="{00000000-0005-0000-0000-0000C1260000}"/>
    <cellStyle name="C00A 14" xfId="9930" xr:uid="{00000000-0005-0000-0000-0000C2260000}"/>
    <cellStyle name="C00A 15" xfId="9931" xr:uid="{00000000-0005-0000-0000-0000C3260000}"/>
    <cellStyle name="C00A 16" xfId="9932" xr:uid="{00000000-0005-0000-0000-0000C4260000}"/>
    <cellStyle name="C00A 17" xfId="9933" xr:uid="{00000000-0005-0000-0000-0000C5260000}"/>
    <cellStyle name="C00A 18" xfId="9934" xr:uid="{00000000-0005-0000-0000-0000C6260000}"/>
    <cellStyle name="C00A 19" xfId="9935" xr:uid="{00000000-0005-0000-0000-0000C7260000}"/>
    <cellStyle name="C00A 2" xfId="9936" xr:uid="{00000000-0005-0000-0000-0000C8260000}"/>
    <cellStyle name="C00A 20" xfId="9937" xr:uid="{00000000-0005-0000-0000-0000C9260000}"/>
    <cellStyle name="C00A 21" xfId="9938" xr:uid="{00000000-0005-0000-0000-0000CA260000}"/>
    <cellStyle name="C00A 21 2" xfId="9939" xr:uid="{00000000-0005-0000-0000-0000CB260000}"/>
    <cellStyle name="C00A 3" xfId="9940" xr:uid="{00000000-0005-0000-0000-0000CC260000}"/>
    <cellStyle name="C00A 4" xfId="9941" xr:uid="{00000000-0005-0000-0000-0000CD260000}"/>
    <cellStyle name="C00A 5" xfId="9942" xr:uid="{00000000-0005-0000-0000-0000CE260000}"/>
    <cellStyle name="C00A 6" xfId="9943" xr:uid="{00000000-0005-0000-0000-0000CF260000}"/>
    <cellStyle name="C00A 7" xfId="9944" xr:uid="{00000000-0005-0000-0000-0000D0260000}"/>
    <cellStyle name="C00A 8" xfId="9945" xr:uid="{00000000-0005-0000-0000-0000D1260000}"/>
    <cellStyle name="C00A 9" xfId="9946" xr:uid="{00000000-0005-0000-0000-0000D2260000}"/>
    <cellStyle name="C00B" xfId="9947" xr:uid="{00000000-0005-0000-0000-0000D3260000}"/>
    <cellStyle name="C00B 10" xfId="9948" xr:uid="{00000000-0005-0000-0000-0000D4260000}"/>
    <cellStyle name="C00B 11" xfId="9949" xr:uid="{00000000-0005-0000-0000-0000D5260000}"/>
    <cellStyle name="C00B 12" xfId="9950" xr:uid="{00000000-0005-0000-0000-0000D6260000}"/>
    <cellStyle name="C00B 13" xfId="9951" xr:uid="{00000000-0005-0000-0000-0000D7260000}"/>
    <cellStyle name="C00B 14" xfId="9952" xr:uid="{00000000-0005-0000-0000-0000D8260000}"/>
    <cellStyle name="C00B 15" xfId="9953" xr:uid="{00000000-0005-0000-0000-0000D9260000}"/>
    <cellStyle name="C00B 16" xfId="9954" xr:uid="{00000000-0005-0000-0000-0000DA260000}"/>
    <cellStyle name="C00B 17" xfId="9955" xr:uid="{00000000-0005-0000-0000-0000DB260000}"/>
    <cellStyle name="C00B 18" xfId="9956" xr:uid="{00000000-0005-0000-0000-0000DC260000}"/>
    <cellStyle name="C00B 19" xfId="9957" xr:uid="{00000000-0005-0000-0000-0000DD260000}"/>
    <cellStyle name="C00B 2" xfId="9958" xr:uid="{00000000-0005-0000-0000-0000DE260000}"/>
    <cellStyle name="C00B 20" xfId="9959" xr:uid="{00000000-0005-0000-0000-0000DF260000}"/>
    <cellStyle name="C00B 21" xfId="9960" xr:uid="{00000000-0005-0000-0000-0000E0260000}"/>
    <cellStyle name="C00B 21 2" xfId="9961" xr:uid="{00000000-0005-0000-0000-0000E1260000}"/>
    <cellStyle name="C00B 3" xfId="9962" xr:uid="{00000000-0005-0000-0000-0000E2260000}"/>
    <cellStyle name="C00B 4" xfId="9963" xr:uid="{00000000-0005-0000-0000-0000E3260000}"/>
    <cellStyle name="C00B 5" xfId="9964" xr:uid="{00000000-0005-0000-0000-0000E4260000}"/>
    <cellStyle name="C00B 6" xfId="9965" xr:uid="{00000000-0005-0000-0000-0000E5260000}"/>
    <cellStyle name="C00B 7" xfId="9966" xr:uid="{00000000-0005-0000-0000-0000E6260000}"/>
    <cellStyle name="C00B 8" xfId="9967" xr:uid="{00000000-0005-0000-0000-0000E7260000}"/>
    <cellStyle name="C00B 9" xfId="9968" xr:uid="{00000000-0005-0000-0000-0000E8260000}"/>
    <cellStyle name="C00L" xfId="9969" xr:uid="{00000000-0005-0000-0000-0000E9260000}"/>
    <cellStyle name="C00L 10" xfId="9970" xr:uid="{00000000-0005-0000-0000-0000EA260000}"/>
    <cellStyle name="C00L 11" xfId="9971" xr:uid="{00000000-0005-0000-0000-0000EB260000}"/>
    <cellStyle name="C00L 12" xfId="9972" xr:uid="{00000000-0005-0000-0000-0000EC260000}"/>
    <cellStyle name="C00L 13" xfId="9973" xr:uid="{00000000-0005-0000-0000-0000ED260000}"/>
    <cellStyle name="C00L 14" xfId="9974" xr:uid="{00000000-0005-0000-0000-0000EE260000}"/>
    <cellStyle name="C00L 15" xfId="9975" xr:uid="{00000000-0005-0000-0000-0000EF260000}"/>
    <cellStyle name="C00L 16" xfId="9976" xr:uid="{00000000-0005-0000-0000-0000F0260000}"/>
    <cellStyle name="C00L 17" xfId="9977" xr:uid="{00000000-0005-0000-0000-0000F1260000}"/>
    <cellStyle name="C00L 18" xfId="9978" xr:uid="{00000000-0005-0000-0000-0000F2260000}"/>
    <cellStyle name="C00L 19" xfId="9979" xr:uid="{00000000-0005-0000-0000-0000F3260000}"/>
    <cellStyle name="C00L 2" xfId="9980" xr:uid="{00000000-0005-0000-0000-0000F4260000}"/>
    <cellStyle name="C00L 2 2" xfId="9981" xr:uid="{00000000-0005-0000-0000-0000F5260000}"/>
    <cellStyle name="C00L 20" xfId="9982" xr:uid="{00000000-0005-0000-0000-0000F6260000}"/>
    <cellStyle name="C00L 21" xfId="9983" xr:uid="{00000000-0005-0000-0000-0000F7260000}"/>
    <cellStyle name="C00L 22" xfId="9984" xr:uid="{00000000-0005-0000-0000-0000F8260000}"/>
    <cellStyle name="C00L 23" xfId="9985" xr:uid="{00000000-0005-0000-0000-0000F9260000}"/>
    <cellStyle name="C00L 23 2" xfId="9986" xr:uid="{00000000-0005-0000-0000-0000FA260000}"/>
    <cellStyle name="C00L 3" xfId="9987" xr:uid="{00000000-0005-0000-0000-0000FB260000}"/>
    <cellStyle name="C00L 3 2" xfId="9988" xr:uid="{00000000-0005-0000-0000-0000FC260000}"/>
    <cellStyle name="C00L 4" xfId="9989" xr:uid="{00000000-0005-0000-0000-0000FD260000}"/>
    <cellStyle name="C00L 5" xfId="9990" xr:uid="{00000000-0005-0000-0000-0000FE260000}"/>
    <cellStyle name="C00L 6" xfId="9991" xr:uid="{00000000-0005-0000-0000-0000FF260000}"/>
    <cellStyle name="C00L 7" xfId="9992" xr:uid="{00000000-0005-0000-0000-000000270000}"/>
    <cellStyle name="C00L 8" xfId="9993" xr:uid="{00000000-0005-0000-0000-000001270000}"/>
    <cellStyle name="C00L 9" xfId="9994" xr:uid="{00000000-0005-0000-0000-000002270000}"/>
    <cellStyle name="C01A" xfId="9995" xr:uid="{00000000-0005-0000-0000-000003270000}"/>
    <cellStyle name="C01A 10" xfId="9996" xr:uid="{00000000-0005-0000-0000-000004270000}"/>
    <cellStyle name="C01A 11" xfId="9997" xr:uid="{00000000-0005-0000-0000-000005270000}"/>
    <cellStyle name="C01A 12" xfId="9998" xr:uid="{00000000-0005-0000-0000-000006270000}"/>
    <cellStyle name="C01A 13" xfId="9999" xr:uid="{00000000-0005-0000-0000-000007270000}"/>
    <cellStyle name="C01A 14" xfId="10000" xr:uid="{00000000-0005-0000-0000-000008270000}"/>
    <cellStyle name="C01A 15" xfId="10001" xr:uid="{00000000-0005-0000-0000-000009270000}"/>
    <cellStyle name="C01A 16" xfId="10002" xr:uid="{00000000-0005-0000-0000-00000A270000}"/>
    <cellStyle name="C01A 17" xfId="10003" xr:uid="{00000000-0005-0000-0000-00000B270000}"/>
    <cellStyle name="C01A 18" xfId="10004" xr:uid="{00000000-0005-0000-0000-00000C270000}"/>
    <cellStyle name="C01A 19" xfId="10005" xr:uid="{00000000-0005-0000-0000-00000D270000}"/>
    <cellStyle name="C01A 2" xfId="10006" xr:uid="{00000000-0005-0000-0000-00000E270000}"/>
    <cellStyle name="C01A 20" xfId="10007" xr:uid="{00000000-0005-0000-0000-00000F270000}"/>
    <cellStyle name="C01A 21" xfId="10008" xr:uid="{00000000-0005-0000-0000-000010270000}"/>
    <cellStyle name="C01A 21 2" xfId="10009" xr:uid="{00000000-0005-0000-0000-000011270000}"/>
    <cellStyle name="C01A 3" xfId="10010" xr:uid="{00000000-0005-0000-0000-000012270000}"/>
    <cellStyle name="C01A 4" xfId="10011" xr:uid="{00000000-0005-0000-0000-000013270000}"/>
    <cellStyle name="C01A 5" xfId="10012" xr:uid="{00000000-0005-0000-0000-000014270000}"/>
    <cellStyle name="C01A 6" xfId="10013" xr:uid="{00000000-0005-0000-0000-000015270000}"/>
    <cellStyle name="C01A 7" xfId="10014" xr:uid="{00000000-0005-0000-0000-000016270000}"/>
    <cellStyle name="C01A 8" xfId="10015" xr:uid="{00000000-0005-0000-0000-000017270000}"/>
    <cellStyle name="C01A 9" xfId="10016" xr:uid="{00000000-0005-0000-0000-000018270000}"/>
    <cellStyle name="C01B" xfId="10017" xr:uid="{00000000-0005-0000-0000-000019270000}"/>
    <cellStyle name="C01B 10" xfId="10018" xr:uid="{00000000-0005-0000-0000-00001A270000}"/>
    <cellStyle name="C01B 11" xfId="10019" xr:uid="{00000000-0005-0000-0000-00001B270000}"/>
    <cellStyle name="C01B 12" xfId="10020" xr:uid="{00000000-0005-0000-0000-00001C270000}"/>
    <cellStyle name="C01B 13" xfId="10021" xr:uid="{00000000-0005-0000-0000-00001D270000}"/>
    <cellStyle name="C01B 14" xfId="10022" xr:uid="{00000000-0005-0000-0000-00001E270000}"/>
    <cellStyle name="C01B 15" xfId="10023" xr:uid="{00000000-0005-0000-0000-00001F270000}"/>
    <cellStyle name="C01B 16" xfId="10024" xr:uid="{00000000-0005-0000-0000-000020270000}"/>
    <cellStyle name="C01B 17" xfId="10025" xr:uid="{00000000-0005-0000-0000-000021270000}"/>
    <cellStyle name="C01B 18" xfId="10026" xr:uid="{00000000-0005-0000-0000-000022270000}"/>
    <cellStyle name="C01B 19" xfId="10027" xr:uid="{00000000-0005-0000-0000-000023270000}"/>
    <cellStyle name="C01B 2" xfId="10028" xr:uid="{00000000-0005-0000-0000-000024270000}"/>
    <cellStyle name="C01B 20" xfId="10029" xr:uid="{00000000-0005-0000-0000-000025270000}"/>
    <cellStyle name="C01B 21" xfId="10030" xr:uid="{00000000-0005-0000-0000-000026270000}"/>
    <cellStyle name="C01B 21 2" xfId="10031" xr:uid="{00000000-0005-0000-0000-000027270000}"/>
    <cellStyle name="C01B 3" xfId="10032" xr:uid="{00000000-0005-0000-0000-000028270000}"/>
    <cellStyle name="C01B 4" xfId="10033" xr:uid="{00000000-0005-0000-0000-000029270000}"/>
    <cellStyle name="C01B 5" xfId="10034" xr:uid="{00000000-0005-0000-0000-00002A270000}"/>
    <cellStyle name="C01B 6" xfId="10035" xr:uid="{00000000-0005-0000-0000-00002B270000}"/>
    <cellStyle name="C01B 7" xfId="10036" xr:uid="{00000000-0005-0000-0000-00002C270000}"/>
    <cellStyle name="C01B 8" xfId="10037" xr:uid="{00000000-0005-0000-0000-00002D270000}"/>
    <cellStyle name="C01B 9" xfId="10038" xr:uid="{00000000-0005-0000-0000-00002E270000}"/>
    <cellStyle name="C01H" xfId="10039" xr:uid="{00000000-0005-0000-0000-00002F270000}"/>
    <cellStyle name="C01H 10" xfId="10040" xr:uid="{00000000-0005-0000-0000-000030270000}"/>
    <cellStyle name="C01H 11" xfId="10041" xr:uid="{00000000-0005-0000-0000-000031270000}"/>
    <cellStyle name="C01H 12" xfId="10042" xr:uid="{00000000-0005-0000-0000-000032270000}"/>
    <cellStyle name="C01H 13" xfId="10043" xr:uid="{00000000-0005-0000-0000-000033270000}"/>
    <cellStyle name="C01H 14" xfId="10044" xr:uid="{00000000-0005-0000-0000-000034270000}"/>
    <cellStyle name="C01H 15" xfId="10045" xr:uid="{00000000-0005-0000-0000-000035270000}"/>
    <cellStyle name="C01H 16" xfId="10046" xr:uid="{00000000-0005-0000-0000-000036270000}"/>
    <cellStyle name="C01H 17" xfId="10047" xr:uid="{00000000-0005-0000-0000-000037270000}"/>
    <cellStyle name="C01H 18" xfId="10048" xr:uid="{00000000-0005-0000-0000-000038270000}"/>
    <cellStyle name="C01H 19" xfId="10049" xr:uid="{00000000-0005-0000-0000-000039270000}"/>
    <cellStyle name="C01H 2" xfId="10050" xr:uid="{00000000-0005-0000-0000-00003A270000}"/>
    <cellStyle name="C01H 20" xfId="10051" xr:uid="{00000000-0005-0000-0000-00003B270000}"/>
    <cellStyle name="C01H 21" xfId="10052" xr:uid="{00000000-0005-0000-0000-00003C270000}"/>
    <cellStyle name="C01H 21 2" xfId="10053" xr:uid="{00000000-0005-0000-0000-00003D270000}"/>
    <cellStyle name="C01H 3" xfId="10054" xr:uid="{00000000-0005-0000-0000-00003E270000}"/>
    <cellStyle name="C01H 4" xfId="10055" xr:uid="{00000000-0005-0000-0000-00003F270000}"/>
    <cellStyle name="C01H 5" xfId="10056" xr:uid="{00000000-0005-0000-0000-000040270000}"/>
    <cellStyle name="C01H 6" xfId="10057" xr:uid="{00000000-0005-0000-0000-000041270000}"/>
    <cellStyle name="C01H 7" xfId="10058" xr:uid="{00000000-0005-0000-0000-000042270000}"/>
    <cellStyle name="C01H 8" xfId="10059" xr:uid="{00000000-0005-0000-0000-000043270000}"/>
    <cellStyle name="C01H 9" xfId="10060" xr:uid="{00000000-0005-0000-0000-000044270000}"/>
    <cellStyle name="C01L" xfId="10061" xr:uid="{00000000-0005-0000-0000-000045270000}"/>
    <cellStyle name="C01L 10" xfId="10062" xr:uid="{00000000-0005-0000-0000-000046270000}"/>
    <cellStyle name="C01L 11" xfId="10063" xr:uid="{00000000-0005-0000-0000-000047270000}"/>
    <cellStyle name="C01L 12" xfId="10064" xr:uid="{00000000-0005-0000-0000-000048270000}"/>
    <cellStyle name="C01L 13" xfId="10065" xr:uid="{00000000-0005-0000-0000-000049270000}"/>
    <cellStyle name="C01L 14" xfId="10066" xr:uid="{00000000-0005-0000-0000-00004A270000}"/>
    <cellStyle name="C01L 15" xfId="10067" xr:uid="{00000000-0005-0000-0000-00004B270000}"/>
    <cellStyle name="C01L 16" xfId="10068" xr:uid="{00000000-0005-0000-0000-00004C270000}"/>
    <cellStyle name="C01L 17" xfId="10069" xr:uid="{00000000-0005-0000-0000-00004D270000}"/>
    <cellStyle name="C01L 18" xfId="10070" xr:uid="{00000000-0005-0000-0000-00004E270000}"/>
    <cellStyle name="C01L 19" xfId="10071" xr:uid="{00000000-0005-0000-0000-00004F270000}"/>
    <cellStyle name="C01L 2" xfId="10072" xr:uid="{00000000-0005-0000-0000-000050270000}"/>
    <cellStyle name="C01L 20" xfId="10073" xr:uid="{00000000-0005-0000-0000-000051270000}"/>
    <cellStyle name="C01L 21" xfId="10074" xr:uid="{00000000-0005-0000-0000-000052270000}"/>
    <cellStyle name="C01L 21 2" xfId="10075" xr:uid="{00000000-0005-0000-0000-000053270000}"/>
    <cellStyle name="C01L 3" xfId="10076" xr:uid="{00000000-0005-0000-0000-000054270000}"/>
    <cellStyle name="C01L 4" xfId="10077" xr:uid="{00000000-0005-0000-0000-000055270000}"/>
    <cellStyle name="C01L 5" xfId="10078" xr:uid="{00000000-0005-0000-0000-000056270000}"/>
    <cellStyle name="C01L 6" xfId="10079" xr:uid="{00000000-0005-0000-0000-000057270000}"/>
    <cellStyle name="C01L 7" xfId="10080" xr:uid="{00000000-0005-0000-0000-000058270000}"/>
    <cellStyle name="C01L 8" xfId="10081" xr:uid="{00000000-0005-0000-0000-000059270000}"/>
    <cellStyle name="C01L 9" xfId="10082" xr:uid="{00000000-0005-0000-0000-00005A270000}"/>
    <cellStyle name="C02A" xfId="10083" xr:uid="{00000000-0005-0000-0000-00005B270000}"/>
    <cellStyle name="C02A 10" xfId="10084" xr:uid="{00000000-0005-0000-0000-00005C270000}"/>
    <cellStyle name="C02A 11" xfId="10085" xr:uid="{00000000-0005-0000-0000-00005D270000}"/>
    <cellStyle name="C02A 12" xfId="10086" xr:uid="{00000000-0005-0000-0000-00005E270000}"/>
    <cellStyle name="C02A 13" xfId="10087" xr:uid="{00000000-0005-0000-0000-00005F270000}"/>
    <cellStyle name="C02A 14" xfId="10088" xr:uid="{00000000-0005-0000-0000-000060270000}"/>
    <cellStyle name="C02A 15" xfId="10089" xr:uid="{00000000-0005-0000-0000-000061270000}"/>
    <cellStyle name="C02A 16" xfId="10090" xr:uid="{00000000-0005-0000-0000-000062270000}"/>
    <cellStyle name="C02A 17" xfId="10091" xr:uid="{00000000-0005-0000-0000-000063270000}"/>
    <cellStyle name="C02A 18" xfId="10092" xr:uid="{00000000-0005-0000-0000-000064270000}"/>
    <cellStyle name="C02A 19" xfId="10093" xr:uid="{00000000-0005-0000-0000-000065270000}"/>
    <cellStyle name="C02A 2" xfId="10094" xr:uid="{00000000-0005-0000-0000-000066270000}"/>
    <cellStyle name="C02A 20" xfId="10095" xr:uid="{00000000-0005-0000-0000-000067270000}"/>
    <cellStyle name="C02A 21" xfId="10096" xr:uid="{00000000-0005-0000-0000-000068270000}"/>
    <cellStyle name="C02A 21 2" xfId="10097" xr:uid="{00000000-0005-0000-0000-000069270000}"/>
    <cellStyle name="C02A 3" xfId="10098" xr:uid="{00000000-0005-0000-0000-00006A270000}"/>
    <cellStyle name="C02A 4" xfId="10099" xr:uid="{00000000-0005-0000-0000-00006B270000}"/>
    <cellStyle name="C02A 5" xfId="10100" xr:uid="{00000000-0005-0000-0000-00006C270000}"/>
    <cellStyle name="C02A 6" xfId="10101" xr:uid="{00000000-0005-0000-0000-00006D270000}"/>
    <cellStyle name="C02A 7" xfId="10102" xr:uid="{00000000-0005-0000-0000-00006E270000}"/>
    <cellStyle name="C02A 8" xfId="10103" xr:uid="{00000000-0005-0000-0000-00006F270000}"/>
    <cellStyle name="C02A 9" xfId="10104" xr:uid="{00000000-0005-0000-0000-000070270000}"/>
    <cellStyle name="C02B" xfId="10105" xr:uid="{00000000-0005-0000-0000-000071270000}"/>
    <cellStyle name="C02B 10" xfId="10106" xr:uid="{00000000-0005-0000-0000-000072270000}"/>
    <cellStyle name="C02B 11" xfId="10107" xr:uid="{00000000-0005-0000-0000-000073270000}"/>
    <cellStyle name="C02B 12" xfId="10108" xr:uid="{00000000-0005-0000-0000-000074270000}"/>
    <cellStyle name="C02B 13" xfId="10109" xr:uid="{00000000-0005-0000-0000-000075270000}"/>
    <cellStyle name="C02B 14" xfId="10110" xr:uid="{00000000-0005-0000-0000-000076270000}"/>
    <cellStyle name="C02B 15" xfId="10111" xr:uid="{00000000-0005-0000-0000-000077270000}"/>
    <cellStyle name="C02B 16" xfId="10112" xr:uid="{00000000-0005-0000-0000-000078270000}"/>
    <cellStyle name="C02B 17" xfId="10113" xr:uid="{00000000-0005-0000-0000-000079270000}"/>
    <cellStyle name="C02B 18" xfId="10114" xr:uid="{00000000-0005-0000-0000-00007A270000}"/>
    <cellStyle name="C02B 19" xfId="10115" xr:uid="{00000000-0005-0000-0000-00007B270000}"/>
    <cellStyle name="C02B 2" xfId="10116" xr:uid="{00000000-0005-0000-0000-00007C270000}"/>
    <cellStyle name="C02B 20" xfId="10117" xr:uid="{00000000-0005-0000-0000-00007D270000}"/>
    <cellStyle name="C02B 21" xfId="10118" xr:uid="{00000000-0005-0000-0000-00007E270000}"/>
    <cellStyle name="C02B 21 2" xfId="10119" xr:uid="{00000000-0005-0000-0000-00007F270000}"/>
    <cellStyle name="C02B 3" xfId="10120" xr:uid="{00000000-0005-0000-0000-000080270000}"/>
    <cellStyle name="C02B 4" xfId="10121" xr:uid="{00000000-0005-0000-0000-000081270000}"/>
    <cellStyle name="C02B 5" xfId="10122" xr:uid="{00000000-0005-0000-0000-000082270000}"/>
    <cellStyle name="C02B 6" xfId="10123" xr:uid="{00000000-0005-0000-0000-000083270000}"/>
    <cellStyle name="C02B 7" xfId="10124" xr:uid="{00000000-0005-0000-0000-000084270000}"/>
    <cellStyle name="C02B 8" xfId="10125" xr:uid="{00000000-0005-0000-0000-000085270000}"/>
    <cellStyle name="C02B 9" xfId="10126" xr:uid="{00000000-0005-0000-0000-000086270000}"/>
    <cellStyle name="C02H" xfId="10127" xr:uid="{00000000-0005-0000-0000-000087270000}"/>
    <cellStyle name="C02H 10" xfId="10128" xr:uid="{00000000-0005-0000-0000-000088270000}"/>
    <cellStyle name="C02H 11" xfId="10129" xr:uid="{00000000-0005-0000-0000-000089270000}"/>
    <cellStyle name="C02H 12" xfId="10130" xr:uid="{00000000-0005-0000-0000-00008A270000}"/>
    <cellStyle name="C02H 13" xfId="10131" xr:uid="{00000000-0005-0000-0000-00008B270000}"/>
    <cellStyle name="C02H 14" xfId="10132" xr:uid="{00000000-0005-0000-0000-00008C270000}"/>
    <cellStyle name="C02H 15" xfId="10133" xr:uid="{00000000-0005-0000-0000-00008D270000}"/>
    <cellStyle name="C02H 16" xfId="10134" xr:uid="{00000000-0005-0000-0000-00008E270000}"/>
    <cellStyle name="C02H 17" xfId="10135" xr:uid="{00000000-0005-0000-0000-00008F270000}"/>
    <cellStyle name="C02H 18" xfId="10136" xr:uid="{00000000-0005-0000-0000-000090270000}"/>
    <cellStyle name="C02H 19" xfId="10137" xr:uid="{00000000-0005-0000-0000-000091270000}"/>
    <cellStyle name="C02H 2" xfId="10138" xr:uid="{00000000-0005-0000-0000-000092270000}"/>
    <cellStyle name="C02H 20" xfId="10139" xr:uid="{00000000-0005-0000-0000-000093270000}"/>
    <cellStyle name="C02H 21" xfId="10140" xr:uid="{00000000-0005-0000-0000-000094270000}"/>
    <cellStyle name="C02H 21 2" xfId="10141" xr:uid="{00000000-0005-0000-0000-000095270000}"/>
    <cellStyle name="C02H 3" xfId="10142" xr:uid="{00000000-0005-0000-0000-000096270000}"/>
    <cellStyle name="C02H 4" xfId="10143" xr:uid="{00000000-0005-0000-0000-000097270000}"/>
    <cellStyle name="C02H 5" xfId="10144" xr:uid="{00000000-0005-0000-0000-000098270000}"/>
    <cellStyle name="C02H 6" xfId="10145" xr:uid="{00000000-0005-0000-0000-000099270000}"/>
    <cellStyle name="C02H 7" xfId="10146" xr:uid="{00000000-0005-0000-0000-00009A270000}"/>
    <cellStyle name="C02H 8" xfId="10147" xr:uid="{00000000-0005-0000-0000-00009B270000}"/>
    <cellStyle name="C02H 9" xfId="10148" xr:uid="{00000000-0005-0000-0000-00009C270000}"/>
    <cellStyle name="C02L" xfId="10149" xr:uid="{00000000-0005-0000-0000-00009D270000}"/>
    <cellStyle name="C02L 10" xfId="10150" xr:uid="{00000000-0005-0000-0000-00009E270000}"/>
    <cellStyle name="C02L 11" xfId="10151" xr:uid="{00000000-0005-0000-0000-00009F270000}"/>
    <cellStyle name="C02L 12" xfId="10152" xr:uid="{00000000-0005-0000-0000-0000A0270000}"/>
    <cellStyle name="C02L 13" xfId="10153" xr:uid="{00000000-0005-0000-0000-0000A1270000}"/>
    <cellStyle name="C02L 14" xfId="10154" xr:uid="{00000000-0005-0000-0000-0000A2270000}"/>
    <cellStyle name="C02L 15" xfId="10155" xr:uid="{00000000-0005-0000-0000-0000A3270000}"/>
    <cellStyle name="C02L 16" xfId="10156" xr:uid="{00000000-0005-0000-0000-0000A4270000}"/>
    <cellStyle name="C02L 17" xfId="10157" xr:uid="{00000000-0005-0000-0000-0000A5270000}"/>
    <cellStyle name="C02L 18" xfId="10158" xr:uid="{00000000-0005-0000-0000-0000A6270000}"/>
    <cellStyle name="C02L 19" xfId="10159" xr:uid="{00000000-0005-0000-0000-0000A7270000}"/>
    <cellStyle name="C02L 2" xfId="10160" xr:uid="{00000000-0005-0000-0000-0000A8270000}"/>
    <cellStyle name="C02L 20" xfId="10161" xr:uid="{00000000-0005-0000-0000-0000A9270000}"/>
    <cellStyle name="C02L 21" xfId="10162" xr:uid="{00000000-0005-0000-0000-0000AA270000}"/>
    <cellStyle name="C02L 21 2" xfId="10163" xr:uid="{00000000-0005-0000-0000-0000AB270000}"/>
    <cellStyle name="C02L 3" xfId="10164" xr:uid="{00000000-0005-0000-0000-0000AC270000}"/>
    <cellStyle name="C02L 4" xfId="10165" xr:uid="{00000000-0005-0000-0000-0000AD270000}"/>
    <cellStyle name="C02L 5" xfId="10166" xr:uid="{00000000-0005-0000-0000-0000AE270000}"/>
    <cellStyle name="C02L 6" xfId="10167" xr:uid="{00000000-0005-0000-0000-0000AF270000}"/>
    <cellStyle name="C02L 7" xfId="10168" xr:uid="{00000000-0005-0000-0000-0000B0270000}"/>
    <cellStyle name="C02L 8" xfId="10169" xr:uid="{00000000-0005-0000-0000-0000B1270000}"/>
    <cellStyle name="C02L 9" xfId="10170" xr:uid="{00000000-0005-0000-0000-0000B2270000}"/>
    <cellStyle name="C03A" xfId="10171" xr:uid="{00000000-0005-0000-0000-0000B3270000}"/>
    <cellStyle name="C03A 10" xfId="10172" xr:uid="{00000000-0005-0000-0000-0000B4270000}"/>
    <cellStyle name="C03A 11" xfId="10173" xr:uid="{00000000-0005-0000-0000-0000B5270000}"/>
    <cellStyle name="C03A 12" xfId="10174" xr:uid="{00000000-0005-0000-0000-0000B6270000}"/>
    <cellStyle name="C03A 13" xfId="10175" xr:uid="{00000000-0005-0000-0000-0000B7270000}"/>
    <cellStyle name="C03A 14" xfId="10176" xr:uid="{00000000-0005-0000-0000-0000B8270000}"/>
    <cellStyle name="C03A 15" xfId="10177" xr:uid="{00000000-0005-0000-0000-0000B9270000}"/>
    <cellStyle name="C03A 16" xfId="10178" xr:uid="{00000000-0005-0000-0000-0000BA270000}"/>
    <cellStyle name="C03A 17" xfId="10179" xr:uid="{00000000-0005-0000-0000-0000BB270000}"/>
    <cellStyle name="C03A 18" xfId="10180" xr:uid="{00000000-0005-0000-0000-0000BC270000}"/>
    <cellStyle name="C03A 19" xfId="10181" xr:uid="{00000000-0005-0000-0000-0000BD270000}"/>
    <cellStyle name="C03A 2" xfId="10182" xr:uid="{00000000-0005-0000-0000-0000BE270000}"/>
    <cellStyle name="C03A 20" xfId="10183" xr:uid="{00000000-0005-0000-0000-0000BF270000}"/>
    <cellStyle name="C03A 21" xfId="10184" xr:uid="{00000000-0005-0000-0000-0000C0270000}"/>
    <cellStyle name="C03A 21 2" xfId="10185" xr:uid="{00000000-0005-0000-0000-0000C1270000}"/>
    <cellStyle name="C03A 3" xfId="10186" xr:uid="{00000000-0005-0000-0000-0000C2270000}"/>
    <cellStyle name="C03A 4" xfId="10187" xr:uid="{00000000-0005-0000-0000-0000C3270000}"/>
    <cellStyle name="C03A 5" xfId="10188" xr:uid="{00000000-0005-0000-0000-0000C4270000}"/>
    <cellStyle name="C03A 6" xfId="10189" xr:uid="{00000000-0005-0000-0000-0000C5270000}"/>
    <cellStyle name="C03A 7" xfId="10190" xr:uid="{00000000-0005-0000-0000-0000C6270000}"/>
    <cellStyle name="C03A 8" xfId="10191" xr:uid="{00000000-0005-0000-0000-0000C7270000}"/>
    <cellStyle name="C03A 9" xfId="10192" xr:uid="{00000000-0005-0000-0000-0000C8270000}"/>
    <cellStyle name="C03B" xfId="10193" xr:uid="{00000000-0005-0000-0000-0000C9270000}"/>
    <cellStyle name="C03B 10" xfId="10194" xr:uid="{00000000-0005-0000-0000-0000CA270000}"/>
    <cellStyle name="C03B 11" xfId="10195" xr:uid="{00000000-0005-0000-0000-0000CB270000}"/>
    <cellStyle name="C03B 12" xfId="10196" xr:uid="{00000000-0005-0000-0000-0000CC270000}"/>
    <cellStyle name="C03B 13" xfId="10197" xr:uid="{00000000-0005-0000-0000-0000CD270000}"/>
    <cellStyle name="C03B 14" xfId="10198" xr:uid="{00000000-0005-0000-0000-0000CE270000}"/>
    <cellStyle name="C03B 15" xfId="10199" xr:uid="{00000000-0005-0000-0000-0000CF270000}"/>
    <cellStyle name="C03B 16" xfId="10200" xr:uid="{00000000-0005-0000-0000-0000D0270000}"/>
    <cellStyle name="C03B 17" xfId="10201" xr:uid="{00000000-0005-0000-0000-0000D1270000}"/>
    <cellStyle name="C03B 18" xfId="10202" xr:uid="{00000000-0005-0000-0000-0000D2270000}"/>
    <cellStyle name="C03B 19" xfId="10203" xr:uid="{00000000-0005-0000-0000-0000D3270000}"/>
    <cellStyle name="C03B 2" xfId="10204" xr:uid="{00000000-0005-0000-0000-0000D4270000}"/>
    <cellStyle name="C03B 20" xfId="10205" xr:uid="{00000000-0005-0000-0000-0000D5270000}"/>
    <cellStyle name="C03B 21" xfId="10206" xr:uid="{00000000-0005-0000-0000-0000D6270000}"/>
    <cellStyle name="C03B 21 2" xfId="10207" xr:uid="{00000000-0005-0000-0000-0000D7270000}"/>
    <cellStyle name="C03B 3" xfId="10208" xr:uid="{00000000-0005-0000-0000-0000D8270000}"/>
    <cellStyle name="C03B 4" xfId="10209" xr:uid="{00000000-0005-0000-0000-0000D9270000}"/>
    <cellStyle name="C03B 5" xfId="10210" xr:uid="{00000000-0005-0000-0000-0000DA270000}"/>
    <cellStyle name="C03B 6" xfId="10211" xr:uid="{00000000-0005-0000-0000-0000DB270000}"/>
    <cellStyle name="C03B 7" xfId="10212" xr:uid="{00000000-0005-0000-0000-0000DC270000}"/>
    <cellStyle name="C03B 8" xfId="10213" xr:uid="{00000000-0005-0000-0000-0000DD270000}"/>
    <cellStyle name="C03B 9" xfId="10214" xr:uid="{00000000-0005-0000-0000-0000DE270000}"/>
    <cellStyle name="C03H" xfId="10215" xr:uid="{00000000-0005-0000-0000-0000DF270000}"/>
    <cellStyle name="C03H 10" xfId="10216" xr:uid="{00000000-0005-0000-0000-0000E0270000}"/>
    <cellStyle name="C03H 11" xfId="10217" xr:uid="{00000000-0005-0000-0000-0000E1270000}"/>
    <cellStyle name="C03H 12" xfId="10218" xr:uid="{00000000-0005-0000-0000-0000E2270000}"/>
    <cellStyle name="C03H 13" xfId="10219" xr:uid="{00000000-0005-0000-0000-0000E3270000}"/>
    <cellStyle name="C03H 14" xfId="10220" xr:uid="{00000000-0005-0000-0000-0000E4270000}"/>
    <cellStyle name="C03H 15" xfId="10221" xr:uid="{00000000-0005-0000-0000-0000E5270000}"/>
    <cellStyle name="C03H 16" xfId="10222" xr:uid="{00000000-0005-0000-0000-0000E6270000}"/>
    <cellStyle name="C03H 17" xfId="10223" xr:uid="{00000000-0005-0000-0000-0000E7270000}"/>
    <cellStyle name="C03H 18" xfId="10224" xr:uid="{00000000-0005-0000-0000-0000E8270000}"/>
    <cellStyle name="C03H 19" xfId="10225" xr:uid="{00000000-0005-0000-0000-0000E9270000}"/>
    <cellStyle name="C03H 2" xfId="10226" xr:uid="{00000000-0005-0000-0000-0000EA270000}"/>
    <cellStyle name="C03H 20" xfId="10227" xr:uid="{00000000-0005-0000-0000-0000EB270000}"/>
    <cellStyle name="C03H 21" xfId="10228" xr:uid="{00000000-0005-0000-0000-0000EC270000}"/>
    <cellStyle name="C03H 21 2" xfId="10229" xr:uid="{00000000-0005-0000-0000-0000ED270000}"/>
    <cellStyle name="C03H 3" xfId="10230" xr:uid="{00000000-0005-0000-0000-0000EE270000}"/>
    <cellStyle name="C03H 4" xfId="10231" xr:uid="{00000000-0005-0000-0000-0000EF270000}"/>
    <cellStyle name="C03H 5" xfId="10232" xr:uid="{00000000-0005-0000-0000-0000F0270000}"/>
    <cellStyle name="C03H 6" xfId="10233" xr:uid="{00000000-0005-0000-0000-0000F1270000}"/>
    <cellStyle name="C03H 7" xfId="10234" xr:uid="{00000000-0005-0000-0000-0000F2270000}"/>
    <cellStyle name="C03H 8" xfId="10235" xr:uid="{00000000-0005-0000-0000-0000F3270000}"/>
    <cellStyle name="C03H 9" xfId="10236" xr:uid="{00000000-0005-0000-0000-0000F4270000}"/>
    <cellStyle name="C03L" xfId="10237" xr:uid="{00000000-0005-0000-0000-0000F5270000}"/>
    <cellStyle name="C03L 10" xfId="10238" xr:uid="{00000000-0005-0000-0000-0000F6270000}"/>
    <cellStyle name="C03L 11" xfId="10239" xr:uid="{00000000-0005-0000-0000-0000F7270000}"/>
    <cellStyle name="C03L 12" xfId="10240" xr:uid="{00000000-0005-0000-0000-0000F8270000}"/>
    <cellStyle name="C03L 13" xfId="10241" xr:uid="{00000000-0005-0000-0000-0000F9270000}"/>
    <cellStyle name="C03L 14" xfId="10242" xr:uid="{00000000-0005-0000-0000-0000FA270000}"/>
    <cellStyle name="C03L 15" xfId="10243" xr:uid="{00000000-0005-0000-0000-0000FB270000}"/>
    <cellStyle name="C03L 16" xfId="10244" xr:uid="{00000000-0005-0000-0000-0000FC270000}"/>
    <cellStyle name="C03L 17" xfId="10245" xr:uid="{00000000-0005-0000-0000-0000FD270000}"/>
    <cellStyle name="C03L 18" xfId="10246" xr:uid="{00000000-0005-0000-0000-0000FE270000}"/>
    <cellStyle name="C03L 19" xfId="10247" xr:uid="{00000000-0005-0000-0000-0000FF270000}"/>
    <cellStyle name="C03L 2" xfId="10248" xr:uid="{00000000-0005-0000-0000-000000280000}"/>
    <cellStyle name="C03L 20" xfId="10249" xr:uid="{00000000-0005-0000-0000-000001280000}"/>
    <cellStyle name="C03L 21" xfId="10250" xr:uid="{00000000-0005-0000-0000-000002280000}"/>
    <cellStyle name="C03L 21 2" xfId="10251" xr:uid="{00000000-0005-0000-0000-000003280000}"/>
    <cellStyle name="C03L 3" xfId="10252" xr:uid="{00000000-0005-0000-0000-000004280000}"/>
    <cellStyle name="C03L 4" xfId="10253" xr:uid="{00000000-0005-0000-0000-000005280000}"/>
    <cellStyle name="C03L 5" xfId="10254" xr:uid="{00000000-0005-0000-0000-000006280000}"/>
    <cellStyle name="C03L 6" xfId="10255" xr:uid="{00000000-0005-0000-0000-000007280000}"/>
    <cellStyle name="C03L 7" xfId="10256" xr:uid="{00000000-0005-0000-0000-000008280000}"/>
    <cellStyle name="C03L 8" xfId="10257" xr:uid="{00000000-0005-0000-0000-000009280000}"/>
    <cellStyle name="C03L 9" xfId="10258" xr:uid="{00000000-0005-0000-0000-00000A280000}"/>
    <cellStyle name="C04A" xfId="10259" xr:uid="{00000000-0005-0000-0000-00000B280000}"/>
    <cellStyle name="C04A 10" xfId="10260" xr:uid="{00000000-0005-0000-0000-00000C280000}"/>
    <cellStyle name="C04A 11" xfId="10261" xr:uid="{00000000-0005-0000-0000-00000D280000}"/>
    <cellStyle name="C04A 12" xfId="10262" xr:uid="{00000000-0005-0000-0000-00000E280000}"/>
    <cellStyle name="C04A 13" xfId="10263" xr:uid="{00000000-0005-0000-0000-00000F280000}"/>
    <cellStyle name="C04A 14" xfId="10264" xr:uid="{00000000-0005-0000-0000-000010280000}"/>
    <cellStyle name="C04A 15" xfId="10265" xr:uid="{00000000-0005-0000-0000-000011280000}"/>
    <cellStyle name="C04A 16" xfId="10266" xr:uid="{00000000-0005-0000-0000-000012280000}"/>
    <cellStyle name="C04A 17" xfId="10267" xr:uid="{00000000-0005-0000-0000-000013280000}"/>
    <cellStyle name="C04A 18" xfId="10268" xr:uid="{00000000-0005-0000-0000-000014280000}"/>
    <cellStyle name="C04A 19" xfId="10269" xr:uid="{00000000-0005-0000-0000-000015280000}"/>
    <cellStyle name="C04A 2" xfId="10270" xr:uid="{00000000-0005-0000-0000-000016280000}"/>
    <cellStyle name="C04A 20" xfId="10271" xr:uid="{00000000-0005-0000-0000-000017280000}"/>
    <cellStyle name="C04A 21" xfId="10272" xr:uid="{00000000-0005-0000-0000-000018280000}"/>
    <cellStyle name="C04A 3" xfId="10273" xr:uid="{00000000-0005-0000-0000-000019280000}"/>
    <cellStyle name="C04A 4" xfId="10274" xr:uid="{00000000-0005-0000-0000-00001A280000}"/>
    <cellStyle name="C04A 5" xfId="10275" xr:uid="{00000000-0005-0000-0000-00001B280000}"/>
    <cellStyle name="C04A 6" xfId="10276" xr:uid="{00000000-0005-0000-0000-00001C280000}"/>
    <cellStyle name="C04A 7" xfId="10277" xr:uid="{00000000-0005-0000-0000-00001D280000}"/>
    <cellStyle name="C04A 8" xfId="10278" xr:uid="{00000000-0005-0000-0000-00001E280000}"/>
    <cellStyle name="C04A 9" xfId="10279" xr:uid="{00000000-0005-0000-0000-00001F280000}"/>
    <cellStyle name="C04B" xfId="10280" xr:uid="{00000000-0005-0000-0000-000020280000}"/>
    <cellStyle name="C04B 10" xfId="10281" xr:uid="{00000000-0005-0000-0000-000021280000}"/>
    <cellStyle name="C04B 11" xfId="10282" xr:uid="{00000000-0005-0000-0000-000022280000}"/>
    <cellStyle name="C04B 12" xfId="10283" xr:uid="{00000000-0005-0000-0000-000023280000}"/>
    <cellStyle name="C04B 13" xfId="10284" xr:uid="{00000000-0005-0000-0000-000024280000}"/>
    <cellStyle name="C04B 14" xfId="10285" xr:uid="{00000000-0005-0000-0000-000025280000}"/>
    <cellStyle name="C04B 15" xfId="10286" xr:uid="{00000000-0005-0000-0000-000026280000}"/>
    <cellStyle name="C04B 16" xfId="10287" xr:uid="{00000000-0005-0000-0000-000027280000}"/>
    <cellStyle name="C04B 17" xfId="10288" xr:uid="{00000000-0005-0000-0000-000028280000}"/>
    <cellStyle name="C04B 18" xfId="10289" xr:uid="{00000000-0005-0000-0000-000029280000}"/>
    <cellStyle name="C04B 19" xfId="10290" xr:uid="{00000000-0005-0000-0000-00002A280000}"/>
    <cellStyle name="C04B 2" xfId="10291" xr:uid="{00000000-0005-0000-0000-00002B280000}"/>
    <cellStyle name="C04B 20" xfId="10292" xr:uid="{00000000-0005-0000-0000-00002C280000}"/>
    <cellStyle name="C04B 21" xfId="10293" xr:uid="{00000000-0005-0000-0000-00002D280000}"/>
    <cellStyle name="C04B 21 2" xfId="10294" xr:uid="{00000000-0005-0000-0000-00002E280000}"/>
    <cellStyle name="C04B 3" xfId="10295" xr:uid="{00000000-0005-0000-0000-00002F280000}"/>
    <cellStyle name="C04B 4" xfId="10296" xr:uid="{00000000-0005-0000-0000-000030280000}"/>
    <cellStyle name="C04B 5" xfId="10297" xr:uid="{00000000-0005-0000-0000-000031280000}"/>
    <cellStyle name="C04B 6" xfId="10298" xr:uid="{00000000-0005-0000-0000-000032280000}"/>
    <cellStyle name="C04B 7" xfId="10299" xr:uid="{00000000-0005-0000-0000-000033280000}"/>
    <cellStyle name="C04B 8" xfId="10300" xr:uid="{00000000-0005-0000-0000-000034280000}"/>
    <cellStyle name="C04B 9" xfId="10301" xr:uid="{00000000-0005-0000-0000-000035280000}"/>
    <cellStyle name="C04H" xfId="10302" xr:uid="{00000000-0005-0000-0000-000036280000}"/>
    <cellStyle name="C04H 10" xfId="10303" xr:uid="{00000000-0005-0000-0000-000037280000}"/>
    <cellStyle name="C04H 11" xfId="10304" xr:uid="{00000000-0005-0000-0000-000038280000}"/>
    <cellStyle name="C04H 12" xfId="10305" xr:uid="{00000000-0005-0000-0000-000039280000}"/>
    <cellStyle name="C04H 13" xfId="10306" xr:uid="{00000000-0005-0000-0000-00003A280000}"/>
    <cellStyle name="C04H 14" xfId="10307" xr:uid="{00000000-0005-0000-0000-00003B280000}"/>
    <cellStyle name="C04H 15" xfId="10308" xr:uid="{00000000-0005-0000-0000-00003C280000}"/>
    <cellStyle name="C04H 16" xfId="10309" xr:uid="{00000000-0005-0000-0000-00003D280000}"/>
    <cellStyle name="C04H 17" xfId="10310" xr:uid="{00000000-0005-0000-0000-00003E280000}"/>
    <cellStyle name="C04H 18" xfId="10311" xr:uid="{00000000-0005-0000-0000-00003F280000}"/>
    <cellStyle name="C04H 19" xfId="10312" xr:uid="{00000000-0005-0000-0000-000040280000}"/>
    <cellStyle name="C04H 2" xfId="10313" xr:uid="{00000000-0005-0000-0000-000041280000}"/>
    <cellStyle name="C04H 20" xfId="10314" xr:uid="{00000000-0005-0000-0000-000042280000}"/>
    <cellStyle name="C04H 21" xfId="10315" xr:uid="{00000000-0005-0000-0000-000043280000}"/>
    <cellStyle name="C04H 21 2" xfId="10316" xr:uid="{00000000-0005-0000-0000-000044280000}"/>
    <cellStyle name="C04H 3" xfId="10317" xr:uid="{00000000-0005-0000-0000-000045280000}"/>
    <cellStyle name="C04H 4" xfId="10318" xr:uid="{00000000-0005-0000-0000-000046280000}"/>
    <cellStyle name="C04H 5" xfId="10319" xr:uid="{00000000-0005-0000-0000-000047280000}"/>
    <cellStyle name="C04H 6" xfId="10320" xr:uid="{00000000-0005-0000-0000-000048280000}"/>
    <cellStyle name="C04H 7" xfId="10321" xr:uid="{00000000-0005-0000-0000-000049280000}"/>
    <cellStyle name="C04H 8" xfId="10322" xr:uid="{00000000-0005-0000-0000-00004A280000}"/>
    <cellStyle name="C04H 9" xfId="10323" xr:uid="{00000000-0005-0000-0000-00004B280000}"/>
    <cellStyle name="C04L" xfId="10324" xr:uid="{00000000-0005-0000-0000-00004C280000}"/>
    <cellStyle name="C04L 10" xfId="10325" xr:uid="{00000000-0005-0000-0000-00004D280000}"/>
    <cellStyle name="C04L 11" xfId="10326" xr:uid="{00000000-0005-0000-0000-00004E280000}"/>
    <cellStyle name="C04L 12" xfId="10327" xr:uid="{00000000-0005-0000-0000-00004F280000}"/>
    <cellStyle name="C04L 13" xfId="10328" xr:uid="{00000000-0005-0000-0000-000050280000}"/>
    <cellStyle name="C04L 14" xfId="10329" xr:uid="{00000000-0005-0000-0000-000051280000}"/>
    <cellStyle name="C04L 15" xfId="10330" xr:uid="{00000000-0005-0000-0000-000052280000}"/>
    <cellStyle name="C04L 16" xfId="10331" xr:uid="{00000000-0005-0000-0000-000053280000}"/>
    <cellStyle name="C04L 17" xfId="10332" xr:uid="{00000000-0005-0000-0000-000054280000}"/>
    <cellStyle name="C04L 18" xfId="10333" xr:uid="{00000000-0005-0000-0000-000055280000}"/>
    <cellStyle name="C04L 19" xfId="10334" xr:uid="{00000000-0005-0000-0000-000056280000}"/>
    <cellStyle name="C04L 2" xfId="10335" xr:uid="{00000000-0005-0000-0000-000057280000}"/>
    <cellStyle name="C04L 20" xfId="10336" xr:uid="{00000000-0005-0000-0000-000058280000}"/>
    <cellStyle name="C04L 21" xfId="10337" xr:uid="{00000000-0005-0000-0000-000059280000}"/>
    <cellStyle name="C04L 21 2" xfId="10338" xr:uid="{00000000-0005-0000-0000-00005A280000}"/>
    <cellStyle name="C04L 3" xfId="10339" xr:uid="{00000000-0005-0000-0000-00005B280000}"/>
    <cellStyle name="C04L 4" xfId="10340" xr:uid="{00000000-0005-0000-0000-00005C280000}"/>
    <cellStyle name="C04L 5" xfId="10341" xr:uid="{00000000-0005-0000-0000-00005D280000}"/>
    <cellStyle name="C04L 6" xfId="10342" xr:uid="{00000000-0005-0000-0000-00005E280000}"/>
    <cellStyle name="C04L 7" xfId="10343" xr:uid="{00000000-0005-0000-0000-00005F280000}"/>
    <cellStyle name="C04L 8" xfId="10344" xr:uid="{00000000-0005-0000-0000-000060280000}"/>
    <cellStyle name="C04L 9" xfId="10345" xr:uid="{00000000-0005-0000-0000-000061280000}"/>
    <cellStyle name="C05A" xfId="10346" xr:uid="{00000000-0005-0000-0000-000062280000}"/>
    <cellStyle name="C05A 10" xfId="10347" xr:uid="{00000000-0005-0000-0000-000063280000}"/>
    <cellStyle name="C05A 11" xfId="10348" xr:uid="{00000000-0005-0000-0000-000064280000}"/>
    <cellStyle name="C05A 12" xfId="10349" xr:uid="{00000000-0005-0000-0000-000065280000}"/>
    <cellStyle name="C05A 13" xfId="10350" xr:uid="{00000000-0005-0000-0000-000066280000}"/>
    <cellStyle name="C05A 14" xfId="10351" xr:uid="{00000000-0005-0000-0000-000067280000}"/>
    <cellStyle name="C05A 15" xfId="10352" xr:uid="{00000000-0005-0000-0000-000068280000}"/>
    <cellStyle name="C05A 16" xfId="10353" xr:uid="{00000000-0005-0000-0000-000069280000}"/>
    <cellStyle name="C05A 17" xfId="10354" xr:uid="{00000000-0005-0000-0000-00006A280000}"/>
    <cellStyle name="C05A 18" xfId="10355" xr:uid="{00000000-0005-0000-0000-00006B280000}"/>
    <cellStyle name="C05A 19" xfId="10356" xr:uid="{00000000-0005-0000-0000-00006C280000}"/>
    <cellStyle name="C05A 2" xfId="10357" xr:uid="{00000000-0005-0000-0000-00006D280000}"/>
    <cellStyle name="C05A 20" xfId="10358" xr:uid="{00000000-0005-0000-0000-00006E280000}"/>
    <cellStyle name="C05A 21" xfId="10359" xr:uid="{00000000-0005-0000-0000-00006F280000}"/>
    <cellStyle name="C05A 21 2" xfId="10360" xr:uid="{00000000-0005-0000-0000-000070280000}"/>
    <cellStyle name="C05A 3" xfId="10361" xr:uid="{00000000-0005-0000-0000-000071280000}"/>
    <cellStyle name="C05A 4" xfId="10362" xr:uid="{00000000-0005-0000-0000-000072280000}"/>
    <cellStyle name="C05A 5" xfId="10363" xr:uid="{00000000-0005-0000-0000-000073280000}"/>
    <cellStyle name="C05A 6" xfId="10364" xr:uid="{00000000-0005-0000-0000-000074280000}"/>
    <cellStyle name="C05A 7" xfId="10365" xr:uid="{00000000-0005-0000-0000-000075280000}"/>
    <cellStyle name="C05A 8" xfId="10366" xr:uid="{00000000-0005-0000-0000-000076280000}"/>
    <cellStyle name="C05A 9" xfId="10367" xr:uid="{00000000-0005-0000-0000-000077280000}"/>
    <cellStyle name="C05B" xfId="10368" xr:uid="{00000000-0005-0000-0000-000078280000}"/>
    <cellStyle name="C05B 10" xfId="10369" xr:uid="{00000000-0005-0000-0000-000079280000}"/>
    <cellStyle name="C05B 11" xfId="10370" xr:uid="{00000000-0005-0000-0000-00007A280000}"/>
    <cellStyle name="C05B 12" xfId="10371" xr:uid="{00000000-0005-0000-0000-00007B280000}"/>
    <cellStyle name="C05B 13" xfId="10372" xr:uid="{00000000-0005-0000-0000-00007C280000}"/>
    <cellStyle name="C05B 14" xfId="10373" xr:uid="{00000000-0005-0000-0000-00007D280000}"/>
    <cellStyle name="C05B 15" xfId="10374" xr:uid="{00000000-0005-0000-0000-00007E280000}"/>
    <cellStyle name="C05B 16" xfId="10375" xr:uid="{00000000-0005-0000-0000-00007F280000}"/>
    <cellStyle name="C05B 17" xfId="10376" xr:uid="{00000000-0005-0000-0000-000080280000}"/>
    <cellStyle name="C05B 18" xfId="10377" xr:uid="{00000000-0005-0000-0000-000081280000}"/>
    <cellStyle name="C05B 19" xfId="10378" xr:uid="{00000000-0005-0000-0000-000082280000}"/>
    <cellStyle name="C05B 2" xfId="10379" xr:uid="{00000000-0005-0000-0000-000083280000}"/>
    <cellStyle name="C05B 20" xfId="10380" xr:uid="{00000000-0005-0000-0000-000084280000}"/>
    <cellStyle name="C05B 21" xfId="10381" xr:uid="{00000000-0005-0000-0000-000085280000}"/>
    <cellStyle name="C05B 21 2" xfId="10382" xr:uid="{00000000-0005-0000-0000-000086280000}"/>
    <cellStyle name="C05B 3" xfId="10383" xr:uid="{00000000-0005-0000-0000-000087280000}"/>
    <cellStyle name="C05B 4" xfId="10384" xr:uid="{00000000-0005-0000-0000-000088280000}"/>
    <cellStyle name="C05B 5" xfId="10385" xr:uid="{00000000-0005-0000-0000-000089280000}"/>
    <cellStyle name="C05B 6" xfId="10386" xr:uid="{00000000-0005-0000-0000-00008A280000}"/>
    <cellStyle name="C05B 7" xfId="10387" xr:uid="{00000000-0005-0000-0000-00008B280000}"/>
    <cellStyle name="C05B 8" xfId="10388" xr:uid="{00000000-0005-0000-0000-00008C280000}"/>
    <cellStyle name="C05B 9" xfId="10389" xr:uid="{00000000-0005-0000-0000-00008D280000}"/>
    <cellStyle name="C05H" xfId="10390" xr:uid="{00000000-0005-0000-0000-00008E280000}"/>
    <cellStyle name="C05H 10" xfId="10391" xr:uid="{00000000-0005-0000-0000-00008F280000}"/>
    <cellStyle name="C05H 11" xfId="10392" xr:uid="{00000000-0005-0000-0000-000090280000}"/>
    <cellStyle name="C05H 12" xfId="10393" xr:uid="{00000000-0005-0000-0000-000091280000}"/>
    <cellStyle name="C05H 13" xfId="10394" xr:uid="{00000000-0005-0000-0000-000092280000}"/>
    <cellStyle name="C05H 14" xfId="10395" xr:uid="{00000000-0005-0000-0000-000093280000}"/>
    <cellStyle name="C05H 15" xfId="10396" xr:uid="{00000000-0005-0000-0000-000094280000}"/>
    <cellStyle name="C05H 16" xfId="10397" xr:uid="{00000000-0005-0000-0000-000095280000}"/>
    <cellStyle name="C05H 17" xfId="10398" xr:uid="{00000000-0005-0000-0000-000096280000}"/>
    <cellStyle name="C05H 18" xfId="10399" xr:uid="{00000000-0005-0000-0000-000097280000}"/>
    <cellStyle name="C05H 19" xfId="10400" xr:uid="{00000000-0005-0000-0000-000098280000}"/>
    <cellStyle name="C05H 2" xfId="10401" xr:uid="{00000000-0005-0000-0000-000099280000}"/>
    <cellStyle name="C05H 20" xfId="10402" xr:uid="{00000000-0005-0000-0000-00009A280000}"/>
    <cellStyle name="C05H 21" xfId="10403" xr:uid="{00000000-0005-0000-0000-00009B280000}"/>
    <cellStyle name="C05H 21 2" xfId="10404" xr:uid="{00000000-0005-0000-0000-00009C280000}"/>
    <cellStyle name="C05H 3" xfId="10405" xr:uid="{00000000-0005-0000-0000-00009D280000}"/>
    <cellStyle name="C05H 4" xfId="10406" xr:uid="{00000000-0005-0000-0000-00009E280000}"/>
    <cellStyle name="C05H 5" xfId="10407" xr:uid="{00000000-0005-0000-0000-00009F280000}"/>
    <cellStyle name="C05H 6" xfId="10408" xr:uid="{00000000-0005-0000-0000-0000A0280000}"/>
    <cellStyle name="C05H 7" xfId="10409" xr:uid="{00000000-0005-0000-0000-0000A1280000}"/>
    <cellStyle name="C05H 8" xfId="10410" xr:uid="{00000000-0005-0000-0000-0000A2280000}"/>
    <cellStyle name="C05H 9" xfId="10411" xr:uid="{00000000-0005-0000-0000-0000A3280000}"/>
    <cellStyle name="C05L" xfId="10412" xr:uid="{00000000-0005-0000-0000-0000A4280000}"/>
    <cellStyle name="C05L 10" xfId="10413" xr:uid="{00000000-0005-0000-0000-0000A5280000}"/>
    <cellStyle name="C05L 11" xfId="10414" xr:uid="{00000000-0005-0000-0000-0000A6280000}"/>
    <cellStyle name="C05L 12" xfId="10415" xr:uid="{00000000-0005-0000-0000-0000A7280000}"/>
    <cellStyle name="C05L 13" xfId="10416" xr:uid="{00000000-0005-0000-0000-0000A8280000}"/>
    <cellStyle name="C05L 14" xfId="10417" xr:uid="{00000000-0005-0000-0000-0000A9280000}"/>
    <cellStyle name="C05L 15" xfId="10418" xr:uid="{00000000-0005-0000-0000-0000AA280000}"/>
    <cellStyle name="C05L 16" xfId="10419" xr:uid="{00000000-0005-0000-0000-0000AB280000}"/>
    <cellStyle name="C05L 17" xfId="10420" xr:uid="{00000000-0005-0000-0000-0000AC280000}"/>
    <cellStyle name="C05L 18" xfId="10421" xr:uid="{00000000-0005-0000-0000-0000AD280000}"/>
    <cellStyle name="C05L 19" xfId="10422" xr:uid="{00000000-0005-0000-0000-0000AE280000}"/>
    <cellStyle name="C05L 2" xfId="10423" xr:uid="{00000000-0005-0000-0000-0000AF280000}"/>
    <cellStyle name="C05L 2 2" xfId="10424" xr:uid="{00000000-0005-0000-0000-0000B0280000}"/>
    <cellStyle name="C05L 20" xfId="10425" xr:uid="{00000000-0005-0000-0000-0000B1280000}"/>
    <cellStyle name="C05L 21" xfId="10426" xr:uid="{00000000-0005-0000-0000-0000B2280000}"/>
    <cellStyle name="C05L 22" xfId="10427" xr:uid="{00000000-0005-0000-0000-0000B3280000}"/>
    <cellStyle name="C05L 23" xfId="10428" xr:uid="{00000000-0005-0000-0000-0000B4280000}"/>
    <cellStyle name="C05L 23 2" xfId="10429" xr:uid="{00000000-0005-0000-0000-0000B5280000}"/>
    <cellStyle name="C05L 3" xfId="10430" xr:uid="{00000000-0005-0000-0000-0000B6280000}"/>
    <cellStyle name="C05L 3 2" xfId="10431" xr:uid="{00000000-0005-0000-0000-0000B7280000}"/>
    <cellStyle name="C05L 4" xfId="10432" xr:uid="{00000000-0005-0000-0000-0000B8280000}"/>
    <cellStyle name="C05L 5" xfId="10433" xr:uid="{00000000-0005-0000-0000-0000B9280000}"/>
    <cellStyle name="C05L 6" xfId="10434" xr:uid="{00000000-0005-0000-0000-0000BA280000}"/>
    <cellStyle name="C05L 7" xfId="10435" xr:uid="{00000000-0005-0000-0000-0000BB280000}"/>
    <cellStyle name="C05L 8" xfId="10436" xr:uid="{00000000-0005-0000-0000-0000BC280000}"/>
    <cellStyle name="C05L 9" xfId="10437" xr:uid="{00000000-0005-0000-0000-0000BD280000}"/>
    <cellStyle name="C06A" xfId="10438" xr:uid="{00000000-0005-0000-0000-0000BE280000}"/>
    <cellStyle name="C06A 10" xfId="10439" xr:uid="{00000000-0005-0000-0000-0000BF280000}"/>
    <cellStyle name="C06A 11" xfId="10440" xr:uid="{00000000-0005-0000-0000-0000C0280000}"/>
    <cellStyle name="C06A 12" xfId="10441" xr:uid="{00000000-0005-0000-0000-0000C1280000}"/>
    <cellStyle name="C06A 13" xfId="10442" xr:uid="{00000000-0005-0000-0000-0000C2280000}"/>
    <cellStyle name="C06A 14" xfId="10443" xr:uid="{00000000-0005-0000-0000-0000C3280000}"/>
    <cellStyle name="C06A 15" xfId="10444" xr:uid="{00000000-0005-0000-0000-0000C4280000}"/>
    <cellStyle name="C06A 16" xfId="10445" xr:uid="{00000000-0005-0000-0000-0000C5280000}"/>
    <cellStyle name="C06A 17" xfId="10446" xr:uid="{00000000-0005-0000-0000-0000C6280000}"/>
    <cellStyle name="C06A 18" xfId="10447" xr:uid="{00000000-0005-0000-0000-0000C7280000}"/>
    <cellStyle name="C06A 19" xfId="10448" xr:uid="{00000000-0005-0000-0000-0000C8280000}"/>
    <cellStyle name="C06A 2" xfId="10449" xr:uid="{00000000-0005-0000-0000-0000C9280000}"/>
    <cellStyle name="C06A 20" xfId="10450" xr:uid="{00000000-0005-0000-0000-0000CA280000}"/>
    <cellStyle name="C06A 21" xfId="10451" xr:uid="{00000000-0005-0000-0000-0000CB280000}"/>
    <cellStyle name="C06A 21 2" xfId="10452" xr:uid="{00000000-0005-0000-0000-0000CC280000}"/>
    <cellStyle name="C06A 3" xfId="10453" xr:uid="{00000000-0005-0000-0000-0000CD280000}"/>
    <cellStyle name="C06A 4" xfId="10454" xr:uid="{00000000-0005-0000-0000-0000CE280000}"/>
    <cellStyle name="C06A 5" xfId="10455" xr:uid="{00000000-0005-0000-0000-0000CF280000}"/>
    <cellStyle name="C06A 6" xfId="10456" xr:uid="{00000000-0005-0000-0000-0000D0280000}"/>
    <cellStyle name="C06A 7" xfId="10457" xr:uid="{00000000-0005-0000-0000-0000D1280000}"/>
    <cellStyle name="C06A 8" xfId="10458" xr:uid="{00000000-0005-0000-0000-0000D2280000}"/>
    <cellStyle name="C06A 9" xfId="10459" xr:uid="{00000000-0005-0000-0000-0000D3280000}"/>
    <cellStyle name="C06B" xfId="10460" xr:uid="{00000000-0005-0000-0000-0000D4280000}"/>
    <cellStyle name="C06B 10" xfId="10461" xr:uid="{00000000-0005-0000-0000-0000D5280000}"/>
    <cellStyle name="C06B 11" xfId="10462" xr:uid="{00000000-0005-0000-0000-0000D6280000}"/>
    <cellStyle name="C06B 12" xfId="10463" xr:uid="{00000000-0005-0000-0000-0000D7280000}"/>
    <cellStyle name="C06B 13" xfId="10464" xr:uid="{00000000-0005-0000-0000-0000D8280000}"/>
    <cellStyle name="C06B 14" xfId="10465" xr:uid="{00000000-0005-0000-0000-0000D9280000}"/>
    <cellStyle name="C06B 15" xfId="10466" xr:uid="{00000000-0005-0000-0000-0000DA280000}"/>
    <cellStyle name="C06B 16" xfId="10467" xr:uid="{00000000-0005-0000-0000-0000DB280000}"/>
    <cellStyle name="C06B 17" xfId="10468" xr:uid="{00000000-0005-0000-0000-0000DC280000}"/>
    <cellStyle name="C06B 18" xfId="10469" xr:uid="{00000000-0005-0000-0000-0000DD280000}"/>
    <cellStyle name="C06B 19" xfId="10470" xr:uid="{00000000-0005-0000-0000-0000DE280000}"/>
    <cellStyle name="C06B 2" xfId="10471" xr:uid="{00000000-0005-0000-0000-0000DF280000}"/>
    <cellStyle name="C06B 20" xfId="10472" xr:uid="{00000000-0005-0000-0000-0000E0280000}"/>
    <cellStyle name="C06B 21" xfId="10473" xr:uid="{00000000-0005-0000-0000-0000E1280000}"/>
    <cellStyle name="C06B 21 2" xfId="10474" xr:uid="{00000000-0005-0000-0000-0000E2280000}"/>
    <cellStyle name="C06B 3" xfId="10475" xr:uid="{00000000-0005-0000-0000-0000E3280000}"/>
    <cellStyle name="C06B 4" xfId="10476" xr:uid="{00000000-0005-0000-0000-0000E4280000}"/>
    <cellStyle name="C06B 5" xfId="10477" xr:uid="{00000000-0005-0000-0000-0000E5280000}"/>
    <cellStyle name="C06B 6" xfId="10478" xr:uid="{00000000-0005-0000-0000-0000E6280000}"/>
    <cellStyle name="C06B 7" xfId="10479" xr:uid="{00000000-0005-0000-0000-0000E7280000}"/>
    <cellStyle name="C06B 8" xfId="10480" xr:uid="{00000000-0005-0000-0000-0000E8280000}"/>
    <cellStyle name="C06B 9" xfId="10481" xr:uid="{00000000-0005-0000-0000-0000E9280000}"/>
    <cellStyle name="C06H" xfId="10482" xr:uid="{00000000-0005-0000-0000-0000EA280000}"/>
    <cellStyle name="C06H 10" xfId="10483" xr:uid="{00000000-0005-0000-0000-0000EB280000}"/>
    <cellStyle name="C06H 11" xfId="10484" xr:uid="{00000000-0005-0000-0000-0000EC280000}"/>
    <cellStyle name="C06H 12" xfId="10485" xr:uid="{00000000-0005-0000-0000-0000ED280000}"/>
    <cellStyle name="C06H 13" xfId="10486" xr:uid="{00000000-0005-0000-0000-0000EE280000}"/>
    <cellStyle name="C06H 14" xfId="10487" xr:uid="{00000000-0005-0000-0000-0000EF280000}"/>
    <cellStyle name="C06H 15" xfId="10488" xr:uid="{00000000-0005-0000-0000-0000F0280000}"/>
    <cellStyle name="C06H 16" xfId="10489" xr:uid="{00000000-0005-0000-0000-0000F1280000}"/>
    <cellStyle name="C06H 17" xfId="10490" xr:uid="{00000000-0005-0000-0000-0000F2280000}"/>
    <cellStyle name="C06H 18" xfId="10491" xr:uid="{00000000-0005-0000-0000-0000F3280000}"/>
    <cellStyle name="C06H 19" xfId="10492" xr:uid="{00000000-0005-0000-0000-0000F4280000}"/>
    <cellStyle name="C06H 2" xfId="10493" xr:uid="{00000000-0005-0000-0000-0000F5280000}"/>
    <cellStyle name="C06H 20" xfId="10494" xr:uid="{00000000-0005-0000-0000-0000F6280000}"/>
    <cellStyle name="C06H 21" xfId="10495" xr:uid="{00000000-0005-0000-0000-0000F7280000}"/>
    <cellStyle name="C06H 21 2" xfId="10496" xr:uid="{00000000-0005-0000-0000-0000F8280000}"/>
    <cellStyle name="C06H 3" xfId="10497" xr:uid="{00000000-0005-0000-0000-0000F9280000}"/>
    <cellStyle name="C06H 4" xfId="10498" xr:uid="{00000000-0005-0000-0000-0000FA280000}"/>
    <cellStyle name="C06H 5" xfId="10499" xr:uid="{00000000-0005-0000-0000-0000FB280000}"/>
    <cellStyle name="C06H 6" xfId="10500" xr:uid="{00000000-0005-0000-0000-0000FC280000}"/>
    <cellStyle name="C06H 7" xfId="10501" xr:uid="{00000000-0005-0000-0000-0000FD280000}"/>
    <cellStyle name="C06H 8" xfId="10502" xr:uid="{00000000-0005-0000-0000-0000FE280000}"/>
    <cellStyle name="C06H 9" xfId="10503" xr:uid="{00000000-0005-0000-0000-0000FF280000}"/>
    <cellStyle name="C06L" xfId="10504" xr:uid="{00000000-0005-0000-0000-000000290000}"/>
    <cellStyle name="C06L 10" xfId="10505" xr:uid="{00000000-0005-0000-0000-000001290000}"/>
    <cellStyle name="C06L 11" xfId="10506" xr:uid="{00000000-0005-0000-0000-000002290000}"/>
    <cellStyle name="C06L 12" xfId="10507" xr:uid="{00000000-0005-0000-0000-000003290000}"/>
    <cellStyle name="C06L 13" xfId="10508" xr:uid="{00000000-0005-0000-0000-000004290000}"/>
    <cellStyle name="C06L 14" xfId="10509" xr:uid="{00000000-0005-0000-0000-000005290000}"/>
    <cellStyle name="C06L 15" xfId="10510" xr:uid="{00000000-0005-0000-0000-000006290000}"/>
    <cellStyle name="C06L 16" xfId="10511" xr:uid="{00000000-0005-0000-0000-000007290000}"/>
    <cellStyle name="C06L 17" xfId="10512" xr:uid="{00000000-0005-0000-0000-000008290000}"/>
    <cellStyle name="C06L 18" xfId="10513" xr:uid="{00000000-0005-0000-0000-000009290000}"/>
    <cellStyle name="C06L 19" xfId="10514" xr:uid="{00000000-0005-0000-0000-00000A290000}"/>
    <cellStyle name="C06L 2" xfId="10515" xr:uid="{00000000-0005-0000-0000-00000B290000}"/>
    <cellStyle name="C06L 20" xfId="10516" xr:uid="{00000000-0005-0000-0000-00000C290000}"/>
    <cellStyle name="C06L 21" xfId="10517" xr:uid="{00000000-0005-0000-0000-00000D290000}"/>
    <cellStyle name="C06L 21 2" xfId="10518" xr:uid="{00000000-0005-0000-0000-00000E290000}"/>
    <cellStyle name="C06L 3" xfId="10519" xr:uid="{00000000-0005-0000-0000-00000F290000}"/>
    <cellStyle name="C06L 4" xfId="10520" xr:uid="{00000000-0005-0000-0000-000010290000}"/>
    <cellStyle name="C06L 5" xfId="10521" xr:uid="{00000000-0005-0000-0000-000011290000}"/>
    <cellStyle name="C06L 6" xfId="10522" xr:uid="{00000000-0005-0000-0000-000012290000}"/>
    <cellStyle name="C06L 7" xfId="10523" xr:uid="{00000000-0005-0000-0000-000013290000}"/>
    <cellStyle name="C06L 8" xfId="10524" xr:uid="{00000000-0005-0000-0000-000014290000}"/>
    <cellStyle name="C06L 9" xfId="10525" xr:uid="{00000000-0005-0000-0000-000015290000}"/>
    <cellStyle name="C07A" xfId="10526" xr:uid="{00000000-0005-0000-0000-000016290000}"/>
    <cellStyle name="C07A 10" xfId="10527" xr:uid="{00000000-0005-0000-0000-000017290000}"/>
    <cellStyle name="C07A 11" xfId="10528" xr:uid="{00000000-0005-0000-0000-000018290000}"/>
    <cellStyle name="C07A 12" xfId="10529" xr:uid="{00000000-0005-0000-0000-000019290000}"/>
    <cellStyle name="C07A 13" xfId="10530" xr:uid="{00000000-0005-0000-0000-00001A290000}"/>
    <cellStyle name="C07A 14" xfId="10531" xr:uid="{00000000-0005-0000-0000-00001B290000}"/>
    <cellStyle name="C07A 15" xfId="10532" xr:uid="{00000000-0005-0000-0000-00001C290000}"/>
    <cellStyle name="C07A 16" xfId="10533" xr:uid="{00000000-0005-0000-0000-00001D290000}"/>
    <cellStyle name="C07A 17" xfId="10534" xr:uid="{00000000-0005-0000-0000-00001E290000}"/>
    <cellStyle name="C07A 18" xfId="10535" xr:uid="{00000000-0005-0000-0000-00001F290000}"/>
    <cellStyle name="C07A 19" xfId="10536" xr:uid="{00000000-0005-0000-0000-000020290000}"/>
    <cellStyle name="C07A 2" xfId="10537" xr:uid="{00000000-0005-0000-0000-000021290000}"/>
    <cellStyle name="C07A 20" xfId="10538" xr:uid="{00000000-0005-0000-0000-000022290000}"/>
    <cellStyle name="C07A 21" xfId="10539" xr:uid="{00000000-0005-0000-0000-000023290000}"/>
    <cellStyle name="C07A 21 2" xfId="10540" xr:uid="{00000000-0005-0000-0000-000024290000}"/>
    <cellStyle name="C07A 3" xfId="10541" xr:uid="{00000000-0005-0000-0000-000025290000}"/>
    <cellStyle name="C07A 4" xfId="10542" xr:uid="{00000000-0005-0000-0000-000026290000}"/>
    <cellStyle name="C07A 5" xfId="10543" xr:uid="{00000000-0005-0000-0000-000027290000}"/>
    <cellStyle name="C07A 6" xfId="10544" xr:uid="{00000000-0005-0000-0000-000028290000}"/>
    <cellStyle name="C07A 7" xfId="10545" xr:uid="{00000000-0005-0000-0000-000029290000}"/>
    <cellStyle name="C07A 8" xfId="10546" xr:uid="{00000000-0005-0000-0000-00002A290000}"/>
    <cellStyle name="C07A 9" xfId="10547" xr:uid="{00000000-0005-0000-0000-00002B290000}"/>
    <cellStyle name="C07B" xfId="10548" xr:uid="{00000000-0005-0000-0000-00002C290000}"/>
    <cellStyle name="C07B 10" xfId="10549" xr:uid="{00000000-0005-0000-0000-00002D290000}"/>
    <cellStyle name="C07B 11" xfId="10550" xr:uid="{00000000-0005-0000-0000-00002E290000}"/>
    <cellStyle name="C07B 12" xfId="10551" xr:uid="{00000000-0005-0000-0000-00002F290000}"/>
    <cellStyle name="C07B 13" xfId="10552" xr:uid="{00000000-0005-0000-0000-000030290000}"/>
    <cellStyle name="C07B 14" xfId="10553" xr:uid="{00000000-0005-0000-0000-000031290000}"/>
    <cellStyle name="C07B 15" xfId="10554" xr:uid="{00000000-0005-0000-0000-000032290000}"/>
    <cellStyle name="C07B 16" xfId="10555" xr:uid="{00000000-0005-0000-0000-000033290000}"/>
    <cellStyle name="C07B 17" xfId="10556" xr:uid="{00000000-0005-0000-0000-000034290000}"/>
    <cellStyle name="C07B 18" xfId="10557" xr:uid="{00000000-0005-0000-0000-000035290000}"/>
    <cellStyle name="C07B 19" xfId="10558" xr:uid="{00000000-0005-0000-0000-000036290000}"/>
    <cellStyle name="C07B 2" xfId="10559" xr:uid="{00000000-0005-0000-0000-000037290000}"/>
    <cellStyle name="C07B 20" xfId="10560" xr:uid="{00000000-0005-0000-0000-000038290000}"/>
    <cellStyle name="C07B 21" xfId="10561" xr:uid="{00000000-0005-0000-0000-000039290000}"/>
    <cellStyle name="C07B 21 2" xfId="10562" xr:uid="{00000000-0005-0000-0000-00003A290000}"/>
    <cellStyle name="C07B 3" xfId="10563" xr:uid="{00000000-0005-0000-0000-00003B290000}"/>
    <cellStyle name="C07B 4" xfId="10564" xr:uid="{00000000-0005-0000-0000-00003C290000}"/>
    <cellStyle name="C07B 5" xfId="10565" xr:uid="{00000000-0005-0000-0000-00003D290000}"/>
    <cellStyle name="C07B 6" xfId="10566" xr:uid="{00000000-0005-0000-0000-00003E290000}"/>
    <cellStyle name="C07B 7" xfId="10567" xr:uid="{00000000-0005-0000-0000-00003F290000}"/>
    <cellStyle name="C07B 8" xfId="10568" xr:uid="{00000000-0005-0000-0000-000040290000}"/>
    <cellStyle name="C07B 9" xfId="10569" xr:uid="{00000000-0005-0000-0000-000041290000}"/>
    <cellStyle name="C07H" xfId="10570" xr:uid="{00000000-0005-0000-0000-000042290000}"/>
    <cellStyle name="C07H 10" xfId="10571" xr:uid="{00000000-0005-0000-0000-000043290000}"/>
    <cellStyle name="C07H 11" xfId="10572" xr:uid="{00000000-0005-0000-0000-000044290000}"/>
    <cellStyle name="C07H 12" xfId="10573" xr:uid="{00000000-0005-0000-0000-000045290000}"/>
    <cellStyle name="C07H 13" xfId="10574" xr:uid="{00000000-0005-0000-0000-000046290000}"/>
    <cellStyle name="C07H 14" xfId="10575" xr:uid="{00000000-0005-0000-0000-000047290000}"/>
    <cellStyle name="C07H 15" xfId="10576" xr:uid="{00000000-0005-0000-0000-000048290000}"/>
    <cellStyle name="C07H 16" xfId="10577" xr:uid="{00000000-0005-0000-0000-000049290000}"/>
    <cellStyle name="C07H 17" xfId="10578" xr:uid="{00000000-0005-0000-0000-00004A290000}"/>
    <cellStyle name="C07H 18" xfId="10579" xr:uid="{00000000-0005-0000-0000-00004B290000}"/>
    <cellStyle name="C07H 19" xfId="10580" xr:uid="{00000000-0005-0000-0000-00004C290000}"/>
    <cellStyle name="C07H 2" xfId="10581" xr:uid="{00000000-0005-0000-0000-00004D290000}"/>
    <cellStyle name="C07H 20" xfId="10582" xr:uid="{00000000-0005-0000-0000-00004E290000}"/>
    <cellStyle name="C07H 21" xfId="10583" xr:uid="{00000000-0005-0000-0000-00004F290000}"/>
    <cellStyle name="C07H 21 2" xfId="10584" xr:uid="{00000000-0005-0000-0000-000050290000}"/>
    <cellStyle name="C07H 3" xfId="10585" xr:uid="{00000000-0005-0000-0000-000051290000}"/>
    <cellStyle name="C07H 4" xfId="10586" xr:uid="{00000000-0005-0000-0000-000052290000}"/>
    <cellStyle name="C07H 5" xfId="10587" xr:uid="{00000000-0005-0000-0000-000053290000}"/>
    <cellStyle name="C07H 6" xfId="10588" xr:uid="{00000000-0005-0000-0000-000054290000}"/>
    <cellStyle name="C07H 7" xfId="10589" xr:uid="{00000000-0005-0000-0000-000055290000}"/>
    <cellStyle name="C07H 8" xfId="10590" xr:uid="{00000000-0005-0000-0000-000056290000}"/>
    <cellStyle name="C07H 9" xfId="10591" xr:uid="{00000000-0005-0000-0000-000057290000}"/>
    <cellStyle name="C07L" xfId="10592" xr:uid="{00000000-0005-0000-0000-000058290000}"/>
    <cellStyle name="C07L 10" xfId="10593" xr:uid="{00000000-0005-0000-0000-000059290000}"/>
    <cellStyle name="C07L 11" xfId="10594" xr:uid="{00000000-0005-0000-0000-00005A290000}"/>
    <cellStyle name="C07L 12" xfId="10595" xr:uid="{00000000-0005-0000-0000-00005B290000}"/>
    <cellStyle name="C07L 13" xfId="10596" xr:uid="{00000000-0005-0000-0000-00005C290000}"/>
    <cellStyle name="C07L 14" xfId="10597" xr:uid="{00000000-0005-0000-0000-00005D290000}"/>
    <cellStyle name="C07L 15" xfId="10598" xr:uid="{00000000-0005-0000-0000-00005E290000}"/>
    <cellStyle name="C07L 16" xfId="10599" xr:uid="{00000000-0005-0000-0000-00005F290000}"/>
    <cellStyle name="C07L 17" xfId="10600" xr:uid="{00000000-0005-0000-0000-000060290000}"/>
    <cellStyle name="C07L 18" xfId="10601" xr:uid="{00000000-0005-0000-0000-000061290000}"/>
    <cellStyle name="C07L 19" xfId="10602" xr:uid="{00000000-0005-0000-0000-000062290000}"/>
    <cellStyle name="C07L 2" xfId="10603" xr:uid="{00000000-0005-0000-0000-000063290000}"/>
    <cellStyle name="C07L 20" xfId="10604" xr:uid="{00000000-0005-0000-0000-000064290000}"/>
    <cellStyle name="C07L 21" xfId="10605" xr:uid="{00000000-0005-0000-0000-000065290000}"/>
    <cellStyle name="C07L 21 2" xfId="10606" xr:uid="{00000000-0005-0000-0000-000066290000}"/>
    <cellStyle name="C07L 3" xfId="10607" xr:uid="{00000000-0005-0000-0000-000067290000}"/>
    <cellStyle name="C07L 4" xfId="10608" xr:uid="{00000000-0005-0000-0000-000068290000}"/>
    <cellStyle name="C07L 5" xfId="10609" xr:uid="{00000000-0005-0000-0000-000069290000}"/>
    <cellStyle name="C07L 6" xfId="10610" xr:uid="{00000000-0005-0000-0000-00006A290000}"/>
    <cellStyle name="C07L 7" xfId="10611" xr:uid="{00000000-0005-0000-0000-00006B290000}"/>
    <cellStyle name="C07L 8" xfId="10612" xr:uid="{00000000-0005-0000-0000-00006C290000}"/>
    <cellStyle name="C07L 9" xfId="10613" xr:uid="{00000000-0005-0000-0000-00006D290000}"/>
    <cellStyle name="Calc Currency (0)" xfId="10614" xr:uid="{00000000-0005-0000-0000-00006E290000}"/>
    <cellStyle name="Calc Currency (0) 10" xfId="10615" xr:uid="{00000000-0005-0000-0000-00006F290000}"/>
    <cellStyle name="Calc Currency (0) 11" xfId="10616" xr:uid="{00000000-0005-0000-0000-000070290000}"/>
    <cellStyle name="Calc Currency (0) 12" xfId="10617" xr:uid="{00000000-0005-0000-0000-000071290000}"/>
    <cellStyle name="Calc Currency (0) 13" xfId="10618" xr:uid="{00000000-0005-0000-0000-000072290000}"/>
    <cellStyle name="Calc Currency (0) 14" xfId="10619" xr:uid="{00000000-0005-0000-0000-000073290000}"/>
    <cellStyle name="Calc Currency (0) 15" xfId="10620" xr:uid="{00000000-0005-0000-0000-000074290000}"/>
    <cellStyle name="Calc Currency (0) 16" xfId="10621" xr:uid="{00000000-0005-0000-0000-000075290000}"/>
    <cellStyle name="Calc Currency (0) 17" xfId="10622" xr:uid="{00000000-0005-0000-0000-000076290000}"/>
    <cellStyle name="Calc Currency (0) 18" xfId="10623" xr:uid="{00000000-0005-0000-0000-000077290000}"/>
    <cellStyle name="Calc Currency (0) 19" xfId="10624" xr:uid="{00000000-0005-0000-0000-000078290000}"/>
    <cellStyle name="Calc Currency (0) 2" xfId="10625" xr:uid="{00000000-0005-0000-0000-000079290000}"/>
    <cellStyle name="Calc Currency (0) 20" xfId="10626" xr:uid="{00000000-0005-0000-0000-00007A290000}"/>
    <cellStyle name="Calc Currency (0) 21" xfId="10627" xr:uid="{00000000-0005-0000-0000-00007B290000}"/>
    <cellStyle name="Calc Currency (0) 21 2" xfId="10628" xr:uid="{00000000-0005-0000-0000-00007C290000}"/>
    <cellStyle name="Calc Currency (0) 3" xfId="10629" xr:uid="{00000000-0005-0000-0000-00007D290000}"/>
    <cellStyle name="Calc Currency (0) 4" xfId="10630" xr:uid="{00000000-0005-0000-0000-00007E290000}"/>
    <cellStyle name="Calc Currency (0) 5" xfId="10631" xr:uid="{00000000-0005-0000-0000-00007F290000}"/>
    <cellStyle name="Calc Currency (0) 6" xfId="10632" xr:uid="{00000000-0005-0000-0000-000080290000}"/>
    <cellStyle name="Calc Currency (0) 7" xfId="10633" xr:uid="{00000000-0005-0000-0000-000081290000}"/>
    <cellStyle name="Calc Currency (0) 8" xfId="10634" xr:uid="{00000000-0005-0000-0000-000082290000}"/>
    <cellStyle name="Calc Currency (0) 9" xfId="10635" xr:uid="{00000000-0005-0000-0000-000083290000}"/>
    <cellStyle name="Calc Currency (2)" xfId="10636" xr:uid="{00000000-0005-0000-0000-000084290000}"/>
    <cellStyle name="Calc Currency (2) 10" xfId="10637" xr:uid="{00000000-0005-0000-0000-000085290000}"/>
    <cellStyle name="Calc Currency (2) 11" xfId="10638" xr:uid="{00000000-0005-0000-0000-000086290000}"/>
    <cellStyle name="Calc Currency (2) 12" xfId="10639" xr:uid="{00000000-0005-0000-0000-000087290000}"/>
    <cellStyle name="Calc Currency (2) 13" xfId="10640" xr:uid="{00000000-0005-0000-0000-000088290000}"/>
    <cellStyle name="Calc Currency (2) 14" xfId="10641" xr:uid="{00000000-0005-0000-0000-000089290000}"/>
    <cellStyle name="Calc Currency (2) 15" xfId="10642" xr:uid="{00000000-0005-0000-0000-00008A290000}"/>
    <cellStyle name="Calc Currency (2) 16" xfId="10643" xr:uid="{00000000-0005-0000-0000-00008B290000}"/>
    <cellStyle name="Calc Currency (2) 17" xfId="10644" xr:uid="{00000000-0005-0000-0000-00008C290000}"/>
    <cellStyle name="Calc Currency (2) 18" xfId="10645" xr:uid="{00000000-0005-0000-0000-00008D290000}"/>
    <cellStyle name="Calc Currency (2) 19" xfId="10646" xr:uid="{00000000-0005-0000-0000-00008E290000}"/>
    <cellStyle name="Calc Currency (2) 2" xfId="10647" xr:uid="{00000000-0005-0000-0000-00008F290000}"/>
    <cellStyle name="Calc Currency (2) 20" xfId="10648" xr:uid="{00000000-0005-0000-0000-000090290000}"/>
    <cellStyle name="Calc Currency (2) 21" xfId="10649" xr:uid="{00000000-0005-0000-0000-000091290000}"/>
    <cellStyle name="Calc Currency (2) 21 2" xfId="10650" xr:uid="{00000000-0005-0000-0000-000092290000}"/>
    <cellStyle name="Calc Currency (2) 3" xfId="10651" xr:uid="{00000000-0005-0000-0000-000093290000}"/>
    <cellStyle name="Calc Currency (2) 4" xfId="10652" xr:uid="{00000000-0005-0000-0000-000094290000}"/>
    <cellStyle name="Calc Currency (2) 5" xfId="10653" xr:uid="{00000000-0005-0000-0000-000095290000}"/>
    <cellStyle name="Calc Currency (2) 6" xfId="10654" xr:uid="{00000000-0005-0000-0000-000096290000}"/>
    <cellStyle name="Calc Currency (2) 7" xfId="10655" xr:uid="{00000000-0005-0000-0000-000097290000}"/>
    <cellStyle name="Calc Currency (2) 8" xfId="10656" xr:uid="{00000000-0005-0000-0000-000098290000}"/>
    <cellStyle name="Calc Currency (2) 9" xfId="10657" xr:uid="{00000000-0005-0000-0000-000099290000}"/>
    <cellStyle name="Calc Percent (0)" xfId="10658" xr:uid="{00000000-0005-0000-0000-00009A290000}"/>
    <cellStyle name="Calc Percent (0) 10" xfId="10659" xr:uid="{00000000-0005-0000-0000-00009B290000}"/>
    <cellStyle name="Calc Percent (0) 11" xfId="10660" xr:uid="{00000000-0005-0000-0000-00009C290000}"/>
    <cellStyle name="Calc Percent (0) 12" xfId="10661" xr:uid="{00000000-0005-0000-0000-00009D290000}"/>
    <cellStyle name="Calc Percent (0) 13" xfId="10662" xr:uid="{00000000-0005-0000-0000-00009E290000}"/>
    <cellStyle name="Calc Percent (0) 14" xfId="10663" xr:uid="{00000000-0005-0000-0000-00009F290000}"/>
    <cellStyle name="Calc Percent (0) 15" xfId="10664" xr:uid="{00000000-0005-0000-0000-0000A0290000}"/>
    <cellStyle name="Calc Percent (0) 16" xfId="10665" xr:uid="{00000000-0005-0000-0000-0000A1290000}"/>
    <cellStyle name="Calc Percent (0) 17" xfId="10666" xr:uid="{00000000-0005-0000-0000-0000A2290000}"/>
    <cellStyle name="Calc Percent (0) 18" xfId="10667" xr:uid="{00000000-0005-0000-0000-0000A3290000}"/>
    <cellStyle name="Calc Percent (0) 19" xfId="10668" xr:uid="{00000000-0005-0000-0000-0000A4290000}"/>
    <cellStyle name="Calc Percent (0) 2" xfId="10669" xr:uid="{00000000-0005-0000-0000-0000A5290000}"/>
    <cellStyle name="Calc Percent (0) 20" xfId="10670" xr:uid="{00000000-0005-0000-0000-0000A6290000}"/>
    <cellStyle name="Calc Percent (0) 21" xfId="10671" xr:uid="{00000000-0005-0000-0000-0000A7290000}"/>
    <cellStyle name="Calc Percent (0) 21 2" xfId="10672" xr:uid="{00000000-0005-0000-0000-0000A8290000}"/>
    <cellStyle name="Calc Percent (0) 3" xfId="10673" xr:uid="{00000000-0005-0000-0000-0000A9290000}"/>
    <cellStyle name="Calc Percent (0) 4" xfId="10674" xr:uid="{00000000-0005-0000-0000-0000AA290000}"/>
    <cellStyle name="Calc Percent (0) 5" xfId="10675" xr:uid="{00000000-0005-0000-0000-0000AB290000}"/>
    <cellStyle name="Calc Percent (0) 6" xfId="10676" xr:uid="{00000000-0005-0000-0000-0000AC290000}"/>
    <cellStyle name="Calc Percent (0) 7" xfId="10677" xr:uid="{00000000-0005-0000-0000-0000AD290000}"/>
    <cellStyle name="Calc Percent (0) 8" xfId="10678" xr:uid="{00000000-0005-0000-0000-0000AE290000}"/>
    <cellStyle name="Calc Percent (0) 9" xfId="10679" xr:uid="{00000000-0005-0000-0000-0000AF290000}"/>
    <cellStyle name="Calc Percent (1)" xfId="10680" xr:uid="{00000000-0005-0000-0000-0000B0290000}"/>
    <cellStyle name="Calc Percent (1) 10" xfId="10681" xr:uid="{00000000-0005-0000-0000-0000B1290000}"/>
    <cellStyle name="Calc Percent (1) 11" xfId="10682" xr:uid="{00000000-0005-0000-0000-0000B2290000}"/>
    <cellStyle name="Calc Percent (1) 12" xfId="10683" xr:uid="{00000000-0005-0000-0000-0000B3290000}"/>
    <cellStyle name="Calc Percent (1) 13" xfId="10684" xr:uid="{00000000-0005-0000-0000-0000B4290000}"/>
    <cellStyle name="Calc Percent (1) 14" xfId="10685" xr:uid="{00000000-0005-0000-0000-0000B5290000}"/>
    <cellStyle name="Calc Percent (1) 15" xfId="10686" xr:uid="{00000000-0005-0000-0000-0000B6290000}"/>
    <cellStyle name="Calc Percent (1) 16" xfId="10687" xr:uid="{00000000-0005-0000-0000-0000B7290000}"/>
    <cellStyle name="Calc Percent (1) 17" xfId="10688" xr:uid="{00000000-0005-0000-0000-0000B8290000}"/>
    <cellStyle name="Calc Percent (1) 18" xfId="10689" xr:uid="{00000000-0005-0000-0000-0000B9290000}"/>
    <cellStyle name="Calc Percent (1) 19" xfId="10690" xr:uid="{00000000-0005-0000-0000-0000BA290000}"/>
    <cellStyle name="Calc Percent (1) 2" xfId="10691" xr:uid="{00000000-0005-0000-0000-0000BB290000}"/>
    <cellStyle name="Calc Percent (1) 20" xfId="10692" xr:uid="{00000000-0005-0000-0000-0000BC290000}"/>
    <cellStyle name="Calc Percent (1) 21" xfId="10693" xr:uid="{00000000-0005-0000-0000-0000BD290000}"/>
    <cellStyle name="Calc Percent (1) 3" xfId="10694" xr:uid="{00000000-0005-0000-0000-0000BE290000}"/>
    <cellStyle name="Calc Percent (1) 4" xfId="10695" xr:uid="{00000000-0005-0000-0000-0000BF290000}"/>
    <cellStyle name="Calc Percent (1) 5" xfId="10696" xr:uid="{00000000-0005-0000-0000-0000C0290000}"/>
    <cellStyle name="Calc Percent (1) 6" xfId="10697" xr:uid="{00000000-0005-0000-0000-0000C1290000}"/>
    <cellStyle name="Calc Percent (1) 7" xfId="10698" xr:uid="{00000000-0005-0000-0000-0000C2290000}"/>
    <cellStyle name="Calc Percent (1) 8" xfId="10699" xr:uid="{00000000-0005-0000-0000-0000C3290000}"/>
    <cellStyle name="Calc Percent (1) 9" xfId="10700" xr:uid="{00000000-0005-0000-0000-0000C4290000}"/>
    <cellStyle name="Calc Percent (2)" xfId="10701" xr:uid="{00000000-0005-0000-0000-0000C5290000}"/>
    <cellStyle name="Calc Percent (2) 10" xfId="10702" xr:uid="{00000000-0005-0000-0000-0000C6290000}"/>
    <cellStyle name="Calc Percent (2) 11" xfId="10703" xr:uid="{00000000-0005-0000-0000-0000C7290000}"/>
    <cellStyle name="Calc Percent (2) 12" xfId="10704" xr:uid="{00000000-0005-0000-0000-0000C8290000}"/>
    <cellStyle name="Calc Percent (2) 13" xfId="10705" xr:uid="{00000000-0005-0000-0000-0000C9290000}"/>
    <cellStyle name="Calc Percent (2) 14" xfId="10706" xr:uid="{00000000-0005-0000-0000-0000CA290000}"/>
    <cellStyle name="Calc Percent (2) 15" xfId="10707" xr:uid="{00000000-0005-0000-0000-0000CB290000}"/>
    <cellStyle name="Calc Percent (2) 16" xfId="10708" xr:uid="{00000000-0005-0000-0000-0000CC290000}"/>
    <cellStyle name="Calc Percent (2) 17" xfId="10709" xr:uid="{00000000-0005-0000-0000-0000CD290000}"/>
    <cellStyle name="Calc Percent (2) 18" xfId="10710" xr:uid="{00000000-0005-0000-0000-0000CE290000}"/>
    <cellStyle name="Calc Percent (2) 19" xfId="10711" xr:uid="{00000000-0005-0000-0000-0000CF290000}"/>
    <cellStyle name="Calc Percent (2) 2" xfId="10712" xr:uid="{00000000-0005-0000-0000-0000D0290000}"/>
    <cellStyle name="Calc Percent (2) 20" xfId="10713" xr:uid="{00000000-0005-0000-0000-0000D1290000}"/>
    <cellStyle name="Calc Percent (2) 21" xfId="10714" xr:uid="{00000000-0005-0000-0000-0000D2290000}"/>
    <cellStyle name="Calc Percent (2) 21 2" xfId="10715" xr:uid="{00000000-0005-0000-0000-0000D3290000}"/>
    <cellStyle name="Calc Percent (2) 3" xfId="10716" xr:uid="{00000000-0005-0000-0000-0000D4290000}"/>
    <cellStyle name="Calc Percent (2) 4" xfId="10717" xr:uid="{00000000-0005-0000-0000-0000D5290000}"/>
    <cellStyle name="Calc Percent (2) 5" xfId="10718" xr:uid="{00000000-0005-0000-0000-0000D6290000}"/>
    <cellStyle name="Calc Percent (2) 6" xfId="10719" xr:uid="{00000000-0005-0000-0000-0000D7290000}"/>
    <cellStyle name="Calc Percent (2) 7" xfId="10720" xr:uid="{00000000-0005-0000-0000-0000D8290000}"/>
    <cellStyle name="Calc Percent (2) 8" xfId="10721" xr:uid="{00000000-0005-0000-0000-0000D9290000}"/>
    <cellStyle name="Calc Percent (2) 9" xfId="10722" xr:uid="{00000000-0005-0000-0000-0000DA290000}"/>
    <cellStyle name="Calc Units (0)" xfId="10723" xr:uid="{00000000-0005-0000-0000-0000DB290000}"/>
    <cellStyle name="Calc Units (0) 10" xfId="10724" xr:uid="{00000000-0005-0000-0000-0000DC290000}"/>
    <cellStyle name="Calc Units (0) 11" xfId="10725" xr:uid="{00000000-0005-0000-0000-0000DD290000}"/>
    <cellStyle name="Calc Units (0) 12" xfId="10726" xr:uid="{00000000-0005-0000-0000-0000DE290000}"/>
    <cellStyle name="Calc Units (0) 13" xfId="10727" xr:uid="{00000000-0005-0000-0000-0000DF290000}"/>
    <cellStyle name="Calc Units (0) 14" xfId="10728" xr:uid="{00000000-0005-0000-0000-0000E0290000}"/>
    <cellStyle name="Calc Units (0) 15" xfId="10729" xr:uid="{00000000-0005-0000-0000-0000E1290000}"/>
    <cellStyle name="Calc Units (0) 16" xfId="10730" xr:uid="{00000000-0005-0000-0000-0000E2290000}"/>
    <cellStyle name="Calc Units (0) 17" xfId="10731" xr:uid="{00000000-0005-0000-0000-0000E3290000}"/>
    <cellStyle name="Calc Units (0) 18" xfId="10732" xr:uid="{00000000-0005-0000-0000-0000E4290000}"/>
    <cellStyle name="Calc Units (0) 19" xfId="10733" xr:uid="{00000000-0005-0000-0000-0000E5290000}"/>
    <cellStyle name="Calc Units (0) 2" xfId="10734" xr:uid="{00000000-0005-0000-0000-0000E6290000}"/>
    <cellStyle name="Calc Units (0) 20" xfId="10735" xr:uid="{00000000-0005-0000-0000-0000E7290000}"/>
    <cellStyle name="Calc Units (0) 21" xfId="10736" xr:uid="{00000000-0005-0000-0000-0000E8290000}"/>
    <cellStyle name="Calc Units (0) 21 2" xfId="10737" xr:uid="{00000000-0005-0000-0000-0000E9290000}"/>
    <cellStyle name="Calc Units (0) 3" xfId="10738" xr:uid="{00000000-0005-0000-0000-0000EA290000}"/>
    <cellStyle name="Calc Units (0) 4" xfId="10739" xr:uid="{00000000-0005-0000-0000-0000EB290000}"/>
    <cellStyle name="Calc Units (0) 5" xfId="10740" xr:uid="{00000000-0005-0000-0000-0000EC290000}"/>
    <cellStyle name="Calc Units (0) 6" xfId="10741" xr:uid="{00000000-0005-0000-0000-0000ED290000}"/>
    <cellStyle name="Calc Units (0) 7" xfId="10742" xr:uid="{00000000-0005-0000-0000-0000EE290000}"/>
    <cellStyle name="Calc Units (0) 8" xfId="10743" xr:uid="{00000000-0005-0000-0000-0000EF290000}"/>
    <cellStyle name="Calc Units (0) 9" xfId="10744" xr:uid="{00000000-0005-0000-0000-0000F0290000}"/>
    <cellStyle name="Calc Units (1)" xfId="10745" xr:uid="{00000000-0005-0000-0000-0000F1290000}"/>
    <cellStyle name="Calc Units (1) 10" xfId="10746" xr:uid="{00000000-0005-0000-0000-0000F2290000}"/>
    <cellStyle name="Calc Units (1) 11" xfId="10747" xr:uid="{00000000-0005-0000-0000-0000F3290000}"/>
    <cellStyle name="Calc Units (1) 12" xfId="10748" xr:uid="{00000000-0005-0000-0000-0000F4290000}"/>
    <cellStyle name="Calc Units (1) 13" xfId="10749" xr:uid="{00000000-0005-0000-0000-0000F5290000}"/>
    <cellStyle name="Calc Units (1) 14" xfId="10750" xr:uid="{00000000-0005-0000-0000-0000F6290000}"/>
    <cellStyle name="Calc Units (1) 15" xfId="10751" xr:uid="{00000000-0005-0000-0000-0000F7290000}"/>
    <cellStyle name="Calc Units (1) 16" xfId="10752" xr:uid="{00000000-0005-0000-0000-0000F8290000}"/>
    <cellStyle name="Calc Units (1) 17" xfId="10753" xr:uid="{00000000-0005-0000-0000-0000F9290000}"/>
    <cellStyle name="Calc Units (1) 18" xfId="10754" xr:uid="{00000000-0005-0000-0000-0000FA290000}"/>
    <cellStyle name="Calc Units (1) 19" xfId="10755" xr:uid="{00000000-0005-0000-0000-0000FB290000}"/>
    <cellStyle name="Calc Units (1) 2" xfId="10756" xr:uid="{00000000-0005-0000-0000-0000FC290000}"/>
    <cellStyle name="Calc Units (1) 20" xfId="10757" xr:uid="{00000000-0005-0000-0000-0000FD290000}"/>
    <cellStyle name="Calc Units (1) 21" xfId="10758" xr:uid="{00000000-0005-0000-0000-0000FE290000}"/>
    <cellStyle name="Calc Units (1) 21 2" xfId="10759" xr:uid="{00000000-0005-0000-0000-0000FF290000}"/>
    <cellStyle name="Calc Units (1) 3" xfId="10760" xr:uid="{00000000-0005-0000-0000-0000002A0000}"/>
    <cellStyle name="Calc Units (1) 4" xfId="10761" xr:uid="{00000000-0005-0000-0000-0000012A0000}"/>
    <cellStyle name="Calc Units (1) 5" xfId="10762" xr:uid="{00000000-0005-0000-0000-0000022A0000}"/>
    <cellStyle name="Calc Units (1) 6" xfId="10763" xr:uid="{00000000-0005-0000-0000-0000032A0000}"/>
    <cellStyle name="Calc Units (1) 7" xfId="10764" xr:uid="{00000000-0005-0000-0000-0000042A0000}"/>
    <cellStyle name="Calc Units (1) 8" xfId="10765" xr:uid="{00000000-0005-0000-0000-0000052A0000}"/>
    <cellStyle name="Calc Units (1) 9" xfId="10766" xr:uid="{00000000-0005-0000-0000-0000062A0000}"/>
    <cellStyle name="Calc Units (2)" xfId="10767" xr:uid="{00000000-0005-0000-0000-0000072A0000}"/>
    <cellStyle name="Calc Units (2) 10" xfId="10768" xr:uid="{00000000-0005-0000-0000-0000082A0000}"/>
    <cellStyle name="Calc Units (2) 11" xfId="10769" xr:uid="{00000000-0005-0000-0000-0000092A0000}"/>
    <cellStyle name="Calc Units (2) 12" xfId="10770" xr:uid="{00000000-0005-0000-0000-00000A2A0000}"/>
    <cellStyle name="Calc Units (2) 13" xfId="10771" xr:uid="{00000000-0005-0000-0000-00000B2A0000}"/>
    <cellStyle name="Calc Units (2) 14" xfId="10772" xr:uid="{00000000-0005-0000-0000-00000C2A0000}"/>
    <cellStyle name="Calc Units (2) 15" xfId="10773" xr:uid="{00000000-0005-0000-0000-00000D2A0000}"/>
    <cellStyle name="Calc Units (2) 16" xfId="10774" xr:uid="{00000000-0005-0000-0000-00000E2A0000}"/>
    <cellStyle name="Calc Units (2) 17" xfId="10775" xr:uid="{00000000-0005-0000-0000-00000F2A0000}"/>
    <cellStyle name="Calc Units (2) 18" xfId="10776" xr:uid="{00000000-0005-0000-0000-0000102A0000}"/>
    <cellStyle name="Calc Units (2) 19" xfId="10777" xr:uid="{00000000-0005-0000-0000-0000112A0000}"/>
    <cellStyle name="Calc Units (2) 2" xfId="10778" xr:uid="{00000000-0005-0000-0000-0000122A0000}"/>
    <cellStyle name="Calc Units (2) 20" xfId="10779" xr:uid="{00000000-0005-0000-0000-0000132A0000}"/>
    <cellStyle name="Calc Units (2) 21" xfId="10780" xr:uid="{00000000-0005-0000-0000-0000142A0000}"/>
    <cellStyle name="Calc Units (2) 21 2" xfId="10781" xr:uid="{00000000-0005-0000-0000-0000152A0000}"/>
    <cellStyle name="Calc Units (2) 3" xfId="10782" xr:uid="{00000000-0005-0000-0000-0000162A0000}"/>
    <cellStyle name="Calc Units (2) 4" xfId="10783" xr:uid="{00000000-0005-0000-0000-0000172A0000}"/>
    <cellStyle name="Calc Units (2) 5" xfId="10784" xr:uid="{00000000-0005-0000-0000-0000182A0000}"/>
    <cellStyle name="Calc Units (2) 6" xfId="10785" xr:uid="{00000000-0005-0000-0000-0000192A0000}"/>
    <cellStyle name="Calc Units (2) 7" xfId="10786" xr:uid="{00000000-0005-0000-0000-00001A2A0000}"/>
    <cellStyle name="Calc Units (2) 8" xfId="10787" xr:uid="{00000000-0005-0000-0000-00001B2A0000}"/>
    <cellStyle name="Calc Units (2) 9" xfId="10788" xr:uid="{00000000-0005-0000-0000-00001C2A0000}"/>
    <cellStyle name="Calcs" xfId="10789" xr:uid="{00000000-0005-0000-0000-00001D2A0000}"/>
    <cellStyle name="Calcs 10" xfId="10790" xr:uid="{00000000-0005-0000-0000-00001E2A0000}"/>
    <cellStyle name="Calcs 11" xfId="10791" xr:uid="{00000000-0005-0000-0000-00001F2A0000}"/>
    <cellStyle name="Calcs 12" xfId="10792" xr:uid="{00000000-0005-0000-0000-0000202A0000}"/>
    <cellStyle name="Calcs 13" xfId="10793" xr:uid="{00000000-0005-0000-0000-0000212A0000}"/>
    <cellStyle name="Calcs 14" xfId="10794" xr:uid="{00000000-0005-0000-0000-0000222A0000}"/>
    <cellStyle name="Calcs 15" xfId="10795" xr:uid="{00000000-0005-0000-0000-0000232A0000}"/>
    <cellStyle name="Calcs 16" xfId="10796" xr:uid="{00000000-0005-0000-0000-0000242A0000}"/>
    <cellStyle name="Calcs 17" xfId="10797" xr:uid="{00000000-0005-0000-0000-0000252A0000}"/>
    <cellStyle name="Calcs 18" xfId="10798" xr:uid="{00000000-0005-0000-0000-0000262A0000}"/>
    <cellStyle name="Calcs 19" xfId="10799" xr:uid="{00000000-0005-0000-0000-0000272A0000}"/>
    <cellStyle name="Calcs 2" xfId="10800" xr:uid="{00000000-0005-0000-0000-0000282A0000}"/>
    <cellStyle name="Calcs 20" xfId="10801" xr:uid="{00000000-0005-0000-0000-0000292A0000}"/>
    <cellStyle name="Calcs 21" xfId="10802" xr:uid="{00000000-0005-0000-0000-00002A2A0000}"/>
    <cellStyle name="Calcs 21 2" xfId="10803" xr:uid="{00000000-0005-0000-0000-00002B2A0000}"/>
    <cellStyle name="Calcs 3" xfId="10804" xr:uid="{00000000-0005-0000-0000-00002C2A0000}"/>
    <cellStyle name="Calcs 4" xfId="10805" xr:uid="{00000000-0005-0000-0000-00002D2A0000}"/>
    <cellStyle name="Calcs 5" xfId="10806" xr:uid="{00000000-0005-0000-0000-00002E2A0000}"/>
    <cellStyle name="Calcs 6" xfId="10807" xr:uid="{00000000-0005-0000-0000-00002F2A0000}"/>
    <cellStyle name="Calcs 7" xfId="10808" xr:uid="{00000000-0005-0000-0000-0000302A0000}"/>
    <cellStyle name="Calcs 8" xfId="10809" xr:uid="{00000000-0005-0000-0000-0000312A0000}"/>
    <cellStyle name="Calcs 9" xfId="10810" xr:uid="{00000000-0005-0000-0000-0000322A0000}"/>
    <cellStyle name="Calculation" xfId="35699" builtinId="22" customBuiltin="1"/>
    <cellStyle name="Calculation 10" xfId="10811" xr:uid="{00000000-0005-0000-0000-0000332A0000}"/>
    <cellStyle name="Calculation 11" xfId="10812" xr:uid="{00000000-0005-0000-0000-0000342A0000}"/>
    <cellStyle name="Calculation 12" xfId="10813" xr:uid="{00000000-0005-0000-0000-0000352A0000}"/>
    <cellStyle name="Calculation 13" xfId="10814" xr:uid="{00000000-0005-0000-0000-0000362A0000}"/>
    <cellStyle name="Calculation 14" xfId="10815" xr:uid="{00000000-0005-0000-0000-0000372A0000}"/>
    <cellStyle name="Calculation 15" xfId="10816" xr:uid="{00000000-0005-0000-0000-0000382A0000}"/>
    <cellStyle name="Calculation 16" xfId="10817" xr:uid="{00000000-0005-0000-0000-0000392A0000}"/>
    <cellStyle name="Calculation 17" xfId="10818" xr:uid="{00000000-0005-0000-0000-00003A2A0000}"/>
    <cellStyle name="Calculation 18" xfId="10819" xr:uid="{00000000-0005-0000-0000-00003B2A0000}"/>
    <cellStyle name="Calculation 19" xfId="10820" xr:uid="{00000000-0005-0000-0000-00003C2A0000}"/>
    <cellStyle name="Calculation 2" xfId="10821" xr:uid="{00000000-0005-0000-0000-00003D2A0000}"/>
    <cellStyle name="Calculation 2 2" xfId="10822" xr:uid="{00000000-0005-0000-0000-00003E2A0000}"/>
    <cellStyle name="Calculation 20" xfId="10823" xr:uid="{00000000-0005-0000-0000-00003F2A0000}"/>
    <cellStyle name="Calculation 21" xfId="10824" xr:uid="{00000000-0005-0000-0000-0000402A0000}"/>
    <cellStyle name="Calculation 22" xfId="10825" xr:uid="{00000000-0005-0000-0000-0000412A0000}"/>
    <cellStyle name="Calculation 23" xfId="10826" xr:uid="{00000000-0005-0000-0000-0000422A0000}"/>
    <cellStyle name="Calculation 24" xfId="10827" xr:uid="{00000000-0005-0000-0000-0000432A0000}"/>
    <cellStyle name="Calculation 25" xfId="10828" xr:uid="{00000000-0005-0000-0000-0000442A0000}"/>
    <cellStyle name="Calculation 26" xfId="10829" xr:uid="{00000000-0005-0000-0000-0000452A0000}"/>
    <cellStyle name="Calculation 27" xfId="10830" xr:uid="{00000000-0005-0000-0000-0000462A0000}"/>
    <cellStyle name="Calculation 28" xfId="10831" xr:uid="{00000000-0005-0000-0000-0000472A0000}"/>
    <cellStyle name="Calculation 29" xfId="10832" xr:uid="{00000000-0005-0000-0000-0000482A0000}"/>
    <cellStyle name="Calculation 29 2" xfId="10833" xr:uid="{00000000-0005-0000-0000-0000492A0000}"/>
    <cellStyle name="Calculation 3" xfId="10834" xr:uid="{00000000-0005-0000-0000-00004A2A0000}"/>
    <cellStyle name="Calculation 30" xfId="10835" xr:uid="{00000000-0005-0000-0000-00004B2A0000}"/>
    <cellStyle name="Calculation 31" xfId="10836" xr:uid="{00000000-0005-0000-0000-00004C2A0000}"/>
    <cellStyle name="Calculation 32" xfId="10837" xr:uid="{00000000-0005-0000-0000-00004D2A0000}"/>
    <cellStyle name="Calculation 33" xfId="10838" xr:uid="{00000000-0005-0000-0000-00004E2A0000}"/>
    <cellStyle name="Calculation 34" xfId="10839" xr:uid="{00000000-0005-0000-0000-00004F2A0000}"/>
    <cellStyle name="Calculation 35" xfId="10840" xr:uid="{00000000-0005-0000-0000-0000502A0000}"/>
    <cellStyle name="Calculation 36" xfId="10841" xr:uid="{00000000-0005-0000-0000-0000512A0000}"/>
    <cellStyle name="Calculation 37" xfId="10842" xr:uid="{00000000-0005-0000-0000-0000522A0000}"/>
    <cellStyle name="Calculation 38" xfId="10843" xr:uid="{00000000-0005-0000-0000-0000532A0000}"/>
    <cellStyle name="Calculation 4" xfId="10844" xr:uid="{00000000-0005-0000-0000-0000542A0000}"/>
    <cellStyle name="Calculation 5" xfId="10845" xr:uid="{00000000-0005-0000-0000-0000552A0000}"/>
    <cellStyle name="Calculation 6" xfId="10846" xr:uid="{00000000-0005-0000-0000-0000562A0000}"/>
    <cellStyle name="Calculation 7" xfId="10847" xr:uid="{00000000-0005-0000-0000-0000572A0000}"/>
    <cellStyle name="Calculation 8" xfId="10848" xr:uid="{00000000-0005-0000-0000-0000582A0000}"/>
    <cellStyle name="Calculation 9" xfId="10849" xr:uid="{00000000-0005-0000-0000-0000592A0000}"/>
    <cellStyle name="CalcҐCurrency (0)_laroux" xfId="10850" xr:uid="{00000000-0005-0000-0000-00005A2A0000}"/>
    <cellStyle name="CAPS TITLE" xfId="10851" xr:uid="{00000000-0005-0000-0000-00005B2A0000}"/>
    <cellStyle name="CAPS TITLE 10" xfId="10852" xr:uid="{00000000-0005-0000-0000-00005C2A0000}"/>
    <cellStyle name="CAPS TITLE 11" xfId="10853" xr:uid="{00000000-0005-0000-0000-00005D2A0000}"/>
    <cellStyle name="CAPS TITLE 12" xfId="10854" xr:uid="{00000000-0005-0000-0000-00005E2A0000}"/>
    <cellStyle name="CAPS TITLE 13" xfId="10855" xr:uid="{00000000-0005-0000-0000-00005F2A0000}"/>
    <cellStyle name="CAPS TITLE 14" xfId="10856" xr:uid="{00000000-0005-0000-0000-0000602A0000}"/>
    <cellStyle name="CAPS TITLE 15" xfId="10857" xr:uid="{00000000-0005-0000-0000-0000612A0000}"/>
    <cellStyle name="CAPS TITLE 16" xfId="10858" xr:uid="{00000000-0005-0000-0000-0000622A0000}"/>
    <cellStyle name="CAPS TITLE 17" xfId="10859" xr:uid="{00000000-0005-0000-0000-0000632A0000}"/>
    <cellStyle name="CAPS TITLE 18" xfId="10860" xr:uid="{00000000-0005-0000-0000-0000642A0000}"/>
    <cellStyle name="CAPS TITLE 19" xfId="10861" xr:uid="{00000000-0005-0000-0000-0000652A0000}"/>
    <cellStyle name="CAPS TITLE 2" xfId="10862" xr:uid="{00000000-0005-0000-0000-0000662A0000}"/>
    <cellStyle name="CAPS TITLE 20" xfId="10863" xr:uid="{00000000-0005-0000-0000-0000672A0000}"/>
    <cellStyle name="CAPS TITLE 21" xfId="10864" xr:uid="{00000000-0005-0000-0000-0000682A0000}"/>
    <cellStyle name="CAPS TITLE 21 2" xfId="10865" xr:uid="{00000000-0005-0000-0000-0000692A0000}"/>
    <cellStyle name="CAPS TITLE 3" xfId="10866" xr:uid="{00000000-0005-0000-0000-00006A2A0000}"/>
    <cellStyle name="CAPS TITLE 4" xfId="10867" xr:uid="{00000000-0005-0000-0000-00006B2A0000}"/>
    <cellStyle name="CAPS TITLE 5" xfId="10868" xr:uid="{00000000-0005-0000-0000-00006C2A0000}"/>
    <cellStyle name="CAPS TITLE 6" xfId="10869" xr:uid="{00000000-0005-0000-0000-00006D2A0000}"/>
    <cellStyle name="CAPS TITLE 7" xfId="10870" xr:uid="{00000000-0005-0000-0000-00006E2A0000}"/>
    <cellStyle name="CAPS TITLE 8" xfId="10871" xr:uid="{00000000-0005-0000-0000-00006F2A0000}"/>
    <cellStyle name="CAPS TITLE 9" xfId="10872" xr:uid="{00000000-0005-0000-0000-0000702A0000}"/>
    <cellStyle name="cas" xfId="10873" xr:uid="{00000000-0005-0000-0000-0000712A0000}"/>
    <cellStyle name="Case" xfId="10874" xr:uid="{00000000-0005-0000-0000-0000722A0000}"/>
    <cellStyle name="Case 10" xfId="10875" xr:uid="{00000000-0005-0000-0000-0000732A0000}"/>
    <cellStyle name="Case 11" xfId="10876" xr:uid="{00000000-0005-0000-0000-0000742A0000}"/>
    <cellStyle name="Case 12" xfId="10877" xr:uid="{00000000-0005-0000-0000-0000752A0000}"/>
    <cellStyle name="Case 13" xfId="10878" xr:uid="{00000000-0005-0000-0000-0000762A0000}"/>
    <cellStyle name="Case 14" xfId="10879" xr:uid="{00000000-0005-0000-0000-0000772A0000}"/>
    <cellStyle name="Case 15" xfId="10880" xr:uid="{00000000-0005-0000-0000-0000782A0000}"/>
    <cellStyle name="Case 16" xfId="10881" xr:uid="{00000000-0005-0000-0000-0000792A0000}"/>
    <cellStyle name="Case 17" xfId="10882" xr:uid="{00000000-0005-0000-0000-00007A2A0000}"/>
    <cellStyle name="Case 18" xfId="10883" xr:uid="{00000000-0005-0000-0000-00007B2A0000}"/>
    <cellStyle name="Case 19" xfId="10884" xr:uid="{00000000-0005-0000-0000-00007C2A0000}"/>
    <cellStyle name="Case 2" xfId="10885" xr:uid="{00000000-0005-0000-0000-00007D2A0000}"/>
    <cellStyle name="Case 20" xfId="10886" xr:uid="{00000000-0005-0000-0000-00007E2A0000}"/>
    <cellStyle name="Case 21" xfId="10887" xr:uid="{00000000-0005-0000-0000-00007F2A0000}"/>
    <cellStyle name="Case 21 2" xfId="10888" xr:uid="{00000000-0005-0000-0000-0000802A0000}"/>
    <cellStyle name="Case 3" xfId="10889" xr:uid="{00000000-0005-0000-0000-0000812A0000}"/>
    <cellStyle name="Case 4" xfId="10890" xr:uid="{00000000-0005-0000-0000-0000822A0000}"/>
    <cellStyle name="Case 5" xfId="10891" xr:uid="{00000000-0005-0000-0000-0000832A0000}"/>
    <cellStyle name="Case 6" xfId="10892" xr:uid="{00000000-0005-0000-0000-0000842A0000}"/>
    <cellStyle name="Case 7" xfId="10893" xr:uid="{00000000-0005-0000-0000-0000852A0000}"/>
    <cellStyle name="Case 8" xfId="10894" xr:uid="{00000000-0005-0000-0000-0000862A0000}"/>
    <cellStyle name="Case 9" xfId="10895" xr:uid="{00000000-0005-0000-0000-0000872A0000}"/>
    <cellStyle name="category" xfId="10896" xr:uid="{00000000-0005-0000-0000-0000882A0000}"/>
    <cellStyle name="category 10" xfId="10897" xr:uid="{00000000-0005-0000-0000-0000892A0000}"/>
    <cellStyle name="category 11" xfId="10898" xr:uid="{00000000-0005-0000-0000-00008A2A0000}"/>
    <cellStyle name="category 12" xfId="10899" xr:uid="{00000000-0005-0000-0000-00008B2A0000}"/>
    <cellStyle name="category 13" xfId="10900" xr:uid="{00000000-0005-0000-0000-00008C2A0000}"/>
    <cellStyle name="category 14" xfId="10901" xr:uid="{00000000-0005-0000-0000-00008D2A0000}"/>
    <cellStyle name="category 15" xfId="10902" xr:uid="{00000000-0005-0000-0000-00008E2A0000}"/>
    <cellStyle name="category 16" xfId="10903" xr:uid="{00000000-0005-0000-0000-00008F2A0000}"/>
    <cellStyle name="category 17" xfId="10904" xr:uid="{00000000-0005-0000-0000-0000902A0000}"/>
    <cellStyle name="category 18" xfId="10905" xr:uid="{00000000-0005-0000-0000-0000912A0000}"/>
    <cellStyle name="category 19" xfId="10906" xr:uid="{00000000-0005-0000-0000-0000922A0000}"/>
    <cellStyle name="category 2" xfId="10907" xr:uid="{00000000-0005-0000-0000-0000932A0000}"/>
    <cellStyle name="category 20" xfId="10908" xr:uid="{00000000-0005-0000-0000-0000942A0000}"/>
    <cellStyle name="category 21" xfId="10909" xr:uid="{00000000-0005-0000-0000-0000952A0000}"/>
    <cellStyle name="category 21 2" xfId="10910" xr:uid="{00000000-0005-0000-0000-0000962A0000}"/>
    <cellStyle name="category 3" xfId="10911" xr:uid="{00000000-0005-0000-0000-0000972A0000}"/>
    <cellStyle name="category 4" xfId="10912" xr:uid="{00000000-0005-0000-0000-0000982A0000}"/>
    <cellStyle name="category 5" xfId="10913" xr:uid="{00000000-0005-0000-0000-0000992A0000}"/>
    <cellStyle name="category 6" xfId="10914" xr:uid="{00000000-0005-0000-0000-00009A2A0000}"/>
    <cellStyle name="category 7" xfId="10915" xr:uid="{00000000-0005-0000-0000-00009B2A0000}"/>
    <cellStyle name="category 8" xfId="10916" xr:uid="{00000000-0005-0000-0000-00009C2A0000}"/>
    <cellStyle name="category 9" xfId="10917" xr:uid="{00000000-0005-0000-0000-00009D2A0000}"/>
    <cellStyle name="CategoryStyle" xfId="10918" xr:uid="{00000000-0005-0000-0000-00009E2A0000}"/>
    <cellStyle name="CategoryStyle 10" xfId="10919" xr:uid="{00000000-0005-0000-0000-00009F2A0000}"/>
    <cellStyle name="CategoryStyle 11" xfId="10920" xr:uid="{00000000-0005-0000-0000-0000A02A0000}"/>
    <cellStyle name="CategoryStyle 12" xfId="10921" xr:uid="{00000000-0005-0000-0000-0000A12A0000}"/>
    <cellStyle name="CategoryStyle 13" xfId="10922" xr:uid="{00000000-0005-0000-0000-0000A22A0000}"/>
    <cellStyle name="CategoryStyle 14" xfId="10923" xr:uid="{00000000-0005-0000-0000-0000A32A0000}"/>
    <cellStyle name="CategoryStyle 15" xfId="10924" xr:uid="{00000000-0005-0000-0000-0000A42A0000}"/>
    <cellStyle name="CategoryStyle 16" xfId="10925" xr:uid="{00000000-0005-0000-0000-0000A52A0000}"/>
    <cellStyle name="CategoryStyle 17" xfId="10926" xr:uid="{00000000-0005-0000-0000-0000A62A0000}"/>
    <cellStyle name="CategoryStyle 18" xfId="10927" xr:uid="{00000000-0005-0000-0000-0000A72A0000}"/>
    <cellStyle name="CategoryStyle 19" xfId="10928" xr:uid="{00000000-0005-0000-0000-0000A82A0000}"/>
    <cellStyle name="CategoryStyle 2" xfId="10929" xr:uid="{00000000-0005-0000-0000-0000A92A0000}"/>
    <cellStyle name="CategoryStyle 20" xfId="10930" xr:uid="{00000000-0005-0000-0000-0000AA2A0000}"/>
    <cellStyle name="CategoryStyle 21" xfId="10931" xr:uid="{00000000-0005-0000-0000-0000AB2A0000}"/>
    <cellStyle name="CategoryStyle 21 2" xfId="10932" xr:uid="{00000000-0005-0000-0000-0000AC2A0000}"/>
    <cellStyle name="CategoryStyle 3" xfId="10933" xr:uid="{00000000-0005-0000-0000-0000AD2A0000}"/>
    <cellStyle name="CategoryStyle 4" xfId="10934" xr:uid="{00000000-0005-0000-0000-0000AE2A0000}"/>
    <cellStyle name="CategoryStyle 5" xfId="10935" xr:uid="{00000000-0005-0000-0000-0000AF2A0000}"/>
    <cellStyle name="CategoryStyle 6" xfId="10936" xr:uid="{00000000-0005-0000-0000-0000B02A0000}"/>
    <cellStyle name="CategoryStyle 7" xfId="10937" xr:uid="{00000000-0005-0000-0000-0000B12A0000}"/>
    <cellStyle name="CategoryStyle 8" xfId="10938" xr:uid="{00000000-0005-0000-0000-0000B22A0000}"/>
    <cellStyle name="CategoryStyle 9" xfId="10939" xr:uid="{00000000-0005-0000-0000-0000B32A0000}"/>
    <cellStyle name="CategoryStyle_Dist Summary_11.XX.09" xfId="10940" xr:uid="{00000000-0005-0000-0000-0000B42A0000}"/>
    <cellStyle name="CellStyle" xfId="10941" xr:uid="{00000000-0005-0000-0000-0000B52A0000}"/>
    <cellStyle name="CellStyle 10" xfId="10942" xr:uid="{00000000-0005-0000-0000-0000B62A0000}"/>
    <cellStyle name="CellStyle 11" xfId="10943" xr:uid="{00000000-0005-0000-0000-0000B72A0000}"/>
    <cellStyle name="CellStyle 12" xfId="10944" xr:uid="{00000000-0005-0000-0000-0000B82A0000}"/>
    <cellStyle name="CellStyle 13" xfId="10945" xr:uid="{00000000-0005-0000-0000-0000B92A0000}"/>
    <cellStyle name="CellStyle 14" xfId="10946" xr:uid="{00000000-0005-0000-0000-0000BA2A0000}"/>
    <cellStyle name="CellStyle 15" xfId="10947" xr:uid="{00000000-0005-0000-0000-0000BB2A0000}"/>
    <cellStyle name="CellStyle 16" xfId="10948" xr:uid="{00000000-0005-0000-0000-0000BC2A0000}"/>
    <cellStyle name="CellStyle 17" xfId="10949" xr:uid="{00000000-0005-0000-0000-0000BD2A0000}"/>
    <cellStyle name="CellStyle 18" xfId="10950" xr:uid="{00000000-0005-0000-0000-0000BE2A0000}"/>
    <cellStyle name="CellStyle 19" xfId="10951" xr:uid="{00000000-0005-0000-0000-0000BF2A0000}"/>
    <cellStyle name="CellStyle 2" xfId="10952" xr:uid="{00000000-0005-0000-0000-0000C02A0000}"/>
    <cellStyle name="CellStyle 2 2" xfId="10953" xr:uid="{00000000-0005-0000-0000-0000C12A0000}"/>
    <cellStyle name="CellStyle 20" xfId="10954" xr:uid="{00000000-0005-0000-0000-0000C22A0000}"/>
    <cellStyle name="CellStyle 21" xfId="10955" xr:uid="{00000000-0005-0000-0000-0000C32A0000}"/>
    <cellStyle name="CellStyle 22" xfId="10956" xr:uid="{00000000-0005-0000-0000-0000C42A0000}"/>
    <cellStyle name="CellStyle 23" xfId="10957" xr:uid="{00000000-0005-0000-0000-0000C52A0000}"/>
    <cellStyle name="CellStyle 23 2" xfId="10958" xr:uid="{00000000-0005-0000-0000-0000C62A0000}"/>
    <cellStyle name="CellStyle 3" xfId="10959" xr:uid="{00000000-0005-0000-0000-0000C72A0000}"/>
    <cellStyle name="CellStyle 3 2" xfId="10960" xr:uid="{00000000-0005-0000-0000-0000C82A0000}"/>
    <cellStyle name="CellStyle 4" xfId="10961" xr:uid="{00000000-0005-0000-0000-0000C92A0000}"/>
    <cellStyle name="CellStyle 5" xfId="10962" xr:uid="{00000000-0005-0000-0000-0000CA2A0000}"/>
    <cellStyle name="CellStyle 6" xfId="10963" xr:uid="{00000000-0005-0000-0000-0000CB2A0000}"/>
    <cellStyle name="CellStyle 7" xfId="10964" xr:uid="{00000000-0005-0000-0000-0000CC2A0000}"/>
    <cellStyle name="CellStyle 8" xfId="10965" xr:uid="{00000000-0005-0000-0000-0000CD2A0000}"/>
    <cellStyle name="CellStyle 9" xfId="10966" xr:uid="{00000000-0005-0000-0000-0000CE2A0000}"/>
    <cellStyle name="Center Across" xfId="10967" xr:uid="{00000000-0005-0000-0000-0000CF2A0000}"/>
    <cellStyle name="Center Across 10" xfId="10968" xr:uid="{00000000-0005-0000-0000-0000D02A0000}"/>
    <cellStyle name="Center Across 11" xfId="10969" xr:uid="{00000000-0005-0000-0000-0000D12A0000}"/>
    <cellStyle name="Center Across 12" xfId="10970" xr:uid="{00000000-0005-0000-0000-0000D22A0000}"/>
    <cellStyle name="Center Across 13" xfId="10971" xr:uid="{00000000-0005-0000-0000-0000D32A0000}"/>
    <cellStyle name="Center Across 14" xfId="10972" xr:uid="{00000000-0005-0000-0000-0000D42A0000}"/>
    <cellStyle name="Center Across 15" xfId="10973" xr:uid="{00000000-0005-0000-0000-0000D52A0000}"/>
    <cellStyle name="Center Across 16" xfId="10974" xr:uid="{00000000-0005-0000-0000-0000D62A0000}"/>
    <cellStyle name="Center Across 17" xfId="10975" xr:uid="{00000000-0005-0000-0000-0000D72A0000}"/>
    <cellStyle name="Center Across 18" xfId="10976" xr:uid="{00000000-0005-0000-0000-0000D82A0000}"/>
    <cellStyle name="Center Across 19" xfId="10977" xr:uid="{00000000-0005-0000-0000-0000D92A0000}"/>
    <cellStyle name="Center Across 2" xfId="10978" xr:uid="{00000000-0005-0000-0000-0000DA2A0000}"/>
    <cellStyle name="Center Across 20" xfId="10979" xr:uid="{00000000-0005-0000-0000-0000DB2A0000}"/>
    <cellStyle name="Center Across 21" xfId="10980" xr:uid="{00000000-0005-0000-0000-0000DC2A0000}"/>
    <cellStyle name="Center Across 21 2" xfId="10981" xr:uid="{00000000-0005-0000-0000-0000DD2A0000}"/>
    <cellStyle name="Center Across 3" xfId="10982" xr:uid="{00000000-0005-0000-0000-0000DE2A0000}"/>
    <cellStyle name="Center Across 4" xfId="10983" xr:uid="{00000000-0005-0000-0000-0000DF2A0000}"/>
    <cellStyle name="Center Across 5" xfId="10984" xr:uid="{00000000-0005-0000-0000-0000E02A0000}"/>
    <cellStyle name="Center Across 6" xfId="10985" xr:uid="{00000000-0005-0000-0000-0000E12A0000}"/>
    <cellStyle name="Center Across 7" xfId="10986" xr:uid="{00000000-0005-0000-0000-0000E22A0000}"/>
    <cellStyle name="Center Across 8" xfId="10987" xr:uid="{00000000-0005-0000-0000-0000E32A0000}"/>
    <cellStyle name="Center Across 9" xfId="10988" xr:uid="{00000000-0005-0000-0000-0000E42A0000}"/>
    <cellStyle name="Centered Heading" xfId="10989" xr:uid="{00000000-0005-0000-0000-0000E52A0000}"/>
    <cellStyle name="Centered Heading 10" xfId="10990" xr:uid="{00000000-0005-0000-0000-0000E62A0000}"/>
    <cellStyle name="Centered Heading 11" xfId="10991" xr:uid="{00000000-0005-0000-0000-0000E72A0000}"/>
    <cellStyle name="Centered Heading 12" xfId="10992" xr:uid="{00000000-0005-0000-0000-0000E82A0000}"/>
    <cellStyle name="Centered Heading 13" xfId="10993" xr:uid="{00000000-0005-0000-0000-0000E92A0000}"/>
    <cellStyle name="Centered Heading 14" xfId="10994" xr:uid="{00000000-0005-0000-0000-0000EA2A0000}"/>
    <cellStyle name="Centered Heading 15" xfId="10995" xr:uid="{00000000-0005-0000-0000-0000EB2A0000}"/>
    <cellStyle name="Centered Heading 16" xfId="10996" xr:uid="{00000000-0005-0000-0000-0000EC2A0000}"/>
    <cellStyle name="Centered Heading 17" xfId="10997" xr:uid="{00000000-0005-0000-0000-0000ED2A0000}"/>
    <cellStyle name="Centered Heading 18" xfId="10998" xr:uid="{00000000-0005-0000-0000-0000EE2A0000}"/>
    <cellStyle name="Centered Heading 19" xfId="10999" xr:uid="{00000000-0005-0000-0000-0000EF2A0000}"/>
    <cellStyle name="Centered Heading 2" xfId="11000" xr:uid="{00000000-0005-0000-0000-0000F02A0000}"/>
    <cellStyle name="Centered Heading 20" xfId="11001" xr:uid="{00000000-0005-0000-0000-0000F12A0000}"/>
    <cellStyle name="Centered Heading 21" xfId="11002" xr:uid="{00000000-0005-0000-0000-0000F22A0000}"/>
    <cellStyle name="Centered Heading 22" xfId="11003" xr:uid="{00000000-0005-0000-0000-0000F32A0000}"/>
    <cellStyle name="Centered Heading 23" xfId="11004" xr:uid="{00000000-0005-0000-0000-0000F42A0000}"/>
    <cellStyle name="Centered Heading 24" xfId="11005" xr:uid="{00000000-0005-0000-0000-0000F52A0000}"/>
    <cellStyle name="Centered Heading 25" xfId="11006" xr:uid="{00000000-0005-0000-0000-0000F62A0000}"/>
    <cellStyle name="Centered Heading 26" xfId="11007" xr:uid="{00000000-0005-0000-0000-0000F72A0000}"/>
    <cellStyle name="Centered Heading 27" xfId="11008" xr:uid="{00000000-0005-0000-0000-0000F82A0000}"/>
    <cellStyle name="Centered Heading 28" xfId="11009" xr:uid="{00000000-0005-0000-0000-0000F92A0000}"/>
    <cellStyle name="Centered Heading 29" xfId="11010" xr:uid="{00000000-0005-0000-0000-0000FA2A0000}"/>
    <cellStyle name="Centered Heading 3" xfId="11011" xr:uid="{00000000-0005-0000-0000-0000FB2A0000}"/>
    <cellStyle name="Centered Heading 30" xfId="11012" xr:uid="{00000000-0005-0000-0000-0000FC2A0000}"/>
    <cellStyle name="Centered Heading 31" xfId="11013" xr:uid="{00000000-0005-0000-0000-0000FD2A0000}"/>
    <cellStyle name="Centered Heading 31 2" xfId="11014" xr:uid="{00000000-0005-0000-0000-0000FE2A0000}"/>
    <cellStyle name="Centered Heading 32" xfId="11015" xr:uid="{00000000-0005-0000-0000-0000FF2A0000}"/>
    <cellStyle name="Centered Heading 33" xfId="11016" xr:uid="{00000000-0005-0000-0000-0000002B0000}"/>
    <cellStyle name="Centered Heading 34" xfId="11017" xr:uid="{00000000-0005-0000-0000-0000012B0000}"/>
    <cellStyle name="Centered Heading 35" xfId="11018" xr:uid="{00000000-0005-0000-0000-0000022B0000}"/>
    <cellStyle name="Centered Heading 36" xfId="11019" xr:uid="{00000000-0005-0000-0000-0000032B0000}"/>
    <cellStyle name="Centered Heading 37" xfId="11020" xr:uid="{00000000-0005-0000-0000-0000042B0000}"/>
    <cellStyle name="Centered Heading 38" xfId="11021" xr:uid="{00000000-0005-0000-0000-0000052B0000}"/>
    <cellStyle name="Centered Heading 39" xfId="11022" xr:uid="{00000000-0005-0000-0000-0000062B0000}"/>
    <cellStyle name="Centered Heading 4" xfId="11023" xr:uid="{00000000-0005-0000-0000-0000072B0000}"/>
    <cellStyle name="Centered Heading 40" xfId="11024" xr:uid="{00000000-0005-0000-0000-0000082B0000}"/>
    <cellStyle name="Centered Heading 41" xfId="11025" xr:uid="{00000000-0005-0000-0000-0000092B0000}"/>
    <cellStyle name="Centered Heading 42" xfId="11026" xr:uid="{00000000-0005-0000-0000-00000A2B0000}"/>
    <cellStyle name="Centered Heading 43" xfId="11027" xr:uid="{00000000-0005-0000-0000-00000B2B0000}"/>
    <cellStyle name="Centered Heading 44" xfId="11028" xr:uid="{00000000-0005-0000-0000-00000C2B0000}"/>
    <cellStyle name="Centered Heading 45" xfId="11029" xr:uid="{00000000-0005-0000-0000-00000D2B0000}"/>
    <cellStyle name="Centered Heading 46" xfId="11030" xr:uid="{00000000-0005-0000-0000-00000E2B0000}"/>
    <cellStyle name="Centered Heading 5" xfId="11031" xr:uid="{00000000-0005-0000-0000-00000F2B0000}"/>
    <cellStyle name="Centered Heading 6" xfId="11032" xr:uid="{00000000-0005-0000-0000-0000102B0000}"/>
    <cellStyle name="Centered Heading 7" xfId="11033" xr:uid="{00000000-0005-0000-0000-0000112B0000}"/>
    <cellStyle name="Centered Heading 8" xfId="11034" xr:uid="{00000000-0005-0000-0000-0000122B0000}"/>
    <cellStyle name="Centered Heading 9" xfId="11035" xr:uid="{00000000-0005-0000-0000-0000132B0000}"/>
    <cellStyle name="Changeable" xfId="11036" xr:uid="{00000000-0005-0000-0000-0000142B0000}"/>
    <cellStyle name="Changeable 10" xfId="11037" xr:uid="{00000000-0005-0000-0000-0000152B0000}"/>
    <cellStyle name="Changeable 11" xfId="11038" xr:uid="{00000000-0005-0000-0000-0000162B0000}"/>
    <cellStyle name="Changeable 12" xfId="11039" xr:uid="{00000000-0005-0000-0000-0000172B0000}"/>
    <cellStyle name="Changeable 13" xfId="11040" xr:uid="{00000000-0005-0000-0000-0000182B0000}"/>
    <cellStyle name="Changeable 14" xfId="11041" xr:uid="{00000000-0005-0000-0000-0000192B0000}"/>
    <cellStyle name="Changeable 15" xfId="11042" xr:uid="{00000000-0005-0000-0000-00001A2B0000}"/>
    <cellStyle name="Changeable 16" xfId="11043" xr:uid="{00000000-0005-0000-0000-00001B2B0000}"/>
    <cellStyle name="Changeable 17" xfId="11044" xr:uid="{00000000-0005-0000-0000-00001C2B0000}"/>
    <cellStyle name="Changeable 18" xfId="11045" xr:uid="{00000000-0005-0000-0000-00001D2B0000}"/>
    <cellStyle name="Changeable 19" xfId="11046" xr:uid="{00000000-0005-0000-0000-00001E2B0000}"/>
    <cellStyle name="Changeable 2" xfId="11047" xr:uid="{00000000-0005-0000-0000-00001F2B0000}"/>
    <cellStyle name="Changeable 20" xfId="11048" xr:uid="{00000000-0005-0000-0000-0000202B0000}"/>
    <cellStyle name="Changeable 21" xfId="11049" xr:uid="{00000000-0005-0000-0000-0000212B0000}"/>
    <cellStyle name="Changeable 21 2" xfId="11050" xr:uid="{00000000-0005-0000-0000-0000222B0000}"/>
    <cellStyle name="Changeable 3" xfId="11051" xr:uid="{00000000-0005-0000-0000-0000232B0000}"/>
    <cellStyle name="Changeable 4" xfId="11052" xr:uid="{00000000-0005-0000-0000-0000242B0000}"/>
    <cellStyle name="Changeable 5" xfId="11053" xr:uid="{00000000-0005-0000-0000-0000252B0000}"/>
    <cellStyle name="Changeable 6" xfId="11054" xr:uid="{00000000-0005-0000-0000-0000262B0000}"/>
    <cellStyle name="Changeable 7" xfId="11055" xr:uid="{00000000-0005-0000-0000-0000272B0000}"/>
    <cellStyle name="Changeable 8" xfId="11056" xr:uid="{00000000-0005-0000-0000-0000282B0000}"/>
    <cellStyle name="Changeable 9" xfId="11057" xr:uid="{00000000-0005-0000-0000-0000292B0000}"/>
    <cellStyle name="Chart Fonts" xfId="11058" xr:uid="{00000000-0005-0000-0000-00002A2B0000}"/>
    <cellStyle name="Chart Fonts 10" xfId="11059" xr:uid="{00000000-0005-0000-0000-00002B2B0000}"/>
    <cellStyle name="Chart Fonts 11" xfId="11060" xr:uid="{00000000-0005-0000-0000-00002C2B0000}"/>
    <cellStyle name="Chart Fonts 12" xfId="11061" xr:uid="{00000000-0005-0000-0000-00002D2B0000}"/>
    <cellStyle name="Chart Fonts 13" xfId="11062" xr:uid="{00000000-0005-0000-0000-00002E2B0000}"/>
    <cellStyle name="Chart Fonts 14" xfId="11063" xr:uid="{00000000-0005-0000-0000-00002F2B0000}"/>
    <cellStyle name="Chart Fonts 15" xfId="11064" xr:uid="{00000000-0005-0000-0000-0000302B0000}"/>
    <cellStyle name="Chart Fonts 16" xfId="11065" xr:uid="{00000000-0005-0000-0000-0000312B0000}"/>
    <cellStyle name="Chart Fonts 17" xfId="11066" xr:uid="{00000000-0005-0000-0000-0000322B0000}"/>
    <cellStyle name="Chart Fonts 18" xfId="11067" xr:uid="{00000000-0005-0000-0000-0000332B0000}"/>
    <cellStyle name="Chart Fonts 19" xfId="11068" xr:uid="{00000000-0005-0000-0000-0000342B0000}"/>
    <cellStyle name="Chart Fonts 2" xfId="11069" xr:uid="{00000000-0005-0000-0000-0000352B0000}"/>
    <cellStyle name="Chart Fonts 20" xfId="11070" xr:uid="{00000000-0005-0000-0000-0000362B0000}"/>
    <cellStyle name="Chart Fonts 21" xfId="11071" xr:uid="{00000000-0005-0000-0000-0000372B0000}"/>
    <cellStyle name="Chart Fonts 21 2" xfId="11072" xr:uid="{00000000-0005-0000-0000-0000382B0000}"/>
    <cellStyle name="Chart Fonts 3" xfId="11073" xr:uid="{00000000-0005-0000-0000-0000392B0000}"/>
    <cellStyle name="Chart Fonts 4" xfId="11074" xr:uid="{00000000-0005-0000-0000-00003A2B0000}"/>
    <cellStyle name="Chart Fonts 5" xfId="11075" xr:uid="{00000000-0005-0000-0000-00003B2B0000}"/>
    <cellStyle name="Chart Fonts 6" xfId="11076" xr:uid="{00000000-0005-0000-0000-00003C2B0000}"/>
    <cellStyle name="Chart Fonts 7" xfId="11077" xr:uid="{00000000-0005-0000-0000-00003D2B0000}"/>
    <cellStyle name="Chart Fonts 8" xfId="11078" xr:uid="{00000000-0005-0000-0000-00003E2B0000}"/>
    <cellStyle name="Chart Fonts 9" xfId="11079" xr:uid="{00000000-0005-0000-0000-00003F2B0000}"/>
    <cellStyle name="ChartingText" xfId="11080" xr:uid="{00000000-0005-0000-0000-0000402B0000}"/>
    <cellStyle name="ChartingText 10" xfId="11081" xr:uid="{00000000-0005-0000-0000-0000412B0000}"/>
    <cellStyle name="ChartingText 10 2" xfId="11082" xr:uid="{00000000-0005-0000-0000-0000422B0000}"/>
    <cellStyle name="ChartingText 11" xfId="11083" xr:uid="{00000000-0005-0000-0000-0000432B0000}"/>
    <cellStyle name="ChartingText 12" xfId="11084" xr:uid="{00000000-0005-0000-0000-0000442B0000}"/>
    <cellStyle name="ChartingText 13" xfId="11085" xr:uid="{00000000-0005-0000-0000-0000452B0000}"/>
    <cellStyle name="ChartingText 14" xfId="11086" xr:uid="{00000000-0005-0000-0000-0000462B0000}"/>
    <cellStyle name="ChartingText 15" xfId="11087" xr:uid="{00000000-0005-0000-0000-0000472B0000}"/>
    <cellStyle name="ChartingText 16" xfId="11088" xr:uid="{00000000-0005-0000-0000-0000482B0000}"/>
    <cellStyle name="ChartingText 17" xfId="11089" xr:uid="{00000000-0005-0000-0000-0000492B0000}"/>
    <cellStyle name="ChartingText 18" xfId="11090" xr:uid="{00000000-0005-0000-0000-00004A2B0000}"/>
    <cellStyle name="ChartingText 19" xfId="11091" xr:uid="{00000000-0005-0000-0000-00004B2B0000}"/>
    <cellStyle name="ChartingText 2" xfId="11092" xr:uid="{00000000-0005-0000-0000-00004C2B0000}"/>
    <cellStyle name="ChartingText 2 2" xfId="11093" xr:uid="{00000000-0005-0000-0000-00004D2B0000}"/>
    <cellStyle name="ChartingText 20" xfId="11094" xr:uid="{00000000-0005-0000-0000-00004E2B0000}"/>
    <cellStyle name="ChartingText 21" xfId="11095" xr:uid="{00000000-0005-0000-0000-00004F2B0000}"/>
    <cellStyle name="ChartingText 22" xfId="11096" xr:uid="{00000000-0005-0000-0000-0000502B0000}"/>
    <cellStyle name="ChartingText 23" xfId="11097" xr:uid="{00000000-0005-0000-0000-0000512B0000}"/>
    <cellStyle name="ChartingText 24" xfId="11098" xr:uid="{00000000-0005-0000-0000-0000522B0000}"/>
    <cellStyle name="ChartingText 25" xfId="11099" xr:uid="{00000000-0005-0000-0000-0000532B0000}"/>
    <cellStyle name="ChartingText 25 2" xfId="11100" xr:uid="{00000000-0005-0000-0000-0000542B0000}"/>
    <cellStyle name="ChartingText 26" xfId="11101" xr:uid="{00000000-0005-0000-0000-0000552B0000}"/>
    <cellStyle name="ChartingText 26 2" xfId="11102" xr:uid="{00000000-0005-0000-0000-0000562B0000}"/>
    <cellStyle name="ChartingText 27" xfId="11103" xr:uid="{00000000-0005-0000-0000-0000572B0000}"/>
    <cellStyle name="ChartingText 28" xfId="11104" xr:uid="{00000000-0005-0000-0000-0000582B0000}"/>
    <cellStyle name="ChartingText 29" xfId="11105" xr:uid="{00000000-0005-0000-0000-0000592B0000}"/>
    <cellStyle name="ChartingText 3" xfId="11106" xr:uid="{00000000-0005-0000-0000-00005A2B0000}"/>
    <cellStyle name="ChartingText 3 2" xfId="11107" xr:uid="{00000000-0005-0000-0000-00005B2B0000}"/>
    <cellStyle name="ChartingText 30" xfId="11108" xr:uid="{00000000-0005-0000-0000-00005C2B0000}"/>
    <cellStyle name="ChartingText 31" xfId="11109" xr:uid="{00000000-0005-0000-0000-00005D2B0000}"/>
    <cellStyle name="ChartingText 31 2" xfId="11110" xr:uid="{00000000-0005-0000-0000-00005E2B0000}"/>
    <cellStyle name="ChartingText 32" xfId="11111" xr:uid="{00000000-0005-0000-0000-00005F2B0000}"/>
    <cellStyle name="ChartingText 33" xfId="11112" xr:uid="{00000000-0005-0000-0000-0000602B0000}"/>
    <cellStyle name="ChartingText 34" xfId="11113" xr:uid="{00000000-0005-0000-0000-0000612B0000}"/>
    <cellStyle name="ChartingText 35" xfId="11114" xr:uid="{00000000-0005-0000-0000-0000622B0000}"/>
    <cellStyle name="ChartingText 36" xfId="11115" xr:uid="{00000000-0005-0000-0000-0000632B0000}"/>
    <cellStyle name="ChartingText 37" xfId="11116" xr:uid="{00000000-0005-0000-0000-0000642B0000}"/>
    <cellStyle name="ChartingText 38" xfId="11117" xr:uid="{00000000-0005-0000-0000-0000652B0000}"/>
    <cellStyle name="ChartingText 39" xfId="11118" xr:uid="{00000000-0005-0000-0000-0000662B0000}"/>
    <cellStyle name="ChartingText 4" xfId="11119" xr:uid="{00000000-0005-0000-0000-0000672B0000}"/>
    <cellStyle name="ChartingText 40" xfId="11120" xr:uid="{00000000-0005-0000-0000-0000682B0000}"/>
    <cellStyle name="ChartingText 5" xfId="11121" xr:uid="{00000000-0005-0000-0000-0000692B0000}"/>
    <cellStyle name="ChartingText 5 2" xfId="11122" xr:uid="{00000000-0005-0000-0000-00006A2B0000}"/>
    <cellStyle name="ChartingText 6" xfId="11123" xr:uid="{00000000-0005-0000-0000-00006B2B0000}"/>
    <cellStyle name="ChartingText 6 2" xfId="11124" xr:uid="{00000000-0005-0000-0000-00006C2B0000}"/>
    <cellStyle name="ChartingText 7" xfId="11125" xr:uid="{00000000-0005-0000-0000-00006D2B0000}"/>
    <cellStyle name="ChartingText 7 2" xfId="11126" xr:uid="{00000000-0005-0000-0000-00006E2B0000}"/>
    <cellStyle name="ChartingText 8" xfId="11127" xr:uid="{00000000-0005-0000-0000-00006F2B0000}"/>
    <cellStyle name="ChartingText 8 2" xfId="11128" xr:uid="{00000000-0005-0000-0000-0000702B0000}"/>
    <cellStyle name="ChartingText 9" xfId="11129" xr:uid="{00000000-0005-0000-0000-0000712B0000}"/>
    <cellStyle name="ChartingText 9 2" xfId="11130" xr:uid="{00000000-0005-0000-0000-0000722B0000}"/>
    <cellStyle name="Check Cell" xfId="35701" builtinId="23" customBuiltin="1"/>
    <cellStyle name="Check Cell 10" xfId="11131" xr:uid="{00000000-0005-0000-0000-0000732B0000}"/>
    <cellStyle name="Check Cell 11" xfId="11132" xr:uid="{00000000-0005-0000-0000-0000742B0000}"/>
    <cellStyle name="Check Cell 12" xfId="11133" xr:uid="{00000000-0005-0000-0000-0000752B0000}"/>
    <cellStyle name="Check Cell 13" xfId="11134" xr:uid="{00000000-0005-0000-0000-0000762B0000}"/>
    <cellStyle name="Check Cell 14" xfId="11135" xr:uid="{00000000-0005-0000-0000-0000772B0000}"/>
    <cellStyle name="Check Cell 15" xfId="11136" xr:uid="{00000000-0005-0000-0000-0000782B0000}"/>
    <cellStyle name="Check Cell 16" xfId="11137" xr:uid="{00000000-0005-0000-0000-0000792B0000}"/>
    <cellStyle name="Check Cell 17" xfId="11138" xr:uid="{00000000-0005-0000-0000-00007A2B0000}"/>
    <cellStyle name="Check Cell 18" xfId="11139" xr:uid="{00000000-0005-0000-0000-00007B2B0000}"/>
    <cellStyle name="Check Cell 19" xfId="11140" xr:uid="{00000000-0005-0000-0000-00007C2B0000}"/>
    <cellStyle name="Check Cell 2" xfId="11141" xr:uid="{00000000-0005-0000-0000-00007D2B0000}"/>
    <cellStyle name="Check Cell 2 2" xfId="11142" xr:uid="{00000000-0005-0000-0000-00007E2B0000}"/>
    <cellStyle name="Check Cell 20" xfId="11143" xr:uid="{00000000-0005-0000-0000-00007F2B0000}"/>
    <cellStyle name="Check Cell 21" xfId="11144" xr:uid="{00000000-0005-0000-0000-0000802B0000}"/>
    <cellStyle name="Check Cell 22" xfId="11145" xr:uid="{00000000-0005-0000-0000-0000812B0000}"/>
    <cellStyle name="Check Cell 23" xfId="11146" xr:uid="{00000000-0005-0000-0000-0000822B0000}"/>
    <cellStyle name="Check Cell 24" xfId="11147" xr:uid="{00000000-0005-0000-0000-0000832B0000}"/>
    <cellStyle name="Check Cell 25" xfId="11148" xr:uid="{00000000-0005-0000-0000-0000842B0000}"/>
    <cellStyle name="Check Cell 26" xfId="11149" xr:uid="{00000000-0005-0000-0000-0000852B0000}"/>
    <cellStyle name="Check Cell 27" xfId="11150" xr:uid="{00000000-0005-0000-0000-0000862B0000}"/>
    <cellStyle name="Check Cell 28" xfId="11151" xr:uid="{00000000-0005-0000-0000-0000872B0000}"/>
    <cellStyle name="Check Cell 29" xfId="11152" xr:uid="{00000000-0005-0000-0000-0000882B0000}"/>
    <cellStyle name="Check Cell 29 2" xfId="11153" xr:uid="{00000000-0005-0000-0000-0000892B0000}"/>
    <cellStyle name="Check Cell 3" xfId="11154" xr:uid="{00000000-0005-0000-0000-00008A2B0000}"/>
    <cellStyle name="Check Cell 30" xfId="11155" xr:uid="{00000000-0005-0000-0000-00008B2B0000}"/>
    <cellStyle name="Check Cell 31" xfId="11156" xr:uid="{00000000-0005-0000-0000-00008C2B0000}"/>
    <cellStyle name="Check Cell 32" xfId="11157" xr:uid="{00000000-0005-0000-0000-00008D2B0000}"/>
    <cellStyle name="Check Cell 33" xfId="11158" xr:uid="{00000000-0005-0000-0000-00008E2B0000}"/>
    <cellStyle name="Check Cell 34" xfId="11159" xr:uid="{00000000-0005-0000-0000-00008F2B0000}"/>
    <cellStyle name="Check Cell 35" xfId="11160" xr:uid="{00000000-0005-0000-0000-0000902B0000}"/>
    <cellStyle name="Check Cell 36" xfId="11161" xr:uid="{00000000-0005-0000-0000-0000912B0000}"/>
    <cellStyle name="Check Cell 37" xfId="11162" xr:uid="{00000000-0005-0000-0000-0000922B0000}"/>
    <cellStyle name="Check Cell 38" xfId="11163" xr:uid="{00000000-0005-0000-0000-0000932B0000}"/>
    <cellStyle name="Check Cell 4" xfId="11164" xr:uid="{00000000-0005-0000-0000-0000942B0000}"/>
    <cellStyle name="Check Cell 5" xfId="11165" xr:uid="{00000000-0005-0000-0000-0000952B0000}"/>
    <cellStyle name="Check Cell 6" xfId="11166" xr:uid="{00000000-0005-0000-0000-0000962B0000}"/>
    <cellStyle name="Check Cell 7" xfId="11167" xr:uid="{00000000-0005-0000-0000-0000972B0000}"/>
    <cellStyle name="Check Cell 8" xfId="11168" xr:uid="{00000000-0005-0000-0000-0000982B0000}"/>
    <cellStyle name="Check Cell 9" xfId="11169" xr:uid="{00000000-0005-0000-0000-0000992B0000}"/>
    <cellStyle name="Clean" xfId="11170" xr:uid="{00000000-0005-0000-0000-00009A2B0000}"/>
    <cellStyle name="Clean 10" xfId="11171" xr:uid="{00000000-0005-0000-0000-00009B2B0000}"/>
    <cellStyle name="Clean 11" xfId="11172" xr:uid="{00000000-0005-0000-0000-00009C2B0000}"/>
    <cellStyle name="Clean 12" xfId="11173" xr:uid="{00000000-0005-0000-0000-00009D2B0000}"/>
    <cellStyle name="Clean 13" xfId="11174" xr:uid="{00000000-0005-0000-0000-00009E2B0000}"/>
    <cellStyle name="Clean 14" xfId="11175" xr:uid="{00000000-0005-0000-0000-00009F2B0000}"/>
    <cellStyle name="Clean 15" xfId="11176" xr:uid="{00000000-0005-0000-0000-0000A02B0000}"/>
    <cellStyle name="Clean 16" xfId="11177" xr:uid="{00000000-0005-0000-0000-0000A12B0000}"/>
    <cellStyle name="Clean 17" xfId="11178" xr:uid="{00000000-0005-0000-0000-0000A22B0000}"/>
    <cellStyle name="Clean 18" xfId="11179" xr:uid="{00000000-0005-0000-0000-0000A32B0000}"/>
    <cellStyle name="Clean 19" xfId="11180" xr:uid="{00000000-0005-0000-0000-0000A42B0000}"/>
    <cellStyle name="Clean 2" xfId="11181" xr:uid="{00000000-0005-0000-0000-0000A52B0000}"/>
    <cellStyle name="Clean 20" xfId="11182" xr:uid="{00000000-0005-0000-0000-0000A62B0000}"/>
    <cellStyle name="Clean 21" xfId="11183" xr:uid="{00000000-0005-0000-0000-0000A72B0000}"/>
    <cellStyle name="Clean 21 2" xfId="11184" xr:uid="{00000000-0005-0000-0000-0000A82B0000}"/>
    <cellStyle name="Clean 3" xfId="11185" xr:uid="{00000000-0005-0000-0000-0000A92B0000}"/>
    <cellStyle name="Clean 4" xfId="11186" xr:uid="{00000000-0005-0000-0000-0000AA2B0000}"/>
    <cellStyle name="Clean 5" xfId="11187" xr:uid="{00000000-0005-0000-0000-0000AB2B0000}"/>
    <cellStyle name="Clean 6" xfId="11188" xr:uid="{00000000-0005-0000-0000-0000AC2B0000}"/>
    <cellStyle name="Clean 7" xfId="11189" xr:uid="{00000000-0005-0000-0000-0000AD2B0000}"/>
    <cellStyle name="Clean 8" xfId="11190" xr:uid="{00000000-0005-0000-0000-0000AE2B0000}"/>
    <cellStyle name="Clean 9" xfId="11191" xr:uid="{00000000-0005-0000-0000-0000AF2B0000}"/>
    <cellStyle name="Co. Names" xfId="11192" xr:uid="{00000000-0005-0000-0000-0000B02B0000}"/>
    <cellStyle name="Co. Names 10" xfId="11193" xr:uid="{00000000-0005-0000-0000-0000B12B0000}"/>
    <cellStyle name="Co. Names 11" xfId="11194" xr:uid="{00000000-0005-0000-0000-0000B22B0000}"/>
    <cellStyle name="Co. Names 12" xfId="11195" xr:uid="{00000000-0005-0000-0000-0000B32B0000}"/>
    <cellStyle name="Co. Names 13" xfId="11196" xr:uid="{00000000-0005-0000-0000-0000B42B0000}"/>
    <cellStyle name="Co. Names 14" xfId="11197" xr:uid="{00000000-0005-0000-0000-0000B52B0000}"/>
    <cellStyle name="Co. Names 15" xfId="11198" xr:uid="{00000000-0005-0000-0000-0000B62B0000}"/>
    <cellStyle name="Co. Names 16" xfId="11199" xr:uid="{00000000-0005-0000-0000-0000B72B0000}"/>
    <cellStyle name="Co. Names 17" xfId="11200" xr:uid="{00000000-0005-0000-0000-0000B82B0000}"/>
    <cellStyle name="Co. Names 18" xfId="11201" xr:uid="{00000000-0005-0000-0000-0000B92B0000}"/>
    <cellStyle name="Co. Names 19" xfId="11202" xr:uid="{00000000-0005-0000-0000-0000BA2B0000}"/>
    <cellStyle name="Co. Names 2" xfId="11203" xr:uid="{00000000-0005-0000-0000-0000BB2B0000}"/>
    <cellStyle name="Co. Names 20" xfId="11204" xr:uid="{00000000-0005-0000-0000-0000BC2B0000}"/>
    <cellStyle name="Co. Names 21" xfId="11205" xr:uid="{00000000-0005-0000-0000-0000BD2B0000}"/>
    <cellStyle name="Co. Names 22" xfId="11206" xr:uid="{00000000-0005-0000-0000-0000BE2B0000}"/>
    <cellStyle name="Co. Names 23" xfId="11207" xr:uid="{00000000-0005-0000-0000-0000BF2B0000}"/>
    <cellStyle name="Co. Names 23 2" xfId="11208" xr:uid="{00000000-0005-0000-0000-0000C02B0000}"/>
    <cellStyle name="Co. Names 24" xfId="11209" xr:uid="{00000000-0005-0000-0000-0000C12B0000}"/>
    <cellStyle name="Co. Names 24 2" xfId="11210" xr:uid="{00000000-0005-0000-0000-0000C22B0000}"/>
    <cellStyle name="Co. Names 25" xfId="11211" xr:uid="{00000000-0005-0000-0000-0000C32B0000}"/>
    <cellStyle name="Co. Names 26" xfId="11212" xr:uid="{00000000-0005-0000-0000-0000C42B0000}"/>
    <cellStyle name="Co. Names 27" xfId="11213" xr:uid="{00000000-0005-0000-0000-0000C52B0000}"/>
    <cellStyle name="Co. Names 28" xfId="11214" xr:uid="{00000000-0005-0000-0000-0000C62B0000}"/>
    <cellStyle name="Co. Names 29" xfId="11215" xr:uid="{00000000-0005-0000-0000-0000C72B0000}"/>
    <cellStyle name="Co. Names 29 2" xfId="11216" xr:uid="{00000000-0005-0000-0000-0000C82B0000}"/>
    <cellStyle name="Co. Names 3" xfId="11217" xr:uid="{00000000-0005-0000-0000-0000C92B0000}"/>
    <cellStyle name="Co. Names 3 2" xfId="11218" xr:uid="{00000000-0005-0000-0000-0000CA2B0000}"/>
    <cellStyle name="Co. Names 30" xfId="11219" xr:uid="{00000000-0005-0000-0000-0000CB2B0000}"/>
    <cellStyle name="Co. Names 31" xfId="11220" xr:uid="{00000000-0005-0000-0000-0000CC2B0000}"/>
    <cellStyle name="Co. Names 32" xfId="11221" xr:uid="{00000000-0005-0000-0000-0000CD2B0000}"/>
    <cellStyle name="Co. Names 33" xfId="11222" xr:uid="{00000000-0005-0000-0000-0000CE2B0000}"/>
    <cellStyle name="Co. Names 34" xfId="11223" xr:uid="{00000000-0005-0000-0000-0000CF2B0000}"/>
    <cellStyle name="Co. Names 35" xfId="11224" xr:uid="{00000000-0005-0000-0000-0000D02B0000}"/>
    <cellStyle name="Co. Names 36" xfId="11225" xr:uid="{00000000-0005-0000-0000-0000D12B0000}"/>
    <cellStyle name="Co. Names 37" xfId="11226" xr:uid="{00000000-0005-0000-0000-0000D22B0000}"/>
    <cellStyle name="Co. Names 38" xfId="11227" xr:uid="{00000000-0005-0000-0000-0000D32B0000}"/>
    <cellStyle name="Co. Names 4" xfId="11228" xr:uid="{00000000-0005-0000-0000-0000D42B0000}"/>
    <cellStyle name="Co. Names 4 2" xfId="11229" xr:uid="{00000000-0005-0000-0000-0000D52B0000}"/>
    <cellStyle name="Co. Names 5" xfId="11230" xr:uid="{00000000-0005-0000-0000-0000D62B0000}"/>
    <cellStyle name="Co. Names 5 2" xfId="11231" xr:uid="{00000000-0005-0000-0000-0000D72B0000}"/>
    <cellStyle name="Co. Names 6" xfId="11232" xr:uid="{00000000-0005-0000-0000-0000D82B0000}"/>
    <cellStyle name="Co. Names 6 2" xfId="11233" xr:uid="{00000000-0005-0000-0000-0000D92B0000}"/>
    <cellStyle name="Co. Names 7" xfId="11234" xr:uid="{00000000-0005-0000-0000-0000DA2B0000}"/>
    <cellStyle name="Co. Names 7 2" xfId="11235" xr:uid="{00000000-0005-0000-0000-0000DB2B0000}"/>
    <cellStyle name="Co. Names 8" xfId="11236" xr:uid="{00000000-0005-0000-0000-0000DC2B0000}"/>
    <cellStyle name="Co. Names 8 2" xfId="11237" xr:uid="{00000000-0005-0000-0000-0000DD2B0000}"/>
    <cellStyle name="Co. Names 9" xfId="11238" xr:uid="{00000000-0005-0000-0000-0000DE2B0000}"/>
    <cellStyle name="COL HEADINGS" xfId="11239" xr:uid="{00000000-0005-0000-0000-0000DF2B0000}"/>
    <cellStyle name="COL HEADINGS 10" xfId="11240" xr:uid="{00000000-0005-0000-0000-0000E02B0000}"/>
    <cellStyle name="COL HEADINGS 11" xfId="11241" xr:uid="{00000000-0005-0000-0000-0000E12B0000}"/>
    <cellStyle name="COL HEADINGS 12" xfId="11242" xr:uid="{00000000-0005-0000-0000-0000E22B0000}"/>
    <cellStyle name="COL HEADINGS 13" xfId="11243" xr:uid="{00000000-0005-0000-0000-0000E32B0000}"/>
    <cellStyle name="COL HEADINGS 14" xfId="11244" xr:uid="{00000000-0005-0000-0000-0000E42B0000}"/>
    <cellStyle name="COL HEADINGS 15" xfId="11245" xr:uid="{00000000-0005-0000-0000-0000E52B0000}"/>
    <cellStyle name="COL HEADINGS 16" xfId="11246" xr:uid="{00000000-0005-0000-0000-0000E62B0000}"/>
    <cellStyle name="COL HEADINGS 17" xfId="11247" xr:uid="{00000000-0005-0000-0000-0000E72B0000}"/>
    <cellStyle name="COL HEADINGS 18" xfId="11248" xr:uid="{00000000-0005-0000-0000-0000E82B0000}"/>
    <cellStyle name="COL HEADINGS 19" xfId="11249" xr:uid="{00000000-0005-0000-0000-0000E92B0000}"/>
    <cellStyle name="COL HEADINGS 2" xfId="11250" xr:uid="{00000000-0005-0000-0000-0000EA2B0000}"/>
    <cellStyle name="COL HEADINGS 20" xfId="11251" xr:uid="{00000000-0005-0000-0000-0000EB2B0000}"/>
    <cellStyle name="COL HEADINGS 21" xfId="11252" xr:uid="{00000000-0005-0000-0000-0000EC2B0000}"/>
    <cellStyle name="COL HEADINGS 21 2" xfId="11253" xr:uid="{00000000-0005-0000-0000-0000ED2B0000}"/>
    <cellStyle name="COL HEADINGS 3" xfId="11254" xr:uid="{00000000-0005-0000-0000-0000EE2B0000}"/>
    <cellStyle name="COL HEADINGS 4" xfId="11255" xr:uid="{00000000-0005-0000-0000-0000EF2B0000}"/>
    <cellStyle name="COL HEADINGS 5" xfId="11256" xr:uid="{00000000-0005-0000-0000-0000F02B0000}"/>
    <cellStyle name="COL HEADINGS 6" xfId="11257" xr:uid="{00000000-0005-0000-0000-0000F12B0000}"/>
    <cellStyle name="COL HEADINGS 7" xfId="11258" xr:uid="{00000000-0005-0000-0000-0000F22B0000}"/>
    <cellStyle name="COL HEADINGS 8" xfId="11259" xr:uid="{00000000-0005-0000-0000-0000F32B0000}"/>
    <cellStyle name="COL HEADINGS 9" xfId="11260" xr:uid="{00000000-0005-0000-0000-0000F42B0000}"/>
    <cellStyle name="Col_Headers" xfId="11261" xr:uid="{00000000-0005-0000-0000-0000F52B0000}"/>
    <cellStyle name="ColHead" xfId="11262" xr:uid="{00000000-0005-0000-0000-0000F62B0000}"/>
    <cellStyle name="ColHead 10" xfId="11263" xr:uid="{00000000-0005-0000-0000-0000F72B0000}"/>
    <cellStyle name="ColHead 11" xfId="11264" xr:uid="{00000000-0005-0000-0000-0000F82B0000}"/>
    <cellStyle name="ColHead 12" xfId="11265" xr:uid="{00000000-0005-0000-0000-0000F92B0000}"/>
    <cellStyle name="ColHead 13" xfId="11266" xr:uid="{00000000-0005-0000-0000-0000FA2B0000}"/>
    <cellStyle name="ColHead 14" xfId="11267" xr:uid="{00000000-0005-0000-0000-0000FB2B0000}"/>
    <cellStyle name="ColHead 15" xfId="11268" xr:uid="{00000000-0005-0000-0000-0000FC2B0000}"/>
    <cellStyle name="ColHead 16" xfId="11269" xr:uid="{00000000-0005-0000-0000-0000FD2B0000}"/>
    <cellStyle name="ColHead 17" xfId="11270" xr:uid="{00000000-0005-0000-0000-0000FE2B0000}"/>
    <cellStyle name="ColHead 18" xfId="11271" xr:uid="{00000000-0005-0000-0000-0000FF2B0000}"/>
    <cellStyle name="ColHead 19" xfId="11272" xr:uid="{00000000-0005-0000-0000-0000002C0000}"/>
    <cellStyle name="ColHead 2" xfId="11273" xr:uid="{00000000-0005-0000-0000-0000012C0000}"/>
    <cellStyle name="ColHead 2 2" xfId="11274" xr:uid="{00000000-0005-0000-0000-0000022C0000}"/>
    <cellStyle name="ColHead 20" xfId="11275" xr:uid="{00000000-0005-0000-0000-0000032C0000}"/>
    <cellStyle name="ColHead 21" xfId="11276" xr:uid="{00000000-0005-0000-0000-0000042C0000}"/>
    <cellStyle name="ColHead 22" xfId="11277" xr:uid="{00000000-0005-0000-0000-0000052C0000}"/>
    <cellStyle name="ColHead 23" xfId="11278" xr:uid="{00000000-0005-0000-0000-0000062C0000}"/>
    <cellStyle name="ColHead 23 2" xfId="11279" xr:uid="{00000000-0005-0000-0000-0000072C0000}"/>
    <cellStyle name="ColHead 3" xfId="11280" xr:uid="{00000000-0005-0000-0000-0000082C0000}"/>
    <cellStyle name="ColHead 3 2" xfId="11281" xr:uid="{00000000-0005-0000-0000-0000092C0000}"/>
    <cellStyle name="ColHead 4" xfId="11282" xr:uid="{00000000-0005-0000-0000-00000A2C0000}"/>
    <cellStyle name="ColHead 5" xfId="11283" xr:uid="{00000000-0005-0000-0000-00000B2C0000}"/>
    <cellStyle name="ColHead 6" xfId="11284" xr:uid="{00000000-0005-0000-0000-00000C2C0000}"/>
    <cellStyle name="ColHead 7" xfId="11285" xr:uid="{00000000-0005-0000-0000-00000D2C0000}"/>
    <cellStyle name="ColHead 8" xfId="11286" xr:uid="{00000000-0005-0000-0000-00000E2C0000}"/>
    <cellStyle name="ColHead 9" xfId="11287" xr:uid="{00000000-0005-0000-0000-00000F2C0000}"/>
    <cellStyle name="ColHeading" xfId="11288" xr:uid="{00000000-0005-0000-0000-0000102C0000}"/>
    <cellStyle name="ColHeading 10" xfId="11289" xr:uid="{00000000-0005-0000-0000-0000112C0000}"/>
    <cellStyle name="ColHeading 11" xfId="11290" xr:uid="{00000000-0005-0000-0000-0000122C0000}"/>
    <cellStyle name="ColHeading 12" xfId="11291" xr:uid="{00000000-0005-0000-0000-0000132C0000}"/>
    <cellStyle name="ColHeading 13" xfId="11292" xr:uid="{00000000-0005-0000-0000-0000142C0000}"/>
    <cellStyle name="ColHeading 14" xfId="11293" xr:uid="{00000000-0005-0000-0000-0000152C0000}"/>
    <cellStyle name="ColHeading 15" xfId="11294" xr:uid="{00000000-0005-0000-0000-0000162C0000}"/>
    <cellStyle name="ColHeading 16" xfId="11295" xr:uid="{00000000-0005-0000-0000-0000172C0000}"/>
    <cellStyle name="ColHeading 17" xfId="11296" xr:uid="{00000000-0005-0000-0000-0000182C0000}"/>
    <cellStyle name="ColHeading 18" xfId="11297" xr:uid="{00000000-0005-0000-0000-0000192C0000}"/>
    <cellStyle name="ColHeading 19" xfId="11298" xr:uid="{00000000-0005-0000-0000-00001A2C0000}"/>
    <cellStyle name="ColHeading 2" xfId="11299" xr:uid="{00000000-0005-0000-0000-00001B2C0000}"/>
    <cellStyle name="ColHeading 20" xfId="11300" xr:uid="{00000000-0005-0000-0000-00001C2C0000}"/>
    <cellStyle name="ColHeading 21" xfId="11301" xr:uid="{00000000-0005-0000-0000-00001D2C0000}"/>
    <cellStyle name="ColHeading 22" xfId="11302" xr:uid="{00000000-0005-0000-0000-00001E2C0000}"/>
    <cellStyle name="ColHeading 23" xfId="11303" xr:uid="{00000000-0005-0000-0000-00001F2C0000}"/>
    <cellStyle name="ColHeading 23 2" xfId="11304" xr:uid="{00000000-0005-0000-0000-0000202C0000}"/>
    <cellStyle name="ColHeading 24" xfId="11305" xr:uid="{00000000-0005-0000-0000-0000212C0000}"/>
    <cellStyle name="ColHeading 24 2" xfId="11306" xr:uid="{00000000-0005-0000-0000-0000222C0000}"/>
    <cellStyle name="ColHeading 25" xfId="11307" xr:uid="{00000000-0005-0000-0000-0000232C0000}"/>
    <cellStyle name="ColHeading 26" xfId="11308" xr:uid="{00000000-0005-0000-0000-0000242C0000}"/>
    <cellStyle name="ColHeading 27" xfId="11309" xr:uid="{00000000-0005-0000-0000-0000252C0000}"/>
    <cellStyle name="ColHeading 28" xfId="11310" xr:uid="{00000000-0005-0000-0000-0000262C0000}"/>
    <cellStyle name="ColHeading 29" xfId="11311" xr:uid="{00000000-0005-0000-0000-0000272C0000}"/>
    <cellStyle name="ColHeading 29 2" xfId="11312" xr:uid="{00000000-0005-0000-0000-0000282C0000}"/>
    <cellStyle name="ColHeading 3" xfId="11313" xr:uid="{00000000-0005-0000-0000-0000292C0000}"/>
    <cellStyle name="ColHeading 3 2" xfId="11314" xr:uid="{00000000-0005-0000-0000-00002A2C0000}"/>
    <cellStyle name="ColHeading 30" xfId="11315" xr:uid="{00000000-0005-0000-0000-00002B2C0000}"/>
    <cellStyle name="ColHeading 31" xfId="11316" xr:uid="{00000000-0005-0000-0000-00002C2C0000}"/>
    <cellStyle name="ColHeading 32" xfId="11317" xr:uid="{00000000-0005-0000-0000-00002D2C0000}"/>
    <cellStyle name="ColHeading 33" xfId="11318" xr:uid="{00000000-0005-0000-0000-00002E2C0000}"/>
    <cellStyle name="ColHeading 34" xfId="11319" xr:uid="{00000000-0005-0000-0000-00002F2C0000}"/>
    <cellStyle name="ColHeading 35" xfId="11320" xr:uid="{00000000-0005-0000-0000-0000302C0000}"/>
    <cellStyle name="ColHeading 36" xfId="11321" xr:uid="{00000000-0005-0000-0000-0000312C0000}"/>
    <cellStyle name="ColHeading 37" xfId="11322" xr:uid="{00000000-0005-0000-0000-0000322C0000}"/>
    <cellStyle name="ColHeading 38" xfId="11323" xr:uid="{00000000-0005-0000-0000-0000332C0000}"/>
    <cellStyle name="ColHeading 4" xfId="11324" xr:uid="{00000000-0005-0000-0000-0000342C0000}"/>
    <cellStyle name="ColHeading 4 2" xfId="11325" xr:uid="{00000000-0005-0000-0000-0000352C0000}"/>
    <cellStyle name="ColHeading 5" xfId="11326" xr:uid="{00000000-0005-0000-0000-0000362C0000}"/>
    <cellStyle name="ColHeading 5 2" xfId="11327" xr:uid="{00000000-0005-0000-0000-0000372C0000}"/>
    <cellStyle name="ColHeading 6" xfId="11328" xr:uid="{00000000-0005-0000-0000-0000382C0000}"/>
    <cellStyle name="ColHeading 6 2" xfId="11329" xr:uid="{00000000-0005-0000-0000-0000392C0000}"/>
    <cellStyle name="ColHeading 7" xfId="11330" xr:uid="{00000000-0005-0000-0000-00003A2C0000}"/>
    <cellStyle name="ColHeading 7 2" xfId="11331" xr:uid="{00000000-0005-0000-0000-00003B2C0000}"/>
    <cellStyle name="ColHeading 8" xfId="11332" xr:uid="{00000000-0005-0000-0000-00003C2C0000}"/>
    <cellStyle name="ColHeading 8 2" xfId="11333" xr:uid="{00000000-0005-0000-0000-00003D2C0000}"/>
    <cellStyle name="ColHeading 9" xfId="11334" xr:uid="{00000000-0005-0000-0000-00003E2C0000}"/>
    <cellStyle name="ColHeadLast" xfId="11335" xr:uid="{00000000-0005-0000-0000-00003F2C0000}"/>
    <cellStyle name="ColHeadLast 10" xfId="11336" xr:uid="{00000000-0005-0000-0000-0000402C0000}"/>
    <cellStyle name="ColHeadLast 11" xfId="11337" xr:uid="{00000000-0005-0000-0000-0000412C0000}"/>
    <cellStyle name="ColHeadLast 12" xfId="11338" xr:uid="{00000000-0005-0000-0000-0000422C0000}"/>
    <cellStyle name="ColHeadLast 13" xfId="11339" xr:uid="{00000000-0005-0000-0000-0000432C0000}"/>
    <cellStyle name="ColHeadLast 14" xfId="11340" xr:uid="{00000000-0005-0000-0000-0000442C0000}"/>
    <cellStyle name="ColHeadLast 15" xfId="11341" xr:uid="{00000000-0005-0000-0000-0000452C0000}"/>
    <cellStyle name="ColHeadLast 16" xfId="11342" xr:uid="{00000000-0005-0000-0000-0000462C0000}"/>
    <cellStyle name="ColHeadLast 17" xfId="11343" xr:uid="{00000000-0005-0000-0000-0000472C0000}"/>
    <cellStyle name="ColHeadLast 18" xfId="11344" xr:uid="{00000000-0005-0000-0000-0000482C0000}"/>
    <cellStyle name="ColHeadLast 19" xfId="11345" xr:uid="{00000000-0005-0000-0000-0000492C0000}"/>
    <cellStyle name="ColHeadLast 2" xfId="11346" xr:uid="{00000000-0005-0000-0000-00004A2C0000}"/>
    <cellStyle name="ColHeadLast 20" xfId="11347" xr:uid="{00000000-0005-0000-0000-00004B2C0000}"/>
    <cellStyle name="ColHeadLast 21" xfId="11348" xr:uid="{00000000-0005-0000-0000-00004C2C0000}"/>
    <cellStyle name="ColHeadLast 21 2" xfId="11349" xr:uid="{00000000-0005-0000-0000-00004D2C0000}"/>
    <cellStyle name="ColHeadLast 3" xfId="11350" xr:uid="{00000000-0005-0000-0000-00004E2C0000}"/>
    <cellStyle name="ColHeadLast 4" xfId="11351" xr:uid="{00000000-0005-0000-0000-00004F2C0000}"/>
    <cellStyle name="ColHeadLast 5" xfId="11352" xr:uid="{00000000-0005-0000-0000-0000502C0000}"/>
    <cellStyle name="ColHeadLast 6" xfId="11353" xr:uid="{00000000-0005-0000-0000-0000512C0000}"/>
    <cellStyle name="ColHeadLast 7" xfId="11354" xr:uid="{00000000-0005-0000-0000-0000522C0000}"/>
    <cellStyle name="ColHeadLast 8" xfId="11355" xr:uid="{00000000-0005-0000-0000-0000532C0000}"/>
    <cellStyle name="ColHeadLast 9" xfId="11356" xr:uid="{00000000-0005-0000-0000-0000542C0000}"/>
    <cellStyle name="colheadleft" xfId="11357" xr:uid="{00000000-0005-0000-0000-0000552C0000}"/>
    <cellStyle name="colheadleft 10" xfId="11358" xr:uid="{00000000-0005-0000-0000-0000562C0000}"/>
    <cellStyle name="colheadleft 11" xfId="11359" xr:uid="{00000000-0005-0000-0000-0000572C0000}"/>
    <cellStyle name="colheadleft 12" xfId="11360" xr:uid="{00000000-0005-0000-0000-0000582C0000}"/>
    <cellStyle name="colheadleft 13" xfId="11361" xr:uid="{00000000-0005-0000-0000-0000592C0000}"/>
    <cellStyle name="colheadleft 14" xfId="11362" xr:uid="{00000000-0005-0000-0000-00005A2C0000}"/>
    <cellStyle name="colheadleft 15" xfId="11363" xr:uid="{00000000-0005-0000-0000-00005B2C0000}"/>
    <cellStyle name="colheadleft 16" xfId="11364" xr:uid="{00000000-0005-0000-0000-00005C2C0000}"/>
    <cellStyle name="colheadleft 17" xfId="11365" xr:uid="{00000000-0005-0000-0000-00005D2C0000}"/>
    <cellStyle name="colheadleft 18" xfId="11366" xr:uid="{00000000-0005-0000-0000-00005E2C0000}"/>
    <cellStyle name="colheadleft 19" xfId="11367" xr:uid="{00000000-0005-0000-0000-00005F2C0000}"/>
    <cellStyle name="colheadleft 2" xfId="11368" xr:uid="{00000000-0005-0000-0000-0000602C0000}"/>
    <cellStyle name="colheadleft 20" xfId="11369" xr:uid="{00000000-0005-0000-0000-0000612C0000}"/>
    <cellStyle name="colheadleft 21" xfId="11370" xr:uid="{00000000-0005-0000-0000-0000622C0000}"/>
    <cellStyle name="colheadleft 21 2" xfId="11371" xr:uid="{00000000-0005-0000-0000-0000632C0000}"/>
    <cellStyle name="colheadleft 3" xfId="11372" xr:uid="{00000000-0005-0000-0000-0000642C0000}"/>
    <cellStyle name="colheadleft 4" xfId="11373" xr:uid="{00000000-0005-0000-0000-0000652C0000}"/>
    <cellStyle name="colheadleft 5" xfId="11374" xr:uid="{00000000-0005-0000-0000-0000662C0000}"/>
    <cellStyle name="colheadleft 6" xfId="11375" xr:uid="{00000000-0005-0000-0000-0000672C0000}"/>
    <cellStyle name="colheadleft 7" xfId="11376" xr:uid="{00000000-0005-0000-0000-0000682C0000}"/>
    <cellStyle name="colheadleft 8" xfId="11377" xr:uid="{00000000-0005-0000-0000-0000692C0000}"/>
    <cellStyle name="colheadleft 9" xfId="11378" xr:uid="{00000000-0005-0000-0000-00006A2C0000}"/>
    <cellStyle name="colheadright" xfId="11379" xr:uid="{00000000-0005-0000-0000-00006B2C0000}"/>
    <cellStyle name="colheadright 10" xfId="11380" xr:uid="{00000000-0005-0000-0000-00006C2C0000}"/>
    <cellStyle name="colheadright 11" xfId="11381" xr:uid="{00000000-0005-0000-0000-00006D2C0000}"/>
    <cellStyle name="colheadright 12" xfId="11382" xr:uid="{00000000-0005-0000-0000-00006E2C0000}"/>
    <cellStyle name="colheadright 13" xfId="11383" xr:uid="{00000000-0005-0000-0000-00006F2C0000}"/>
    <cellStyle name="colheadright 14" xfId="11384" xr:uid="{00000000-0005-0000-0000-0000702C0000}"/>
    <cellStyle name="colheadright 15" xfId="11385" xr:uid="{00000000-0005-0000-0000-0000712C0000}"/>
    <cellStyle name="colheadright 16" xfId="11386" xr:uid="{00000000-0005-0000-0000-0000722C0000}"/>
    <cellStyle name="colheadright 17" xfId="11387" xr:uid="{00000000-0005-0000-0000-0000732C0000}"/>
    <cellStyle name="colheadright 18" xfId="11388" xr:uid="{00000000-0005-0000-0000-0000742C0000}"/>
    <cellStyle name="colheadright 19" xfId="11389" xr:uid="{00000000-0005-0000-0000-0000752C0000}"/>
    <cellStyle name="colheadright 2" xfId="11390" xr:uid="{00000000-0005-0000-0000-0000762C0000}"/>
    <cellStyle name="colheadright 20" xfId="11391" xr:uid="{00000000-0005-0000-0000-0000772C0000}"/>
    <cellStyle name="colheadright 21" xfId="11392" xr:uid="{00000000-0005-0000-0000-0000782C0000}"/>
    <cellStyle name="colheadright 21 2" xfId="11393" xr:uid="{00000000-0005-0000-0000-0000792C0000}"/>
    <cellStyle name="colheadright 3" xfId="11394" xr:uid="{00000000-0005-0000-0000-00007A2C0000}"/>
    <cellStyle name="colheadright 4" xfId="11395" xr:uid="{00000000-0005-0000-0000-00007B2C0000}"/>
    <cellStyle name="colheadright 5" xfId="11396" xr:uid="{00000000-0005-0000-0000-00007C2C0000}"/>
    <cellStyle name="colheadright 6" xfId="11397" xr:uid="{00000000-0005-0000-0000-00007D2C0000}"/>
    <cellStyle name="colheadright 7" xfId="11398" xr:uid="{00000000-0005-0000-0000-00007E2C0000}"/>
    <cellStyle name="colheadright 8" xfId="11399" xr:uid="{00000000-0005-0000-0000-00007F2C0000}"/>
    <cellStyle name="colheadright 9" xfId="11400" xr:uid="{00000000-0005-0000-0000-0000802C0000}"/>
    <cellStyle name="Column Heading" xfId="11401" xr:uid="{00000000-0005-0000-0000-0000812C0000}"/>
    <cellStyle name="Column Heading 10" xfId="11402" xr:uid="{00000000-0005-0000-0000-0000822C0000}"/>
    <cellStyle name="Column Heading 11" xfId="11403" xr:uid="{00000000-0005-0000-0000-0000832C0000}"/>
    <cellStyle name="Column Heading 12" xfId="11404" xr:uid="{00000000-0005-0000-0000-0000842C0000}"/>
    <cellStyle name="Column Heading 13" xfId="11405" xr:uid="{00000000-0005-0000-0000-0000852C0000}"/>
    <cellStyle name="Column Heading 14" xfId="11406" xr:uid="{00000000-0005-0000-0000-0000862C0000}"/>
    <cellStyle name="Column Heading 15" xfId="11407" xr:uid="{00000000-0005-0000-0000-0000872C0000}"/>
    <cellStyle name="Column Heading 16" xfId="11408" xr:uid="{00000000-0005-0000-0000-0000882C0000}"/>
    <cellStyle name="Column Heading 17" xfId="11409" xr:uid="{00000000-0005-0000-0000-0000892C0000}"/>
    <cellStyle name="Column Heading 18" xfId="11410" xr:uid="{00000000-0005-0000-0000-00008A2C0000}"/>
    <cellStyle name="Column Heading 19" xfId="11411" xr:uid="{00000000-0005-0000-0000-00008B2C0000}"/>
    <cellStyle name="Column Heading 2" xfId="11412" xr:uid="{00000000-0005-0000-0000-00008C2C0000}"/>
    <cellStyle name="Column Heading 20" xfId="11413" xr:uid="{00000000-0005-0000-0000-00008D2C0000}"/>
    <cellStyle name="Column Heading 21" xfId="11414" xr:uid="{00000000-0005-0000-0000-00008E2C0000}"/>
    <cellStyle name="Column Heading 21 2" xfId="11415" xr:uid="{00000000-0005-0000-0000-00008F2C0000}"/>
    <cellStyle name="Column Heading 3" xfId="11416" xr:uid="{00000000-0005-0000-0000-0000902C0000}"/>
    <cellStyle name="Column Heading 4" xfId="11417" xr:uid="{00000000-0005-0000-0000-0000912C0000}"/>
    <cellStyle name="Column Heading 5" xfId="11418" xr:uid="{00000000-0005-0000-0000-0000922C0000}"/>
    <cellStyle name="Column Heading 6" xfId="11419" xr:uid="{00000000-0005-0000-0000-0000932C0000}"/>
    <cellStyle name="Column Heading 7" xfId="11420" xr:uid="{00000000-0005-0000-0000-0000942C0000}"/>
    <cellStyle name="Column Heading 8" xfId="11421" xr:uid="{00000000-0005-0000-0000-0000952C0000}"/>
    <cellStyle name="Column Heading 9" xfId="11422" xr:uid="{00000000-0005-0000-0000-0000962C0000}"/>
    <cellStyle name="Column_Title" xfId="11423" xr:uid="{00000000-0005-0000-0000-0000972C0000}"/>
    <cellStyle name="ColumnHeaderNormal" xfId="11424" xr:uid="{00000000-0005-0000-0000-0000982C0000}"/>
    <cellStyle name="ColumnHeaderNormal 10" xfId="11425" xr:uid="{00000000-0005-0000-0000-0000992C0000}"/>
    <cellStyle name="ColumnHeaderNormal 11" xfId="11426" xr:uid="{00000000-0005-0000-0000-00009A2C0000}"/>
    <cellStyle name="ColumnHeaderNormal 12" xfId="11427" xr:uid="{00000000-0005-0000-0000-00009B2C0000}"/>
    <cellStyle name="ColumnHeaderNormal 13" xfId="11428" xr:uid="{00000000-0005-0000-0000-00009C2C0000}"/>
    <cellStyle name="ColumnHeaderNormal 14" xfId="11429" xr:uid="{00000000-0005-0000-0000-00009D2C0000}"/>
    <cellStyle name="ColumnHeaderNormal 15" xfId="11430" xr:uid="{00000000-0005-0000-0000-00009E2C0000}"/>
    <cellStyle name="ColumnHeaderNormal 16" xfId="11431" xr:uid="{00000000-0005-0000-0000-00009F2C0000}"/>
    <cellStyle name="ColumnHeaderNormal 17" xfId="11432" xr:uid="{00000000-0005-0000-0000-0000A02C0000}"/>
    <cellStyle name="ColumnHeaderNormal 18" xfId="11433" xr:uid="{00000000-0005-0000-0000-0000A12C0000}"/>
    <cellStyle name="ColumnHeaderNormal 19" xfId="11434" xr:uid="{00000000-0005-0000-0000-0000A22C0000}"/>
    <cellStyle name="ColumnHeaderNormal 2" xfId="11435" xr:uid="{00000000-0005-0000-0000-0000A32C0000}"/>
    <cellStyle name="ColumnHeaderNormal 20" xfId="11436" xr:uid="{00000000-0005-0000-0000-0000A42C0000}"/>
    <cellStyle name="ColumnHeaderNormal 21" xfId="11437" xr:uid="{00000000-0005-0000-0000-0000A52C0000}"/>
    <cellStyle name="ColumnHeaderNormal 22" xfId="11438" xr:uid="{00000000-0005-0000-0000-0000A62C0000}"/>
    <cellStyle name="ColumnHeaderNormal 23" xfId="11439" xr:uid="{00000000-0005-0000-0000-0000A72C0000}"/>
    <cellStyle name="ColumnHeaderNormal 23 2" xfId="11440" xr:uid="{00000000-0005-0000-0000-0000A82C0000}"/>
    <cellStyle name="ColumnHeaderNormal 24" xfId="11441" xr:uid="{00000000-0005-0000-0000-0000A92C0000}"/>
    <cellStyle name="ColumnHeaderNormal 24 2" xfId="11442" xr:uid="{00000000-0005-0000-0000-0000AA2C0000}"/>
    <cellStyle name="ColumnHeaderNormal 25" xfId="11443" xr:uid="{00000000-0005-0000-0000-0000AB2C0000}"/>
    <cellStyle name="ColumnHeaderNormal 26" xfId="11444" xr:uid="{00000000-0005-0000-0000-0000AC2C0000}"/>
    <cellStyle name="ColumnHeaderNormal 27" xfId="11445" xr:uid="{00000000-0005-0000-0000-0000AD2C0000}"/>
    <cellStyle name="ColumnHeaderNormal 28" xfId="11446" xr:uid="{00000000-0005-0000-0000-0000AE2C0000}"/>
    <cellStyle name="ColumnHeaderNormal 29" xfId="11447" xr:uid="{00000000-0005-0000-0000-0000AF2C0000}"/>
    <cellStyle name="ColumnHeaderNormal 29 2" xfId="11448" xr:uid="{00000000-0005-0000-0000-0000B02C0000}"/>
    <cellStyle name="ColumnHeaderNormal 3" xfId="11449" xr:uid="{00000000-0005-0000-0000-0000B12C0000}"/>
    <cellStyle name="ColumnHeaderNormal 3 2" xfId="11450" xr:uid="{00000000-0005-0000-0000-0000B22C0000}"/>
    <cellStyle name="ColumnHeaderNormal 30" xfId="11451" xr:uid="{00000000-0005-0000-0000-0000B32C0000}"/>
    <cellStyle name="ColumnHeaderNormal 31" xfId="11452" xr:uid="{00000000-0005-0000-0000-0000B42C0000}"/>
    <cellStyle name="ColumnHeaderNormal 32" xfId="11453" xr:uid="{00000000-0005-0000-0000-0000B52C0000}"/>
    <cellStyle name="ColumnHeaderNormal 33" xfId="11454" xr:uid="{00000000-0005-0000-0000-0000B62C0000}"/>
    <cellStyle name="ColumnHeaderNormal 34" xfId="11455" xr:uid="{00000000-0005-0000-0000-0000B72C0000}"/>
    <cellStyle name="ColumnHeaderNormal 35" xfId="11456" xr:uid="{00000000-0005-0000-0000-0000B82C0000}"/>
    <cellStyle name="ColumnHeaderNormal 36" xfId="11457" xr:uid="{00000000-0005-0000-0000-0000B92C0000}"/>
    <cellStyle name="ColumnHeaderNormal 37" xfId="11458" xr:uid="{00000000-0005-0000-0000-0000BA2C0000}"/>
    <cellStyle name="ColumnHeaderNormal 38" xfId="11459" xr:uid="{00000000-0005-0000-0000-0000BB2C0000}"/>
    <cellStyle name="ColumnHeaderNormal 4" xfId="11460" xr:uid="{00000000-0005-0000-0000-0000BC2C0000}"/>
    <cellStyle name="ColumnHeaderNormal 4 2" xfId="11461" xr:uid="{00000000-0005-0000-0000-0000BD2C0000}"/>
    <cellStyle name="ColumnHeaderNormal 5" xfId="11462" xr:uid="{00000000-0005-0000-0000-0000BE2C0000}"/>
    <cellStyle name="ColumnHeaderNormal 5 2" xfId="11463" xr:uid="{00000000-0005-0000-0000-0000BF2C0000}"/>
    <cellStyle name="ColumnHeaderNormal 6" xfId="11464" xr:uid="{00000000-0005-0000-0000-0000C02C0000}"/>
    <cellStyle name="ColumnHeaderNormal 6 2" xfId="11465" xr:uid="{00000000-0005-0000-0000-0000C12C0000}"/>
    <cellStyle name="ColumnHeaderNormal 7" xfId="11466" xr:uid="{00000000-0005-0000-0000-0000C22C0000}"/>
    <cellStyle name="ColumnHeaderNormal 7 2" xfId="11467" xr:uid="{00000000-0005-0000-0000-0000C32C0000}"/>
    <cellStyle name="ColumnHeaderNormal 8" xfId="11468" xr:uid="{00000000-0005-0000-0000-0000C42C0000}"/>
    <cellStyle name="ColumnHeaderNormal 8 2" xfId="11469" xr:uid="{00000000-0005-0000-0000-0000C52C0000}"/>
    <cellStyle name="ColumnHeaderNormal 9" xfId="11470" xr:uid="{00000000-0005-0000-0000-0000C62C0000}"/>
    <cellStyle name="ColumnHeaderStyle" xfId="11471" xr:uid="{00000000-0005-0000-0000-0000C72C0000}"/>
    <cellStyle name="ColumnHeaderStyle 10" xfId="11472" xr:uid="{00000000-0005-0000-0000-0000C82C0000}"/>
    <cellStyle name="ColumnHeaderStyle 11" xfId="11473" xr:uid="{00000000-0005-0000-0000-0000C92C0000}"/>
    <cellStyle name="ColumnHeaderStyle 12" xfId="11474" xr:uid="{00000000-0005-0000-0000-0000CA2C0000}"/>
    <cellStyle name="ColumnHeaderStyle 13" xfId="11475" xr:uid="{00000000-0005-0000-0000-0000CB2C0000}"/>
    <cellStyle name="ColumnHeaderStyle 14" xfId="11476" xr:uid="{00000000-0005-0000-0000-0000CC2C0000}"/>
    <cellStyle name="ColumnHeaderStyle 15" xfId="11477" xr:uid="{00000000-0005-0000-0000-0000CD2C0000}"/>
    <cellStyle name="ColumnHeaderStyle 16" xfId="11478" xr:uid="{00000000-0005-0000-0000-0000CE2C0000}"/>
    <cellStyle name="ColumnHeaderStyle 17" xfId="11479" xr:uid="{00000000-0005-0000-0000-0000CF2C0000}"/>
    <cellStyle name="ColumnHeaderStyle 18" xfId="11480" xr:uid="{00000000-0005-0000-0000-0000D02C0000}"/>
    <cellStyle name="ColumnHeaderStyle 19" xfId="11481" xr:uid="{00000000-0005-0000-0000-0000D12C0000}"/>
    <cellStyle name="ColumnHeaderStyle 2" xfId="11482" xr:uid="{00000000-0005-0000-0000-0000D22C0000}"/>
    <cellStyle name="ColumnHeaderStyle 20" xfId="11483" xr:uid="{00000000-0005-0000-0000-0000D32C0000}"/>
    <cellStyle name="ColumnHeaderStyle 21" xfId="11484" xr:uid="{00000000-0005-0000-0000-0000D42C0000}"/>
    <cellStyle name="ColumnHeaderStyle 21 2" xfId="11485" xr:uid="{00000000-0005-0000-0000-0000D52C0000}"/>
    <cellStyle name="ColumnHeaderStyle 3" xfId="11486" xr:uid="{00000000-0005-0000-0000-0000D62C0000}"/>
    <cellStyle name="ColumnHeaderStyle 4" xfId="11487" xr:uid="{00000000-0005-0000-0000-0000D72C0000}"/>
    <cellStyle name="ColumnHeaderStyle 5" xfId="11488" xr:uid="{00000000-0005-0000-0000-0000D82C0000}"/>
    <cellStyle name="ColumnHeaderStyle 6" xfId="11489" xr:uid="{00000000-0005-0000-0000-0000D92C0000}"/>
    <cellStyle name="ColumnHeaderStyle 7" xfId="11490" xr:uid="{00000000-0005-0000-0000-0000DA2C0000}"/>
    <cellStyle name="ColumnHeaderStyle 8" xfId="11491" xr:uid="{00000000-0005-0000-0000-0000DB2C0000}"/>
    <cellStyle name="ColumnHeaderStyle 9" xfId="11492" xr:uid="{00000000-0005-0000-0000-0000DC2C0000}"/>
    <cellStyle name="coma1" xfId="11493" xr:uid="{00000000-0005-0000-0000-0000DD2C0000}"/>
    <cellStyle name="coma1 10" xfId="11494" xr:uid="{00000000-0005-0000-0000-0000DE2C0000}"/>
    <cellStyle name="coma1 11" xfId="11495" xr:uid="{00000000-0005-0000-0000-0000DF2C0000}"/>
    <cellStyle name="coma1 12" xfId="11496" xr:uid="{00000000-0005-0000-0000-0000E02C0000}"/>
    <cellStyle name="coma1 13" xfId="11497" xr:uid="{00000000-0005-0000-0000-0000E12C0000}"/>
    <cellStyle name="coma1 14" xfId="11498" xr:uid="{00000000-0005-0000-0000-0000E22C0000}"/>
    <cellStyle name="coma1 15" xfId="11499" xr:uid="{00000000-0005-0000-0000-0000E32C0000}"/>
    <cellStyle name="coma1 16" xfId="11500" xr:uid="{00000000-0005-0000-0000-0000E42C0000}"/>
    <cellStyle name="coma1 17" xfId="11501" xr:uid="{00000000-0005-0000-0000-0000E52C0000}"/>
    <cellStyle name="coma1 18" xfId="11502" xr:uid="{00000000-0005-0000-0000-0000E62C0000}"/>
    <cellStyle name="coma1 19" xfId="11503" xr:uid="{00000000-0005-0000-0000-0000E72C0000}"/>
    <cellStyle name="coma1 2" xfId="11504" xr:uid="{00000000-0005-0000-0000-0000E82C0000}"/>
    <cellStyle name="coma1 2 2" xfId="11505" xr:uid="{00000000-0005-0000-0000-0000E92C0000}"/>
    <cellStyle name="coma1 20" xfId="11506" xr:uid="{00000000-0005-0000-0000-0000EA2C0000}"/>
    <cellStyle name="coma1 21" xfId="11507" xr:uid="{00000000-0005-0000-0000-0000EB2C0000}"/>
    <cellStyle name="coma1 22" xfId="11508" xr:uid="{00000000-0005-0000-0000-0000EC2C0000}"/>
    <cellStyle name="coma1 23" xfId="11509" xr:uid="{00000000-0005-0000-0000-0000ED2C0000}"/>
    <cellStyle name="coma1 23 2" xfId="11510" xr:uid="{00000000-0005-0000-0000-0000EE2C0000}"/>
    <cellStyle name="coma1 3" xfId="11511" xr:uid="{00000000-0005-0000-0000-0000EF2C0000}"/>
    <cellStyle name="coma1 3 2" xfId="11512" xr:uid="{00000000-0005-0000-0000-0000F02C0000}"/>
    <cellStyle name="coma1 4" xfId="11513" xr:uid="{00000000-0005-0000-0000-0000F12C0000}"/>
    <cellStyle name="coma1 5" xfId="11514" xr:uid="{00000000-0005-0000-0000-0000F22C0000}"/>
    <cellStyle name="coma1 6" xfId="11515" xr:uid="{00000000-0005-0000-0000-0000F32C0000}"/>
    <cellStyle name="coma1 7" xfId="11516" xr:uid="{00000000-0005-0000-0000-0000F42C0000}"/>
    <cellStyle name="coma1 8" xfId="11517" xr:uid="{00000000-0005-0000-0000-0000F52C0000}"/>
    <cellStyle name="coma1 9" xfId="11518" xr:uid="{00000000-0005-0000-0000-0000F62C0000}"/>
    <cellStyle name="Comma" xfId="35732" builtinId="3"/>
    <cellStyle name="Comma  - Style1" xfId="11519" xr:uid="{00000000-0005-0000-0000-0000F82C0000}"/>
    <cellStyle name="Comma  - Style1 10" xfId="11520" xr:uid="{00000000-0005-0000-0000-0000F92C0000}"/>
    <cellStyle name="Comma  - Style1 11" xfId="11521" xr:uid="{00000000-0005-0000-0000-0000FA2C0000}"/>
    <cellStyle name="Comma  - Style1 12" xfId="11522" xr:uid="{00000000-0005-0000-0000-0000FB2C0000}"/>
    <cellStyle name="Comma  - Style1 13" xfId="11523" xr:uid="{00000000-0005-0000-0000-0000FC2C0000}"/>
    <cellStyle name="Comma  - Style1 14" xfId="11524" xr:uid="{00000000-0005-0000-0000-0000FD2C0000}"/>
    <cellStyle name="Comma  - Style1 15" xfId="11525" xr:uid="{00000000-0005-0000-0000-0000FE2C0000}"/>
    <cellStyle name="Comma  - Style1 16" xfId="11526" xr:uid="{00000000-0005-0000-0000-0000FF2C0000}"/>
    <cellStyle name="Comma  - Style1 17" xfId="11527" xr:uid="{00000000-0005-0000-0000-0000002D0000}"/>
    <cellStyle name="Comma  - Style1 18" xfId="11528" xr:uid="{00000000-0005-0000-0000-0000012D0000}"/>
    <cellStyle name="Comma  - Style1 19" xfId="11529" xr:uid="{00000000-0005-0000-0000-0000022D0000}"/>
    <cellStyle name="Comma  - Style1 2" xfId="11530" xr:uid="{00000000-0005-0000-0000-0000032D0000}"/>
    <cellStyle name="Comma  - Style1 20" xfId="11531" xr:uid="{00000000-0005-0000-0000-0000042D0000}"/>
    <cellStyle name="Comma  - Style1 21" xfId="11532" xr:uid="{00000000-0005-0000-0000-0000052D0000}"/>
    <cellStyle name="Comma  - Style1 22" xfId="11533" xr:uid="{00000000-0005-0000-0000-0000062D0000}"/>
    <cellStyle name="Comma  - Style1 23" xfId="11534" xr:uid="{00000000-0005-0000-0000-0000072D0000}"/>
    <cellStyle name="Comma  - Style1 24" xfId="11535" xr:uid="{00000000-0005-0000-0000-0000082D0000}"/>
    <cellStyle name="Comma  - Style1 25" xfId="11536" xr:uid="{00000000-0005-0000-0000-0000092D0000}"/>
    <cellStyle name="Comma  - Style1 26" xfId="11537" xr:uid="{00000000-0005-0000-0000-00000A2D0000}"/>
    <cellStyle name="Comma  - Style1 27" xfId="11538" xr:uid="{00000000-0005-0000-0000-00000B2D0000}"/>
    <cellStyle name="Comma  - Style1 28" xfId="11539" xr:uid="{00000000-0005-0000-0000-00000C2D0000}"/>
    <cellStyle name="Comma  - Style1 29" xfId="11540" xr:uid="{00000000-0005-0000-0000-00000D2D0000}"/>
    <cellStyle name="Comma  - Style1 29 2" xfId="11541" xr:uid="{00000000-0005-0000-0000-00000E2D0000}"/>
    <cellStyle name="Comma  - Style1 3" xfId="11542" xr:uid="{00000000-0005-0000-0000-00000F2D0000}"/>
    <cellStyle name="Comma  - Style1 30" xfId="11543" xr:uid="{00000000-0005-0000-0000-0000102D0000}"/>
    <cellStyle name="Comma  - Style1 31" xfId="11544" xr:uid="{00000000-0005-0000-0000-0000112D0000}"/>
    <cellStyle name="Comma  - Style1 32" xfId="11545" xr:uid="{00000000-0005-0000-0000-0000122D0000}"/>
    <cellStyle name="Comma  - Style1 33" xfId="11546" xr:uid="{00000000-0005-0000-0000-0000132D0000}"/>
    <cellStyle name="Comma  - Style1 34" xfId="11547" xr:uid="{00000000-0005-0000-0000-0000142D0000}"/>
    <cellStyle name="Comma  - Style1 35" xfId="11548" xr:uid="{00000000-0005-0000-0000-0000152D0000}"/>
    <cellStyle name="Comma  - Style1 36" xfId="11549" xr:uid="{00000000-0005-0000-0000-0000162D0000}"/>
    <cellStyle name="Comma  - Style1 37" xfId="11550" xr:uid="{00000000-0005-0000-0000-0000172D0000}"/>
    <cellStyle name="Comma  - Style1 38" xfId="11551" xr:uid="{00000000-0005-0000-0000-0000182D0000}"/>
    <cellStyle name="Comma  - Style1 4" xfId="11552" xr:uid="{00000000-0005-0000-0000-0000192D0000}"/>
    <cellStyle name="Comma  - Style1 5" xfId="11553" xr:uid="{00000000-0005-0000-0000-00001A2D0000}"/>
    <cellStyle name="Comma  - Style1 6" xfId="11554" xr:uid="{00000000-0005-0000-0000-00001B2D0000}"/>
    <cellStyle name="Comma  - Style1 7" xfId="11555" xr:uid="{00000000-0005-0000-0000-00001C2D0000}"/>
    <cellStyle name="Comma  - Style1 8" xfId="11556" xr:uid="{00000000-0005-0000-0000-00001D2D0000}"/>
    <cellStyle name="Comma  - Style1 9" xfId="11557" xr:uid="{00000000-0005-0000-0000-00001E2D0000}"/>
    <cellStyle name="Comma  - Style2" xfId="11558" xr:uid="{00000000-0005-0000-0000-00001F2D0000}"/>
    <cellStyle name="Comma  - Style2 10" xfId="11559" xr:uid="{00000000-0005-0000-0000-0000202D0000}"/>
    <cellStyle name="Comma  - Style2 11" xfId="11560" xr:uid="{00000000-0005-0000-0000-0000212D0000}"/>
    <cellStyle name="Comma  - Style2 12" xfId="11561" xr:uid="{00000000-0005-0000-0000-0000222D0000}"/>
    <cellStyle name="Comma  - Style2 13" xfId="11562" xr:uid="{00000000-0005-0000-0000-0000232D0000}"/>
    <cellStyle name="Comma  - Style2 14" xfId="11563" xr:uid="{00000000-0005-0000-0000-0000242D0000}"/>
    <cellStyle name="Comma  - Style2 15" xfId="11564" xr:uid="{00000000-0005-0000-0000-0000252D0000}"/>
    <cellStyle name="Comma  - Style2 16" xfId="11565" xr:uid="{00000000-0005-0000-0000-0000262D0000}"/>
    <cellStyle name="Comma  - Style2 17" xfId="11566" xr:uid="{00000000-0005-0000-0000-0000272D0000}"/>
    <cellStyle name="Comma  - Style2 18" xfId="11567" xr:uid="{00000000-0005-0000-0000-0000282D0000}"/>
    <cellStyle name="Comma  - Style2 19" xfId="11568" xr:uid="{00000000-0005-0000-0000-0000292D0000}"/>
    <cellStyle name="Comma  - Style2 2" xfId="11569" xr:uid="{00000000-0005-0000-0000-00002A2D0000}"/>
    <cellStyle name="Comma  - Style2 20" xfId="11570" xr:uid="{00000000-0005-0000-0000-00002B2D0000}"/>
    <cellStyle name="Comma  - Style2 21" xfId="11571" xr:uid="{00000000-0005-0000-0000-00002C2D0000}"/>
    <cellStyle name="Comma  - Style2 22" xfId="11572" xr:uid="{00000000-0005-0000-0000-00002D2D0000}"/>
    <cellStyle name="Comma  - Style2 23" xfId="11573" xr:uid="{00000000-0005-0000-0000-00002E2D0000}"/>
    <cellStyle name="Comma  - Style2 24" xfId="11574" xr:uid="{00000000-0005-0000-0000-00002F2D0000}"/>
    <cellStyle name="Comma  - Style2 25" xfId="11575" xr:uid="{00000000-0005-0000-0000-0000302D0000}"/>
    <cellStyle name="Comma  - Style2 26" xfId="11576" xr:uid="{00000000-0005-0000-0000-0000312D0000}"/>
    <cellStyle name="Comma  - Style2 27" xfId="11577" xr:uid="{00000000-0005-0000-0000-0000322D0000}"/>
    <cellStyle name="Comma  - Style2 28" xfId="11578" xr:uid="{00000000-0005-0000-0000-0000332D0000}"/>
    <cellStyle name="Comma  - Style2 29" xfId="11579" xr:uid="{00000000-0005-0000-0000-0000342D0000}"/>
    <cellStyle name="Comma  - Style2 29 2" xfId="11580" xr:uid="{00000000-0005-0000-0000-0000352D0000}"/>
    <cellStyle name="Comma  - Style2 3" xfId="11581" xr:uid="{00000000-0005-0000-0000-0000362D0000}"/>
    <cellStyle name="Comma  - Style2 30" xfId="11582" xr:uid="{00000000-0005-0000-0000-0000372D0000}"/>
    <cellStyle name="Comma  - Style2 31" xfId="11583" xr:uid="{00000000-0005-0000-0000-0000382D0000}"/>
    <cellStyle name="Comma  - Style2 32" xfId="11584" xr:uid="{00000000-0005-0000-0000-0000392D0000}"/>
    <cellStyle name="Comma  - Style2 33" xfId="11585" xr:uid="{00000000-0005-0000-0000-00003A2D0000}"/>
    <cellStyle name="Comma  - Style2 34" xfId="11586" xr:uid="{00000000-0005-0000-0000-00003B2D0000}"/>
    <cellStyle name="Comma  - Style2 35" xfId="11587" xr:uid="{00000000-0005-0000-0000-00003C2D0000}"/>
    <cellStyle name="Comma  - Style2 36" xfId="11588" xr:uid="{00000000-0005-0000-0000-00003D2D0000}"/>
    <cellStyle name="Comma  - Style2 37" xfId="11589" xr:uid="{00000000-0005-0000-0000-00003E2D0000}"/>
    <cellStyle name="Comma  - Style2 38" xfId="11590" xr:uid="{00000000-0005-0000-0000-00003F2D0000}"/>
    <cellStyle name="Comma  - Style2 4" xfId="11591" xr:uid="{00000000-0005-0000-0000-0000402D0000}"/>
    <cellStyle name="Comma  - Style2 5" xfId="11592" xr:uid="{00000000-0005-0000-0000-0000412D0000}"/>
    <cellStyle name="Comma  - Style2 6" xfId="11593" xr:uid="{00000000-0005-0000-0000-0000422D0000}"/>
    <cellStyle name="Comma  - Style2 7" xfId="11594" xr:uid="{00000000-0005-0000-0000-0000432D0000}"/>
    <cellStyle name="Comma  - Style2 8" xfId="11595" xr:uid="{00000000-0005-0000-0000-0000442D0000}"/>
    <cellStyle name="Comma  - Style2 9" xfId="11596" xr:uid="{00000000-0005-0000-0000-0000452D0000}"/>
    <cellStyle name="Comma  - Style3" xfId="11597" xr:uid="{00000000-0005-0000-0000-0000462D0000}"/>
    <cellStyle name="Comma  - Style3 10" xfId="11598" xr:uid="{00000000-0005-0000-0000-0000472D0000}"/>
    <cellStyle name="Comma  - Style3 11" xfId="11599" xr:uid="{00000000-0005-0000-0000-0000482D0000}"/>
    <cellStyle name="Comma  - Style3 12" xfId="11600" xr:uid="{00000000-0005-0000-0000-0000492D0000}"/>
    <cellStyle name="Comma  - Style3 13" xfId="11601" xr:uid="{00000000-0005-0000-0000-00004A2D0000}"/>
    <cellStyle name="Comma  - Style3 14" xfId="11602" xr:uid="{00000000-0005-0000-0000-00004B2D0000}"/>
    <cellStyle name="Comma  - Style3 15" xfId="11603" xr:uid="{00000000-0005-0000-0000-00004C2D0000}"/>
    <cellStyle name="Comma  - Style3 16" xfId="11604" xr:uid="{00000000-0005-0000-0000-00004D2D0000}"/>
    <cellStyle name="Comma  - Style3 17" xfId="11605" xr:uid="{00000000-0005-0000-0000-00004E2D0000}"/>
    <cellStyle name="Comma  - Style3 18" xfId="11606" xr:uid="{00000000-0005-0000-0000-00004F2D0000}"/>
    <cellStyle name="Comma  - Style3 19" xfId="11607" xr:uid="{00000000-0005-0000-0000-0000502D0000}"/>
    <cellStyle name="Comma  - Style3 2" xfId="11608" xr:uid="{00000000-0005-0000-0000-0000512D0000}"/>
    <cellStyle name="Comma  - Style3 20" xfId="11609" xr:uid="{00000000-0005-0000-0000-0000522D0000}"/>
    <cellStyle name="Comma  - Style3 21" xfId="11610" xr:uid="{00000000-0005-0000-0000-0000532D0000}"/>
    <cellStyle name="Comma  - Style3 22" xfId="11611" xr:uid="{00000000-0005-0000-0000-0000542D0000}"/>
    <cellStyle name="Comma  - Style3 23" xfId="11612" xr:uid="{00000000-0005-0000-0000-0000552D0000}"/>
    <cellStyle name="Comma  - Style3 24" xfId="11613" xr:uid="{00000000-0005-0000-0000-0000562D0000}"/>
    <cellStyle name="Comma  - Style3 25" xfId="11614" xr:uid="{00000000-0005-0000-0000-0000572D0000}"/>
    <cellStyle name="Comma  - Style3 26" xfId="11615" xr:uid="{00000000-0005-0000-0000-0000582D0000}"/>
    <cellStyle name="Comma  - Style3 27" xfId="11616" xr:uid="{00000000-0005-0000-0000-0000592D0000}"/>
    <cellStyle name="Comma  - Style3 28" xfId="11617" xr:uid="{00000000-0005-0000-0000-00005A2D0000}"/>
    <cellStyle name="Comma  - Style3 29" xfId="11618" xr:uid="{00000000-0005-0000-0000-00005B2D0000}"/>
    <cellStyle name="Comma  - Style3 29 2" xfId="11619" xr:uid="{00000000-0005-0000-0000-00005C2D0000}"/>
    <cellStyle name="Comma  - Style3 3" xfId="11620" xr:uid="{00000000-0005-0000-0000-00005D2D0000}"/>
    <cellStyle name="Comma  - Style3 30" xfId="11621" xr:uid="{00000000-0005-0000-0000-00005E2D0000}"/>
    <cellStyle name="Comma  - Style3 31" xfId="11622" xr:uid="{00000000-0005-0000-0000-00005F2D0000}"/>
    <cellStyle name="Comma  - Style3 32" xfId="11623" xr:uid="{00000000-0005-0000-0000-0000602D0000}"/>
    <cellStyle name="Comma  - Style3 33" xfId="11624" xr:uid="{00000000-0005-0000-0000-0000612D0000}"/>
    <cellStyle name="Comma  - Style3 34" xfId="11625" xr:uid="{00000000-0005-0000-0000-0000622D0000}"/>
    <cellStyle name="Comma  - Style3 35" xfId="11626" xr:uid="{00000000-0005-0000-0000-0000632D0000}"/>
    <cellStyle name="Comma  - Style3 36" xfId="11627" xr:uid="{00000000-0005-0000-0000-0000642D0000}"/>
    <cellStyle name="Comma  - Style3 37" xfId="11628" xr:uid="{00000000-0005-0000-0000-0000652D0000}"/>
    <cellStyle name="Comma  - Style3 38" xfId="11629" xr:uid="{00000000-0005-0000-0000-0000662D0000}"/>
    <cellStyle name="Comma  - Style3 4" xfId="11630" xr:uid="{00000000-0005-0000-0000-0000672D0000}"/>
    <cellStyle name="Comma  - Style3 5" xfId="11631" xr:uid="{00000000-0005-0000-0000-0000682D0000}"/>
    <cellStyle name="Comma  - Style3 6" xfId="11632" xr:uid="{00000000-0005-0000-0000-0000692D0000}"/>
    <cellStyle name="Comma  - Style3 7" xfId="11633" xr:uid="{00000000-0005-0000-0000-00006A2D0000}"/>
    <cellStyle name="Comma  - Style3 8" xfId="11634" xr:uid="{00000000-0005-0000-0000-00006B2D0000}"/>
    <cellStyle name="Comma  - Style3 9" xfId="11635" xr:uid="{00000000-0005-0000-0000-00006C2D0000}"/>
    <cellStyle name="Comma  - Style4" xfId="11636" xr:uid="{00000000-0005-0000-0000-00006D2D0000}"/>
    <cellStyle name="Comma  - Style4 10" xfId="11637" xr:uid="{00000000-0005-0000-0000-00006E2D0000}"/>
    <cellStyle name="Comma  - Style4 11" xfId="11638" xr:uid="{00000000-0005-0000-0000-00006F2D0000}"/>
    <cellStyle name="Comma  - Style4 12" xfId="11639" xr:uid="{00000000-0005-0000-0000-0000702D0000}"/>
    <cellStyle name="Comma  - Style4 13" xfId="11640" xr:uid="{00000000-0005-0000-0000-0000712D0000}"/>
    <cellStyle name="Comma  - Style4 14" xfId="11641" xr:uid="{00000000-0005-0000-0000-0000722D0000}"/>
    <cellStyle name="Comma  - Style4 15" xfId="11642" xr:uid="{00000000-0005-0000-0000-0000732D0000}"/>
    <cellStyle name="Comma  - Style4 16" xfId="11643" xr:uid="{00000000-0005-0000-0000-0000742D0000}"/>
    <cellStyle name="Comma  - Style4 17" xfId="11644" xr:uid="{00000000-0005-0000-0000-0000752D0000}"/>
    <cellStyle name="Comma  - Style4 18" xfId="11645" xr:uid="{00000000-0005-0000-0000-0000762D0000}"/>
    <cellStyle name="Comma  - Style4 19" xfId="11646" xr:uid="{00000000-0005-0000-0000-0000772D0000}"/>
    <cellStyle name="Comma  - Style4 2" xfId="11647" xr:uid="{00000000-0005-0000-0000-0000782D0000}"/>
    <cellStyle name="Comma  - Style4 20" xfId="11648" xr:uid="{00000000-0005-0000-0000-0000792D0000}"/>
    <cellStyle name="Comma  - Style4 21" xfId="11649" xr:uid="{00000000-0005-0000-0000-00007A2D0000}"/>
    <cellStyle name="Comma  - Style4 22" xfId="11650" xr:uid="{00000000-0005-0000-0000-00007B2D0000}"/>
    <cellStyle name="Comma  - Style4 23" xfId="11651" xr:uid="{00000000-0005-0000-0000-00007C2D0000}"/>
    <cellStyle name="Comma  - Style4 24" xfId="11652" xr:uid="{00000000-0005-0000-0000-00007D2D0000}"/>
    <cellStyle name="Comma  - Style4 25" xfId="11653" xr:uid="{00000000-0005-0000-0000-00007E2D0000}"/>
    <cellStyle name="Comma  - Style4 26" xfId="11654" xr:uid="{00000000-0005-0000-0000-00007F2D0000}"/>
    <cellStyle name="Comma  - Style4 27" xfId="11655" xr:uid="{00000000-0005-0000-0000-0000802D0000}"/>
    <cellStyle name="Comma  - Style4 28" xfId="11656" xr:uid="{00000000-0005-0000-0000-0000812D0000}"/>
    <cellStyle name="Comma  - Style4 29" xfId="11657" xr:uid="{00000000-0005-0000-0000-0000822D0000}"/>
    <cellStyle name="Comma  - Style4 29 2" xfId="11658" xr:uid="{00000000-0005-0000-0000-0000832D0000}"/>
    <cellStyle name="Comma  - Style4 3" xfId="11659" xr:uid="{00000000-0005-0000-0000-0000842D0000}"/>
    <cellStyle name="Comma  - Style4 30" xfId="11660" xr:uid="{00000000-0005-0000-0000-0000852D0000}"/>
    <cellStyle name="Comma  - Style4 31" xfId="11661" xr:uid="{00000000-0005-0000-0000-0000862D0000}"/>
    <cellStyle name="Comma  - Style4 32" xfId="11662" xr:uid="{00000000-0005-0000-0000-0000872D0000}"/>
    <cellStyle name="Comma  - Style4 33" xfId="11663" xr:uid="{00000000-0005-0000-0000-0000882D0000}"/>
    <cellStyle name="Comma  - Style4 34" xfId="11664" xr:uid="{00000000-0005-0000-0000-0000892D0000}"/>
    <cellStyle name="Comma  - Style4 35" xfId="11665" xr:uid="{00000000-0005-0000-0000-00008A2D0000}"/>
    <cellStyle name="Comma  - Style4 36" xfId="11666" xr:uid="{00000000-0005-0000-0000-00008B2D0000}"/>
    <cellStyle name="Comma  - Style4 37" xfId="11667" xr:uid="{00000000-0005-0000-0000-00008C2D0000}"/>
    <cellStyle name="Comma  - Style4 38" xfId="11668" xr:uid="{00000000-0005-0000-0000-00008D2D0000}"/>
    <cellStyle name="Comma  - Style4 4" xfId="11669" xr:uid="{00000000-0005-0000-0000-00008E2D0000}"/>
    <cellStyle name="Comma  - Style4 5" xfId="11670" xr:uid="{00000000-0005-0000-0000-00008F2D0000}"/>
    <cellStyle name="Comma  - Style4 6" xfId="11671" xr:uid="{00000000-0005-0000-0000-0000902D0000}"/>
    <cellStyle name="Comma  - Style4 7" xfId="11672" xr:uid="{00000000-0005-0000-0000-0000912D0000}"/>
    <cellStyle name="Comma  - Style4 8" xfId="11673" xr:uid="{00000000-0005-0000-0000-0000922D0000}"/>
    <cellStyle name="Comma  - Style4 9" xfId="11674" xr:uid="{00000000-0005-0000-0000-0000932D0000}"/>
    <cellStyle name="Comma  - Style5" xfId="11675" xr:uid="{00000000-0005-0000-0000-0000942D0000}"/>
    <cellStyle name="Comma  - Style5 10" xfId="11676" xr:uid="{00000000-0005-0000-0000-0000952D0000}"/>
    <cellStyle name="Comma  - Style5 11" xfId="11677" xr:uid="{00000000-0005-0000-0000-0000962D0000}"/>
    <cellStyle name="Comma  - Style5 12" xfId="11678" xr:uid="{00000000-0005-0000-0000-0000972D0000}"/>
    <cellStyle name="Comma  - Style5 13" xfId="11679" xr:uid="{00000000-0005-0000-0000-0000982D0000}"/>
    <cellStyle name="Comma  - Style5 14" xfId="11680" xr:uid="{00000000-0005-0000-0000-0000992D0000}"/>
    <cellStyle name="Comma  - Style5 15" xfId="11681" xr:uid="{00000000-0005-0000-0000-00009A2D0000}"/>
    <cellStyle name="Comma  - Style5 16" xfId="11682" xr:uid="{00000000-0005-0000-0000-00009B2D0000}"/>
    <cellStyle name="Comma  - Style5 17" xfId="11683" xr:uid="{00000000-0005-0000-0000-00009C2D0000}"/>
    <cellStyle name="Comma  - Style5 18" xfId="11684" xr:uid="{00000000-0005-0000-0000-00009D2D0000}"/>
    <cellStyle name="Comma  - Style5 19" xfId="11685" xr:uid="{00000000-0005-0000-0000-00009E2D0000}"/>
    <cellStyle name="Comma  - Style5 2" xfId="11686" xr:uid="{00000000-0005-0000-0000-00009F2D0000}"/>
    <cellStyle name="Comma  - Style5 20" xfId="11687" xr:uid="{00000000-0005-0000-0000-0000A02D0000}"/>
    <cellStyle name="Comma  - Style5 21" xfId="11688" xr:uid="{00000000-0005-0000-0000-0000A12D0000}"/>
    <cellStyle name="Comma  - Style5 22" xfId="11689" xr:uid="{00000000-0005-0000-0000-0000A22D0000}"/>
    <cellStyle name="Comma  - Style5 23" xfId="11690" xr:uid="{00000000-0005-0000-0000-0000A32D0000}"/>
    <cellStyle name="Comma  - Style5 24" xfId="11691" xr:uid="{00000000-0005-0000-0000-0000A42D0000}"/>
    <cellStyle name="Comma  - Style5 25" xfId="11692" xr:uid="{00000000-0005-0000-0000-0000A52D0000}"/>
    <cellStyle name="Comma  - Style5 26" xfId="11693" xr:uid="{00000000-0005-0000-0000-0000A62D0000}"/>
    <cellStyle name="Comma  - Style5 27" xfId="11694" xr:uid="{00000000-0005-0000-0000-0000A72D0000}"/>
    <cellStyle name="Comma  - Style5 28" xfId="11695" xr:uid="{00000000-0005-0000-0000-0000A82D0000}"/>
    <cellStyle name="Comma  - Style5 29" xfId="11696" xr:uid="{00000000-0005-0000-0000-0000A92D0000}"/>
    <cellStyle name="Comma  - Style5 29 2" xfId="11697" xr:uid="{00000000-0005-0000-0000-0000AA2D0000}"/>
    <cellStyle name="Comma  - Style5 3" xfId="11698" xr:uid="{00000000-0005-0000-0000-0000AB2D0000}"/>
    <cellStyle name="Comma  - Style5 30" xfId="11699" xr:uid="{00000000-0005-0000-0000-0000AC2D0000}"/>
    <cellStyle name="Comma  - Style5 31" xfId="11700" xr:uid="{00000000-0005-0000-0000-0000AD2D0000}"/>
    <cellStyle name="Comma  - Style5 32" xfId="11701" xr:uid="{00000000-0005-0000-0000-0000AE2D0000}"/>
    <cellStyle name="Comma  - Style5 33" xfId="11702" xr:uid="{00000000-0005-0000-0000-0000AF2D0000}"/>
    <cellStyle name="Comma  - Style5 34" xfId="11703" xr:uid="{00000000-0005-0000-0000-0000B02D0000}"/>
    <cellStyle name="Comma  - Style5 35" xfId="11704" xr:uid="{00000000-0005-0000-0000-0000B12D0000}"/>
    <cellStyle name="Comma  - Style5 36" xfId="11705" xr:uid="{00000000-0005-0000-0000-0000B22D0000}"/>
    <cellStyle name="Comma  - Style5 37" xfId="11706" xr:uid="{00000000-0005-0000-0000-0000B32D0000}"/>
    <cellStyle name="Comma  - Style5 38" xfId="11707" xr:uid="{00000000-0005-0000-0000-0000B42D0000}"/>
    <cellStyle name="Comma  - Style5 4" xfId="11708" xr:uid="{00000000-0005-0000-0000-0000B52D0000}"/>
    <cellStyle name="Comma  - Style5 5" xfId="11709" xr:uid="{00000000-0005-0000-0000-0000B62D0000}"/>
    <cellStyle name="Comma  - Style5 6" xfId="11710" xr:uid="{00000000-0005-0000-0000-0000B72D0000}"/>
    <cellStyle name="Comma  - Style5 7" xfId="11711" xr:uid="{00000000-0005-0000-0000-0000B82D0000}"/>
    <cellStyle name="Comma  - Style5 8" xfId="11712" xr:uid="{00000000-0005-0000-0000-0000B92D0000}"/>
    <cellStyle name="Comma  - Style5 9" xfId="11713" xr:uid="{00000000-0005-0000-0000-0000BA2D0000}"/>
    <cellStyle name="Comma  - Style6" xfId="11714" xr:uid="{00000000-0005-0000-0000-0000BB2D0000}"/>
    <cellStyle name="Comma  - Style6 10" xfId="11715" xr:uid="{00000000-0005-0000-0000-0000BC2D0000}"/>
    <cellStyle name="Comma  - Style6 11" xfId="11716" xr:uid="{00000000-0005-0000-0000-0000BD2D0000}"/>
    <cellStyle name="Comma  - Style6 12" xfId="11717" xr:uid="{00000000-0005-0000-0000-0000BE2D0000}"/>
    <cellStyle name="Comma  - Style6 13" xfId="11718" xr:uid="{00000000-0005-0000-0000-0000BF2D0000}"/>
    <cellStyle name="Comma  - Style6 14" xfId="11719" xr:uid="{00000000-0005-0000-0000-0000C02D0000}"/>
    <cellStyle name="Comma  - Style6 15" xfId="11720" xr:uid="{00000000-0005-0000-0000-0000C12D0000}"/>
    <cellStyle name="Comma  - Style6 16" xfId="11721" xr:uid="{00000000-0005-0000-0000-0000C22D0000}"/>
    <cellStyle name="Comma  - Style6 17" xfId="11722" xr:uid="{00000000-0005-0000-0000-0000C32D0000}"/>
    <cellStyle name="Comma  - Style6 18" xfId="11723" xr:uid="{00000000-0005-0000-0000-0000C42D0000}"/>
    <cellStyle name="Comma  - Style6 19" xfId="11724" xr:uid="{00000000-0005-0000-0000-0000C52D0000}"/>
    <cellStyle name="Comma  - Style6 2" xfId="11725" xr:uid="{00000000-0005-0000-0000-0000C62D0000}"/>
    <cellStyle name="Comma  - Style6 20" xfId="11726" xr:uid="{00000000-0005-0000-0000-0000C72D0000}"/>
    <cellStyle name="Comma  - Style6 21" xfId="11727" xr:uid="{00000000-0005-0000-0000-0000C82D0000}"/>
    <cellStyle name="Comma  - Style6 22" xfId="11728" xr:uid="{00000000-0005-0000-0000-0000C92D0000}"/>
    <cellStyle name="Comma  - Style6 23" xfId="11729" xr:uid="{00000000-0005-0000-0000-0000CA2D0000}"/>
    <cellStyle name="Comma  - Style6 24" xfId="11730" xr:uid="{00000000-0005-0000-0000-0000CB2D0000}"/>
    <cellStyle name="Comma  - Style6 25" xfId="11731" xr:uid="{00000000-0005-0000-0000-0000CC2D0000}"/>
    <cellStyle name="Comma  - Style6 26" xfId="11732" xr:uid="{00000000-0005-0000-0000-0000CD2D0000}"/>
    <cellStyle name="Comma  - Style6 27" xfId="11733" xr:uid="{00000000-0005-0000-0000-0000CE2D0000}"/>
    <cellStyle name="Comma  - Style6 28" xfId="11734" xr:uid="{00000000-0005-0000-0000-0000CF2D0000}"/>
    <cellStyle name="Comma  - Style6 29" xfId="11735" xr:uid="{00000000-0005-0000-0000-0000D02D0000}"/>
    <cellStyle name="Comma  - Style6 29 2" xfId="11736" xr:uid="{00000000-0005-0000-0000-0000D12D0000}"/>
    <cellStyle name="Comma  - Style6 3" xfId="11737" xr:uid="{00000000-0005-0000-0000-0000D22D0000}"/>
    <cellStyle name="Comma  - Style6 30" xfId="11738" xr:uid="{00000000-0005-0000-0000-0000D32D0000}"/>
    <cellStyle name="Comma  - Style6 31" xfId="11739" xr:uid="{00000000-0005-0000-0000-0000D42D0000}"/>
    <cellStyle name="Comma  - Style6 32" xfId="11740" xr:uid="{00000000-0005-0000-0000-0000D52D0000}"/>
    <cellStyle name="Comma  - Style6 33" xfId="11741" xr:uid="{00000000-0005-0000-0000-0000D62D0000}"/>
    <cellStyle name="Comma  - Style6 34" xfId="11742" xr:uid="{00000000-0005-0000-0000-0000D72D0000}"/>
    <cellStyle name="Comma  - Style6 35" xfId="11743" xr:uid="{00000000-0005-0000-0000-0000D82D0000}"/>
    <cellStyle name="Comma  - Style6 36" xfId="11744" xr:uid="{00000000-0005-0000-0000-0000D92D0000}"/>
    <cellStyle name="Comma  - Style6 37" xfId="11745" xr:uid="{00000000-0005-0000-0000-0000DA2D0000}"/>
    <cellStyle name="Comma  - Style6 38" xfId="11746" xr:uid="{00000000-0005-0000-0000-0000DB2D0000}"/>
    <cellStyle name="Comma  - Style6 4" xfId="11747" xr:uid="{00000000-0005-0000-0000-0000DC2D0000}"/>
    <cellStyle name="Comma  - Style6 5" xfId="11748" xr:uid="{00000000-0005-0000-0000-0000DD2D0000}"/>
    <cellStyle name="Comma  - Style6 6" xfId="11749" xr:uid="{00000000-0005-0000-0000-0000DE2D0000}"/>
    <cellStyle name="Comma  - Style6 7" xfId="11750" xr:uid="{00000000-0005-0000-0000-0000DF2D0000}"/>
    <cellStyle name="Comma  - Style6 8" xfId="11751" xr:uid="{00000000-0005-0000-0000-0000E02D0000}"/>
    <cellStyle name="Comma  - Style6 9" xfId="11752" xr:uid="{00000000-0005-0000-0000-0000E12D0000}"/>
    <cellStyle name="Comma  - Style7" xfId="11753" xr:uid="{00000000-0005-0000-0000-0000E22D0000}"/>
    <cellStyle name="Comma  - Style7 10" xfId="11754" xr:uid="{00000000-0005-0000-0000-0000E32D0000}"/>
    <cellStyle name="Comma  - Style7 11" xfId="11755" xr:uid="{00000000-0005-0000-0000-0000E42D0000}"/>
    <cellStyle name="Comma  - Style7 12" xfId="11756" xr:uid="{00000000-0005-0000-0000-0000E52D0000}"/>
    <cellStyle name="Comma  - Style7 13" xfId="11757" xr:uid="{00000000-0005-0000-0000-0000E62D0000}"/>
    <cellStyle name="Comma  - Style7 14" xfId="11758" xr:uid="{00000000-0005-0000-0000-0000E72D0000}"/>
    <cellStyle name="Comma  - Style7 15" xfId="11759" xr:uid="{00000000-0005-0000-0000-0000E82D0000}"/>
    <cellStyle name="Comma  - Style7 16" xfId="11760" xr:uid="{00000000-0005-0000-0000-0000E92D0000}"/>
    <cellStyle name="Comma  - Style7 17" xfId="11761" xr:uid="{00000000-0005-0000-0000-0000EA2D0000}"/>
    <cellStyle name="Comma  - Style7 18" xfId="11762" xr:uid="{00000000-0005-0000-0000-0000EB2D0000}"/>
    <cellStyle name="Comma  - Style7 19" xfId="11763" xr:uid="{00000000-0005-0000-0000-0000EC2D0000}"/>
    <cellStyle name="Comma  - Style7 2" xfId="11764" xr:uid="{00000000-0005-0000-0000-0000ED2D0000}"/>
    <cellStyle name="Comma  - Style7 20" xfId="11765" xr:uid="{00000000-0005-0000-0000-0000EE2D0000}"/>
    <cellStyle name="Comma  - Style7 21" xfId="11766" xr:uid="{00000000-0005-0000-0000-0000EF2D0000}"/>
    <cellStyle name="Comma  - Style7 22" xfId="11767" xr:uid="{00000000-0005-0000-0000-0000F02D0000}"/>
    <cellStyle name="Comma  - Style7 23" xfId="11768" xr:uid="{00000000-0005-0000-0000-0000F12D0000}"/>
    <cellStyle name="Comma  - Style7 24" xfId="11769" xr:uid="{00000000-0005-0000-0000-0000F22D0000}"/>
    <cellStyle name="Comma  - Style7 25" xfId="11770" xr:uid="{00000000-0005-0000-0000-0000F32D0000}"/>
    <cellStyle name="Comma  - Style7 26" xfId="11771" xr:uid="{00000000-0005-0000-0000-0000F42D0000}"/>
    <cellStyle name="Comma  - Style7 27" xfId="11772" xr:uid="{00000000-0005-0000-0000-0000F52D0000}"/>
    <cellStyle name="Comma  - Style7 28" xfId="11773" xr:uid="{00000000-0005-0000-0000-0000F62D0000}"/>
    <cellStyle name="Comma  - Style7 29" xfId="11774" xr:uid="{00000000-0005-0000-0000-0000F72D0000}"/>
    <cellStyle name="Comma  - Style7 29 2" xfId="11775" xr:uid="{00000000-0005-0000-0000-0000F82D0000}"/>
    <cellStyle name="Comma  - Style7 3" xfId="11776" xr:uid="{00000000-0005-0000-0000-0000F92D0000}"/>
    <cellStyle name="Comma  - Style7 30" xfId="11777" xr:uid="{00000000-0005-0000-0000-0000FA2D0000}"/>
    <cellStyle name="Comma  - Style7 31" xfId="11778" xr:uid="{00000000-0005-0000-0000-0000FB2D0000}"/>
    <cellStyle name="Comma  - Style7 32" xfId="11779" xr:uid="{00000000-0005-0000-0000-0000FC2D0000}"/>
    <cellStyle name="Comma  - Style7 33" xfId="11780" xr:uid="{00000000-0005-0000-0000-0000FD2D0000}"/>
    <cellStyle name="Comma  - Style7 34" xfId="11781" xr:uid="{00000000-0005-0000-0000-0000FE2D0000}"/>
    <cellStyle name="Comma  - Style7 35" xfId="11782" xr:uid="{00000000-0005-0000-0000-0000FF2D0000}"/>
    <cellStyle name="Comma  - Style7 36" xfId="11783" xr:uid="{00000000-0005-0000-0000-0000002E0000}"/>
    <cellStyle name="Comma  - Style7 37" xfId="11784" xr:uid="{00000000-0005-0000-0000-0000012E0000}"/>
    <cellStyle name="Comma  - Style7 38" xfId="11785" xr:uid="{00000000-0005-0000-0000-0000022E0000}"/>
    <cellStyle name="Comma  - Style7 4" xfId="11786" xr:uid="{00000000-0005-0000-0000-0000032E0000}"/>
    <cellStyle name="Comma  - Style7 5" xfId="11787" xr:uid="{00000000-0005-0000-0000-0000042E0000}"/>
    <cellStyle name="Comma  - Style7 6" xfId="11788" xr:uid="{00000000-0005-0000-0000-0000052E0000}"/>
    <cellStyle name="Comma  - Style7 7" xfId="11789" xr:uid="{00000000-0005-0000-0000-0000062E0000}"/>
    <cellStyle name="Comma  - Style7 8" xfId="11790" xr:uid="{00000000-0005-0000-0000-0000072E0000}"/>
    <cellStyle name="Comma  - Style7 9" xfId="11791" xr:uid="{00000000-0005-0000-0000-0000082E0000}"/>
    <cellStyle name="Comma  - Style8" xfId="11792" xr:uid="{00000000-0005-0000-0000-0000092E0000}"/>
    <cellStyle name="Comma  - Style8 10" xfId="11793" xr:uid="{00000000-0005-0000-0000-00000A2E0000}"/>
    <cellStyle name="Comma  - Style8 11" xfId="11794" xr:uid="{00000000-0005-0000-0000-00000B2E0000}"/>
    <cellStyle name="Comma  - Style8 12" xfId="11795" xr:uid="{00000000-0005-0000-0000-00000C2E0000}"/>
    <cellStyle name="Comma  - Style8 13" xfId="11796" xr:uid="{00000000-0005-0000-0000-00000D2E0000}"/>
    <cellStyle name="Comma  - Style8 14" xfId="11797" xr:uid="{00000000-0005-0000-0000-00000E2E0000}"/>
    <cellStyle name="Comma  - Style8 15" xfId="11798" xr:uid="{00000000-0005-0000-0000-00000F2E0000}"/>
    <cellStyle name="Comma  - Style8 16" xfId="11799" xr:uid="{00000000-0005-0000-0000-0000102E0000}"/>
    <cellStyle name="Comma  - Style8 17" xfId="11800" xr:uid="{00000000-0005-0000-0000-0000112E0000}"/>
    <cellStyle name="Comma  - Style8 18" xfId="11801" xr:uid="{00000000-0005-0000-0000-0000122E0000}"/>
    <cellStyle name="Comma  - Style8 19" xfId="11802" xr:uid="{00000000-0005-0000-0000-0000132E0000}"/>
    <cellStyle name="Comma  - Style8 2" xfId="11803" xr:uid="{00000000-0005-0000-0000-0000142E0000}"/>
    <cellStyle name="Comma  - Style8 20" xfId="11804" xr:uid="{00000000-0005-0000-0000-0000152E0000}"/>
    <cellStyle name="Comma  - Style8 21" xfId="11805" xr:uid="{00000000-0005-0000-0000-0000162E0000}"/>
    <cellStyle name="Comma  - Style8 22" xfId="11806" xr:uid="{00000000-0005-0000-0000-0000172E0000}"/>
    <cellStyle name="Comma  - Style8 23" xfId="11807" xr:uid="{00000000-0005-0000-0000-0000182E0000}"/>
    <cellStyle name="Comma  - Style8 24" xfId="11808" xr:uid="{00000000-0005-0000-0000-0000192E0000}"/>
    <cellStyle name="Comma  - Style8 25" xfId="11809" xr:uid="{00000000-0005-0000-0000-00001A2E0000}"/>
    <cellStyle name="Comma  - Style8 26" xfId="11810" xr:uid="{00000000-0005-0000-0000-00001B2E0000}"/>
    <cellStyle name="Comma  - Style8 27" xfId="11811" xr:uid="{00000000-0005-0000-0000-00001C2E0000}"/>
    <cellStyle name="Comma  - Style8 28" xfId="11812" xr:uid="{00000000-0005-0000-0000-00001D2E0000}"/>
    <cellStyle name="Comma  - Style8 29" xfId="11813" xr:uid="{00000000-0005-0000-0000-00001E2E0000}"/>
    <cellStyle name="Comma  - Style8 29 2" xfId="11814" xr:uid="{00000000-0005-0000-0000-00001F2E0000}"/>
    <cellStyle name="Comma  - Style8 3" xfId="11815" xr:uid="{00000000-0005-0000-0000-0000202E0000}"/>
    <cellStyle name="Comma  - Style8 30" xfId="11816" xr:uid="{00000000-0005-0000-0000-0000212E0000}"/>
    <cellStyle name="Comma  - Style8 31" xfId="11817" xr:uid="{00000000-0005-0000-0000-0000222E0000}"/>
    <cellStyle name="Comma  - Style8 32" xfId="11818" xr:uid="{00000000-0005-0000-0000-0000232E0000}"/>
    <cellStyle name="Comma  - Style8 33" xfId="11819" xr:uid="{00000000-0005-0000-0000-0000242E0000}"/>
    <cellStyle name="Comma  - Style8 34" xfId="11820" xr:uid="{00000000-0005-0000-0000-0000252E0000}"/>
    <cellStyle name="Comma  - Style8 35" xfId="11821" xr:uid="{00000000-0005-0000-0000-0000262E0000}"/>
    <cellStyle name="Comma  - Style8 36" xfId="11822" xr:uid="{00000000-0005-0000-0000-0000272E0000}"/>
    <cellStyle name="Comma  - Style8 37" xfId="11823" xr:uid="{00000000-0005-0000-0000-0000282E0000}"/>
    <cellStyle name="Comma  - Style8 38" xfId="11824" xr:uid="{00000000-0005-0000-0000-0000292E0000}"/>
    <cellStyle name="Comma  - Style8 4" xfId="11825" xr:uid="{00000000-0005-0000-0000-00002A2E0000}"/>
    <cellStyle name="Comma  - Style8 5" xfId="11826" xr:uid="{00000000-0005-0000-0000-00002B2E0000}"/>
    <cellStyle name="Comma  - Style8 6" xfId="11827" xr:uid="{00000000-0005-0000-0000-00002C2E0000}"/>
    <cellStyle name="Comma  - Style8 7" xfId="11828" xr:uid="{00000000-0005-0000-0000-00002D2E0000}"/>
    <cellStyle name="Comma  - Style8 8" xfId="11829" xr:uid="{00000000-0005-0000-0000-00002E2E0000}"/>
    <cellStyle name="Comma  - Style8 9" xfId="11830" xr:uid="{00000000-0005-0000-0000-00002F2E0000}"/>
    <cellStyle name="comma - number" xfId="11831" xr:uid="{00000000-0005-0000-0000-0000302E0000}"/>
    <cellStyle name="comma - number 10" xfId="11832" xr:uid="{00000000-0005-0000-0000-0000312E0000}"/>
    <cellStyle name="comma - number 11" xfId="11833" xr:uid="{00000000-0005-0000-0000-0000322E0000}"/>
    <cellStyle name="comma - number 12" xfId="11834" xr:uid="{00000000-0005-0000-0000-0000332E0000}"/>
    <cellStyle name="comma - number 13" xfId="11835" xr:uid="{00000000-0005-0000-0000-0000342E0000}"/>
    <cellStyle name="comma - number 14" xfId="11836" xr:uid="{00000000-0005-0000-0000-0000352E0000}"/>
    <cellStyle name="comma - number 15" xfId="11837" xr:uid="{00000000-0005-0000-0000-0000362E0000}"/>
    <cellStyle name="comma - number 16" xfId="11838" xr:uid="{00000000-0005-0000-0000-0000372E0000}"/>
    <cellStyle name="comma - number 17" xfId="11839" xr:uid="{00000000-0005-0000-0000-0000382E0000}"/>
    <cellStyle name="comma - number 18" xfId="11840" xr:uid="{00000000-0005-0000-0000-0000392E0000}"/>
    <cellStyle name="comma - number 19" xfId="11841" xr:uid="{00000000-0005-0000-0000-00003A2E0000}"/>
    <cellStyle name="comma - number 2" xfId="11842" xr:uid="{00000000-0005-0000-0000-00003B2E0000}"/>
    <cellStyle name="comma - number 20" xfId="11843" xr:uid="{00000000-0005-0000-0000-00003C2E0000}"/>
    <cellStyle name="comma - number 21" xfId="11844" xr:uid="{00000000-0005-0000-0000-00003D2E0000}"/>
    <cellStyle name="comma - number 22" xfId="11845" xr:uid="{00000000-0005-0000-0000-00003E2E0000}"/>
    <cellStyle name="comma - number 23" xfId="11846" xr:uid="{00000000-0005-0000-0000-00003F2E0000}"/>
    <cellStyle name="comma - number 24" xfId="11847" xr:uid="{00000000-0005-0000-0000-0000402E0000}"/>
    <cellStyle name="comma - number 25" xfId="11848" xr:uid="{00000000-0005-0000-0000-0000412E0000}"/>
    <cellStyle name="comma - number 26" xfId="11849" xr:uid="{00000000-0005-0000-0000-0000422E0000}"/>
    <cellStyle name="comma - number 27" xfId="11850" xr:uid="{00000000-0005-0000-0000-0000432E0000}"/>
    <cellStyle name="comma - number 28" xfId="11851" xr:uid="{00000000-0005-0000-0000-0000442E0000}"/>
    <cellStyle name="comma - number 29" xfId="11852" xr:uid="{00000000-0005-0000-0000-0000452E0000}"/>
    <cellStyle name="comma - number 29 2" xfId="11853" xr:uid="{00000000-0005-0000-0000-0000462E0000}"/>
    <cellStyle name="comma - number 3" xfId="11854" xr:uid="{00000000-0005-0000-0000-0000472E0000}"/>
    <cellStyle name="comma - number 30" xfId="11855" xr:uid="{00000000-0005-0000-0000-0000482E0000}"/>
    <cellStyle name="comma - number 31" xfId="11856" xr:uid="{00000000-0005-0000-0000-0000492E0000}"/>
    <cellStyle name="comma - number 32" xfId="11857" xr:uid="{00000000-0005-0000-0000-00004A2E0000}"/>
    <cellStyle name="comma - number 33" xfId="11858" xr:uid="{00000000-0005-0000-0000-00004B2E0000}"/>
    <cellStyle name="comma - number 34" xfId="11859" xr:uid="{00000000-0005-0000-0000-00004C2E0000}"/>
    <cellStyle name="comma - number 35" xfId="11860" xr:uid="{00000000-0005-0000-0000-00004D2E0000}"/>
    <cellStyle name="comma - number 36" xfId="11861" xr:uid="{00000000-0005-0000-0000-00004E2E0000}"/>
    <cellStyle name="comma - number 37" xfId="11862" xr:uid="{00000000-0005-0000-0000-00004F2E0000}"/>
    <cellStyle name="comma - number 38" xfId="11863" xr:uid="{00000000-0005-0000-0000-0000502E0000}"/>
    <cellStyle name="comma - number 4" xfId="11864" xr:uid="{00000000-0005-0000-0000-0000512E0000}"/>
    <cellStyle name="comma - number 5" xfId="11865" xr:uid="{00000000-0005-0000-0000-0000522E0000}"/>
    <cellStyle name="comma - number 6" xfId="11866" xr:uid="{00000000-0005-0000-0000-0000532E0000}"/>
    <cellStyle name="comma - number 7" xfId="11867" xr:uid="{00000000-0005-0000-0000-0000542E0000}"/>
    <cellStyle name="comma - number 8" xfId="11868" xr:uid="{00000000-0005-0000-0000-0000552E0000}"/>
    <cellStyle name="comma - number 9" xfId="11869" xr:uid="{00000000-0005-0000-0000-0000562E0000}"/>
    <cellStyle name="Comma %" xfId="11870" xr:uid="{00000000-0005-0000-0000-0000572E0000}"/>
    <cellStyle name="Comma % 10" xfId="11871" xr:uid="{00000000-0005-0000-0000-0000582E0000}"/>
    <cellStyle name="Comma % 11" xfId="11872" xr:uid="{00000000-0005-0000-0000-0000592E0000}"/>
    <cellStyle name="Comma % 12" xfId="11873" xr:uid="{00000000-0005-0000-0000-00005A2E0000}"/>
    <cellStyle name="Comma % 13" xfId="11874" xr:uid="{00000000-0005-0000-0000-00005B2E0000}"/>
    <cellStyle name="Comma % 14" xfId="11875" xr:uid="{00000000-0005-0000-0000-00005C2E0000}"/>
    <cellStyle name="Comma % 15" xfId="11876" xr:uid="{00000000-0005-0000-0000-00005D2E0000}"/>
    <cellStyle name="Comma % 16" xfId="11877" xr:uid="{00000000-0005-0000-0000-00005E2E0000}"/>
    <cellStyle name="Comma % 17" xfId="11878" xr:uid="{00000000-0005-0000-0000-00005F2E0000}"/>
    <cellStyle name="Comma % 18" xfId="11879" xr:uid="{00000000-0005-0000-0000-0000602E0000}"/>
    <cellStyle name="Comma % 19" xfId="11880" xr:uid="{00000000-0005-0000-0000-0000612E0000}"/>
    <cellStyle name="Comma % 2" xfId="11881" xr:uid="{00000000-0005-0000-0000-0000622E0000}"/>
    <cellStyle name="Comma % 20" xfId="11882" xr:uid="{00000000-0005-0000-0000-0000632E0000}"/>
    <cellStyle name="Comma % 21" xfId="11883" xr:uid="{00000000-0005-0000-0000-0000642E0000}"/>
    <cellStyle name="Comma % 22" xfId="11884" xr:uid="{00000000-0005-0000-0000-0000652E0000}"/>
    <cellStyle name="Comma % 23" xfId="11885" xr:uid="{00000000-0005-0000-0000-0000662E0000}"/>
    <cellStyle name="Comma % 23 2" xfId="11886" xr:uid="{00000000-0005-0000-0000-0000672E0000}"/>
    <cellStyle name="Comma % 24" xfId="11887" xr:uid="{00000000-0005-0000-0000-0000682E0000}"/>
    <cellStyle name="Comma % 24 2" xfId="11888" xr:uid="{00000000-0005-0000-0000-0000692E0000}"/>
    <cellStyle name="Comma % 25" xfId="11889" xr:uid="{00000000-0005-0000-0000-00006A2E0000}"/>
    <cellStyle name="Comma % 26" xfId="11890" xr:uid="{00000000-0005-0000-0000-00006B2E0000}"/>
    <cellStyle name="Comma % 27" xfId="11891" xr:uid="{00000000-0005-0000-0000-00006C2E0000}"/>
    <cellStyle name="Comma % 28" xfId="11892" xr:uid="{00000000-0005-0000-0000-00006D2E0000}"/>
    <cellStyle name="Comma % 29" xfId="11893" xr:uid="{00000000-0005-0000-0000-00006E2E0000}"/>
    <cellStyle name="Comma % 3" xfId="11894" xr:uid="{00000000-0005-0000-0000-00006F2E0000}"/>
    <cellStyle name="Comma % 3 2" xfId="11895" xr:uid="{00000000-0005-0000-0000-0000702E0000}"/>
    <cellStyle name="Comma % 30" xfId="11896" xr:uid="{00000000-0005-0000-0000-0000712E0000}"/>
    <cellStyle name="Comma % 31" xfId="11897" xr:uid="{00000000-0005-0000-0000-0000722E0000}"/>
    <cellStyle name="Comma % 32" xfId="11898" xr:uid="{00000000-0005-0000-0000-0000732E0000}"/>
    <cellStyle name="Comma % 33" xfId="11899" xr:uid="{00000000-0005-0000-0000-0000742E0000}"/>
    <cellStyle name="Comma % 34" xfId="11900" xr:uid="{00000000-0005-0000-0000-0000752E0000}"/>
    <cellStyle name="Comma % 35" xfId="11901" xr:uid="{00000000-0005-0000-0000-0000762E0000}"/>
    <cellStyle name="Comma % 36" xfId="11902" xr:uid="{00000000-0005-0000-0000-0000772E0000}"/>
    <cellStyle name="Comma % 37" xfId="11903" xr:uid="{00000000-0005-0000-0000-0000782E0000}"/>
    <cellStyle name="Comma % 38" xfId="11904" xr:uid="{00000000-0005-0000-0000-0000792E0000}"/>
    <cellStyle name="Comma % 4" xfId="11905" xr:uid="{00000000-0005-0000-0000-00007A2E0000}"/>
    <cellStyle name="Comma % 4 2" xfId="11906" xr:uid="{00000000-0005-0000-0000-00007B2E0000}"/>
    <cellStyle name="Comma % 5" xfId="11907" xr:uid="{00000000-0005-0000-0000-00007C2E0000}"/>
    <cellStyle name="Comma % 5 2" xfId="11908" xr:uid="{00000000-0005-0000-0000-00007D2E0000}"/>
    <cellStyle name="Comma % 6" xfId="11909" xr:uid="{00000000-0005-0000-0000-00007E2E0000}"/>
    <cellStyle name="Comma % 6 2" xfId="11910" xr:uid="{00000000-0005-0000-0000-00007F2E0000}"/>
    <cellStyle name="Comma % 7" xfId="11911" xr:uid="{00000000-0005-0000-0000-0000802E0000}"/>
    <cellStyle name="Comma % 7 2" xfId="11912" xr:uid="{00000000-0005-0000-0000-0000812E0000}"/>
    <cellStyle name="Comma % 8" xfId="11913" xr:uid="{00000000-0005-0000-0000-0000822E0000}"/>
    <cellStyle name="Comma % 8 2" xfId="11914" xr:uid="{00000000-0005-0000-0000-0000832E0000}"/>
    <cellStyle name="Comma % 9" xfId="11915" xr:uid="{00000000-0005-0000-0000-0000842E0000}"/>
    <cellStyle name="Comma [0] - Credits" xfId="11916" xr:uid="{00000000-0005-0000-0000-0000852E0000}"/>
    <cellStyle name="Comma [0] - Credits 10" xfId="11917" xr:uid="{00000000-0005-0000-0000-0000862E0000}"/>
    <cellStyle name="Comma [0] - Credits 11" xfId="11918" xr:uid="{00000000-0005-0000-0000-0000872E0000}"/>
    <cellStyle name="Comma [0] - Credits 12" xfId="11919" xr:uid="{00000000-0005-0000-0000-0000882E0000}"/>
    <cellStyle name="Comma [0] - Credits 13" xfId="11920" xr:uid="{00000000-0005-0000-0000-0000892E0000}"/>
    <cellStyle name="Comma [0] - Credits 14" xfId="11921" xr:uid="{00000000-0005-0000-0000-00008A2E0000}"/>
    <cellStyle name="Comma [0] - Credits 15" xfId="11922" xr:uid="{00000000-0005-0000-0000-00008B2E0000}"/>
    <cellStyle name="Comma [0] - Credits 16" xfId="11923" xr:uid="{00000000-0005-0000-0000-00008C2E0000}"/>
    <cellStyle name="Comma [0] - Credits 17" xfId="11924" xr:uid="{00000000-0005-0000-0000-00008D2E0000}"/>
    <cellStyle name="Comma [0] - Credits 18" xfId="11925" xr:uid="{00000000-0005-0000-0000-00008E2E0000}"/>
    <cellStyle name="Comma [0] - Credits 19" xfId="11926" xr:uid="{00000000-0005-0000-0000-00008F2E0000}"/>
    <cellStyle name="Comma [0] - Credits 2" xfId="11927" xr:uid="{00000000-0005-0000-0000-0000902E0000}"/>
    <cellStyle name="Comma [0] - Credits 20" xfId="11928" xr:uid="{00000000-0005-0000-0000-0000912E0000}"/>
    <cellStyle name="Comma [0] - Credits 21" xfId="11929" xr:uid="{00000000-0005-0000-0000-0000922E0000}"/>
    <cellStyle name="Comma [0] - Credits 21 2" xfId="11930" xr:uid="{00000000-0005-0000-0000-0000932E0000}"/>
    <cellStyle name="Comma [0] - Credits 3" xfId="11931" xr:uid="{00000000-0005-0000-0000-0000942E0000}"/>
    <cellStyle name="Comma [0] - Credits 4" xfId="11932" xr:uid="{00000000-0005-0000-0000-0000952E0000}"/>
    <cellStyle name="Comma [0] - Credits 5" xfId="11933" xr:uid="{00000000-0005-0000-0000-0000962E0000}"/>
    <cellStyle name="Comma [0] - Credits 6" xfId="11934" xr:uid="{00000000-0005-0000-0000-0000972E0000}"/>
    <cellStyle name="Comma [0] - Credits 7" xfId="11935" xr:uid="{00000000-0005-0000-0000-0000982E0000}"/>
    <cellStyle name="Comma [0] - Credits 8" xfId="11936" xr:uid="{00000000-0005-0000-0000-0000992E0000}"/>
    <cellStyle name="Comma [0] - Credits 9" xfId="11937" xr:uid="{00000000-0005-0000-0000-00009A2E0000}"/>
    <cellStyle name="Comma [0] - Debits" xfId="11938" xr:uid="{00000000-0005-0000-0000-00009B2E0000}"/>
    <cellStyle name="Comma [0] - Debits 10" xfId="11939" xr:uid="{00000000-0005-0000-0000-00009C2E0000}"/>
    <cellStyle name="Comma [0] - Debits 11" xfId="11940" xr:uid="{00000000-0005-0000-0000-00009D2E0000}"/>
    <cellStyle name="Comma [0] - Debits 12" xfId="11941" xr:uid="{00000000-0005-0000-0000-00009E2E0000}"/>
    <cellStyle name="Comma [0] - Debits 13" xfId="11942" xr:uid="{00000000-0005-0000-0000-00009F2E0000}"/>
    <cellStyle name="Comma [0] - Debits 14" xfId="11943" xr:uid="{00000000-0005-0000-0000-0000A02E0000}"/>
    <cellStyle name="Comma [0] - Debits 15" xfId="11944" xr:uid="{00000000-0005-0000-0000-0000A12E0000}"/>
    <cellStyle name="Comma [0] - Debits 16" xfId="11945" xr:uid="{00000000-0005-0000-0000-0000A22E0000}"/>
    <cellStyle name="Comma [0] - Debits 17" xfId="11946" xr:uid="{00000000-0005-0000-0000-0000A32E0000}"/>
    <cellStyle name="Comma [0] - Debits 18" xfId="11947" xr:uid="{00000000-0005-0000-0000-0000A42E0000}"/>
    <cellStyle name="Comma [0] - Debits 19" xfId="11948" xr:uid="{00000000-0005-0000-0000-0000A52E0000}"/>
    <cellStyle name="Comma [0] - Debits 2" xfId="11949" xr:uid="{00000000-0005-0000-0000-0000A62E0000}"/>
    <cellStyle name="Comma [0] - Debits 20" xfId="11950" xr:uid="{00000000-0005-0000-0000-0000A72E0000}"/>
    <cellStyle name="Comma [0] - Debits 21" xfId="11951" xr:uid="{00000000-0005-0000-0000-0000A82E0000}"/>
    <cellStyle name="Comma [0] - Debits 21 2" xfId="11952" xr:uid="{00000000-0005-0000-0000-0000A92E0000}"/>
    <cellStyle name="Comma [0] - Debits 3" xfId="11953" xr:uid="{00000000-0005-0000-0000-0000AA2E0000}"/>
    <cellStyle name="Comma [0] - Debits 4" xfId="11954" xr:uid="{00000000-0005-0000-0000-0000AB2E0000}"/>
    <cellStyle name="Comma [0] - Debits 5" xfId="11955" xr:uid="{00000000-0005-0000-0000-0000AC2E0000}"/>
    <cellStyle name="Comma [0] - Debits 6" xfId="11956" xr:uid="{00000000-0005-0000-0000-0000AD2E0000}"/>
    <cellStyle name="Comma [0] - Debits 7" xfId="11957" xr:uid="{00000000-0005-0000-0000-0000AE2E0000}"/>
    <cellStyle name="Comma [0] - Debits 8" xfId="11958" xr:uid="{00000000-0005-0000-0000-0000AF2E0000}"/>
    <cellStyle name="Comma [0] - Debits 9" xfId="11959" xr:uid="{00000000-0005-0000-0000-0000B02E0000}"/>
    <cellStyle name="Comma [00]" xfId="11960" xr:uid="{00000000-0005-0000-0000-0000B12E0000}"/>
    <cellStyle name="Comma [00] 10" xfId="11961" xr:uid="{00000000-0005-0000-0000-0000B22E0000}"/>
    <cellStyle name="Comma [00] 11" xfId="11962" xr:uid="{00000000-0005-0000-0000-0000B32E0000}"/>
    <cellStyle name="Comma [00] 12" xfId="11963" xr:uid="{00000000-0005-0000-0000-0000B42E0000}"/>
    <cellStyle name="Comma [00] 13" xfId="11964" xr:uid="{00000000-0005-0000-0000-0000B52E0000}"/>
    <cellStyle name="Comma [00] 14" xfId="11965" xr:uid="{00000000-0005-0000-0000-0000B62E0000}"/>
    <cellStyle name="Comma [00] 15" xfId="11966" xr:uid="{00000000-0005-0000-0000-0000B72E0000}"/>
    <cellStyle name="Comma [00] 16" xfId="11967" xr:uid="{00000000-0005-0000-0000-0000B82E0000}"/>
    <cellStyle name="Comma [00] 17" xfId="11968" xr:uid="{00000000-0005-0000-0000-0000B92E0000}"/>
    <cellStyle name="Comma [00] 18" xfId="11969" xr:uid="{00000000-0005-0000-0000-0000BA2E0000}"/>
    <cellStyle name="Comma [00] 19" xfId="11970" xr:uid="{00000000-0005-0000-0000-0000BB2E0000}"/>
    <cellStyle name="Comma [00] 2" xfId="11971" xr:uid="{00000000-0005-0000-0000-0000BC2E0000}"/>
    <cellStyle name="Comma [00] 20" xfId="11972" xr:uid="{00000000-0005-0000-0000-0000BD2E0000}"/>
    <cellStyle name="Comma [00] 21" xfId="11973" xr:uid="{00000000-0005-0000-0000-0000BE2E0000}"/>
    <cellStyle name="Comma [00] 21 2" xfId="11974" xr:uid="{00000000-0005-0000-0000-0000BF2E0000}"/>
    <cellStyle name="Comma [00] 3" xfId="11975" xr:uid="{00000000-0005-0000-0000-0000C02E0000}"/>
    <cellStyle name="Comma [00] 4" xfId="11976" xr:uid="{00000000-0005-0000-0000-0000C12E0000}"/>
    <cellStyle name="Comma [00] 5" xfId="11977" xr:uid="{00000000-0005-0000-0000-0000C22E0000}"/>
    <cellStyle name="Comma [00] 6" xfId="11978" xr:uid="{00000000-0005-0000-0000-0000C32E0000}"/>
    <cellStyle name="Comma [00] 7" xfId="11979" xr:uid="{00000000-0005-0000-0000-0000C42E0000}"/>
    <cellStyle name="Comma [00] 8" xfId="11980" xr:uid="{00000000-0005-0000-0000-0000C52E0000}"/>
    <cellStyle name="Comma [00] 9" xfId="11981" xr:uid="{00000000-0005-0000-0000-0000C62E0000}"/>
    <cellStyle name="Comma [1]" xfId="11982" xr:uid="{00000000-0005-0000-0000-0000C72E0000}"/>
    <cellStyle name="Comma [2]" xfId="11983" xr:uid="{00000000-0005-0000-0000-0000C82E0000}"/>
    <cellStyle name="Comma [2] 10" xfId="11984" xr:uid="{00000000-0005-0000-0000-0000C92E0000}"/>
    <cellStyle name="Comma [2] 11" xfId="11985" xr:uid="{00000000-0005-0000-0000-0000CA2E0000}"/>
    <cellStyle name="Comma [2] 12" xfId="11986" xr:uid="{00000000-0005-0000-0000-0000CB2E0000}"/>
    <cellStyle name="Comma [2] 13" xfId="11987" xr:uid="{00000000-0005-0000-0000-0000CC2E0000}"/>
    <cellStyle name="Comma [2] 14" xfId="11988" xr:uid="{00000000-0005-0000-0000-0000CD2E0000}"/>
    <cellStyle name="Comma [2] 15" xfId="11989" xr:uid="{00000000-0005-0000-0000-0000CE2E0000}"/>
    <cellStyle name="Comma [2] 16" xfId="11990" xr:uid="{00000000-0005-0000-0000-0000CF2E0000}"/>
    <cellStyle name="Comma [2] 17" xfId="11991" xr:uid="{00000000-0005-0000-0000-0000D02E0000}"/>
    <cellStyle name="Comma [2] 18" xfId="11992" xr:uid="{00000000-0005-0000-0000-0000D12E0000}"/>
    <cellStyle name="Comma [2] 19" xfId="11993" xr:uid="{00000000-0005-0000-0000-0000D22E0000}"/>
    <cellStyle name="Comma [2] 2" xfId="11994" xr:uid="{00000000-0005-0000-0000-0000D32E0000}"/>
    <cellStyle name="Comma [2] 20" xfId="11995" xr:uid="{00000000-0005-0000-0000-0000D42E0000}"/>
    <cellStyle name="Comma [2] 21" xfId="11996" xr:uid="{00000000-0005-0000-0000-0000D52E0000}"/>
    <cellStyle name="Comma [2] 22" xfId="11997" xr:uid="{00000000-0005-0000-0000-0000D62E0000}"/>
    <cellStyle name="Comma [2] 23" xfId="11998" xr:uid="{00000000-0005-0000-0000-0000D72E0000}"/>
    <cellStyle name="Comma [2] 23 2" xfId="11999" xr:uid="{00000000-0005-0000-0000-0000D82E0000}"/>
    <cellStyle name="Comma [2] 24" xfId="12000" xr:uid="{00000000-0005-0000-0000-0000D92E0000}"/>
    <cellStyle name="Comma [2] 24 2" xfId="12001" xr:uid="{00000000-0005-0000-0000-0000DA2E0000}"/>
    <cellStyle name="Comma [2] 25" xfId="12002" xr:uid="{00000000-0005-0000-0000-0000DB2E0000}"/>
    <cellStyle name="Comma [2] 26" xfId="12003" xr:uid="{00000000-0005-0000-0000-0000DC2E0000}"/>
    <cellStyle name="Comma [2] 27" xfId="12004" xr:uid="{00000000-0005-0000-0000-0000DD2E0000}"/>
    <cellStyle name="Comma [2] 28" xfId="12005" xr:uid="{00000000-0005-0000-0000-0000DE2E0000}"/>
    <cellStyle name="Comma [2] 29" xfId="12006" xr:uid="{00000000-0005-0000-0000-0000DF2E0000}"/>
    <cellStyle name="Comma [2] 29 2" xfId="12007" xr:uid="{00000000-0005-0000-0000-0000E02E0000}"/>
    <cellStyle name="Comma [2] 3" xfId="12008" xr:uid="{00000000-0005-0000-0000-0000E12E0000}"/>
    <cellStyle name="Comma [2] 3 2" xfId="12009" xr:uid="{00000000-0005-0000-0000-0000E22E0000}"/>
    <cellStyle name="Comma [2] 30" xfId="12010" xr:uid="{00000000-0005-0000-0000-0000E32E0000}"/>
    <cellStyle name="Comma [2] 31" xfId="12011" xr:uid="{00000000-0005-0000-0000-0000E42E0000}"/>
    <cellStyle name="Comma [2] 32" xfId="12012" xr:uid="{00000000-0005-0000-0000-0000E52E0000}"/>
    <cellStyle name="Comma [2] 33" xfId="12013" xr:uid="{00000000-0005-0000-0000-0000E62E0000}"/>
    <cellStyle name="Comma [2] 34" xfId="12014" xr:uid="{00000000-0005-0000-0000-0000E72E0000}"/>
    <cellStyle name="Comma [2] 35" xfId="12015" xr:uid="{00000000-0005-0000-0000-0000E82E0000}"/>
    <cellStyle name="Comma [2] 36" xfId="12016" xr:uid="{00000000-0005-0000-0000-0000E92E0000}"/>
    <cellStyle name="Comma [2] 37" xfId="12017" xr:uid="{00000000-0005-0000-0000-0000EA2E0000}"/>
    <cellStyle name="Comma [2] 38" xfId="12018" xr:uid="{00000000-0005-0000-0000-0000EB2E0000}"/>
    <cellStyle name="Comma [2] 4" xfId="12019" xr:uid="{00000000-0005-0000-0000-0000EC2E0000}"/>
    <cellStyle name="Comma [2] 4 2" xfId="12020" xr:uid="{00000000-0005-0000-0000-0000ED2E0000}"/>
    <cellStyle name="Comma [2] 5" xfId="12021" xr:uid="{00000000-0005-0000-0000-0000EE2E0000}"/>
    <cellStyle name="Comma [2] 5 2" xfId="12022" xr:uid="{00000000-0005-0000-0000-0000EF2E0000}"/>
    <cellStyle name="Comma [2] 6" xfId="12023" xr:uid="{00000000-0005-0000-0000-0000F02E0000}"/>
    <cellStyle name="Comma [2] 6 2" xfId="12024" xr:uid="{00000000-0005-0000-0000-0000F12E0000}"/>
    <cellStyle name="Comma [2] 7" xfId="12025" xr:uid="{00000000-0005-0000-0000-0000F22E0000}"/>
    <cellStyle name="Comma [2] 7 2" xfId="12026" xr:uid="{00000000-0005-0000-0000-0000F32E0000}"/>
    <cellStyle name="Comma [2] 8" xfId="12027" xr:uid="{00000000-0005-0000-0000-0000F42E0000}"/>
    <cellStyle name="Comma [2] 8 2" xfId="12028" xr:uid="{00000000-0005-0000-0000-0000F52E0000}"/>
    <cellStyle name="Comma [2] 9" xfId="12029" xr:uid="{00000000-0005-0000-0000-0000F62E0000}"/>
    <cellStyle name="Comma [3]" xfId="12030" xr:uid="{00000000-0005-0000-0000-0000F72E0000}"/>
    <cellStyle name="Comma 0" xfId="12031" xr:uid="{00000000-0005-0000-0000-0000F82E0000}"/>
    <cellStyle name="Comma 0 10" xfId="12032" xr:uid="{00000000-0005-0000-0000-0000F92E0000}"/>
    <cellStyle name="Comma 0 11" xfId="12033" xr:uid="{00000000-0005-0000-0000-0000FA2E0000}"/>
    <cellStyle name="Comma 0 12" xfId="12034" xr:uid="{00000000-0005-0000-0000-0000FB2E0000}"/>
    <cellStyle name="Comma 0 13" xfId="12035" xr:uid="{00000000-0005-0000-0000-0000FC2E0000}"/>
    <cellStyle name="Comma 0 14" xfId="12036" xr:uid="{00000000-0005-0000-0000-0000FD2E0000}"/>
    <cellStyle name="Comma 0 15" xfId="12037" xr:uid="{00000000-0005-0000-0000-0000FE2E0000}"/>
    <cellStyle name="Comma 0 16" xfId="12038" xr:uid="{00000000-0005-0000-0000-0000FF2E0000}"/>
    <cellStyle name="Comma 0 17" xfId="12039" xr:uid="{00000000-0005-0000-0000-0000002F0000}"/>
    <cellStyle name="Comma 0 18" xfId="12040" xr:uid="{00000000-0005-0000-0000-0000012F0000}"/>
    <cellStyle name="Comma 0 19" xfId="12041" xr:uid="{00000000-0005-0000-0000-0000022F0000}"/>
    <cellStyle name="Comma 0 2" xfId="12042" xr:uid="{00000000-0005-0000-0000-0000032F0000}"/>
    <cellStyle name="Comma 0 20" xfId="12043" xr:uid="{00000000-0005-0000-0000-0000042F0000}"/>
    <cellStyle name="Comma 0 21" xfId="12044" xr:uid="{00000000-0005-0000-0000-0000052F0000}"/>
    <cellStyle name="Comma 0 21 2" xfId="12045" xr:uid="{00000000-0005-0000-0000-0000062F0000}"/>
    <cellStyle name="Comma 0 3" xfId="12046" xr:uid="{00000000-0005-0000-0000-0000072F0000}"/>
    <cellStyle name="Comma 0 4" xfId="12047" xr:uid="{00000000-0005-0000-0000-0000082F0000}"/>
    <cellStyle name="Comma 0 5" xfId="12048" xr:uid="{00000000-0005-0000-0000-0000092F0000}"/>
    <cellStyle name="Comma 0 6" xfId="12049" xr:uid="{00000000-0005-0000-0000-00000A2F0000}"/>
    <cellStyle name="Comma 0 7" xfId="12050" xr:uid="{00000000-0005-0000-0000-00000B2F0000}"/>
    <cellStyle name="Comma 0 8" xfId="12051" xr:uid="{00000000-0005-0000-0000-00000C2F0000}"/>
    <cellStyle name="Comma 0 9" xfId="12052" xr:uid="{00000000-0005-0000-0000-00000D2F0000}"/>
    <cellStyle name="Comma 0*" xfId="12053" xr:uid="{00000000-0005-0000-0000-00000E2F0000}"/>
    <cellStyle name="Comma 0.0" xfId="12054" xr:uid="{00000000-0005-0000-0000-00000F2F0000}"/>
    <cellStyle name="Comma 0.0 10" xfId="12055" xr:uid="{00000000-0005-0000-0000-0000102F0000}"/>
    <cellStyle name="Comma 0.0 11" xfId="12056" xr:uid="{00000000-0005-0000-0000-0000112F0000}"/>
    <cellStyle name="Comma 0.0 12" xfId="12057" xr:uid="{00000000-0005-0000-0000-0000122F0000}"/>
    <cellStyle name="Comma 0.0 13" xfId="12058" xr:uid="{00000000-0005-0000-0000-0000132F0000}"/>
    <cellStyle name="Comma 0.0 14" xfId="12059" xr:uid="{00000000-0005-0000-0000-0000142F0000}"/>
    <cellStyle name="Comma 0.0 15" xfId="12060" xr:uid="{00000000-0005-0000-0000-0000152F0000}"/>
    <cellStyle name="Comma 0.0 16" xfId="12061" xr:uid="{00000000-0005-0000-0000-0000162F0000}"/>
    <cellStyle name="Comma 0.0 17" xfId="12062" xr:uid="{00000000-0005-0000-0000-0000172F0000}"/>
    <cellStyle name="Comma 0.0 18" xfId="12063" xr:uid="{00000000-0005-0000-0000-0000182F0000}"/>
    <cellStyle name="Comma 0.0 19" xfId="12064" xr:uid="{00000000-0005-0000-0000-0000192F0000}"/>
    <cellStyle name="Comma 0.0 2" xfId="12065" xr:uid="{00000000-0005-0000-0000-00001A2F0000}"/>
    <cellStyle name="Comma 0.0 20" xfId="12066" xr:uid="{00000000-0005-0000-0000-00001B2F0000}"/>
    <cellStyle name="Comma 0.0 21" xfId="12067" xr:uid="{00000000-0005-0000-0000-00001C2F0000}"/>
    <cellStyle name="Comma 0.0 22" xfId="12068" xr:uid="{00000000-0005-0000-0000-00001D2F0000}"/>
    <cellStyle name="Comma 0.0 23" xfId="12069" xr:uid="{00000000-0005-0000-0000-00001E2F0000}"/>
    <cellStyle name="Comma 0.0 24" xfId="12070" xr:uid="{00000000-0005-0000-0000-00001F2F0000}"/>
    <cellStyle name="Comma 0.0 25" xfId="12071" xr:uid="{00000000-0005-0000-0000-0000202F0000}"/>
    <cellStyle name="Comma 0.0 26" xfId="12072" xr:uid="{00000000-0005-0000-0000-0000212F0000}"/>
    <cellStyle name="Comma 0.0 27" xfId="12073" xr:uid="{00000000-0005-0000-0000-0000222F0000}"/>
    <cellStyle name="Comma 0.0 28" xfId="12074" xr:uid="{00000000-0005-0000-0000-0000232F0000}"/>
    <cellStyle name="Comma 0.0 29" xfId="12075" xr:uid="{00000000-0005-0000-0000-0000242F0000}"/>
    <cellStyle name="Comma 0.0 29 2" xfId="12076" xr:uid="{00000000-0005-0000-0000-0000252F0000}"/>
    <cellStyle name="Comma 0.0 3" xfId="12077" xr:uid="{00000000-0005-0000-0000-0000262F0000}"/>
    <cellStyle name="Comma 0.0 30" xfId="12078" xr:uid="{00000000-0005-0000-0000-0000272F0000}"/>
    <cellStyle name="Comma 0.0 31" xfId="12079" xr:uid="{00000000-0005-0000-0000-0000282F0000}"/>
    <cellStyle name="Comma 0.0 32" xfId="12080" xr:uid="{00000000-0005-0000-0000-0000292F0000}"/>
    <cellStyle name="Comma 0.0 33" xfId="12081" xr:uid="{00000000-0005-0000-0000-00002A2F0000}"/>
    <cellStyle name="Comma 0.0 34" xfId="12082" xr:uid="{00000000-0005-0000-0000-00002B2F0000}"/>
    <cellStyle name="Comma 0.0 35" xfId="12083" xr:uid="{00000000-0005-0000-0000-00002C2F0000}"/>
    <cellStyle name="Comma 0.0 36" xfId="12084" xr:uid="{00000000-0005-0000-0000-00002D2F0000}"/>
    <cellStyle name="Comma 0.0 37" xfId="12085" xr:uid="{00000000-0005-0000-0000-00002E2F0000}"/>
    <cellStyle name="Comma 0.0 38" xfId="12086" xr:uid="{00000000-0005-0000-0000-00002F2F0000}"/>
    <cellStyle name="Comma 0.0 4" xfId="12087" xr:uid="{00000000-0005-0000-0000-0000302F0000}"/>
    <cellStyle name="Comma 0.0 5" xfId="12088" xr:uid="{00000000-0005-0000-0000-0000312F0000}"/>
    <cellStyle name="Comma 0.0 6" xfId="12089" xr:uid="{00000000-0005-0000-0000-0000322F0000}"/>
    <cellStyle name="Comma 0.0 7" xfId="12090" xr:uid="{00000000-0005-0000-0000-0000332F0000}"/>
    <cellStyle name="Comma 0.0 8" xfId="12091" xr:uid="{00000000-0005-0000-0000-0000342F0000}"/>
    <cellStyle name="Comma 0.0 9" xfId="12092" xr:uid="{00000000-0005-0000-0000-0000352F0000}"/>
    <cellStyle name="Comma 0.0%" xfId="12093" xr:uid="{00000000-0005-0000-0000-0000362F0000}"/>
    <cellStyle name="Comma 0.0% 10" xfId="12094" xr:uid="{00000000-0005-0000-0000-0000372F0000}"/>
    <cellStyle name="Comma 0.0% 11" xfId="12095" xr:uid="{00000000-0005-0000-0000-0000382F0000}"/>
    <cellStyle name="Comma 0.0% 12" xfId="12096" xr:uid="{00000000-0005-0000-0000-0000392F0000}"/>
    <cellStyle name="Comma 0.0% 13" xfId="12097" xr:uid="{00000000-0005-0000-0000-00003A2F0000}"/>
    <cellStyle name="Comma 0.0% 14" xfId="12098" xr:uid="{00000000-0005-0000-0000-00003B2F0000}"/>
    <cellStyle name="Comma 0.0% 15" xfId="12099" xr:uid="{00000000-0005-0000-0000-00003C2F0000}"/>
    <cellStyle name="Comma 0.0% 16" xfId="12100" xr:uid="{00000000-0005-0000-0000-00003D2F0000}"/>
    <cellStyle name="Comma 0.0% 17" xfId="12101" xr:uid="{00000000-0005-0000-0000-00003E2F0000}"/>
    <cellStyle name="Comma 0.0% 18" xfId="12102" xr:uid="{00000000-0005-0000-0000-00003F2F0000}"/>
    <cellStyle name="Comma 0.0% 19" xfId="12103" xr:uid="{00000000-0005-0000-0000-0000402F0000}"/>
    <cellStyle name="Comma 0.0% 2" xfId="12104" xr:uid="{00000000-0005-0000-0000-0000412F0000}"/>
    <cellStyle name="Comma 0.0% 20" xfId="12105" xr:uid="{00000000-0005-0000-0000-0000422F0000}"/>
    <cellStyle name="Comma 0.0% 21" xfId="12106" xr:uid="{00000000-0005-0000-0000-0000432F0000}"/>
    <cellStyle name="Comma 0.0% 22" xfId="12107" xr:uid="{00000000-0005-0000-0000-0000442F0000}"/>
    <cellStyle name="Comma 0.0% 23" xfId="12108" xr:uid="{00000000-0005-0000-0000-0000452F0000}"/>
    <cellStyle name="Comma 0.0% 24" xfId="12109" xr:uid="{00000000-0005-0000-0000-0000462F0000}"/>
    <cellStyle name="Comma 0.0% 25" xfId="12110" xr:uid="{00000000-0005-0000-0000-0000472F0000}"/>
    <cellStyle name="Comma 0.0% 26" xfId="12111" xr:uid="{00000000-0005-0000-0000-0000482F0000}"/>
    <cellStyle name="Comma 0.0% 27" xfId="12112" xr:uid="{00000000-0005-0000-0000-0000492F0000}"/>
    <cellStyle name="Comma 0.0% 28" xfId="12113" xr:uid="{00000000-0005-0000-0000-00004A2F0000}"/>
    <cellStyle name="Comma 0.0% 29" xfId="12114" xr:uid="{00000000-0005-0000-0000-00004B2F0000}"/>
    <cellStyle name="Comma 0.0% 29 2" xfId="12115" xr:uid="{00000000-0005-0000-0000-00004C2F0000}"/>
    <cellStyle name="Comma 0.0% 3" xfId="12116" xr:uid="{00000000-0005-0000-0000-00004D2F0000}"/>
    <cellStyle name="Comma 0.0% 30" xfId="12117" xr:uid="{00000000-0005-0000-0000-00004E2F0000}"/>
    <cellStyle name="Comma 0.0% 31" xfId="12118" xr:uid="{00000000-0005-0000-0000-00004F2F0000}"/>
    <cellStyle name="Comma 0.0% 32" xfId="12119" xr:uid="{00000000-0005-0000-0000-0000502F0000}"/>
    <cellStyle name="Comma 0.0% 33" xfId="12120" xr:uid="{00000000-0005-0000-0000-0000512F0000}"/>
    <cellStyle name="Comma 0.0% 34" xfId="12121" xr:uid="{00000000-0005-0000-0000-0000522F0000}"/>
    <cellStyle name="Comma 0.0% 35" xfId="12122" xr:uid="{00000000-0005-0000-0000-0000532F0000}"/>
    <cellStyle name="Comma 0.0% 36" xfId="12123" xr:uid="{00000000-0005-0000-0000-0000542F0000}"/>
    <cellStyle name="Comma 0.0% 37" xfId="12124" xr:uid="{00000000-0005-0000-0000-0000552F0000}"/>
    <cellStyle name="Comma 0.0% 38" xfId="12125" xr:uid="{00000000-0005-0000-0000-0000562F0000}"/>
    <cellStyle name="Comma 0.0% 4" xfId="12126" xr:uid="{00000000-0005-0000-0000-0000572F0000}"/>
    <cellStyle name="Comma 0.0% 5" xfId="12127" xr:uid="{00000000-0005-0000-0000-0000582F0000}"/>
    <cellStyle name="Comma 0.0% 6" xfId="12128" xr:uid="{00000000-0005-0000-0000-0000592F0000}"/>
    <cellStyle name="Comma 0.0% 7" xfId="12129" xr:uid="{00000000-0005-0000-0000-00005A2F0000}"/>
    <cellStyle name="Comma 0.0% 8" xfId="12130" xr:uid="{00000000-0005-0000-0000-00005B2F0000}"/>
    <cellStyle name="Comma 0.0% 9" xfId="12131" xr:uid="{00000000-0005-0000-0000-00005C2F0000}"/>
    <cellStyle name="Comma 0.0_Accounts Receivable" xfId="12132" xr:uid="{00000000-0005-0000-0000-00005D2F0000}"/>
    <cellStyle name="Comma 0.00" xfId="12133" xr:uid="{00000000-0005-0000-0000-00005E2F0000}"/>
    <cellStyle name="Comma 0.00 10" xfId="12134" xr:uid="{00000000-0005-0000-0000-00005F2F0000}"/>
    <cellStyle name="Comma 0.00 11" xfId="12135" xr:uid="{00000000-0005-0000-0000-0000602F0000}"/>
    <cellStyle name="Comma 0.00 12" xfId="12136" xr:uid="{00000000-0005-0000-0000-0000612F0000}"/>
    <cellStyle name="Comma 0.00 13" xfId="12137" xr:uid="{00000000-0005-0000-0000-0000622F0000}"/>
    <cellStyle name="Comma 0.00 14" xfId="12138" xr:uid="{00000000-0005-0000-0000-0000632F0000}"/>
    <cellStyle name="Comma 0.00 15" xfId="12139" xr:uid="{00000000-0005-0000-0000-0000642F0000}"/>
    <cellStyle name="Comma 0.00 16" xfId="12140" xr:uid="{00000000-0005-0000-0000-0000652F0000}"/>
    <cellStyle name="Comma 0.00 17" xfId="12141" xr:uid="{00000000-0005-0000-0000-0000662F0000}"/>
    <cellStyle name="Comma 0.00 18" xfId="12142" xr:uid="{00000000-0005-0000-0000-0000672F0000}"/>
    <cellStyle name="Comma 0.00 19" xfId="12143" xr:uid="{00000000-0005-0000-0000-0000682F0000}"/>
    <cellStyle name="Comma 0.00 2" xfId="12144" xr:uid="{00000000-0005-0000-0000-0000692F0000}"/>
    <cellStyle name="Comma 0.00 20" xfId="12145" xr:uid="{00000000-0005-0000-0000-00006A2F0000}"/>
    <cellStyle name="Comma 0.00 21" xfId="12146" xr:uid="{00000000-0005-0000-0000-00006B2F0000}"/>
    <cellStyle name="Comma 0.00 22" xfId="12147" xr:uid="{00000000-0005-0000-0000-00006C2F0000}"/>
    <cellStyle name="Comma 0.00 23" xfId="12148" xr:uid="{00000000-0005-0000-0000-00006D2F0000}"/>
    <cellStyle name="Comma 0.00 24" xfId="12149" xr:uid="{00000000-0005-0000-0000-00006E2F0000}"/>
    <cellStyle name="Comma 0.00 25" xfId="12150" xr:uid="{00000000-0005-0000-0000-00006F2F0000}"/>
    <cellStyle name="Comma 0.00 26" xfId="12151" xr:uid="{00000000-0005-0000-0000-0000702F0000}"/>
    <cellStyle name="Comma 0.00 27" xfId="12152" xr:uid="{00000000-0005-0000-0000-0000712F0000}"/>
    <cellStyle name="Comma 0.00 28" xfId="12153" xr:uid="{00000000-0005-0000-0000-0000722F0000}"/>
    <cellStyle name="Comma 0.00 29" xfId="12154" xr:uid="{00000000-0005-0000-0000-0000732F0000}"/>
    <cellStyle name="Comma 0.00 29 2" xfId="12155" xr:uid="{00000000-0005-0000-0000-0000742F0000}"/>
    <cellStyle name="Comma 0.00 3" xfId="12156" xr:uid="{00000000-0005-0000-0000-0000752F0000}"/>
    <cellStyle name="Comma 0.00 30" xfId="12157" xr:uid="{00000000-0005-0000-0000-0000762F0000}"/>
    <cellStyle name="Comma 0.00 31" xfId="12158" xr:uid="{00000000-0005-0000-0000-0000772F0000}"/>
    <cellStyle name="Comma 0.00 32" xfId="12159" xr:uid="{00000000-0005-0000-0000-0000782F0000}"/>
    <cellStyle name="Comma 0.00 33" xfId="12160" xr:uid="{00000000-0005-0000-0000-0000792F0000}"/>
    <cellStyle name="Comma 0.00 34" xfId="12161" xr:uid="{00000000-0005-0000-0000-00007A2F0000}"/>
    <cellStyle name="Comma 0.00 35" xfId="12162" xr:uid="{00000000-0005-0000-0000-00007B2F0000}"/>
    <cellStyle name="Comma 0.00 36" xfId="12163" xr:uid="{00000000-0005-0000-0000-00007C2F0000}"/>
    <cellStyle name="Comma 0.00 37" xfId="12164" xr:uid="{00000000-0005-0000-0000-00007D2F0000}"/>
    <cellStyle name="Comma 0.00 38" xfId="12165" xr:uid="{00000000-0005-0000-0000-00007E2F0000}"/>
    <cellStyle name="Comma 0.00 4" xfId="12166" xr:uid="{00000000-0005-0000-0000-00007F2F0000}"/>
    <cellStyle name="Comma 0.00 5" xfId="12167" xr:uid="{00000000-0005-0000-0000-0000802F0000}"/>
    <cellStyle name="Comma 0.00 6" xfId="12168" xr:uid="{00000000-0005-0000-0000-0000812F0000}"/>
    <cellStyle name="Comma 0.00 7" xfId="12169" xr:uid="{00000000-0005-0000-0000-0000822F0000}"/>
    <cellStyle name="Comma 0.00 8" xfId="12170" xr:uid="{00000000-0005-0000-0000-0000832F0000}"/>
    <cellStyle name="Comma 0.00 9" xfId="12171" xr:uid="{00000000-0005-0000-0000-0000842F0000}"/>
    <cellStyle name="Comma 0.00%" xfId="12172" xr:uid="{00000000-0005-0000-0000-0000852F0000}"/>
    <cellStyle name="Comma 0.00% 10" xfId="12173" xr:uid="{00000000-0005-0000-0000-0000862F0000}"/>
    <cellStyle name="Comma 0.00% 11" xfId="12174" xr:uid="{00000000-0005-0000-0000-0000872F0000}"/>
    <cellStyle name="Comma 0.00% 12" xfId="12175" xr:uid="{00000000-0005-0000-0000-0000882F0000}"/>
    <cellStyle name="Comma 0.00% 13" xfId="12176" xr:uid="{00000000-0005-0000-0000-0000892F0000}"/>
    <cellStyle name="Comma 0.00% 14" xfId="12177" xr:uid="{00000000-0005-0000-0000-00008A2F0000}"/>
    <cellStyle name="Comma 0.00% 15" xfId="12178" xr:uid="{00000000-0005-0000-0000-00008B2F0000}"/>
    <cellStyle name="Comma 0.00% 16" xfId="12179" xr:uid="{00000000-0005-0000-0000-00008C2F0000}"/>
    <cellStyle name="Comma 0.00% 17" xfId="12180" xr:uid="{00000000-0005-0000-0000-00008D2F0000}"/>
    <cellStyle name="Comma 0.00% 18" xfId="12181" xr:uid="{00000000-0005-0000-0000-00008E2F0000}"/>
    <cellStyle name="Comma 0.00% 19" xfId="12182" xr:uid="{00000000-0005-0000-0000-00008F2F0000}"/>
    <cellStyle name="Comma 0.00% 2" xfId="12183" xr:uid="{00000000-0005-0000-0000-0000902F0000}"/>
    <cellStyle name="Comma 0.00% 20" xfId="12184" xr:uid="{00000000-0005-0000-0000-0000912F0000}"/>
    <cellStyle name="Comma 0.00% 21" xfId="12185" xr:uid="{00000000-0005-0000-0000-0000922F0000}"/>
    <cellStyle name="Comma 0.00% 22" xfId="12186" xr:uid="{00000000-0005-0000-0000-0000932F0000}"/>
    <cellStyle name="Comma 0.00% 23" xfId="12187" xr:uid="{00000000-0005-0000-0000-0000942F0000}"/>
    <cellStyle name="Comma 0.00% 24" xfId="12188" xr:uid="{00000000-0005-0000-0000-0000952F0000}"/>
    <cellStyle name="Comma 0.00% 25" xfId="12189" xr:uid="{00000000-0005-0000-0000-0000962F0000}"/>
    <cellStyle name="Comma 0.00% 26" xfId="12190" xr:uid="{00000000-0005-0000-0000-0000972F0000}"/>
    <cellStyle name="Comma 0.00% 27" xfId="12191" xr:uid="{00000000-0005-0000-0000-0000982F0000}"/>
    <cellStyle name="Comma 0.00% 28" xfId="12192" xr:uid="{00000000-0005-0000-0000-0000992F0000}"/>
    <cellStyle name="Comma 0.00% 29" xfId="12193" xr:uid="{00000000-0005-0000-0000-00009A2F0000}"/>
    <cellStyle name="Comma 0.00% 29 2" xfId="12194" xr:uid="{00000000-0005-0000-0000-00009B2F0000}"/>
    <cellStyle name="Comma 0.00% 3" xfId="12195" xr:uid="{00000000-0005-0000-0000-00009C2F0000}"/>
    <cellStyle name="Comma 0.00% 30" xfId="12196" xr:uid="{00000000-0005-0000-0000-00009D2F0000}"/>
    <cellStyle name="Comma 0.00% 31" xfId="12197" xr:uid="{00000000-0005-0000-0000-00009E2F0000}"/>
    <cellStyle name="Comma 0.00% 32" xfId="12198" xr:uid="{00000000-0005-0000-0000-00009F2F0000}"/>
    <cellStyle name="Comma 0.00% 33" xfId="12199" xr:uid="{00000000-0005-0000-0000-0000A02F0000}"/>
    <cellStyle name="Comma 0.00% 34" xfId="12200" xr:uid="{00000000-0005-0000-0000-0000A12F0000}"/>
    <cellStyle name="Comma 0.00% 35" xfId="12201" xr:uid="{00000000-0005-0000-0000-0000A22F0000}"/>
    <cellStyle name="Comma 0.00% 36" xfId="12202" xr:uid="{00000000-0005-0000-0000-0000A32F0000}"/>
    <cellStyle name="Comma 0.00% 37" xfId="12203" xr:uid="{00000000-0005-0000-0000-0000A42F0000}"/>
    <cellStyle name="Comma 0.00% 38" xfId="12204" xr:uid="{00000000-0005-0000-0000-0000A52F0000}"/>
    <cellStyle name="Comma 0.00% 4" xfId="12205" xr:uid="{00000000-0005-0000-0000-0000A62F0000}"/>
    <cellStyle name="Comma 0.00% 5" xfId="12206" xr:uid="{00000000-0005-0000-0000-0000A72F0000}"/>
    <cellStyle name="Comma 0.00% 6" xfId="12207" xr:uid="{00000000-0005-0000-0000-0000A82F0000}"/>
    <cellStyle name="Comma 0.00% 7" xfId="12208" xr:uid="{00000000-0005-0000-0000-0000A92F0000}"/>
    <cellStyle name="Comma 0.00% 8" xfId="12209" xr:uid="{00000000-0005-0000-0000-0000AA2F0000}"/>
    <cellStyle name="Comma 0.00% 9" xfId="12210" xr:uid="{00000000-0005-0000-0000-0000AB2F0000}"/>
    <cellStyle name="Comma 0.00_Accounts Receivable" xfId="12211" xr:uid="{00000000-0005-0000-0000-0000AC2F0000}"/>
    <cellStyle name="Comma 0.000" xfId="12212" xr:uid="{00000000-0005-0000-0000-0000AD2F0000}"/>
    <cellStyle name="Comma 0.000 10" xfId="12213" xr:uid="{00000000-0005-0000-0000-0000AE2F0000}"/>
    <cellStyle name="Comma 0.000 11" xfId="12214" xr:uid="{00000000-0005-0000-0000-0000AF2F0000}"/>
    <cellStyle name="Comma 0.000 12" xfId="12215" xr:uid="{00000000-0005-0000-0000-0000B02F0000}"/>
    <cellStyle name="Comma 0.000 13" xfId="12216" xr:uid="{00000000-0005-0000-0000-0000B12F0000}"/>
    <cellStyle name="Comma 0.000 14" xfId="12217" xr:uid="{00000000-0005-0000-0000-0000B22F0000}"/>
    <cellStyle name="Comma 0.000 15" xfId="12218" xr:uid="{00000000-0005-0000-0000-0000B32F0000}"/>
    <cellStyle name="Comma 0.000 16" xfId="12219" xr:uid="{00000000-0005-0000-0000-0000B42F0000}"/>
    <cellStyle name="Comma 0.000 17" xfId="12220" xr:uid="{00000000-0005-0000-0000-0000B52F0000}"/>
    <cellStyle name="Comma 0.000 18" xfId="12221" xr:uid="{00000000-0005-0000-0000-0000B62F0000}"/>
    <cellStyle name="Comma 0.000 19" xfId="12222" xr:uid="{00000000-0005-0000-0000-0000B72F0000}"/>
    <cellStyle name="Comma 0.000 2" xfId="12223" xr:uid="{00000000-0005-0000-0000-0000B82F0000}"/>
    <cellStyle name="Comma 0.000 20" xfId="12224" xr:uid="{00000000-0005-0000-0000-0000B92F0000}"/>
    <cellStyle name="Comma 0.000 21" xfId="12225" xr:uid="{00000000-0005-0000-0000-0000BA2F0000}"/>
    <cellStyle name="Comma 0.000 22" xfId="12226" xr:uid="{00000000-0005-0000-0000-0000BB2F0000}"/>
    <cellStyle name="Comma 0.000 23" xfId="12227" xr:uid="{00000000-0005-0000-0000-0000BC2F0000}"/>
    <cellStyle name="Comma 0.000 24" xfId="12228" xr:uid="{00000000-0005-0000-0000-0000BD2F0000}"/>
    <cellStyle name="Comma 0.000 25" xfId="12229" xr:uid="{00000000-0005-0000-0000-0000BE2F0000}"/>
    <cellStyle name="Comma 0.000 26" xfId="12230" xr:uid="{00000000-0005-0000-0000-0000BF2F0000}"/>
    <cellStyle name="Comma 0.000 27" xfId="12231" xr:uid="{00000000-0005-0000-0000-0000C02F0000}"/>
    <cellStyle name="Comma 0.000 28" xfId="12232" xr:uid="{00000000-0005-0000-0000-0000C12F0000}"/>
    <cellStyle name="Comma 0.000 29" xfId="12233" xr:uid="{00000000-0005-0000-0000-0000C22F0000}"/>
    <cellStyle name="Comma 0.000 29 2" xfId="12234" xr:uid="{00000000-0005-0000-0000-0000C32F0000}"/>
    <cellStyle name="Comma 0.000 3" xfId="12235" xr:uid="{00000000-0005-0000-0000-0000C42F0000}"/>
    <cellStyle name="Comma 0.000 30" xfId="12236" xr:uid="{00000000-0005-0000-0000-0000C52F0000}"/>
    <cellStyle name="Comma 0.000 31" xfId="12237" xr:uid="{00000000-0005-0000-0000-0000C62F0000}"/>
    <cellStyle name="Comma 0.000 32" xfId="12238" xr:uid="{00000000-0005-0000-0000-0000C72F0000}"/>
    <cellStyle name="Comma 0.000 33" xfId="12239" xr:uid="{00000000-0005-0000-0000-0000C82F0000}"/>
    <cellStyle name="Comma 0.000 34" xfId="12240" xr:uid="{00000000-0005-0000-0000-0000C92F0000}"/>
    <cellStyle name="Comma 0.000 35" xfId="12241" xr:uid="{00000000-0005-0000-0000-0000CA2F0000}"/>
    <cellStyle name="Comma 0.000 36" xfId="12242" xr:uid="{00000000-0005-0000-0000-0000CB2F0000}"/>
    <cellStyle name="Comma 0.000 37" xfId="12243" xr:uid="{00000000-0005-0000-0000-0000CC2F0000}"/>
    <cellStyle name="Comma 0.000 38" xfId="12244" xr:uid="{00000000-0005-0000-0000-0000CD2F0000}"/>
    <cellStyle name="Comma 0.000 4" xfId="12245" xr:uid="{00000000-0005-0000-0000-0000CE2F0000}"/>
    <cellStyle name="Comma 0.000 5" xfId="12246" xr:uid="{00000000-0005-0000-0000-0000CF2F0000}"/>
    <cellStyle name="Comma 0.000 6" xfId="12247" xr:uid="{00000000-0005-0000-0000-0000D02F0000}"/>
    <cellStyle name="Comma 0.000 7" xfId="12248" xr:uid="{00000000-0005-0000-0000-0000D12F0000}"/>
    <cellStyle name="Comma 0.000 8" xfId="12249" xr:uid="{00000000-0005-0000-0000-0000D22F0000}"/>
    <cellStyle name="Comma 0.000 9" xfId="12250" xr:uid="{00000000-0005-0000-0000-0000D32F0000}"/>
    <cellStyle name="Comma 0.000%" xfId="12251" xr:uid="{00000000-0005-0000-0000-0000D42F0000}"/>
    <cellStyle name="Comma 0.000% 10" xfId="12252" xr:uid="{00000000-0005-0000-0000-0000D52F0000}"/>
    <cellStyle name="Comma 0.000% 11" xfId="12253" xr:uid="{00000000-0005-0000-0000-0000D62F0000}"/>
    <cellStyle name="Comma 0.000% 12" xfId="12254" xr:uid="{00000000-0005-0000-0000-0000D72F0000}"/>
    <cellStyle name="Comma 0.000% 13" xfId="12255" xr:uid="{00000000-0005-0000-0000-0000D82F0000}"/>
    <cellStyle name="Comma 0.000% 14" xfId="12256" xr:uid="{00000000-0005-0000-0000-0000D92F0000}"/>
    <cellStyle name="Comma 0.000% 15" xfId="12257" xr:uid="{00000000-0005-0000-0000-0000DA2F0000}"/>
    <cellStyle name="Comma 0.000% 16" xfId="12258" xr:uid="{00000000-0005-0000-0000-0000DB2F0000}"/>
    <cellStyle name="Comma 0.000% 17" xfId="12259" xr:uid="{00000000-0005-0000-0000-0000DC2F0000}"/>
    <cellStyle name="Comma 0.000% 18" xfId="12260" xr:uid="{00000000-0005-0000-0000-0000DD2F0000}"/>
    <cellStyle name="Comma 0.000% 19" xfId="12261" xr:uid="{00000000-0005-0000-0000-0000DE2F0000}"/>
    <cellStyle name="Comma 0.000% 2" xfId="12262" xr:uid="{00000000-0005-0000-0000-0000DF2F0000}"/>
    <cellStyle name="Comma 0.000% 20" xfId="12263" xr:uid="{00000000-0005-0000-0000-0000E02F0000}"/>
    <cellStyle name="Comma 0.000% 21" xfId="12264" xr:uid="{00000000-0005-0000-0000-0000E12F0000}"/>
    <cellStyle name="Comma 0.000% 22" xfId="12265" xr:uid="{00000000-0005-0000-0000-0000E22F0000}"/>
    <cellStyle name="Comma 0.000% 23" xfId="12266" xr:uid="{00000000-0005-0000-0000-0000E32F0000}"/>
    <cellStyle name="Comma 0.000% 24" xfId="12267" xr:uid="{00000000-0005-0000-0000-0000E42F0000}"/>
    <cellStyle name="Comma 0.000% 25" xfId="12268" xr:uid="{00000000-0005-0000-0000-0000E52F0000}"/>
    <cellStyle name="Comma 0.000% 26" xfId="12269" xr:uid="{00000000-0005-0000-0000-0000E62F0000}"/>
    <cellStyle name="Comma 0.000% 27" xfId="12270" xr:uid="{00000000-0005-0000-0000-0000E72F0000}"/>
    <cellStyle name="Comma 0.000% 28" xfId="12271" xr:uid="{00000000-0005-0000-0000-0000E82F0000}"/>
    <cellStyle name="Comma 0.000% 29" xfId="12272" xr:uid="{00000000-0005-0000-0000-0000E92F0000}"/>
    <cellStyle name="Comma 0.000% 29 2" xfId="12273" xr:uid="{00000000-0005-0000-0000-0000EA2F0000}"/>
    <cellStyle name="Comma 0.000% 3" xfId="12274" xr:uid="{00000000-0005-0000-0000-0000EB2F0000}"/>
    <cellStyle name="Comma 0.000% 30" xfId="12275" xr:uid="{00000000-0005-0000-0000-0000EC2F0000}"/>
    <cellStyle name="Comma 0.000% 31" xfId="12276" xr:uid="{00000000-0005-0000-0000-0000ED2F0000}"/>
    <cellStyle name="Comma 0.000% 32" xfId="12277" xr:uid="{00000000-0005-0000-0000-0000EE2F0000}"/>
    <cellStyle name="Comma 0.000% 33" xfId="12278" xr:uid="{00000000-0005-0000-0000-0000EF2F0000}"/>
    <cellStyle name="Comma 0.000% 34" xfId="12279" xr:uid="{00000000-0005-0000-0000-0000F02F0000}"/>
    <cellStyle name="Comma 0.000% 35" xfId="12280" xr:uid="{00000000-0005-0000-0000-0000F12F0000}"/>
    <cellStyle name="Comma 0.000% 36" xfId="12281" xr:uid="{00000000-0005-0000-0000-0000F22F0000}"/>
    <cellStyle name="Comma 0.000% 37" xfId="12282" xr:uid="{00000000-0005-0000-0000-0000F32F0000}"/>
    <cellStyle name="Comma 0.000% 38" xfId="12283" xr:uid="{00000000-0005-0000-0000-0000F42F0000}"/>
    <cellStyle name="Comma 0.000% 4" xfId="12284" xr:uid="{00000000-0005-0000-0000-0000F52F0000}"/>
    <cellStyle name="Comma 0.000% 5" xfId="12285" xr:uid="{00000000-0005-0000-0000-0000F62F0000}"/>
    <cellStyle name="Comma 0.000% 6" xfId="12286" xr:uid="{00000000-0005-0000-0000-0000F72F0000}"/>
    <cellStyle name="Comma 0.000% 7" xfId="12287" xr:uid="{00000000-0005-0000-0000-0000F82F0000}"/>
    <cellStyle name="Comma 0.000% 8" xfId="12288" xr:uid="{00000000-0005-0000-0000-0000F92F0000}"/>
    <cellStyle name="Comma 0.000% 9" xfId="12289" xr:uid="{00000000-0005-0000-0000-0000FA2F0000}"/>
    <cellStyle name="Comma 0.000_Accounts Receivable" xfId="12290" xr:uid="{00000000-0005-0000-0000-0000FB2F0000}"/>
    <cellStyle name="Comma 0.0000" xfId="12291" xr:uid="{00000000-0005-0000-0000-0000FC2F0000}"/>
    <cellStyle name="Comma 0.0000 10" xfId="12292" xr:uid="{00000000-0005-0000-0000-0000FD2F0000}"/>
    <cellStyle name="Comma 0.0000 11" xfId="12293" xr:uid="{00000000-0005-0000-0000-0000FE2F0000}"/>
    <cellStyle name="Comma 0.0000 12" xfId="12294" xr:uid="{00000000-0005-0000-0000-0000FF2F0000}"/>
    <cellStyle name="Comma 0.0000 13" xfId="12295" xr:uid="{00000000-0005-0000-0000-000000300000}"/>
    <cellStyle name="Comma 0.0000 14" xfId="12296" xr:uid="{00000000-0005-0000-0000-000001300000}"/>
    <cellStyle name="Comma 0.0000 15" xfId="12297" xr:uid="{00000000-0005-0000-0000-000002300000}"/>
    <cellStyle name="Comma 0.0000 16" xfId="12298" xr:uid="{00000000-0005-0000-0000-000003300000}"/>
    <cellStyle name="Comma 0.0000 17" xfId="12299" xr:uid="{00000000-0005-0000-0000-000004300000}"/>
    <cellStyle name="Comma 0.0000 18" xfId="12300" xr:uid="{00000000-0005-0000-0000-000005300000}"/>
    <cellStyle name="Comma 0.0000 19" xfId="12301" xr:uid="{00000000-0005-0000-0000-000006300000}"/>
    <cellStyle name="Comma 0.0000 2" xfId="12302" xr:uid="{00000000-0005-0000-0000-000007300000}"/>
    <cellStyle name="Comma 0.0000 20" xfId="12303" xr:uid="{00000000-0005-0000-0000-000008300000}"/>
    <cellStyle name="Comma 0.0000 21" xfId="12304" xr:uid="{00000000-0005-0000-0000-000009300000}"/>
    <cellStyle name="Comma 0.0000 21 2" xfId="12305" xr:uid="{00000000-0005-0000-0000-00000A300000}"/>
    <cellStyle name="Comma 0.0000 3" xfId="12306" xr:uid="{00000000-0005-0000-0000-00000B300000}"/>
    <cellStyle name="Comma 0.0000 4" xfId="12307" xr:uid="{00000000-0005-0000-0000-00000C300000}"/>
    <cellStyle name="Comma 0.0000 5" xfId="12308" xr:uid="{00000000-0005-0000-0000-00000D300000}"/>
    <cellStyle name="Comma 0.0000 6" xfId="12309" xr:uid="{00000000-0005-0000-0000-00000E300000}"/>
    <cellStyle name="Comma 0.0000 7" xfId="12310" xr:uid="{00000000-0005-0000-0000-00000F300000}"/>
    <cellStyle name="Comma 0.0000 8" xfId="12311" xr:uid="{00000000-0005-0000-0000-000010300000}"/>
    <cellStyle name="Comma 0.0000 9" xfId="12312" xr:uid="{00000000-0005-0000-0000-000011300000}"/>
    <cellStyle name="Comma 0_2009 Q3 Monitoring Fees" xfId="12313" xr:uid="{00000000-0005-0000-0000-000012300000}"/>
    <cellStyle name="Comma 10" xfId="12314" xr:uid="{00000000-0005-0000-0000-000013300000}"/>
    <cellStyle name="Comma 11" xfId="12315" xr:uid="{00000000-0005-0000-0000-000014300000}"/>
    <cellStyle name="Comma 11 2" xfId="12316" xr:uid="{00000000-0005-0000-0000-000015300000}"/>
    <cellStyle name="Comma 12" xfId="12317" xr:uid="{00000000-0005-0000-0000-000016300000}"/>
    <cellStyle name="Comma 13" xfId="12318" xr:uid="{00000000-0005-0000-0000-000017300000}"/>
    <cellStyle name="Comma 13 15" xfId="12319" xr:uid="{00000000-0005-0000-0000-000018300000}"/>
    <cellStyle name="Comma 14" xfId="12320" xr:uid="{00000000-0005-0000-0000-000019300000}"/>
    <cellStyle name="Comma 15" xfId="12321" xr:uid="{00000000-0005-0000-0000-00001A300000}"/>
    <cellStyle name="Comma 16" xfId="12322" xr:uid="{00000000-0005-0000-0000-00001B300000}"/>
    <cellStyle name="Comma 16 2" xfId="12323" xr:uid="{00000000-0005-0000-0000-00001C300000}"/>
    <cellStyle name="Comma 17" xfId="12324" xr:uid="{00000000-0005-0000-0000-00001D300000}"/>
    <cellStyle name="Comma 18" xfId="12325" xr:uid="{00000000-0005-0000-0000-00001E300000}"/>
    <cellStyle name="Comma 18 2" xfId="35687" xr:uid="{00000000-0005-0000-0000-00001F300000}"/>
    <cellStyle name="Comma 19" xfId="12326" xr:uid="{00000000-0005-0000-0000-000020300000}"/>
    <cellStyle name="Comma 2" xfId="12327" xr:uid="{00000000-0005-0000-0000-000021300000}"/>
    <cellStyle name="Comma 2 10" xfId="12328" xr:uid="{00000000-0005-0000-0000-000022300000}"/>
    <cellStyle name="Comma 2 11" xfId="12329" xr:uid="{00000000-0005-0000-0000-000023300000}"/>
    <cellStyle name="Comma 2 12" xfId="12330" xr:uid="{00000000-0005-0000-0000-000024300000}"/>
    <cellStyle name="Comma 2 13" xfId="12331" xr:uid="{00000000-0005-0000-0000-000025300000}"/>
    <cellStyle name="Comma 2 14" xfId="12332" xr:uid="{00000000-0005-0000-0000-000026300000}"/>
    <cellStyle name="Comma 2 15" xfId="12333" xr:uid="{00000000-0005-0000-0000-000027300000}"/>
    <cellStyle name="Comma 2 16" xfId="12334" xr:uid="{00000000-0005-0000-0000-000028300000}"/>
    <cellStyle name="Comma 2 17" xfId="12335" xr:uid="{00000000-0005-0000-0000-000029300000}"/>
    <cellStyle name="Comma 2 18" xfId="12336" xr:uid="{00000000-0005-0000-0000-00002A300000}"/>
    <cellStyle name="Comma 2 19" xfId="12337" xr:uid="{00000000-0005-0000-0000-00002B300000}"/>
    <cellStyle name="Comma 2 2" xfId="12338" xr:uid="{00000000-0005-0000-0000-00002C300000}"/>
    <cellStyle name="Comma 2 2 2" xfId="12339" xr:uid="{00000000-0005-0000-0000-00002D300000}"/>
    <cellStyle name="Comma 2 20" xfId="12340" xr:uid="{00000000-0005-0000-0000-00002E300000}"/>
    <cellStyle name="Comma 2 21" xfId="12341" xr:uid="{00000000-0005-0000-0000-00002F300000}"/>
    <cellStyle name="Comma 2 21 2" xfId="12342" xr:uid="{00000000-0005-0000-0000-000030300000}"/>
    <cellStyle name="Comma 2 3" xfId="12343" xr:uid="{00000000-0005-0000-0000-000031300000}"/>
    <cellStyle name="Comma 2 4" xfId="12344" xr:uid="{00000000-0005-0000-0000-000032300000}"/>
    <cellStyle name="Comma 2 5" xfId="12345" xr:uid="{00000000-0005-0000-0000-000033300000}"/>
    <cellStyle name="Comma 2 6" xfId="12346" xr:uid="{00000000-0005-0000-0000-000034300000}"/>
    <cellStyle name="Comma 2 7" xfId="12347" xr:uid="{00000000-0005-0000-0000-000035300000}"/>
    <cellStyle name="Comma 2 8" xfId="12348" xr:uid="{00000000-0005-0000-0000-000036300000}"/>
    <cellStyle name="Comma 2 9" xfId="12349" xr:uid="{00000000-0005-0000-0000-000037300000}"/>
    <cellStyle name="Comma 20" xfId="35731" xr:uid="{540F7635-8C2E-4B33-BA6B-C5F97F96D7FA}"/>
    <cellStyle name="Comma 22" xfId="35688" xr:uid="{00000000-0005-0000-0000-000038300000}"/>
    <cellStyle name="Comma 3" xfId="12350" xr:uid="{00000000-0005-0000-0000-000039300000}"/>
    <cellStyle name="Comma 3 2" xfId="12351" xr:uid="{00000000-0005-0000-0000-00003A300000}"/>
    <cellStyle name="Comma 3 2 2" xfId="12352" xr:uid="{00000000-0005-0000-0000-00003B300000}"/>
    <cellStyle name="Comma 3 3" xfId="12353" xr:uid="{00000000-0005-0000-0000-00003C300000}"/>
    <cellStyle name="Comma 3 3 2" xfId="12354" xr:uid="{00000000-0005-0000-0000-00003D300000}"/>
    <cellStyle name="Comma 3 3 2 2" xfId="12355" xr:uid="{00000000-0005-0000-0000-00003E300000}"/>
    <cellStyle name="Comma 3 3 3" xfId="12356" xr:uid="{00000000-0005-0000-0000-00003F300000}"/>
    <cellStyle name="Comma 3 3 4" xfId="12357" xr:uid="{00000000-0005-0000-0000-000040300000}"/>
    <cellStyle name="Comma 3 4" xfId="12358" xr:uid="{00000000-0005-0000-0000-000041300000}"/>
    <cellStyle name="Comma 4" xfId="12359" xr:uid="{00000000-0005-0000-0000-000042300000}"/>
    <cellStyle name="Comma 4 2" xfId="12360" xr:uid="{00000000-0005-0000-0000-000043300000}"/>
    <cellStyle name="Comma 4 2 2" xfId="12361" xr:uid="{00000000-0005-0000-0000-000044300000}"/>
    <cellStyle name="Comma 4 3" xfId="12362" xr:uid="{00000000-0005-0000-0000-000045300000}"/>
    <cellStyle name="Comma 4 4" xfId="12363" xr:uid="{00000000-0005-0000-0000-000046300000}"/>
    <cellStyle name="Comma 4 5" xfId="12364" xr:uid="{00000000-0005-0000-0000-000047300000}"/>
    <cellStyle name="Comma 4 6" xfId="12365" xr:uid="{00000000-0005-0000-0000-000048300000}"/>
    <cellStyle name="Comma 4 7" xfId="12366" xr:uid="{00000000-0005-0000-0000-000049300000}"/>
    <cellStyle name="Comma 4 8" xfId="12367" xr:uid="{00000000-0005-0000-0000-00004A300000}"/>
    <cellStyle name="Comma 4_Dist Summary_10.XX.09" xfId="12368" xr:uid="{00000000-0005-0000-0000-00004B300000}"/>
    <cellStyle name="Comma 5" xfId="12369" xr:uid="{00000000-0005-0000-0000-00004C300000}"/>
    <cellStyle name="Comma 5 2" xfId="12370" xr:uid="{00000000-0005-0000-0000-00004D300000}"/>
    <cellStyle name="Comma 5 2 2" xfId="12371" xr:uid="{00000000-0005-0000-0000-00004E300000}"/>
    <cellStyle name="Comma 5 3" xfId="12372" xr:uid="{00000000-0005-0000-0000-00004F300000}"/>
    <cellStyle name="Comma 5 3 2" xfId="12373" xr:uid="{00000000-0005-0000-0000-000050300000}"/>
    <cellStyle name="Comma 5 4" xfId="12374" xr:uid="{00000000-0005-0000-0000-000051300000}"/>
    <cellStyle name="Comma 5 5" xfId="12375" xr:uid="{00000000-0005-0000-0000-000052300000}"/>
    <cellStyle name="Comma 5 6" xfId="12376" xr:uid="{00000000-0005-0000-0000-000053300000}"/>
    <cellStyle name="Comma 5 7" xfId="12377" xr:uid="{00000000-0005-0000-0000-000054300000}"/>
    <cellStyle name="Comma 5_Dist Summary_10.XX.09" xfId="12378" xr:uid="{00000000-0005-0000-0000-000055300000}"/>
    <cellStyle name="Comma 6" xfId="12379" xr:uid="{00000000-0005-0000-0000-000056300000}"/>
    <cellStyle name="Comma 6 2" xfId="12380" xr:uid="{00000000-0005-0000-0000-000057300000}"/>
    <cellStyle name="Comma 7" xfId="12381" xr:uid="{00000000-0005-0000-0000-000058300000}"/>
    <cellStyle name="Comma 7 2" xfId="12382" xr:uid="{00000000-0005-0000-0000-000059300000}"/>
    <cellStyle name="Comma 8" xfId="12383" xr:uid="{00000000-0005-0000-0000-00005A300000}"/>
    <cellStyle name="Comma 8 2" xfId="12384" xr:uid="{00000000-0005-0000-0000-00005B300000}"/>
    <cellStyle name="Comma 9" xfId="12385" xr:uid="{00000000-0005-0000-0000-00005C300000}"/>
    <cellStyle name="Comma0" xfId="12386" xr:uid="{00000000-0005-0000-0000-00005D300000}"/>
    <cellStyle name="Comma0 - Modelo1" xfId="12387" xr:uid="{00000000-0005-0000-0000-00005E300000}"/>
    <cellStyle name="Comma0 - Modelo1 10" xfId="12388" xr:uid="{00000000-0005-0000-0000-00005F300000}"/>
    <cellStyle name="Comma0 - Modelo1 11" xfId="12389" xr:uid="{00000000-0005-0000-0000-000060300000}"/>
    <cellStyle name="Comma0 - Modelo1 12" xfId="12390" xr:uid="{00000000-0005-0000-0000-000061300000}"/>
    <cellStyle name="Comma0 - Modelo1 13" xfId="12391" xr:uid="{00000000-0005-0000-0000-000062300000}"/>
    <cellStyle name="Comma0 - Modelo1 14" xfId="12392" xr:uid="{00000000-0005-0000-0000-000063300000}"/>
    <cellStyle name="Comma0 - Modelo1 15" xfId="12393" xr:uid="{00000000-0005-0000-0000-000064300000}"/>
    <cellStyle name="Comma0 - Modelo1 16" xfId="12394" xr:uid="{00000000-0005-0000-0000-000065300000}"/>
    <cellStyle name="Comma0 - Modelo1 17" xfId="12395" xr:uid="{00000000-0005-0000-0000-000066300000}"/>
    <cellStyle name="Comma0 - Modelo1 18" xfId="12396" xr:uid="{00000000-0005-0000-0000-000067300000}"/>
    <cellStyle name="Comma0 - Modelo1 19" xfId="12397" xr:uid="{00000000-0005-0000-0000-000068300000}"/>
    <cellStyle name="Comma0 - Modelo1 2" xfId="12398" xr:uid="{00000000-0005-0000-0000-000069300000}"/>
    <cellStyle name="Comma0 - Modelo1 20" xfId="12399" xr:uid="{00000000-0005-0000-0000-00006A300000}"/>
    <cellStyle name="Comma0 - Modelo1 21" xfId="12400" xr:uid="{00000000-0005-0000-0000-00006B300000}"/>
    <cellStyle name="Comma0 - Modelo1 22" xfId="12401" xr:uid="{00000000-0005-0000-0000-00006C300000}"/>
    <cellStyle name="Comma0 - Modelo1 23" xfId="12402" xr:uid="{00000000-0005-0000-0000-00006D300000}"/>
    <cellStyle name="Comma0 - Modelo1 24" xfId="12403" xr:uid="{00000000-0005-0000-0000-00006E300000}"/>
    <cellStyle name="Comma0 - Modelo1 25" xfId="12404" xr:uid="{00000000-0005-0000-0000-00006F300000}"/>
    <cellStyle name="Comma0 - Modelo1 26" xfId="12405" xr:uid="{00000000-0005-0000-0000-000070300000}"/>
    <cellStyle name="Comma0 - Modelo1 27" xfId="12406" xr:uid="{00000000-0005-0000-0000-000071300000}"/>
    <cellStyle name="Comma0 - Modelo1 28" xfId="12407" xr:uid="{00000000-0005-0000-0000-000072300000}"/>
    <cellStyle name="Comma0 - Modelo1 29" xfId="12408" xr:uid="{00000000-0005-0000-0000-000073300000}"/>
    <cellStyle name="Comma0 - Modelo1 29 2" xfId="12409" xr:uid="{00000000-0005-0000-0000-000074300000}"/>
    <cellStyle name="Comma0 - Modelo1 3" xfId="12410" xr:uid="{00000000-0005-0000-0000-000075300000}"/>
    <cellStyle name="Comma0 - Modelo1 30" xfId="12411" xr:uid="{00000000-0005-0000-0000-000076300000}"/>
    <cellStyle name="Comma0 - Modelo1 31" xfId="12412" xr:uid="{00000000-0005-0000-0000-000077300000}"/>
    <cellStyle name="Comma0 - Modelo1 32" xfId="12413" xr:uid="{00000000-0005-0000-0000-000078300000}"/>
    <cellStyle name="Comma0 - Modelo1 33" xfId="12414" xr:uid="{00000000-0005-0000-0000-000079300000}"/>
    <cellStyle name="Comma0 - Modelo1 34" xfId="12415" xr:uid="{00000000-0005-0000-0000-00007A300000}"/>
    <cellStyle name="Comma0 - Modelo1 35" xfId="12416" xr:uid="{00000000-0005-0000-0000-00007B300000}"/>
    <cellStyle name="Comma0 - Modelo1 36" xfId="12417" xr:uid="{00000000-0005-0000-0000-00007C300000}"/>
    <cellStyle name="Comma0 - Modelo1 37" xfId="12418" xr:uid="{00000000-0005-0000-0000-00007D300000}"/>
    <cellStyle name="Comma0 - Modelo1 38" xfId="12419" xr:uid="{00000000-0005-0000-0000-00007E300000}"/>
    <cellStyle name="Comma0 - Modelo1 4" xfId="12420" xr:uid="{00000000-0005-0000-0000-00007F300000}"/>
    <cellStyle name="Comma0 - Modelo1 5" xfId="12421" xr:uid="{00000000-0005-0000-0000-000080300000}"/>
    <cellStyle name="Comma0 - Modelo1 6" xfId="12422" xr:uid="{00000000-0005-0000-0000-000081300000}"/>
    <cellStyle name="Comma0 - Modelo1 7" xfId="12423" xr:uid="{00000000-0005-0000-0000-000082300000}"/>
    <cellStyle name="Comma0 - Modelo1 8" xfId="12424" xr:uid="{00000000-0005-0000-0000-000083300000}"/>
    <cellStyle name="Comma0 - Modelo1 9" xfId="12425" xr:uid="{00000000-0005-0000-0000-000084300000}"/>
    <cellStyle name="Comma0 - Style1" xfId="12426" xr:uid="{00000000-0005-0000-0000-000085300000}"/>
    <cellStyle name="Comma0 - Style1 10" xfId="12427" xr:uid="{00000000-0005-0000-0000-000086300000}"/>
    <cellStyle name="Comma0 - Style1 11" xfId="12428" xr:uid="{00000000-0005-0000-0000-000087300000}"/>
    <cellStyle name="Comma0 - Style1 12" xfId="12429" xr:uid="{00000000-0005-0000-0000-000088300000}"/>
    <cellStyle name="Comma0 - Style1 13" xfId="12430" xr:uid="{00000000-0005-0000-0000-000089300000}"/>
    <cellStyle name="Comma0 - Style1 14" xfId="12431" xr:uid="{00000000-0005-0000-0000-00008A300000}"/>
    <cellStyle name="Comma0 - Style1 15" xfId="12432" xr:uid="{00000000-0005-0000-0000-00008B300000}"/>
    <cellStyle name="Comma0 - Style1 16" xfId="12433" xr:uid="{00000000-0005-0000-0000-00008C300000}"/>
    <cellStyle name="Comma0 - Style1 17" xfId="12434" xr:uid="{00000000-0005-0000-0000-00008D300000}"/>
    <cellStyle name="Comma0 - Style1 18" xfId="12435" xr:uid="{00000000-0005-0000-0000-00008E300000}"/>
    <cellStyle name="Comma0 - Style1 19" xfId="12436" xr:uid="{00000000-0005-0000-0000-00008F300000}"/>
    <cellStyle name="Comma0 - Style1 2" xfId="12437" xr:uid="{00000000-0005-0000-0000-000090300000}"/>
    <cellStyle name="Comma0 - Style1 20" xfId="12438" xr:uid="{00000000-0005-0000-0000-000091300000}"/>
    <cellStyle name="Comma0 - Style1 21" xfId="12439" xr:uid="{00000000-0005-0000-0000-000092300000}"/>
    <cellStyle name="Comma0 - Style1 22" xfId="12440" xr:uid="{00000000-0005-0000-0000-000093300000}"/>
    <cellStyle name="Comma0 - Style1 23" xfId="12441" xr:uid="{00000000-0005-0000-0000-000094300000}"/>
    <cellStyle name="Comma0 - Style1 24" xfId="12442" xr:uid="{00000000-0005-0000-0000-000095300000}"/>
    <cellStyle name="Comma0 - Style1 25" xfId="12443" xr:uid="{00000000-0005-0000-0000-000096300000}"/>
    <cellStyle name="Comma0 - Style1 26" xfId="12444" xr:uid="{00000000-0005-0000-0000-000097300000}"/>
    <cellStyle name="Comma0 - Style1 27" xfId="12445" xr:uid="{00000000-0005-0000-0000-000098300000}"/>
    <cellStyle name="Comma0 - Style1 28" xfId="12446" xr:uid="{00000000-0005-0000-0000-000099300000}"/>
    <cellStyle name="Comma0 - Style1 29" xfId="12447" xr:uid="{00000000-0005-0000-0000-00009A300000}"/>
    <cellStyle name="Comma0 - Style1 29 2" xfId="12448" xr:uid="{00000000-0005-0000-0000-00009B300000}"/>
    <cellStyle name="Comma0 - Style1 3" xfId="12449" xr:uid="{00000000-0005-0000-0000-00009C300000}"/>
    <cellStyle name="Comma0 - Style1 30" xfId="12450" xr:uid="{00000000-0005-0000-0000-00009D300000}"/>
    <cellStyle name="Comma0 - Style1 31" xfId="12451" xr:uid="{00000000-0005-0000-0000-00009E300000}"/>
    <cellStyle name="Comma0 - Style1 32" xfId="12452" xr:uid="{00000000-0005-0000-0000-00009F300000}"/>
    <cellStyle name="Comma0 - Style1 33" xfId="12453" xr:uid="{00000000-0005-0000-0000-0000A0300000}"/>
    <cellStyle name="Comma0 - Style1 34" xfId="12454" xr:uid="{00000000-0005-0000-0000-0000A1300000}"/>
    <cellStyle name="Comma0 - Style1 35" xfId="12455" xr:uid="{00000000-0005-0000-0000-0000A2300000}"/>
    <cellStyle name="Comma0 - Style1 36" xfId="12456" xr:uid="{00000000-0005-0000-0000-0000A3300000}"/>
    <cellStyle name="Comma0 - Style1 37" xfId="12457" xr:uid="{00000000-0005-0000-0000-0000A4300000}"/>
    <cellStyle name="Comma0 - Style1 38" xfId="12458" xr:uid="{00000000-0005-0000-0000-0000A5300000}"/>
    <cellStyle name="Comma0 - Style1 4" xfId="12459" xr:uid="{00000000-0005-0000-0000-0000A6300000}"/>
    <cellStyle name="Comma0 - Style1 5" xfId="12460" xr:uid="{00000000-0005-0000-0000-0000A7300000}"/>
    <cellStyle name="Comma0 - Style1 6" xfId="12461" xr:uid="{00000000-0005-0000-0000-0000A8300000}"/>
    <cellStyle name="Comma0 - Style1 7" xfId="12462" xr:uid="{00000000-0005-0000-0000-0000A9300000}"/>
    <cellStyle name="Comma0 - Style1 8" xfId="12463" xr:uid="{00000000-0005-0000-0000-0000AA300000}"/>
    <cellStyle name="Comma0 - Style1 9" xfId="12464" xr:uid="{00000000-0005-0000-0000-0000AB300000}"/>
    <cellStyle name="Comma0 - Style3" xfId="12465" xr:uid="{00000000-0005-0000-0000-0000AC300000}"/>
    <cellStyle name="Comma0 - Style3 10" xfId="12466" xr:uid="{00000000-0005-0000-0000-0000AD300000}"/>
    <cellStyle name="Comma0 - Style3 11" xfId="12467" xr:uid="{00000000-0005-0000-0000-0000AE300000}"/>
    <cellStyle name="Comma0 - Style3 12" xfId="12468" xr:uid="{00000000-0005-0000-0000-0000AF300000}"/>
    <cellStyle name="Comma0 - Style3 13" xfId="12469" xr:uid="{00000000-0005-0000-0000-0000B0300000}"/>
    <cellStyle name="Comma0 - Style3 14" xfId="12470" xr:uid="{00000000-0005-0000-0000-0000B1300000}"/>
    <cellStyle name="Comma0 - Style3 15" xfId="12471" xr:uid="{00000000-0005-0000-0000-0000B2300000}"/>
    <cellStyle name="Comma0 - Style3 16" xfId="12472" xr:uid="{00000000-0005-0000-0000-0000B3300000}"/>
    <cellStyle name="Comma0 - Style3 17" xfId="12473" xr:uid="{00000000-0005-0000-0000-0000B4300000}"/>
    <cellStyle name="Comma0 - Style3 18" xfId="12474" xr:uid="{00000000-0005-0000-0000-0000B5300000}"/>
    <cellStyle name="Comma0 - Style3 19" xfId="12475" xr:uid="{00000000-0005-0000-0000-0000B6300000}"/>
    <cellStyle name="Comma0 - Style3 2" xfId="12476" xr:uid="{00000000-0005-0000-0000-0000B7300000}"/>
    <cellStyle name="Comma0 - Style3 20" xfId="12477" xr:uid="{00000000-0005-0000-0000-0000B8300000}"/>
    <cellStyle name="Comma0 - Style3 21" xfId="12478" xr:uid="{00000000-0005-0000-0000-0000B9300000}"/>
    <cellStyle name="Comma0 - Style3 21 2" xfId="12479" xr:uid="{00000000-0005-0000-0000-0000BA300000}"/>
    <cellStyle name="Comma0 - Style3 3" xfId="12480" xr:uid="{00000000-0005-0000-0000-0000BB300000}"/>
    <cellStyle name="Comma0 - Style3 4" xfId="12481" xr:uid="{00000000-0005-0000-0000-0000BC300000}"/>
    <cellStyle name="Comma0 - Style3 5" xfId="12482" xr:uid="{00000000-0005-0000-0000-0000BD300000}"/>
    <cellStyle name="Comma0 - Style3 6" xfId="12483" xr:uid="{00000000-0005-0000-0000-0000BE300000}"/>
    <cellStyle name="Comma0 - Style3 7" xfId="12484" xr:uid="{00000000-0005-0000-0000-0000BF300000}"/>
    <cellStyle name="Comma0 - Style3 8" xfId="12485" xr:uid="{00000000-0005-0000-0000-0000C0300000}"/>
    <cellStyle name="Comma0 - Style3 9" xfId="12486" xr:uid="{00000000-0005-0000-0000-0000C1300000}"/>
    <cellStyle name="Comma0 - Style4" xfId="12487" xr:uid="{00000000-0005-0000-0000-0000C2300000}"/>
    <cellStyle name="Comma0 - Style4 10" xfId="12488" xr:uid="{00000000-0005-0000-0000-0000C3300000}"/>
    <cellStyle name="Comma0 - Style4 11" xfId="12489" xr:uid="{00000000-0005-0000-0000-0000C4300000}"/>
    <cellStyle name="Comma0 - Style4 12" xfId="12490" xr:uid="{00000000-0005-0000-0000-0000C5300000}"/>
    <cellStyle name="Comma0 - Style4 13" xfId="12491" xr:uid="{00000000-0005-0000-0000-0000C6300000}"/>
    <cellStyle name="Comma0 - Style4 14" xfId="12492" xr:uid="{00000000-0005-0000-0000-0000C7300000}"/>
    <cellStyle name="Comma0 - Style4 15" xfId="12493" xr:uid="{00000000-0005-0000-0000-0000C8300000}"/>
    <cellStyle name="Comma0 - Style4 16" xfId="12494" xr:uid="{00000000-0005-0000-0000-0000C9300000}"/>
    <cellStyle name="Comma0 - Style4 17" xfId="12495" xr:uid="{00000000-0005-0000-0000-0000CA300000}"/>
    <cellStyle name="Comma0 - Style4 18" xfId="12496" xr:uid="{00000000-0005-0000-0000-0000CB300000}"/>
    <cellStyle name="Comma0 - Style4 19" xfId="12497" xr:uid="{00000000-0005-0000-0000-0000CC300000}"/>
    <cellStyle name="Comma0 - Style4 2" xfId="12498" xr:uid="{00000000-0005-0000-0000-0000CD300000}"/>
    <cellStyle name="Comma0 - Style4 20" xfId="12499" xr:uid="{00000000-0005-0000-0000-0000CE300000}"/>
    <cellStyle name="Comma0 - Style4 21" xfId="12500" xr:uid="{00000000-0005-0000-0000-0000CF300000}"/>
    <cellStyle name="Comma0 - Style4 21 2" xfId="12501" xr:uid="{00000000-0005-0000-0000-0000D0300000}"/>
    <cellStyle name="Comma0 - Style4 3" xfId="12502" xr:uid="{00000000-0005-0000-0000-0000D1300000}"/>
    <cellStyle name="Comma0 - Style4 4" xfId="12503" xr:uid="{00000000-0005-0000-0000-0000D2300000}"/>
    <cellStyle name="Comma0 - Style4 5" xfId="12504" xr:uid="{00000000-0005-0000-0000-0000D3300000}"/>
    <cellStyle name="Comma0 - Style4 6" xfId="12505" xr:uid="{00000000-0005-0000-0000-0000D4300000}"/>
    <cellStyle name="Comma0 - Style4 7" xfId="12506" xr:uid="{00000000-0005-0000-0000-0000D5300000}"/>
    <cellStyle name="Comma0 - Style4 8" xfId="12507" xr:uid="{00000000-0005-0000-0000-0000D6300000}"/>
    <cellStyle name="Comma0 - Style4 9" xfId="12508" xr:uid="{00000000-0005-0000-0000-0000D7300000}"/>
    <cellStyle name="Comma0 - Style5" xfId="12509" xr:uid="{00000000-0005-0000-0000-0000D8300000}"/>
    <cellStyle name="Comma0 - Style5 10" xfId="12510" xr:uid="{00000000-0005-0000-0000-0000D9300000}"/>
    <cellStyle name="Comma0 - Style5 11" xfId="12511" xr:uid="{00000000-0005-0000-0000-0000DA300000}"/>
    <cellStyle name="Comma0 - Style5 12" xfId="12512" xr:uid="{00000000-0005-0000-0000-0000DB300000}"/>
    <cellStyle name="Comma0 - Style5 13" xfId="12513" xr:uid="{00000000-0005-0000-0000-0000DC300000}"/>
    <cellStyle name="Comma0 - Style5 14" xfId="12514" xr:uid="{00000000-0005-0000-0000-0000DD300000}"/>
    <cellStyle name="Comma0 - Style5 15" xfId="12515" xr:uid="{00000000-0005-0000-0000-0000DE300000}"/>
    <cellStyle name="Comma0 - Style5 16" xfId="12516" xr:uid="{00000000-0005-0000-0000-0000DF300000}"/>
    <cellStyle name="Comma0 - Style5 17" xfId="12517" xr:uid="{00000000-0005-0000-0000-0000E0300000}"/>
    <cellStyle name="Comma0 - Style5 18" xfId="12518" xr:uid="{00000000-0005-0000-0000-0000E1300000}"/>
    <cellStyle name="Comma0 - Style5 19" xfId="12519" xr:uid="{00000000-0005-0000-0000-0000E2300000}"/>
    <cellStyle name="Comma0 - Style5 2" xfId="12520" xr:uid="{00000000-0005-0000-0000-0000E3300000}"/>
    <cellStyle name="Comma0 - Style5 20" xfId="12521" xr:uid="{00000000-0005-0000-0000-0000E4300000}"/>
    <cellStyle name="Comma0 - Style5 21" xfId="12522" xr:uid="{00000000-0005-0000-0000-0000E5300000}"/>
    <cellStyle name="Comma0 - Style5 21 2" xfId="12523" xr:uid="{00000000-0005-0000-0000-0000E6300000}"/>
    <cellStyle name="Comma0 - Style5 3" xfId="12524" xr:uid="{00000000-0005-0000-0000-0000E7300000}"/>
    <cellStyle name="Comma0 - Style5 4" xfId="12525" xr:uid="{00000000-0005-0000-0000-0000E8300000}"/>
    <cellStyle name="Comma0 - Style5 5" xfId="12526" xr:uid="{00000000-0005-0000-0000-0000E9300000}"/>
    <cellStyle name="Comma0 - Style5 6" xfId="12527" xr:uid="{00000000-0005-0000-0000-0000EA300000}"/>
    <cellStyle name="Comma0 - Style5 7" xfId="12528" xr:uid="{00000000-0005-0000-0000-0000EB300000}"/>
    <cellStyle name="Comma0 - Style5 8" xfId="12529" xr:uid="{00000000-0005-0000-0000-0000EC300000}"/>
    <cellStyle name="Comma0 - Style5 9" xfId="12530" xr:uid="{00000000-0005-0000-0000-0000ED300000}"/>
    <cellStyle name="Comma0 10" xfId="12531" xr:uid="{00000000-0005-0000-0000-0000EE300000}"/>
    <cellStyle name="Comma0 10 2" xfId="12532" xr:uid="{00000000-0005-0000-0000-0000EF300000}"/>
    <cellStyle name="Comma0 11" xfId="12533" xr:uid="{00000000-0005-0000-0000-0000F0300000}"/>
    <cellStyle name="Comma0 12" xfId="12534" xr:uid="{00000000-0005-0000-0000-0000F1300000}"/>
    <cellStyle name="Comma0 13" xfId="12535" xr:uid="{00000000-0005-0000-0000-0000F2300000}"/>
    <cellStyle name="Comma0 14" xfId="12536" xr:uid="{00000000-0005-0000-0000-0000F3300000}"/>
    <cellStyle name="Comma0 15" xfId="12537" xr:uid="{00000000-0005-0000-0000-0000F4300000}"/>
    <cellStyle name="Comma0 16" xfId="12538" xr:uid="{00000000-0005-0000-0000-0000F5300000}"/>
    <cellStyle name="Comma0 17" xfId="12539" xr:uid="{00000000-0005-0000-0000-0000F6300000}"/>
    <cellStyle name="Comma0 18" xfId="12540" xr:uid="{00000000-0005-0000-0000-0000F7300000}"/>
    <cellStyle name="Comma0 19" xfId="12541" xr:uid="{00000000-0005-0000-0000-0000F8300000}"/>
    <cellStyle name="Comma0 2" xfId="12542" xr:uid="{00000000-0005-0000-0000-0000F9300000}"/>
    <cellStyle name="Comma0 2 2" xfId="12543" xr:uid="{00000000-0005-0000-0000-0000FA300000}"/>
    <cellStyle name="Comma0 20" xfId="12544" xr:uid="{00000000-0005-0000-0000-0000FB300000}"/>
    <cellStyle name="Comma0 21" xfId="12545" xr:uid="{00000000-0005-0000-0000-0000FC300000}"/>
    <cellStyle name="Comma0 22" xfId="12546" xr:uid="{00000000-0005-0000-0000-0000FD300000}"/>
    <cellStyle name="Comma0 23" xfId="12547" xr:uid="{00000000-0005-0000-0000-0000FE300000}"/>
    <cellStyle name="Comma0 24" xfId="12548" xr:uid="{00000000-0005-0000-0000-0000FF300000}"/>
    <cellStyle name="Comma0 25" xfId="12549" xr:uid="{00000000-0005-0000-0000-000000310000}"/>
    <cellStyle name="Comma0 25 2" xfId="12550" xr:uid="{00000000-0005-0000-0000-000001310000}"/>
    <cellStyle name="Comma0 26" xfId="12551" xr:uid="{00000000-0005-0000-0000-000002310000}"/>
    <cellStyle name="Comma0 26 2" xfId="12552" xr:uid="{00000000-0005-0000-0000-000003310000}"/>
    <cellStyle name="Comma0 27" xfId="12553" xr:uid="{00000000-0005-0000-0000-000004310000}"/>
    <cellStyle name="Comma0 28" xfId="12554" xr:uid="{00000000-0005-0000-0000-000005310000}"/>
    <cellStyle name="Comma0 29" xfId="12555" xr:uid="{00000000-0005-0000-0000-000006310000}"/>
    <cellStyle name="Comma0 3" xfId="12556" xr:uid="{00000000-0005-0000-0000-000007310000}"/>
    <cellStyle name="Comma0 3 2" xfId="12557" xr:uid="{00000000-0005-0000-0000-000008310000}"/>
    <cellStyle name="Comma0 30" xfId="12558" xr:uid="{00000000-0005-0000-0000-000009310000}"/>
    <cellStyle name="Comma0 31" xfId="12559" xr:uid="{00000000-0005-0000-0000-00000A310000}"/>
    <cellStyle name="Comma0 32" xfId="12560" xr:uid="{00000000-0005-0000-0000-00000B310000}"/>
    <cellStyle name="Comma0 33" xfId="12561" xr:uid="{00000000-0005-0000-0000-00000C310000}"/>
    <cellStyle name="Comma0 34" xfId="12562" xr:uid="{00000000-0005-0000-0000-00000D310000}"/>
    <cellStyle name="Comma0 35" xfId="12563" xr:uid="{00000000-0005-0000-0000-00000E310000}"/>
    <cellStyle name="Comma0 36" xfId="12564" xr:uid="{00000000-0005-0000-0000-00000F310000}"/>
    <cellStyle name="Comma0 37" xfId="12565" xr:uid="{00000000-0005-0000-0000-000010310000}"/>
    <cellStyle name="Comma0 38" xfId="12566" xr:uid="{00000000-0005-0000-0000-000011310000}"/>
    <cellStyle name="Comma0 39" xfId="12567" xr:uid="{00000000-0005-0000-0000-000012310000}"/>
    <cellStyle name="Comma0 4" xfId="12568" xr:uid="{00000000-0005-0000-0000-000013310000}"/>
    <cellStyle name="Comma0 40" xfId="12569" xr:uid="{00000000-0005-0000-0000-000014310000}"/>
    <cellStyle name="Comma0 5" xfId="12570" xr:uid="{00000000-0005-0000-0000-000015310000}"/>
    <cellStyle name="Comma0 5 2" xfId="12571" xr:uid="{00000000-0005-0000-0000-000016310000}"/>
    <cellStyle name="Comma0 6" xfId="12572" xr:uid="{00000000-0005-0000-0000-000017310000}"/>
    <cellStyle name="Comma0 6 2" xfId="12573" xr:uid="{00000000-0005-0000-0000-000018310000}"/>
    <cellStyle name="Comma0 7" xfId="12574" xr:uid="{00000000-0005-0000-0000-000019310000}"/>
    <cellStyle name="Comma0 7 2" xfId="12575" xr:uid="{00000000-0005-0000-0000-00001A310000}"/>
    <cellStyle name="Comma0 8" xfId="12576" xr:uid="{00000000-0005-0000-0000-00001B310000}"/>
    <cellStyle name="Comma0 8 2" xfId="12577" xr:uid="{00000000-0005-0000-0000-00001C310000}"/>
    <cellStyle name="Comma0 9" xfId="12578" xr:uid="{00000000-0005-0000-0000-00001D310000}"/>
    <cellStyle name="Comma0 9 2" xfId="12579" xr:uid="{00000000-0005-0000-0000-00001E310000}"/>
    <cellStyle name="Comma1" xfId="12580" xr:uid="{00000000-0005-0000-0000-00001F310000}"/>
    <cellStyle name="Comma1 - Modelo2" xfId="12581" xr:uid="{00000000-0005-0000-0000-000020310000}"/>
    <cellStyle name="Comma1 - Modelo2 10" xfId="12582" xr:uid="{00000000-0005-0000-0000-000021310000}"/>
    <cellStyle name="Comma1 - Modelo2 11" xfId="12583" xr:uid="{00000000-0005-0000-0000-000022310000}"/>
    <cellStyle name="Comma1 - Modelo2 12" xfId="12584" xr:uid="{00000000-0005-0000-0000-000023310000}"/>
    <cellStyle name="Comma1 - Modelo2 13" xfId="12585" xr:uid="{00000000-0005-0000-0000-000024310000}"/>
    <cellStyle name="Comma1 - Modelo2 14" xfId="12586" xr:uid="{00000000-0005-0000-0000-000025310000}"/>
    <cellStyle name="Comma1 - Modelo2 15" xfId="12587" xr:uid="{00000000-0005-0000-0000-000026310000}"/>
    <cellStyle name="Comma1 - Modelo2 16" xfId="12588" xr:uid="{00000000-0005-0000-0000-000027310000}"/>
    <cellStyle name="Comma1 - Modelo2 17" xfId="12589" xr:uid="{00000000-0005-0000-0000-000028310000}"/>
    <cellStyle name="Comma1 - Modelo2 18" xfId="12590" xr:uid="{00000000-0005-0000-0000-000029310000}"/>
    <cellStyle name="Comma1 - Modelo2 19" xfId="12591" xr:uid="{00000000-0005-0000-0000-00002A310000}"/>
    <cellStyle name="Comma1 - Modelo2 2" xfId="12592" xr:uid="{00000000-0005-0000-0000-00002B310000}"/>
    <cellStyle name="Comma1 - Modelo2 20" xfId="12593" xr:uid="{00000000-0005-0000-0000-00002C310000}"/>
    <cellStyle name="Comma1 - Modelo2 21" xfId="12594" xr:uid="{00000000-0005-0000-0000-00002D310000}"/>
    <cellStyle name="Comma1 - Modelo2 22" xfId="12595" xr:uid="{00000000-0005-0000-0000-00002E310000}"/>
    <cellStyle name="Comma1 - Modelo2 23" xfId="12596" xr:uid="{00000000-0005-0000-0000-00002F310000}"/>
    <cellStyle name="Comma1 - Modelo2 24" xfId="12597" xr:uid="{00000000-0005-0000-0000-000030310000}"/>
    <cellStyle name="Comma1 - Modelo2 25" xfId="12598" xr:uid="{00000000-0005-0000-0000-000031310000}"/>
    <cellStyle name="Comma1 - Modelo2 26" xfId="12599" xr:uid="{00000000-0005-0000-0000-000032310000}"/>
    <cellStyle name="Comma1 - Modelo2 27" xfId="12600" xr:uid="{00000000-0005-0000-0000-000033310000}"/>
    <cellStyle name="Comma1 - Modelo2 28" xfId="12601" xr:uid="{00000000-0005-0000-0000-000034310000}"/>
    <cellStyle name="Comma1 - Modelo2 29" xfId="12602" xr:uid="{00000000-0005-0000-0000-000035310000}"/>
    <cellStyle name="Comma1 - Modelo2 29 2" xfId="12603" xr:uid="{00000000-0005-0000-0000-000036310000}"/>
    <cellStyle name="Comma1 - Modelo2 3" xfId="12604" xr:uid="{00000000-0005-0000-0000-000037310000}"/>
    <cellStyle name="Comma1 - Modelo2 30" xfId="12605" xr:uid="{00000000-0005-0000-0000-000038310000}"/>
    <cellStyle name="Comma1 - Modelo2 31" xfId="12606" xr:uid="{00000000-0005-0000-0000-000039310000}"/>
    <cellStyle name="Comma1 - Modelo2 32" xfId="12607" xr:uid="{00000000-0005-0000-0000-00003A310000}"/>
    <cellStyle name="Comma1 - Modelo2 33" xfId="12608" xr:uid="{00000000-0005-0000-0000-00003B310000}"/>
    <cellStyle name="Comma1 - Modelo2 34" xfId="12609" xr:uid="{00000000-0005-0000-0000-00003C310000}"/>
    <cellStyle name="Comma1 - Modelo2 35" xfId="12610" xr:uid="{00000000-0005-0000-0000-00003D310000}"/>
    <cellStyle name="Comma1 - Modelo2 36" xfId="12611" xr:uid="{00000000-0005-0000-0000-00003E310000}"/>
    <cellStyle name="Comma1 - Modelo2 37" xfId="12612" xr:uid="{00000000-0005-0000-0000-00003F310000}"/>
    <cellStyle name="Comma1 - Modelo2 38" xfId="12613" xr:uid="{00000000-0005-0000-0000-000040310000}"/>
    <cellStyle name="Comma1 - Modelo2 4" xfId="12614" xr:uid="{00000000-0005-0000-0000-000041310000}"/>
    <cellStyle name="Comma1 - Modelo2 5" xfId="12615" xr:uid="{00000000-0005-0000-0000-000042310000}"/>
    <cellStyle name="Comma1 - Modelo2 6" xfId="12616" xr:uid="{00000000-0005-0000-0000-000043310000}"/>
    <cellStyle name="Comma1 - Modelo2 7" xfId="12617" xr:uid="{00000000-0005-0000-0000-000044310000}"/>
    <cellStyle name="Comma1 - Modelo2 8" xfId="12618" xr:uid="{00000000-0005-0000-0000-000045310000}"/>
    <cellStyle name="Comma1 - Modelo2 9" xfId="12619" xr:uid="{00000000-0005-0000-0000-000046310000}"/>
    <cellStyle name="Comma1 - Style1" xfId="12620" xr:uid="{00000000-0005-0000-0000-000047310000}"/>
    <cellStyle name="Comma1 - Style1 10" xfId="12621" xr:uid="{00000000-0005-0000-0000-000048310000}"/>
    <cellStyle name="Comma1 - Style1 11" xfId="12622" xr:uid="{00000000-0005-0000-0000-000049310000}"/>
    <cellStyle name="Comma1 - Style1 12" xfId="12623" xr:uid="{00000000-0005-0000-0000-00004A310000}"/>
    <cellStyle name="Comma1 - Style1 13" xfId="12624" xr:uid="{00000000-0005-0000-0000-00004B310000}"/>
    <cellStyle name="Comma1 - Style1 14" xfId="12625" xr:uid="{00000000-0005-0000-0000-00004C310000}"/>
    <cellStyle name="Comma1 - Style1 15" xfId="12626" xr:uid="{00000000-0005-0000-0000-00004D310000}"/>
    <cellStyle name="Comma1 - Style1 16" xfId="12627" xr:uid="{00000000-0005-0000-0000-00004E310000}"/>
    <cellStyle name="Comma1 - Style1 17" xfId="12628" xr:uid="{00000000-0005-0000-0000-00004F310000}"/>
    <cellStyle name="Comma1 - Style1 18" xfId="12629" xr:uid="{00000000-0005-0000-0000-000050310000}"/>
    <cellStyle name="Comma1 - Style1 19" xfId="12630" xr:uid="{00000000-0005-0000-0000-000051310000}"/>
    <cellStyle name="Comma1 - Style1 2" xfId="12631" xr:uid="{00000000-0005-0000-0000-000052310000}"/>
    <cellStyle name="Comma1 - Style1 20" xfId="12632" xr:uid="{00000000-0005-0000-0000-000053310000}"/>
    <cellStyle name="Comma1 - Style1 21" xfId="12633" xr:uid="{00000000-0005-0000-0000-000054310000}"/>
    <cellStyle name="Comma1 - Style1 21 2" xfId="12634" xr:uid="{00000000-0005-0000-0000-000055310000}"/>
    <cellStyle name="Comma1 - Style1 3" xfId="12635" xr:uid="{00000000-0005-0000-0000-000056310000}"/>
    <cellStyle name="Comma1 - Style1 4" xfId="12636" xr:uid="{00000000-0005-0000-0000-000057310000}"/>
    <cellStyle name="Comma1 - Style1 5" xfId="12637" xr:uid="{00000000-0005-0000-0000-000058310000}"/>
    <cellStyle name="Comma1 - Style1 6" xfId="12638" xr:uid="{00000000-0005-0000-0000-000059310000}"/>
    <cellStyle name="Comma1 - Style1 7" xfId="12639" xr:uid="{00000000-0005-0000-0000-00005A310000}"/>
    <cellStyle name="Comma1 - Style1 8" xfId="12640" xr:uid="{00000000-0005-0000-0000-00005B310000}"/>
    <cellStyle name="Comma1 - Style1 9" xfId="12641" xr:uid="{00000000-0005-0000-0000-00005C310000}"/>
    <cellStyle name="Comma1 - Style2" xfId="12642" xr:uid="{00000000-0005-0000-0000-00005D310000}"/>
    <cellStyle name="Comma1 - Style2 10" xfId="12643" xr:uid="{00000000-0005-0000-0000-00005E310000}"/>
    <cellStyle name="Comma1 - Style2 11" xfId="12644" xr:uid="{00000000-0005-0000-0000-00005F310000}"/>
    <cellStyle name="Comma1 - Style2 12" xfId="12645" xr:uid="{00000000-0005-0000-0000-000060310000}"/>
    <cellStyle name="Comma1 - Style2 13" xfId="12646" xr:uid="{00000000-0005-0000-0000-000061310000}"/>
    <cellStyle name="Comma1 - Style2 14" xfId="12647" xr:uid="{00000000-0005-0000-0000-000062310000}"/>
    <cellStyle name="Comma1 - Style2 15" xfId="12648" xr:uid="{00000000-0005-0000-0000-000063310000}"/>
    <cellStyle name="Comma1 - Style2 16" xfId="12649" xr:uid="{00000000-0005-0000-0000-000064310000}"/>
    <cellStyle name="Comma1 - Style2 17" xfId="12650" xr:uid="{00000000-0005-0000-0000-000065310000}"/>
    <cellStyle name="Comma1 - Style2 18" xfId="12651" xr:uid="{00000000-0005-0000-0000-000066310000}"/>
    <cellStyle name="Comma1 - Style2 19" xfId="12652" xr:uid="{00000000-0005-0000-0000-000067310000}"/>
    <cellStyle name="Comma1 - Style2 2" xfId="12653" xr:uid="{00000000-0005-0000-0000-000068310000}"/>
    <cellStyle name="Comma1 - Style2 20" xfId="12654" xr:uid="{00000000-0005-0000-0000-000069310000}"/>
    <cellStyle name="Comma1 - Style2 21" xfId="12655" xr:uid="{00000000-0005-0000-0000-00006A310000}"/>
    <cellStyle name="Comma1 - Style2 22" xfId="12656" xr:uid="{00000000-0005-0000-0000-00006B310000}"/>
    <cellStyle name="Comma1 - Style2 23" xfId="12657" xr:uid="{00000000-0005-0000-0000-00006C310000}"/>
    <cellStyle name="Comma1 - Style2 24" xfId="12658" xr:uid="{00000000-0005-0000-0000-00006D310000}"/>
    <cellStyle name="Comma1 - Style2 25" xfId="12659" xr:uid="{00000000-0005-0000-0000-00006E310000}"/>
    <cellStyle name="Comma1 - Style2 26" xfId="12660" xr:uid="{00000000-0005-0000-0000-00006F310000}"/>
    <cellStyle name="Comma1 - Style2 27" xfId="12661" xr:uid="{00000000-0005-0000-0000-000070310000}"/>
    <cellStyle name="Comma1 - Style2 28" xfId="12662" xr:uid="{00000000-0005-0000-0000-000071310000}"/>
    <cellStyle name="Comma1 - Style2 29" xfId="12663" xr:uid="{00000000-0005-0000-0000-000072310000}"/>
    <cellStyle name="Comma1 - Style2 29 2" xfId="12664" xr:uid="{00000000-0005-0000-0000-000073310000}"/>
    <cellStyle name="Comma1 - Style2 3" xfId="12665" xr:uid="{00000000-0005-0000-0000-000074310000}"/>
    <cellStyle name="Comma1 - Style2 30" xfId="12666" xr:uid="{00000000-0005-0000-0000-000075310000}"/>
    <cellStyle name="Comma1 - Style2 31" xfId="12667" xr:uid="{00000000-0005-0000-0000-000076310000}"/>
    <cellStyle name="Comma1 - Style2 32" xfId="12668" xr:uid="{00000000-0005-0000-0000-000077310000}"/>
    <cellStyle name="Comma1 - Style2 33" xfId="12669" xr:uid="{00000000-0005-0000-0000-000078310000}"/>
    <cellStyle name="Comma1 - Style2 34" xfId="12670" xr:uid="{00000000-0005-0000-0000-000079310000}"/>
    <cellStyle name="Comma1 - Style2 35" xfId="12671" xr:uid="{00000000-0005-0000-0000-00007A310000}"/>
    <cellStyle name="Comma1 - Style2 36" xfId="12672" xr:uid="{00000000-0005-0000-0000-00007B310000}"/>
    <cellStyle name="Comma1 - Style2 37" xfId="12673" xr:uid="{00000000-0005-0000-0000-00007C310000}"/>
    <cellStyle name="Comma1 - Style2 38" xfId="12674" xr:uid="{00000000-0005-0000-0000-00007D310000}"/>
    <cellStyle name="Comma1 - Style2 4" xfId="12675" xr:uid="{00000000-0005-0000-0000-00007E310000}"/>
    <cellStyle name="Comma1 - Style2 5" xfId="12676" xr:uid="{00000000-0005-0000-0000-00007F310000}"/>
    <cellStyle name="Comma1 - Style2 6" xfId="12677" xr:uid="{00000000-0005-0000-0000-000080310000}"/>
    <cellStyle name="Comma1 - Style2 7" xfId="12678" xr:uid="{00000000-0005-0000-0000-000081310000}"/>
    <cellStyle name="Comma1 - Style2 8" xfId="12679" xr:uid="{00000000-0005-0000-0000-000082310000}"/>
    <cellStyle name="Comma1 - Style2 9" xfId="12680" xr:uid="{00000000-0005-0000-0000-000083310000}"/>
    <cellStyle name="Comma1 10" xfId="12681" xr:uid="{00000000-0005-0000-0000-000084310000}"/>
    <cellStyle name="Comma1 11" xfId="12682" xr:uid="{00000000-0005-0000-0000-000085310000}"/>
    <cellStyle name="Comma1 12" xfId="12683" xr:uid="{00000000-0005-0000-0000-000086310000}"/>
    <cellStyle name="Comma1 13" xfId="12684" xr:uid="{00000000-0005-0000-0000-000087310000}"/>
    <cellStyle name="Comma1 14" xfId="12685" xr:uid="{00000000-0005-0000-0000-000088310000}"/>
    <cellStyle name="Comma1 15" xfId="12686" xr:uid="{00000000-0005-0000-0000-000089310000}"/>
    <cellStyle name="Comma1 16" xfId="12687" xr:uid="{00000000-0005-0000-0000-00008A310000}"/>
    <cellStyle name="Comma1 17" xfId="12688" xr:uid="{00000000-0005-0000-0000-00008B310000}"/>
    <cellStyle name="Comma1 18" xfId="12689" xr:uid="{00000000-0005-0000-0000-00008C310000}"/>
    <cellStyle name="Comma1 19" xfId="12690" xr:uid="{00000000-0005-0000-0000-00008D310000}"/>
    <cellStyle name="Comma1 2" xfId="12691" xr:uid="{00000000-0005-0000-0000-00008E310000}"/>
    <cellStyle name="Comma1 20" xfId="12692" xr:uid="{00000000-0005-0000-0000-00008F310000}"/>
    <cellStyle name="Comma1 21" xfId="12693" xr:uid="{00000000-0005-0000-0000-000090310000}"/>
    <cellStyle name="Comma1 21 2" xfId="12694" xr:uid="{00000000-0005-0000-0000-000091310000}"/>
    <cellStyle name="Comma1 3" xfId="12695" xr:uid="{00000000-0005-0000-0000-000092310000}"/>
    <cellStyle name="Comma1 4" xfId="12696" xr:uid="{00000000-0005-0000-0000-000093310000}"/>
    <cellStyle name="Comma1 5" xfId="12697" xr:uid="{00000000-0005-0000-0000-000094310000}"/>
    <cellStyle name="Comma1 6" xfId="12698" xr:uid="{00000000-0005-0000-0000-000095310000}"/>
    <cellStyle name="Comma1 7" xfId="12699" xr:uid="{00000000-0005-0000-0000-000096310000}"/>
    <cellStyle name="Comma1 8" xfId="12700" xr:uid="{00000000-0005-0000-0000-000097310000}"/>
    <cellStyle name="Comma1 9" xfId="12701" xr:uid="{00000000-0005-0000-0000-000098310000}"/>
    <cellStyle name="Comma2" xfId="12702" xr:uid="{00000000-0005-0000-0000-000099310000}"/>
    <cellStyle name="Comma2 10" xfId="12703" xr:uid="{00000000-0005-0000-0000-00009A310000}"/>
    <cellStyle name="Comma2 11" xfId="12704" xr:uid="{00000000-0005-0000-0000-00009B310000}"/>
    <cellStyle name="Comma2 12" xfId="12705" xr:uid="{00000000-0005-0000-0000-00009C310000}"/>
    <cellStyle name="Comma2 13" xfId="12706" xr:uid="{00000000-0005-0000-0000-00009D310000}"/>
    <cellStyle name="Comma2 14" xfId="12707" xr:uid="{00000000-0005-0000-0000-00009E310000}"/>
    <cellStyle name="Comma2 15" xfId="12708" xr:uid="{00000000-0005-0000-0000-00009F310000}"/>
    <cellStyle name="Comma2 16" xfId="12709" xr:uid="{00000000-0005-0000-0000-0000A0310000}"/>
    <cellStyle name="Comma2 17" xfId="12710" xr:uid="{00000000-0005-0000-0000-0000A1310000}"/>
    <cellStyle name="Comma2 18" xfId="12711" xr:uid="{00000000-0005-0000-0000-0000A2310000}"/>
    <cellStyle name="Comma2 19" xfId="12712" xr:uid="{00000000-0005-0000-0000-0000A3310000}"/>
    <cellStyle name="Comma2 2" xfId="12713" xr:uid="{00000000-0005-0000-0000-0000A4310000}"/>
    <cellStyle name="Comma2 20" xfId="12714" xr:uid="{00000000-0005-0000-0000-0000A5310000}"/>
    <cellStyle name="Comma2 21" xfId="12715" xr:uid="{00000000-0005-0000-0000-0000A6310000}"/>
    <cellStyle name="Comma2 21 2" xfId="12716" xr:uid="{00000000-0005-0000-0000-0000A7310000}"/>
    <cellStyle name="Comma2 3" xfId="12717" xr:uid="{00000000-0005-0000-0000-0000A8310000}"/>
    <cellStyle name="Comma2 4" xfId="12718" xr:uid="{00000000-0005-0000-0000-0000A9310000}"/>
    <cellStyle name="Comma2 5" xfId="12719" xr:uid="{00000000-0005-0000-0000-0000AA310000}"/>
    <cellStyle name="Comma2 6" xfId="12720" xr:uid="{00000000-0005-0000-0000-0000AB310000}"/>
    <cellStyle name="Comma2 7" xfId="12721" xr:uid="{00000000-0005-0000-0000-0000AC310000}"/>
    <cellStyle name="Comma2 8" xfId="12722" xr:uid="{00000000-0005-0000-0000-0000AD310000}"/>
    <cellStyle name="Comma2 9" xfId="12723" xr:uid="{00000000-0005-0000-0000-0000AE310000}"/>
    <cellStyle name="Comma3" xfId="12724" xr:uid="{00000000-0005-0000-0000-0000AF310000}"/>
    <cellStyle name="Comma3 10" xfId="12725" xr:uid="{00000000-0005-0000-0000-0000B0310000}"/>
    <cellStyle name="Comma3 11" xfId="12726" xr:uid="{00000000-0005-0000-0000-0000B1310000}"/>
    <cellStyle name="Comma3 12" xfId="12727" xr:uid="{00000000-0005-0000-0000-0000B2310000}"/>
    <cellStyle name="Comma3 13" xfId="12728" xr:uid="{00000000-0005-0000-0000-0000B3310000}"/>
    <cellStyle name="Comma3 14" xfId="12729" xr:uid="{00000000-0005-0000-0000-0000B4310000}"/>
    <cellStyle name="Comma3 15" xfId="12730" xr:uid="{00000000-0005-0000-0000-0000B5310000}"/>
    <cellStyle name="Comma3 16" xfId="12731" xr:uid="{00000000-0005-0000-0000-0000B6310000}"/>
    <cellStyle name="Comma3 17" xfId="12732" xr:uid="{00000000-0005-0000-0000-0000B7310000}"/>
    <cellStyle name="Comma3 18" xfId="12733" xr:uid="{00000000-0005-0000-0000-0000B8310000}"/>
    <cellStyle name="Comma3 19" xfId="12734" xr:uid="{00000000-0005-0000-0000-0000B9310000}"/>
    <cellStyle name="Comma3 2" xfId="12735" xr:uid="{00000000-0005-0000-0000-0000BA310000}"/>
    <cellStyle name="Comma3 20" xfId="12736" xr:uid="{00000000-0005-0000-0000-0000BB310000}"/>
    <cellStyle name="Comma3 21" xfId="12737" xr:uid="{00000000-0005-0000-0000-0000BC310000}"/>
    <cellStyle name="Comma3 21 2" xfId="12738" xr:uid="{00000000-0005-0000-0000-0000BD310000}"/>
    <cellStyle name="Comma3 3" xfId="12739" xr:uid="{00000000-0005-0000-0000-0000BE310000}"/>
    <cellStyle name="Comma3 4" xfId="12740" xr:uid="{00000000-0005-0000-0000-0000BF310000}"/>
    <cellStyle name="Comma3 5" xfId="12741" xr:uid="{00000000-0005-0000-0000-0000C0310000}"/>
    <cellStyle name="Comma3 6" xfId="12742" xr:uid="{00000000-0005-0000-0000-0000C1310000}"/>
    <cellStyle name="Comma3 7" xfId="12743" xr:uid="{00000000-0005-0000-0000-0000C2310000}"/>
    <cellStyle name="Comma3 8" xfId="12744" xr:uid="{00000000-0005-0000-0000-0000C3310000}"/>
    <cellStyle name="Comma3 9" xfId="12745" xr:uid="{00000000-0005-0000-0000-0000C4310000}"/>
    <cellStyle name="Company" xfId="12746" xr:uid="{00000000-0005-0000-0000-0000C5310000}"/>
    <cellStyle name="Company 10" xfId="12747" xr:uid="{00000000-0005-0000-0000-0000C6310000}"/>
    <cellStyle name="Company 11" xfId="12748" xr:uid="{00000000-0005-0000-0000-0000C7310000}"/>
    <cellStyle name="Company 12" xfId="12749" xr:uid="{00000000-0005-0000-0000-0000C8310000}"/>
    <cellStyle name="Company 13" xfId="12750" xr:uid="{00000000-0005-0000-0000-0000C9310000}"/>
    <cellStyle name="Company 14" xfId="12751" xr:uid="{00000000-0005-0000-0000-0000CA310000}"/>
    <cellStyle name="Company 15" xfId="12752" xr:uid="{00000000-0005-0000-0000-0000CB310000}"/>
    <cellStyle name="Company 16" xfId="12753" xr:uid="{00000000-0005-0000-0000-0000CC310000}"/>
    <cellStyle name="Company 17" xfId="12754" xr:uid="{00000000-0005-0000-0000-0000CD310000}"/>
    <cellStyle name="Company 18" xfId="12755" xr:uid="{00000000-0005-0000-0000-0000CE310000}"/>
    <cellStyle name="Company 19" xfId="12756" xr:uid="{00000000-0005-0000-0000-0000CF310000}"/>
    <cellStyle name="Company 2" xfId="12757" xr:uid="{00000000-0005-0000-0000-0000D0310000}"/>
    <cellStyle name="Company 20" xfId="12758" xr:uid="{00000000-0005-0000-0000-0000D1310000}"/>
    <cellStyle name="Company 21" xfId="12759" xr:uid="{00000000-0005-0000-0000-0000D2310000}"/>
    <cellStyle name="Company 22" xfId="12760" xr:uid="{00000000-0005-0000-0000-0000D3310000}"/>
    <cellStyle name="Company 23" xfId="12761" xr:uid="{00000000-0005-0000-0000-0000D4310000}"/>
    <cellStyle name="Company 23 2" xfId="12762" xr:uid="{00000000-0005-0000-0000-0000D5310000}"/>
    <cellStyle name="Company 24" xfId="12763" xr:uid="{00000000-0005-0000-0000-0000D6310000}"/>
    <cellStyle name="Company 24 2" xfId="12764" xr:uid="{00000000-0005-0000-0000-0000D7310000}"/>
    <cellStyle name="Company 25" xfId="12765" xr:uid="{00000000-0005-0000-0000-0000D8310000}"/>
    <cellStyle name="Company 26" xfId="12766" xr:uid="{00000000-0005-0000-0000-0000D9310000}"/>
    <cellStyle name="Company 27" xfId="12767" xr:uid="{00000000-0005-0000-0000-0000DA310000}"/>
    <cellStyle name="Company 28" xfId="12768" xr:uid="{00000000-0005-0000-0000-0000DB310000}"/>
    <cellStyle name="Company 29" xfId="12769" xr:uid="{00000000-0005-0000-0000-0000DC310000}"/>
    <cellStyle name="Company 29 2" xfId="12770" xr:uid="{00000000-0005-0000-0000-0000DD310000}"/>
    <cellStyle name="Company 3" xfId="12771" xr:uid="{00000000-0005-0000-0000-0000DE310000}"/>
    <cellStyle name="Company 3 2" xfId="12772" xr:uid="{00000000-0005-0000-0000-0000DF310000}"/>
    <cellStyle name="Company 30" xfId="12773" xr:uid="{00000000-0005-0000-0000-0000E0310000}"/>
    <cellStyle name="Company 31" xfId="12774" xr:uid="{00000000-0005-0000-0000-0000E1310000}"/>
    <cellStyle name="Company 32" xfId="12775" xr:uid="{00000000-0005-0000-0000-0000E2310000}"/>
    <cellStyle name="Company 33" xfId="12776" xr:uid="{00000000-0005-0000-0000-0000E3310000}"/>
    <cellStyle name="Company 34" xfId="12777" xr:uid="{00000000-0005-0000-0000-0000E4310000}"/>
    <cellStyle name="Company 35" xfId="12778" xr:uid="{00000000-0005-0000-0000-0000E5310000}"/>
    <cellStyle name="Company 36" xfId="12779" xr:uid="{00000000-0005-0000-0000-0000E6310000}"/>
    <cellStyle name="Company 37" xfId="12780" xr:uid="{00000000-0005-0000-0000-0000E7310000}"/>
    <cellStyle name="Company 38" xfId="12781" xr:uid="{00000000-0005-0000-0000-0000E8310000}"/>
    <cellStyle name="Company 4" xfId="12782" xr:uid="{00000000-0005-0000-0000-0000E9310000}"/>
    <cellStyle name="Company 4 2" xfId="12783" xr:uid="{00000000-0005-0000-0000-0000EA310000}"/>
    <cellStyle name="Company 5" xfId="12784" xr:uid="{00000000-0005-0000-0000-0000EB310000}"/>
    <cellStyle name="Company 5 2" xfId="12785" xr:uid="{00000000-0005-0000-0000-0000EC310000}"/>
    <cellStyle name="Company 6" xfId="12786" xr:uid="{00000000-0005-0000-0000-0000ED310000}"/>
    <cellStyle name="Company 6 2" xfId="12787" xr:uid="{00000000-0005-0000-0000-0000EE310000}"/>
    <cellStyle name="Company 7" xfId="12788" xr:uid="{00000000-0005-0000-0000-0000EF310000}"/>
    <cellStyle name="Company 7 2" xfId="12789" xr:uid="{00000000-0005-0000-0000-0000F0310000}"/>
    <cellStyle name="Company 8" xfId="12790" xr:uid="{00000000-0005-0000-0000-0000F1310000}"/>
    <cellStyle name="Company 8 2" xfId="12791" xr:uid="{00000000-0005-0000-0000-0000F2310000}"/>
    <cellStyle name="Company 9" xfId="12792" xr:uid="{00000000-0005-0000-0000-0000F3310000}"/>
    <cellStyle name="Company Name" xfId="5" xr:uid="{00000000-0005-0000-0000-0000F4310000}"/>
    <cellStyle name="Company Name 10" xfId="12793" xr:uid="{00000000-0005-0000-0000-0000F5310000}"/>
    <cellStyle name="Company Name 11" xfId="12794" xr:uid="{00000000-0005-0000-0000-0000F6310000}"/>
    <cellStyle name="Company Name 12" xfId="12795" xr:uid="{00000000-0005-0000-0000-0000F7310000}"/>
    <cellStyle name="Company Name 13" xfId="12796" xr:uid="{00000000-0005-0000-0000-0000F8310000}"/>
    <cellStyle name="Company Name 14" xfId="12797" xr:uid="{00000000-0005-0000-0000-0000F9310000}"/>
    <cellStyle name="Company Name 15" xfId="12798" xr:uid="{00000000-0005-0000-0000-0000FA310000}"/>
    <cellStyle name="Company Name 16" xfId="12799" xr:uid="{00000000-0005-0000-0000-0000FB310000}"/>
    <cellStyle name="Company Name 17" xfId="12800" xr:uid="{00000000-0005-0000-0000-0000FC310000}"/>
    <cellStyle name="Company Name 18" xfId="12801" xr:uid="{00000000-0005-0000-0000-0000FD310000}"/>
    <cellStyle name="Company Name 19" xfId="12802" xr:uid="{00000000-0005-0000-0000-0000FE310000}"/>
    <cellStyle name="Company Name 2" xfId="12803" xr:uid="{00000000-0005-0000-0000-0000FF310000}"/>
    <cellStyle name="Company Name 20" xfId="12804" xr:uid="{00000000-0005-0000-0000-000000320000}"/>
    <cellStyle name="Company Name 21" xfId="12805" xr:uid="{00000000-0005-0000-0000-000001320000}"/>
    <cellStyle name="Company Name 22" xfId="12806" xr:uid="{00000000-0005-0000-0000-000002320000}"/>
    <cellStyle name="Company Name 23" xfId="12807" xr:uid="{00000000-0005-0000-0000-000003320000}"/>
    <cellStyle name="Company Name 24" xfId="12808" xr:uid="{00000000-0005-0000-0000-000004320000}"/>
    <cellStyle name="Company Name 25" xfId="12809" xr:uid="{00000000-0005-0000-0000-000005320000}"/>
    <cellStyle name="Company Name 26" xfId="12810" xr:uid="{00000000-0005-0000-0000-000006320000}"/>
    <cellStyle name="Company Name 27" xfId="12811" xr:uid="{00000000-0005-0000-0000-000007320000}"/>
    <cellStyle name="Company Name 28" xfId="12812" xr:uid="{00000000-0005-0000-0000-000008320000}"/>
    <cellStyle name="Company Name 29" xfId="12813" xr:uid="{00000000-0005-0000-0000-000009320000}"/>
    <cellStyle name="Company Name 29 2" xfId="12814" xr:uid="{00000000-0005-0000-0000-00000A320000}"/>
    <cellStyle name="Company Name 3" xfId="12815" xr:uid="{00000000-0005-0000-0000-00000B320000}"/>
    <cellStyle name="Company Name 30" xfId="12816" xr:uid="{00000000-0005-0000-0000-00000C320000}"/>
    <cellStyle name="Company Name 31" xfId="12817" xr:uid="{00000000-0005-0000-0000-00000D320000}"/>
    <cellStyle name="Company Name 32" xfId="12818" xr:uid="{00000000-0005-0000-0000-00000E320000}"/>
    <cellStyle name="Company Name 33" xfId="12819" xr:uid="{00000000-0005-0000-0000-00000F320000}"/>
    <cellStyle name="Company Name 34" xfId="12820" xr:uid="{00000000-0005-0000-0000-000010320000}"/>
    <cellStyle name="Company Name 35" xfId="12821" xr:uid="{00000000-0005-0000-0000-000011320000}"/>
    <cellStyle name="Company Name 36" xfId="12822" xr:uid="{00000000-0005-0000-0000-000012320000}"/>
    <cellStyle name="Company Name 37" xfId="12823" xr:uid="{00000000-0005-0000-0000-000013320000}"/>
    <cellStyle name="Company Name 38" xfId="12824" xr:uid="{00000000-0005-0000-0000-000014320000}"/>
    <cellStyle name="Company Name 4" xfId="12825" xr:uid="{00000000-0005-0000-0000-000015320000}"/>
    <cellStyle name="Company Name 5" xfId="12826" xr:uid="{00000000-0005-0000-0000-000016320000}"/>
    <cellStyle name="Company Name 6" xfId="12827" xr:uid="{00000000-0005-0000-0000-000017320000}"/>
    <cellStyle name="Company Name 7" xfId="12828" xr:uid="{00000000-0005-0000-0000-000018320000}"/>
    <cellStyle name="Company Name 8" xfId="12829" xr:uid="{00000000-0005-0000-0000-000019320000}"/>
    <cellStyle name="Company Name 9" xfId="12830" xr:uid="{00000000-0005-0000-0000-00001A320000}"/>
    <cellStyle name="Company_{6} Clawback" xfId="12831" xr:uid="{00000000-0005-0000-0000-00001B320000}"/>
    <cellStyle name="ContentsHyperlink" xfId="12832" xr:uid="{00000000-0005-0000-0000-00001C320000}"/>
    <cellStyle name="ContentsHyperlink 10" xfId="12833" xr:uid="{00000000-0005-0000-0000-00001D320000}"/>
    <cellStyle name="ContentsHyperlink 11" xfId="12834" xr:uid="{00000000-0005-0000-0000-00001E320000}"/>
    <cellStyle name="ContentsHyperlink 12" xfId="12835" xr:uid="{00000000-0005-0000-0000-00001F320000}"/>
    <cellStyle name="ContentsHyperlink 13" xfId="12836" xr:uid="{00000000-0005-0000-0000-000020320000}"/>
    <cellStyle name="ContentsHyperlink 14" xfId="12837" xr:uid="{00000000-0005-0000-0000-000021320000}"/>
    <cellStyle name="ContentsHyperlink 15" xfId="12838" xr:uid="{00000000-0005-0000-0000-000022320000}"/>
    <cellStyle name="ContentsHyperlink 16" xfId="12839" xr:uid="{00000000-0005-0000-0000-000023320000}"/>
    <cellStyle name="ContentsHyperlink 17" xfId="12840" xr:uid="{00000000-0005-0000-0000-000024320000}"/>
    <cellStyle name="ContentsHyperlink 18" xfId="12841" xr:uid="{00000000-0005-0000-0000-000025320000}"/>
    <cellStyle name="ContentsHyperlink 19" xfId="12842" xr:uid="{00000000-0005-0000-0000-000026320000}"/>
    <cellStyle name="ContentsHyperlink 2" xfId="12843" xr:uid="{00000000-0005-0000-0000-000027320000}"/>
    <cellStyle name="ContentsHyperlink 20" xfId="12844" xr:uid="{00000000-0005-0000-0000-000028320000}"/>
    <cellStyle name="ContentsHyperlink 21" xfId="12845" xr:uid="{00000000-0005-0000-0000-000029320000}"/>
    <cellStyle name="ContentsHyperlink 21 2" xfId="12846" xr:uid="{00000000-0005-0000-0000-00002A320000}"/>
    <cellStyle name="ContentsHyperlink 3" xfId="12847" xr:uid="{00000000-0005-0000-0000-00002B320000}"/>
    <cellStyle name="ContentsHyperlink 4" xfId="12848" xr:uid="{00000000-0005-0000-0000-00002C320000}"/>
    <cellStyle name="ContentsHyperlink 5" xfId="12849" xr:uid="{00000000-0005-0000-0000-00002D320000}"/>
    <cellStyle name="ContentsHyperlink 6" xfId="12850" xr:uid="{00000000-0005-0000-0000-00002E320000}"/>
    <cellStyle name="ContentsHyperlink 7" xfId="12851" xr:uid="{00000000-0005-0000-0000-00002F320000}"/>
    <cellStyle name="ContentsHyperlink 8" xfId="12852" xr:uid="{00000000-0005-0000-0000-000030320000}"/>
    <cellStyle name="ContentsHyperlink 9" xfId="12853" xr:uid="{00000000-0005-0000-0000-000031320000}"/>
    <cellStyle name="Convergence" xfId="12854" xr:uid="{00000000-0005-0000-0000-000032320000}"/>
    <cellStyle name="Copied" xfId="12855" xr:uid="{00000000-0005-0000-0000-000033320000}"/>
    <cellStyle name="Copied 10" xfId="12856" xr:uid="{00000000-0005-0000-0000-000034320000}"/>
    <cellStyle name="Copied 11" xfId="12857" xr:uid="{00000000-0005-0000-0000-000035320000}"/>
    <cellStyle name="Copied 12" xfId="12858" xr:uid="{00000000-0005-0000-0000-000036320000}"/>
    <cellStyle name="Copied 13" xfId="12859" xr:uid="{00000000-0005-0000-0000-000037320000}"/>
    <cellStyle name="Copied 14" xfId="12860" xr:uid="{00000000-0005-0000-0000-000038320000}"/>
    <cellStyle name="Copied 15" xfId="12861" xr:uid="{00000000-0005-0000-0000-000039320000}"/>
    <cellStyle name="Copied 16" xfId="12862" xr:uid="{00000000-0005-0000-0000-00003A320000}"/>
    <cellStyle name="Copied 17" xfId="12863" xr:uid="{00000000-0005-0000-0000-00003B320000}"/>
    <cellStyle name="Copied 18" xfId="12864" xr:uid="{00000000-0005-0000-0000-00003C320000}"/>
    <cellStyle name="Copied 19" xfId="12865" xr:uid="{00000000-0005-0000-0000-00003D320000}"/>
    <cellStyle name="Copied 2" xfId="12866" xr:uid="{00000000-0005-0000-0000-00003E320000}"/>
    <cellStyle name="Copied 20" xfId="12867" xr:uid="{00000000-0005-0000-0000-00003F320000}"/>
    <cellStyle name="Copied 21" xfId="12868" xr:uid="{00000000-0005-0000-0000-000040320000}"/>
    <cellStyle name="Copied 21 2" xfId="12869" xr:uid="{00000000-0005-0000-0000-000041320000}"/>
    <cellStyle name="Copied 3" xfId="12870" xr:uid="{00000000-0005-0000-0000-000042320000}"/>
    <cellStyle name="Copied 4" xfId="12871" xr:uid="{00000000-0005-0000-0000-000043320000}"/>
    <cellStyle name="Copied 5" xfId="12872" xr:uid="{00000000-0005-0000-0000-000044320000}"/>
    <cellStyle name="Copied 6" xfId="12873" xr:uid="{00000000-0005-0000-0000-000045320000}"/>
    <cellStyle name="Copied 7" xfId="12874" xr:uid="{00000000-0005-0000-0000-000046320000}"/>
    <cellStyle name="Copied 8" xfId="12875" xr:uid="{00000000-0005-0000-0000-000047320000}"/>
    <cellStyle name="Copied 9" xfId="12876" xr:uid="{00000000-0005-0000-0000-000048320000}"/>
    <cellStyle name="Coᱠma [0]_Q2 FY96" xfId="12877" xr:uid="{00000000-0005-0000-0000-000049320000}"/>
    <cellStyle name="CR Comma" xfId="12878" xr:uid="{00000000-0005-0000-0000-00004A320000}"/>
    <cellStyle name="CR Comma %" xfId="12879" xr:uid="{00000000-0005-0000-0000-00004B320000}"/>
    <cellStyle name="CR Comma % 10" xfId="12880" xr:uid="{00000000-0005-0000-0000-00004C320000}"/>
    <cellStyle name="CR Comma % 11" xfId="12881" xr:uid="{00000000-0005-0000-0000-00004D320000}"/>
    <cellStyle name="CR Comma % 12" xfId="12882" xr:uid="{00000000-0005-0000-0000-00004E320000}"/>
    <cellStyle name="CR Comma % 13" xfId="12883" xr:uid="{00000000-0005-0000-0000-00004F320000}"/>
    <cellStyle name="CR Comma % 14" xfId="12884" xr:uid="{00000000-0005-0000-0000-000050320000}"/>
    <cellStyle name="CR Comma % 15" xfId="12885" xr:uid="{00000000-0005-0000-0000-000051320000}"/>
    <cellStyle name="CR Comma % 16" xfId="12886" xr:uid="{00000000-0005-0000-0000-000052320000}"/>
    <cellStyle name="CR Comma % 17" xfId="12887" xr:uid="{00000000-0005-0000-0000-000053320000}"/>
    <cellStyle name="CR Comma % 18" xfId="12888" xr:uid="{00000000-0005-0000-0000-000054320000}"/>
    <cellStyle name="CR Comma % 19" xfId="12889" xr:uid="{00000000-0005-0000-0000-000055320000}"/>
    <cellStyle name="CR Comma % 2" xfId="12890" xr:uid="{00000000-0005-0000-0000-000056320000}"/>
    <cellStyle name="CR Comma % 20" xfId="12891" xr:uid="{00000000-0005-0000-0000-000057320000}"/>
    <cellStyle name="CR Comma % 21" xfId="12892" xr:uid="{00000000-0005-0000-0000-000058320000}"/>
    <cellStyle name="CR Comma % 21 2" xfId="12893" xr:uid="{00000000-0005-0000-0000-000059320000}"/>
    <cellStyle name="CR Comma % 3" xfId="12894" xr:uid="{00000000-0005-0000-0000-00005A320000}"/>
    <cellStyle name="CR Comma % 4" xfId="12895" xr:uid="{00000000-0005-0000-0000-00005B320000}"/>
    <cellStyle name="CR Comma % 5" xfId="12896" xr:uid="{00000000-0005-0000-0000-00005C320000}"/>
    <cellStyle name="CR Comma % 6" xfId="12897" xr:uid="{00000000-0005-0000-0000-00005D320000}"/>
    <cellStyle name="CR Comma % 7" xfId="12898" xr:uid="{00000000-0005-0000-0000-00005E320000}"/>
    <cellStyle name="CR Comma % 8" xfId="12899" xr:uid="{00000000-0005-0000-0000-00005F320000}"/>
    <cellStyle name="CR Comma % 9" xfId="12900" xr:uid="{00000000-0005-0000-0000-000060320000}"/>
    <cellStyle name="CR Comma 0.0" xfId="12901" xr:uid="{00000000-0005-0000-0000-000061320000}"/>
    <cellStyle name="CR Comma 0.0 10" xfId="12902" xr:uid="{00000000-0005-0000-0000-000062320000}"/>
    <cellStyle name="CR Comma 0.0 11" xfId="12903" xr:uid="{00000000-0005-0000-0000-000063320000}"/>
    <cellStyle name="CR Comma 0.0 12" xfId="12904" xr:uid="{00000000-0005-0000-0000-000064320000}"/>
    <cellStyle name="CR Comma 0.0 13" xfId="12905" xr:uid="{00000000-0005-0000-0000-000065320000}"/>
    <cellStyle name="CR Comma 0.0 14" xfId="12906" xr:uid="{00000000-0005-0000-0000-000066320000}"/>
    <cellStyle name="CR Comma 0.0 15" xfId="12907" xr:uid="{00000000-0005-0000-0000-000067320000}"/>
    <cellStyle name="CR Comma 0.0 16" xfId="12908" xr:uid="{00000000-0005-0000-0000-000068320000}"/>
    <cellStyle name="CR Comma 0.0 17" xfId="12909" xr:uid="{00000000-0005-0000-0000-000069320000}"/>
    <cellStyle name="CR Comma 0.0 18" xfId="12910" xr:uid="{00000000-0005-0000-0000-00006A320000}"/>
    <cellStyle name="CR Comma 0.0 19" xfId="12911" xr:uid="{00000000-0005-0000-0000-00006B320000}"/>
    <cellStyle name="CR Comma 0.0 2" xfId="12912" xr:uid="{00000000-0005-0000-0000-00006C320000}"/>
    <cellStyle name="CR Comma 0.0 20" xfId="12913" xr:uid="{00000000-0005-0000-0000-00006D320000}"/>
    <cellStyle name="CR Comma 0.0 21" xfId="12914" xr:uid="{00000000-0005-0000-0000-00006E320000}"/>
    <cellStyle name="CR Comma 0.0 21 2" xfId="12915" xr:uid="{00000000-0005-0000-0000-00006F320000}"/>
    <cellStyle name="CR Comma 0.0 3" xfId="12916" xr:uid="{00000000-0005-0000-0000-000070320000}"/>
    <cellStyle name="CR Comma 0.0 4" xfId="12917" xr:uid="{00000000-0005-0000-0000-000071320000}"/>
    <cellStyle name="CR Comma 0.0 5" xfId="12918" xr:uid="{00000000-0005-0000-0000-000072320000}"/>
    <cellStyle name="CR Comma 0.0 6" xfId="12919" xr:uid="{00000000-0005-0000-0000-000073320000}"/>
    <cellStyle name="CR Comma 0.0 7" xfId="12920" xr:uid="{00000000-0005-0000-0000-000074320000}"/>
    <cellStyle name="CR Comma 0.0 8" xfId="12921" xr:uid="{00000000-0005-0000-0000-000075320000}"/>
    <cellStyle name="CR Comma 0.0 9" xfId="12922" xr:uid="{00000000-0005-0000-0000-000076320000}"/>
    <cellStyle name="CR Comma 0.0%" xfId="12923" xr:uid="{00000000-0005-0000-0000-000077320000}"/>
    <cellStyle name="CR Comma 0.0% 10" xfId="12924" xr:uid="{00000000-0005-0000-0000-000078320000}"/>
    <cellStyle name="CR Comma 0.0% 11" xfId="12925" xr:uid="{00000000-0005-0000-0000-000079320000}"/>
    <cellStyle name="CR Comma 0.0% 12" xfId="12926" xr:uid="{00000000-0005-0000-0000-00007A320000}"/>
    <cellStyle name="CR Comma 0.0% 13" xfId="12927" xr:uid="{00000000-0005-0000-0000-00007B320000}"/>
    <cellStyle name="CR Comma 0.0% 14" xfId="12928" xr:uid="{00000000-0005-0000-0000-00007C320000}"/>
    <cellStyle name="CR Comma 0.0% 15" xfId="12929" xr:uid="{00000000-0005-0000-0000-00007D320000}"/>
    <cellStyle name="CR Comma 0.0% 16" xfId="12930" xr:uid="{00000000-0005-0000-0000-00007E320000}"/>
    <cellStyle name="CR Comma 0.0% 17" xfId="12931" xr:uid="{00000000-0005-0000-0000-00007F320000}"/>
    <cellStyle name="CR Comma 0.0% 18" xfId="12932" xr:uid="{00000000-0005-0000-0000-000080320000}"/>
    <cellStyle name="CR Comma 0.0% 19" xfId="12933" xr:uid="{00000000-0005-0000-0000-000081320000}"/>
    <cellStyle name="CR Comma 0.0% 2" xfId="12934" xr:uid="{00000000-0005-0000-0000-000082320000}"/>
    <cellStyle name="CR Comma 0.0% 20" xfId="12935" xr:uid="{00000000-0005-0000-0000-000083320000}"/>
    <cellStyle name="CR Comma 0.0% 21" xfId="12936" xr:uid="{00000000-0005-0000-0000-000084320000}"/>
    <cellStyle name="CR Comma 0.0% 21 2" xfId="12937" xr:uid="{00000000-0005-0000-0000-000085320000}"/>
    <cellStyle name="CR Comma 0.0% 3" xfId="12938" xr:uid="{00000000-0005-0000-0000-000086320000}"/>
    <cellStyle name="CR Comma 0.0% 4" xfId="12939" xr:uid="{00000000-0005-0000-0000-000087320000}"/>
    <cellStyle name="CR Comma 0.0% 5" xfId="12940" xr:uid="{00000000-0005-0000-0000-000088320000}"/>
    <cellStyle name="CR Comma 0.0% 6" xfId="12941" xr:uid="{00000000-0005-0000-0000-000089320000}"/>
    <cellStyle name="CR Comma 0.0% 7" xfId="12942" xr:uid="{00000000-0005-0000-0000-00008A320000}"/>
    <cellStyle name="CR Comma 0.0% 8" xfId="12943" xr:uid="{00000000-0005-0000-0000-00008B320000}"/>
    <cellStyle name="CR Comma 0.0% 9" xfId="12944" xr:uid="{00000000-0005-0000-0000-00008C320000}"/>
    <cellStyle name="CR Comma 0.00" xfId="12945" xr:uid="{00000000-0005-0000-0000-00008D320000}"/>
    <cellStyle name="CR Comma 0.00 10" xfId="12946" xr:uid="{00000000-0005-0000-0000-00008E320000}"/>
    <cellStyle name="CR Comma 0.00 11" xfId="12947" xr:uid="{00000000-0005-0000-0000-00008F320000}"/>
    <cellStyle name="CR Comma 0.00 12" xfId="12948" xr:uid="{00000000-0005-0000-0000-000090320000}"/>
    <cellStyle name="CR Comma 0.00 13" xfId="12949" xr:uid="{00000000-0005-0000-0000-000091320000}"/>
    <cellStyle name="CR Comma 0.00 14" xfId="12950" xr:uid="{00000000-0005-0000-0000-000092320000}"/>
    <cellStyle name="CR Comma 0.00 15" xfId="12951" xr:uid="{00000000-0005-0000-0000-000093320000}"/>
    <cellStyle name="CR Comma 0.00 16" xfId="12952" xr:uid="{00000000-0005-0000-0000-000094320000}"/>
    <cellStyle name="CR Comma 0.00 17" xfId="12953" xr:uid="{00000000-0005-0000-0000-000095320000}"/>
    <cellStyle name="CR Comma 0.00 18" xfId="12954" xr:uid="{00000000-0005-0000-0000-000096320000}"/>
    <cellStyle name="CR Comma 0.00 19" xfId="12955" xr:uid="{00000000-0005-0000-0000-000097320000}"/>
    <cellStyle name="CR Comma 0.00 2" xfId="12956" xr:uid="{00000000-0005-0000-0000-000098320000}"/>
    <cellStyle name="CR Comma 0.00 20" xfId="12957" xr:uid="{00000000-0005-0000-0000-000099320000}"/>
    <cellStyle name="CR Comma 0.00 21" xfId="12958" xr:uid="{00000000-0005-0000-0000-00009A320000}"/>
    <cellStyle name="CR Comma 0.00 21 2" xfId="12959" xr:uid="{00000000-0005-0000-0000-00009B320000}"/>
    <cellStyle name="CR Comma 0.00 3" xfId="12960" xr:uid="{00000000-0005-0000-0000-00009C320000}"/>
    <cellStyle name="CR Comma 0.00 4" xfId="12961" xr:uid="{00000000-0005-0000-0000-00009D320000}"/>
    <cellStyle name="CR Comma 0.00 5" xfId="12962" xr:uid="{00000000-0005-0000-0000-00009E320000}"/>
    <cellStyle name="CR Comma 0.00 6" xfId="12963" xr:uid="{00000000-0005-0000-0000-00009F320000}"/>
    <cellStyle name="CR Comma 0.00 7" xfId="12964" xr:uid="{00000000-0005-0000-0000-0000A0320000}"/>
    <cellStyle name="CR Comma 0.00 8" xfId="12965" xr:uid="{00000000-0005-0000-0000-0000A1320000}"/>
    <cellStyle name="CR Comma 0.00 9" xfId="12966" xr:uid="{00000000-0005-0000-0000-0000A2320000}"/>
    <cellStyle name="CR Comma 0.00%" xfId="12967" xr:uid="{00000000-0005-0000-0000-0000A3320000}"/>
    <cellStyle name="CR Comma 0.00% 10" xfId="12968" xr:uid="{00000000-0005-0000-0000-0000A4320000}"/>
    <cellStyle name="CR Comma 0.00% 11" xfId="12969" xr:uid="{00000000-0005-0000-0000-0000A5320000}"/>
    <cellStyle name="CR Comma 0.00% 12" xfId="12970" xr:uid="{00000000-0005-0000-0000-0000A6320000}"/>
    <cellStyle name="CR Comma 0.00% 13" xfId="12971" xr:uid="{00000000-0005-0000-0000-0000A7320000}"/>
    <cellStyle name="CR Comma 0.00% 14" xfId="12972" xr:uid="{00000000-0005-0000-0000-0000A8320000}"/>
    <cellStyle name="CR Comma 0.00% 15" xfId="12973" xr:uid="{00000000-0005-0000-0000-0000A9320000}"/>
    <cellStyle name="CR Comma 0.00% 16" xfId="12974" xr:uid="{00000000-0005-0000-0000-0000AA320000}"/>
    <cellStyle name="CR Comma 0.00% 17" xfId="12975" xr:uid="{00000000-0005-0000-0000-0000AB320000}"/>
    <cellStyle name="CR Comma 0.00% 18" xfId="12976" xr:uid="{00000000-0005-0000-0000-0000AC320000}"/>
    <cellStyle name="CR Comma 0.00% 19" xfId="12977" xr:uid="{00000000-0005-0000-0000-0000AD320000}"/>
    <cellStyle name="CR Comma 0.00% 2" xfId="12978" xr:uid="{00000000-0005-0000-0000-0000AE320000}"/>
    <cellStyle name="CR Comma 0.00% 20" xfId="12979" xr:uid="{00000000-0005-0000-0000-0000AF320000}"/>
    <cellStyle name="CR Comma 0.00% 21" xfId="12980" xr:uid="{00000000-0005-0000-0000-0000B0320000}"/>
    <cellStyle name="CR Comma 0.00% 21 2" xfId="12981" xr:uid="{00000000-0005-0000-0000-0000B1320000}"/>
    <cellStyle name="CR Comma 0.00% 3" xfId="12982" xr:uid="{00000000-0005-0000-0000-0000B2320000}"/>
    <cellStyle name="CR Comma 0.00% 4" xfId="12983" xr:uid="{00000000-0005-0000-0000-0000B3320000}"/>
    <cellStyle name="CR Comma 0.00% 5" xfId="12984" xr:uid="{00000000-0005-0000-0000-0000B4320000}"/>
    <cellStyle name="CR Comma 0.00% 6" xfId="12985" xr:uid="{00000000-0005-0000-0000-0000B5320000}"/>
    <cellStyle name="CR Comma 0.00% 7" xfId="12986" xr:uid="{00000000-0005-0000-0000-0000B6320000}"/>
    <cellStyle name="CR Comma 0.00% 8" xfId="12987" xr:uid="{00000000-0005-0000-0000-0000B7320000}"/>
    <cellStyle name="CR Comma 0.00% 9" xfId="12988" xr:uid="{00000000-0005-0000-0000-0000B8320000}"/>
    <cellStyle name="CR Comma 0.000" xfId="12989" xr:uid="{00000000-0005-0000-0000-0000B9320000}"/>
    <cellStyle name="CR Comma 0.000 10" xfId="12990" xr:uid="{00000000-0005-0000-0000-0000BA320000}"/>
    <cellStyle name="CR Comma 0.000 11" xfId="12991" xr:uid="{00000000-0005-0000-0000-0000BB320000}"/>
    <cellStyle name="CR Comma 0.000 12" xfId="12992" xr:uid="{00000000-0005-0000-0000-0000BC320000}"/>
    <cellStyle name="CR Comma 0.000 13" xfId="12993" xr:uid="{00000000-0005-0000-0000-0000BD320000}"/>
    <cellStyle name="CR Comma 0.000 14" xfId="12994" xr:uid="{00000000-0005-0000-0000-0000BE320000}"/>
    <cellStyle name="CR Comma 0.000 15" xfId="12995" xr:uid="{00000000-0005-0000-0000-0000BF320000}"/>
    <cellStyle name="CR Comma 0.000 16" xfId="12996" xr:uid="{00000000-0005-0000-0000-0000C0320000}"/>
    <cellStyle name="CR Comma 0.000 17" xfId="12997" xr:uid="{00000000-0005-0000-0000-0000C1320000}"/>
    <cellStyle name="CR Comma 0.000 18" xfId="12998" xr:uid="{00000000-0005-0000-0000-0000C2320000}"/>
    <cellStyle name="CR Comma 0.000 19" xfId="12999" xr:uid="{00000000-0005-0000-0000-0000C3320000}"/>
    <cellStyle name="CR Comma 0.000 2" xfId="13000" xr:uid="{00000000-0005-0000-0000-0000C4320000}"/>
    <cellStyle name="CR Comma 0.000 20" xfId="13001" xr:uid="{00000000-0005-0000-0000-0000C5320000}"/>
    <cellStyle name="CR Comma 0.000 21" xfId="13002" xr:uid="{00000000-0005-0000-0000-0000C6320000}"/>
    <cellStyle name="CR Comma 0.000 21 2" xfId="13003" xr:uid="{00000000-0005-0000-0000-0000C7320000}"/>
    <cellStyle name="CR Comma 0.000 3" xfId="13004" xr:uid="{00000000-0005-0000-0000-0000C8320000}"/>
    <cellStyle name="CR Comma 0.000 4" xfId="13005" xr:uid="{00000000-0005-0000-0000-0000C9320000}"/>
    <cellStyle name="CR Comma 0.000 5" xfId="13006" xr:uid="{00000000-0005-0000-0000-0000CA320000}"/>
    <cellStyle name="CR Comma 0.000 6" xfId="13007" xr:uid="{00000000-0005-0000-0000-0000CB320000}"/>
    <cellStyle name="CR Comma 0.000 7" xfId="13008" xr:uid="{00000000-0005-0000-0000-0000CC320000}"/>
    <cellStyle name="CR Comma 0.000 8" xfId="13009" xr:uid="{00000000-0005-0000-0000-0000CD320000}"/>
    <cellStyle name="CR Comma 0.000 9" xfId="13010" xr:uid="{00000000-0005-0000-0000-0000CE320000}"/>
    <cellStyle name="CR Comma 0.000%" xfId="13011" xr:uid="{00000000-0005-0000-0000-0000CF320000}"/>
    <cellStyle name="CR Comma 0.000% 10" xfId="13012" xr:uid="{00000000-0005-0000-0000-0000D0320000}"/>
    <cellStyle name="CR Comma 0.000% 11" xfId="13013" xr:uid="{00000000-0005-0000-0000-0000D1320000}"/>
    <cellStyle name="CR Comma 0.000% 12" xfId="13014" xr:uid="{00000000-0005-0000-0000-0000D2320000}"/>
    <cellStyle name="CR Comma 0.000% 13" xfId="13015" xr:uid="{00000000-0005-0000-0000-0000D3320000}"/>
    <cellStyle name="CR Comma 0.000% 14" xfId="13016" xr:uid="{00000000-0005-0000-0000-0000D4320000}"/>
    <cellStyle name="CR Comma 0.000% 15" xfId="13017" xr:uid="{00000000-0005-0000-0000-0000D5320000}"/>
    <cellStyle name="CR Comma 0.000% 16" xfId="13018" xr:uid="{00000000-0005-0000-0000-0000D6320000}"/>
    <cellStyle name="CR Comma 0.000% 17" xfId="13019" xr:uid="{00000000-0005-0000-0000-0000D7320000}"/>
    <cellStyle name="CR Comma 0.000% 18" xfId="13020" xr:uid="{00000000-0005-0000-0000-0000D8320000}"/>
    <cellStyle name="CR Comma 0.000% 19" xfId="13021" xr:uid="{00000000-0005-0000-0000-0000D9320000}"/>
    <cellStyle name="CR Comma 0.000% 2" xfId="13022" xr:uid="{00000000-0005-0000-0000-0000DA320000}"/>
    <cellStyle name="CR Comma 0.000% 20" xfId="13023" xr:uid="{00000000-0005-0000-0000-0000DB320000}"/>
    <cellStyle name="CR Comma 0.000% 21" xfId="13024" xr:uid="{00000000-0005-0000-0000-0000DC320000}"/>
    <cellStyle name="CR Comma 0.000% 21 2" xfId="13025" xr:uid="{00000000-0005-0000-0000-0000DD320000}"/>
    <cellStyle name="CR Comma 0.000% 3" xfId="13026" xr:uid="{00000000-0005-0000-0000-0000DE320000}"/>
    <cellStyle name="CR Comma 0.000% 4" xfId="13027" xr:uid="{00000000-0005-0000-0000-0000DF320000}"/>
    <cellStyle name="CR Comma 0.000% 5" xfId="13028" xr:uid="{00000000-0005-0000-0000-0000E0320000}"/>
    <cellStyle name="CR Comma 0.000% 6" xfId="13029" xr:uid="{00000000-0005-0000-0000-0000E1320000}"/>
    <cellStyle name="CR Comma 0.000% 7" xfId="13030" xr:uid="{00000000-0005-0000-0000-0000E2320000}"/>
    <cellStyle name="CR Comma 0.000% 8" xfId="13031" xr:uid="{00000000-0005-0000-0000-0000E3320000}"/>
    <cellStyle name="CR Comma 0.000% 9" xfId="13032" xr:uid="{00000000-0005-0000-0000-0000E4320000}"/>
    <cellStyle name="CR Comma 10" xfId="13033" xr:uid="{00000000-0005-0000-0000-0000E5320000}"/>
    <cellStyle name="CR Comma 11" xfId="13034" xr:uid="{00000000-0005-0000-0000-0000E6320000}"/>
    <cellStyle name="CR Comma 12" xfId="13035" xr:uid="{00000000-0005-0000-0000-0000E7320000}"/>
    <cellStyle name="CR Comma 13" xfId="13036" xr:uid="{00000000-0005-0000-0000-0000E8320000}"/>
    <cellStyle name="CR Comma 14" xfId="13037" xr:uid="{00000000-0005-0000-0000-0000E9320000}"/>
    <cellStyle name="CR Comma 15" xfId="13038" xr:uid="{00000000-0005-0000-0000-0000EA320000}"/>
    <cellStyle name="CR Comma 16" xfId="13039" xr:uid="{00000000-0005-0000-0000-0000EB320000}"/>
    <cellStyle name="CR Comma 17" xfId="13040" xr:uid="{00000000-0005-0000-0000-0000EC320000}"/>
    <cellStyle name="CR Comma 18" xfId="13041" xr:uid="{00000000-0005-0000-0000-0000ED320000}"/>
    <cellStyle name="CR Comma 19" xfId="13042" xr:uid="{00000000-0005-0000-0000-0000EE320000}"/>
    <cellStyle name="CR Comma 2" xfId="13043" xr:uid="{00000000-0005-0000-0000-0000EF320000}"/>
    <cellStyle name="CR Comma 20" xfId="13044" xr:uid="{00000000-0005-0000-0000-0000F0320000}"/>
    <cellStyle name="CR Comma 21" xfId="13045" xr:uid="{00000000-0005-0000-0000-0000F1320000}"/>
    <cellStyle name="CR Comma 22" xfId="13046" xr:uid="{00000000-0005-0000-0000-0000F2320000}"/>
    <cellStyle name="CR Comma 23" xfId="13047" xr:uid="{00000000-0005-0000-0000-0000F3320000}"/>
    <cellStyle name="CR Comma 24" xfId="13048" xr:uid="{00000000-0005-0000-0000-0000F4320000}"/>
    <cellStyle name="CR Comma 25" xfId="13049" xr:uid="{00000000-0005-0000-0000-0000F5320000}"/>
    <cellStyle name="CR Comma 26" xfId="13050" xr:uid="{00000000-0005-0000-0000-0000F6320000}"/>
    <cellStyle name="CR Comma 27" xfId="13051" xr:uid="{00000000-0005-0000-0000-0000F7320000}"/>
    <cellStyle name="CR Comma 28" xfId="13052" xr:uid="{00000000-0005-0000-0000-0000F8320000}"/>
    <cellStyle name="CR Comma 29" xfId="13053" xr:uid="{00000000-0005-0000-0000-0000F9320000}"/>
    <cellStyle name="CR Comma 29 2" xfId="13054" xr:uid="{00000000-0005-0000-0000-0000FA320000}"/>
    <cellStyle name="CR Comma 3" xfId="13055" xr:uid="{00000000-0005-0000-0000-0000FB320000}"/>
    <cellStyle name="CR Comma 30" xfId="13056" xr:uid="{00000000-0005-0000-0000-0000FC320000}"/>
    <cellStyle name="CR Comma 31" xfId="13057" xr:uid="{00000000-0005-0000-0000-0000FD320000}"/>
    <cellStyle name="CR Comma 32" xfId="13058" xr:uid="{00000000-0005-0000-0000-0000FE320000}"/>
    <cellStyle name="CR Comma 33" xfId="13059" xr:uid="{00000000-0005-0000-0000-0000FF320000}"/>
    <cellStyle name="CR Comma 34" xfId="13060" xr:uid="{00000000-0005-0000-0000-000000330000}"/>
    <cellStyle name="CR Comma 35" xfId="13061" xr:uid="{00000000-0005-0000-0000-000001330000}"/>
    <cellStyle name="CR Comma 36" xfId="13062" xr:uid="{00000000-0005-0000-0000-000002330000}"/>
    <cellStyle name="CR Comma 37" xfId="13063" xr:uid="{00000000-0005-0000-0000-000003330000}"/>
    <cellStyle name="CR Comma 38" xfId="13064" xr:uid="{00000000-0005-0000-0000-000004330000}"/>
    <cellStyle name="CR Comma 4" xfId="13065" xr:uid="{00000000-0005-0000-0000-000005330000}"/>
    <cellStyle name="CR Comma 5" xfId="13066" xr:uid="{00000000-0005-0000-0000-000006330000}"/>
    <cellStyle name="CR Comma 6" xfId="13067" xr:uid="{00000000-0005-0000-0000-000007330000}"/>
    <cellStyle name="CR Comma 7" xfId="13068" xr:uid="{00000000-0005-0000-0000-000008330000}"/>
    <cellStyle name="CR Comma 8" xfId="13069" xr:uid="{00000000-0005-0000-0000-000009330000}"/>
    <cellStyle name="CR Comma 9" xfId="13070" xr:uid="{00000000-0005-0000-0000-00000A330000}"/>
    <cellStyle name="CR Comma_Accounts Receivable" xfId="13071" xr:uid="{00000000-0005-0000-0000-00000B330000}"/>
    <cellStyle name="CR Currency" xfId="13072" xr:uid="{00000000-0005-0000-0000-00000C330000}"/>
    <cellStyle name="CR Currency %" xfId="13073" xr:uid="{00000000-0005-0000-0000-00000D330000}"/>
    <cellStyle name="CR Currency % 10" xfId="13074" xr:uid="{00000000-0005-0000-0000-00000E330000}"/>
    <cellStyle name="CR Currency % 11" xfId="13075" xr:uid="{00000000-0005-0000-0000-00000F330000}"/>
    <cellStyle name="CR Currency % 12" xfId="13076" xr:uid="{00000000-0005-0000-0000-000010330000}"/>
    <cellStyle name="CR Currency % 13" xfId="13077" xr:uid="{00000000-0005-0000-0000-000011330000}"/>
    <cellStyle name="CR Currency % 14" xfId="13078" xr:uid="{00000000-0005-0000-0000-000012330000}"/>
    <cellStyle name="CR Currency % 15" xfId="13079" xr:uid="{00000000-0005-0000-0000-000013330000}"/>
    <cellStyle name="CR Currency % 16" xfId="13080" xr:uid="{00000000-0005-0000-0000-000014330000}"/>
    <cellStyle name="CR Currency % 17" xfId="13081" xr:uid="{00000000-0005-0000-0000-000015330000}"/>
    <cellStyle name="CR Currency % 18" xfId="13082" xr:uid="{00000000-0005-0000-0000-000016330000}"/>
    <cellStyle name="CR Currency % 19" xfId="13083" xr:uid="{00000000-0005-0000-0000-000017330000}"/>
    <cellStyle name="CR Currency % 2" xfId="13084" xr:uid="{00000000-0005-0000-0000-000018330000}"/>
    <cellStyle name="CR Currency % 20" xfId="13085" xr:uid="{00000000-0005-0000-0000-000019330000}"/>
    <cellStyle name="CR Currency % 21" xfId="13086" xr:uid="{00000000-0005-0000-0000-00001A330000}"/>
    <cellStyle name="CR Currency % 21 2" xfId="13087" xr:uid="{00000000-0005-0000-0000-00001B330000}"/>
    <cellStyle name="CR Currency % 3" xfId="13088" xr:uid="{00000000-0005-0000-0000-00001C330000}"/>
    <cellStyle name="CR Currency % 4" xfId="13089" xr:uid="{00000000-0005-0000-0000-00001D330000}"/>
    <cellStyle name="CR Currency % 5" xfId="13090" xr:uid="{00000000-0005-0000-0000-00001E330000}"/>
    <cellStyle name="CR Currency % 6" xfId="13091" xr:uid="{00000000-0005-0000-0000-00001F330000}"/>
    <cellStyle name="CR Currency % 7" xfId="13092" xr:uid="{00000000-0005-0000-0000-000020330000}"/>
    <cellStyle name="CR Currency % 8" xfId="13093" xr:uid="{00000000-0005-0000-0000-000021330000}"/>
    <cellStyle name="CR Currency % 9" xfId="13094" xr:uid="{00000000-0005-0000-0000-000022330000}"/>
    <cellStyle name="CR Currency 0.0" xfId="13095" xr:uid="{00000000-0005-0000-0000-000023330000}"/>
    <cellStyle name="CR Currency 0.0 10" xfId="13096" xr:uid="{00000000-0005-0000-0000-000024330000}"/>
    <cellStyle name="CR Currency 0.0 11" xfId="13097" xr:uid="{00000000-0005-0000-0000-000025330000}"/>
    <cellStyle name="CR Currency 0.0 12" xfId="13098" xr:uid="{00000000-0005-0000-0000-000026330000}"/>
    <cellStyle name="CR Currency 0.0 13" xfId="13099" xr:uid="{00000000-0005-0000-0000-000027330000}"/>
    <cellStyle name="CR Currency 0.0 14" xfId="13100" xr:uid="{00000000-0005-0000-0000-000028330000}"/>
    <cellStyle name="CR Currency 0.0 15" xfId="13101" xr:uid="{00000000-0005-0000-0000-000029330000}"/>
    <cellStyle name="CR Currency 0.0 16" xfId="13102" xr:uid="{00000000-0005-0000-0000-00002A330000}"/>
    <cellStyle name="CR Currency 0.0 17" xfId="13103" xr:uid="{00000000-0005-0000-0000-00002B330000}"/>
    <cellStyle name="CR Currency 0.0 18" xfId="13104" xr:uid="{00000000-0005-0000-0000-00002C330000}"/>
    <cellStyle name="CR Currency 0.0 19" xfId="13105" xr:uid="{00000000-0005-0000-0000-00002D330000}"/>
    <cellStyle name="CR Currency 0.0 2" xfId="13106" xr:uid="{00000000-0005-0000-0000-00002E330000}"/>
    <cellStyle name="CR Currency 0.0 20" xfId="13107" xr:uid="{00000000-0005-0000-0000-00002F330000}"/>
    <cellStyle name="CR Currency 0.0 21" xfId="13108" xr:uid="{00000000-0005-0000-0000-000030330000}"/>
    <cellStyle name="CR Currency 0.0 21 2" xfId="13109" xr:uid="{00000000-0005-0000-0000-000031330000}"/>
    <cellStyle name="CR Currency 0.0 3" xfId="13110" xr:uid="{00000000-0005-0000-0000-000032330000}"/>
    <cellStyle name="CR Currency 0.0 4" xfId="13111" xr:uid="{00000000-0005-0000-0000-000033330000}"/>
    <cellStyle name="CR Currency 0.0 5" xfId="13112" xr:uid="{00000000-0005-0000-0000-000034330000}"/>
    <cellStyle name="CR Currency 0.0 6" xfId="13113" xr:uid="{00000000-0005-0000-0000-000035330000}"/>
    <cellStyle name="CR Currency 0.0 7" xfId="13114" xr:uid="{00000000-0005-0000-0000-000036330000}"/>
    <cellStyle name="CR Currency 0.0 8" xfId="13115" xr:uid="{00000000-0005-0000-0000-000037330000}"/>
    <cellStyle name="CR Currency 0.0 9" xfId="13116" xr:uid="{00000000-0005-0000-0000-000038330000}"/>
    <cellStyle name="CR Currency 0.0%" xfId="13117" xr:uid="{00000000-0005-0000-0000-000039330000}"/>
    <cellStyle name="CR Currency 0.0% 10" xfId="13118" xr:uid="{00000000-0005-0000-0000-00003A330000}"/>
    <cellStyle name="CR Currency 0.0% 11" xfId="13119" xr:uid="{00000000-0005-0000-0000-00003B330000}"/>
    <cellStyle name="CR Currency 0.0% 12" xfId="13120" xr:uid="{00000000-0005-0000-0000-00003C330000}"/>
    <cellStyle name="CR Currency 0.0% 13" xfId="13121" xr:uid="{00000000-0005-0000-0000-00003D330000}"/>
    <cellStyle name="CR Currency 0.0% 14" xfId="13122" xr:uid="{00000000-0005-0000-0000-00003E330000}"/>
    <cellStyle name="CR Currency 0.0% 15" xfId="13123" xr:uid="{00000000-0005-0000-0000-00003F330000}"/>
    <cellStyle name="CR Currency 0.0% 16" xfId="13124" xr:uid="{00000000-0005-0000-0000-000040330000}"/>
    <cellStyle name="CR Currency 0.0% 17" xfId="13125" xr:uid="{00000000-0005-0000-0000-000041330000}"/>
    <cellStyle name="CR Currency 0.0% 18" xfId="13126" xr:uid="{00000000-0005-0000-0000-000042330000}"/>
    <cellStyle name="CR Currency 0.0% 19" xfId="13127" xr:uid="{00000000-0005-0000-0000-000043330000}"/>
    <cellStyle name="CR Currency 0.0% 2" xfId="13128" xr:uid="{00000000-0005-0000-0000-000044330000}"/>
    <cellStyle name="CR Currency 0.0% 20" xfId="13129" xr:uid="{00000000-0005-0000-0000-000045330000}"/>
    <cellStyle name="CR Currency 0.0% 21" xfId="13130" xr:uid="{00000000-0005-0000-0000-000046330000}"/>
    <cellStyle name="CR Currency 0.0% 21 2" xfId="13131" xr:uid="{00000000-0005-0000-0000-000047330000}"/>
    <cellStyle name="CR Currency 0.0% 3" xfId="13132" xr:uid="{00000000-0005-0000-0000-000048330000}"/>
    <cellStyle name="CR Currency 0.0% 4" xfId="13133" xr:uid="{00000000-0005-0000-0000-000049330000}"/>
    <cellStyle name="CR Currency 0.0% 5" xfId="13134" xr:uid="{00000000-0005-0000-0000-00004A330000}"/>
    <cellStyle name="CR Currency 0.0% 6" xfId="13135" xr:uid="{00000000-0005-0000-0000-00004B330000}"/>
    <cellStyle name="CR Currency 0.0% 7" xfId="13136" xr:uid="{00000000-0005-0000-0000-00004C330000}"/>
    <cellStyle name="CR Currency 0.0% 8" xfId="13137" xr:uid="{00000000-0005-0000-0000-00004D330000}"/>
    <cellStyle name="CR Currency 0.0% 9" xfId="13138" xr:uid="{00000000-0005-0000-0000-00004E330000}"/>
    <cellStyle name="CR Currency 0.00" xfId="13139" xr:uid="{00000000-0005-0000-0000-00004F330000}"/>
    <cellStyle name="CR Currency 0.00 10" xfId="13140" xr:uid="{00000000-0005-0000-0000-000050330000}"/>
    <cellStyle name="CR Currency 0.00 11" xfId="13141" xr:uid="{00000000-0005-0000-0000-000051330000}"/>
    <cellStyle name="CR Currency 0.00 12" xfId="13142" xr:uid="{00000000-0005-0000-0000-000052330000}"/>
    <cellStyle name="CR Currency 0.00 13" xfId="13143" xr:uid="{00000000-0005-0000-0000-000053330000}"/>
    <cellStyle name="CR Currency 0.00 14" xfId="13144" xr:uid="{00000000-0005-0000-0000-000054330000}"/>
    <cellStyle name="CR Currency 0.00 15" xfId="13145" xr:uid="{00000000-0005-0000-0000-000055330000}"/>
    <cellStyle name="CR Currency 0.00 16" xfId="13146" xr:uid="{00000000-0005-0000-0000-000056330000}"/>
    <cellStyle name="CR Currency 0.00 17" xfId="13147" xr:uid="{00000000-0005-0000-0000-000057330000}"/>
    <cellStyle name="CR Currency 0.00 18" xfId="13148" xr:uid="{00000000-0005-0000-0000-000058330000}"/>
    <cellStyle name="CR Currency 0.00 19" xfId="13149" xr:uid="{00000000-0005-0000-0000-000059330000}"/>
    <cellStyle name="CR Currency 0.00 2" xfId="13150" xr:uid="{00000000-0005-0000-0000-00005A330000}"/>
    <cellStyle name="CR Currency 0.00 20" xfId="13151" xr:uid="{00000000-0005-0000-0000-00005B330000}"/>
    <cellStyle name="CR Currency 0.00 21" xfId="13152" xr:uid="{00000000-0005-0000-0000-00005C330000}"/>
    <cellStyle name="CR Currency 0.00 21 2" xfId="13153" xr:uid="{00000000-0005-0000-0000-00005D330000}"/>
    <cellStyle name="CR Currency 0.00 3" xfId="13154" xr:uid="{00000000-0005-0000-0000-00005E330000}"/>
    <cellStyle name="CR Currency 0.00 4" xfId="13155" xr:uid="{00000000-0005-0000-0000-00005F330000}"/>
    <cellStyle name="CR Currency 0.00 5" xfId="13156" xr:uid="{00000000-0005-0000-0000-000060330000}"/>
    <cellStyle name="CR Currency 0.00 6" xfId="13157" xr:uid="{00000000-0005-0000-0000-000061330000}"/>
    <cellStyle name="CR Currency 0.00 7" xfId="13158" xr:uid="{00000000-0005-0000-0000-000062330000}"/>
    <cellStyle name="CR Currency 0.00 8" xfId="13159" xr:uid="{00000000-0005-0000-0000-000063330000}"/>
    <cellStyle name="CR Currency 0.00 9" xfId="13160" xr:uid="{00000000-0005-0000-0000-000064330000}"/>
    <cellStyle name="CR Currency 0.00%" xfId="13161" xr:uid="{00000000-0005-0000-0000-000065330000}"/>
    <cellStyle name="CR Currency 0.00% 10" xfId="13162" xr:uid="{00000000-0005-0000-0000-000066330000}"/>
    <cellStyle name="CR Currency 0.00% 11" xfId="13163" xr:uid="{00000000-0005-0000-0000-000067330000}"/>
    <cellStyle name="CR Currency 0.00% 12" xfId="13164" xr:uid="{00000000-0005-0000-0000-000068330000}"/>
    <cellStyle name="CR Currency 0.00% 13" xfId="13165" xr:uid="{00000000-0005-0000-0000-000069330000}"/>
    <cellStyle name="CR Currency 0.00% 14" xfId="13166" xr:uid="{00000000-0005-0000-0000-00006A330000}"/>
    <cellStyle name="CR Currency 0.00% 15" xfId="13167" xr:uid="{00000000-0005-0000-0000-00006B330000}"/>
    <cellStyle name="CR Currency 0.00% 16" xfId="13168" xr:uid="{00000000-0005-0000-0000-00006C330000}"/>
    <cellStyle name="CR Currency 0.00% 17" xfId="13169" xr:uid="{00000000-0005-0000-0000-00006D330000}"/>
    <cellStyle name="CR Currency 0.00% 18" xfId="13170" xr:uid="{00000000-0005-0000-0000-00006E330000}"/>
    <cellStyle name="CR Currency 0.00% 19" xfId="13171" xr:uid="{00000000-0005-0000-0000-00006F330000}"/>
    <cellStyle name="CR Currency 0.00% 2" xfId="13172" xr:uid="{00000000-0005-0000-0000-000070330000}"/>
    <cellStyle name="CR Currency 0.00% 20" xfId="13173" xr:uid="{00000000-0005-0000-0000-000071330000}"/>
    <cellStyle name="CR Currency 0.00% 21" xfId="13174" xr:uid="{00000000-0005-0000-0000-000072330000}"/>
    <cellStyle name="CR Currency 0.00% 21 2" xfId="13175" xr:uid="{00000000-0005-0000-0000-000073330000}"/>
    <cellStyle name="CR Currency 0.00% 3" xfId="13176" xr:uid="{00000000-0005-0000-0000-000074330000}"/>
    <cellStyle name="CR Currency 0.00% 4" xfId="13177" xr:uid="{00000000-0005-0000-0000-000075330000}"/>
    <cellStyle name="CR Currency 0.00% 5" xfId="13178" xr:uid="{00000000-0005-0000-0000-000076330000}"/>
    <cellStyle name="CR Currency 0.00% 6" xfId="13179" xr:uid="{00000000-0005-0000-0000-000077330000}"/>
    <cellStyle name="CR Currency 0.00% 7" xfId="13180" xr:uid="{00000000-0005-0000-0000-000078330000}"/>
    <cellStyle name="CR Currency 0.00% 8" xfId="13181" xr:uid="{00000000-0005-0000-0000-000079330000}"/>
    <cellStyle name="CR Currency 0.00% 9" xfId="13182" xr:uid="{00000000-0005-0000-0000-00007A330000}"/>
    <cellStyle name="CR Currency 0.000" xfId="13183" xr:uid="{00000000-0005-0000-0000-00007B330000}"/>
    <cellStyle name="CR Currency 0.000 10" xfId="13184" xr:uid="{00000000-0005-0000-0000-00007C330000}"/>
    <cellStyle name="CR Currency 0.000 11" xfId="13185" xr:uid="{00000000-0005-0000-0000-00007D330000}"/>
    <cellStyle name="CR Currency 0.000 12" xfId="13186" xr:uid="{00000000-0005-0000-0000-00007E330000}"/>
    <cellStyle name="CR Currency 0.000 13" xfId="13187" xr:uid="{00000000-0005-0000-0000-00007F330000}"/>
    <cellStyle name="CR Currency 0.000 14" xfId="13188" xr:uid="{00000000-0005-0000-0000-000080330000}"/>
    <cellStyle name="CR Currency 0.000 15" xfId="13189" xr:uid="{00000000-0005-0000-0000-000081330000}"/>
    <cellStyle name="CR Currency 0.000 16" xfId="13190" xr:uid="{00000000-0005-0000-0000-000082330000}"/>
    <cellStyle name="CR Currency 0.000 17" xfId="13191" xr:uid="{00000000-0005-0000-0000-000083330000}"/>
    <cellStyle name="CR Currency 0.000 18" xfId="13192" xr:uid="{00000000-0005-0000-0000-000084330000}"/>
    <cellStyle name="CR Currency 0.000 19" xfId="13193" xr:uid="{00000000-0005-0000-0000-000085330000}"/>
    <cellStyle name="CR Currency 0.000 2" xfId="13194" xr:uid="{00000000-0005-0000-0000-000086330000}"/>
    <cellStyle name="CR Currency 0.000 20" xfId="13195" xr:uid="{00000000-0005-0000-0000-000087330000}"/>
    <cellStyle name="CR Currency 0.000 21" xfId="13196" xr:uid="{00000000-0005-0000-0000-000088330000}"/>
    <cellStyle name="CR Currency 0.000 21 2" xfId="13197" xr:uid="{00000000-0005-0000-0000-000089330000}"/>
    <cellStyle name="CR Currency 0.000 3" xfId="13198" xr:uid="{00000000-0005-0000-0000-00008A330000}"/>
    <cellStyle name="CR Currency 0.000 4" xfId="13199" xr:uid="{00000000-0005-0000-0000-00008B330000}"/>
    <cellStyle name="CR Currency 0.000 5" xfId="13200" xr:uid="{00000000-0005-0000-0000-00008C330000}"/>
    <cellStyle name="CR Currency 0.000 6" xfId="13201" xr:uid="{00000000-0005-0000-0000-00008D330000}"/>
    <cellStyle name="CR Currency 0.000 7" xfId="13202" xr:uid="{00000000-0005-0000-0000-00008E330000}"/>
    <cellStyle name="CR Currency 0.000 8" xfId="13203" xr:uid="{00000000-0005-0000-0000-00008F330000}"/>
    <cellStyle name="CR Currency 0.000 9" xfId="13204" xr:uid="{00000000-0005-0000-0000-000090330000}"/>
    <cellStyle name="CR Currency 0.000%" xfId="13205" xr:uid="{00000000-0005-0000-0000-000091330000}"/>
    <cellStyle name="CR Currency 0.000% 10" xfId="13206" xr:uid="{00000000-0005-0000-0000-000092330000}"/>
    <cellStyle name="CR Currency 0.000% 11" xfId="13207" xr:uid="{00000000-0005-0000-0000-000093330000}"/>
    <cellStyle name="CR Currency 0.000% 12" xfId="13208" xr:uid="{00000000-0005-0000-0000-000094330000}"/>
    <cellStyle name="CR Currency 0.000% 13" xfId="13209" xr:uid="{00000000-0005-0000-0000-000095330000}"/>
    <cellStyle name="CR Currency 0.000% 14" xfId="13210" xr:uid="{00000000-0005-0000-0000-000096330000}"/>
    <cellStyle name="CR Currency 0.000% 15" xfId="13211" xr:uid="{00000000-0005-0000-0000-000097330000}"/>
    <cellStyle name="CR Currency 0.000% 16" xfId="13212" xr:uid="{00000000-0005-0000-0000-000098330000}"/>
    <cellStyle name="CR Currency 0.000% 17" xfId="13213" xr:uid="{00000000-0005-0000-0000-000099330000}"/>
    <cellStyle name="CR Currency 0.000% 18" xfId="13214" xr:uid="{00000000-0005-0000-0000-00009A330000}"/>
    <cellStyle name="CR Currency 0.000% 19" xfId="13215" xr:uid="{00000000-0005-0000-0000-00009B330000}"/>
    <cellStyle name="CR Currency 0.000% 2" xfId="13216" xr:uid="{00000000-0005-0000-0000-00009C330000}"/>
    <cellStyle name="CR Currency 0.000% 20" xfId="13217" xr:uid="{00000000-0005-0000-0000-00009D330000}"/>
    <cellStyle name="CR Currency 0.000% 21" xfId="13218" xr:uid="{00000000-0005-0000-0000-00009E330000}"/>
    <cellStyle name="CR Currency 0.000% 21 2" xfId="13219" xr:uid="{00000000-0005-0000-0000-00009F330000}"/>
    <cellStyle name="CR Currency 0.000% 3" xfId="13220" xr:uid="{00000000-0005-0000-0000-0000A0330000}"/>
    <cellStyle name="CR Currency 0.000% 4" xfId="13221" xr:uid="{00000000-0005-0000-0000-0000A1330000}"/>
    <cellStyle name="CR Currency 0.000% 5" xfId="13222" xr:uid="{00000000-0005-0000-0000-0000A2330000}"/>
    <cellStyle name="CR Currency 0.000% 6" xfId="13223" xr:uid="{00000000-0005-0000-0000-0000A3330000}"/>
    <cellStyle name="CR Currency 0.000% 7" xfId="13224" xr:uid="{00000000-0005-0000-0000-0000A4330000}"/>
    <cellStyle name="CR Currency 0.000% 8" xfId="13225" xr:uid="{00000000-0005-0000-0000-0000A5330000}"/>
    <cellStyle name="CR Currency 0.000% 9" xfId="13226" xr:uid="{00000000-0005-0000-0000-0000A6330000}"/>
    <cellStyle name="CR Currency 10" xfId="13227" xr:uid="{00000000-0005-0000-0000-0000A7330000}"/>
    <cellStyle name="CR Currency 11" xfId="13228" xr:uid="{00000000-0005-0000-0000-0000A8330000}"/>
    <cellStyle name="CR Currency 12" xfId="13229" xr:uid="{00000000-0005-0000-0000-0000A9330000}"/>
    <cellStyle name="CR Currency 13" xfId="13230" xr:uid="{00000000-0005-0000-0000-0000AA330000}"/>
    <cellStyle name="CR Currency 14" xfId="13231" xr:uid="{00000000-0005-0000-0000-0000AB330000}"/>
    <cellStyle name="CR Currency 15" xfId="13232" xr:uid="{00000000-0005-0000-0000-0000AC330000}"/>
    <cellStyle name="CR Currency 16" xfId="13233" xr:uid="{00000000-0005-0000-0000-0000AD330000}"/>
    <cellStyle name="CR Currency 17" xfId="13234" xr:uid="{00000000-0005-0000-0000-0000AE330000}"/>
    <cellStyle name="CR Currency 18" xfId="13235" xr:uid="{00000000-0005-0000-0000-0000AF330000}"/>
    <cellStyle name="CR Currency 19" xfId="13236" xr:uid="{00000000-0005-0000-0000-0000B0330000}"/>
    <cellStyle name="CR Currency 2" xfId="13237" xr:uid="{00000000-0005-0000-0000-0000B1330000}"/>
    <cellStyle name="CR Currency 20" xfId="13238" xr:uid="{00000000-0005-0000-0000-0000B2330000}"/>
    <cellStyle name="CR Currency 21" xfId="13239" xr:uid="{00000000-0005-0000-0000-0000B3330000}"/>
    <cellStyle name="CR Currency 22" xfId="13240" xr:uid="{00000000-0005-0000-0000-0000B4330000}"/>
    <cellStyle name="CR Currency 23" xfId="13241" xr:uid="{00000000-0005-0000-0000-0000B5330000}"/>
    <cellStyle name="CR Currency 24" xfId="13242" xr:uid="{00000000-0005-0000-0000-0000B6330000}"/>
    <cellStyle name="CR Currency 25" xfId="13243" xr:uid="{00000000-0005-0000-0000-0000B7330000}"/>
    <cellStyle name="CR Currency 26" xfId="13244" xr:uid="{00000000-0005-0000-0000-0000B8330000}"/>
    <cellStyle name="CR Currency 27" xfId="13245" xr:uid="{00000000-0005-0000-0000-0000B9330000}"/>
    <cellStyle name="CR Currency 28" xfId="13246" xr:uid="{00000000-0005-0000-0000-0000BA330000}"/>
    <cellStyle name="CR Currency 29" xfId="13247" xr:uid="{00000000-0005-0000-0000-0000BB330000}"/>
    <cellStyle name="CR Currency 29 2" xfId="13248" xr:uid="{00000000-0005-0000-0000-0000BC330000}"/>
    <cellStyle name="CR Currency 3" xfId="13249" xr:uid="{00000000-0005-0000-0000-0000BD330000}"/>
    <cellStyle name="CR Currency 30" xfId="13250" xr:uid="{00000000-0005-0000-0000-0000BE330000}"/>
    <cellStyle name="CR Currency 31" xfId="13251" xr:uid="{00000000-0005-0000-0000-0000BF330000}"/>
    <cellStyle name="CR Currency 32" xfId="13252" xr:uid="{00000000-0005-0000-0000-0000C0330000}"/>
    <cellStyle name="CR Currency 33" xfId="13253" xr:uid="{00000000-0005-0000-0000-0000C1330000}"/>
    <cellStyle name="CR Currency 34" xfId="13254" xr:uid="{00000000-0005-0000-0000-0000C2330000}"/>
    <cellStyle name="CR Currency 35" xfId="13255" xr:uid="{00000000-0005-0000-0000-0000C3330000}"/>
    <cellStyle name="CR Currency 36" xfId="13256" xr:uid="{00000000-0005-0000-0000-0000C4330000}"/>
    <cellStyle name="CR Currency 37" xfId="13257" xr:uid="{00000000-0005-0000-0000-0000C5330000}"/>
    <cellStyle name="CR Currency 38" xfId="13258" xr:uid="{00000000-0005-0000-0000-0000C6330000}"/>
    <cellStyle name="CR Currency 4" xfId="13259" xr:uid="{00000000-0005-0000-0000-0000C7330000}"/>
    <cellStyle name="CR Currency 5" xfId="13260" xr:uid="{00000000-0005-0000-0000-0000C8330000}"/>
    <cellStyle name="CR Currency 6" xfId="13261" xr:uid="{00000000-0005-0000-0000-0000C9330000}"/>
    <cellStyle name="CR Currency 7" xfId="13262" xr:uid="{00000000-0005-0000-0000-0000CA330000}"/>
    <cellStyle name="CR Currency 8" xfId="13263" xr:uid="{00000000-0005-0000-0000-0000CB330000}"/>
    <cellStyle name="CR Currency 9" xfId="13264" xr:uid="{00000000-0005-0000-0000-0000CC330000}"/>
    <cellStyle name="CR Currency_Accounts Receivable" xfId="13265" xr:uid="{00000000-0005-0000-0000-0000CD330000}"/>
    <cellStyle name="CR Percent" xfId="13266" xr:uid="{00000000-0005-0000-0000-0000CE330000}"/>
    <cellStyle name="CR Percent %" xfId="13267" xr:uid="{00000000-0005-0000-0000-0000CF330000}"/>
    <cellStyle name="CR Percent % 10" xfId="13268" xr:uid="{00000000-0005-0000-0000-0000D0330000}"/>
    <cellStyle name="CR Percent % 11" xfId="13269" xr:uid="{00000000-0005-0000-0000-0000D1330000}"/>
    <cellStyle name="CR Percent % 12" xfId="13270" xr:uid="{00000000-0005-0000-0000-0000D2330000}"/>
    <cellStyle name="CR Percent % 13" xfId="13271" xr:uid="{00000000-0005-0000-0000-0000D3330000}"/>
    <cellStyle name="CR Percent % 14" xfId="13272" xr:uid="{00000000-0005-0000-0000-0000D4330000}"/>
    <cellStyle name="CR Percent % 15" xfId="13273" xr:uid="{00000000-0005-0000-0000-0000D5330000}"/>
    <cellStyle name="CR Percent % 16" xfId="13274" xr:uid="{00000000-0005-0000-0000-0000D6330000}"/>
    <cellStyle name="CR Percent % 17" xfId="13275" xr:uid="{00000000-0005-0000-0000-0000D7330000}"/>
    <cellStyle name="CR Percent % 18" xfId="13276" xr:uid="{00000000-0005-0000-0000-0000D8330000}"/>
    <cellStyle name="CR Percent % 19" xfId="13277" xr:uid="{00000000-0005-0000-0000-0000D9330000}"/>
    <cellStyle name="CR Percent % 2" xfId="13278" xr:uid="{00000000-0005-0000-0000-0000DA330000}"/>
    <cellStyle name="CR Percent % 20" xfId="13279" xr:uid="{00000000-0005-0000-0000-0000DB330000}"/>
    <cellStyle name="CR Percent % 21" xfId="13280" xr:uid="{00000000-0005-0000-0000-0000DC330000}"/>
    <cellStyle name="CR Percent % 21 2" xfId="13281" xr:uid="{00000000-0005-0000-0000-0000DD330000}"/>
    <cellStyle name="CR Percent % 3" xfId="13282" xr:uid="{00000000-0005-0000-0000-0000DE330000}"/>
    <cellStyle name="CR Percent % 4" xfId="13283" xr:uid="{00000000-0005-0000-0000-0000DF330000}"/>
    <cellStyle name="CR Percent % 5" xfId="13284" xr:uid="{00000000-0005-0000-0000-0000E0330000}"/>
    <cellStyle name="CR Percent % 6" xfId="13285" xr:uid="{00000000-0005-0000-0000-0000E1330000}"/>
    <cellStyle name="CR Percent % 7" xfId="13286" xr:uid="{00000000-0005-0000-0000-0000E2330000}"/>
    <cellStyle name="CR Percent % 8" xfId="13287" xr:uid="{00000000-0005-0000-0000-0000E3330000}"/>
    <cellStyle name="CR Percent % 9" xfId="13288" xr:uid="{00000000-0005-0000-0000-0000E4330000}"/>
    <cellStyle name="CR Percent 0.0%" xfId="13289" xr:uid="{00000000-0005-0000-0000-0000E5330000}"/>
    <cellStyle name="CR Percent 0.0% 10" xfId="13290" xr:uid="{00000000-0005-0000-0000-0000E6330000}"/>
    <cellStyle name="CR Percent 0.0% 11" xfId="13291" xr:uid="{00000000-0005-0000-0000-0000E7330000}"/>
    <cellStyle name="CR Percent 0.0% 12" xfId="13292" xr:uid="{00000000-0005-0000-0000-0000E8330000}"/>
    <cellStyle name="CR Percent 0.0% 13" xfId="13293" xr:uid="{00000000-0005-0000-0000-0000E9330000}"/>
    <cellStyle name="CR Percent 0.0% 14" xfId="13294" xr:uid="{00000000-0005-0000-0000-0000EA330000}"/>
    <cellStyle name="CR Percent 0.0% 15" xfId="13295" xr:uid="{00000000-0005-0000-0000-0000EB330000}"/>
    <cellStyle name="CR Percent 0.0% 16" xfId="13296" xr:uid="{00000000-0005-0000-0000-0000EC330000}"/>
    <cellStyle name="CR Percent 0.0% 17" xfId="13297" xr:uid="{00000000-0005-0000-0000-0000ED330000}"/>
    <cellStyle name="CR Percent 0.0% 18" xfId="13298" xr:uid="{00000000-0005-0000-0000-0000EE330000}"/>
    <cellStyle name="CR Percent 0.0% 19" xfId="13299" xr:uid="{00000000-0005-0000-0000-0000EF330000}"/>
    <cellStyle name="CR Percent 0.0% 2" xfId="13300" xr:uid="{00000000-0005-0000-0000-0000F0330000}"/>
    <cellStyle name="CR Percent 0.0% 20" xfId="13301" xr:uid="{00000000-0005-0000-0000-0000F1330000}"/>
    <cellStyle name="CR Percent 0.0% 21" xfId="13302" xr:uid="{00000000-0005-0000-0000-0000F2330000}"/>
    <cellStyle name="CR Percent 0.0% 21 2" xfId="13303" xr:uid="{00000000-0005-0000-0000-0000F3330000}"/>
    <cellStyle name="CR Percent 0.0% 3" xfId="13304" xr:uid="{00000000-0005-0000-0000-0000F4330000}"/>
    <cellStyle name="CR Percent 0.0% 4" xfId="13305" xr:uid="{00000000-0005-0000-0000-0000F5330000}"/>
    <cellStyle name="CR Percent 0.0% 5" xfId="13306" xr:uid="{00000000-0005-0000-0000-0000F6330000}"/>
    <cellStyle name="CR Percent 0.0% 6" xfId="13307" xr:uid="{00000000-0005-0000-0000-0000F7330000}"/>
    <cellStyle name="CR Percent 0.0% 7" xfId="13308" xr:uid="{00000000-0005-0000-0000-0000F8330000}"/>
    <cellStyle name="CR Percent 0.0% 8" xfId="13309" xr:uid="{00000000-0005-0000-0000-0000F9330000}"/>
    <cellStyle name="CR Percent 0.0% 9" xfId="13310" xr:uid="{00000000-0005-0000-0000-0000FA330000}"/>
    <cellStyle name="CR Percent 0.00%" xfId="13311" xr:uid="{00000000-0005-0000-0000-0000FB330000}"/>
    <cellStyle name="CR Percent 0.00% 10" xfId="13312" xr:uid="{00000000-0005-0000-0000-0000FC330000}"/>
    <cellStyle name="CR Percent 0.00% 11" xfId="13313" xr:uid="{00000000-0005-0000-0000-0000FD330000}"/>
    <cellStyle name="CR Percent 0.00% 12" xfId="13314" xr:uid="{00000000-0005-0000-0000-0000FE330000}"/>
    <cellStyle name="CR Percent 0.00% 13" xfId="13315" xr:uid="{00000000-0005-0000-0000-0000FF330000}"/>
    <cellStyle name="CR Percent 0.00% 14" xfId="13316" xr:uid="{00000000-0005-0000-0000-000000340000}"/>
    <cellStyle name="CR Percent 0.00% 15" xfId="13317" xr:uid="{00000000-0005-0000-0000-000001340000}"/>
    <cellStyle name="CR Percent 0.00% 16" xfId="13318" xr:uid="{00000000-0005-0000-0000-000002340000}"/>
    <cellStyle name="CR Percent 0.00% 17" xfId="13319" xr:uid="{00000000-0005-0000-0000-000003340000}"/>
    <cellStyle name="CR Percent 0.00% 18" xfId="13320" xr:uid="{00000000-0005-0000-0000-000004340000}"/>
    <cellStyle name="CR Percent 0.00% 19" xfId="13321" xr:uid="{00000000-0005-0000-0000-000005340000}"/>
    <cellStyle name="CR Percent 0.00% 2" xfId="13322" xr:uid="{00000000-0005-0000-0000-000006340000}"/>
    <cellStyle name="CR Percent 0.00% 20" xfId="13323" xr:uid="{00000000-0005-0000-0000-000007340000}"/>
    <cellStyle name="CR Percent 0.00% 21" xfId="13324" xr:uid="{00000000-0005-0000-0000-000008340000}"/>
    <cellStyle name="CR Percent 0.00% 21 2" xfId="13325" xr:uid="{00000000-0005-0000-0000-000009340000}"/>
    <cellStyle name="CR Percent 0.00% 3" xfId="13326" xr:uid="{00000000-0005-0000-0000-00000A340000}"/>
    <cellStyle name="CR Percent 0.00% 4" xfId="13327" xr:uid="{00000000-0005-0000-0000-00000B340000}"/>
    <cellStyle name="CR Percent 0.00% 5" xfId="13328" xr:uid="{00000000-0005-0000-0000-00000C340000}"/>
    <cellStyle name="CR Percent 0.00% 6" xfId="13329" xr:uid="{00000000-0005-0000-0000-00000D340000}"/>
    <cellStyle name="CR Percent 0.00% 7" xfId="13330" xr:uid="{00000000-0005-0000-0000-00000E340000}"/>
    <cellStyle name="CR Percent 0.00% 8" xfId="13331" xr:uid="{00000000-0005-0000-0000-00000F340000}"/>
    <cellStyle name="CR Percent 0.00% 9" xfId="13332" xr:uid="{00000000-0005-0000-0000-000010340000}"/>
    <cellStyle name="CR Percent 0.000%" xfId="13333" xr:uid="{00000000-0005-0000-0000-000011340000}"/>
    <cellStyle name="CR Percent 0.000% 10" xfId="13334" xr:uid="{00000000-0005-0000-0000-000012340000}"/>
    <cellStyle name="CR Percent 0.000% 11" xfId="13335" xr:uid="{00000000-0005-0000-0000-000013340000}"/>
    <cellStyle name="CR Percent 0.000% 12" xfId="13336" xr:uid="{00000000-0005-0000-0000-000014340000}"/>
    <cellStyle name="CR Percent 0.000% 13" xfId="13337" xr:uid="{00000000-0005-0000-0000-000015340000}"/>
    <cellStyle name="CR Percent 0.000% 14" xfId="13338" xr:uid="{00000000-0005-0000-0000-000016340000}"/>
    <cellStyle name="CR Percent 0.000% 15" xfId="13339" xr:uid="{00000000-0005-0000-0000-000017340000}"/>
    <cellStyle name="CR Percent 0.000% 16" xfId="13340" xr:uid="{00000000-0005-0000-0000-000018340000}"/>
    <cellStyle name="CR Percent 0.000% 17" xfId="13341" xr:uid="{00000000-0005-0000-0000-000019340000}"/>
    <cellStyle name="CR Percent 0.000% 18" xfId="13342" xr:uid="{00000000-0005-0000-0000-00001A340000}"/>
    <cellStyle name="CR Percent 0.000% 19" xfId="13343" xr:uid="{00000000-0005-0000-0000-00001B340000}"/>
    <cellStyle name="CR Percent 0.000% 2" xfId="13344" xr:uid="{00000000-0005-0000-0000-00001C340000}"/>
    <cellStyle name="CR Percent 0.000% 20" xfId="13345" xr:uid="{00000000-0005-0000-0000-00001D340000}"/>
    <cellStyle name="CR Percent 0.000% 21" xfId="13346" xr:uid="{00000000-0005-0000-0000-00001E340000}"/>
    <cellStyle name="CR Percent 0.000% 21 2" xfId="13347" xr:uid="{00000000-0005-0000-0000-00001F340000}"/>
    <cellStyle name="CR Percent 0.000% 3" xfId="13348" xr:uid="{00000000-0005-0000-0000-000020340000}"/>
    <cellStyle name="CR Percent 0.000% 4" xfId="13349" xr:uid="{00000000-0005-0000-0000-000021340000}"/>
    <cellStyle name="CR Percent 0.000% 5" xfId="13350" xr:uid="{00000000-0005-0000-0000-000022340000}"/>
    <cellStyle name="CR Percent 0.000% 6" xfId="13351" xr:uid="{00000000-0005-0000-0000-000023340000}"/>
    <cellStyle name="CR Percent 0.000% 7" xfId="13352" xr:uid="{00000000-0005-0000-0000-000024340000}"/>
    <cellStyle name="CR Percent 0.000% 8" xfId="13353" xr:uid="{00000000-0005-0000-0000-000025340000}"/>
    <cellStyle name="CR Percent 0.000% 9" xfId="13354" xr:uid="{00000000-0005-0000-0000-000026340000}"/>
    <cellStyle name="CR Percent 10" xfId="13355" xr:uid="{00000000-0005-0000-0000-000027340000}"/>
    <cellStyle name="CR Percent 11" xfId="13356" xr:uid="{00000000-0005-0000-0000-000028340000}"/>
    <cellStyle name="CR Percent 12" xfId="13357" xr:uid="{00000000-0005-0000-0000-000029340000}"/>
    <cellStyle name="CR Percent 13" xfId="13358" xr:uid="{00000000-0005-0000-0000-00002A340000}"/>
    <cellStyle name="CR Percent 14" xfId="13359" xr:uid="{00000000-0005-0000-0000-00002B340000}"/>
    <cellStyle name="CR Percent 15" xfId="13360" xr:uid="{00000000-0005-0000-0000-00002C340000}"/>
    <cellStyle name="CR Percent 16" xfId="13361" xr:uid="{00000000-0005-0000-0000-00002D340000}"/>
    <cellStyle name="CR Percent 17" xfId="13362" xr:uid="{00000000-0005-0000-0000-00002E340000}"/>
    <cellStyle name="CR Percent 18" xfId="13363" xr:uid="{00000000-0005-0000-0000-00002F340000}"/>
    <cellStyle name="CR Percent 19" xfId="13364" xr:uid="{00000000-0005-0000-0000-000030340000}"/>
    <cellStyle name="CR Percent 2" xfId="13365" xr:uid="{00000000-0005-0000-0000-000031340000}"/>
    <cellStyle name="CR Percent 20" xfId="13366" xr:uid="{00000000-0005-0000-0000-000032340000}"/>
    <cellStyle name="CR Percent 21" xfId="13367" xr:uid="{00000000-0005-0000-0000-000033340000}"/>
    <cellStyle name="CR Percent 21 2" xfId="13368" xr:uid="{00000000-0005-0000-0000-000034340000}"/>
    <cellStyle name="CR Percent 3" xfId="13369" xr:uid="{00000000-0005-0000-0000-000035340000}"/>
    <cellStyle name="CR Percent 4" xfId="13370" xr:uid="{00000000-0005-0000-0000-000036340000}"/>
    <cellStyle name="CR Percent 5" xfId="13371" xr:uid="{00000000-0005-0000-0000-000037340000}"/>
    <cellStyle name="CR Percent 6" xfId="13372" xr:uid="{00000000-0005-0000-0000-000038340000}"/>
    <cellStyle name="CR Percent 7" xfId="13373" xr:uid="{00000000-0005-0000-0000-000039340000}"/>
    <cellStyle name="CR Percent 8" xfId="13374" xr:uid="{00000000-0005-0000-0000-00003A340000}"/>
    <cellStyle name="CR Percent 9" xfId="13375" xr:uid="{00000000-0005-0000-0000-00003B340000}"/>
    <cellStyle name="Credit" xfId="13376" xr:uid="{00000000-0005-0000-0000-00003C340000}"/>
    <cellStyle name="Credit 10" xfId="13377" xr:uid="{00000000-0005-0000-0000-00003D340000}"/>
    <cellStyle name="Credit 11" xfId="13378" xr:uid="{00000000-0005-0000-0000-00003E340000}"/>
    <cellStyle name="Credit 12" xfId="13379" xr:uid="{00000000-0005-0000-0000-00003F340000}"/>
    <cellStyle name="Credit 13" xfId="13380" xr:uid="{00000000-0005-0000-0000-000040340000}"/>
    <cellStyle name="Credit 14" xfId="13381" xr:uid="{00000000-0005-0000-0000-000041340000}"/>
    <cellStyle name="Credit 15" xfId="13382" xr:uid="{00000000-0005-0000-0000-000042340000}"/>
    <cellStyle name="Credit 16" xfId="13383" xr:uid="{00000000-0005-0000-0000-000043340000}"/>
    <cellStyle name="Credit 17" xfId="13384" xr:uid="{00000000-0005-0000-0000-000044340000}"/>
    <cellStyle name="Credit 18" xfId="13385" xr:uid="{00000000-0005-0000-0000-000045340000}"/>
    <cellStyle name="Credit 19" xfId="13386" xr:uid="{00000000-0005-0000-0000-000046340000}"/>
    <cellStyle name="Credit 2" xfId="13387" xr:uid="{00000000-0005-0000-0000-000047340000}"/>
    <cellStyle name="Credit 2 2" xfId="13388" xr:uid="{00000000-0005-0000-0000-000048340000}"/>
    <cellStyle name="Credit 20" xfId="13389" xr:uid="{00000000-0005-0000-0000-000049340000}"/>
    <cellStyle name="Credit 21" xfId="13390" xr:uid="{00000000-0005-0000-0000-00004A340000}"/>
    <cellStyle name="Credit 22" xfId="13391" xr:uid="{00000000-0005-0000-0000-00004B340000}"/>
    <cellStyle name="Credit 23" xfId="13392" xr:uid="{00000000-0005-0000-0000-00004C340000}"/>
    <cellStyle name="Credit 24" xfId="13393" xr:uid="{00000000-0005-0000-0000-00004D340000}"/>
    <cellStyle name="Credit 25" xfId="13394" xr:uid="{00000000-0005-0000-0000-00004E340000}"/>
    <cellStyle name="Credit 26" xfId="13395" xr:uid="{00000000-0005-0000-0000-00004F340000}"/>
    <cellStyle name="Credit 27" xfId="13396" xr:uid="{00000000-0005-0000-0000-000050340000}"/>
    <cellStyle name="Credit 28" xfId="13397" xr:uid="{00000000-0005-0000-0000-000051340000}"/>
    <cellStyle name="Credit 29" xfId="13398" xr:uid="{00000000-0005-0000-0000-000052340000}"/>
    <cellStyle name="Credit 3" xfId="13399" xr:uid="{00000000-0005-0000-0000-000053340000}"/>
    <cellStyle name="Credit 3 2" xfId="13400" xr:uid="{00000000-0005-0000-0000-000054340000}"/>
    <cellStyle name="Credit 30" xfId="13401" xr:uid="{00000000-0005-0000-0000-000055340000}"/>
    <cellStyle name="Credit 31" xfId="13402" xr:uid="{00000000-0005-0000-0000-000056340000}"/>
    <cellStyle name="Credit 31 2" xfId="13403" xr:uid="{00000000-0005-0000-0000-000057340000}"/>
    <cellStyle name="Credit 32" xfId="13404" xr:uid="{00000000-0005-0000-0000-000058340000}"/>
    <cellStyle name="Credit 33" xfId="13405" xr:uid="{00000000-0005-0000-0000-000059340000}"/>
    <cellStyle name="Credit 34" xfId="13406" xr:uid="{00000000-0005-0000-0000-00005A340000}"/>
    <cellStyle name="Credit 35" xfId="13407" xr:uid="{00000000-0005-0000-0000-00005B340000}"/>
    <cellStyle name="Credit 36" xfId="13408" xr:uid="{00000000-0005-0000-0000-00005C340000}"/>
    <cellStyle name="Credit 37" xfId="13409" xr:uid="{00000000-0005-0000-0000-00005D340000}"/>
    <cellStyle name="Credit 38" xfId="13410" xr:uid="{00000000-0005-0000-0000-00005E340000}"/>
    <cellStyle name="Credit 39" xfId="13411" xr:uid="{00000000-0005-0000-0000-00005F340000}"/>
    <cellStyle name="Credit 4" xfId="13412" xr:uid="{00000000-0005-0000-0000-000060340000}"/>
    <cellStyle name="Credit 40" xfId="13413" xr:uid="{00000000-0005-0000-0000-000061340000}"/>
    <cellStyle name="Credit 5" xfId="13414" xr:uid="{00000000-0005-0000-0000-000062340000}"/>
    <cellStyle name="Credit 6" xfId="13415" xr:uid="{00000000-0005-0000-0000-000063340000}"/>
    <cellStyle name="Credit 7" xfId="13416" xr:uid="{00000000-0005-0000-0000-000064340000}"/>
    <cellStyle name="Credit 8" xfId="13417" xr:uid="{00000000-0005-0000-0000-000065340000}"/>
    <cellStyle name="Credit 9" xfId="13418" xr:uid="{00000000-0005-0000-0000-000066340000}"/>
    <cellStyle name="Credit subtotal" xfId="13419" xr:uid="{00000000-0005-0000-0000-000067340000}"/>
    <cellStyle name="Credit subtotal 10" xfId="13420" xr:uid="{00000000-0005-0000-0000-000068340000}"/>
    <cellStyle name="Credit subtotal 11" xfId="13421" xr:uid="{00000000-0005-0000-0000-000069340000}"/>
    <cellStyle name="Credit subtotal 12" xfId="13422" xr:uid="{00000000-0005-0000-0000-00006A340000}"/>
    <cellStyle name="Credit subtotal 13" xfId="13423" xr:uid="{00000000-0005-0000-0000-00006B340000}"/>
    <cellStyle name="Credit subtotal 14" xfId="13424" xr:uid="{00000000-0005-0000-0000-00006C340000}"/>
    <cellStyle name="Credit subtotal 15" xfId="13425" xr:uid="{00000000-0005-0000-0000-00006D340000}"/>
    <cellStyle name="Credit subtotal 16" xfId="13426" xr:uid="{00000000-0005-0000-0000-00006E340000}"/>
    <cellStyle name="Credit subtotal 17" xfId="13427" xr:uid="{00000000-0005-0000-0000-00006F340000}"/>
    <cellStyle name="Credit subtotal 18" xfId="13428" xr:uid="{00000000-0005-0000-0000-000070340000}"/>
    <cellStyle name="Credit subtotal 19" xfId="13429" xr:uid="{00000000-0005-0000-0000-000071340000}"/>
    <cellStyle name="Credit subtotal 2" xfId="13430" xr:uid="{00000000-0005-0000-0000-000072340000}"/>
    <cellStyle name="Credit subtotal 2 2" xfId="13431" xr:uid="{00000000-0005-0000-0000-000073340000}"/>
    <cellStyle name="Credit subtotal 20" xfId="13432" xr:uid="{00000000-0005-0000-0000-000074340000}"/>
    <cellStyle name="Credit subtotal 21" xfId="13433" xr:uid="{00000000-0005-0000-0000-000075340000}"/>
    <cellStyle name="Credit subtotal 22" xfId="13434" xr:uid="{00000000-0005-0000-0000-000076340000}"/>
    <cellStyle name="Credit subtotal 23" xfId="13435" xr:uid="{00000000-0005-0000-0000-000077340000}"/>
    <cellStyle name="Credit subtotal 24" xfId="13436" xr:uid="{00000000-0005-0000-0000-000078340000}"/>
    <cellStyle name="Credit subtotal 25" xfId="13437" xr:uid="{00000000-0005-0000-0000-000079340000}"/>
    <cellStyle name="Credit subtotal 26" xfId="13438" xr:uid="{00000000-0005-0000-0000-00007A340000}"/>
    <cellStyle name="Credit subtotal 27" xfId="13439" xr:uid="{00000000-0005-0000-0000-00007B340000}"/>
    <cellStyle name="Credit subtotal 28" xfId="13440" xr:uid="{00000000-0005-0000-0000-00007C340000}"/>
    <cellStyle name="Credit subtotal 29" xfId="13441" xr:uid="{00000000-0005-0000-0000-00007D340000}"/>
    <cellStyle name="Credit subtotal 3" xfId="13442" xr:uid="{00000000-0005-0000-0000-00007E340000}"/>
    <cellStyle name="Credit subtotal 3 2" xfId="13443" xr:uid="{00000000-0005-0000-0000-00007F340000}"/>
    <cellStyle name="Credit subtotal 30" xfId="13444" xr:uid="{00000000-0005-0000-0000-000080340000}"/>
    <cellStyle name="Credit subtotal 31" xfId="13445" xr:uid="{00000000-0005-0000-0000-000081340000}"/>
    <cellStyle name="Credit subtotal 31 2" xfId="13446" xr:uid="{00000000-0005-0000-0000-000082340000}"/>
    <cellStyle name="Credit subtotal 32" xfId="13447" xr:uid="{00000000-0005-0000-0000-000083340000}"/>
    <cellStyle name="Credit subtotal 33" xfId="13448" xr:uid="{00000000-0005-0000-0000-000084340000}"/>
    <cellStyle name="Credit subtotal 34" xfId="13449" xr:uid="{00000000-0005-0000-0000-000085340000}"/>
    <cellStyle name="Credit subtotal 35" xfId="13450" xr:uid="{00000000-0005-0000-0000-000086340000}"/>
    <cellStyle name="Credit subtotal 36" xfId="13451" xr:uid="{00000000-0005-0000-0000-000087340000}"/>
    <cellStyle name="Credit subtotal 37" xfId="13452" xr:uid="{00000000-0005-0000-0000-000088340000}"/>
    <cellStyle name="Credit subtotal 38" xfId="13453" xr:uid="{00000000-0005-0000-0000-000089340000}"/>
    <cellStyle name="Credit subtotal 39" xfId="13454" xr:uid="{00000000-0005-0000-0000-00008A340000}"/>
    <cellStyle name="Credit subtotal 4" xfId="13455" xr:uid="{00000000-0005-0000-0000-00008B340000}"/>
    <cellStyle name="Credit subtotal 40" xfId="13456" xr:uid="{00000000-0005-0000-0000-00008C340000}"/>
    <cellStyle name="Credit subtotal 5" xfId="13457" xr:uid="{00000000-0005-0000-0000-00008D340000}"/>
    <cellStyle name="Credit subtotal 6" xfId="13458" xr:uid="{00000000-0005-0000-0000-00008E340000}"/>
    <cellStyle name="Credit subtotal 7" xfId="13459" xr:uid="{00000000-0005-0000-0000-00008F340000}"/>
    <cellStyle name="Credit subtotal 8" xfId="13460" xr:uid="{00000000-0005-0000-0000-000090340000}"/>
    <cellStyle name="Credit subtotal 9" xfId="13461" xr:uid="{00000000-0005-0000-0000-000091340000}"/>
    <cellStyle name="Credit Total" xfId="13462" xr:uid="{00000000-0005-0000-0000-000092340000}"/>
    <cellStyle name="Credit Total 10" xfId="13463" xr:uid="{00000000-0005-0000-0000-000093340000}"/>
    <cellStyle name="Credit Total 11" xfId="13464" xr:uid="{00000000-0005-0000-0000-000094340000}"/>
    <cellStyle name="Credit Total 12" xfId="13465" xr:uid="{00000000-0005-0000-0000-000095340000}"/>
    <cellStyle name="Credit Total 13" xfId="13466" xr:uid="{00000000-0005-0000-0000-000096340000}"/>
    <cellStyle name="Credit Total 14" xfId="13467" xr:uid="{00000000-0005-0000-0000-000097340000}"/>
    <cellStyle name="Credit Total 15" xfId="13468" xr:uid="{00000000-0005-0000-0000-000098340000}"/>
    <cellStyle name="Credit Total 16" xfId="13469" xr:uid="{00000000-0005-0000-0000-000099340000}"/>
    <cellStyle name="Credit Total 17" xfId="13470" xr:uid="{00000000-0005-0000-0000-00009A340000}"/>
    <cellStyle name="Credit Total 18" xfId="13471" xr:uid="{00000000-0005-0000-0000-00009B340000}"/>
    <cellStyle name="Credit Total 19" xfId="13472" xr:uid="{00000000-0005-0000-0000-00009C340000}"/>
    <cellStyle name="Credit Total 2" xfId="13473" xr:uid="{00000000-0005-0000-0000-00009D340000}"/>
    <cellStyle name="Credit Total 2 2" xfId="13474" xr:uid="{00000000-0005-0000-0000-00009E340000}"/>
    <cellStyle name="Credit Total 20" xfId="13475" xr:uid="{00000000-0005-0000-0000-00009F340000}"/>
    <cellStyle name="Credit Total 21" xfId="13476" xr:uid="{00000000-0005-0000-0000-0000A0340000}"/>
    <cellStyle name="Credit Total 22" xfId="13477" xr:uid="{00000000-0005-0000-0000-0000A1340000}"/>
    <cellStyle name="Credit Total 23" xfId="13478" xr:uid="{00000000-0005-0000-0000-0000A2340000}"/>
    <cellStyle name="Credit Total 24" xfId="13479" xr:uid="{00000000-0005-0000-0000-0000A3340000}"/>
    <cellStyle name="Credit Total 25" xfId="13480" xr:uid="{00000000-0005-0000-0000-0000A4340000}"/>
    <cellStyle name="Credit Total 26" xfId="13481" xr:uid="{00000000-0005-0000-0000-0000A5340000}"/>
    <cellStyle name="Credit Total 27" xfId="13482" xr:uid="{00000000-0005-0000-0000-0000A6340000}"/>
    <cellStyle name="Credit Total 28" xfId="13483" xr:uid="{00000000-0005-0000-0000-0000A7340000}"/>
    <cellStyle name="Credit Total 29" xfId="13484" xr:uid="{00000000-0005-0000-0000-0000A8340000}"/>
    <cellStyle name="Credit Total 3" xfId="13485" xr:uid="{00000000-0005-0000-0000-0000A9340000}"/>
    <cellStyle name="Credit Total 3 2" xfId="13486" xr:uid="{00000000-0005-0000-0000-0000AA340000}"/>
    <cellStyle name="Credit Total 30" xfId="13487" xr:uid="{00000000-0005-0000-0000-0000AB340000}"/>
    <cellStyle name="Credit Total 31" xfId="13488" xr:uid="{00000000-0005-0000-0000-0000AC340000}"/>
    <cellStyle name="Credit Total 31 2" xfId="13489" xr:uid="{00000000-0005-0000-0000-0000AD340000}"/>
    <cellStyle name="Credit Total 32" xfId="13490" xr:uid="{00000000-0005-0000-0000-0000AE340000}"/>
    <cellStyle name="Credit Total 33" xfId="13491" xr:uid="{00000000-0005-0000-0000-0000AF340000}"/>
    <cellStyle name="Credit Total 34" xfId="13492" xr:uid="{00000000-0005-0000-0000-0000B0340000}"/>
    <cellStyle name="Credit Total 35" xfId="13493" xr:uid="{00000000-0005-0000-0000-0000B1340000}"/>
    <cellStyle name="Credit Total 36" xfId="13494" xr:uid="{00000000-0005-0000-0000-0000B2340000}"/>
    <cellStyle name="Credit Total 37" xfId="13495" xr:uid="{00000000-0005-0000-0000-0000B3340000}"/>
    <cellStyle name="Credit Total 38" xfId="13496" xr:uid="{00000000-0005-0000-0000-0000B4340000}"/>
    <cellStyle name="Credit Total 39" xfId="13497" xr:uid="{00000000-0005-0000-0000-0000B5340000}"/>
    <cellStyle name="Credit Total 4" xfId="13498" xr:uid="{00000000-0005-0000-0000-0000B6340000}"/>
    <cellStyle name="Credit Total 40" xfId="13499" xr:uid="{00000000-0005-0000-0000-0000B7340000}"/>
    <cellStyle name="Credit Total 5" xfId="13500" xr:uid="{00000000-0005-0000-0000-0000B8340000}"/>
    <cellStyle name="Credit Total 6" xfId="13501" xr:uid="{00000000-0005-0000-0000-0000B9340000}"/>
    <cellStyle name="Credit Total 7" xfId="13502" xr:uid="{00000000-0005-0000-0000-0000BA340000}"/>
    <cellStyle name="Credit Total 8" xfId="13503" xr:uid="{00000000-0005-0000-0000-0000BB340000}"/>
    <cellStyle name="Credit Total 9" xfId="13504" xr:uid="{00000000-0005-0000-0000-0000BC340000}"/>
    <cellStyle name="Credit_{6} Carry" xfId="13505" xr:uid="{00000000-0005-0000-0000-0000BD340000}"/>
    <cellStyle name="CurRatio" xfId="13506" xr:uid="{00000000-0005-0000-0000-0000BE340000}"/>
    <cellStyle name="CurRatio 10" xfId="13507" xr:uid="{00000000-0005-0000-0000-0000BF340000}"/>
    <cellStyle name="CurRatio 11" xfId="13508" xr:uid="{00000000-0005-0000-0000-0000C0340000}"/>
    <cellStyle name="CurRatio 12" xfId="13509" xr:uid="{00000000-0005-0000-0000-0000C1340000}"/>
    <cellStyle name="CurRatio 13" xfId="13510" xr:uid="{00000000-0005-0000-0000-0000C2340000}"/>
    <cellStyle name="CurRatio 14" xfId="13511" xr:uid="{00000000-0005-0000-0000-0000C3340000}"/>
    <cellStyle name="CurRatio 15" xfId="13512" xr:uid="{00000000-0005-0000-0000-0000C4340000}"/>
    <cellStyle name="CurRatio 16" xfId="13513" xr:uid="{00000000-0005-0000-0000-0000C5340000}"/>
    <cellStyle name="CurRatio 17" xfId="13514" xr:uid="{00000000-0005-0000-0000-0000C6340000}"/>
    <cellStyle name="CurRatio 18" xfId="13515" xr:uid="{00000000-0005-0000-0000-0000C7340000}"/>
    <cellStyle name="CurRatio 19" xfId="13516" xr:uid="{00000000-0005-0000-0000-0000C8340000}"/>
    <cellStyle name="CurRatio 2" xfId="13517" xr:uid="{00000000-0005-0000-0000-0000C9340000}"/>
    <cellStyle name="CurRatio 20" xfId="13518" xr:uid="{00000000-0005-0000-0000-0000CA340000}"/>
    <cellStyle name="CurRatio 21" xfId="13519" xr:uid="{00000000-0005-0000-0000-0000CB340000}"/>
    <cellStyle name="CurRatio 22" xfId="13520" xr:uid="{00000000-0005-0000-0000-0000CC340000}"/>
    <cellStyle name="CurRatio 23" xfId="13521" xr:uid="{00000000-0005-0000-0000-0000CD340000}"/>
    <cellStyle name="CurRatio 23 2" xfId="13522" xr:uid="{00000000-0005-0000-0000-0000CE340000}"/>
    <cellStyle name="CurRatio 24" xfId="13523" xr:uid="{00000000-0005-0000-0000-0000CF340000}"/>
    <cellStyle name="CurRatio 24 2" xfId="13524" xr:uid="{00000000-0005-0000-0000-0000D0340000}"/>
    <cellStyle name="CurRatio 25" xfId="13525" xr:uid="{00000000-0005-0000-0000-0000D1340000}"/>
    <cellStyle name="CurRatio 26" xfId="13526" xr:uid="{00000000-0005-0000-0000-0000D2340000}"/>
    <cellStyle name="CurRatio 27" xfId="13527" xr:uid="{00000000-0005-0000-0000-0000D3340000}"/>
    <cellStyle name="CurRatio 28" xfId="13528" xr:uid="{00000000-0005-0000-0000-0000D4340000}"/>
    <cellStyle name="CurRatio 29" xfId="13529" xr:uid="{00000000-0005-0000-0000-0000D5340000}"/>
    <cellStyle name="CurRatio 29 2" xfId="13530" xr:uid="{00000000-0005-0000-0000-0000D6340000}"/>
    <cellStyle name="CurRatio 3" xfId="13531" xr:uid="{00000000-0005-0000-0000-0000D7340000}"/>
    <cellStyle name="CurRatio 3 2" xfId="13532" xr:uid="{00000000-0005-0000-0000-0000D8340000}"/>
    <cellStyle name="CurRatio 30" xfId="13533" xr:uid="{00000000-0005-0000-0000-0000D9340000}"/>
    <cellStyle name="CurRatio 31" xfId="13534" xr:uid="{00000000-0005-0000-0000-0000DA340000}"/>
    <cellStyle name="CurRatio 32" xfId="13535" xr:uid="{00000000-0005-0000-0000-0000DB340000}"/>
    <cellStyle name="CurRatio 33" xfId="13536" xr:uid="{00000000-0005-0000-0000-0000DC340000}"/>
    <cellStyle name="CurRatio 34" xfId="13537" xr:uid="{00000000-0005-0000-0000-0000DD340000}"/>
    <cellStyle name="CurRatio 35" xfId="13538" xr:uid="{00000000-0005-0000-0000-0000DE340000}"/>
    <cellStyle name="CurRatio 36" xfId="13539" xr:uid="{00000000-0005-0000-0000-0000DF340000}"/>
    <cellStyle name="CurRatio 37" xfId="13540" xr:uid="{00000000-0005-0000-0000-0000E0340000}"/>
    <cellStyle name="CurRatio 38" xfId="13541" xr:uid="{00000000-0005-0000-0000-0000E1340000}"/>
    <cellStyle name="CurRatio 4" xfId="13542" xr:uid="{00000000-0005-0000-0000-0000E2340000}"/>
    <cellStyle name="CurRatio 4 2" xfId="13543" xr:uid="{00000000-0005-0000-0000-0000E3340000}"/>
    <cellStyle name="CurRatio 5" xfId="13544" xr:uid="{00000000-0005-0000-0000-0000E4340000}"/>
    <cellStyle name="CurRatio 5 2" xfId="13545" xr:uid="{00000000-0005-0000-0000-0000E5340000}"/>
    <cellStyle name="CurRatio 6" xfId="13546" xr:uid="{00000000-0005-0000-0000-0000E6340000}"/>
    <cellStyle name="CurRatio 6 2" xfId="13547" xr:uid="{00000000-0005-0000-0000-0000E7340000}"/>
    <cellStyle name="CurRatio 7" xfId="13548" xr:uid="{00000000-0005-0000-0000-0000E8340000}"/>
    <cellStyle name="CurRatio 7 2" xfId="13549" xr:uid="{00000000-0005-0000-0000-0000E9340000}"/>
    <cellStyle name="CurRatio 8" xfId="13550" xr:uid="{00000000-0005-0000-0000-0000EA340000}"/>
    <cellStyle name="CurRatio 8 2" xfId="13551" xr:uid="{00000000-0005-0000-0000-0000EB340000}"/>
    <cellStyle name="CurRatio 9" xfId="13552" xr:uid="{00000000-0005-0000-0000-0000EC340000}"/>
    <cellStyle name="Curren - Style2" xfId="13553" xr:uid="{00000000-0005-0000-0000-0000ED340000}"/>
    <cellStyle name="Curren - Style2 10" xfId="13554" xr:uid="{00000000-0005-0000-0000-0000EE340000}"/>
    <cellStyle name="Curren - Style2 11" xfId="13555" xr:uid="{00000000-0005-0000-0000-0000EF340000}"/>
    <cellStyle name="Curren - Style2 12" xfId="13556" xr:uid="{00000000-0005-0000-0000-0000F0340000}"/>
    <cellStyle name="Curren - Style2 13" xfId="13557" xr:uid="{00000000-0005-0000-0000-0000F1340000}"/>
    <cellStyle name="Curren - Style2 14" xfId="13558" xr:uid="{00000000-0005-0000-0000-0000F2340000}"/>
    <cellStyle name="Curren - Style2 15" xfId="13559" xr:uid="{00000000-0005-0000-0000-0000F3340000}"/>
    <cellStyle name="Curren - Style2 16" xfId="13560" xr:uid="{00000000-0005-0000-0000-0000F4340000}"/>
    <cellStyle name="Curren - Style2 17" xfId="13561" xr:uid="{00000000-0005-0000-0000-0000F5340000}"/>
    <cellStyle name="Curren - Style2 18" xfId="13562" xr:uid="{00000000-0005-0000-0000-0000F6340000}"/>
    <cellStyle name="Curren - Style2 19" xfId="13563" xr:uid="{00000000-0005-0000-0000-0000F7340000}"/>
    <cellStyle name="Curren - Style2 2" xfId="13564" xr:uid="{00000000-0005-0000-0000-0000F8340000}"/>
    <cellStyle name="Curren - Style2 20" xfId="13565" xr:uid="{00000000-0005-0000-0000-0000F9340000}"/>
    <cellStyle name="Curren - Style2 21" xfId="13566" xr:uid="{00000000-0005-0000-0000-0000FA340000}"/>
    <cellStyle name="Curren - Style2 21 2" xfId="13567" xr:uid="{00000000-0005-0000-0000-0000FB340000}"/>
    <cellStyle name="Curren - Style2 3" xfId="13568" xr:uid="{00000000-0005-0000-0000-0000FC340000}"/>
    <cellStyle name="Curren - Style2 4" xfId="13569" xr:uid="{00000000-0005-0000-0000-0000FD340000}"/>
    <cellStyle name="Curren - Style2 5" xfId="13570" xr:uid="{00000000-0005-0000-0000-0000FE340000}"/>
    <cellStyle name="Curren - Style2 6" xfId="13571" xr:uid="{00000000-0005-0000-0000-0000FF340000}"/>
    <cellStyle name="Curren - Style2 7" xfId="13572" xr:uid="{00000000-0005-0000-0000-000000350000}"/>
    <cellStyle name="Curren - Style2 8" xfId="13573" xr:uid="{00000000-0005-0000-0000-000001350000}"/>
    <cellStyle name="Curren - Style2 9" xfId="13574" xr:uid="{00000000-0005-0000-0000-000002350000}"/>
    <cellStyle name="Currency %" xfId="13575" xr:uid="{00000000-0005-0000-0000-000004350000}"/>
    <cellStyle name="Currency % 10" xfId="13576" xr:uid="{00000000-0005-0000-0000-000005350000}"/>
    <cellStyle name="Currency % 11" xfId="13577" xr:uid="{00000000-0005-0000-0000-000006350000}"/>
    <cellStyle name="Currency % 12" xfId="13578" xr:uid="{00000000-0005-0000-0000-000007350000}"/>
    <cellStyle name="Currency % 13" xfId="13579" xr:uid="{00000000-0005-0000-0000-000008350000}"/>
    <cellStyle name="Currency % 14" xfId="13580" xr:uid="{00000000-0005-0000-0000-000009350000}"/>
    <cellStyle name="Currency % 15" xfId="13581" xr:uid="{00000000-0005-0000-0000-00000A350000}"/>
    <cellStyle name="Currency % 16" xfId="13582" xr:uid="{00000000-0005-0000-0000-00000B350000}"/>
    <cellStyle name="Currency % 17" xfId="13583" xr:uid="{00000000-0005-0000-0000-00000C350000}"/>
    <cellStyle name="Currency % 18" xfId="13584" xr:uid="{00000000-0005-0000-0000-00000D350000}"/>
    <cellStyle name="Currency % 19" xfId="13585" xr:uid="{00000000-0005-0000-0000-00000E350000}"/>
    <cellStyle name="Currency % 2" xfId="13586" xr:uid="{00000000-0005-0000-0000-00000F350000}"/>
    <cellStyle name="Currency % 20" xfId="13587" xr:uid="{00000000-0005-0000-0000-000010350000}"/>
    <cellStyle name="Currency % 21" xfId="13588" xr:uid="{00000000-0005-0000-0000-000011350000}"/>
    <cellStyle name="Currency % 22" xfId="13589" xr:uid="{00000000-0005-0000-0000-000012350000}"/>
    <cellStyle name="Currency % 23" xfId="13590" xr:uid="{00000000-0005-0000-0000-000013350000}"/>
    <cellStyle name="Currency % 23 2" xfId="13591" xr:uid="{00000000-0005-0000-0000-000014350000}"/>
    <cellStyle name="Currency % 24" xfId="13592" xr:uid="{00000000-0005-0000-0000-000015350000}"/>
    <cellStyle name="Currency % 24 2" xfId="13593" xr:uid="{00000000-0005-0000-0000-000016350000}"/>
    <cellStyle name="Currency % 25" xfId="13594" xr:uid="{00000000-0005-0000-0000-000017350000}"/>
    <cellStyle name="Currency % 26" xfId="13595" xr:uid="{00000000-0005-0000-0000-000018350000}"/>
    <cellStyle name="Currency % 27" xfId="13596" xr:uid="{00000000-0005-0000-0000-000019350000}"/>
    <cellStyle name="Currency % 28" xfId="13597" xr:uid="{00000000-0005-0000-0000-00001A350000}"/>
    <cellStyle name="Currency % 29" xfId="13598" xr:uid="{00000000-0005-0000-0000-00001B350000}"/>
    <cellStyle name="Currency % 3" xfId="13599" xr:uid="{00000000-0005-0000-0000-00001C350000}"/>
    <cellStyle name="Currency % 3 2" xfId="13600" xr:uid="{00000000-0005-0000-0000-00001D350000}"/>
    <cellStyle name="Currency % 30" xfId="13601" xr:uid="{00000000-0005-0000-0000-00001E350000}"/>
    <cellStyle name="Currency % 31" xfId="13602" xr:uid="{00000000-0005-0000-0000-00001F350000}"/>
    <cellStyle name="Currency % 32" xfId="13603" xr:uid="{00000000-0005-0000-0000-000020350000}"/>
    <cellStyle name="Currency % 33" xfId="13604" xr:uid="{00000000-0005-0000-0000-000021350000}"/>
    <cellStyle name="Currency % 34" xfId="13605" xr:uid="{00000000-0005-0000-0000-000022350000}"/>
    <cellStyle name="Currency % 35" xfId="13606" xr:uid="{00000000-0005-0000-0000-000023350000}"/>
    <cellStyle name="Currency % 36" xfId="13607" xr:uid="{00000000-0005-0000-0000-000024350000}"/>
    <cellStyle name="Currency % 37" xfId="13608" xr:uid="{00000000-0005-0000-0000-000025350000}"/>
    <cellStyle name="Currency % 38" xfId="13609" xr:uid="{00000000-0005-0000-0000-000026350000}"/>
    <cellStyle name="Currency % 4" xfId="13610" xr:uid="{00000000-0005-0000-0000-000027350000}"/>
    <cellStyle name="Currency % 4 2" xfId="13611" xr:uid="{00000000-0005-0000-0000-000028350000}"/>
    <cellStyle name="Currency % 5" xfId="13612" xr:uid="{00000000-0005-0000-0000-000029350000}"/>
    <cellStyle name="Currency % 5 2" xfId="13613" xr:uid="{00000000-0005-0000-0000-00002A350000}"/>
    <cellStyle name="Currency % 6" xfId="13614" xr:uid="{00000000-0005-0000-0000-00002B350000}"/>
    <cellStyle name="Currency % 6 2" xfId="13615" xr:uid="{00000000-0005-0000-0000-00002C350000}"/>
    <cellStyle name="Currency % 7" xfId="13616" xr:uid="{00000000-0005-0000-0000-00002D350000}"/>
    <cellStyle name="Currency % 7 2" xfId="13617" xr:uid="{00000000-0005-0000-0000-00002E350000}"/>
    <cellStyle name="Currency % 8" xfId="13618" xr:uid="{00000000-0005-0000-0000-00002F350000}"/>
    <cellStyle name="Currency % 8 2" xfId="13619" xr:uid="{00000000-0005-0000-0000-000030350000}"/>
    <cellStyle name="Currency % 9" xfId="13620" xr:uid="{00000000-0005-0000-0000-000031350000}"/>
    <cellStyle name="Currency [£]" xfId="13621" xr:uid="{00000000-0005-0000-0000-000032350000}"/>
    <cellStyle name="Currency [0] - Credits" xfId="13622" xr:uid="{00000000-0005-0000-0000-000033350000}"/>
    <cellStyle name="Currency [0] - Credits 10" xfId="13623" xr:uid="{00000000-0005-0000-0000-000034350000}"/>
    <cellStyle name="Currency [0] - Credits 11" xfId="13624" xr:uid="{00000000-0005-0000-0000-000035350000}"/>
    <cellStyle name="Currency [0] - Credits 12" xfId="13625" xr:uid="{00000000-0005-0000-0000-000036350000}"/>
    <cellStyle name="Currency [0] - Credits 13" xfId="13626" xr:uid="{00000000-0005-0000-0000-000037350000}"/>
    <cellStyle name="Currency [0] - Credits 14" xfId="13627" xr:uid="{00000000-0005-0000-0000-000038350000}"/>
    <cellStyle name="Currency [0] - Credits 15" xfId="13628" xr:uid="{00000000-0005-0000-0000-000039350000}"/>
    <cellStyle name="Currency [0] - Credits 16" xfId="13629" xr:uid="{00000000-0005-0000-0000-00003A350000}"/>
    <cellStyle name="Currency [0] - Credits 17" xfId="13630" xr:uid="{00000000-0005-0000-0000-00003B350000}"/>
    <cellStyle name="Currency [0] - Credits 18" xfId="13631" xr:uid="{00000000-0005-0000-0000-00003C350000}"/>
    <cellStyle name="Currency [0] - Credits 19" xfId="13632" xr:uid="{00000000-0005-0000-0000-00003D350000}"/>
    <cellStyle name="Currency [0] - Credits 2" xfId="13633" xr:uid="{00000000-0005-0000-0000-00003E350000}"/>
    <cellStyle name="Currency [0] - Credits 20" xfId="13634" xr:uid="{00000000-0005-0000-0000-00003F350000}"/>
    <cellStyle name="Currency [0] - Credits 21" xfId="13635" xr:uid="{00000000-0005-0000-0000-000040350000}"/>
    <cellStyle name="Currency [0] - Credits 21 2" xfId="13636" xr:uid="{00000000-0005-0000-0000-000041350000}"/>
    <cellStyle name="Currency [0] - Credits 3" xfId="13637" xr:uid="{00000000-0005-0000-0000-000042350000}"/>
    <cellStyle name="Currency [0] - Credits 4" xfId="13638" xr:uid="{00000000-0005-0000-0000-000043350000}"/>
    <cellStyle name="Currency [0] - Credits 5" xfId="13639" xr:uid="{00000000-0005-0000-0000-000044350000}"/>
    <cellStyle name="Currency [0] - Credits 6" xfId="13640" xr:uid="{00000000-0005-0000-0000-000045350000}"/>
    <cellStyle name="Currency [0] - Credits 7" xfId="13641" xr:uid="{00000000-0005-0000-0000-000046350000}"/>
    <cellStyle name="Currency [0] - Credits 8" xfId="13642" xr:uid="{00000000-0005-0000-0000-000047350000}"/>
    <cellStyle name="Currency [0] - Credits 9" xfId="13643" xr:uid="{00000000-0005-0000-0000-000048350000}"/>
    <cellStyle name="Currency [0] - Debits" xfId="13644" xr:uid="{00000000-0005-0000-0000-000049350000}"/>
    <cellStyle name="Currency [0] - Debits 10" xfId="13645" xr:uid="{00000000-0005-0000-0000-00004A350000}"/>
    <cellStyle name="Currency [0] - Debits 11" xfId="13646" xr:uid="{00000000-0005-0000-0000-00004B350000}"/>
    <cellStyle name="Currency [0] - Debits 12" xfId="13647" xr:uid="{00000000-0005-0000-0000-00004C350000}"/>
    <cellStyle name="Currency [0] - Debits 13" xfId="13648" xr:uid="{00000000-0005-0000-0000-00004D350000}"/>
    <cellStyle name="Currency [0] - Debits 14" xfId="13649" xr:uid="{00000000-0005-0000-0000-00004E350000}"/>
    <cellStyle name="Currency [0] - Debits 15" xfId="13650" xr:uid="{00000000-0005-0000-0000-00004F350000}"/>
    <cellStyle name="Currency [0] - Debits 16" xfId="13651" xr:uid="{00000000-0005-0000-0000-000050350000}"/>
    <cellStyle name="Currency [0] - Debits 17" xfId="13652" xr:uid="{00000000-0005-0000-0000-000051350000}"/>
    <cellStyle name="Currency [0] - Debits 18" xfId="13653" xr:uid="{00000000-0005-0000-0000-000052350000}"/>
    <cellStyle name="Currency [0] - Debits 19" xfId="13654" xr:uid="{00000000-0005-0000-0000-000053350000}"/>
    <cellStyle name="Currency [0] - Debits 2" xfId="13655" xr:uid="{00000000-0005-0000-0000-000054350000}"/>
    <cellStyle name="Currency [0] - Debits 20" xfId="13656" xr:uid="{00000000-0005-0000-0000-000055350000}"/>
    <cellStyle name="Currency [0] - Debits 21" xfId="13657" xr:uid="{00000000-0005-0000-0000-000056350000}"/>
    <cellStyle name="Currency [0] - Debits 21 2" xfId="13658" xr:uid="{00000000-0005-0000-0000-000057350000}"/>
    <cellStyle name="Currency [0] - Debits 3" xfId="13659" xr:uid="{00000000-0005-0000-0000-000058350000}"/>
    <cellStyle name="Currency [0] - Debits 4" xfId="13660" xr:uid="{00000000-0005-0000-0000-000059350000}"/>
    <cellStyle name="Currency [0] - Debits 5" xfId="13661" xr:uid="{00000000-0005-0000-0000-00005A350000}"/>
    <cellStyle name="Currency [0] - Debits 6" xfId="13662" xr:uid="{00000000-0005-0000-0000-00005B350000}"/>
    <cellStyle name="Currency [0] - Debits 7" xfId="13663" xr:uid="{00000000-0005-0000-0000-00005C350000}"/>
    <cellStyle name="Currency [0] - Debits 8" xfId="13664" xr:uid="{00000000-0005-0000-0000-00005D350000}"/>
    <cellStyle name="Currency [0] - Debits 9" xfId="13665" xr:uid="{00000000-0005-0000-0000-00005E350000}"/>
    <cellStyle name="Currency [00]" xfId="13666" xr:uid="{00000000-0005-0000-0000-00005F350000}"/>
    <cellStyle name="Currency [00] 10" xfId="13667" xr:uid="{00000000-0005-0000-0000-000060350000}"/>
    <cellStyle name="Currency [00] 11" xfId="13668" xr:uid="{00000000-0005-0000-0000-000061350000}"/>
    <cellStyle name="Currency [00] 12" xfId="13669" xr:uid="{00000000-0005-0000-0000-000062350000}"/>
    <cellStyle name="Currency [00] 13" xfId="13670" xr:uid="{00000000-0005-0000-0000-000063350000}"/>
    <cellStyle name="Currency [00] 14" xfId="13671" xr:uid="{00000000-0005-0000-0000-000064350000}"/>
    <cellStyle name="Currency [00] 15" xfId="13672" xr:uid="{00000000-0005-0000-0000-000065350000}"/>
    <cellStyle name="Currency [00] 16" xfId="13673" xr:uid="{00000000-0005-0000-0000-000066350000}"/>
    <cellStyle name="Currency [00] 17" xfId="13674" xr:uid="{00000000-0005-0000-0000-000067350000}"/>
    <cellStyle name="Currency [00] 18" xfId="13675" xr:uid="{00000000-0005-0000-0000-000068350000}"/>
    <cellStyle name="Currency [00] 19" xfId="13676" xr:uid="{00000000-0005-0000-0000-000069350000}"/>
    <cellStyle name="Currency [00] 2" xfId="13677" xr:uid="{00000000-0005-0000-0000-00006A350000}"/>
    <cellStyle name="Currency [00] 20" xfId="13678" xr:uid="{00000000-0005-0000-0000-00006B350000}"/>
    <cellStyle name="Currency [00] 21" xfId="13679" xr:uid="{00000000-0005-0000-0000-00006C350000}"/>
    <cellStyle name="Currency [00] 21 2" xfId="13680" xr:uid="{00000000-0005-0000-0000-00006D350000}"/>
    <cellStyle name="Currency [00] 3" xfId="13681" xr:uid="{00000000-0005-0000-0000-00006E350000}"/>
    <cellStyle name="Currency [00] 4" xfId="13682" xr:uid="{00000000-0005-0000-0000-00006F350000}"/>
    <cellStyle name="Currency [00] 5" xfId="13683" xr:uid="{00000000-0005-0000-0000-000070350000}"/>
    <cellStyle name="Currency [00] 6" xfId="13684" xr:uid="{00000000-0005-0000-0000-000071350000}"/>
    <cellStyle name="Currency [00] 7" xfId="13685" xr:uid="{00000000-0005-0000-0000-000072350000}"/>
    <cellStyle name="Currency [00] 8" xfId="13686" xr:uid="{00000000-0005-0000-0000-000073350000}"/>
    <cellStyle name="Currency [00] 9" xfId="13687" xr:uid="{00000000-0005-0000-0000-000074350000}"/>
    <cellStyle name="Currency [1]" xfId="13688" xr:uid="{00000000-0005-0000-0000-000075350000}"/>
    <cellStyle name="Currency [2]" xfId="13689" xr:uid="{00000000-0005-0000-0000-000076350000}"/>
    <cellStyle name="Currency [2] 10" xfId="13690" xr:uid="{00000000-0005-0000-0000-000077350000}"/>
    <cellStyle name="Currency [2] 11" xfId="13691" xr:uid="{00000000-0005-0000-0000-000078350000}"/>
    <cellStyle name="Currency [2] 12" xfId="13692" xr:uid="{00000000-0005-0000-0000-000079350000}"/>
    <cellStyle name="Currency [2] 13" xfId="13693" xr:uid="{00000000-0005-0000-0000-00007A350000}"/>
    <cellStyle name="Currency [2] 14" xfId="13694" xr:uid="{00000000-0005-0000-0000-00007B350000}"/>
    <cellStyle name="Currency [2] 15" xfId="13695" xr:uid="{00000000-0005-0000-0000-00007C350000}"/>
    <cellStyle name="Currency [2] 16" xfId="13696" xr:uid="{00000000-0005-0000-0000-00007D350000}"/>
    <cellStyle name="Currency [2] 17" xfId="13697" xr:uid="{00000000-0005-0000-0000-00007E350000}"/>
    <cellStyle name="Currency [2] 18" xfId="13698" xr:uid="{00000000-0005-0000-0000-00007F350000}"/>
    <cellStyle name="Currency [2] 19" xfId="13699" xr:uid="{00000000-0005-0000-0000-000080350000}"/>
    <cellStyle name="Currency [2] 2" xfId="13700" xr:uid="{00000000-0005-0000-0000-000081350000}"/>
    <cellStyle name="Currency [2] 20" xfId="13701" xr:uid="{00000000-0005-0000-0000-000082350000}"/>
    <cellStyle name="Currency [2] 21" xfId="13702" xr:uid="{00000000-0005-0000-0000-000083350000}"/>
    <cellStyle name="Currency [2] 22" xfId="13703" xr:uid="{00000000-0005-0000-0000-000084350000}"/>
    <cellStyle name="Currency [2] 23" xfId="13704" xr:uid="{00000000-0005-0000-0000-000085350000}"/>
    <cellStyle name="Currency [2] 24" xfId="13705" xr:uid="{00000000-0005-0000-0000-000086350000}"/>
    <cellStyle name="Currency [2] 25" xfId="13706" xr:uid="{00000000-0005-0000-0000-000087350000}"/>
    <cellStyle name="Currency [2] 26" xfId="13707" xr:uid="{00000000-0005-0000-0000-000088350000}"/>
    <cellStyle name="Currency [2] 27" xfId="13708" xr:uid="{00000000-0005-0000-0000-000089350000}"/>
    <cellStyle name="Currency [2] 28" xfId="13709" xr:uid="{00000000-0005-0000-0000-00008A350000}"/>
    <cellStyle name="Currency [2] 29" xfId="13710" xr:uid="{00000000-0005-0000-0000-00008B350000}"/>
    <cellStyle name="Currency [2] 29 2" xfId="13711" xr:uid="{00000000-0005-0000-0000-00008C350000}"/>
    <cellStyle name="Currency [2] 3" xfId="13712" xr:uid="{00000000-0005-0000-0000-00008D350000}"/>
    <cellStyle name="Currency [2] 30" xfId="13713" xr:uid="{00000000-0005-0000-0000-00008E350000}"/>
    <cellStyle name="Currency [2] 31" xfId="13714" xr:uid="{00000000-0005-0000-0000-00008F350000}"/>
    <cellStyle name="Currency [2] 32" xfId="13715" xr:uid="{00000000-0005-0000-0000-000090350000}"/>
    <cellStyle name="Currency [2] 33" xfId="13716" xr:uid="{00000000-0005-0000-0000-000091350000}"/>
    <cellStyle name="Currency [2] 34" xfId="13717" xr:uid="{00000000-0005-0000-0000-000092350000}"/>
    <cellStyle name="Currency [2] 35" xfId="13718" xr:uid="{00000000-0005-0000-0000-000093350000}"/>
    <cellStyle name="Currency [2] 36" xfId="13719" xr:uid="{00000000-0005-0000-0000-000094350000}"/>
    <cellStyle name="Currency [2] 37" xfId="13720" xr:uid="{00000000-0005-0000-0000-000095350000}"/>
    <cellStyle name="Currency [2] 38" xfId="13721" xr:uid="{00000000-0005-0000-0000-000096350000}"/>
    <cellStyle name="Currency [2] 4" xfId="13722" xr:uid="{00000000-0005-0000-0000-000097350000}"/>
    <cellStyle name="Currency [2] 5" xfId="13723" xr:uid="{00000000-0005-0000-0000-000098350000}"/>
    <cellStyle name="Currency [2] 6" xfId="13724" xr:uid="{00000000-0005-0000-0000-000099350000}"/>
    <cellStyle name="Currency [2] 7" xfId="13725" xr:uid="{00000000-0005-0000-0000-00009A350000}"/>
    <cellStyle name="Currency [2] 8" xfId="13726" xr:uid="{00000000-0005-0000-0000-00009B350000}"/>
    <cellStyle name="Currency [2] 9" xfId="13727" xr:uid="{00000000-0005-0000-0000-00009C350000}"/>
    <cellStyle name="Currency [3]" xfId="13728" xr:uid="{00000000-0005-0000-0000-00009D350000}"/>
    <cellStyle name="Currency 0" xfId="13729" xr:uid="{00000000-0005-0000-0000-00009E350000}"/>
    <cellStyle name="Currency 0 10" xfId="13730" xr:uid="{00000000-0005-0000-0000-00009F350000}"/>
    <cellStyle name="Currency 0 11" xfId="13731" xr:uid="{00000000-0005-0000-0000-0000A0350000}"/>
    <cellStyle name="Currency 0 12" xfId="13732" xr:uid="{00000000-0005-0000-0000-0000A1350000}"/>
    <cellStyle name="Currency 0 13" xfId="13733" xr:uid="{00000000-0005-0000-0000-0000A2350000}"/>
    <cellStyle name="Currency 0 14" xfId="13734" xr:uid="{00000000-0005-0000-0000-0000A3350000}"/>
    <cellStyle name="Currency 0 15" xfId="13735" xr:uid="{00000000-0005-0000-0000-0000A4350000}"/>
    <cellStyle name="Currency 0 16" xfId="13736" xr:uid="{00000000-0005-0000-0000-0000A5350000}"/>
    <cellStyle name="Currency 0 17" xfId="13737" xr:uid="{00000000-0005-0000-0000-0000A6350000}"/>
    <cellStyle name="Currency 0 18" xfId="13738" xr:uid="{00000000-0005-0000-0000-0000A7350000}"/>
    <cellStyle name="Currency 0 19" xfId="13739" xr:uid="{00000000-0005-0000-0000-0000A8350000}"/>
    <cellStyle name="Currency 0 2" xfId="13740" xr:uid="{00000000-0005-0000-0000-0000A9350000}"/>
    <cellStyle name="Currency 0 20" xfId="13741" xr:uid="{00000000-0005-0000-0000-0000AA350000}"/>
    <cellStyle name="Currency 0 21" xfId="13742" xr:uid="{00000000-0005-0000-0000-0000AB350000}"/>
    <cellStyle name="Currency 0 21 2" xfId="13743" xr:uid="{00000000-0005-0000-0000-0000AC350000}"/>
    <cellStyle name="Currency 0 3" xfId="13744" xr:uid="{00000000-0005-0000-0000-0000AD350000}"/>
    <cellStyle name="Currency 0 4" xfId="13745" xr:uid="{00000000-0005-0000-0000-0000AE350000}"/>
    <cellStyle name="Currency 0 5" xfId="13746" xr:uid="{00000000-0005-0000-0000-0000AF350000}"/>
    <cellStyle name="Currency 0 6" xfId="13747" xr:uid="{00000000-0005-0000-0000-0000B0350000}"/>
    <cellStyle name="Currency 0 7" xfId="13748" xr:uid="{00000000-0005-0000-0000-0000B1350000}"/>
    <cellStyle name="Currency 0 8" xfId="13749" xr:uid="{00000000-0005-0000-0000-0000B2350000}"/>
    <cellStyle name="Currency 0 9" xfId="13750" xr:uid="{00000000-0005-0000-0000-0000B3350000}"/>
    <cellStyle name="Currency 0.0" xfId="13751" xr:uid="{00000000-0005-0000-0000-0000B4350000}"/>
    <cellStyle name="Currency 0.0 10" xfId="13752" xr:uid="{00000000-0005-0000-0000-0000B5350000}"/>
    <cellStyle name="Currency 0.0 11" xfId="13753" xr:uid="{00000000-0005-0000-0000-0000B6350000}"/>
    <cellStyle name="Currency 0.0 12" xfId="13754" xr:uid="{00000000-0005-0000-0000-0000B7350000}"/>
    <cellStyle name="Currency 0.0 13" xfId="13755" xr:uid="{00000000-0005-0000-0000-0000B8350000}"/>
    <cellStyle name="Currency 0.0 14" xfId="13756" xr:uid="{00000000-0005-0000-0000-0000B9350000}"/>
    <cellStyle name="Currency 0.0 15" xfId="13757" xr:uid="{00000000-0005-0000-0000-0000BA350000}"/>
    <cellStyle name="Currency 0.0 16" xfId="13758" xr:uid="{00000000-0005-0000-0000-0000BB350000}"/>
    <cellStyle name="Currency 0.0 17" xfId="13759" xr:uid="{00000000-0005-0000-0000-0000BC350000}"/>
    <cellStyle name="Currency 0.0 18" xfId="13760" xr:uid="{00000000-0005-0000-0000-0000BD350000}"/>
    <cellStyle name="Currency 0.0 19" xfId="13761" xr:uid="{00000000-0005-0000-0000-0000BE350000}"/>
    <cellStyle name="Currency 0.0 2" xfId="13762" xr:uid="{00000000-0005-0000-0000-0000BF350000}"/>
    <cellStyle name="Currency 0.0 20" xfId="13763" xr:uid="{00000000-0005-0000-0000-0000C0350000}"/>
    <cellStyle name="Currency 0.0 21" xfId="13764" xr:uid="{00000000-0005-0000-0000-0000C1350000}"/>
    <cellStyle name="Currency 0.0 22" xfId="13765" xr:uid="{00000000-0005-0000-0000-0000C2350000}"/>
    <cellStyle name="Currency 0.0 23" xfId="13766" xr:uid="{00000000-0005-0000-0000-0000C3350000}"/>
    <cellStyle name="Currency 0.0 24" xfId="13767" xr:uid="{00000000-0005-0000-0000-0000C4350000}"/>
    <cellStyle name="Currency 0.0 25" xfId="13768" xr:uid="{00000000-0005-0000-0000-0000C5350000}"/>
    <cellStyle name="Currency 0.0 26" xfId="13769" xr:uid="{00000000-0005-0000-0000-0000C6350000}"/>
    <cellStyle name="Currency 0.0 27" xfId="13770" xr:uid="{00000000-0005-0000-0000-0000C7350000}"/>
    <cellStyle name="Currency 0.0 28" xfId="13771" xr:uid="{00000000-0005-0000-0000-0000C8350000}"/>
    <cellStyle name="Currency 0.0 29" xfId="13772" xr:uid="{00000000-0005-0000-0000-0000C9350000}"/>
    <cellStyle name="Currency 0.0 29 2" xfId="13773" xr:uid="{00000000-0005-0000-0000-0000CA350000}"/>
    <cellStyle name="Currency 0.0 3" xfId="13774" xr:uid="{00000000-0005-0000-0000-0000CB350000}"/>
    <cellStyle name="Currency 0.0 30" xfId="13775" xr:uid="{00000000-0005-0000-0000-0000CC350000}"/>
    <cellStyle name="Currency 0.0 31" xfId="13776" xr:uid="{00000000-0005-0000-0000-0000CD350000}"/>
    <cellStyle name="Currency 0.0 32" xfId="13777" xr:uid="{00000000-0005-0000-0000-0000CE350000}"/>
    <cellStyle name="Currency 0.0 33" xfId="13778" xr:uid="{00000000-0005-0000-0000-0000CF350000}"/>
    <cellStyle name="Currency 0.0 34" xfId="13779" xr:uid="{00000000-0005-0000-0000-0000D0350000}"/>
    <cellStyle name="Currency 0.0 35" xfId="13780" xr:uid="{00000000-0005-0000-0000-0000D1350000}"/>
    <cellStyle name="Currency 0.0 36" xfId="13781" xr:uid="{00000000-0005-0000-0000-0000D2350000}"/>
    <cellStyle name="Currency 0.0 37" xfId="13782" xr:uid="{00000000-0005-0000-0000-0000D3350000}"/>
    <cellStyle name="Currency 0.0 38" xfId="13783" xr:uid="{00000000-0005-0000-0000-0000D4350000}"/>
    <cellStyle name="Currency 0.0 4" xfId="13784" xr:uid="{00000000-0005-0000-0000-0000D5350000}"/>
    <cellStyle name="Currency 0.0 5" xfId="13785" xr:uid="{00000000-0005-0000-0000-0000D6350000}"/>
    <cellStyle name="Currency 0.0 6" xfId="13786" xr:uid="{00000000-0005-0000-0000-0000D7350000}"/>
    <cellStyle name="Currency 0.0 7" xfId="13787" xr:uid="{00000000-0005-0000-0000-0000D8350000}"/>
    <cellStyle name="Currency 0.0 8" xfId="13788" xr:uid="{00000000-0005-0000-0000-0000D9350000}"/>
    <cellStyle name="Currency 0.0 9" xfId="13789" xr:uid="{00000000-0005-0000-0000-0000DA350000}"/>
    <cellStyle name="Currency 0.0%" xfId="13790" xr:uid="{00000000-0005-0000-0000-0000DB350000}"/>
    <cellStyle name="Currency 0.0% 10" xfId="13791" xr:uid="{00000000-0005-0000-0000-0000DC350000}"/>
    <cellStyle name="Currency 0.0% 11" xfId="13792" xr:uid="{00000000-0005-0000-0000-0000DD350000}"/>
    <cellStyle name="Currency 0.0% 12" xfId="13793" xr:uid="{00000000-0005-0000-0000-0000DE350000}"/>
    <cellStyle name="Currency 0.0% 13" xfId="13794" xr:uid="{00000000-0005-0000-0000-0000DF350000}"/>
    <cellStyle name="Currency 0.0% 14" xfId="13795" xr:uid="{00000000-0005-0000-0000-0000E0350000}"/>
    <cellStyle name="Currency 0.0% 15" xfId="13796" xr:uid="{00000000-0005-0000-0000-0000E1350000}"/>
    <cellStyle name="Currency 0.0% 16" xfId="13797" xr:uid="{00000000-0005-0000-0000-0000E2350000}"/>
    <cellStyle name="Currency 0.0% 17" xfId="13798" xr:uid="{00000000-0005-0000-0000-0000E3350000}"/>
    <cellStyle name="Currency 0.0% 18" xfId="13799" xr:uid="{00000000-0005-0000-0000-0000E4350000}"/>
    <cellStyle name="Currency 0.0% 19" xfId="13800" xr:uid="{00000000-0005-0000-0000-0000E5350000}"/>
    <cellStyle name="Currency 0.0% 2" xfId="13801" xr:uid="{00000000-0005-0000-0000-0000E6350000}"/>
    <cellStyle name="Currency 0.0% 20" xfId="13802" xr:uid="{00000000-0005-0000-0000-0000E7350000}"/>
    <cellStyle name="Currency 0.0% 21" xfId="13803" xr:uid="{00000000-0005-0000-0000-0000E8350000}"/>
    <cellStyle name="Currency 0.0% 22" xfId="13804" xr:uid="{00000000-0005-0000-0000-0000E9350000}"/>
    <cellStyle name="Currency 0.0% 23" xfId="13805" xr:uid="{00000000-0005-0000-0000-0000EA350000}"/>
    <cellStyle name="Currency 0.0% 24" xfId="13806" xr:uid="{00000000-0005-0000-0000-0000EB350000}"/>
    <cellStyle name="Currency 0.0% 25" xfId="13807" xr:uid="{00000000-0005-0000-0000-0000EC350000}"/>
    <cellStyle name="Currency 0.0% 26" xfId="13808" xr:uid="{00000000-0005-0000-0000-0000ED350000}"/>
    <cellStyle name="Currency 0.0% 27" xfId="13809" xr:uid="{00000000-0005-0000-0000-0000EE350000}"/>
    <cellStyle name="Currency 0.0% 28" xfId="13810" xr:uid="{00000000-0005-0000-0000-0000EF350000}"/>
    <cellStyle name="Currency 0.0% 29" xfId="13811" xr:uid="{00000000-0005-0000-0000-0000F0350000}"/>
    <cellStyle name="Currency 0.0% 29 2" xfId="13812" xr:uid="{00000000-0005-0000-0000-0000F1350000}"/>
    <cellStyle name="Currency 0.0% 3" xfId="13813" xr:uid="{00000000-0005-0000-0000-0000F2350000}"/>
    <cellStyle name="Currency 0.0% 30" xfId="13814" xr:uid="{00000000-0005-0000-0000-0000F3350000}"/>
    <cellStyle name="Currency 0.0% 31" xfId="13815" xr:uid="{00000000-0005-0000-0000-0000F4350000}"/>
    <cellStyle name="Currency 0.0% 32" xfId="13816" xr:uid="{00000000-0005-0000-0000-0000F5350000}"/>
    <cellStyle name="Currency 0.0% 33" xfId="13817" xr:uid="{00000000-0005-0000-0000-0000F6350000}"/>
    <cellStyle name="Currency 0.0% 34" xfId="13818" xr:uid="{00000000-0005-0000-0000-0000F7350000}"/>
    <cellStyle name="Currency 0.0% 35" xfId="13819" xr:uid="{00000000-0005-0000-0000-0000F8350000}"/>
    <cellStyle name="Currency 0.0% 36" xfId="13820" xr:uid="{00000000-0005-0000-0000-0000F9350000}"/>
    <cellStyle name="Currency 0.0% 37" xfId="13821" xr:uid="{00000000-0005-0000-0000-0000FA350000}"/>
    <cellStyle name="Currency 0.0% 38" xfId="13822" xr:uid="{00000000-0005-0000-0000-0000FB350000}"/>
    <cellStyle name="Currency 0.0% 4" xfId="13823" xr:uid="{00000000-0005-0000-0000-0000FC350000}"/>
    <cellStyle name="Currency 0.0% 5" xfId="13824" xr:uid="{00000000-0005-0000-0000-0000FD350000}"/>
    <cellStyle name="Currency 0.0% 6" xfId="13825" xr:uid="{00000000-0005-0000-0000-0000FE350000}"/>
    <cellStyle name="Currency 0.0% 7" xfId="13826" xr:uid="{00000000-0005-0000-0000-0000FF350000}"/>
    <cellStyle name="Currency 0.0% 8" xfId="13827" xr:uid="{00000000-0005-0000-0000-000000360000}"/>
    <cellStyle name="Currency 0.0% 9" xfId="13828" xr:uid="{00000000-0005-0000-0000-000001360000}"/>
    <cellStyle name="Currency 0.0_Accounts Receivable" xfId="13829" xr:uid="{00000000-0005-0000-0000-000002360000}"/>
    <cellStyle name="Currency 0.00" xfId="13830" xr:uid="{00000000-0005-0000-0000-000003360000}"/>
    <cellStyle name="Currency 0.00 10" xfId="13831" xr:uid="{00000000-0005-0000-0000-000004360000}"/>
    <cellStyle name="Currency 0.00 11" xfId="13832" xr:uid="{00000000-0005-0000-0000-000005360000}"/>
    <cellStyle name="Currency 0.00 12" xfId="13833" xr:uid="{00000000-0005-0000-0000-000006360000}"/>
    <cellStyle name="Currency 0.00 13" xfId="13834" xr:uid="{00000000-0005-0000-0000-000007360000}"/>
    <cellStyle name="Currency 0.00 14" xfId="13835" xr:uid="{00000000-0005-0000-0000-000008360000}"/>
    <cellStyle name="Currency 0.00 15" xfId="13836" xr:uid="{00000000-0005-0000-0000-000009360000}"/>
    <cellStyle name="Currency 0.00 16" xfId="13837" xr:uid="{00000000-0005-0000-0000-00000A360000}"/>
    <cellStyle name="Currency 0.00 17" xfId="13838" xr:uid="{00000000-0005-0000-0000-00000B360000}"/>
    <cellStyle name="Currency 0.00 18" xfId="13839" xr:uid="{00000000-0005-0000-0000-00000C360000}"/>
    <cellStyle name="Currency 0.00 19" xfId="13840" xr:uid="{00000000-0005-0000-0000-00000D360000}"/>
    <cellStyle name="Currency 0.00 2" xfId="13841" xr:uid="{00000000-0005-0000-0000-00000E360000}"/>
    <cellStyle name="Currency 0.00 20" xfId="13842" xr:uid="{00000000-0005-0000-0000-00000F360000}"/>
    <cellStyle name="Currency 0.00 21" xfId="13843" xr:uid="{00000000-0005-0000-0000-000010360000}"/>
    <cellStyle name="Currency 0.00 22" xfId="13844" xr:uid="{00000000-0005-0000-0000-000011360000}"/>
    <cellStyle name="Currency 0.00 23" xfId="13845" xr:uid="{00000000-0005-0000-0000-000012360000}"/>
    <cellStyle name="Currency 0.00 24" xfId="13846" xr:uid="{00000000-0005-0000-0000-000013360000}"/>
    <cellStyle name="Currency 0.00 25" xfId="13847" xr:uid="{00000000-0005-0000-0000-000014360000}"/>
    <cellStyle name="Currency 0.00 26" xfId="13848" xr:uid="{00000000-0005-0000-0000-000015360000}"/>
    <cellStyle name="Currency 0.00 27" xfId="13849" xr:uid="{00000000-0005-0000-0000-000016360000}"/>
    <cellStyle name="Currency 0.00 28" xfId="13850" xr:uid="{00000000-0005-0000-0000-000017360000}"/>
    <cellStyle name="Currency 0.00 29" xfId="13851" xr:uid="{00000000-0005-0000-0000-000018360000}"/>
    <cellStyle name="Currency 0.00 29 2" xfId="13852" xr:uid="{00000000-0005-0000-0000-000019360000}"/>
    <cellStyle name="Currency 0.00 3" xfId="13853" xr:uid="{00000000-0005-0000-0000-00001A360000}"/>
    <cellStyle name="Currency 0.00 30" xfId="13854" xr:uid="{00000000-0005-0000-0000-00001B360000}"/>
    <cellStyle name="Currency 0.00 31" xfId="13855" xr:uid="{00000000-0005-0000-0000-00001C360000}"/>
    <cellStyle name="Currency 0.00 32" xfId="13856" xr:uid="{00000000-0005-0000-0000-00001D360000}"/>
    <cellStyle name="Currency 0.00 33" xfId="13857" xr:uid="{00000000-0005-0000-0000-00001E360000}"/>
    <cellStyle name="Currency 0.00 34" xfId="13858" xr:uid="{00000000-0005-0000-0000-00001F360000}"/>
    <cellStyle name="Currency 0.00 35" xfId="13859" xr:uid="{00000000-0005-0000-0000-000020360000}"/>
    <cellStyle name="Currency 0.00 36" xfId="13860" xr:uid="{00000000-0005-0000-0000-000021360000}"/>
    <cellStyle name="Currency 0.00 37" xfId="13861" xr:uid="{00000000-0005-0000-0000-000022360000}"/>
    <cellStyle name="Currency 0.00 38" xfId="13862" xr:uid="{00000000-0005-0000-0000-000023360000}"/>
    <cellStyle name="Currency 0.00 4" xfId="13863" xr:uid="{00000000-0005-0000-0000-000024360000}"/>
    <cellStyle name="Currency 0.00 5" xfId="13864" xr:uid="{00000000-0005-0000-0000-000025360000}"/>
    <cellStyle name="Currency 0.00 6" xfId="13865" xr:uid="{00000000-0005-0000-0000-000026360000}"/>
    <cellStyle name="Currency 0.00 7" xfId="13866" xr:uid="{00000000-0005-0000-0000-000027360000}"/>
    <cellStyle name="Currency 0.00 8" xfId="13867" xr:uid="{00000000-0005-0000-0000-000028360000}"/>
    <cellStyle name="Currency 0.00 9" xfId="13868" xr:uid="{00000000-0005-0000-0000-000029360000}"/>
    <cellStyle name="Currency 0.00%" xfId="13869" xr:uid="{00000000-0005-0000-0000-00002A360000}"/>
    <cellStyle name="Currency 0.00% 10" xfId="13870" xr:uid="{00000000-0005-0000-0000-00002B360000}"/>
    <cellStyle name="Currency 0.00% 11" xfId="13871" xr:uid="{00000000-0005-0000-0000-00002C360000}"/>
    <cellStyle name="Currency 0.00% 12" xfId="13872" xr:uid="{00000000-0005-0000-0000-00002D360000}"/>
    <cellStyle name="Currency 0.00% 13" xfId="13873" xr:uid="{00000000-0005-0000-0000-00002E360000}"/>
    <cellStyle name="Currency 0.00% 14" xfId="13874" xr:uid="{00000000-0005-0000-0000-00002F360000}"/>
    <cellStyle name="Currency 0.00% 15" xfId="13875" xr:uid="{00000000-0005-0000-0000-000030360000}"/>
    <cellStyle name="Currency 0.00% 16" xfId="13876" xr:uid="{00000000-0005-0000-0000-000031360000}"/>
    <cellStyle name="Currency 0.00% 17" xfId="13877" xr:uid="{00000000-0005-0000-0000-000032360000}"/>
    <cellStyle name="Currency 0.00% 18" xfId="13878" xr:uid="{00000000-0005-0000-0000-000033360000}"/>
    <cellStyle name="Currency 0.00% 19" xfId="13879" xr:uid="{00000000-0005-0000-0000-000034360000}"/>
    <cellStyle name="Currency 0.00% 2" xfId="13880" xr:uid="{00000000-0005-0000-0000-000035360000}"/>
    <cellStyle name="Currency 0.00% 20" xfId="13881" xr:uid="{00000000-0005-0000-0000-000036360000}"/>
    <cellStyle name="Currency 0.00% 21" xfId="13882" xr:uid="{00000000-0005-0000-0000-000037360000}"/>
    <cellStyle name="Currency 0.00% 22" xfId="13883" xr:uid="{00000000-0005-0000-0000-000038360000}"/>
    <cellStyle name="Currency 0.00% 23" xfId="13884" xr:uid="{00000000-0005-0000-0000-000039360000}"/>
    <cellStyle name="Currency 0.00% 24" xfId="13885" xr:uid="{00000000-0005-0000-0000-00003A360000}"/>
    <cellStyle name="Currency 0.00% 25" xfId="13886" xr:uid="{00000000-0005-0000-0000-00003B360000}"/>
    <cellStyle name="Currency 0.00% 26" xfId="13887" xr:uid="{00000000-0005-0000-0000-00003C360000}"/>
    <cellStyle name="Currency 0.00% 27" xfId="13888" xr:uid="{00000000-0005-0000-0000-00003D360000}"/>
    <cellStyle name="Currency 0.00% 28" xfId="13889" xr:uid="{00000000-0005-0000-0000-00003E360000}"/>
    <cellStyle name="Currency 0.00% 29" xfId="13890" xr:uid="{00000000-0005-0000-0000-00003F360000}"/>
    <cellStyle name="Currency 0.00% 29 2" xfId="13891" xr:uid="{00000000-0005-0000-0000-000040360000}"/>
    <cellStyle name="Currency 0.00% 3" xfId="13892" xr:uid="{00000000-0005-0000-0000-000041360000}"/>
    <cellStyle name="Currency 0.00% 30" xfId="13893" xr:uid="{00000000-0005-0000-0000-000042360000}"/>
    <cellStyle name="Currency 0.00% 31" xfId="13894" xr:uid="{00000000-0005-0000-0000-000043360000}"/>
    <cellStyle name="Currency 0.00% 32" xfId="13895" xr:uid="{00000000-0005-0000-0000-000044360000}"/>
    <cellStyle name="Currency 0.00% 33" xfId="13896" xr:uid="{00000000-0005-0000-0000-000045360000}"/>
    <cellStyle name="Currency 0.00% 34" xfId="13897" xr:uid="{00000000-0005-0000-0000-000046360000}"/>
    <cellStyle name="Currency 0.00% 35" xfId="13898" xr:uid="{00000000-0005-0000-0000-000047360000}"/>
    <cellStyle name="Currency 0.00% 36" xfId="13899" xr:uid="{00000000-0005-0000-0000-000048360000}"/>
    <cellStyle name="Currency 0.00% 37" xfId="13900" xr:uid="{00000000-0005-0000-0000-000049360000}"/>
    <cellStyle name="Currency 0.00% 38" xfId="13901" xr:uid="{00000000-0005-0000-0000-00004A360000}"/>
    <cellStyle name="Currency 0.00% 4" xfId="13902" xr:uid="{00000000-0005-0000-0000-00004B360000}"/>
    <cellStyle name="Currency 0.00% 5" xfId="13903" xr:uid="{00000000-0005-0000-0000-00004C360000}"/>
    <cellStyle name="Currency 0.00% 6" xfId="13904" xr:uid="{00000000-0005-0000-0000-00004D360000}"/>
    <cellStyle name="Currency 0.00% 7" xfId="13905" xr:uid="{00000000-0005-0000-0000-00004E360000}"/>
    <cellStyle name="Currency 0.00% 8" xfId="13906" xr:uid="{00000000-0005-0000-0000-00004F360000}"/>
    <cellStyle name="Currency 0.00% 9" xfId="13907" xr:uid="{00000000-0005-0000-0000-000050360000}"/>
    <cellStyle name="Currency 0.00_Accounts Receivable" xfId="13908" xr:uid="{00000000-0005-0000-0000-000051360000}"/>
    <cellStyle name="Currency 0.000" xfId="13909" xr:uid="{00000000-0005-0000-0000-000052360000}"/>
    <cellStyle name="Currency 0.000 10" xfId="13910" xr:uid="{00000000-0005-0000-0000-000053360000}"/>
    <cellStyle name="Currency 0.000 11" xfId="13911" xr:uid="{00000000-0005-0000-0000-000054360000}"/>
    <cellStyle name="Currency 0.000 12" xfId="13912" xr:uid="{00000000-0005-0000-0000-000055360000}"/>
    <cellStyle name="Currency 0.000 13" xfId="13913" xr:uid="{00000000-0005-0000-0000-000056360000}"/>
    <cellStyle name="Currency 0.000 14" xfId="13914" xr:uid="{00000000-0005-0000-0000-000057360000}"/>
    <cellStyle name="Currency 0.000 15" xfId="13915" xr:uid="{00000000-0005-0000-0000-000058360000}"/>
    <cellStyle name="Currency 0.000 16" xfId="13916" xr:uid="{00000000-0005-0000-0000-000059360000}"/>
    <cellStyle name="Currency 0.000 17" xfId="13917" xr:uid="{00000000-0005-0000-0000-00005A360000}"/>
    <cellStyle name="Currency 0.000 18" xfId="13918" xr:uid="{00000000-0005-0000-0000-00005B360000}"/>
    <cellStyle name="Currency 0.000 19" xfId="13919" xr:uid="{00000000-0005-0000-0000-00005C360000}"/>
    <cellStyle name="Currency 0.000 2" xfId="13920" xr:uid="{00000000-0005-0000-0000-00005D360000}"/>
    <cellStyle name="Currency 0.000 20" xfId="13921" xr:uid="{00000000-0005-0000-0000-00005E360000}"/>
    <cellStyle name="Currency 0.000 21" xfId="13922" xr:uid="{00000000-0005-0000-0000-00005F360000}"/>
    <cellStyle name="Currency 0.000 22" xfId="13923" xr:uid="{00000000-0005-0000-0000-000060360000}"/>
    <cellStyle name="Currency 0.000 23" xfId="13924" xr:uid="{00000000-0005-0000-0000-000061360000}"/>
    <cellStyle name="Currency 0.000 24" xfId="13925" xr:uid="{00000000-0005-0000-0000-000062360000}"/>
    <cellStyle name="Currency 0.000 25" xfId="13926" xr:uid="{00000000-0005-0000-0000-000063360000}"/>
    <cellStyle name="Currency 0.000 26" xfId="13927" xr:uid="{00000000-0005-0000-0000-000064360000}"/>
    <cellStyle name="Currency 0.000 27" xfId="13928" xr:uid="{00000000-0005-0000-0000-000065360000}"/>
    <cellStyle name="Currency 0.000 28" xfId="13929" xr:uid="{00000000-0005-0000-0000-000066360000}"/>
    <cellStyle name="Currency 0.000 29" xfId="13930" xr:uid="{00000000-0005-0000-0000-000067360000}"/>
    <cellStyle name="Currency 0.000 29 2" xfId="13931" xr:uid="{00000000-0005-0000-0000-000068360000}"/>
    <cellStyle name="Currency 0.000 3" xfId="13932" xr:uid="{00000000-0005-0000-0000-000069360000}"/>
    <cellStyle name="Currency 0.000 30" xfId="13933" xr:uid="{00000000-0005-0000-0000-00006A360000}"/>
    <cellStyle name="Currency 0.000 31" xfId="13934" xr:uid="{00000000-0005-0000-0000-00006B360000}"/>
    <cellStyle name="Currency 0.000 32" xfId="13935" xr:uid="{00000000-0005-0000-0000-00006C360000}"/>
    <cellStyle name="Currency 0.000 33" xfId="13936" xr:uid="{00000000-0005-0000-0000-00006D360000}"/>
    <cellStyle name="Currency 0.000 34" xfId="13937" xr:uid="{00000000-0005-0000-0000-00006E360000}"/>
    <cellStyle name="Currency 0.000 35" xfId="13938" xr:uid="{00000000-0005-0000-0000-00006F360000}"/>
    <cellStyle name="Currency 0.000 36" xfId="13939" xr:uid="{00000000-0005-0000-0000-000070360000}"/>
    <cellStyle name="Currency 0.000 37" xfId="13940" xr:uid="{00000000-0005-0000-0000-000071360000}"/>
    <cellStyle name="Currency 0.000 38" xfId="13941" xr:uid="{00000000-0005-0000-0000-000072360000}"/>
    <cellStyle name="Currency 0.000 4" xfId="13942" xr:uid="{00000000-0005-0000-0000-000073360000}"/>
    <cellStyle name="Currency 0.000 5" xfId="13943" xr:uid="{00000000-0005-0000-0000-000074360000}"/>
    <cellStyle name="Currency 0.000 6" xfId="13944" xr:uid="{00000000-0005-0000-0000-000075360000}"/>
    <cellStyle name="Currency 0.000 7" xfId="13945" xr:uid="{00000000-0005-0000-0000-000076360000}"/>
    <cellStyle name="Currency 0.000 8" xfId="13946" xr:uid="{00000000-0005-0000-0000-000077360000}"/>
    <cellStyle name="Currency 0.000 9" xfId="13947" xr:uid="{00000000-0005-0000-0000-000078360000}"/>
    <cellStyle name="Currency 0.000%" xfId="13948" xr:uid="{00000000-0005-0000-0000-000079360000}"/>
    <cellStyle name="Currency 0.000% 10" xfId="13949" xr:uid="{00000000-0005-0000-0000-00007A360000}"/>
    <cellStyle name="Currency 0.000% 11" xfId="13950" xr:uid="{00000000-0005-0000-0000-00007B360000}"/>
    <cellStyle name="Currency 0.000% 12" xfId="13951" xr:uid="{00000000-0005-0000-0000-00007C360000}"/>
    <cellStyle name="Currency 0.000% 13" xfId="13952" xr:uid="{00000000-0005-0000-0000-00007D360000}"/>
    <cellStyle name="Currency 0.000% 14" xfId="13953" xr:uid="{00000000-0005-0000-0000-00007E360000}"/>
    <cellStyle name="Currency 0.000% 15" xfId="13954" xr:uid="{00000000-0005-0000-0000-00007F360000}"/>
    <cellStyle name="Currency 0.000% 16" xfId="13955" xr:uid="{00000000-0005-0000-0000-000080360000}"/>
    <cellStyle name="Currency 0.000% 17" xfId="13956" xr:uid="{00000000-0005-0000-0000-000081360000}"/>
    <cellStyle name="Currency 0.000% 18" xfId="13957" xr:uid="{00000000-0005-0000-0000-000082360000}"/>
    <cellStyle name="Currency 0.000% 19" xfId="13958" xr:uid="{00000000-0005-0000-0000-000083360000}"/>
    <cellStyle name="Currency 0.000% 2" xfId="13959" xr:uid="{00000000-0005-0000-0000-000084360000}"/>
    <cellStyle name="Currency 0.000% 20" xfId="13960" xr:uid="{00000000-0005-0000-0000-000085360000}"/>
    <cellStyle name="Currency 0.000% 21" xfId="13961" xr:uid="{00000000-0005-0000-0000-000086360000}"/>
    <cellStyle name="Currency 0.000% 22" xfId="13962" xr:uid="{00000000-0005-0000-0000-000087360000}"/>
    <cellStyle name="Currency 0.000% 23" xfId="13963" xr:uid="{00000000-0005-0000-0000-000088360000}"/>
    <cellStyle name="Currency 0.000% 24" xfId="13964" xr:uid="{00000000-0005-0000-0000-000089360000}"/>
    <cellStyle name="Currency 0.000% 25" xfId="13965" xr:uid="{00000000-0005-0000-0000-00008A360000}"/>
    <cellStyle name="Currency 0.000% 26" xfId="13966" xr:uid="{00000000-0005-0000-0000-00008B360000}"/>
    <cellStyle name="Currency 0.000% 27" xfId="13967" xr:uid="{00000000-0005-0000-0000-00008C360000}"/>
    <cellStyle name="Currency 0.000% 28" xfId="13968" xr:uid="{00000000-0005-0000-0000-00008D360000}"/>
    <cellStyle name="Currency 0.000% 29" xfId="13969" xr:uid="{00000000-0005-0000-0000-00008E360000}"/>
    <cellStyle name="Currency 0.000% 29 2" xfId="13970" xr:uid="{00000000-0005-0000-0000-00008F360000}"/>
    <cellStyle name="Currency 0.000% 3" xfId="13971" xr:uid="{00000000-0005-0000-0000-000090360000}"/>
    <cellStyle name="Currency 0.000% 30" xfId="13972" xr:uid="{00000000-0005-0000-0000-000091360000}"/>
    <cellStyle name="Currency 0.000% 31" xfId="13973" xr:uid="{00000000-0005-0000-0000-000092360000}"/>
    <cellStyle name="Currency 0.000% 32" xfId="13974" xr:uid="{00000000-0005-0000-0000-000093360000}"/>
    <cellStyle name="Currency 0.000% 33" xfId="13975" xr:uid="{00000000-0005-0000-0000-000094360000}"/>
    <cellStyle name="Currency 0.000% 34" xfId="13976" xr:uid="{00000000-0005-0000-0000-000095360000}"/>
    <cellStyle name="Currency 0.000% 35" xfId="13977" xr:uid="{00000000-0005-0000-0000-000096360000}"/>
    <cellStyle name="Currency 0.000% 36" xfId="13978" xr:uid="{00000000-0005-0000-0000-000097360000}"/>
    <cellStyle name="Currency 0.000% 37" xfId="13979" xr:uid="{00000000-0005-0000-0000-000098360000}"/>
    <cellStyle name="Currency 0.000% 38" xfId="13980" xr:uid="{00000000-0005-0000-0000-000099360000}"/>
    <cellStyle name="Currency 0.000% 4" xfId="13981" xr:uid="{00000000-0005-0000-0000-00009A360000}"/>
    <cellStyle name="Currency 0.000% 5" xfId="13982" xr:uid="{00000000-0005-0000-0000-00009B360000}"/>
    <cellStyle name="Currency 0.000% 6" xfId="13983" xr:uid="{00000000-0005-0000-0000-00009C360000}"/>
    <cellStyle name="Currency 0.000% 7" xfId="13984" xr:uid="{00000000-0005-0000-0000-00009D360000}"/>
    <cellStyle name="Currency 0.000% 8" xfId="13985" xr:uid="{00000000-0005-0000-0000-00009E360000}"/>
    <cellStyle name="Currency 0.000% 9" xfId="13986" xr:uid="{00000000-0005-0000-0000-00009F360000}"/>
    <cellStyle name="Currency 0.000_Accounts Receivable" xfId="13987" xr:uid="{00000000-0005-0000-0000-0000A0360000}"/>
    <cellStyle name="Currency 0.0000" xfId="13988" xr:uid="{00000000-0005-0000-0000-0000A1360000}"/>
    <cellStyle name="Currency 0.0000 10" xfId="13989" xr:uid="{00000000-0005-0000-0000-0000A2360000}"/>
    <cellStyle name="Currency 0.0000 11" xfId="13990" xr:uid="{00000000-0005-0000-0000-0000A3360000}"/>
    <cellStyle name="Currency 0.0000 12" xfId="13991" xr:uid="{00000000-0005-0000-0000-0000A4360000}"/>
    <cellStyle name="Currency 0.0000 13" xfId="13992" xr:uid="{00000000-0005-0000-0000-0000A5360000}"/>
    <cellStyle name="Currency 0.0000 14" xfId="13993" xr:uid="{00000000-0005-0000-0000-0000A6360000}"/>
    <cellStyle name="Currency 0.0000 15" xfId="13994" xr:uid="{00000000-0005-0000-0000-0000A7360000}"/>
    <cellStyle name="Currency 0.0000 16" xfId="13995" xr:uid="{00000000-0005-0000-0000-0000A8360000}"/>
    <cellStyle name="Currency 0.0000 17" xfId="13996" xr:uid="{00000000-0005-0000-0000-0000A9360000}"/>
    <cellStyle name="Currency 0.0000 18" xfId="13997" xr:uid="{00000000-0005-0000-0000-0000AA360000}"/>
    <cellStyle name="Currency 0.0000 19" xfId="13998" xr:uid="{00000000-0005-0000-0000-0000AB360000}"/>
    <cellStyle name="Currency 0.0000 2" xfId="13999" xr:uid="{00000000-0005-0000-0000-0000AC360000}"/>
    <cellStyle name="Currency 0.0000 20" xfId="14000" xr:uid="{00000000-0005-0000-0000-0000AD360000}"/>
    <cellStyle name="Currency 0.0000 21" xfId="14001" xr:uid="{00000000-0005-0000-0000-0000AE360000}"/>
    <cellStyle name="Currency 0.0000 21 2" xfId="14002" xr:uid="{00000000-0005-0000-0000-0000AF360000}"/>
    <cellStyle name="Currency 0.0000 3" xfId="14003" xr:uid="{00000000-0005-0000-0000-0000B0360000}"/>
    <cellStyle name="Currency 0.0000 4" xfId="14004" xr:uid="{00000000-0005-0000-0000-0000B1360000}"/>
    <cellStyle name="Currency 0.0000 5" xfId="14005" xr:uid="{00000000-0005-0000-0000-0000B2360000}"/>
    <cellStyle name="Currency 0.0000 6" xfId="14006" xr:uid="{00000000-0005-0000-0000-0000B3360000}"/>
    <cellStyle name="Currency 0.0000 7" xfId="14007" xr:uid="{00000000-0005-0000-0000-0000B4360000}"/>
    <cellStyle name="Currency 0.0000 8" xfId="14008" xr:uid="{00000000-0005-0000-0000-0000B5360000}"/>
    <cellStyle name="Currency 0.0000 9" xfId="14009" xr:uid="{00000000-0005-0000-0000-0000B6360000}"/>
    <cellStyle name="Currency 0_Book4" xfId="14010" xr:uid="{00000000-0005-0000-0000-0000B7360000}"/>
    <cellStyle name="Currency 10" xfId="14011" xr:uid="{00000000-0005-0000-0000-0000B8360000}"/>
    <cellStyle name="Currency 10 2" xfId="14012" xr:uid="{00000000-0005-0000-0000-0000B9360000}"/>
    <cellStyle name="Currency 11" xfId="14013" xr:uid="{00000000-0005-0000-0000-0000BA360000}"/>
    <cellStyle name="Currency 11 2" xfId="14014" xr:uid="{00000000-0005-0000-0000-0000BB360000}"/>
    <cellStyle name="Currency 2" xfId="14015" xr:uid="{00000000-0005-0000-0000-0000BC360000}"/>
    <cellStyle name="Currency 2 10" xfId="14016" xr:uid="{00000000-0005-0000-0000-0000BD360000}"/>
    <cellStyle name="Currency 2 11" xfId="14017" xr:uid="{00000000-0005-0000-0000-0000BE360000}"/>
    <cellStyle name="Currency 2 12" xfId="14018" xr:uid="{00000000-0005-0000-0000-0000BF360000}"/>
    <cellStyle name="Currency 2 13" xfId="14019" xr:uid="{00000000-0005-0000-0000-0000C0360000}"/>
    <cellStyle name="Currency 2 14" xfId="14020" xr:uid="{00000000-0005-0000-0000-0000C1360000}"/>
    <cellStyle name="Currency 2 15" xfId="14021" xr:uid="{00000000-0005-0000-0000-0000C2360000}"/>
    <cellStyle name="Currency 2 16" xfId="14022" xr:uid="{00000000-0005-0000-0000-0000C3360000}"/>
    <cellStyle name="Currency 2 17" xfId="14023" xr:uid="{00000000-0005-0000-0000-0000C4360000}"/>
    <cellStyle name="Currency 2 18" xfId="14024" xr:uid="{00000000-0005-0000-0000-0000C5360000}"/>
    <cellStyle name="Currency 2 19" xfId="14025" xr:uid="{00000000-0005-0000-0000-0000C6360000}"/>
    <cellStyle name="Currency 2 2" xfId="14026" xr:uid="{00000000-0005-0000-0000-0000C7360000}"/>
    <cellStyle name="Currency 2 20" xfId="14027" xr:uid="{00000000-0005-0000-0000-0000C8360000}"/>
    <cellStyle name="Currency 2 21" xfId="14028" xr:uid="{00000000-0005-0000-0000-0000C9360000}"/>
    <cellStyle name="Currency 2 21 2" xfId="14029" xr:uid="{00000000-0005-0000-0000-0000CA360000}"/>
    <cellStyle name="Currency 2 3" xfId="14030" xr:uid="{00000000-0005-0000-0000-0000CB360000}"/>
    <cellStyle name="Currency 2 4" xfId="14031" xr:uid="{00000000-0005-0000-0000-0000CC360000}"/>
    <cellStyle name="Currency 2 5" xfId="14032" xr:uid="{00000000-0005-0000-0000-0000CD360000}"/>
    <cellStyle name="Currency 2 6" xfId="14033" xr:uid="{00000000-0005-0000-0000-0000CE360000}"/>
    <cellStyle name="Currency 2 7" xfId="14034" xr:uid="{00000000-0005-0000-0000-0000CF360000}"/>
    <cellStyle name="Currency 2 8" xfId="14035" xr:uid="{00000000-0005-0000-0000-0000D0360000}"/>
    <cellStyle name="Currency 2 9" xfId="14036" xr:uid="{00000000-0005-0000-0000-0000D1360000}"/>
    <cellStyle name="Currency 22" xfId="14037" xr:uid="{00000000-0005-0000-0000-0000D2360000}"/>
    <cellStyle name="Currency 3" xfId="14038" xr:uid="{00000000-0005-0000-0000-0000D3360000}"/>
    <cellStyle name="Currency 3 2" xfId="14039" xr:uid="{00000000-0005-0000-0000-0000D4360000}"/>
    <cellStyle name="Currency 3 3" xfId="14040" xr:uid="{00000000-0005-0000-0000-0000D5360000}"/>
    <cellStyle name="Currency 3 4" xfId="14041" xr:uid="{00000000-0005-0000-0000-0000D6360000}"/>
    <cellStyle name="Currency 3 5" xfId="14042" xr:uid="{00000000-0005-0000-0000-0000D7360000}"/>
    <cellStyle name="Currency 3 6" xfId="14043" xr:uid="{00000000-0005-0000-0000-0000D8360000}"/>
    <cellStyle name="Currency 3 7" xfId="14044" xr:uid="{00000000-0005-0000-0000-0000D9360000}"/>
    <cellStyle name="Currency 3 8" xfId="14045" xr:uid="{00000000-0005-0000-0000-0000DA360000}"/>
    <cellStyle name="Currency 4" xfId="14046" xr:uid="{00000000-0005-0000-0000-0000DB360000}"/>
    <cellStyle name="Currency 4 2" xfId="14047" xr:uid="{00000000-0005-0000-0000-0000DC360000}"/>
    <cellStyle name="Currency 5" xfId="14048" xr:uid="{00000000-0005-0000-0000-0000DD360000}"/>
    <cellStyle name="Currency Per Share" xfId="14049" xr:uid="{00000000-0005-0000-0000-0000DE360000}"/>
    <cellStyle name="Currency Per Share 10" xfId="14050" xr:uid="{00000000-0005-0000-0000-0000DF360000}"/>
    <cellStyle name="Currency Per Share 11" xfId="14051" xr:uid="{00000000-0005-0000-0000-0000E0360000}"/>
    <cellStyle name="Currency Per Share 12" xfId="14052" xr:uid="{00000000-0005-0000-0000-0000E1360000}"/>
    <cellStyle name="Currency Per Share 13" xfId="14053" xr:uid="{00000000-0005-0000-0000-0000E2360000}"/>
    <cellStyle name="Currency Per Share 14" xfId="14054" xr:uid="{00000000-0005-0000-0000-0000E3360000}"/>
    <cellStyle name="Currency Per Share 15" xfId="14055" xr:uid="{00000000-0005-0000-0000-0000E4360000}"/>
    <cellStyle name="Currency Per Share 16" xfId="14056" xr:uid="{00000000-0005-0000-0000-0000E5360000}"/>
    <cellStyle name="Currency Per Share 17" xfId="14057" xr:uid="{00000000-0005-0000-0000-0000E6360000}"/>
    <cellStyle name="Currency Per Share 18" xfId="14058" xr:uid="{00000000-0005-0000-0000-0000E7360000}"/>
    <cellStyle name="Currency Per Share 19" xfId="14059" xr:uid="{00000000-0005-0000-0000-0000E8360000}"/>
    <cellStyle name="Currency Per Share 2" xfId="14060" xr:uid="{00000000-0005-0000-0000-0000E9360000}"/>
    <cellStyle name="Currency Per Share 2 2" xfId="14061" xr:uid="{00000000-0005-0000-0000-0000EA360000}"/>
    <cellStyle name="Currency Per Share 20" xfId="14062" xr:uid="{00000000-0005-0000-0000-0000EB360000}"/>
    <cellStyle name="Currency Per Share 21" xfId="14063" xr:uid="{00000000-0005-0000-0000-0000EC360000}"/>
    <cellStyle name="Currency Per Share 22" xfId="14064" xr:uid="{00000000-0005-0000-0000-0000ED360000}"/>
    <cellStyle name="Currency Per Share 23" xfId="14065" xr:uid="{00000000-0005-0000-0000-0000EE360000}"/>
    <cellStyle name="Currency Per Share 23 2" xfId="14066" xr:uid="{00000000-0005-0000-0000-0000EF360000}"/>
    <cellStyle name="Currency Per Share 3" xfId="14067" xr:uid="{00000000-0005-0000-0000-0000F0360000}"/>
    <cellStyle name="Currency Per Share 3 2" xfId="14068" xr:uid="{00000000-0005-0000-0000-0000F1360000}"/>
    <cellStyle name="Currency Per Share 4" xfId="14069" xr:uid="{00000000-0005-0000-0000-0000F2360000}"/>
    <cellStyle name="Currency Per Share 5" xfId="14070" xr:uid="{00000000-0005-0000-0000-0000F3360000}"/>
    <cellStyle name="Currency Per Share 6" xfId="14071" xr:uid="{00000000-0005-0000-0000-0000F4360000}"/>
    <cellStyle name="Currency Per Share 7" xfId="14072" xr:uid="{00000000-0005-0000-0000-0000F5360000}"/>
    <cellStyle name="Currency Per Share 8" xfId="14073" xr:uid="{00000000-0005-0000-0000-0000F6360000}"/>
    <cellStyle name="Currency Per Share 9" xfId="14074" xr:uid="{00000000-0005-0000-0000-0000F7360000}"/>
    <cellStyle name="currency rate" xfId="14075" xr:uid="{00000000-0005-0000-0000-0000F8360000}"/>
    <cellStyle name="currency rate 10" xfId="14076" xr:uid="{00000000-0005-0000-0000-0000F9360000}"/>
    <cellStyle name="currency rate 11" xfId="14077" xr:uid="{00000000-0005-0000-0000-0000FA360000}"/>
    <cellStyle name="currency rate 12" xfId="14078" xr:uid="{00000000-0005-0000-0000-0000FB360000}"/>
    <cellStyle name="currency rate 13" xfId="14079" xr:uid="{00000000-0005-0000-0000-0000FC360000}"/>
    <cellStyle name="currency rate 14" xfId="14080" xr:uid="{00000000-0005-0000-0000-0000FD360000}"/>
    <cellStyle name="currency rate 15" xfId="14081" xr:uid="{00000000-0005-0000-0000-0000FE360000}"/>
    <cellStyle name="currency rate 16" xfId="14082" xr:uid="{00000000-0005-0000-0000-0000FF360000}"/>
    <cellStyle name="currency rate 17" xfId="14083" xr:uid="{00000000-0005-0000-0000-000000370000}"/>
    <cellStyle name="currency rate 18" xfId="14084" xr:uid="{00000000-0005-0000-0000-000001370000}"/>
    <cellStyle name="currency rate 19" xfId="14085" xr:uid="{00000000-0005-0000-0000-000002370000}"/>
    <cellStyle name="currency rate 2" xfId="14086" xr:uid="{00000000-0005-0000-0000-000003370000}"/>
    <cellStyle name="currency rate 20" xfId="14087" xr:uid="{00000000-0005-0000-0000-000004370000}"/>
    <cellStyle name="currency rate 21" xfId="14088" xr:uid="{00000000-0005-0000-0000-000005370000}"/>
    <cellStyle name="currency rate 21 2" xfId="14089" xr:uid="{00000000-0005-0000-0000-000006370000}"/>
    <cellStyle name="currency rate 3" xfId="14090" xr:uid="{00000000-0005-0000-0000-000007370000}"/>
    <cellStyle name="currency rate 4" xfId="14091" xr:uid="{00000000-0005-0000-0000-000008370000}"/>
    <cellStyle name="currency rate 5" xfId="14092" xr:uid="{00000000-0005-0000-0000-000009370000}"/>
    <cellStyle name="currency rate 6" xfId="14093" xr:uid="{00000000-0005-0000-0000-00000A370000}"/>
    <cellStyle name="currency rate 7" xfId="14094" xr:uid="{00000000-0005-0000-0000-00000B370000}"/>
    <cellStyle name="currency rate 8" xfId="14095" xr:uid="{00000000-0005-0000-0000-00000C370000}"/>
    <cellStyle name="currency rate 9" xfId="14096" xr:uid="{00000000-0005-0000-0000-00000D370000}"/>
    <cellStyle name="Currency0" xfId="14097" xr:uid="{00000000-0005-0000-0000-00000E370000}"/>
    <cellStyle name="Currency0 10" xfId="14098" xr:uid="{00000000-0005-0000-0000-00000F370000}"/>
    <cellStyle name="Currency0 10 2" xfId="14099" xr:uid="{00000000-0005-0000-0000-000010370000}"/>
    <cellStyle name="Currency0 11" xfId="14100" xr:uid="{00000000-0005-0000-0000-000011370000}"/>
    <cellStyle name="Currency0 12" xfId="14101" xr:uid="{00000000-0005-0000-0000-000012370000}"/>
    <cellStyle name="Currency0 13" xfId="14102" xr:uid="{00000000-0005-0000-0000-000013370000}"/>
    <cellStyle name="Currency0 14" xfId="14103" xr:uid="{00000000-0005-0000-0000-000014370000}"/>
    <cellStyle name="Currency0 15" xfId="14104" xr:uid="{00000000-0005-0000-0000-000015370000}"/>
    <cellStyle name="Currency0 16" xfId="14105" xr:uid="{00000000-0005-0000-0000-000016370000}"/>
    <cellStyle name="Currency0 17" xfId="14106" xr:uid="{00000000-0005-0000-0000-000017370000}"/>
    <cellStyle name="Currency0 18" xfId="14107" xr:uid="{00000000-0005-0000-0000-000018370000}"/>
    <cellStyle name="Currency0 19" xfId="14108" xr:uid="{00000000-0005-0000-0000-000019370000}"/>
    <cellStyle name="Currency0 2" xfId="14109" xr:uid="{00000000-0005-0000-0000-00001A370000}"/>
    <cellStyle name="Currency0 2 2" xfId="14110" xr:uid="{00000000-0005-0000-0000-00001B370000}"/>
    <cellStyle name="Currency0 20" xfId="14111" xr:uid="{00000000-0005-0000-0000-00001C370000}"/>
    <cellStyle name="Currency0 21" xfId="14112" xr:uid="{00000000-0005-0000-0000-00001D370000}"/>
    <cellStyle name="Currency0 22" xfId="14113" xr:uid="{00000000-0005-0000-0000-00001E370000}"/>
    <cellStyle name="Currency0 23" xfId="14114" xr:uid="{00000000-0005-0000-0000-00001F370000}"/>
    <cellStyle name="Currency0 24" xfId="14115" xr:uid="{00000000-0005-0000-0000-000020370000}"/>
    <cellStyle name="Currency0 25" xfId="14116" xr:uid="{00000000-0005-0000-0000-000021370000}"/>
    <cellStyle name="Currency0 25 2" xfId="14117" xr:uid="{00000000-0005-0000-0000-000022370000}"/>
    <cellStyle name="Currency0 26" xfId="14118" xr:uid="{00000000-0005-0000-0000-000023370000}"/>
    <cellStyle name="Currency0 26 2" xfId="14119" xr:uid="{00000000-0005-0000-0000-000024370000}"/>
    <cellStyle name="Currency0 27" xfId="14120" xr:uid="{00000000-0005-0000-0000-000025370000}"/>
    <cellStyle name="Currency0 28" xfId="14121" xr:uid="{00000000-0005-0000-0000-000026370000}"/>
    <cellStyle name="Currency0 29" xfId="14122" xr:uid="{00000000-0005-0000-0000-000027370000}"/>
    <cellStyle name="Currency0 3" xfId="14123" xr:uid="{00000000-0005-0000-0000-000028370000}"/>
    <cellStyle name="Currency0 3 2" xfId="14124" xr:uid="{00000000-0005-0000-0000-000029370000}"/>
    <cellStyle name="Currency0 30" xfId="14125" xr:uid="{00000000-0005-0000-0000-00002A370000}"/>
    <cellStyle name="Currency0 31" xfId="14126" xr:uid="{00000000-0005-0000-0000-00002B370000}"/>
    <cellStyle name="Currency0 32" xfId="14127" xr:uid="{00000000-0005-0000-0000-00002C370000}"/>
    <cellStyle name="Currency0 33" xfId="14128" xr:uid="{00000000-0005-0000-0000-00002D370000}"/>
    <cellStyle name="Currency0 34" xfId="14129" xr:uid="{00000000-0005-0000-0000-00002E370000}"/>
    <cellStyle name="Currency0 35" xfId="14130" xr:uid="{00000000-0005-0000-0000-00002F370000}"/>
    <cellStyle name="Currency0 36" xfId="14131" xr:uid="{00000000-0005-0000-0000-000030370000}"/>
    <cellStyle name="Currency0 37" xfId="14132" xr:uid="{00000000-0005-0000-0000-000031370000}"/>
    <cellStyle name="Currency0 38" xfId="14133" xr:uid="{00000000-0005-0000-0000-000032370000}"/>
    <cellStyle name="Currency0 39" xfId="14134" xr:uid="{00000000-0005-0000-0000-000033370000}"/>
    <cellStyle name="Currency0 4" xfId="14135" xr:uid="{00000000-0005-0000-0000-000034370000}"/>
    <cellStyle name="Currency0 40" xfId="14136" xr:uid="{00000000-0005-0000-0000-000035370000}"/>
    <cellStyle name="Currency0 5" xfId="14137" xr:uid="{00000000-0005-0000-0000-000036370000}"/>
    <cellStyle name="Currency0 5 2" xfId="14138" xr:uid="{00000000-0005-0000-0000-000037370000}"/>
    <cellStyle name="Currency0 6" xfId="14139" xr:uid="{00000000-0005-0000-0000-000038370000}"/>
    <cellStyle name="Currency0 6 2" xfId="14140" xr:uid="{00000000-0005-0000-0000-000039370000}"/>
    <cellStyle name="Currency0 7" xfId="14141" xr:uid="{00000000-0005-0000-0000-00003A370000}"/>
    <cellStyle name="Currency0 7 2" xfId="14142" xr:uid="{00000000-0005-0000-0000-00003B370000}"/>
    <cellStyle name="Currency0 8" xfId="14143" xr:uid="{00000000-0005-0000-0000-00003C370000}"/>
    <cellStyle name="Currency0 8 2" xfId="14144" xr:uid="{00000000-0005-0000-0000-00003D370000}"/>
    <cellStyle name="Currency0 9" xfId="14145" xr:uid="{00000000-0005-0000-0000-00003E370000}"/>
    <cellStyle name="Currency0 9 2" xfId="14146" xr:uid="{00000000-0005-0000-0000-00003F370000}"/>
    <cellStyle name="Currency1" xfId="14147" xr:uid="{00000000-0005-0000-0000-000040370000}"/>
    <cellStyle name="Currency1 10" xfId="14148" xr:uid="{00000000-0005-0000-0000-000041370000}"/>
    <cellStyle name="Currency1 11" xfId="14149" xr:uid="{00000000-0005-0000-0000-000042370000}"/>
    <cellStyle name="Currency1 12" xfId="14150" xr:uid="{00000000-0005-0000-0000-000043370000}"/>
    <cellStyle name="Currency1 13" xfId="14151" xr:uid="{00000000-0005-0000-0000-000044370000}"/>
    <cellStyle name="Currency1 14" xfId="14152" xr:uid="{00000000-0005-0000-0000-000045370000}"/>
    <cellStyle name="Currency1 15" xfId="14153" xr:uid="{00000000-0005-0000-0000-000046370000}"/>
    <cellStyle name="Currency1 16" xfId="14154" xr:uid="{00000000-0005-0000-0000-000047370000}"/>
    <cellStyle name="Currency1 17" xfId="14155" xr:uid="{00000000-0005-0000-0000-000048370000}"/>
    <cellStyle name="Currency1 18" xfId="14156" xr:uid="{00000000-0005-0000-0000-000049370000}"/>
    <cellStyle name="Currency1 19" xfId="14157" xr:uid="{00000000-0005-0000-0000-00004A370000}"/>
    <cellStyle name="Currency1 2" xfId="14158" xr:uid="{00000000-0005-0000-0000-00004B370000}"/>
    <cellStyle name="Currency1 20" xfId="14159" xr:uid="{00000000-0005-0000-0000-00004C370000}"/>
    <cellStyle name="Currency1 21" xfId="14160" xr:uid="{00000000-0005-0000-0000-00004D370000}"/>
    <cellStyle name="Currency1 21 2" xfId="14161" xr:uid="{00000000-0005-0000-0000-00004E370000}"/>
    <cellStyle name="Currency1 3" xfId="14162" xr:uid="{00000000-0005-0000-0000-00004F370000}"/>
    <cellStyle name="Currency1 4" xfId="14163" xr:uid="{00000000-0005-0000-0000-000050370000}"/>
    <cellStyle name="Currency1 5" xfId="14164" xr:uid="{00000000-0005-0000-0000-000051370000}"/>
    <cellStyle name="Currency1 6" xfId="14165" xr:uid="{00000000-0005-0000-0000-000052370000}"/>
    <cellStyle name="Currency1 7" xfId="14166" xr:uid="{00000000-0005-0000-0000-000053370000}"/>
    <cellStyle name="Currency1 8" xfId="14167" xr:uid="{00000000-0005-0000-0000-000054370000}"/>
    <cellStyle name="Currency1 9" xfId="14168" xr:uid="{00000000-0005-0000-0000-000055370000}"/>
    <cellStyle name="Currency2" xfId="14169" xr:uid="{00000000-0005-0000-0000-000056370000}"/>
    <cellStyle name="Currency2 10" xfId="14170" xr:uid="{00000000-0005-0000-0000-000057370000}"/>
    <cellStyle name="Currency2 11" xfId="14171" xr:uid="{00000000-0005-0000-0000-000058370000}"/>
    <cellStyle name="Currency2 12" xfId="14172" xr:uid="{00000000-0005-0000-0000-000059370000}"/>
    <cellStyle name="Currency2 13" xfId="14173" xr:uid="{00000000-0005-0000-0000-00005A370000}"/>
    <cellStyle name="Currency2 14" xfId="14174" xr:uid="{00000000-0005-0000-0000-00005B370000}"/>
    <cellStyle name="Currency2 15" xfId="14175" xr:uid="{00000000-0005-0000-0000-00005C370000}"/>
    <cellStyle name="Currency2 16" xfId="14176" xr:uid="{00000000-0005-0000-0000-00005D370000}"/>
    <cellStyle name="Currency2 17" xfId="14177" xr:uid="{00000000-0005-0000-0000-00005E370000}"/>
    <cellStyle name="Currency2 18" xfId="14178" xr:uid="{00000000-0005-0000-0000-00005F370000}"/>
    <cellStyle name="Currency2 19" xfId="14179" xr:uid="{00000000-0005-0000-0000-000060370000}"/>
    <cellStyle name="Currency2 2" xfId="14180" xr:uid="{00000000-0005-0000-0000-000061370000}"/>
    <cellStyle name="Currency2 20" xfId="14181" xr:uid="{00000000-0005-0000-0000-000062370000}"/>
    <cellStyle name="Currency2 21" xfId="14182" xr:uid="{00000000-0005-0000-0000-000063370000}"/>
    <cellStyle name="Currency2 3" xfId="14183" xr:uid="{00000000-0005-0000-0000-000064370000}"/>
    <cellStyle name="Currency2 4" xfId="14184" xr:uid="{00000000-0005-0000-0000-000065370000}"/>
    <cellStyle name="Currency2 5" xfId="14185" xr:uid="{00000000-0005-0000-0000-000066370000}"/>
    <cellStyle name="Currency2 6" xfId="14186" xr:uid="{00000000-0005-0000-0000-000067370000}"/>
    <cellStyle name="Currency2 7" xfId="14187" xr:uid="{00000000-0005-0000-0000-000068370000}"/>
    <cellStyle name="Currency2 8" xfId="14188" xr:uid="{00000000-0005-0000-0000-000069370000}"/>
    <cellStyle name="Currency2 9" xfId="14189" xr:uid="{00000000-0005-0000-0000-00006A370000}"/>
    <cellStyle name="Currency3" xfId="14190" xr:uid="{00000000-0005-0000-0000-00006B370000}"/>
    <cellStyle name="Currency3 10" xfId="14191" xr:uid="{00000000-0005-0000-0000-00006C370000}"/>
    <cellStyle name="Currency3 11" xfId="14192" xr:uid="{00000000-0005-0000-0000-00006D370000}"/>
    <cellStyle name="Currency3 12" xfId="14193" xr:uid="{00000000-0005-0000-0000-00006E370000}"/>
    <cellStyle name="Currency3 13" xfId="14194" xr:uid="{00000000-0005-0000-0000-00006F370000}"/>
    <cellStyle name="Currency3 14" xfId="14195" xr:uid="{00000000-0005-0000-0000-000070370000}"/>
    <cellStyle name="Currency3 15" xfId="14196" xr:uid="{00000000-0005-0000-0000-000071370000}"/>
    <cellStyle name="Currency3 16" xfId="14197" xr:uid="{00000000-0005-0000-0000-000072370000}"/>
    <cellStyle name="Currency3 17" xfId="14198" xr:uid="{00000000-0005-0000-0000-000073370000}"/>
    <cellStyle name="Currency3 18" xfId="14199" xr:uid="{00000000-0005-0000-0000-000074370000}"/>
    <cellStyle name="Currency3 19" xfId="14200" xr:uid="{00000000-0005-0000-0000-000075370000}"/>
    <cellStyle name="Currency3 2" xfId="14201" xr:uid="{00000000-0005-0000-0000-000076370000}"/>
    <cellStyle name="Currency3 20" xfId="14202" xr:uid="{00000000-0005-0000-0000-000077370000}"/>
    <cellStyle name="Currency3 21" xfId="14203" xr:uid="{00000000-0005-0000-0000-000078370000}"/>
    <cellStyle name="Currency3 21 2" xfId="14204" xr:uid="{00000000-0005-0000-0000-000079370000}"/>
    <cellStyle name="Currency3 3" xfId="14205" xr:uid="{00000000-0005-0000-0000-00007A370000}"/>
    <cellStyle name="Currency3 4" xfId="14206" xr:uid="{00000000-0005-0000-0000-00007B370000}"/>
    <cellStyle name="Currency3 5" xfId="14207" xr:uid="{00000000-0005-0000-0000-00007C370000}"/>
    <cellStyle name="Currency3 6" xfId="14208" xr:uid="{00000000-0005-0000-0000-00007D370000}"/>
    <cellStyle name="Currency3 7" xfId="14209" xr:uid="{00000000-0005-0000-0000-00007E370000}"/>
    <cellStyle name="Currency3 8" xfId="14210" xr:uid="{00000000-0005-0000-0000-00007F370000}"/>
    <cellStyle name="Currency3 9" xfId="14211" xr:uid="{00000000-0005-0000-0000-000080370000}"/>
    <cellStyle name="D" xfId="14212" xr:uid="{00000000-0005-0000-0000-000081370000}"/>
    <cellStyle name="D 10" xfId="14213" xr:uid="{00000000-0005-0000-0000-000082370000}"/>
    <cellStyle name="D 11" xfId="14214" xr:uid="{00000000-0005-0000-0000-000083370000}"/>
    <cellStyle name="D 12" xfId="14215" xr:uid="{00000000-0005-0000-0000-000084370000}"/>
    <cellStyle name="D 13" xfId="14216" xr:uid="{00000000-0005-0000-0000-000085370000}"/>
    <cellStyle name="D 14" xfId="14217" xr:uid="{00000000-0005-0000-0000-000086370000}"/>
    <cellStyle name="D 15" xfId="14218" xr:uid="{00000000-0005-0000-0000-000087370000}"/>
    <cellStyle name="D 16" xfId="14219" xr:uid="{00000000-0005-0000-0000-000088370000}"/>
    <cellStyle name="D 17" xfId="14220" xr:uid="{00000000-0005-0000-0000-000089370000}"/>
    <cellStyle name="D 18" xfId="14221" xr:uid="{00000000-0005-0000-0000-00008A370000}"/>
    <cellStyle name="D 19" xfId="14222" xr:uid="{00000000-0005-0000-0000-00008B370000}"/>
    <cellStyle name="D 2" xfId="14223" xr:uid="{00000000-0005-0000-0000-00008C370000}"/>
    <cellStyle name="D 20" xfId="14224" xr:uid="{00000000-0005-0000-0000-00008D370000}"/>
    <cellStyle name="D 21" xfId="14225" xr:uid="{00000000-0005-0000-0000-00008E370000}"/>
    <cellStyle name="D 21 2" xfId="14226" xr:uid="{00000000-0005-0000-0000-00008F370000}"/>
    <cellStyle name="D 3" xfId="14227" xr:uid="{00000000-0005-0000-0000-000090370000}"/>
    <cellStyle name="D 4" xfId="14228" xr:uid="{00000000-0005-0000-0000-000091370000}"/>
    <cellStyle name="D 5" xfId="14229" xr:uid="{00000000-0005-0000-0000-000092370000}"/>
    <cellStyle name="D 6" xfId="14230" xr:uid="{00000000-0005-0000-0000-000093370000}"/>
    <cellStyle name="D 7" xfId="14231" xr:uid="{00000000-0005-0000-0000-000094370000}"/>
    <cellStyle name="D 8" xfId="14232" xr:uid="{00000000-0005-0000-0000-000095370000}"/>
    <cellStyle name="D 9" xfId="14233" xr:uid="{00000000-0005-0000-0000-000096370000}"/>
    <cellStyle name="D$_x0014_‹D$4÷Ø‰D$4ë_x0007_Æ" xfId="14234" xr:uid="{00000000-0005-0000-0000-000097370000}"/>
    <cellStyle name="D$_x0014_‹D$4÷Ø‰D$4ë_x0007_Æ 10" xfId="14235" xr:uid="{00000000-0005-0000-0000-000098370000}"/>
    <cellStyle name="D$_x0014_‹D$4÷Ø‰D$4ë_x0007_Æ 11" xfId="14236" xr:uid="{00000000-0005-0000-0000-000099370000}"/>
    <cellStyle name="D$_x0014_‹D$4÷Ø‰D$4ë_x0007_Æ 12" xfId="14237" xr:uid="{00000000-0005-0000-0000-00009A370000}"/>
    <cellStyle name="D$_x0014_‹D$4÷Ø‰D$4ë_x0007_Æ 13" xfId="14238" xr:uid="{00000000-0005-0000-0000-00009B370000}"/>
    <cellStyle name="D$_x0014_‹D$4÷Ø‰D$4ë_x0007_Æ 14" xfId="14239" xr:uid="{00000000-0005-0000-0000-00009C370000}"/>
    <cellStyle name="D$_x0014_‹D$4÷Ø‰D$4ë_x0007_Æ 15" xfId="14240" xr:uid="{00000000-0005-0000-0000-00009D370000}"/>
    <cellStyle name="D$_x0014_‹D$4÷Ø‰D$4ë_x0007_Æ 16" xfId="14241" xr:uid="{00000000-0005-0000-0000-00009E370000}"/>
    <cellStyle name="D$_x0014_‹D$4÷Ø‰D$4ë_x0007_Æ 17" xfId="14242" xr:uid="{00000000-0005-0000-0000-00009F370000}"/>
    <cellStyle name="D$_x0014_‹D$4÷Ø‰D$4ë_x0007_Æ 18" xfId="14243" xr:uid="{00000000-0005-0000-0000-0000A0370000}"/>
    <cellStyle name="D$_x0014_‹D$4÷Ø‰D$4ë_x0007_Æ 19" xfId="14244" xr:uid="{00000000-0005-0000-0000-0000A1370000}"/>
    <cellStyle name="D$_x0014_‹D$4÷Ø‰D$4ë_x0007_Æ 2" xfId="14245" xr:uid="{00000000-0005-0000-0000-0000A2370000}"/>
    <cellStyle name="D$_x0014_‹D$4÷Ø‰D$4ë_x0007_Æ 2 2" xfId="14246" xr:uid="{00000000-0005-0000-0000-0000A3370000}"/>
    <cellStyle name="D$_x0014_‹D$4÷Ø‰D$4ë_x0007_Æ 20" xfId="14247" xr:uid="{00000000-0005-0000-0000-0000A4370000}"/>
    <cellStyle name="D$_x0014_‹D$4÷Ø‰D$4ë_x0007_Æ 21" xfId="14248" xr:uid="{00000000-0005-0000-0000-0000A5370000}"/>
    <cellStyle name="D$_x0014_‹D$4÷Ø‰D$4ë_x0007_Æ 22" xfId="14249" xr:uid="{00000000-0005-0000-0000-0000A6370000}"/>
    <cellStyle name="D$_x0014_‹D$4÷Ø‰D$4ë_x0007_Æ 23" xfId="14250" xr:uid="{00000000-0005-0000-0000-0000A7370000}"/>
    <cellStyle name="D$_x0014_‹D$4÷Ø‰D$4ë_x0007_Æ 23 2" xfId="14251" xr:uid="{00000000-0005-0000-0000-0000A8370000}"/>
    <cellStyle name="D$_x0014_‹D$4÷Ø‰D$4ë_x0007_Æ 3" xfId="14252" xr:uid="{00000000-0005-0000-0000-0000A9370000}"/>
    <cellStyle name="D$_x0014_‹D$4÷Ø‰D$4ë_x0007_Æ 3 2" xfId="14253" xr:uid="{00000000-0005-0000-0000-0000AA370000}"/>
    <cellStyle name="D$_x0014_‹D$4÷Ø‰D$4ë_x0007_Æ 4" xfId="14254" xr:uid="{00000000-0005-0000-0000-0000AB370000}"/>
    <cellStyle name="D$_x0014_‹D$4÷Ø‰D$4ë_x0007_Æ 5" xfId="14255" xr:uid="{00000000-0005-0000-0000-0000AC370000}"/>
    <cellStyle name="D$_x0014_‹D$4÷Ø‰D$4ë_x0007_Æ 6" xfId="14256" xr:uid="{00000000-0005-0000-0000-0000AD370000}"/>
    <cellStyle name="D$_x0014_‹D$4÷Ø‰D$4ë_x0007_Æ 7" xfId="14257" xr:uid="{00000000-0005-0000-0000-0000AE370000}"/>
    <cellStyle name="D$_x0014_‹D$4÷Ø‰D$4ë_x0007_Æ 8" xfId="14258" xr:uid="{00000000-0005-0000-0000-0000AF370000}"/>
    <cellStyle name="D$_x0014_‹D$4÷Ø‰D$4ë_x0007_Æ 9" xfId="14259" xr:uid="{00000000-0005-0000-0000-0000B0370000}"/>
    <cellStyle name="D_AIF IV Financial Highlights 12-31-08 v4" xfId="14260" xr:uid="{00000000-0005-0000-0000-0000B1370000}"/>
    <cellStyle name="D_AIF VI Rec 6-30-09 CURRENT" xfId="14261" xr:uid="{00000000-0005-0000-0000-0000B2370000}"/>
    <cellStyle name="D_Apollo Investment Fund IV  Q1 2009 Capital Analysis 5-22-09 with GAAP" xfId="14262" xr:uid="{00000000-0005-0000-0000-0000B3370000}"/>
    <cellStyle name="D_Apollo Investment Fund IV  Q1 2009 Capital Analysis GAAP" xfId="14263" xr:uid="{00000000-0005-0000-0000-0000B4370000}"/>
    <cellStyle name="D_Apollo Investment Fund IV  Q2 2009 Capital Analysis CURRENT" xfId="14264" xr:uid="{00000000-0005-0000-0000-0000B5370000}"/>
    <cellStyle name="D_Apollo Investment Fund IV  Q3 2009 Capital Analysis CURRENT" xfId="14265" xr:uid="{00000000-0005-0000-0000-0000B6370000}"/>
    <cellStyle name="D_Apollo Investment Fund IV  Q3 2009 Capital Analysis iPCS &amp; URI Distribution" xfId="14266" xr:uid="{00000000-0005-0000-0000-0000B7370000}"/>
    <cellStyle name="D_Apollo Investment Fund IV Priority Return 6-30-09" xfId="14267" xr:uid="{00000000-0005-0000-0000-0000B8370000}"/>
    <cellStyle name="D_Apollo Investment Fund IV Q1 2009 Capital Analysis PR CORRECTED 6-30-09" xfId="14268" xr:uid="{00000000-0005-0000-0000-0000B9370000}"/>
    <cellStyle name="d_CMP-S-10" xfId="14269" xr:uid="{00000000-0005-0000-0000-0000BA370000}"/>
    <cellStyle name="d_CMP-S-10 10" xfId="14270" xr:uid="{00000000-0005-0000-0000-0000BB370000}"/>
    <cellStyle name="d_CMP-S-10 11" xfId="14271" xr:uid="{00000000-0005-0000-0000-0000BC370000}"/>
    <cellStyle name="d_CMP-S-10 12" xfId="14272" xr:uid="{00000000-0005-0000-0000-0000BD370000}"/>
    <cellStyle name="d_CMP-S-10 13" xfId="14273" xr:uid="{00000000-0005-0000-0000-0000BE370000}"/>
    <cellStyle name="d_CMP-S-10 14" xfId="14274" xr:uid="{00000000-0005-0000-0000-0000BF370000}"/>
    <cellStyle name="d_CMP-S-10 15" xfId="14275" xr:uid="{00000000-0005-0000-0000-0000C0370000}"/>
    <cellStyle name="d_CMP-S-10 16" xfId="14276" xr:uid="{00000000-0005-0000-0000-0000C1370000}"/>
    <cellStyle name="d_CMP-S-10 17" xfId="14277" xr:uid="{00000000-0005-0000-0000-0000C2370000}"/>
    <cellStyle name="d_CMP-S-10 18" xfId="14278" xr:uid="{00000000-0005-0000-0000-0000C3370000}"/>
    <cellStyle name="d_CMP-S-10 19" xfId="14279" xr:uid="{00000000-0005-0000-0000-0000C4370000}"/>
    <cellStyle name="d_CMP-S-10 2" xfId="14280" xr:uid="{00000000-0005-0000-0000-0000C5370000}"/>
    <cellStyle name="d_CMP-S-10 20" xfId="14281" xr:uid="{00000000-0005-0000-0000-0000C6370000}"/>
    <cellStyle name="d_CMP-S-10 21" xfId="14282" xr:uid="{00000000-0005-0000-0000-0000C7370000}"/>
    <cellStyle name="d_CMP-S-10 21 2" xfId="14283" xr:uid="{00000000-0005-0000-0000-0000C8370000}"/>
    <cellStyle name="d_CMP-S-10 3" xfId="14284" xr:uid="{00000000-0005-0000-0000-0000C9370000}"/>
    <cellStyle name="d_CMP-S-10 4" xfId="14285" xr:uid="{00000000-0005-0000-0000-0000CA370000}"/>
    <cellStyle name="d_CMP-S-10 5" xfId="14286" xr:uid="{00000000-0005-0000-0000-0000CB370000}"/>
    <cellStyle name="d_CMP-S-10 6" xfId="14287" xr:uid="{00000000-0005-0000-0000-0000CC370000}"/>
    <cellStyle name="d_CMP-S-10 7" xfId="14288" xr:uid="{00000000-0005-0000-0000-0000CD370000}"/>
    <cellStyle name="d_CMP-S-10 8" xfId="14289" xr:uid="{00000000-0005-0000-0000-0000CE370000}"/>
    <cellStyle name="d_CMP-S-10 9" xfId="14290" xr:uid="{00000000-0005-0000-0000-0000CF370000}"/>
    <cellStyle name="D_iPCs#1-Remaining" xfId="14291" xr:uid="{00000000-0005-0000-0000-0000D0370000}"/>
    <cellStyle name="D_NOWRAP" xfId="14292" xr:uid="{00000000-0005-0000-0000-0000D1370000}"/>
    <cellStyle name="D_NOWRAP 10" xfId="14293" xr:uid="{00000000-0005-0000-0000-0000D2370000}"/>
    <cellStyle name="D_NOWRAP 11" xfId="14294" xr:uid="{00000000-0005-0000-0000-0000D3370000}"/>
    <cellStyle name="D_NOWRAP 12" xfId="14295" xr:uid="{00000000-0005-0000-0000-0000D4370000}"/>
    <cellStyle name="D_NOWRAP 13" xfId="14296" xr:uid="{00000000-0005-0000-0000-0000D5370000}"/>
    <cellStyle name="D_NOWRAP 14" xfId="14297" xr:uid="{00000000-0005-0000-0000-0000D6370000}"/>
    <cellStyle name="D_NOWRAP 15" xfId="14298" xr:uid="{00000000-0005-0000-0000-0000D7370000}"/>
    <cellStyle name="D_NOWRAP 16" xfId="14299" xr:uid="{00000000-0005-0000-0000-0000D8370000}"/>
    <cellStyle name="D_NOWRAP 17" xfId="14300" xr:uid="{00000000-0005-0000-0000-0000D9370000}"/>
    <cellStyle name="D_NOWRAP 18" xfId="14301" xr:uid="{00000000-0005-0000-0000-0000DA370000}"/>
    <cellStyle name="D_NOWRAP 19" xfId="14302" xr:uid="{00000000-0005-0000-0000-0000DB370000}"/>
    <cellStyle name="D_NOWRAP 2" xfId="14303" xr:uid="{00000000-0005-0000-0000-0000DC370000}"/>
    <cellStyle name="D_NOWRAP 20" xfId="14304" xr:uid="{00000000-0005-0000-0000-0000DD370000}"/>
    <cellStyle name="D_NOWRAP 21" xfId="14305" xr:uid="{00000000-0005-0000-0000-0000DE370000}"/>
    <cellStyle name="D_NOWRAP 21 2" xfId="14306" xr:uid="{00000000-0005-0000-0000-0000DF370000}"/>
    <cellStyle name="D_NOWRAP 3" xfId="14307" xr:uid="{00000000-0005-0000-0000-0000E0370000}"/>
    <cellStyle name="D_NOWRAP 4" xfId="14308" xr:uid="{00000000-0005-0000-0000-0000E1370000}"/>
    <cellStyle name="D_NOWRAP 5" xfId="14309" xr:uid="{00000000-0005-0000-0000-0000E2370000}"/>
    <cellStyle name="D_NOWRAP 6" xfId="14310" xr:uid="{00000000-0005-0000-0000-0000E3370000}"/>
    <cellStyle name="D_NOWRAP 7" xfId="14311" xr:uid="{00000000-0005-0000-0000-0000E4370000}"/>
    <cellStyle name="D_NOWRAP 8" xfId="14312" xr:uid="{00000000-0005-0000-0000-0000E5370000}"/>
    <cellStyle name="D_NOWRAP 9" xfId="14313" xr:uid="{00000000-0005-0000-0000-0000E6370000}"/>
    <cellStyle name="D_NOWRAP_AIF IV Financial Highlights 12-31-08 v4" xfId="14314" xr:uid="{00000000-0005-0000-0000-0000E7370000}"/>
    <cellStyle name="D_NOWRAP_Apollo Investment Fund IV  Q1 2009 Capital Analysis 5-22-09 with GAAP" xfId="14315" xr:uid="{00000000-0005-0000-0000-0000E8370000}"/>
    <cellStyle name="D_NOWRAP_Apollo Investment Fund IV  Q1 2009 Capital Analysis GAAP" xfId="14316" xr:uid="{00000000-0005-0000-0000-0000E9370000}"/>
    <cellStyle name="D_NOWRAP_Apollo Investment Fund IV  Q2 2009 Capital Analysis CURRENT" xfId="14317" xr:uid="{00000000-0005-0000-0000-0000EA370000}"/>
    <cellStyle name="D_NOWRAP_Apollo Investment Fund IV  Q3 2009 Capital Analysis CURRENT" xfId="14318" xr:uid="{00000000-0005-0000-0000-0000EB370000}"/>
    <cellStyle name="D_NOWRAP_Apollo Investment Fund IV  Q3 2009 Capital Analysis iPCS &amp; URI Distribution" xfId="14319" xr:uid="{00000000-0005-0000-0000-0000EC370000}"/>
    <cellStyle name="D_NOWRAP_Apollo Investment Fund IV Priority Return 6-30-09" xfId="14320" xr:uid="{00000000-0005-0000-0000-0000ED370000}"/>
    <cellStyle name="D_NOWRAP_Apollo Investment Fund IV Q1 2009 Capital Analysis PR CORRECTED 6-30-09" xfId="14321" xr:uid="{00000000-0005-0000-0000-0000EE370000}"/>
    <cellStyle name="D_NOWRAP_iPCs#1-Remaining" xfId="14322" xr:uid="{00000000-0005-0000-0000-0000EF370000}"/>
    <cellStyle name="D_NOWRAP_RCIV Q3 2009 Capital Analysis CURRENT" xfId="14323" xr:uid="{00000000-0005-0000-0000-0000F0370000}"/>
    <cellStyle name="d_pro forma tie-in DRAFT - WIP" xfId="14324" xr:uid="{00000000-0005-0000-0000-0000F1370000}"/>
    <cellStyle name="d_pro forma tie-in DRAFT - WIP 10" xfId="14325" xr:uid="{00000000-0005-0000-0000-0000F2370000}"/>
    <cellStyle name="d_pro forma tie-in DRAFT - WIP 11" xfId="14326" xr:uid="{00000000-0005-0000-0000-0000F3370000}"/>
    <cellStyle name="d_pro forma tie-in DRAFT - WIP 12" xfId="14327" xr:uid="{00000000-0005-0000-0000-0000F4370000}"/>
    <cellStyle name="d_pro forma tie-in DRAFT - WIP 13" xfId="14328" xr:uid="{00000000-0005-0000-0000-0000F5370000}"/>
    <cellStyle name="d_pro forma tie-in DRAFT - WIP 14" xfId="14329" xr:uid="{00000000-0005-0000-0000-0000F6370000}"/>
    <cellStyle name="d_pro forma tie-in DRAFT - WIP 15" xfId="14330" xr:uid="{00000000-0005-0000-0000-0000F7370000}"/>
    <cellStyle name="d_pro forma tie-in DRAFT - WIP 16" xfId="14331" xr:uid="{00000000-0005-0000-0000-0000F8370000}"/>
    <cellStyle name="d_pro forma tie-in DRAFT - WIP 17" xfId="14332" xr:uid="{00000000-0005-0000-0000-0000F9370000}"/>
    <cellStyle name="d_pro forma tie-in DRAFT - WIP 18" xfId="14333" xr:uid="{00000000-0005-0000-0000-0000FA370000}"/>
    <cellStyle name="d_pro forma tie-in DRAFT - WIP 19" xfId="14334" xr:uid="{00000000-0005-0000-0000-0000FB370000}"/>
    <cellStyle name="d_pro forma tie-in DRAFT - WIP 2" xfId="14335" xr:uid="{00000000-0005-0000-0000-0000FC370000}"/>
    <cellStyle name="d_pro forma tie-in DRAFT - WIP 20" xfId="14336" xr:uid="{00000000-0005-0000-0000-0000FD370000}"/>
    <cellStyle name="d_pro forma tie-in DRAFT - WIP 21" xfId="14337" xr:uid="{00000000-0005-0000-0000-0000FE370000}"/>
    <cellStyle name="d_pro forma tie-in DRAFT - WIP 21 2" xfId="14338" xr:uid="{00000000-0005-0000-0000-0000FF370000}"/>
    <cellStyle name="d_pro forma tie-in DRAFT - WIP 3" xfId="14339" xr:uid="{00000000-0005-0000-0000-000000380000}"/>
    <cellStyle name="d_pro forma tie-in DRAFT - WIP 4" xfId="14340" xr:uid="{00000000-0005-0000-0000-000001380000}"/>
    <cellStyle name="d_pro forma tie-in DRAFT - WIP 5" xfId="14341" xr:uid="{00000000-0005-0000-0000-000002380000}"/>
    <cellStyle name="d_pro forma tie-in DRAFT - WIP 6" xfId="14342" xr:uid="{00000000-0005-0000-0000-000003380000}"/>
    <cellStyle name="d_pro forma tie-in DRAFT - WIP 7" xfId="14343" xr:uid="{00000000-0005-0000-0000-000004380000}"/>
    <cellStyle name="d_pro forma tie-in DRAFT - WIP 8" xfId="14344" xr:uid="{00000000-0005-0000-0000-000005380000}"/>
    <cellStyle name="d_pro forma tie-in DRAFT - WIP 9" xfId="14345" xr:uid="{00000000-0005-0000-0000-000006380000}"/>
    <cellStyle name="d_pro forma tie-in v2007_07_11-03_00" xfId="14346" xr:uid="{00000000-0005-0000-0000-000007380000}"/>
    <cellStyle name="d_pro forma tie-in v2007_07_11-03_00 10" xfId="14347" xr:uid="{00000000-0005-0000-0000-000008380000}"/>
    <cellStyle name="d_pro forma tie-in v2007_07_11-03_00 11" xfId="14348" xr:uid="{00000000-0005-0000-0000-000009380000}"/>
    <cellStyle name="d_pro forma tie-in v2007_07_11-03_00 12" xfId="14349" xr:uid="{00000000-0005-0000-0000-00000A380000}"/>
    <cellStyle name="d_pro forma tie-in v2007_07_11-03_00 13" xfId="14350" xr:uid="{00000000-0005-0000-0000-00000B380000}"/>
    <cellStyle name="d_pro forma tie-in v2007_07_11-03_00 14" xfId="14351" xr:uid="{00000000-0005-0000-0000-00000C380000}"/>
    <cellStyle name="d_pro forma tie-in v2007_07_11-03_00 15" xfId="14352" xr:uid="{00000000-0005-0000-0000-00000D380000}"/>
    <cellStyle name="d_pro forma tie-in v2007_07_11-03_00 16" xfId="14353" xr:uid="{00000000-0005-0000-0000-00000E380000}"/>
    <cellStyle name="d_pro forma tie-in v2007_07_11-03_00 17" xfId="14354" xr:uid="{00000000-0005-0000-0000-00000F380000}"/>
    <cellStyle name="d_pro forma tie-in v2007_07_11-03_00 18" xfId="14355" xr:uid="{00000000-0005-0000-0000-000010380000}"/>
    <cellStyle name="d_pro forma tie-in v2007_07_11-03_00 19" xfId="14356" xr:uid="{00000000-0005-0000-0000-000011380000}"/>
    <cellStyle name="d_pro forma tie-in v2007_07_11-03_00 2" xfId="14357" xr:uid="{00000000-0005-0000-0000-000012380000}"/>
    <cellStyle name="d_pro forma tie-in v2007_07_11-03_00 20" xfId="14358" xr:uid="{00000000-0005-0000-0000-000013380000}"/>
    <cellStyle name="d_pro forma tie-in v2007_07_11-03_00 21" xfId="14359" xr:uid="{00000000-0005-0000-0000-000014380000}"/>
    <cellStyle name="d_pro forma tie-in v2007_07_11-03_00 21 2" xfId="14360" xr:uid="{00000000-0005-0000-0000-000015380000}"/>
    <cellStyle name="d_pro forma tie-in v2007_07_11-03_00 3" xfId="14361" xr:uid="{00000000-0005-0000-0000-000016380000}"/>
    <cellStyle name="d_pro forma tie-in v2007_07_11-03_00 4" xfId="14362" xr:uid="{00000000-0005-0000-0000-000017380000}"/>
    <cellStyle name="d_pro forma tie-in v2007_07_11-03_00 5" xfId="14363" xr:uid="{00000000-0005-0000-0000-000018380000}"/>
    <cellStyle name="d_pro forma tie-in v2007_07_11-03_00 6" xfId="14364" xr:uid="{00000000-0005-0000-0000-000019380000}"/>
    <cellStyle name="d_pro forma tie-in v2007_07_11-03_00 7" xfId="14365" xr:uid="{00000000-0005-0000-0000-00001A380000}"/>
    <cellStyle name="d_pro forma tie-in v2007_07_11-03_00 8" xfId="14366" xr:uid="{00000000-0005-0000-0000-00001B380000}"/>
    <cellStyle name="d_pro forma tie-in v2007_07_11-03_00 9" xfId="14367" xr:uid="{00000000-0005-0000-0000-00001C380000}"/>
    <cellStyle name="D_RCIV Q3 2009 Capital Analysis CURRENT" xfId="14368" xr:uid="{00000000-0005-0000-0000-00001D380000}"/>
    <cellStyle name="d_verso january distribution 2 6 07" xfId="14369" xr:uid="{00000000-0005-0000-0000-00001E380000}"/>
    <cellStyle name="d_verso january distribution 2 6 07 10" xfId="14370" xr:uid="{00000000-0005-0000-0000-00001F380000}"/>
    <cellStyle name="d_verso january distribution 2 6 07 11" xfId="14371" xr:uid="{00000000-0005-0000-0000-000020380000}"/>
    <cellStyle name="d_verso january distribution 2 6 07 12" xfId="14372" xr:uid="{00000000-0005-0000-0000-000021380000}"/>
    <cellStyle name="d_verso january distribution 2 6 07 13" xfId="14373" xr:uid="{00000000-0005-0000-0000-000022380000}"/>
    <cellStyle name="d_verso january distribution 2 6 07 14" xfId="14374" xr:uid="{00000000-0005-0000-0000-000023380000}"/>
    <cellStyle name="d_verso january distribution 2 6 07 15" xfId="14375" xr:uid="{00000000-0005-0000-0000-000024380000}"/>
    <cellStyle name="d_verso january distribution 2 6 07 16" xfId="14376" xr:uid="{00000000-0005-0000-0000-000025380000}"/>
    <cellStyle name="d_verso january distribution 2 6 07 17" xfId="14377" xr:uid="{00000000-0005-0000-0000-000026380000}"/>
    <cellStyle name="d_verso january distribution 2 6 07 18" xfId="14378" xr:uid="{00000000-0005-0000-0000-000027380000}"/>
    <cellStyle name="d_verso january distribution 2 6 07 19" xfId="14379" xr:uid="{00000000-0005-0000-0000-000028380000}"/>
    <cellStyle name="d_verso january distribution 2 6 07 2" xfId="14380" xr:uid="{00000000-0005-0000-0000-000029380000}"/>
    <cellStyle name="d_verso january distribution 2 6 07 20" xfId="14381" xr:uid="{00000000-0005-0000-0000-00002A380000}"/>
    <cellStyle name="d_verso january distribution 2 6 07 21" xfId="14382" xr:uid="{00000000-0005-0000-0000-00002B380000}"/>
    <cellStyle name="d_verso january distribution 2 6 07 3" xfId="14383" xr:uid="{00000000-0005-0000-0000-00002C380000}"/>
    <cellStyle name="d_verso january distribution 2 6 07 4" xfId="14384" xr:uid="{00000000-0005-0000-0000-00002D380000}"/>
    <cellStyle name="d_verso january distribution 2 6 07 5" xfId="14385" xr:uid="{00000000-0005-0000-0000-00002E380000}"/>
    <cellStyle name="d_verso january distribution 2 6 07 6" xfId="14386" xr:uid="{00000000-0005-0000-0000-00002F380000}"/>
    <cellStyle name="d_verso january distribution 2 6 07 7" xfId="14387" xr:uid="{00000000-0005-0000-0000-000030380000}"/>
    <cellStyle name="d_verso january distribution 2 6 07 8" xfId="14388" xr:uid="{00000000-0005-0000-0000-000031380000}"/>
    <cellStyle name="d_verso january distribution 2 6 07 9" xfId="14389" xr:uid="{00000000-0005-0000-0000-000032380000}"/>
    <cellStyle name="d_Waterfall Summary - Verso CEVA Rexnord 2-21-07" xfId="14390" xr:uid="{00000000-0005-0000-0000-000033380000}"/>
    <cellStyle name="d_Waterfall Summary - Verso CEVA Rexnord 2-21-07 10" xfId="14391" xr:uid="{00000000-0005-0000-0000-000034380000}"/>
    <cellStyle name="d_Waterfall Summary - Verso CEVA Rexnord 2-21-07 11" xfId="14392" xr:uid="{00000000-0005-0000-0000-000035380000}"/>
    <cellStyle name="d_Waterfall Summary - Verso CEVA Rexnord 2-21-07 12" xfId="14393" xr:uid="{00000000-0005-0000-0000-000036380000}"/>
    <cellStyle name="d_Waterfall Summary - Verso CEVA Rexnord 2-21-07 13" xfId="14394" xr:uid="{00000000-0005-0000-0000-000037380000}"/>
    <cellStyle name="d_Waterfall Summary - Verso CEVA Rexnord 2-21-07 14" xfId="14395" xr:uid="{00000000-0005-0000-0000-000038380000}"/>
    <cellStyle name="d_Waterfall Summary - Verso CEVA Rexnord 2-21-07 15" xfId="14396" xr:uid="{00000000-0005-0000-0000-000039380000}"/>
    <cellStyle name="d_Waterfall Summary - Verso CEVA Rexnord 2-21-07 16" xfId="14397" xr:uid="{00000000-0005-0000-0000-00003A380000}"/>
    <cellStyle name="d_Waterfall Summary - Verso CEVA Rexnord 2-21-07 17" xfId="14398" xr:uid="{00000000-0005-0000-0000-00003B380000}"/>
    <cellStyle name="d_Waterfall Summary - Verso CEVA Rexnord 2-21-07 18" xfId="14399" xr:uid="{00000000-0005-0000-0000-00003C380000}"/>
    <cellStyle name="d_Waterfall Summary - Verso CEVA Rexnord 2-21-07 19" xfId="14400" xr:uid="{00000000-0005-0000-0000-00003D380000}"/>
    <cellStyle name="d_Waterfall Summary - Verso CEVA Rexnord 2-21-07 2" xfId="14401" xr:uid="{00000000-0005-0000-0000-00003E380000}"/>
    <cellStyle name="d_Waterfall Summary - Verso CEVA Rexnord 2-21-07 20" xfId="14402" xr:uid="{00000000-0005-0000-0000-00003F380000}"/>
    <cellStyle name="d_Waterfall Summary - Verso CEVA Rexnord 2-21-07 21" xfId="14403" xr:uid="{00000000-0005-0000-0000-000040380000}"/>
    <cellStyle name="d_Waterfall Summary - Verso CEVA Rexnord 2-21-07 3" xfId="14404" xr:uid="{00000000-0005-0000-0000-000041380000}"/>
    <cellStyle name="d_Waterfall Summary - Verso CEVA Rexnord 2-21-07 4" xfId="14405" xr:uid="{00000000-0005-0000-0000-000042380000}"/>
    <cellStyle name="d_Waterfall Summary - Verso CEVA Rexnord 2-21-07 5" xfId="14406" xr:uid="{00000000-0005-0000-0000-000043380000}"/>
    <cellStyle name="d_Waterfall Summary - Verso CEVA Rexnord 2-21-07 6" xfId="14407" xr:uid="{00000000-0005-0000-0000-000044380000}"/>
    <cellStyle name="d_Waterfall Summary - Verso CEVA Rexnord 2-21-07 7" xfId="14408" xr:uid="{00000000-0005-0000-0000-000045380000}"/>
    <cellStyle name="d_Waterfall Summary - Verso CEVA Rexnord 2-21-07 8" xfId="14409" xr:uid="{00000000-0005-0000-0000-000046380000}"/>
    <cellStyle name="d_Waterfall Summary - Verso CEVA Rexnord 2-21-07 9" xfId="14410" xr:uid="{00000000-0005-0000-0000-000047380000}"/>
    <cellStyle name="DAGS" xfId="14411" xr:uid="{00000000-0005-0000-0000-000048380000}"/>
    <cellStyle name="DAGS 10" xfId="14412" xr:uid="{00000000-0005-0000-0000-000049380000}"/>
    <cellStyle name="DAGS 11" xfId="14413" xr:uid="{00000000-0005-0000-0000-00004A380000}"/>
    <cellStyle name="DAGS 12" xfId="14414" xr:uid="{00000000-0005-0000-0000-00004B380000}"/>
    <cellStyle name="DAGS 13" xfId="14415" xr:uid="{00000000-0005-0000-0000-00004C380000}"/>
    <cellStyle name="DAGS 14" xfId="14416" xr:uid="{00000000-0005-0000-0000-00004D380000}"/>
    <cellStyle name="DAGS 15" xfId="14417" xr:uid="{00000000-0005-0000-0000-00004E380000}"/>
    <cellStyle name="DAGS 16" xfId="14418" xr:uid="{00000000-0005-0000-0000-00004F380000}"/>
    <cellStyle name="DAGS 17" xfId="14419" xr:uid="{00000000-0005-0000-0000-000050380000}"/>
    <cellStyle name="DAGS 18" xfId="14420" xr:uid="{00000000-0005-0000-0000-000051380000}"/>
    <cellStyle name="DAGS 19" xfId="14421" xr:uid="{00000000-0005-0000-0000-000052380000}"/>
    <cellStyle name="DAGS 2" xfId="14422" xr:uid="{00000000-0005-0000-0000-000053380000}"/>
    <cellStyle name="DAGS 20" xfId="14423" xr:uid="{00000000-0005-0000-0000-000054380000}"/>
    <cellStyle name="DAGS 21" xfId="14424" xr:uid="{00000000-0005-0000-0000-000055380000}"/>
    <cellStyle name="DAGS 3" xfId="14425" xr:uid="{00000000-0005-0000-0000-000056380000}"/>
    <cellStyle name="DAGS 4" xfId="14426" xr:uid="{00000000-0005-0000-0000-000057380000}"/>
    <cellStyle name="DAGS 5" xfId="14427" xr:uid="{00000000-0005-0000-0000-000058380000}"/>
    <cellStyle name="DAGS 6" xfId="14428" xr:uid="{00000000-0005-0000-0000-000059380000}"/>
    <cellStyle name="DAGS 7" xfId="14429" xr:uid="{00000000-0005-0000-0000-00005A380000}"/>
    <cellStyle name="DAGS 8" xfId="14430" xr:uid="{00000000-0005-0000-0000-00005B380000}"/>
    <cellStyle name="DAGS 9" xfId="14431" xr:uid="{00000000-0005-0000-0000-00005C380000}"/>
    <cellStyle name="Dash" xfId="14432" xr:uid="{00000000-0005-0000-0000-00005D380000}"/>
    <cellStyle name="Dash 10" xfId="14433" xr:uid="{00000000-0005-0000-0000-00005E380000}"/>
    <cellStyle name="Dash 11" xfId="14434" xr:uid="{00000000-0005-0000-0000-00005F380000}"/>
    <cellStyle name="Dash 12" xfId="14435" xr:uid="{00000000-0005-0000-0000-000060380000}"/>
    <cellStyle name="Dash 13" xfId="14436" xr:uid="{00000000-0005-0000-0000-000061380000}"/>
    <cellStyle name="Dash 14" xfId="14437" xr:uid="{00000000-0005-0000-0000-000062380000}"/>
    <cellStyle name="Dash 15" xfId="14438" xr:uid="{00000000-0005-0000-0000-000063380000}"/>
    <cellStyle name="Dash 16" xfId="14439" xr:uid="{00000000-0005-0000-0000-000064380000}"/>
    <cellStyle name="Dash 17" xfId="14440" xr:uid="{00000000-0005-0000-0000-000065380000}"/>
    <cellStyle name="Dash 18" xfId="14441" xr:uid="{00000000-0005-0000-0000-000066380000}"/>
    <cellStyle name="Dash 19" xfId="14442" xr:uid="{00000000-0005-0000-0000-000067380000}"/>
    <cellStyle name="Dash 2" xfId="14443" xr:uid="{00000000-0005-0000-0000-000068380000}"/>
    <cellStyle name="Dash 20" xfId="14444" xr:uid="{00000000-0005-0000-0000-000069380000}"/>
    <cellStyle name="Dash 21" xfId="14445" xr:uid="{00000000-0005-0000-0000-00006A380000}"/>
    <cellStyle name="Dash 21 2" xfId="14446" xr:uid="{00000000-0005-0000-0000-00006B380000}"/>
    <cellStyle name="Dash 3" xfId="14447" xr:uid="{00000000-0005-0000-0000-00006C380000}"/>
    <cellStyle name="Dash 4" xfId="14448" xr:uid="{00000000-0005-0000-0000-00006D380000}"/>
    <cellStyle name="Dash 5" xfId="14449" xr:uid="{00000000-0005-0000-0000-00006E380000}"/>
    <cellStyle name="Dash 6" xfId="14450" xr:uid="{00000000-0005-0000-0000-00006F380000}"/>
    <cellStyle name="Dash 7" xfId="14451" xr:uid="{00000000-0005-0000-0000-000070380000}"/>
    <cellStyle name="Dash 8" xfId="14452" xr:uid="{00000000-0005-0000-0000-000071380000}"/>
    <cellStyle name="Dash 9" xfId="14453" xr:uid="{00000000-0005-0000-0000-000072380000}"/>
    <cellStyle name="Data" xfId="14454" xr:uid="{00000000-0005-0000-0000-000073380000}"/>
    <cellStyle name="Data 10" xfId="14455" xr:uid="{00000000-0005-0000-0000-000074380000}"/>
    <cellStyle name="Data 11" xfId="14456" xr:uid="{00000000-0005-0000-0000-000075380000}"/>
    <cellStyle name="Data 12" xfId="14457" xr:uid="{00000000-0005-0000-0000-000076380000}"/>
    <cellStyle name="Data 13" xfId="14458" xr:uid="{00000000-0005-0000-0000-000077380000}"/>
    <cellStyle name="Data 14" xfId="14459" xr:uid="{00000000-0005-0000-0000-000078380000}"/>
    <cellStyle name="Data 15" xfId="14460" xr:uid="{00000000-0005-0000-0000-000079380000}"/>
    <cellStyle name="Data 16" xfId="14461" xr:uid="{00000000-0005-0000-0000-00007A380000}"/>
    <cellStyle name="Data 17" xfId="14462" xr:uid="{00000000-0005-0000-0000-00007B380000}"/>
    <cellStyle name="Data 18" xfId="14463" xr:uid="{00000000-0005-0000-0000-00007C380000}"/>
    <cellStyle name="Data 19" xfId="14464" xr:uid="{00000000-0005-0000-0000-00007D380000}"/>
    <cellStyle name="Data 2" xfId="14465" xr:uid="{00000000-0005-0000-0000-00007E380000}"/>
    <cellStyle name="Data 20" xfId="14466" xr:uid="{00000000-0005-0000-0000-00007F380000}"/>
    <cellStyle name="Data 21" xfId="14467" xr:uid="{00000000-0005-0000-0000-000080380000}"/>
    <cellStyle name="Data 21 2" xfId="14468" xr:uid="{00000000-0005-0000-0000-000081380000}"/>
    <cellStyle name="Data 3" xfId="14469" xr:uid="{00000000-0005-0000-0000-000082380000}"/>
    <cellStyle name="Data 4" xfId="14470" xr:uid="{00000000-0005-0000-0000-000083380000}"/>
    <cellStyle name="Data 5" xfId="14471" xr:uid="{00000000-0005-0000-0000-000084380000}"/>
    <cellStyle name="Data 6" xfId="14472" xr:uid="{00000000-0005-0000-0000-000085380000}"/>
    <cellStyle name="Data 7" xfId="14473" xr:uid="{00000000-0005-0000-0000-000086380000}"/>
    <cellStyle name="Data 8" xfId="14474" xr:uid="{00000000-0005-0000-0000-000087380000}"/>
    <cellStyle name="Data 9" xfId="14475" xr:uid="{00000000-0005-0000-0000-000088380000}"/>
    <cellStyle name="Date" xfId="14476" xr:uid="{00000000-0005-0000-0000-000089380000}"/>
    <cellStyle name="Date - Style4" xfId="14477" xr:uid="{00000000-0005-0000-0000-00008A380000}"/>
    <cellStyle name="Date - Style4 10" xfId="14478" xr:uid="{00000000-0005-0000-0000-00008B380000}"/>
    <cellStyle name="Date - Style4 11" xfId="14479" xr:uid="{00000000-0005-0000-0000-00008C380000}"/>
    <cellStyle name="Date - Style4 12" xfId="14480" xr:uid="{00000000-0005-0000-0000-00008D380000}"/>
    <cellStyle name="Date - Style4 13" xfId="14481" xr:uid="{00000000-0005-0000-0000-00008E380000}"/>
    <cellStyle name="Date - Style4 14" xfId="14482" xr:uid="{00000000-0005-0000-0000-00008F380000}"/>
    <cellStyle name="Date - Style4 15" xfId="14483" xr:uid="{00000000-0005-0000-0000-000090380000}"/>
    <cellStyle name="Date - Style4 16" xfId="14484" xr:uid="{00000000-0005-0000-0000-000091380000}"/>
    <cellStyle name="Date - Style4 17" xfId="14485" xr:uid="{00000000-0005-0000-0000-000092380000}"/>
    <cellStyle name="Date - Style4 18" xfId="14486" xr:uid="{00000000-0005-0000-0000-000093380000}"/>
    <cellStyle name="Date - Style4 19" xfId="14487" xr:uid="{00000000-0005-0000-0000-000094380000}"/>
    <cellStyle name="Date - Style4 2" xfId="14488" xr:uid="{00000000-0005-0000-0000-000095380000}"/>
    <cellStyle name="Date - Style4 20" xfId="14489" xr:uid="{00000000-0005-0000-0000-000096380000}"/>
    <cellStyle name="Date - Style4 21" xfId="14490" xr:uid="{00000000-0005-0000-0000-000097380000}"/>
    <cellStyle name="Date - Style4 21 2" xfId="14491" xr:uid="{00000000-0005-0000-0000-000098380000}"/>
    <cellStyle name="Date - Style4 3" xfId="14492" xr:uid="{00000000-0005-0000-0000-000099380000}"/>
    <cellStyle name="Date - Style4 4" xfId="14493" xr:uid="{00000000-0005-0000-0000-00009A380000}"/>
    <cellStyle name="Date - Style4 5" xfId="14494" xr:uid="{00000000-0005-0000-0000-00009B380000}"/>
    <cellStyle name="Date - Style4 6" xfId="14495" xr:uid="{00000000-0005-0000-0000-00009C380000}"/>
    <cellStyle name="Date - Style4 7" xfId="14496" xr:uid="{00000000-0005-0000-0000-00009D380000}"/>
    <cellStyle name="Date - Style4 8" xfId="14497" xr:uid="{00000000-0005-0000-0000-00009E380000}"/>
    <cellStyle name="Date - Style4 9" xfId="14498" xr:uid="{00000000-0005-0000-0000-00009F380000}"/>
    <cellStyle name="Date [D-M-Y]" xfId="14499" xr:uid="{00000000-0005-0000-0000-0000A0380000}"/>
    <cellStyle name="Date [D-M-Y] 10" xfId="14500" xr:uid="{00000000-0005-0000-0000-0000A1380000}"/>
    <cellStyle name="Date [D-M-Y] 11" xfId="14501" xr:uid="{00000000-0005-0000-0000-0000A2380000}"/>
    <cellStyle name="Date [D-M-Y] 12" xfId="14502" xr:uid="{00000000-0005-0000-0000-0000A3380000}"/>
    <cellStyle name="Date [D-M-Y] 13" xfId="14503" xr:uid="{00000000-0005-0000-0000-0000A4380000}"/>
    <cellStyle name="Date [D-M-Y] 14" xfId="14504" xr:uid="{00000000-0005-0000-0000-0000A5380000}"/>
    <cellStyle name="Date [D-M-Y] 15" xfId="14505" xr:uid="{00000000-0005-0000-0000-0000A6380000}"/>
    <cellStyle name="Date [D-M-Y] 16" xfId="14506" xr:uid="{00000000-0005-0000-0000-0000A7380000}"/>
    <cellStyle name="Date [D-M-Y] 17" xfId="14507" xr:uid="{00000000-0005-0000-0000-0000A8380000}"/>
    <cellStyle name="Date [D-M-Y] 18" xfId="14508" xr:uid="{00000000-0005-0000-0000-0000A9380000}"/>
    <cellStyle name="Date [D-M-Y] 19" xfId="14509" xr:uid="{00000000-0005-0000-0000-0000AA380000}"/>
    <cellStyle name="Date [D-M-Y] 2" xfId="14510" xr:uid="{00000000-0005-0000-0000-0000AB380000}"/>
    <cellStyle name="Date [D-M-Y] 20" xfId="14511" xr:uid="{00000000-0005-0000-0000-0000AC380000}"/>
    <cellStyle name="Date [D-M-Y] 21" xfId="14512" xr:uid="{00000000-0005-0000-0000-0000AD380000}"/>
    <cellStyle name="Date [D-M-Y] 21 2" xfId="14513" xr:uid="{00000000-0005-0000-0000-0000AE380000}"/>
    <cellStyle name="Date [D-M-Y] 3" xfId="14514" xr:uid="{00000000-0005-0000-0000-0000AF380000}"/>
    <cellStyle name="Date [D-M-Y] 4" xfId="14515" xr:uid="{00000000-0005-0000-0000-0000B0380000}"/>
    <cellStyle name="Date [D-M-Y] 5" xfId="14516" xr:uid="{00000000-0005-0000-0000-0000B1380000}"/>
    <cellStyle name="Date [D-M-Y] 6" xfId="14517" xr:uid="{00000000-0005-0000-0000-0000B2380000}"/>
    <cellStyle name="Date [D-M-Y] 7" xfId="14518" xr:uid="{00000000-0005-0000-0000-0000B3380000}"/>
    <cellStyle name="Date [D-M-Y] 8" xfId="14519" xr:uid="{00000000-0005-0000-0000-0000B4380000}"/>
    <cellStyle name="Date [D-M-Y] 9" xfId="14520" xr:uid="{00000000-0005-0000-0000-0000B5380000}"/>
    <cellStyle name="Date 10" xfId="14521" xr:uid="{00000000-0005-0000-0000-0000B6380000}"/>
    <cellStyle name="Date 11" xfId="14522" xr:uid="{00000000-0005-0000-0000-0000B7380000}"/>
    <cellStyle name="Date 11 2" xfId="14523" xr:uid="{00000000-0005-0000-0000-0000B8380000}"/>
    <cellStyle name="Date 12" xfId="14524" xr:uid="{00000000-0005-0000-0000-0000B9380000}"/>
    <cellStyle name="Date 12 2" xfId="14525" xr:uid="{00000000-0005-0000-0000-0000BA380000}"/>
    <cellStyle name="Date 13" xfId="14526" xr:uid="{00000000-0005-0000-0000-0000BB380000}"/>
    <cellStyle name="Date 14" xfId="14527" xr:uid="{00000000-0005-0000-0000-0000BC380000}"/>
    <cellStyle name="Date 15" xfId="14528" xr:uid="{00000000-0005-0000-0000-0000BD380000}"/>
    <cellStyle name="Date 16" xfId="14529" xr:uid="{00000000-0005-0000-0000-0000BE380000}"/>
    <cellStyle name="Date 17" xfId="14530" xr:uid="{00000000-0005-0000-0000-0000BF380000}"/>
    <cellStyle name="Date 18" xfId="14531" xr:uid="{00000000-0005-0000-0000-0000C0380000}"/>
    <cellStyle name="Date 19" xfId="14532" xr:uid="{00000000-0005-0000-0000-0000C1380000}"/>
    <cellStyle name="Date 2" xfId="14533" xr:uid="{00000000-0005-0000-0000-0000C2380000}"/>
    <cellStyle name="Date 2 2" xfId="14534" xr:uid="{00000000-0005-0000-0000-0000C3380000}"/>
    <cellStyle name="Date 20" xfId="14535" xr:uid="{00000000-0005-0000-0000-0000C4380000}"/>
    <cellStyle name="Date 21" xfId="14536" xr:uid="{00000000-0005-0000-0000-0000C5380000}"/>
    <cellStyle name="Date 22" xfId="14537" xr:uid="{00000000-0005-0000-0000-0000C6380000}"/>
    <cellStyle name="Date 23" xfId="14538" xr:uid="{00000000-0005-0000-0000-0000C7380000}"/>
    <cellStyle name="Date 24" xfId="14539" xr:uid="{00000000-0005-0000-0000-0000C8380000}"/>
    <cellStyle name="Date 25" xfId="14540" xr:uid="{00000000-0005-0000-0000-0000C9380000}"/>
    <cellStyle name="Date 26" xfId="14541" xr:uid="{00000000-0005-0000-0000-0000CA380000}"/>
    <cellStyle name="Date 27" xfId="14542" xr:uid="{00000000-0005-0000-0000-0000CB380000}"/>
    <cellStyle name="Date 27 2" xfId="14543" xr:uid="{00000000-0005-0000-0000-0000CC380000}"/>
    <cellStyle name="Date 28" xfId="14544" xr:uid="{00000000-0005-0000-0000-0000CD380000}"/>
    <cellStyle name="Date 28 2" xfId="14545" xr:uid="{00000000-0005-0000-0000-0000CE380000}"/>
    <cellStyle name="Date 29" xfId="14546" xr:uid="{00000000-0005-0000-0000-0000CF380000}"/>
    <cellStyle name="Date 3" xfId="14547" xr:uid="{00000000-0005-0000-0000-0000D0380000}"/>
    <cellStyle name="Date 3 2" xfId="14548" xr:uid="{00000000-0005-0000-0000-0000D1380000}"/>
    <cellStyle name="Date 30" xfId="14549" xr:uid="{00000000-0005-0000-0000-0000D2380000}"/>
    <cellStyle name="Date 31" xfId="14550" xr:uid="{00000000-0005-0000-0000-0000D3380000}"/>
    <cellStyle name="Date 32" xfId="14551" xr:uid="{00000000-0005-0000-0000-0000D4380000}"/>
    <cellStyle name="Date 33" xfId="14552" xr:uid="{00000000-0005-0000-0000-0000D5380000}"/>
    <cellStyle name="Date 33 2" xfId="14553" xr:uid="{00000000-0005-0000-0000-0000D6380000}"/>
    <cellStyle name="Date 34" xfId="14554" xr:uid="{00000000-0005-0000-0000-0000D7380000}"/>
    <cellStyle name="Date 35" xfId="14555" xr:uid="{00000000-0005-0000-0000-0000D8380000}"/>
    <cellStyle name="Date 36" xfId="14556" xr:uid="{00000000-0005-0000-0000-0000D9380000}"/>
    <cellStyle name="Date 37" xfId="14557" xr:uid="{00000000-0005-0000-0000-0000DA380000}"/>
    <cellStyle name="Date 38" xfId="14558" xr:uid="{00000000-0005-0000-0000-0000DB380000}"/>
    <cellStyle name="Date 39" xfId="14559" xr:uid="{00000000-0005-0000-0000-0000DC380000}"/>
    <cellStyle name="Date 4" xfId="14560" xr:uid="{00000000-0005-0000-0000-0000DD380000}"/>
    <cellStyle name="Date 40" xfId="14561" xr:uid="{00000000-0005-0000-0000-0000DE380000}"/>
    <cellStyle name="Date 41" xfId="14562" xr:uid="{00000000-0005-0000-0000-0000DF380000}"/>
    <cellStyle name="Date 42" xfId="14563" xr:uid="{00000000-0005-0000-0000-0000E0380000}"/>
    <cellStyle name="Date 43" xfId="14564" xr:uid="{00000000-0005-0000-0000-0000E1380000}"/>
    <cellStyle name="Date 44" xfId="14565" xr:uid="{00000000-0005-0000-0000-0000E2380000}"/>
    <cellStyle name="Date 45" xfId="14566" xr:uid="{00000000-0005-0000-0000-0000E3380000}"/>
    <cellStyle name="Date 46" xfId="14567" xr:uid="{00000000-0005-0000-0000-0000E4380000}"/>
    <cellStyle name="Date 47" xfId="14568" xr:uid="{00000000-0005-0000-0000-0000E5380000}"/>
    <cellStyle name="Date 48" xfId="14569" xr:uid="{00000000-0005-0000-0000-0000E6380000}"/>
    <cellStyle name="Date 5" xfId="14570" xr:uid="{00000000-0005-0000-0000-0000E7380000}"/>
    <cellStyle name="Date 5 2" xfId="14571" xr:uid="{00000000-0005-0000-0000-0000E8380000}"/>
    <cellStyle name="Date 6" xfId="14572" xr:uid="{00000000-0005-0000-0000-0000E9380000}"/>
    <cellStyle name="Date 6 2" xfId="14573" xr:uid="{00000000-0005-0000-0000-0000EA380000}"/>
    <cellStyle name="Date 7" xfId="14574" xr:uid="{00000000-0005-0000-0000-0000EB380000}"/>
    <cellStyle name="Date 7 2" xfId="14575" xr:uid="{00000000-0005-0000-0000-0000EC380000}"/>
    <cellStyle name="Date 8" xfId="14576" xr:uid="{00000000-0005-0000-0000-0000ED380000}"/>
    <cellStyle name="Date 8 2" xfId="14577" xr:uid="{00000000-0005-0000-0000-0000EE380000}"/>
    <cellStyle name="Date 9" xfId="14578" xr:uid="{00000000-0005-0000-0000-0000EF380000}"/>
    <cellStyle name="Date 9 2" xfId="14579" xr:uid="{00000000-0005-0000-0000-0000F0380000}"/>
    <cellStyle name="Date Aligned" xfId="14580" xr:uid="{00000000-0005-0000-0000-0000F1380000}"/>
    <cellStyle name="Date Aligned 10" xfId="14581" xr:uid="{00000000-0005-0000-0000-0000F2380000}"/>
    <cellStyle name="Date Aligned 11" xfId="14582" xr:uid="{00000000-0005-0000-0000-0000F3380000}"/>
    <cellStyle name="Date Aligned 12" xfId="14583" xr:uid="{00000000-0005-0000-0000-0000F4380000}"/>
    <cellStyle name="Date Aligned 13" xfId="14584" xr:uid="{00000000-0005-0000-0000-0000F5380000}"/>
    <cellStyle name="Date Aligned 14" xfId="14585" xr:uid="{00000000-0005-0000-0000-0000F6380000}"/>
    <cellStyle name="Date Aligned 15" xfId="14586" xr:uid="{00000000-0005-0000-0000-0000F7380000}"/>
    <cellStyle name="Date Aligned 16" xfId="14587" xr:uid="{00000000-0005-0000-0000-0000F8380000}"/>
    <cellStyle name="Date Aligned 17" xfId="14588" xr:uid="{00000000-0005-0000-0000-0000F9380000}"/>
    <cellStyle name="Date Aligned 18" xfId="14589" xr:uid="{00000000-0005-0000-0000-0000FA380000}"/>
    <cellStyle name="Date Aligned 19" xfId="14590" xr:uid="{00000000-0005-0000-0000-0000FB380000}"/>
    <cellStyle name="Date Aligned 2" xfId="14591" xr:uid="{00000000-0005-0000-0000-0000FC380000}"/>
    <cellStyle name="Date Aligned 20" xfId="14592" xr:uid="{00000000-0005-0000-0000-0000FD380000}"/>
    <cellStyle name="Date Aligned 21" xfId="14593" xr:uid="{00000000-0005-0000-0000-0000FE380000}"/>
    <cellStyle name="Date Aligned 21 2" xfId="14594" xr:uid="{00000000-0005-0000-0000-0000FF380000}"/>
    <cellStyle name="Date Aligned 3" xfId="14595" xr:uid="{00000000-0005-0000-0000-000000390000}"/>
    <cellStyle name="Date Aligned 4" xfId="14596" xr:uid="{00000000-0005-0000-0000-000001390000}"/>
    <cellStyle name="Date Aligned 5" xfId="14597" xr:uid="{00000000-0005-0000-0000-000002390000}"/>
    <cellStyle name="Date Aligned 6" xfId="14598" xr:uid="{00000000-0005-0000-0000-000003390000}"/>
    <cellStyle name="Date Aligned 7" xfId="14599" xr:uid="{00000000-0005-0000-0000-000004390000}"/>
    <cellStyle name="Date Aligned 8" xfId="14600" xr:uid="{00000000-0005-0000-0000-000005390000}"/>
    <cellStyle name="Date Aligned 9" xfId="14601" xr:uid="{00000000-0005-0000-0000-000006390000}"/>
    <cellStyle name="Date Short" xfId="14602" xr:uid="{00000000-0005-0000-0000-000007390000}"/>
    <cellStyle name="Date Short 10" xfId="14603" xr:uid="{00000000-0005-0000-0000-000008390000}"/>
    <cellStyle name="Date Short 11" xfId="14604" xr:uid="{00000000-0005-0000-0000-000009390000}"/>
    <cellStyle name="Date Short 12" xfId="14605" xr:uid="{00000000-0005-0000-0000-00000A390000}"/>
    <cellStyle name="Date Short 13" xfId="14606" xr:uid="{00000000-0005-0000-0000-00000B390000}"/>
    <cellStyle name="Date Short 14" xfId="14607" xr:uid="{00000000-0005-0000-0000-00000C390000}"/>
    <cellStyle name="Date Short 15" xfId="14608" xr:uid="{00000000-0005-0000-0000-00000D390000}"/>
    <cellStyle name="Date Short 16" xfId="14609" xr:uid="{00000000-0005-0000-0000-00000E390000}"/>
    <cellStyle name="Date Short 17" xfId="14610" xr:uid="{00000000-0005-0000-0000-00000F390000}"/>
    <cellStyle name="Date Short 18" xfId="14611" xr:uid="{00000000-0005-0000-0000-000010390000}"/>
    <cellStyle name="Date Short 19" xfId="14612" xr:uid="{00000000-0005-0000-0000-000011390000}"/>
    <cellStyle name="Date Short 2" xfId="14613" xr:uid="{00000000-0005-0000-0000-000012390000}"/>
    <cellStyle name="Date Short 2 2" xfId="14614" xr:uid="{00000000-0005-0000-0000-000013390000}"/>
    <cellStyle name="Date Short 20" xfId="14615" xr:uid="{00000000-0005-0000-0000-000014390000}"/>
    <cellStyle name="Date Short 21" xfId="14616" xr:uid="{00000000-0005-0000-0000-000015390000}"/>
    <cellStyle name="Date Short 22" xfId="14617" xr:uid="{00000000-0005-0000-0000-000016390000}"/>
    <cellStyle name="Date Short 23" xfId="14618" xr:uid="{00000000-0005-0000-0000-000017390000}"/>
    <cellStyle name="Date Short 23 2" xfId="14619" xr:uid="{00000000-0005-0000-0000-000018390000}"/>
    <cellStyle name="Date Short 3" xfId="14620" xr:uid="{00000000-0005-0000-0000-000019390000}"/>
    <cellStyle name="Date Short 3 2" xfId="14621" xr:uid="{00000000-0005-0000-0000-00001A390000}"/>
    <cellStyle name="Date Short 4" xfId="14622" xr:uid="{00000000-0005-0000-0000-00001B390000}"/>
    <cellStyle name="Date Short 5" xfId="14623" xr:uid="{00000000-0005-0000-0000-00001C390000}"/>
    <cellStyle name="Date Short 6" xfId="14624" xr:uid="{00000000-0005-0000-0000-00001D390000}"/>
    <cellStyle name="Date Short 7" xfId="14625" xr:uid="{00000000-0005-0000-0000-00001E390000}"/>
    <cellStyle name="Date Short 8" xfId="14626" xr:uid="{00000000-0005-0000-0000-00001F390000}"/>
    <cellStyle name="Date Short 9" xfId="14627" xr:uid="{00000000-0005-0000-0000-000020390000}"/>
    <cellStyle name="Date_{6} Carry" xfId="14628" xr:uid="{00000000-0005-0000-0000-000021390000}"/>
    <cellStyle name="Date1" xfId="14629" xr:uid="{00000000-0005-0000-0000-000022390000}"/>
    <cellStyle name="Date1 10" xfId="14630" xr:uid="{00000000-0005-0000-0000-000023390000}"/>
    <cellStyle name="Date1 11" xfId="14631" xr:uid="{00000000-0005-0000-0000-000024390000}"/>
    <cellStyle name="Date1 12" xfId="14632" xr:uid="{00000000-0005-0000-0000-000025390000}"/>
    <cellStyle name="Date1 13" xfId="14633" xr:uid="{00000000-0005-0000-0000-000026390000}"/>
    <cellStyle name="Date1 14" xfId="14634" xr:uid="{00000000-0005-0000-0000-000027390000}"/>
    <cellStyle name="Date1 15" xfId="14635" xr:uid="{00000000-0005-0000-0000-000028390000}"/>
    <cellStyle name="Date1 16" xfId="14636" xr:uid="{00000000-0005-0000-0000-000029390000}"/>
    <cellStyle name="Date1 17" xfId="14637" xr:uid="{00000000-0005-0000-0000-00002A390000}"/>
    <cellStyle name="Date1 18" xfId="14638" xr:uid="{00000000-0005-0000-0000-00002B390000}"/>
    <cellStyle name="Date1 19" xfId="14639" xr:uid="{00000000-0005-0000-0000-00002C390000}"/>
    <cellStyle name="Date1 2" xfId="14640" xr:uid="{00000000-0005-0000-0000-00002D390000}"/>
    <cellStyle name="Date1 20" xfId="14641" xr:uid="{00000000-0005-0000-0000-00002E390000}"/>
    <cellStyle name="Date1 21" xfId="14642" xr:uid="{00000000-0005-0000-0000-00002F390000}"/>
    <cellStyle name="Date1 21 2" xfId="14643" xr:uid="{00000000-0005-0000-0000-000030390000}"/>
    <cellStyle name="Date1 3" xfId="14644" xr:uid="{00000000-0005-0000-0000-000031390000}"/>
    <cellStyle name="Date1 4" xfId="14645" xr:uid="{00000000-0005-0000-0000-000032390000}"/>
    <cellStyle name="Date1 5" xfId="14646" xr:uid="{00000000-0005-0000-0000-000033390000}"/>
    <cellStyle name="Date1 6" xfId="14647" xr:uid="{00000000-0005-0000-0000-000034390000}"/>
    <cellStyle name="Date1 7" xfId="14648" xr:uid="{00000000-0005-0000-0000-000035390000}"/>
    <cellStyle name="Date1 8" xfId="14649" xr:uid="{00000000-0005-0000-0000-000036390000}"/>
    <cellStyle name="Date1 9" xfId="14650" xr:uid="{00000000-0005-0000-0000-000037390000}"/>
    <cellStyle name="Date2" xfId="14651" xr:uid="{00000000-0005-0000-0000-000038390000}"/>
    <cellStyle name="Date2 10" xfId="14652" xr:uid="{00000000-0005-0000-0000-000039390000}"/>
    <cellStyle name="Date2 11" xfId="14653" xr:uid="{00000000-0005-0000-0000-00003A390000}"/>
    <cellStyle name="Date2 12" xfId="14654" xr:uid="{00000000-0005-0000-0000-00003B390000}"/>
    <cellStyle name="Date2 13" xfId="14655" xr:uid="{00000000-0005-0000-0000-00003C390000}"/>
    <cellStyle name="Date2 14" xfId="14656" xr:uid="{00000000-0005-0000-0000-00003D390000}"/>
    <cellStyle name="Date2 15" xfId="14657" xr:uid="{00000000-0005-0000-0000-00003E390000}"/>
    <cellStyle name="Date2 16" xfId="14658" xr:uid="{00000000-0005-0000-0000-00003F390000}"/>
    <cellStyle name="Date2 17" xfId="14659" xr:uid="{00000000-0005-0000-0000-000040390000}"/>
    <cellStyle name="Date2 18" xfId="14660" xr:uid="{00000000-0005-0000-0000-000041390000}"/>
    <cellStyle name="Date2 19" xfId="14661" xr:uid="{00000000-0005-0000-0000-000042390000}"/>
    <cellStyle name="Date2 2" xfId="14662" xr:uid="{00000000-0005-0000-0000-000043390000}"/>
    <cellStyle name="Date2 2 2" xfId="14663" xr:uid="{00000000-0005-0000-0000-000044390000}"/>
    <cellStyle name="Date2 20" xfId="14664" xr:uid="{00000000-0005-0000-0000-000045390000}"/>
    <cellStyle name="Date2 21" xfId="14665" xr:uid="{00000000-0005-0000-0000-000046390000}"/>
    <cellStyle name="Date2 22" xfId="14666" xr:uid="{00000000-0005-0000-0000-000047390000}"/>
    <cellStyle name="Date2 23" xfId="14667" xr:uid="{00000000-0005-0000-0000-000048390000}"/>
    <cellStyle name="Date2 23 2" xfId="14668" xr:uid="{00000000-0005-0000-0000-000049390000}"/>
    <cellStyle name="Date2 3" xfId="14669" xr:uid="{00000000-0005-0000-0000-00004A390000}"/>
    <cellStyle name="Date2 3 2" xfId="14670" xr:uid="{00000000-0005-0000-0000-00004B390000}"/>
    <cellStyle name="Date2 4" xfId="14671" xr:uid="{00000000-0005-0000-0000-00004C390000}"/>
    <cellStyle name="Date2 5" xfId="14672" xr:uid="{00000000-0005-0000-0000-00004D390000}"/>
    <cellStyle name="Date2 6" xfId="14673" xr:uid="{00000000-0005-0000-0000-00004E390000}"/>
    <cellStyle name="Date2 7" xfId="14674" xr:uid="{00000000-0005-0000-0000-00004F390000}"/>
    <cellStyle name="Date2 8" xfId="14675" xr:uid="{00000000-0005-0000-0000-000050390000}"/>
    <cellStyle name="Date2 9" xfId="14676" xr:uid="{00000000-0005-0000-0000-000051390000}"/>
    <cellStyle name="DateFormat" xfId="14677" xr:uid="{00000000-0005-0000-0000-000052390000}"/>
    <cellStyle name="DateFormat 10" xfId="14678" xr:uid="{00000000-0005-0000-0000-000053390000}"/>
    <cellStyle name="DateFormat 11" xfId="14679" xr:uid="{00000000-0005-0000-0000-000054390000}"/>
    <cellStyle name="DateFormat 12" xfId="14680" xr:uid="{00000000-0005-0000-0000-000055390000}"/>
    <cellStyle name="DateFormat 13" xfId="14681" xr:uid="{00000000-0005-0000-0000-000056390000}"/>
    <cellStyle name="DateFormat 14" xfId="14682" xr:uid="{00000000-0005-0000-0000-000057390000}"/>
    <cellStyle name="DateFormat 15" xfId="14683" xr:uid="{00000000-0005-0000-0000-000058390000}"/>
    <cellStyle name="DateFormat 16" xfId="14684" xr:uid="{00000000-0005-0000-0000-000059390000}"/>
    <cellStyle name="DateFormat 17" xfId="14685" xr:uid="{00000000-0005-0000-0000-00005A390000}"/>
    <cellStyle name="DateFormat 18" xfId="14686" xr:uid="{00000000-0005-0000-0000-00005B390000}"/>
    <cellStyle name="DateFormat 19" xfId="14687" xr:uid="{00000000-0005-0000-0000-00005C390000}"/>
    <cellStyle name="DateFormat 2" xfId="14688" xr:uid="{00000000-0005-0000-0000-00005D390000}"/>
    <cellStyle name="DateFormat 20" xfId="14689" xr:uid="{00000000-0005-0000-0000-00005E390000}"/>
    <cellStyle name="DateFormat 21" xfId="14690" xr:uid="{00000000-0005-0000-0000-00005F390000}"/>
    <cellStyle name="DateFormat 3" xfId="14691" xr:uid="{00000000-0005-0000-0000-000060390000}"/>
    <cellStyle name="DateFormat 4" xfId="14692" xr:uid="{00000000-0005-0000-0000-000061390000}"/>
    <cellStyle name="DateFormat 5" xfId="14693" xr:uid="{00000000-0005-0000-0000-000062390000}"/>
    <cellStyle name="DateFormat 6" xfId="14694" xr:uid="{00000000-0005-0000-0000-000063390000}"/>
    <cellStyle name="DateFormat 7" xfId="14695" xr:uid="{00000000-0005-0000-0000-000064390000}"/>
    <cellStyle name="DateFormat 8" xfId="14696" xr:uid="{00000000-0005-0000-0000-000065390000}"/>
    <cellStyle name="DateFormat 9" xfId="14697" xr:uid="{00000000-0005-0000-0000-000066390000}"/>
    <cellStyle name="dd" xfId="14698" xr:uid="{00000000-0005-0000-0000-000067390000}"/>
    <cellStyle name="dd 10" xfId="14699" xr:uid="{00000000-0005-0000-0000-000068390000}"/>
    <cellStyle name="dd 11" xfId="14700" xr:uid="{00000000-0005-0000-0000-000069390000}"/>
    <cellStyle name="dd 12" xfId="14701" xr:uid="{00000000-0005-0000-0000-00006A390000}"/>
    <cellStyle name="dd 13" xfId="14702" xr:uid="{00000000-0005-0000-0000-00006B390000}"/>
    <cellStyle name="dd 14" xfId="14703" xr:uid="{00000000-0005-0000-0000-00006C390000}"/>
    <cellStyle name="dd 15" xfId="14704" xr:uid="{00000000-0005-0000-0000-00006D390000}"/>
    <cellStyle name="dd 16" xfId="14705" xr:uid="{00000000-0005-0000-0000-00006E390000}"/>
    <cellStyle name="dd 17" xfId="14706" xr:uid="{00000000-0005-0000-0000-00006F390000}"/>
    <cellStyle name="dd 18" xfId="14707" xr:uid="{00000000-0005-0000-0000-000070390000}"/>
    <cellStyle name="dd 19" xfId="14708" xr:uid="{00000000-0005-0000-0000-000071390000}"/>
    <cellStyle name="dd 2" xfId="14709" xr:uid="{00000000-0005-0000-0000-000072390000}"/>
    <cellStyle name="dd 20" xfId="14710" xr:uid="{00000000-0005-0000-0000-000073390000}"/>
    <cellStyle name="dd 21" xfId="14711" xr:uid="{00000000-0005-0000-0000-000074390000}"/>
    <cellStyle name="dd 21 2" xfId="14712" xr:uid="{00000000-0005-0000-0000-000075390000}"/>
    <cellStyle name="dd 3" xfId="14713" xr:uid="{00000000-0005-0000-0000-000076390000}"/>
    <cellStyle name="dd 4" xfId="14714" xr:uid="{00000000-0005-0000-0000-000077390000}"/>
    <cellStyle name="dd 5" xfId="14715" xr:uid="{00000000-0005-0000-0000-000078390000}"/>
    <cellStyle name="dd 6" xfId="14716" xr:uid="{00000000-0005-0000-0000-000079390000}"/>
    <cellStyle name="dd 7" xfId="14717" xr:uid="{00000000-0005-0000-0000-00007A390000}"/>
    <cellStyle name="dd 8" xfId="14718" xr:uid="{00000000-0005-0000-0000-00007B390000}"/>
    <cellStyle name="dd 9" xfId="14719" xr:uid="{00000000-0005-0000-0000-00007C390000}"/>
    <cellStyle name="ddd" xfId="14720" xr:uid="{00000000-0005-0000-0000-00007D390000}"/>
    <cellStyle name="ddd 10" xfId="14721" xr:uid="{00000000-0005-0000-0000-00007E390000}"/>
    <cellStyle name="ddd 11" xfId="14722" xr:uid="{00000000-0005-0000-0000-00007F390000}"/>
    <cellStyle name="ddd 12" xfId="14723" xr:uid="{00000000-0005-0000-0000-000080390000}"/>
    <cellStyle name="ddd 13" xfId="14724" xr:uid="{00000000-0005-0000-0000-000081390000}"/>
    <cellStyle name="ddd 14" xfId="14725" xr:uid="{00000000-0005-0000-0000-000082390000}"/>
    <cellStyle name="ddd 15" xfId="14726" xr:uid="{00000000-0005-0000-0000-000083390000}"/>
    <cellStyle name="ddd 16" xfId="14727" xr:uid="{00000000-0005-0000-0000-000084390000}"/>
    <cellStyle name="ddd 17" xfId="14728" xr:uid="{00000000-0005-0000-0000-000085390000}"/>
    <cellStyle name="ddd 18" xfId="14729" xr:uid="{00000000-0005-0000-0000-000086390000}"/>
    <cellStyle name="ddd 19" xfId="14730" xr:uid="{00000000-0005-0000-0000-000087390000}"/>
    <cellStyle name="ddd 2" xfId="14731" xr:uid="{00000000-0005-0000-0000-000088390000}"/>
    <cellStyle name="ddd 20" xfId="14732" xr:uid="{00000000-0005-0000-0000-000089390000}"/>
    <cellStyle name="ddd 21" xfId="14733" xr:uid="{00000000-0005-0000-0000-00008A390000}"/>
    <cellStyle name="ddd 21 2" xfId="14734" xr:uid="{00000000-0005-0000-0000-00008B390000}"/>
    <cellStyle name="ddd 3" xfId="14735" xr:uid="{00000000-0005-0000-0000-00008C390000}"/>
    <cellStyle name="ddd 4" xfId="14736" xr:uid="{00000000-0005-0000-0000-00008D390000}"/>
    <cellStyle name="ddd 5" xfId="14737" xr:uid="{00000000-0005-0000-0000-00008E390000}"/>
    <cellStyle name="ddd 6" xfId="14738" xr:uid="{00000000-0005-0000-0000-00008F390000}"/>
    <cellStyle name="ddd 7" xfId="14739" xr:uid="{00000000-0005-0000-0000-000090390000}"/>
    <cellStyle name="ddd 8" xfId="14740" xr:uid="{00000000-0005-0000-0000-000091390000}"/>
    <cellStyle name="ddd 9" xfId="14741" xr:uid="{00000000-0005-0000-0000-000092390000}"/>
    <cellStyle name="Debit" xfId="14742" xr:uid="{00000000-0005-0000-0000-000093390000}"/>
    <cellStyle name="Debit 10" xfId="14743" xr:uid="{00000000-0005-0000-0000-000094390000}"/>
    <cellStyle name="Debit 11" xfId="14744" xr:uid="{00000000-0005-0000-0000-000095390000}"/>
    <cellStyle name="Debit 12" xfId="14745" xr:uid="{00000000-0005-0000-0000-000096390000}"/>
    <cellStyle name="Debit 13" xfId="14746" xr:uid="{00000000-0005-0000-0000-000097390000}"/>
    <cellStyle name="Debit 14" xfId="14747" xr:uid="{00000000-0005-0000-0000-000098390000}"/>
    <cellStyle name="Debit 15" xfId="14748" xr:uid="{00000000-0005-0000-0000-000099390000}"/>
    <cellStyle name="Debit 16" xfId="14749" xr:uid="{00000000-0005-0000-0000-00009A390000}"/>
    <cellStyle name="Debit 17" xfId="14750" xr:uid="{00000000-0005-0000-0000-00009B390000}"/>
    <cellStyle name="Debit 18" xfId="14751" xr:uid="{00000000-0005-0000-0000-00009C390000}"/>
    <cellStyle name="Debit 19" xfId="14752" xr:uid="{00000000-0005-0000-0000-00009D390000}"/>
    <cellStyle name="Debit 2" xfId="14753" xr:uid="{00000000-0005-0000-0000-00009E390000}"/>
    <cellStyle name="Debit 2 2" xfId="14754" xr:uid="{00000000-0005-0000-0000-00009F390000}"/>
    <cellStyle name="Debit 20" xfId="14755" xr:uid="{00000000-0005-0000-0000-0000A0390000}"/>
    <cellStyle name="Debit 21" xfId="14756" xr:uid="{00000000-0005-0000-0000-0000A1390000}"/>
    <cellStyle name="Debit 22" xfId="14757" xr:uid="{00000000-0005-0000-0000-0000A2390000}"/>
    <cellStyle name="Debit 23" xfId="14758" xr:uid="{00000000-0005-0000-0000-0000A3390000}"/>
    <cellStyle name="Debit 24" xfId="14759" xr:uid="{00000000-0005-0000-0000-0000A4390000}"/>
    <cellStyle name="Debit 25" xfId="14760" xr:uid="{00000000-0005-0000-0000-0000A5390000}"/>
    <cellStyle name="Debit 26" xfId="14761" xr:uid="{00000000-0005-0000-0000-0000A6390000}"/>
    <cellStyle name="Debit 27" xfId="14762" xr:uid="{00000000-0005-0000-0000-0000A7390000}"/>
    <cellStyle name="Debit 28" xfId="14763" xr:uid="{00000000-0005-0000-0000-0000A8390000}"/>
    <cellStyle name="Debit 29" xfId="14764" xr:uid="{00000000-0005-0000-0000-0000A9390000}"/>
    <cellStyle name="Debit 3" xfId="14765" xr:uid="{00000000-0005-0000-0000-0000AA390000}"/>
    <cellStyle name="Debit 3 2" xfId="14766" xr:uid="{00000000-0005-0000-0000-0000AB390000}"/>
    <cellStyle name="Debit 30" xfId="14767" xr:uid="{00000000-0005-0000-0000-0000AC390000}"/>
    <cellStyle name="Debit 31" xfId="14768" xr:uid="{00000000-0005-0000-0000-0000AD390000}"/>
    <cellStyle name="Debit 31 2" xfId="14769" xr:uid="{00000000-0005-0000-0000-0000AE390000}"/>
    <cellStyle name="Debit 32" xfId="14770" xr:uid="{00000000-0005-0000-0000-0000AF390000}"/>
    <cellStyle name="Debit 33" xfId="14771" xr:uid="{00000000-0005-0000-0000-0000B0390000}"/>
    <cellStyle name="Debit 34" xfId="14772" xr:uid="{00000000-0005-0000-0000-0000B1390000}"/>
    <cellStyle name="Debit 35" xfId="14773" xr:uid="{00000000-0005-0000-0000-0000B2390000}"/>
    <cellStyle name="Debit 36" xfId="14774" xr:uid="{00000000-0005-0000-0000-0000B3390000}"/>
    <cellStyle name="Debit 37" xfId="14775" xr:uid="{00000000-0005-0000-0000-0000B4390000}"/>
    <cellStyle name="Debit 38" xfId="14776" xr:uid="{00000000-0005-0000-0000-0000B5390000}"/>
    <cellStyle name="Debit 39" xfId="14777" xr:uid="{00000000-0005-0000-0000-0000B6390000}"/>
    <cellStyle name="Debit 4" xfId="14778" xr:uid="{00000000-0005-0000-0000-0000B7390000}"/>
    <cellStyle name="Debit 40" xfId="14779" xr:uid="{00000000-0005-0000-0000-0000B8390000}"/>
    <cellStyle name="Debit 5" xfId="14780" xr:uid="{00000000-0005-0000-0000-0000B9390000}"/>
    <cellStyle name="Debit 6" xfId="14781" xr:uid="{00000000-0005-0000-0000-0000BA390000}"/>
    <cellStyle name="Debit 7" xfId="14782" xr:uid="{00000000-0005-0000-0000-0000BB390000}"/>
    <cellStyle name="Debit 8" xfId="14783" xr:uid="{00000000-0005-0000-0000-0000BC390000}"/>
    <cellStyle name="Debit 9" xfId="14784" xr:uid="{00000000-0005-0000-0000-0000BD390000}"/>
    <cellStyle name="Debit subtotal" xfId="14785" xr:uid="{00000000-0005-0000-0000-0000BE390000}"/>
    <cellStyle name="Debit subtotal 10" xfId="14786" xr:uid="{00000000-0005-0000-0000-0000BF390000}"/>
    <cellStyle name="Debit subtotal 11" xfId="14787" xr:uid="{00000000-0005-0000-0000-0000C0390000}"/>
    <cellStyle name="Debit subtotal 12" xfId="14788" xr:uid="{00000000-0005-0000-0000-0000C1390000}"/>
    <cellStyle name="Debit subtotal 13" xfId="14789" xr:uid="{00000000-0005-0000-0000-0000C2390000}"/>
    <cellStyle name="Debit subtotal 14" xfId="14790" xr:uid="{00000000-0005-0000-0000-0000C3390000}"/>
    <cellStyle name="Debit subtotal 15" xfId="14791" xr:uid="{00000000-0005-0000-0000-0000C4390000}"/>
    <cellStyle name="Debit subtotal 16" xfId="14792" xr:uid="{00000000-0005-0000-0000-0000C5390000}"/>
    <cellStyle name="Debit subtotal 17" xfId="14793" xr:uid="{00000000-0005-0000-0000-0000C6390000}"/>
    <cellStyle name="Debit subtotal 18" xfId="14794" xr:uid="{00000000-0005-0000-0000-0000C7390000}"/>
    <cellStyle name="Debit subtotal 19" xfId="14795" xr:uid="{00000000-0005-0000-0000-0000C8390000}"/>
    <cellStyle name="Debit subtotal 2" xfId="14796" xr:uid="{00000000-0005-0000-0000-0000C9390000}"/>
    <cellStyle name="Debit subtotal 2 2" xfId="14797" xr:uid="{00000000-0005-0000-0000-0000CA390000}"/>
    <cellStyle name="Debit subtotal 20" xfId="14798" xr:uid="{00000000-0005-0000-0000-0000CB390000}"/>
    <cellStyle name="Debit subtotal 21" xfId="14799" xr:uid="{00000000-0005-0000-0000-0000CC390000}"/>
    <cellStyle name="Debit subtotal 22" xfId="14800" xr:uid="{00000000-0005-0000-0000-0000CD390000}"/>
    <cellStyle name="Debit subtotal 23" xfId="14801" xr:uid="{00000000-0005-0000-0000-0000CE390000}"/>
    <cellStyle name="Debit subtotal 24" xfId="14802" xr:uid="{00000000-0005-0000-0000-0000CF390000}"/>
    <cellStyle name="Debit subtotal 25" xfId="14803" xr:uid="{00000000-0005-0000-0000-0000D0390000}"/>
    <cellStyle name="Debit subtotal 26" xfId="14804" xr:uid="{00000000-0005-0000-0000-0000D1390000}"/>
    <cellStyle name="Debit subtotal 27" xfId="14805" xr:uid="{00000000-0005-0000-0000-0000D2390000}"/>
    <cellStyle name="Debit subtotal 28" xfId="14806" xr:uid="{00000000-0005-0000-0000-0000D3390000}"/>
    <cellStyle name="Debit subtotal 29" xfId="14807" xr:uid="{00000000-0005-0000-0000-0000D4390000}"/>
    <cellStyle name="Debit subtotal 3" xfId="14808" xr:uid="{00000000-0005-0000-0000-0000D5390000}"/>
    <cellStyle name="Debit subtotal 3 2" xfId="14809" xr:uid="{00000000-0005-0000-0000-0000D6390000}"/>
    <cellStyle name="Debit subtotal 30" xfId="14810" xr:uid="{00000000-0005-0000-0000-0000D7390000}"/>
    <cellStyle name="Debit subtotal 31" xfId="14811" xr:uid="{00000000-0005-0000-0000-0000D8390000}"/>
    <cellStyle name="Debit subtotal 31 2" xfId="14812" xr:uid="{00000000-0005-0000-0000-0000D9390000}"/>
    <cellStyle name="Debit subtotal 32" xfId="14813" xr:uid="{00000000-0005-0000-0000-0000DA390000}"/>
    <cellStyle name="Debit subtotal 33" xfId="14814" xr:uid="{00000000-0005-0000-0000-0000DB390000}"/>
    <cellStyle name="Debit subtotal 34" xfId="14815" xr:uid="{00000000-0005-0000-0000-0000DC390000}"/>
    <cellStyle name="Debit subtotal 35" xfId="14816" xr:uid="{00000000-0005-0000-0000-0000DD390000}"/>
    <cellStyle name="Debit subtotal 36" xfId="14817" xr:uid="{00000000-0005-0000-0000-0000DE390000}"/>
    <cellStyle name="Debit subtotal 37" xfId="14818" xr:uid="{00000000-0005-0000-0000-0000DF390000}"/>
    <cellStyle name="Debit subtotal 38" xfId="14819" xr:uid="{00000000-0005-0000-0000-0000E0390000}"/>
    <cellStyle name="Debit subtotal 39" xfId="14820" xr:uid="{00000000-0005-0000-0000-0000E1390000}"/>
    <cellStyle name="Debit subtotal 4" xfId="14821" xr:uid="{00000000-0005-0000-0000-0000E2390000}"/>
    <cellStyle name="Debit subtotal 40" xfId="14822" xr:uid="{00000000-0005-0000-0000-0000E3390000}"/>
    <cellStyle name="Debit subtotal 5" xfId="14823" xr:uid="{00000000-0005-0000-0000-0000E4390000}"/>
    <cellStyle name="Debit subtotal 6" xfId="14824" xr:uid="{00000000-0005-0000-0000-0000E5390000}"/>
    <cellStyle name="Debit subtotal 7" xfId="14825" xr:uid="{00000000-0005-0000-0000-0000E6390000}"/>
    <cellStyle name="Debit subtotal 8" xfId="14826" xr:uid="{00000000-0005-0000-0000-0000E7390000}"/>
    <cellStyle name="Debit subtotal 9" xfId="14827" xr:uid="{00000000-0005-0000-0000-0000E8390000}"/>
    <cellStyle name="Debit Total" xfId="14828" xr:uid="{00000000-0005-0000-0000-0000E9390000}"/>
    <cellStyle name="Debit Total 10" xfId="14829" xr:uid="{00000000-0005-0000-0000-0000EA390000}"/>
    <cellStyle name="Debit Total 11" xfId="14830" xr:uid="{00000000-0005-0000-0000-0000EB390000}"/>
    <cellStyle name="Debit Total 12" xfId="14831" xr:uid="{00000000-0005-0000-0000-0000EC390000}"/>
    <cellStyle name="Debit Total 13" xfId="14832" xr:uid="{00000000-0005-0000-0000-0000ED390000}"/>
    <cellStyle name="Debit Total 14" xfId="14833" xr:uid="{00000000-0005-0000-0000-0000EE390000}"/>
    <cellStyle name="Debit Total 15" xfId="14834" xr:uid="{00000000-0005-0000-0000-0000EF390000}"/>
    <cellStyle name="Debit Total 16" xfId="14835" xr:uid="{00000000-0005-0000-0000-0000F0390000}"/>
    <cellStyle name="Debit Total 17" xfId="14836" xr:uid="{00000000-0005-0000-0000-0000F1390000}"/>
    <cellStyle name="Debit Total 18" xfId="14837" xr:uid="{00000000-0005-0000-0000-0000F2390000}"/>
    <cellStyle name="Debit Total 19" xfId="14838" xr:uid="{00000000-0005-0000-0000-0000F3390000}"/>
    <cellStyle name="Debit Total 2" xfId="14839" xr:uid="{00000000-0005-0000-0000-0000F4390000}"/>
    <cellStyle name="Debit Total 2 2" xfId="14840" xr:uid="{00000000-0005-0000-0000-0000F5390000}"/>
    <cellStyle name="Debit Total 20" xfId="14841" xr:uid="{00000000-0005-0000-0000-0000F6390000}"/>
    <cellStyle name="Debit Total 21" xfId="14842" xr:uid="{00000000-0005-0000-0000-0000F7390000}"/>
    <cellStyle name="Debit Total 22" xfId="14843" xr:uid="{00000000-0005-0000-0000-0000F8390000}"/>
    <cellStyle name="Debit Total 23" xfId="14844" xr:uid="{00000000-0005-0000-0000-0000F9390000}"/>
    <cellStyle name="Debit Total 24" xfId="14845" xr:uid="{00000000-0005-0000-0000-0000FA390000}"/>
    <cellStyle name="Debit Total 25" xfId="14846" xr:uid="{00000000-0005-0000-0000-0000FB390000}"/>
    <cellStyle name="Debit Total 26" xfId="14847" xr:uid="{00000000-0005-0000-0000-0000FC390000}"/>
    <cellStyle name="Debit Total 27" xfId="14848" xr:uid="{00000000-0005-0000-0000-0000FD390000}"/>
    <cellStyle name="Debit Total 28" xfId="14849" xr:uid="{00000000-0005-0000-0000-0000FE390000}"/>
    <cellStyle name="Debit Total 29" xfId="14850" xr:uid="{00000000-0005-0000-0000-0000FF390000}"/>
    <cellStyle name="Debit Total 3" xfId="14851" xr:uid="{00000000-0005-0000-0000-0000003A0000}"/>
    <cellStyle name="Debit Total 3 2" xfId="14852" xr:uid="{00000000-0005-0000-0000-0000013A0000}"/>
    <cellStyle name="Debit Total 30" xfId="14853" xr:uid="{00000000-0005-0000-0000-0000023A0000}"/>
    <cellStyle name="Debit Total 31" xfId="14854" xr:uid="{00000000-0005-0000-0000-0000033A0000}"/>
    <cellStyle name="Debit Total 31 2" xfId="14855" xr:uid="{00000000-0005-0000-0000-0000043A0000}"/>
    <cellStyle name="Debit Total 32" xfId="14856" xr:uid="{00000000-0005-0000-0000-0000053A0000}"/>
    <cellStyle name="Debit Total 33" xfId="14857" xr:uid="{00000000-0005-0000-0000-0000063A0000}"/>
    <cellStyle name="Debit Total 34" xfId="14858" xr:uid="{00000000-0005-0000-0000-0000073A0000}"/>
    <cellStyle name="Debit Total 35" xfId="14859" xr:uid="{00000000-0005-0000-0000-0000083A0000}"/>
    <cellStyle name="Debit Total 36" xfId="14860" xr:uid="{00000000-0005-0000-0000-0000093A0000}"/>
    <cellStyle name="Debit Total 37" xfId="14861" xr:uid="{00000000-0005-0000-0000-00000A3A0000}"/>
    <cellStyle name="Debit Total 38" xfId="14862" xr:uid="{00000000-0005-0000-0000-00000B3A0000}"/>
    <cellStyle name="Debit Total 39" xfId="14863" xr:uid="{00000000-0005-0000-0000-00000C3A0000}"/>
    <cellStyle name="Debit Total 4" xfId="14864" xr:uid="{00000000-0005-0000-0000-00000D3A0000}"/>
    <cellStyle name="Debit Total 40" xfId="14865" xr:uid="{00000000-0005-0000-0000-00000E3A0000}"/>
    <cellStyle name="Debit Total 5" xfId="14866" xr:uid="{00000000-0005-0000-0000-00000F3A0000}"/>
    <cellStyle name="Debit Total 6" xfId="14867" xr:uid="{00000000-0005-0000-0000-0000103A0000}"/>
    <cellStyle name="Debit Total 7" xfId="14868" xr:uid="{00000000-0005-0000-0000-0000113A0000}"/>
    <cellStyle name="Debit Total 8" xfId="14869" xr:uid="{00000000-0005-0000-0000-0000123A0000}"/>
    <cellStyle name="Debit Total 9" xfId="14870" xr:uid="{00000000-0005-0000-0000-0000133A0000}"/>
    <cellStyle name="Debit_{6} Carry" xfId="14871" xr:uid="{00000000-0005-0000-0000-0000143A0000}"/>
    <cellStyle name="Default" xfId="14872" xr:uid="{00000000-0005-0000-0000-0000153A0000}"/>
    <cellStyle name="Default 10" xfId="14873" xr:uid="{00000000-0005-0000-0000-0000163A0000}"/>
    <cellStyle name="Default 11" xfId="14874" xr:uid="{00000000-0005-0000-0000-0000173A0000}"/>
    <cellStyle name="Default 12" xfId="14875" xr:uid="{00000000-0005-0000-0000-0000183A0000}"/>
    <cellStyle name="Default 13" xfId="14876" xr:uid="{00000000-0005-0000-0000-0000193A0000}"/>
    <cellStyle name="Default 14" xfId="14877" xr:uid="{00000000-0005-0000-0000-00001A3A0000}"/>
    <cellStyle name="Default 15" xfId="14878" xr:uid="{00000000-0005-0000-0000-00001B3A0000}"/>
    <cellStyle name="Default 16" xfId="14879" xr:uid="{00000000-0005-0000-0000-00001C3A0000}"/>
    <cellStyle name="Default 17" xfId="14880" xr:uid="{00000000-0005-0000-0000-00001D3A0000}"/>
    <cellStyle name="Default 18" xfId="14881" xr:uid="{00000000-0005-0000-0000-00001E3A0000}"/>
    <cellStyle name="Default 19" xfId="14882" xr:uid="{00000000-0005-0000-0000-00001F3A0000}"/>
    <cellStyle name="Default 2" xfId="14883" xr:uid="{00000000-0005-0000-0000-0000203A0000}"/>
    <cellStyle name="Default 20" xfId="14884" xr:uid="{00000000-0005-0000-0000-0000213A0000}"/>
    <cellStyle name="Default 21" xfId="14885" xr:uid="{00000000-0005-0000-0000-0000223A0000}"/>
    <cellStyle name="Default 21 2" xfId="14886" xr:uid="{00000000-0005-0000-0000-0000233A0000}"/>
    <cellStyle name="Default 3" xfId="14887" xr:uid="{00000000-0005-0000-0000-0000243A0000}"/>
    <cellStyle name="Default 4" xfId="14888" xr:uid="{00000000-0005-0000-0000-0000253A0000}"/>
    <cellStyle name="Default 5" xfId="14889" xr:uid="{00000000-0005-0000-0000-0000263A0000}"/>
    <cellStyle name="Default 6" xfId="14890" xr:uid="{00000000-0005-0000-0000-0000273A0000}"/>
    <cellStyle name="Default 7" xfId="14891" xr:uid="{00000000-0005-0000-0000-0000283A0000}"/>
    <cellStyle name="Default 8" xfId="14892" xr:uid="{00000000-0005-0000-0000-0000293A0000}"/>
    <cellStyle name="Default 9" xfId="14893" xr:uid="{00000000-0005-0000-0000-00002A3A0000}"/>
    <cellStyle name="Default_Dist Summary_11.XX.09" xfId="14894" xr:uid="{00000000-0005-0000-0000-00002B3A0000}"/>
    <cellStyle name="Dezimal (0.0)" xfId="14895" xr:uid="{00000000-0005-0000-0000-00002C3A0000}"/>
    <cellStyle name="Dezimal (0.0) 10" xfId="14896" xr:uid="{00000000-0005-0000-0000-00002D3A0000}"/>
    <cellStyle name="Dezimal (0.0) 10 2" xfId="14897" xr:uid="{00000000-0005-0000-0000-00002E3A0000}"/>
    <cellStyle name="Dezimal (0.0) 11" xfId="14898" xr:uid="{00000000-0005-0000-0000-00002F3A0000}"/>
    <cellStyle name="Dezimal (0.0) 12" xfId="14899" xr:uid="{00000000-0005-0000-0000-0000303A0000}"/>
    <cellStyle name="Dezimal (0.0) 13" xfId="14900" xr:uid="{00000000-0005-0000-0000-0000313A0000}"/>
    <cellStyle name="Dezimal (0.0) 14" xfId="14901" xr:uid="{00000000-0005-0000-0000-0000323A0000}"/>
    <cellStyle name="Dezimal (0.0) 15" xfId="14902" xr:uid="{00000000-0005-0000-0000-0000333A0000}"/>
    <cellStyle name="Dezimal (0.0) 16" xfId="14903" xr:uid="{00000000-0005-0000-0000-0000343A0000}"/>
    <cellStyle name="Dezimal (0.0) 17" xfId="14904" xr:uid="{00000000-0005-0000-0000-0000353A0000}"/>
    <cellStyle name="Dezimal (0.0) 18" xfId="14905" xr:uid="{00000000-0005-0000-0000-0000363A0000}"/>
    <cellStyle name="Dezimal (0.0) 19" xfId="14906" xr:uid="{00000000-0005-0000-0000-0000373A0000}"/>
    <cellStyle name="Dezimal (0.0) 2" xfId="14907" xr:uid="{00000000-0005-0000-0000-0000383A0000}"/>
    <cellStyle name="Dezimal (0.0) 2 2" xfId="14908" xr:uid="{00000000-0005-0000-0000-0000393A0000}"/>
    <cellStyle name="Dezimal (0.0) 20" xfId="14909" xr:uid="{00000000-0005-0000-0000-00003A3A0000}"/>
    <cellStyle name="Dezimal (0.0) 21" xfId="14910" xr:uid="{00000000-0005-0000-0000-00003B3A0000}"/>
    <cellStyle name="Dezimal (0.0) 22" xfId="14911" xr:uid="{00000000-0005-0000-0000-00003C3A0000}"/>
    <cellStyle name="Dezimal (0.0) 23" xfId="14912" xr:uid="{00000000-0005-0000-0000-00003D3A0000}"/>
    <cellStyle name="Dezimal (0.0) 24" xfId="14913" xr:uid="{00000000-0005-0000-0000-00003E3A0000}"/>
    <cellStyle name="Dezimal (0.0) 25" xfId="14914" xr:uid="{00000000-0005-0000-0000-00003F3A0000}"/>
    <cellStyle name="Dezimal (0.0) 25 2" xfId="14915" xr:uid="{00000000-0005-0000-0000-0000403A0000}"/>
    <cellStyle name="Dezimal (0.0) 26" xfId="14916" xr:uid="{00000000-0005-0000-0000-0000413A0000}"/>
    <cellStyle name="Dezimal (0.0) 26 2" xfId="14917" xr:uid="{00000000-0005-0000-0000-0000423A0000}"/>
    <cellStyle name="Dezimal (0.0) 27" xfId="14918" xr:uid="{00000000-0005-0000-0000-0000433A0000}"/>
    <cellStyle name="Dezimal (0.0) 28" xfId="14919" xr:uid="{00000000-0005-0000-0000-0000443A0000}"/>
    <cellStyle name="Dezimal (0.0) 29" xfId="14920" xr:uid="{00000000-0005-0000-0000-0000453A0000}"/>
    <cellStyle name="Dezimal (0.0) 3" xfId="14921" xr:uid="{00000000-0005-0000-0000-0000463A0000}"/>
    <cellStyle name="Dezimal (0.0) 3 2" xfId="14922" xr:uid="{00000000-0005-0000-0000-0000473A0000}"/>
    <cellStyle name="Dezimal (0.0) 30" xfId="14923" xr:uid="{00000000-0005-0000-0000-0000483A0000}"/>
    <cellStyle name="Dezimal (0.0) 31" xfId="14924" xr:uid="{00000000-0005-0000-0000-0000493A0000}"/>
    <cellStyle name="Dezimal (0.0) 31 2" xfId="14925" xr:uid="{00000000-0005-0000-0000-00004A3A0000}"/>
    <cellStyle name="Dezimal (0.0) 32" xfId="14926" xr:uid="{00000000-0005-0000-0000-00004B3A0000}"/>
    <cellStyle name="Dezimal (0.0) 33" xfId="14927" xr:uid="{00000000-0005-0000-0000-00004C3A0000}"/>
    <cellStyle name="Dezimal (0.0) 34" xfId="14928" xr:uid="{00000000-0005-0000-0000-00004D3A0000}"/>
    <cellStyle name="Dezimal (0.0) 35" xfId="14929" xr:uid="{00000000-0005-0000-0000-00004E3A0000}"/>
    <cellStyle name="Dezimal (0.0) 36" xfId="14930" xr:uid="{00000000-0005-0000-0000-00004F3A0000}"/>
    <cellStyle name="Dezimal (0.0) 37" xfId="14931" xr:uid="{00000000-0005-0000-0000-0000503A0000}"/>
    <cellStyle name="Dezimal (0.0) 38" xfId="14932" xr:uid="{00000000-0005-0000-0000-0000513A0000}"/>
    <cellStyle name="Dezimal (0.0) 39" xfId="14933" xr:uid="{00000000-0005-0000-0000-0000523A0000}"/>
    <cellStyle name="Dezimal (0.0) 4" xfId="14934" xr:uid="{00000000-0005-0000-0000-0000533A0000}"/>
    <cellStyle name="Dezimal (0.0) 40" xfId="14935" xr:uid="{00000000-0005-0000-0000-0000543A0000}"/>
    <cellStyle name="Dezimal (0.0) 5" xfId="14936" xr:uid="{00000000-0005-0000-0000-0000553A0000}"/>
    <cellStyle name="Dezimal (0.0) 5 2" xfId="14937" xr:uid="{00000000-0005-0000-0000-0000563A0000}"/>
    <cellStyle name="Dezimal (0.0) 6" xfId="14938" xr:uid="{00000000-0005-0000-0000-0000573A0000}"/>
    <cellStyle name="Dezimal (0.0) 6 2" xfId="14939" xr:uid="{00000000-0005-0000-0000-0000583A0000}"/>
    <cellStyle name="Dezimal (0.0) 7" xfId="14940" xr:uid="{00000000-0005-0000-0000-0000593A0000}"/>
    <cellStyle name="Dezimal (0.0) 7 2" xfId="14941" xr:uid="{00000000-0005-0000-0000-00005A3A0000}"/>
    <cellStyle name="Dezimal (0.0) 8" xfId="14942" xr:uid="{00000000-0005-0000-0000-00005B3A0000}"/>
    <cellStyle name="Dezimal (0.0) 8 2" xfId="14943" xr:uid="{00000000-0005-0000-0000-00005C3A0000}"/>
    <cellStyle name="Dezimal (0.0) 9" xfId="14944" xr:uid="{00000000-0005-0000-0000-00005D3A0000}"/>
    <cellStyle name="Dezimal (0.0) 9 2" xfId="14945" xr:uid="{00000000-0005-0000-0000-00005E3A0000}"/>
    <cellStyle name="Dezimal [0]_EM_GLOB" xfId="14946" xr:uid="{00000000-0005-0000-0000-00005F3A0000}"/>
    <cellStyle name="Dezimal_EM_GLOB" xfId="14947" xr:uid="{00000000-0005-0000-0000-0000603A0000}"/>
    <cellStyle name="Diseño" xfId="14948" xr:uid="{00000000-0005-0000-0000-0000613A0000}"/>
    <cellStyle name="Diseño 10" xfId="14949" xr:uid="{00000000-0005-0000-0000-0000623A0000}"/>
    <cellStyle name="Diseño 11" xfId="14950" xr:uid="{00000000-0005-0000-0000-0000633A0000}"/>
    <cellStyle name="Diseño 12" xfId="14951" xr:uid="{00000000-0005-0000-0000-0000643A0000}"/>
    <cellStyle name="Diseño 13" xfId="14952" xr:uid="{00000000-0005-0000-0000-0000653A0000}"/>
    <cellStyle name="Diseño 14" xfId="14953" xr:uid="{00000000-0005-0000-0000-0000663A0000}"/>
    <cellStyle name="Diseño 15" xfId="14954" xr:uid="{00000000-0005-0000-0000-0000673A0000}"/>
    <cellStyle name="Diseño 16" xfId="14955" xr:uid="{00000000-0005-0000-0000-0000683A0000}"/>
    <cellStyle name="Diseño 17" xfId="14956" xr:uid="{00000000-0005-0000-0000-0000693A0000}"/>
    <cellStyle name="Diseño 18" xfId="14957" xr:uid="{00000000-0005-0000-0000-00006A3A0000}"/>
    <cellStyle name="Diseño 19" xfId="14958" xr:uid="{00000000-0005-0000-0000-00006B3A0000}"/>
    <cellStyle name="Diseño 2" xfId="14959" xr:uid="{00000000-0005-0000-0000-00006C3A0000}"/>
    <cellStyle name="Diseño 20" xfId="14960" xr:uid="{00000000-0005-0000-0000-00006D3A0000}"/>
    <cellStyle name="Diseño 21" xfId="14961" xr:uid="{00000000-0005-0000-0000-00006E3A0000}"/>
    <cellStyle name="Diseño 21 2" xfId="14962" xr:uid="{00000000-0005-0000-0000-00006F3A0000}"/>
    <cellStyle name="Diseño 3" xfId="14963" xr:uid="{00000000-0005-0000-0000-0000703A0000}"/>
    <cellStyle name="Diseño 4" xfId="14964" xr:uid="{00000000-0005-0000-0000-0000713A0000}"/>
    <cellStyle name="Diseño 5" xfId="14965" xr:uid="{00000000-0005-0000-0000-0000723A0000}"/>
    <cellStyle name="Diseño 6" xfId="14966" xr:uid="{00000000-0005-0000-0000-0000733A0000}"/>
    <cellStyle name="Diseño 7" xfId="14967" xr:uid="{00000000-0005-0000-0000-0000743A0000}"/>
    <cellStyle name="Diseño 8" xfId="14968" xr:uid="{00000000-0005-0000-0000-0000753A0000}"/>
    <cellStyle name="Diseño 9" xfId="14969" xr:uid="{00000000-0005-0000-0000-0000763A0000}"/>
    <cellStyle name="division report" xfId="14970" xr:uid="{00000000-0005-0000-0000-0000773A0000}"/>
    <cellStyle name="division report 10" xfId="14971" xr:uid="{00000000-0005-0000-0000-0000783A0000}"/>
    <cellStyle name="division report 11" xfId="14972" xr:uid="{00000000-0005-0000-0000-0000793A0000}"/>
    <cellStyle name="division report 12" xfId="14973" xr:uid="{00000000-0005-0000-0000-00007A3A0000}"/>
    <cellStyle name="division report 13" xfId="14974" xr:uid="{00000000-0005-0000-0000-00007B3A0000}"/>
    <cellStyle name="division report 14" xfId="14975" xr:uid="{00000000-0005-0000-0000-00007C3A0000}"/>
    <cellStyle name="division report 15" xfId="14976" xr:uid="{00000000-0005-0000-0000-00007D3A0000}"/>
    <cellStyle name="division report 16" xfId="14977" xr:uid="{00000000-0005-0000-0000-00007E3A0000}"/>
    <cellStyle name="division report 17" xfId="14978" xr:uid="{00000000-0005-0000-0000-00007F3A0000}"/>
    <cellStyle name="division report 18" xfId="14979" xr:uid="{00000000-0005-0000-0000-0000803A0000}"/>
    <cellStyle name="division report 19" xfId="14980" xr:uid="{00000000-0005-0000-0000-0000813A0000}"/>
    <cellStyle name="division report 2" xfId="14981" xr:uid="{00000000-0005-0000-0000-0000823A0000}"/>
    <cellStyle name="division report 2 2" xfId="14982" xr:uid="{00000000-0005-0000-0000-0000833A0000}"/>
    <cellStyle name="division report 20" xfId="14983" xr:uid="{00000000-0005-0000-0000-0000843A0000}"/>
    <cellStyle name="division report 21" xfId="14984" xr:uid="{00000000-0005-0000-0000-0000853A0000}"/>
    <cellStyle name="division report 22" xfId="14985" xr:uid="{00000000-0005-0000-0000-0000863A0000}"/>
    <cellStyle name="division report 23" xfId="14986" xr:uid="{00000000-0005-0000-0000-0000873A0000}"/>
    <cellStyle name="division report 23 2" xfId="14987" xr:uid="{00000000-0005-0000-0000-0000883A0000}"/>
    <cellStyle name="division report 3" xfId="14988" xr:uid="{00000000-0005-0000-0000-0000893A0000}"/>
    <cellStyle name="division report 3 2" xfId="14989" xr:uid="{00000000-0005-0000-0000-00008A3A0000}"/>
    <cellStyle name="division report 4" xfId="14990" xr:uid="{00000000-0005-0000-0000-00008B3A0000}"/>
    <cellStyle name="division report 5" xfId="14991" xr:uid="{00000000-0005-0000-0000-00008C3A0000}"/>
    <cellStyle name="division report 6" xfId="14992" xr:uid="{00000000-0005-0000-0000-00008D3A0000}"/>
    <cellStyle name="division report 7" xfId="14993" xr:uid="{00000000-0005-0000-0000-00008E3A0000}"/>
    <cellStyle name="division report 8" xfId="14994" xr:uid="{00000000-0005-0000-0000-00008F3A0000}"/>
    <cellStyle name="division report 9" xfId="14995" xr:uid="{00000000-0005-0000-0000-0000903A0000}"/>
    <cellStyle name="Dollar" xfId="14996" xr:uid="{00000000-0005-0000-0000-0000913A0000}"/>
    <cellStyle name="Dollar - Style5" xfId="14997" xr:uid="{00000000-0005-0000-0000-0000923A0000}"/>
    <cellStyle name="Dollar - Style5 10" xfId="14998" xr:uid="{00000000-0005-0000-0000-0000933A0000}"/>
    <cellStyle name="Dollar - Style5 11" xfId="14999" xr:uid="{00000000-0005-0000-0000-0000943A0000}"/>
    <cellStyle name="Dollar - Style5 12" xfId="15000" xr:uid="{00000000-0005-0000-0000-0000953A0000}"/>
    <cellStyle name="Dollar - Style5 13" xfId="15001" xr:uid="{00000000-0005-0000-0000-0000963A0000}"/>
    <cellStyle name="Dollar - Style5 14" xfId="15002" xr:uid="{00000000-0005-0000-0000-0000973A0000}"/>
    <cellStyle name="Dollar - Style5 15" xfId="15003" xr:uid="{00000000-0005-0000-0000-0000983A0000}"/>
    <cellStyle name="Dollar - Style5 16" xfId="15004" xr:uid="{00000000-0005-0000-0000-0000993A0000}"/>
    <cellStyle name="Dollar - Style5 17" xfId="15005" xr:uid="{00000000-0005-0000-0000-00009A3A0000}"/>
    <cellStyle name="Dollar - Style5 18" xfId="15006" xr:uid="{00000000-0005-0000-0000-00009B3A0000}"/>
    <cellStyle name="Dollar - Style5 19" xfId="15007" xr:uid="{00000000-0005-0000-0000-00009C3A0000}"/>
    <cellStyle name="Dollar - Style5 2" xfId="15008" xr:uid="{00000000-0005-0000-0000-00009D3A0000}"/>
    <cellStyle name="Dollar - Style5 20" xfId="15009" xr:uid="{00000000-0005-0000-0000-00009E3A0000}"/>
    <cellStyle name="Dollar - Style5 21" xfId="15010" xr:uid="{00000000-0005-0000-0000-00009F3A0000}"/>
    <cellStyle name="Dollar - Style5 21 2" xfId="15011" xr:uid="{00000000-0005-0000-0000-0000A03A0000}"/>
    <cellStyle name="Dollar - Style5 3" xfId="15012" xr:uid="{00000000-0005-0000-0000-0000A13A0000}"/>
    <cellStyle name="Dollar - Style5 4" xfId="15013" xr:uid="{00000000-0005-0000-0000-0000A23A0000}"/>
    <cellStyle name="Dollar - Style5 5" xfId="15014" xr:uid="{00000000-0005-0000-0000-0000A33A0000}"/>
    <cellStyle name="Dollar - Style5 6" xfId="15015" xr:uid="{00000000-0005-0000-0000-0000A43A0000}"/>
    <cellStyle name="Dollar - Style5 7" xfId="15016" xr:uid="{00000000-0005-0000-0000-0000A53A0000}"/>
    <cellStyle name="Dollar - Style5 8" xfId="15017" xr:uid="{00000000-0005-0000-0000-0000A63A0000}"/>
    <cellStyle name="Dollar - Style5 9" xfId="15018" xr:uid="{00000000-0005-0000-0000-0000A73A0000}"/>
    <cellStyle name="Dollar 10" xfId="15019" xr:uid="{00000000-0005-0000-0000-0000A83A0000}"/>
    <cellStyle name="Dollar 11" xfId="15020" xr:uid="{00000000-0005-0000-0000-0000A93A0000}"/>
    <cellStyle name="Dollar 12" xfId="15021" xr:uid="{00000000-0005-0000-0000-0000AA3A0000}"/>
    <cellStyle name="Dollar 13" xfId="15022" xr:uid="{00000000-0005-0000-0000-0000AB3A0000}"/>
    <cellStyle name="Dollar 14" xfId="15023" xr:uid="{00000000-0005-0000-0000-0000AC3A0000}"/>
    <cellStyle name="Dollar 15" xfId="15024" xr:uid="{00000000-0005-0000-0000-0000AD3A0000}"/>
    <cellStyle name="Dollar 16" xfId="15025" xr:uid="{00000000-0005-0000-0000-0000AE3A0000}"/>
    <cellStyle name="Dollar 17" xfId="15026" xr:uid="{00000000-0005-0000-0000-0000AF3A0000}"/>
    <cellStyle name="Dollar 18" xfId="15027" xr:uid="{00000000-0005-0000-0000-0000B03A0000}"/>
    <cellStyle name="Dollar 19" xfId="15028" xr:uid="{00000000-0005-0000-0000-0000B13A0000}"/>
    <cellStyle name="Dollar 2" xfId="15029" xr:uid="{00000000-0005-0000-0000-0000B23A0000}"/>
    <cellStyle name="Dollar 20" xfId="15030" xr:uid="{00000000-0005-0000-0000-0000B33A0000}"/>
    <cellStyle name="Dollar 21" xfId="15031" xr:uid="{00000000-0005-0000-0000-0000B43A0000}"/>
    <cellStyle name="Dollar 3" xfId="15032" xr:uid="{00000000-0005-0000-0000-0000B53A0000}"/>
    <cellStyle name="Dollar 4" xfId="15033" xr:uid="{00000000-0005-0000-0000-0000B63A0000}"/>
    <cellStyle name="Dollar 5" xfId="15034" xr:uid="{00000000-0005-0000-0000-0000B73A0000}"/>
    <cellStyle name="Dollar 6" xfId="15035" xr:uid="{00000000-0005-0000-0000-0000B83A0000}"/>
    <cellStyle name="Dollar 7" xfId="15036" xr:uid="{00000000-0005-0000-0000-0000B93A0000}"/>
    <cellStyle name="Dollar 8" xfId="15037" xr:uid="{00000000-0005-0000-0000-0000BA3A0000}"/>
    <cellStyle name="Dollar 9" xfId="15038" xr:uid="{00000000-0005-0000-0000-0000BB3A0000}"/>
    <cellStyle name="Dollar1" xfId="15039" xr:uid="{00000000-0005-0000-0000-0000BC3A0000}"/>
    <cellStyle name="Dollar1 10" xfId="15040" xr:uid="{00000000-0005-0000-0000-0000BD3A0000}"/>
    <cellStyle name="Dollar1 11" xfId="15041" xr:uid="{00000000-0005-0000-0000-0000BE3A0000}"/>
    <cellStyle name="Dollar1 12" xfId="15042" xr:uid="{00000000-0005-0000-0000-0000BF3A0000}"/>
    <cellStyle name="Dollar1 13" xfId="15043" xr:uid="{00000000-0005-0000-0000-0000C03A0000}"/>
    <cellStyle name="Dollar1 14" xfId="15044" xr:uid="{00000000-0005-0000-0000-0000C13A0000}"/>
    <cellStyle name="Dollar1 15" xfId="15045" xr:uid="{00000000-0005-0000-0000-0000C23A0000}"/>
    <cellStyle name="Dollar1 16" xfId="15046" xr:uid="{00000000-0005-0000-0000-0000C33A0000}"/>
    <cellStyle name="Dollar1 17" xfId="15047" xr:uid="{00000000-0005-0000-0000-0000C43A0000}"/>
    <cellStyle name="Dollar1 18" xfId="15048" xr:uid="{00000000-0005-0000-0000-0000C53A0000}"/>
    <cellStyle name="Dollar1 19" xfId="15049" xr:uid="{00000000-0005-0000-0000-0000C63A0000}"/>
    <cellStyle name="Dollar1 2" xfId="15050" xr:uid="{00000000-0005-0000-0000-0000C73A0000}"/>
    <cellStyle name="Dollar1 2 2" xfId="15051" xr:uid="{00000000-0005-0000-0000-0000C83A0000}"/>
    <cellStyle name="Dollar1 20" xfId="15052" xr:uid="{00000000-0005-0000-0000-0000C93A0000}"/>
    <cellStyle name="Dollar1 21" xfId="15053" xr:uid="{00000000-0005-0000-0000-0000CA3A0000}"/>
    <cellStyle name="Dollar1 22" xfId="15054" xr:uid="{00000000-0005-0000-0000-0000CB3A0000}"/>
    <cellStyle name="Dollar1 23" xfId="15055" xr:uid="{00000000-0005-0000-0000-0000CC3A0000}"/>
    <cellStyle name="Dollar1 23 2" xfId="15056" xr:uid="{00000000-0005-0000-0000-0000CD3A0000}"/>
    <cellStyle name="Dollar1 3" xfId="15057" xr:uid="{00000000-0005-0000-0000-0000CE3A0000}"/>
    <cellStyle name="Dollar1 3 2" xfId="15058" xr:uid="{00000000-0005-0000-0000-0000CF3A0000}"/>
    <cellStyle name="Dollar1 4" xfId="15059" xr:uid="{00000000-0005-0000-0000-0000D03A0000}"/>
    <cellStyle name="Dollar1 5" xfId="15060" xr:uid="{00000000-0005-0000-0000-0000D13A0000}"/>
    <cellStyle name="Dollar1 6" xfId="15061" xr:uid="{00000000-0005-0000-0000-0000D23A0000}"/>
    <cellStyle name="Dollar1 7" xfId="15062" xr:uid="{00000000-0005-0000-0000-0000D33A0000}"/>
    <cellStyle name="Dollar1 8" xfId="15063" xr:uid="{00000000-0005-0000-0000-0000D43A0000}"/>
    <cellStyle name="Dollar1 9" xfId="15064" xr:uid="{00000000-0005-0000-0000-0000D53A0000}"/>
    <cellStyle name="Dollar1Blue" xfId="15065" xr:uid="{00000000-0005-0000-0000-0000D63A0000}"/>
    <cellStyle name="Dollar1Blue 10" xfId="15066" xr:uid="{00000000-0005-0000-0000-0000D73A0000}"/>
    <cellStyle name="Dollar1Blue 11" xfId="15067" xr:uid="{00000000-0005-0000-0000-0000D83A0000}"/>
    <cellStyle name="Dollar1Blue 12" xfId="15068" xr:uid="{00000000-0005-0000-0000-0000D93A0000}"/>
    <cellStyle name="Dollar1Blue 13" xfId="15069" xr:uid="{00000000-0005-0000-0000-0000DA3A0000}"/>
    <cellStyle name="Dollar1Blue 14" xfId="15070" xr:uid="{00000000-0005-0000-0000-0000DB3A0000}"/>
    <cellStyle name="Dollar1Blue 15" xfId="15071" xr:uid="{00000000-0005-0000-0000-0000DC3A0000}"/>
    <cellStyle name="Dollar1Blue 16" xfId="15072" xr:uid="{00000000-0005-0000-0000-0000DD3A0000}"/>
    <cellStyle name="Dollar1Blue 17" xfId="15073" xr:uid="{00000000-0005-0000-0000-0000DE3A0000}"/>
    <cellStyle name="Dollar1Blue 18" xfId="15074" xr:uid="{00000000-0005-0000-0000-0000DF3A0000}"/>
    <cellStyle name="Dollar1Blue 19" xfId="15075" xr:uid="{00000000-0005-0000-0000-0000E03A0000}"/>
    <cellStyle name="Dollar1Blue 2" xfId="15076" xr:uid="{00000000-0005-0000-0000-0000E13A0000}"/>
    <cellStyle name="Dollar1Blue 20" xfId="15077" xr:uid="{00000000-0005-0000-0000-0000E23A0000}"/>
    <cellStyle name="Dollar1Blue 21" xfId="15078" xr:uid="{00000000-0005-0000-0000-0000E33A0000}"/>
    <cellStyle name="Dollar1Blue 21 2" xfId="15079" xr:uid="{00000000-0005-0000-0000-0000E43A0000}"/>
    <cellStyle name="Dollar1Blue 3" xfId="15080" xr:uid="{00000000-0005-0000-0000-0000E53A0000}"/>
    <cellStyle name="Dollar1Blue 4" xfId="15081" xr:uid="{00000000-0005-0000-0000-0000E63A0000}"/>
    <cellStyle name="Dollar1Blue 5" xfId="15082" xr:uid="{00000000-0005-0000-0000-0000E73A0000}"/>
    <cellStyle name="Dollar1Blue 6" xfId="15083" xr:uid="{00000000-0005-0000-0000-0000E83A0000}"/>
    <cellStyle name="Dollar1Blue 7" xfId="15084" xr:uid="{00000000-0005-0000-0000-0000E93A0000}"/>
    <cellStyle name="Dollar1Blue 8" xfId="15085" xr:uid="{00000000-0005-0000-0000-0000EA3A0000}"/>
    <cellStyle name="Dollar1Blue 9" xfId="15086" xr:uid="{00000000-0005-0000-0000-0000EB3A0000}"/>
    <cellStyle name="Dollar2" xfId="15087" xr:uid="{00000000-0005-0000-0000-0000EC3A0000}"/>
    <cellStyle name="Dollar2 10" xfId="15088" xr:uid="{00000000-0005-0000-0000-0000ED3A0000}"/>
    <cellStyle name="Dollar2 11" xfId="15089" xr:uid="{00000000-0005-0000-0000-0000EE3A0000}"/>
    <cellStyle name="Dollar2 12" xfId="15090" xr:uid="{00000000-0005-0000-0000-0000EF3A0000}"/>
    <cellStyle name="Dollar2 13" xfId="15091" xr:uid="{00000000-0005-0000-0000-0000F03A0000}"/>
    <cellStyle name="Dollar2 14" xfId="15092" xr:uid="{00000000-0005-0000-0000-0000F13A0000}"/>
    <cellStyle name="Dollar2 15" xfId="15093" xr:uid="{00000000-0005-0000-0000-0000F23A0000}"/>
    <cellStyle name="Dollar2 16" xfId="15094" xr:uid="{00000000-0005-0000-0000-0000F33A0000}"/>
    <cellStyle name="Dollar2 17" xfId="15095" xr:uid="{00000000-0005-0000-0000-0000F43A0000}"/>
    <cellStyle name="Dollar2 18" xfId="15096" xr:uid="{00000000-0005-0000-0000-0000F53A0000}"/>
    <cellStyle name="Dollar2 19" xfId="15097" xr:uid="{00000000-0005-0000-0000-0000F63A0000}"/>
    <cellStyle name="Dollar2 2" xfId="15098" xr:uid="{00000000-0005-0000-0000-0000F73A0000}"/>
    <cellStyle name="Dollar2 2 2" xfId="15099" xr:uid="{00000000-0005-0000-0000-0000F83A0000}"/>
    <cellStyle name="Dollar2 20" xfId="15100" xr:uid="{00000000-0005-0000-0000-0000F93A0000}"/>
    <cellStyle name="Dollar2 21" xfId="15101" xr:uid="{00000000-0005-0000-0000-0000FA3A0000}"/>
    <cellStyle name="Dollar2 22" xfId="15102" xr:uid="{00000000-0005-0000-0000-0000FB3A0000}"/>
    <cellStyle name="Dollar2 23" xfId="15103" xr:uid="{00000000-0005-0000-0000-0000FC3A0000}"/>
    <cellStyle name="Dollar2 23 2" xfId="15104" xr:uid="{00000000-0005-0000-0000-0000FD3A0000}"/>
    <cellStyle name="Dollar2 3" xfId="15105" xr:uid="{00000000-0005-0000-0000-0000FE3A0000}"/>
    <cellStyle name="Dollar2 3 2" xfId="15106" xr:uid="{00000000-0005-0000-0000-0000FF3A0000}"/>
    <cellStyle name="Dollar2 4" xfId="15107" xr:uid="{00000000-0005-0000-0000-0000003B0000}"/>
    <cellStyle name="Dollar2 5" xfId="15108" xr:uid="{00000000-0005-0000-0000-0000013B0000}"/>
    <cellStyle name="Dollar2 6" xfId="15109" xr:uid="{00000000-0005-0000-0000-0000023B0000}"/>
    <cellStyle name="Dollar2 7" xfId="15110" xr:uid="{00000000-0005-0000-0000-0000033B0000}"/>
    <cellStyle name="Dollar2 8" xfId="15111" xr:uid="{00000000-0005-0000-0000-0000043B0000}"/>
    <cellStyle name="Dollar2 9" xfId="15112" xr:uid="{00000000-0005-0000-0000-0000053B0000}"/>
    <cellStyle name="Dollars" xfId="15113" xr:uid="{00000000-0005-0000-0000-0000063B0000}"/>
    <cellStyle name="Dollars 10" xfId="15114" xr:uid="{00000000-0005-0000-0000-0000073B0000}"/>
    <cellStyle name="Dollars 11" xfId="15115" xr:uid="{00000000-0005-0000-0000-0000083B0000}"/>
    <cellStyle name="Dollars 12" xfId="15116" xr:uid="{00000000-0005-0000-0000-0000093B0000}"/>
    <cellStyle name="Dollars 13" xfId="15117" xr:uid="{00000000-0005-0000-0000-00000A3B0000}"/>
    <cellStyle name="Dollars 14" xfId="15118" xr:uid="{00000000-0005-0000-0000-00000B3B0000}"/>
    <cellStyle name="Dollars 15" xfId="15119" xr:uid="{00000000-0005-0000-0000-00000C3B0000}"/>
    <cellStyle name="Dollars 16" xfId="15120" xr:uid="{00000000-0005-0000-0000-00000D3B0000}"/>
    <cellStyle name="Dollars 17" xfId="15121" xr:uid="{00000000-0005-0000-0000-00000E3B0000}"/>
    <cellStyle name="Dollars 18" xfId="15122" xr:uid="{00000000-0005-0000-0000-00000F3B0000}"/>
    <cellStyle name="Dollars 19" xfId="15123" xr:uid="{00000000-0005-0000-0000-0000103B0000}"/>
    <cellStyle name="Dollars 2" xfId="15124" xr:uid="{00000000-0005-0000-0000-0000113B0000}"/>
    <cellStyle name="Dollars 2 2" xfId="15125" xr:uid="{00000000-0005-0000-0000-0000123B0000}"/>
    <cellStyle name="Dollars 20" xfId="15126" xr:uid="{00000000-0005-0000-0000-0000133B0000}"/>
    <cellStyle name="Dollars 21" xfId="15127" xr:uid="{00000000-0005-0000-0000-0000143B0000}"/>
    <cellStyle name="Dollars 22" xfId="15128" xr:uid="{00000000-0005-0000-0000-0000153B0000}"/>
    <cellStyle name="Dollars 23" xfId="15129" xr:uid="{00000000-0005-0000-0000-0000163B0000}"/>
    <cellStyle name="Dollars 23 2" xfId="15130" xr:uid="{00000000-0005-0000-0000-0000173B0000}"/>
    <cellStyle name="Dollars 3" xfId="15131" xr:uid="{00000000-0005-0000-0000-0000183B0000}"/>
    <cellStyle name="Dollars 3 2" xfId="15132" xr:uid="{00000000-0005-0000-0000-0000193B0000}"/>
    <cellStyle name="Dollars 4" xfId="15133" xr:uid="{00000000-0005-0000-0000-00001A3B0000}"/>
    <cellStyle name="Dollars 5" xfId="15134" xr:uid="{00000000-0005-0000-0000-00001B3B0000}"/>
    <cellStyle name="Dollars 6" xfId="15135" xr:uid="{00000000-0005-0000-0000-00001C3B0000}"/>
    <cellStyle name="Dollars 7" xfId="15136" xr:uid="{00000000-0005-0000-0000-00001D3B0000}"/>
    <cellStyle name="Dollars 8" xfId="15137" xr:uid="{00000000-0005-0000-0000-00001E3B0000}"/>
    <cellStyle name="Dollars 9" xfId="15138" xr:uid="{00000000-0005-0000-0000-00001F3B0000}"/>
    <cellStyle name="Dotted Line" xfId="15139" xr:uid="{00000000-0005-0000-0000-0000203B0000}"/>
    <cellStyle name="Dotted Line 10" xfId="15140" xr:uid="{00000000-0005-0000-0000-0000213B0000}"/>
    <cellStyle name="Dotted Line 11" xfId="15141" xr:uid="{00000000-0005-0000-0000-0000223B0000}"/>
    <cellStyle name="Dotted Line 12" xfId="15142" xr:uid="{00000000-0005-0000-0000-0000233B0000}"/>
    <cellStyle name="Dotted Line 13" xfId="15143" xr:uid="{00000000-0005-0000-0000-0000243B0000}"/>
    <cellStyle name="Dotted Line 14" xfId="15144" xr:uid="{00000000-0005-0000-0000-0000253B0000}"/>
    <cellStyle name="Dotted Line 15" xfId="15145" xr:uid="{00000000-0005-0000-0000-0000263B0000}"/>
    <cellStyle name="Dotted Line 16" xfId="15146" xr:uid="{00000000-0005-0000-0000-0000273B0000}"/>
    <cellStyle name="Dotted Line 17" xfId="15147" xr:uid="{00000000-0005-0000-0000-0000283B0000}"/>
    <cellStyle name="Dotted Line 18" xfId="15148" xr:uid="{00000000-0005-0000-0000-0000293B0000}"/>
    <cellStyle name="Dotted Line 19" xfId="15149" xr:uid="{00000000-0005-0000-0000-00002A3B0000}"/>
    <cellStyle name="Dotted Line 2" xfId="15150" xr:uid="{00000000-0005-0000-0000-00002B3B0000}"/>
    <cellStyle name="Dotted Line 20" xfId="15151" xr:uid="{00000000-0005-0000-0000-00002C3B0000}"/>
    <cellStyle name="Dotted Line 21" xfId="15152" xr:uid="{00000000-0005-0000-0000-00002D3B0000}"/>
    <cellStyle name="Dotted Line 21 2" xfId="15153" xr:uid="{00000000-0005-0000-0000-00002E3B0000}"/>
    <cellStyle name="Dotted Line 3" xfId="15154" xr:uid="{00000000-0005-0000-0000-00002F3B0000}"/>
    <cellStyle name="Dotted Line 4" xfId="15155" xr:uid="{00000000-0005-0000-0000-0000303B0000}"/>
    <cellStyle name="Dotted Line 5" xfId="15156" xr:uid="{00000000-0005-0000-0000-0000313B0000}"/>
    <cellStyle name="Dotted Line 6" xfId="15157" xr:uid="{00000000-0005-0000-0000-0000323B0000}"/>
    <cellStyle name="Dotted Line 7" xfId="15158" xr:uid="{00000000-0005-0000-0000-0000333B0000}"/>
    <cellStyle name="Dotted Line 8" xfId="15159" xr:uid="{00000000-0005-0000-0000-0000343B0000}"/>
    <cellStyle name="Dotted Line 9" xfId="15160" xr:uid="{00000000-0005-0000-0000-0000353B0000}"/>
    <cellStyle name="Double Accounting" xfId="15161" xr:uid="{00000000-0005-0000-0000-0000363B0000}"/>
    <cellStyle name="Double Accounting 10" xfId="15162" xr:uid="{00000000-0005-0000-0000-0000373B0000}"/>
    <cellStyle name="Double Accounting 11" xfId="15163" xr:uid="{00000000-0005-0000-0000-0000383B0000}"/>
    <cellStyle name="Double Accounting 12" xfId="15164" xr:uid="{00000000-0005-0000-0000-0000393B0000}"/>
    <cellStyle name="Double Accounting 13" xfId="15165" xr:uid="{00000000-0005-0000-0000-00003A3B0000}"/>
    <cellStyle name="Double Accounting 14" xfId="15166" xr:uid="{00000000-0005-0000-0000-00003B3B0000}"/>
    <cellStyle name="Double Accounting 15" xfId="15167" xr:uid="{00000000-0005-0000-0000-00003C3B0000}"/>
    <cellStyle name="Double Accounting 16" xfId="15168" xr:uid="{00000000-0005-0000-0000-00003D3B0000}"/>
    <cellStyle name="Double Accounting 17" xfId="15169" xr:uid="{00000000-0005-0000-0000-00003E3B0000}"/>
    <cellStyle name="Double Accounting 18" xfId="15170" xr:uid="{00000000-0005-0000-0000-00003F3B0000}"/>
    <cellStyle name="Double Accounting 19" xfId="15171" xr:uid="{00000000-0005-0000-0000-0000403B0000}"/>
    <cellStyle name="Double Accounting 2" xfId="15172" xr:uid="{00000000-0005-0000-0000-0000413B0000}"/>
    <cellStyle name="Double Accounting 20" xfId="15173" xr:uid="{00000000-0005-0000-0000-0000423B0000}"/>
    <cellStyle name="Double Accounting 21" xfId="15174" xr:uid="{00000000-0005-0000-0000-0000433B0000}"/>
    <cellStyle name="Double Accounting 21 2" xfId="15175" xr:uid="{00000000-0005-0000-0000-0000443B0000}"/>
    <cellStyle name="Double Accounting 3" xfId="15176" xr:uid="{00000000-0005-0000-0000-0000453B0000}"/>
    <cellStyle name="Double Accounting 4" xfId="15177" xr:uid="{00000000-0005-0000-0000-0000463B0000}"/>
    <cellStyle name="Double Accounting 5" xfId="15178" xr:uid="{00000000-0005-0000-0000-0000473B0000}"/>
    <cellStyle name="Double Accounting 6" xfId="15179" xr:uid="{00000000-0005-0000-0000-0000483B0000}"/>
    <cellStyle name="Double Accounting 7" xfId="15180" xr:uid="{00000000-0005-0000-0000-0000493B0000}"/>
    <cellStyle name="Double Accounting 8" xfId="15181" xr:uid="{00000000-0005-0000-0000-00004A3B0000}"/>
    <cellStyle name="Double Accounting 9" xfId="15182" xr:uid="{00000000-0005-0000-0000-00004B3B0000}"/>
    <cellStyle name="dr" xfId="15183" xr:uid="{00000000-0005-0000-0000-00004C3B0000}"/>
    <cellStyle name="dr 10" xfId="15184" xr:uid="{00000000-0005-0000-0000-00004D3B0000}"/>
    <cellStyle name="dr 11" xfId="15185" xr:uid="{00000000-0005-0000-0000-00004E3B0000}"/>
    <cellStyle name="dr 12" xfId="15186" xr:uid="{00000000-0005-0000-0000-00004F3B0000}"/>
    <cellStyle name="dr 13" xfId="15187" xr:uid="{00000000-0005-0000-0000-0000503B0000}"/>
    <cellStyle name="dr 14" xfId="15188" xr:uid="{00000000-0005-0000-0000-0000513B0000}"/>
    <cellStyle name="dr 15" xfId="15189" xr:uid="{00000000-0005-0000-0000-0000523B0000}"/>
    <cellStyle name="dr 16" xfId="15190" xr:uid="{00000000-0005-0000-0000-0000533B0000}"/>
    <cellStyle name="dr 17" xfId="15191" xr:uid="{00000000-0005-0000-0000-0000543B0000}"/>
    <cellStyle name="dr 18" xfId="15192" xr:uid="{00000000-0005-0000-0000-0000553B0000}"/>
    <cellStyle name="dr 19" xfId="15193" xr:uid="{00000000-0005-0000-0000-0000563B0000}"/>
    <cellStyle name="dr 2" xfId="15194" xr:uid="{00000000-0005-0000-0000-0000573B0000}"/>
    <cellStyle name="dr 20" xfId="15195" xr:uid="{00000000-0005-0000-0000-0000583B0000}"/>
    <cellStyle name="dr 21" xfId="15196" xr:uid="{00000000-0005-0000-0000-0000593B0000}"/>
    <cellStyle name="dr 21 2" xfId="15197" xr:uid="{00000000-0005-0000-0000-00005A3B0000}"/>
    <cellStyle name="dr 3" xfId="15198" xr:uid="{00000000-0005-0000-0000-00005B3B0000}"/>
    <cellStyle name="dr 4" xfId="15199" xr:uid="{00000000-0005-0000-0000-00005C3B0000}"/>
    <cellStyle name="dr 5" xfId="15200" xr:uid="{00000000-0005-0000-0000-00005D3B0000}"/>
    <cellStyle name="dr 6" xfId="15201" xr:uid="{00000000-0005-0000-0000-00005E3B0000}"/>
    <cellStyle name="dr 7" xfId="15202" xr:uid="{00000000-0005-0000-0000-00005F3B0000}"/>
    <cellStyle name="dr 8" xfId="15203" xr:uid="{00000000-0005-0000-0000-0000603B0000}"/>
    <cellStyle name="dr 9" xfId="15204" xr:uid="{00000000-0005-0000-0000-0000613B0000}"/>
    <cellStyle name="ds" xfId="15205" xr:uid="{00000000-0005-0000-0000-0000623B0000}"/>
    <cellStyle name="ds 10" xfId="15206" xr:uid="{00000000-0005-0000-0000-0000633B0000}"/>
    <cellStyle name="ds 11" xfId="15207" xr:uid="{00000000-0005-0000-0000-0000643B0000}"/>
    <cellStyle name="ds 12" xfId="15208" xr:uid="{00000000-0005-0000-0000-0000653B0000}"/>
    <cellStyle name="ds 13" xfId="15209" xr:uid="{00000000-0005-0000-0000-0000663B0000}"/>
    <cellStyle name="ds 14" xfId="15210" xr:uid="{00000000-0005-0000-0000-0000673B0000}"/>
    <cellStyle name="ds 15" xfId="15211" xr:uid="{00000000-0005-0000-0000-0000683B0000}"/>
    <cellStyle name="ds 16" xfId="15212" xr:uid="{00000000-0005-0000-0000-0000693B0000}"/>
    <cellStyle name="ds 17" xfId="15213" xr:uid="{00000000-0005-0000-0000-00006A3B0000}"/>
    <cellStyle name="ds 18" xfId="15214" xr:uid="{00000000-0005-0000-0000-00006B3B0000}"/>
    <cellStyle name="ds 19" xfId="15215" xr:uid="{00000000-0005-0000-0000-00006C3B0000}"/>
    <cellStyle name="ds 2" xfId="15216" xr:uid="{00000000-0005-0000-0000-00006D3B0000}"/>
    <cellStyle name="ds 20" xfId="15217" xr:uid="{00000000-0005-0000-0000-00006E3B0000}"/>
    <cellStyle name="ds 21" xfId="15218" xr:uid="{00000000-0005-0000-0000-00006F3B0000}"/>
    <cellStyle name="ds 21 2" xfId="15219" xr:uid="{00000000-0005-0000-0000-0000703B0000}"/>
    <cellStyle name="ds 3" xfId="15220" xr:uid="{00000000-0005-0000-0000-0000713B0000}"/>
    <cellStyle name="ds 4" xfId="15221" xr:uid="{00000000-0005-0000-0000-0000723B0000}"/>
    <cellStyle name="ds 5" xfId="15222" xr:uid="{00000000-0005-0000-0000-0000733B0000}"/>
    <cellStyle name="ds 6" xfId="15223" xr:uid="{00000000-0005-0000-0000-0000743B0000}"/>
    <cellStyle name="ds 7" xfId="15224" xr:uid="{00000000-0005-0000-0000-0000753B0000}"/>
    <cellStyle name="ds 8" xfId="15225" xr:uid="{00000000-0005-0000-0000-0000763B0000}"/>
    <cellStyle name="ds 9" xfId="15226" xr:uid="{00000000-0005-0000-0000-0000773B0000}"/>
    <cellStyle name="Enter Currency (0)" xfId="15227" xr:uid="{00000000-0005-0000-0000-0000783B0000}"/>
    <cellStyle name="Enter Currency (0) 10" xfId="15228" xr:uid="{00000000-0005-0000-0000-0000793B0000}"/>
    <cellStyle name="Enter Currency (0) 11" xfId="15229" xr:uid="{00000000-0005-0000-0000-00007A3B0000}"/>
    <cellStyle name="Enter Currency (0) 12" xfId="15230" xr:uid="{00000000-0005-0000-0000-00007B3B0000}"/>
    <cellStyle name="Enter Currency (0) 13" xfId="15231" xr:uid="{00000000-0005-0000-0000-00007C3B0000}"/>
    <cellStyle name="Enter Currency (0) 14" xfId="15232" xr:uid="{00000000-0005-0000-0000-00007D3B0000}"/>
    <cellStyle name="Enter Currency (0) 15" xfId="15233" xr:uid="{00000000-0005-0000-0000-00007E3B0000}"/>
    <cellStyle name="Enter Currency (0) 16" xfId="15234" xr:uid="{00000000-0005-0000-0000-00007F3B0000}"/>
    <cellStyle name="Enter Currency (0) 17" xfId="15235" xr:uid="{00000000-0005-0000-0000-0000803B0000}"/>
    <cellStyle name="Enter Currency (0) 18" xfId="15236" xr:uid="{00000000-0005-0000-0000-0000813B0000}"/>
    <cellStyle name="Enter Currency (0) 19" xfId="15237" xr:uid="{00000000-0005-0000-0000-0000823B0000}"/>
    <cellStyle name="Enter Currency (0) 2" xfId="15238" xr:uid="{00000000-0005-0000-0000-0000833B0000}"/>
    <cellStyle name="Enter Currency (0) 20" xfId="15239" xr:uid="{00000000-0005-0000-0000-0000843B0000}"/>
    <cellStyle name="Enter Currency (0) 21" xfId="15240" xr:uid="{00000000-0005-0000-0000-0000853B0000}"/>
    <cellStyle name="Enter Currency (0) 21 2" xfId="15241" xr:uid="{00000000-0005-0000-0000-0000863B0000}"/>
    <cellStyle name="Enter Currency (0) 3" xfId="15242" xr:uid="{00000000-0005-0000-0000-0000873B0000}"/>
    <cellStyle name="Enter Currency (0) 4" xfId="15243" xr:uid="{00000000-0005-0000-0000-0000883B0000}"/>
    <cellStyle name="Enter Currency (0) 5" xfId="15244" xr:uid="{00000000-0005-0000-0000-0000893B0000}"/>
    <cellStyle name="Enter Currency (0) 6" xfId="15245" xr:uid="{00000000-0005-0000-0000-00008A3B0000}"/>
    <cellStyle name="Enter Currency (0) 7" xfId="15246" xr:uid="{00000000-0005-0000-0000-00008B3B0000}"/>
    <cellStyle name="Enter Currency (0) 8" xfId="15247" xr:uid="{00000000-0005-0000-0000-00008C3B0000}"/>
    <cellStyle name="Enter Currency (0) 9" xfId="15248" xr:uid="{00000000-0005-0000-0000-00008D3B0000}"/>
    <cellStyle name="Enter Currency (2)" xfId="15249" xr:uid="{00000000-0005-0000-0000-00008E3B0000}"/>
    <cellStyle name="Enter Currency (2) 10" xfId="15250" xr:uid="{00000000-0005-0000-0000-00008F3B0000}"/>
    <cellStyle name="Enter Currency (2) 11" xfId="15251" xr:uid="{00000000-0005-0000-0000-0000903B0000}"/>
    <cellStyle name="Enter Currency (2) 12" xfId="15252" xr:uid="{00000000-0005-0000-0000-0000913B0000}"/>
    <cellStyle name="Enter Currency (2) 13" xfId="15253" xr:uid="{00000000-0005-0000-0000-0000923B0000}"/>
    <cellStyle name="Enter Currency (2) 14" xfId="15254" xr:uid="{00000000-0005-0000-0000-0000933B0000}"/>
    <cellStyle name="Enter Currency (2) 15" xfId="15255" xr:uid="{00000000-0005-0000-0000-0000943B0000}"/>
    <cellStyle name="Enter Currency (2) 16" xfId="15256" xr:uid="{00000000-0005-0000-0000-0000953B0000}"/>
    <cellStyle name="Enter Currency (2) 17" xfId="15257" xr:uid="{00000000-0005-0000-0000-0000963B0000}"/>
    <cellStyle name="Enter Currency (2) 18" xfId="15258" xr:uid="{00000000-0005-0000-0000-0000973B0000}"/>
    <cellStyle name="Enter Currency (2) 19" xfId="15259" xr:uid="{00000000-0005-0000-0000-0000983B0000}"/>
    <cellStyle name="Enter Currency (2) 2" xfId="15260" xr:uid="{00000000-0005-0000-0000-0000993B0000}"/>
    <cellStyle name="Enter Currency (2) 20" xfId="15261" xr:uid="{00000000-0005-0000-0000-00009A3B0000}"/>
    <cellStyle name="Enter Currency (2) 21" xfId="15262" xr:uid="{00000000-0005-0000-0000-00009B3B0000}"/>
    <cellStyle name="Enter Currency (2) 21 2" xfId="15263" xr:uid="{00000000-0005-0000-0000-00009C3B0000}"/>
    <cellStyle name="Enter Currency (2) 3" xfId="15264" xr:uid="{00000000-0005-0000-0000-00009D3B0000}"/>
    <cellStyle name="Enter Currency (2) 4" xfId="15265" xr:uid="{00000000-0005-0000-0000-00009E3B0000}"/>
    <cellStyle name="Enter Currency (2) 5" xfId="15266" xr:uid="{00000000-0005-0000-0000-00009F3B0000}"/>
    <cellStyle name="Enter Currency (2) 6" xfId="15267" xr:uid="{00000000-0005-0000-0000-0000A03B0000}"/>
    <cellStyle name="Enter Currency (2) 7" xfId="15268" xr:uid="{00000000-0005-0000-0000-0000A13B0000}"/>
    <cellStyle name="Enter Currency (2) 8" xfId="15269" xr:uid="{00000000-0005-0000-0000-0000A23B0000}"/>
    <cellStyle name="Enter Currency (2) 9" xfId="15270" xr:uid="{00000000-0005-0000-0000-0000A33B0000}"/>
    <cellStyle name="Enter Units (0)" xfId="15271" xr:uid="{00000000-0005-0000-0000-0000A43B0000}"/>
    <cellStyle name="Enter Units (0) 10" xfId="15272" xr:uid="{00000000-0005-0000-0000-0000A53B0000}"/>
    <cellStyle name="Enter Units (0) 11" xfId="15273" xr:uid="{00000000-0005-0000-0000-0000A63B0000}"/>
    <cellStyle name="Enter Units (0) 12" xfId="15274" xr:uid="{00000000-0005-0000-0000-0000A73B0000}"/>
    <cellStyle name="Enter Units (0) 13" xfId="15275" xr:uid="{00000000-0005-0000-0000-0000A83B0000}"/>
    <cellStyle name="Enter Units (0) 14" xfId="15276" xr:uid="{00000000-0005-0000-0000-0000A93B0000}"/>
    <cellStyle name="Enter Units (0) 15" xfId="15277" xr:uid="{00000000-0005-0000-0000-0000AA3B0000}"/>
    <cellStyle name="Enter Units (0) 16" xfId="15278" xr:uid="{00000000-0005-0000-0000-0000AB3B0000}"/>
    <cellStyle name="Enter Units (0) 17" xfId="15279" xr:uid="{00000000-0005-0000-0000-0000AC3B0000}"/>
    <cellStyle name="Enter Units (0) 18" xfId="15280" xr:uid="{00000000-0005-0000-0000-0000AD3B0000}"/>
    <cellStyle name="Enter Units (0) 19" xfId="15281" xr:uid="{00000000-0005-0000-0000-0000AE3B0000}"/>
    <cellStyle name="Enter Units (0) 2" xfId="15282" xr:uid="{00000000-0005-0000-0000-0000AF3B0000}"/>
    <cellStyle name="Enter Units (0) 20" xfId="15283" xr:uid="{00000000-0005-0000-0000-0000B03B0000}"/>
    <cellStyle name="Enter Units (0) 21" xfId="15284" xr:uid="{00000000-0005-0000-0000-0000B13B0000}"/>
    <cellStyle name="Enter Units (0) 21 2" xfId="15285" xr:uid="{00000000-0005-0000-0000-0000B23B0000}"/>
    <cellStyle name="Enter Units (0) 3" xfId="15286" xr:uid="{00000000-0005-0000-0000-0000B33B0000}"/>
    <cellStyle name="Enter Units (0) 4" xfId="15287" xr:uid="{00000000-0005-0000-0000-0000B43B0000}"/>
    <cellStyle name="Enter Units (0) 5" xfId="15288" xr:uid="{00000000-0005-0000-0000-0000B53B0000}"/>
    <cellStyle name="Enter Units (0) 6" xfId="15289" xr:uid="{00000000-0005-0000-0000-0000B63B0000}"/>
    <cellStyle name="Enter Units (0) 7" xfId="15290" xr:uid="{00000000-0005-0000-0000-0000B73B0000}"/>
    <cellStyle name="Enter Units (0) 8" xfId="15291" xr:uid="{00000000-0005-0000-0000-0000B83B0000}"/>
    <cellStyle name="Enter Units (0) 9" xfId="15292" xr:uid="{00000000-0005-0000-0000-0000B93B0000}"/>
    <cellStyle name="Enter Units (1)" xfId="15293" xr:uid="{00000000-0005-0000-0000-0000BA3B0000}"/>
    <cellStyle name="Enter Units (1) 10" xfId="15294" xr:uid="{00000000-0005-0000-0000-0000BB3B0000}"/>
    <cellStyle name="Enter Units (1) 11" xfId="15295" xr:uid="{00000000-0005-0000-0000-0000BC3B0000}"/>
    <cellStyle name="Enter Units (1) 12" xfId="15296" xr:uid="{00000000-0005-0000-0000-0000BD3B0000}"/>
    <cellStyle name="Enter Units (1) 13" xfId="15297" xr:uid="{00000000-0005-0000-0000-0000BE3B0000}"/>
    <cellStyle name="Enter Units (1) 14" xfId="15298" xr:uid="{00000000-0005-0000-0000-0000BF3B0000}"/>
    <cellStyle name="Enter Units (1) 15" xfId="15299" xr:uid="{00000000-0005-0000-0000-0000C03B0000}"/>
    <cellStyle name="Enter Units (1) 16" xfId="15300" xr:uid="{00000000-0005-0000-0000-0000C13B0000}"/>
    <cellStyle name="Enter Units (1) 17" xfId="15301" xr:uid="{00000000-0005-0000-0000-0000C23B0000}"/>
    <cellStyle name="Enter Units (1) 18" xfId="15302" xr:uid="{00000000-0005-0000-0000-0000C33B0000}"/>
    <cellStyle name="Enter Units (1) 19" xfId="15303" xr:uid="{00000000-0005-0000-0000-0000C43B0000}"/>
    <cellStyle name="Enter Units (1) 2" xfId="15304" xr:uid="{00000000-0005-0000-0000-0000C53B0000}"/>
    <cellStyle name="Enter Units (1) 20" xfId="15305" xr:uid="{00000000-0005-0000-0000-0000C63B0000}"/>
    <cellStyle name="Enter Units (1) 21" xfId="15306" xr:uid="{00000000-0005-0000-0000-0000C73B0000}"/>
    <cellStyle name="Enter Units (1) 21 2" xfId="15307" xr:uid="{00000000-0005-0000-0000-0000C83B0000}"/>
    <cellStyle name="Enter Units (1) 3" xfId="15308" xr:uid="{00000000-0005-0000-0000-0000C93B0000}"/>
    <cellStyle name="Enter Units (1) 4" xfId="15309" xr:uid="{00000000-0005-0000-0000-0000CA3B0000}"/>
    <cellStyle name="Enter Units (1) 5" xfId="15310" xr:uid="{00000000-0005-0000-0000-0000CB3B0000}"/>
    <cellStyle name="Enter Units (1) 6" xfId="15311" xr:uid="{00000000-0005-0000-0000-0000CC3B0000}"/>
    <cellStyle name="Enter Units (1) 7" xfId="15312" xr:uid="{00000000-0005-0000-0000-0000CD3B0000}"/>
    <cellStyle name="Enter Units (1) 8" xfId="15313" xr:uid="{00000000-0005-0000-0000-0000CE3B0000}"/>
    <cellStyle name="Enter Units (1) 9" xfId="15314" xr:uid="{00000000-0005-0000-0000-0000CF3B0000}"/>
    <cellStyle name="Enter Units (2)" xfId="15315" xr:uid="{00000000-0005-0000-0000-0000D03B0000}"/>
    <cellStyle name="Enter Units (2) 10" xfId="15316" xr:uid="{00000000-0005-0000-0000-0000D13B0000}"/>
    <cellStyle name="Enter Units (2) 11" xfId="15317" xr:uid="{00000000-0005-0000-0000-0000D23B0000}"/>
    <cellStyle name="Enter Units (2) 12" xfId="15318" xr:uid="{00000000-0005-0000-0000-0000D33B0000}"/>
    <cellStyle name="Enter Units (2) 13" xfId="15319" xr:uid="{00000000-0005-0000-0000-0000D43B0000}"/>
    <cellStyle name="Enter Units (2) 14" xfId="15320" xr:uid="{00000000-0005-0000-0000-0000D53B0000}"/>
    <cellStyle name="Enter Units (2) 15" xfId="15321" xr:uid="{00000000-0005-0000-0000-0000D63B0000}"/>
    <cellStyle name="Enter Units (2) 16" xfId="15322" xr:uid="{00000000-0005-0000-0000-0000D73B0000}"/>
    <cellStyle name="Enter Units (2) 17" xfId="15323" xr:uid="{00000000-0005-0000-0000-0000D83B0000}"/>
    <cellStyle name="Enter Units (2) 18" xfId="15324" xr:uid="{00000000-0005-0000-0000-0000D93B0000}"/>
    <cellStyle name="Enter Units (2) 19" xfId="15325" xr:uid="{00000000-0005-0000-0000-0000DA3B0000}"/>
    <cellStyle name="Enter Units (2) 2" xfId="15326" xr:uid="{00000000-0005-0000-0000-0000DB3B0000}"/>
    <cellStyle name="Enter Units (2) 20" xfId="15327" xr:uid="{00000000-0005-0000-0000-0000DC3B0000}"/>
    <cellStyle name="Enter Units (2) 21" xfId="15328" xr:uid="{00000000-0005-0000-0000-0000DD3B0000}"/>
    <cellStyle name="Enter Units (2) 21 2" xfId="15329" xr:uid="{00000000-0005-0000-0000-0000DE3B0000}"/>
    <cellStyle name="Enter Units (2) 3" xfId="15330" xr:uid="{00000000-0005-0000-0000-0000DF3B0000}"/>
    <cellStyle name="Enter Units (2) 4" xfId="15331" xr:uid="{00000000-0005-0000-0000-0000E03B0000}"/>
    <cellStyle name="Enter Units (2) 5" xfId="15332" xr:uid="{00000000-0005-0000-0000-0000E13B0000}"/>
    <cellStyle name="Enter Units (2) 6" xfId="15333" xr:uid="{00000000-0005-0000-0000-0000E23B0000}"/>
    <cellStyle name="Enter Units (2) 7" xfId="15334" xr:uid="{00000000-0005-0000-0000-0000E33B0000}"/>
    <cellStyle name="Enter Units (2) 8" xfId="15335" xr:uid="{00000000-0005-0000-0000-0000E43B0000}"/>
    <cellStyle name="Enter Units (2) 9" xfId="15336" xr:uid="{00000000-0005-0000-0000-0000E53B0000}"/>
    <cellStyle name="Entered" xfId="15337" xr:uid="{00000000-0005-0000-0000-0000E63B0000}"/>
    <cellStyle name="Entered 10" xfId="15338" xr:uid="{00000000-0005-0000-0000-0000E73B0000}"/>
    <cellStyle name="Entered 11" xfId="15339" xr:uid="{00000000-0005-0000-0000-0000E83B0000}"/>
    <cellStyle name="Entered 12" xfId="15340" xr:uid="{00000000-0005-0000-0000-0000E93B0000}"/>
    <cellStyle name="Entered 13" xfId="15341" xr:uid="{00000000-0005-0000-0000-0000EA3B0000}"/>
    <cellStyle name="Entered 14" xfId="15342" xr:uid="{00000000-0005-0000-0000-0000EB3B0000}"/>
    <cellStyle name="Entered 15" xfId="15343" xr:uid="{00000000-0005-0000-0000-0000EC3B0000}"/>
    <cellStyle name="Entered 16" xfId="15344" xr:uid="{00000000-0005-0000-0000-0000ED3B0000}"/>
    <cellStyle name="Entered 17" xfId="15345" xr:uid="{00000000-0005-0000-0000-0000EE3B0000}"/>
    <cellStyle name="Entered 18" xfId="15346" xr:uid="{00000000-0005-0000-0000-0000EF3B0000}"/>
    <cellStyle name="Entered 19" xfId="15347" xr:uid="{00000000-0005-0000-0000-0000F03B0000}"/>
    <cellStyle name="Entered 2" xfId="15348" xr:uid="{00000000-0005-0000-0000-0000F13B0000}"/>
    <cellStyle name="Entered 20" xfId="15349" xr:uid="{00000000-0005-0000-0000-0000F23B0000}"/>
    <cellStyle name="Entered 21" xfId="15350" xr:uid="{00000000-0005-0000-0000-0000F33B0000}"/>
    <cellStyle name="Entered 21 2" xfId="15351" xr:uid="{00000000-0005-0000-0000-0000F43B0000}"/>
    <cellStyle name="Entered 3" xfId="15352" xr:uid="{00000000-0005-0000-0000-0000F53B0000}"/>
    <cellStyle name="Entered 4" xfId="15353" xr:uid="{00000000-0005-0000-0000-0000F63B0000}"/>
    <cellStyle name="Entered 5" xfId="15354" xr:uid="{00000000-0005-0000-0000-0000F73B0000}"/>
    <cellStyle name="Entered 6" xfId="15355" xr:uid="{00000000-0005-0000-0000-0000F83B0000}"/>
    <cellStyle name="Entered 7" xfId="15356" xr:uid="{00000000-0005-0000-0000-0000F93B0000}"/>
    <cellStyle name="Entered 8" xfId="15357" xr:uid="{00000000-0005-0000-0000-0000FA3B0000}"/>
    <cellStyle name="Entered 9" xfId="15358" xr:uid="{00000000-0005-0000-0000-0000FB3B0000}"/>
    <cellStyle name="Euro" xfId="15359" xr:uid="{00000000-0005-0000-0000-0000FC3B0000}"/>
    <cellStyle name="Euro 10" xfId="15360" xr:uid="{00000000-0005-0000-0000-0000FD3B0000}"/>
    <cellStyle name="Euro 10 2" xfId="15361" xr:uid="{00000000-0005-0000-0000-0000FE3B0000}"/>
    <cellStyle name="Euro 11" xfId="15362" xr:uid="{00000000-0005-0000-0000-0000FF3B0000}"/>
    <cellStyle name="Euro 12" xfId="15363" xr:uid="{00000000-0005-0000-0000-0000003C0000}"/>
    <cellStyle name="Euro 13" xfId="15364" xr:uid="{00000000-0005-0000-0000-0000013C0000}"/>
    <cellStyle name="Euro 14" xfId="15365" xr:uid="{00000000-0005-0000-0000-0000023C0000}"/>
    <cellStyle name="Euro 15" xfId="15366" xr:uid="{00000000-0005-0000-0000-0000033C0000}"/>
    <cellStyle name="Euro 16" xfId="15367" xr:uid="{00000000-0005-0000-0000-0000043C0000}"/>
    <cellStyle name="Euro 17" xfId="15368" xr:uid="{00000000-0005-0000-0000-0000053C0000}"/>
    <cellStyle name="Euro 18" xfId="15369" xr:uid="{00000000-0005-0000-0000-0000063C0000}"/>
    <cellStyle name="Euro 19" xfId="15370" xr:uid="{00000000-0005-0000-0000-0000073C0000}"/>
    <cellStyle name="Euro 2" xfId="15371" xr:uid="{00000000-0005-0000-0000-0000083C0000}"/>
    <cellStyle name="Euro 20" xfId="15372" xr:uid="{00000000-0005-0000-0000-0000093C0000}"/>
    <cellStyle name="Euro 21" xfId="15373" xr:uid="{00000000-0005-0000-0000-00000A3C0000}"/>
    <cellStyle name="Euro 22" xfId="15374" xr:uid="{00000000-0005-0000-0000-00000B3C0000}"/>
    <cellStyle name="Euro 23" xfId="15375" xr:uid="{00000000-0005-0000-0000-00000C3C0000}"/>
    <cellStyle name="Euro 24" xfId="15376" xr:uid="{00000000-0005-0000-0000-00000D3C0000}"/>
    <cellStyle name="Euro 25" xfId="15377" xr:uid="{00000000-0005-0000-0000-00000E3C0000}"/>
    <cellStyle name="Euro 25 2" xfId="15378" xr:uid="{00000000-0005-0000-0000-00000F3C0000}"/>
    <cellStyle name="Euro 26" xfId="15379" xr:uid="{00000000-0005-0000-0000-0000103C0000}"/>
    <cellStyle name="Euro 26 2" xfId="15380" xr:uid="{00000000-0005-0000-0000-0000113C0000}"/>
    <cellStyle name="Euro 27" xfId="15381" xr:uid="{00000000-0005-0000-0000-0000123C0000}"/>
    <cellStyle name="Euro 28" xfId="15382" xr:uid="{00000000-0005-0000-0000-0000133C0000}"/>
    <cellStyle name="Euro 29" xfId="15383" xr:uid="{00000000-0005-0000-0000-0000143C0000}"/>
    <cellStyle name="Euro 3" xfId="15384" xr:uid="{00000000-0005-0000-0000-0000153C0000}"/>
    <cellStyle name="Euro 3 2" xfId="15385" xr:uid="{00000000-0005-0000-0000-0000163C0000}"/>
    <cellStyle name="Euro 30" xfId="15386" xr:uid="{00000000-0005-0000-0000-0000173C0000}"/>
    <cellStyle name="Euro 31" xfId="15387" xr:uid="{00000000-0005-0000-0000-0000183C0000}"/>
    <cellStyle name="Euro 31 2" xfId="15388" xr:uid="{00000000-0005-0000-0000-0000193C0000}"/>
    <cellStyle name="Euro 32" xfId="15389" xr:uid="{00000000-0005-0000-0000-00001A3C0000}"/>
    <cellStyle name="Euro 33" xfId="15390" xr:uid="{00000000-0005-0000-0000-00001B3C0000}"/>
    <cellStyle name="Euro 34" xfId="15391" xr:uid="{00000000-0005-0000-0000-00001C3C0000}"/>
    <cellStyle name="Euro 35" xfId="15392" xr:uid="{00000000-0005-0000-0000-00001D3C0000}"/>
    <cellStyle name="Euro 36" xfId="15393" xr:uid="{00000000-0005-0000-0000-00001E3C0000}"/>
    <cellStyle name="Euro 37" xfId="15394" xr:uid="{00000000-0005-0000-0000-00001F3C0000}"/>
    <cellStyle name="Euro 38" xfId="15395" xr:uid="{00000000-0005-0000-0000-0000203C0000}"/>
    <cellStyle name="Euro 39" xfId="15396" xr:uid="{00000000-0005-0000-0000-0000213C0000}"/>
    <cellStyle name="Euro 4" xfId="15397" xr:uid="{00000000-0005-0000-0000-0000223C0000}"/>
    <cellStyle name="Euro 4 2" xfId="15398" xr:uid="{00000000-0005-0000-0000-0000233C0000}"/>
    <cellStyle name="Euro 40" xfId="15399" xr:uid="{00000000-0005-0000-0000-0000243C0000}"/>
    <cellStyle name="Euro 41" xfId="15400" xr:uid="{00000000-0005-0000-0000-0000253C0000}"/>
    <cellStyle name="Euro 42" xfId="15401" xr:uid="{00000000-0005-0000-0000-0000263C0000}"/>
    <cellStyle name="Euro 43" xfId="15402" xr:uid="{00000000-0005-0000-0000-0000273C0000}"/>
    <cellStyle name="Euro 44" xfId="15403" xr:uid="{00000000-0005-0000-0000-0000283C0000}"/>
    <cellStyle name="Euro 45" xfId="15404" xr:uid="{00000000-0005-0000-0000-0000293C0000}"/>
    <cellStyle name="Euro 46" xfId="15405" xr:uid="{00000000-0005-0000-0000-00002A3C0000}"/>
    <cellStyle name="Euro 5" xfId="15406" xr:uid="{00000000-0005-0000-0000-00002B3C0000}"/>
    <cellStyle name="Euro 5 2" xfId="15407" xr:uid="{00000000-0005-0000-0000-00002C3C0000}"/>
    <cellStyle name="Euro 6" xfId="15408" xr:uid="{00000000-0005-0000-0000-00002D3C0000}"/>
    <cellStyle name="Euro 6 2" xfId="15409" xr:uid="{00000000-0005-0000-0000-00002E3C0000}"/>
    <cellStyle name="Euro 7" xfId="15410" xr:uid="{00000000-0005-0000-0000-00002F3C0000}"/>
    <cellStyle name="Euro 7 2" xfId="15411" xr:uid="{00000000-0005-0000-0000-0000303C0000}"/>
    <cellStyle name="Euro 8" xfId="15412" xr:uid="{00000000-0005-0000-0000-0000313C0000}"/>
    <cellStyle name="Euro 9" xfId="15413" xr:uid="{00000000-0005-0000-0000-0000323C0000}"/>
    <cellStyle name="Euro 9 2" xfId="15414" xr:uid="{00000000-0005-0000-0000-0000333C0000}"/>
    <cellStyle name="Explanatory Text" xfId="35704" builtinId="53" customBuiltin="1"/>
    <cellStyle name="Explanatory Text 10" xfId="15415" xr:uid="{00000000-0005-0000-0000-0000343C0000}"/>
    <cellStyle name="Explanatory Text 11" xfId="15416" xr:uid="{00000000-0005-0000-0000-0000353C0000}"/>
    <cellStyle name="Explanatory Text 12" xfId="15417" xr:uid="{00000000-0005-0000-0000-0000363C0000}"/>
    <cellStyle name="Explanatory Text 13" xfId="15418" xr:uid="{00000000-0005-0000-0000-0000373C0000}"/>
    <cellStyle name="Explanatory Text 14" xfId="15419" xr:uid="{00000000-0005-0000-0000-0000383C0000}"/>
    <cellStyle name="Explanatory Text 15" xfId="15420" xr:uid="{00000000-0005-0000-0000-0000393C0000}"/>
    <cellStyle name="Explanatory Text 16" xfId="15421" xr:uid="{00000000-0005-0000-0000-00003A3C0000}"/>
    <cellStyle name="Explanatory Text 17" xfId="15422" xr:uid="{00000000-0005-0000-0000-00003B3C0000}"/>
    <cellStyle name="Explanatory Text 18" xfId="15423" xr:uid="{00000000-0005-0000-0000-00003C3C0000}"/>
    <cellStyle name="Explanatory Text 19" xfId="15424" xr:uid="{00000000-0005-0000-0000-00003D3C0000}"/>
    <cellStyle name="Explanatory Text 2" xfId="15425" xr:uid="{00000000-0005-0000-0000-00003E3C0000}"/>
    <cellStyle name="Explanatory Text 2 2" xfId="15426" xr:uid="{00000000-0005-0000-0000-00003F3C0000}"/>
    <cellStyle name="Explanatory Text 20" xfId="15427" xr:uid="{00000000-0005-0000-0000-0000403C0000}"/>
    <cellStyle name="Explanatory Text 21" xfId="15428" xr:uid="{00000000-0005-0000-0000-0000413C0000}"/>
    <cellStyle name="Explanatory Text 22" xfId="15429" xr:uid="{00000000-0005-0000-0000-0000423C0000}"/>
    <cellStyle name="Explanatory Text 23" xfId="15430" xr:uid="{00000000-0005-0000-0000-0000433C0000}"/>
    <cellStyle name="Explanatory Text 24" xfId="15431" xr:uid="{00000000-0005-0000-0000-0000443C0000}"/>
    <cellStyle name="Explanatory Text 25" xfId="15432" xr:uid="{00000000-0005-0000-0000-0000453C0000}"/>
    <cellStyle name="Explanatory Text 26" xfId="15433" xr:uid="{00000000-0005-0000-0000-0000463C0000}"/>
    <cellStyle name="Explanatory Text 27" xfId="15434" xr:uid="{00000000-0005-0000-0000-0000473C0000}"/>
    <cellStyle name="Explanatory Text 28" xfId="15435" xr:uid="{00000000-0005-0000-0000-0000483C0000}"/>
    <cellStyle name="Explanatory Text 29" xfId="15436" xr:uid="{00000000-0005-0000-0000-0000493C0000}"/>
    <cellStyle name="Explanatory Text 29 2" xfId="15437" xr:uid="{00000000-0005-0000-0000-00004A3C0000}"/>
    <cellStyle name="Explanatory Text 3" xfId="15438" xr:uid="{00000000-0005-0000-0000-00004B3C0000}"/>
    <cellStyle name="Explanatory Text 30" xfId="15439" xr:uid="{00000000-0005-0000-0000-00004C3C0000}"/>
    <cellStyle name="Explanatory Text 31" xfId="15440" xr:uid="{00000000-0005-0000-0000-00004D3C0000}"/>
    <cellStyle name="Explanatory Text 32" xfId="15441" xr:uid="{00000000-0005-0000-0000-00004E3C0000}"/>
    <cellStyle name="Explanatory Text 33" xfId="15442" xr:uid="{00000000-0005-0000-0000-00004F3C0000}"/>
    <cellStyle name="Explanatory Text 34" xfId="15443" xr:uid="{00000000-0005-0000-0000-0000503C0000}"/>
    <cellStyle name="Explanatory Text 35" xfId="15444" xr:uid="{00000000-0005-0000-0000-0000513C0000}"/>
    <cellStyle name="Explanatory Text 36" xfId="15445" xr:uid="{00000000-0005-0000-0000-0000523C0000}"/>
    <cellStyle name="Explanatory Text 37" xfId="15446" xr:uid="{00000000-0005-0000-0000-0000533C0000}"/>
    <cellStyle name="Explanatory Text 38" xfId="15447" xr:uid="{00000000-0005-0000-0000-0000543C0000}"/>
    <cellStyle name="Explanatory Text 4" xfId="15448" xr:uid="{00000000-0005-0000-0000-0000553C0000}"/>
    <cellStyle name="Explanatory Text 5" xfId="15449" xr:uid="{00000000-0005-0000-0000-0000563C0000}"/>
    <cellStyle name="Explanatory Text 6" xfId="15450" xr:uid="{00000000-0005-0000-0000-0000573C0000}"/>
    <cellStyle name="Explanatory Text 7" xfId="15451" xr:uid="{00000000-0005-0000-0000-0000583C0000}"/>
    <cellStyle name="Explanatory Text 8" xfId="15452" xr:uid="{00000000-0005-0000-0000-0000593C0000}"/>
    <cellStyle name="Explanatory Text 9" xfId="15453" xr:uid="{00000000-0005-0000-0000-00005A3C0000}"/>
    <cellStyle name="f" xfId="15454" xr:uid="{00000000-0005-0000-0000-00005B3C0000}"/>
    <cellStyle name="f 10" xfId="15455" xr:uid="{00000000-0005-0000-0000-00005C3C0000}"/>
    <cellStyle name="f 11" xfId="15456" xr:uid="{00000000-0005-0000-0000-00005D3C0000}"/>
    <cellStyle name="f 12" xfId="15457" xr:uid="{00000000-0005-0000-0000-00005E3C0000}"/>
    <cellStyle name="f 13" xfId="15458" xr:uid="{00000000-0005-0000-0000-00005F3C0000}"/>
    <cellStyle name="f 14" xfId="15459" xr:uid="{00000000-0005-0000-0000-0000603C0000}"/>
    <cellStyle name="f 15" xfId="15460" xr:uid="{00000000-0005-0000-0000-0000613C0000}"/>
    <cellStyle name="f 16" xfId="15461" xr:uid="{00000000-0005-0000-0000-0000623C0000}"/>
    <cellStyle name="f 17" xfId="15462" xr:uid="{00000000-0005-0000-0000-0000633C0000}"/>
    <cellStyle name="f 18" xfId="15463" xr:uid="{00000000-0005-0000-0000-0000643C0000}"/>
    <cellStyle name="f 19" xfId="15464" xr:uid="{00000000-0005-0000-0000-0000653C0000}"/>
    <cellStyle name="f 2" xfId="15465" xr:uid="{00000000-0005-0000-0000-0000663C0000}"/>
    <cellStyle name="f 20" xfId="15466" xr:uid="{00000000-0005-0000-0000-0000673C0000}"/>
    <cellStyle name="f 21" xfId="15467" xr:uid="{00000000-0005-0000-0000-0000683C0000}"/>
    <cellStyle name="f 21 2" xfId="15468" xr:uid="{00000000-0005-0000-0000-0000693C0000}"/>
    <cellStyle name="f 3" xfId="15469" xr:uid="{00000000-0005-0000-0000-00006A3C0000}"/>
    <cellStyle name="f 4" xfId="15470" xr:uid="{00000000-0005-0000-0000-00006B3C0000}"/>
    <cellStyle name="f 5" xfId="15471" xr:uid="{00000000-0005-0000-0000-00006C3C0000}"/>
    <cellStyle name="f 6" xfId="15472" xr:uid="{00000000-0005-0000-0000-00006D3C0000}"/>
    <cellStyle name="f 7" xfId="15473" xr:uid="{00000000-0005-0000-0000-00006E3C0000}"/>
    <cellStyle name="f 8" xfId="15474" xr:uid="{00000000-0005-0000-0000-00006F3C0000}"/>
    <cellStyle name="f 9" xfId="15475" xr:uid="{00000000-0005-0000-0000-0000703C0000}"/>
    <cellStyle name="F2" xfId="15476" xr:uid="{00000000-0005-0000-0000-0000713C0000}"/>
    <cellStyle name="F2 10" xfId="15477" xr:uid="{00000000-0005-0000-0000-0000723C0000}"/>
    <cellStyle name="F2 11" xfId="15478" xr:uid="{00000000-0005-0000-0000-0000733C0000}"/>
    <cellStyle name="F2 12" xfId="15479" xr:uid="{00000000-0005-0000-0000-0000743C0000}"/>
    <cellStyle name="F2 13" xfId="15480" xr:uid="{00000000-0005-0000-0000-0000753C0000}"/>
    <cellStyle name="F2 14" xfId="15481" xr:uid="{00000000-0005-0000-0000-0000763C0000}"/>
    <cellStyle name="F2 15" xfId="15482" xr:uid="{00000000-0005-0000-0000-0000773C0000}"/>
    <cellStyle name="F2 16" xfId="15483" xr:uid="{00000000-0005-0000-0000-0000783C0000}"/>
    <cellStyle name="F2 17" xfId="15484" xr:uid="{00000000-0005-0000-0000-0000793C0000}"/>
    <cellStyle name="F2 18" xfId="15485" xr:uid="{00000000-0005-0000-0000-00007A3C0000}"/>
    <cellStyle name="F2 19" xfId="15486" xr:uid="{00000000-0005-0000-0000-00007B3C0000}"/>
    <cellStyle name="F2 2" xfId="15487" xr:uid="{00000000-0005-0000-0000-00007C3C0000}"/>
    <cellStyle name="F2 20" xfId="15488" xr:uid="{00000000-0005-0000-0000-00007D3C0000}"/>
    <cellStyle name="F2 21" xfId="15489" xr:uid="{00000000-0005-0000-0000-00007E3C0000}"/>
    <cellStyle name="F2 21 2" xfId="15490" xr:uid="{00000000-0005-0000-0000-00007F3C0000}"/>
    <cellStyle name="F2 3" xfId="15491" xr:uid="{00000000-0005-0000-0000-0000803C0000}"/>
    <cellStyle name="F2 4" xfId="15492" xr:uid="{00000000-0005-0000-0000-0000813C0000}"/>
    <cellStyle name="F2 5" xfId="15493" xr:uid="{00000000-0005-0000-0000-0000823C0000}"/>
    <cellStyle name="F2 6" xfId="15494" xr:uid="{00000000-0005-0000-0000-0000833C0000}"/>
    <cellStyle name="F2 7" xfId="15495" xr:uid="{00000000-0005-0000-0000-0000843C0000}"/>
    <cellStyle name="F2 8" xfId="15496" xr:uid="{00000000-0005-0000-0000-0000853C0000}"/>
    <cellStyle name="F2 9" xfId="15497" xr:uid="{00000000-0005-0000-0000-0000863C0000}"/>
    <cellStyle name="F3" xfId="15498" xr:uid="{00000000-0005-0000-0000-0000873C0000}"/>
    <cellStyle name="F3 10" xfId="15499" xr:uid="{00000000-0005-0000-0000-0000883C0000}"/>
    <cellStyle name="F3 11" xfId="15500" xr:uid="{00000000-0005-0000-0000-0000893C0000}"/>
    <cellStyle name="F3 12" xfId="15501" xr:uid="{00000000-0005-0000-0000-00008A3C0000}"/>
    <cellStyle name="F3 13" xfId="15502" xr:uid="{00000000-0005-0000-0000-00008B3C0000}"/>
    <cellStyle name="F3 14" xfId="15503" xr:uid="{00000000-0005-0000-0000-00008C3C0000}"/>
    <cellStyle name="F3 15" xfId="15504" xr:uid="{00000000-0005-0000-0000-00008D3C0000}"/>
    <cellStyle name="F3 16" xfId="15505" xr:uid="{00000000-0005-0000-0000-00008E3C0000}"/>
    <cellStyle name="F3 17" xfId="15506" xr:uid="{00000000-0005-0000-0000-00008F3C0000}"/>
    <cellStyle name="F3 18" xfId="15507" xr:uid="{00000000-0005-0000-0000-0000903C0000}"/>
    <cellStyle name="F3 19" xfId="15508" xr:uid="{00000000-0005-0000-0000-0000913C0000}"/>
    <cellStyle name="F3 2" xfId="15509" xr:uid="{00000000-0005-0000-0000-0000923C0000}"/>
    <cellStyle name="F3 20" xfId="15510" xr:uid="{00000000-0005-0000-0000-0000933C0000}"/>
    <cellStyle name="F3 21" xfId="15511" xr:uid="{00000000-0005-0000-0000-0000943C0000}"/>
    <cellStyle name="F3 21 2" xfId="15512" xr:uid="{00000000-0005-0000-0000-0000953C0000}"/>
    <cellStyle name="F3 3" xfId="15513" xr:uid="{00000000-0005-0000-0000-0000963C0000}"/>
    <cellStyle name="F3 4" xfId="15514" xr:uid="{00000000-0005-0000-0000-0000973C0000}"/>
    <cellStyle name="F3 5" xfId="15515" xr:uid="{00000000-0005-0000-0000-0000983C0000}"/>
    <cellStyle name="F3 6" xfId="15516" xr:uid="{00000000-0005-0000-0000-0000993C0000}"/>
    <cellStyle name="F3 7" xfId="15517" xr:uid="{00000000-0005-0000-0000-00009A3C0000}"/>
    <cellStyle name="F3 8" xfId="15518" xr:uid="{00000000-0005-0000-0000-00009B3C0000}"/>
    <cellStyle name="F3 9" xfId="15519" xr:uid="{00000000-0005-0000-0000-00009C3C0000}"/>
    <cellStyle name="F4" xfId="15520" xr:uid="{00000000-0005-0000-0000-00009D3C0000}"/>
    <cellStyle name="F4 10" xfId="15521" xr:uid="{00000000-0005-0000-0000-00009E3C0000}"/>
    <cellStyle name="F4 11" xfId="15522" xr:uid="{00000000-0005-0000-0000-00009F3C0000}"/>
    <cellStyle name="F4 12" xfId="15523" xr:uid="{00000000-0005-0000-0000-0000A03C0000}"/>
    <cellStyle name="F4 13" xfId="15524" xr:uid="{00000000-0005-0000-0000-0000A13C0000}"/>
    <cellStyle name="F4 14" xfId="15525" xr:uid="{00000000-0005-0000-0000-0000A23C0000}"/>
    <cellStyle name="F4 15" xfId="15526" xr:uid="{00000000-0005-0000-0000-0000A33C0000}"/>
    <cellStyle name="F4 16" xfId="15527" xr:uid="{00000000-0005-0000-0000-0000A43C0000}"/>
    <cellStyle name="F4 17" xfId="15528" xr:uid="{00000000-0005-0000-0000-0000A53C0000}"/>
    <cellStyle name="F4 18" xfId="15529" xr:uid="{00000000-0005-0000-0000-0000A63C0000}"/>
    <cellStyle name="F4 19" xfId="15530" xr:uid="{00000000-0005-0000-0000-0000A73C0000}"/>
    <cellStyle name="F4 2" xfId="15531" xr:uid="{00000000-0005-0000-0000-0000A83C0000}"/>
    <cellStyle name="F4 20" xfId="15532" xr:uid="{00000000-0005-0000-0000-0000A93C0000}"/>
    <cellStyle name="F4 21" xfId="15533" xr:uid="{00000000-0005-0000-0000-0000AA3C0000}"/>
    <cellStyle name="F4 21 2" xfId="15534" xr:uid="{00000000-0005-0000-0000-0000AB3C0000}"/>
    <cellStyle name="F4 3" xfId="15535" xr:uid="{00000000-0005-0000-0000-0000AC3C0000}"/>
    <cellStyle name="F4 4" xfId="15536" xr:uid="{00000000-0005-0000-0000-0000AD3C0000}"/>
    <cellStyle name="F4 5" xfId="15537" xr:uid="{00000000-0005-0000-0000-0000AE3C0000}"/>
    <cellStyle name="F4 6" xfId="15538" xr:uid="{00000000-0005-0000-0000-0000AF3C0000}"/>
    <cellStyle name="F4 7" xfId="15539" xr:uid="{00000000-0005-0000-0000-0000B03C0000}"/>
    <cellStyle name="F4 8" xfId="15540" xr:uid="{00000000-0005-0000-0000-0000B13C0000}"/>
    <cellStyle name="F4 9" xfId="15541" xr:uid="{00000000-0005-0000-0000-0000B23C0000}"/>
    <cellStyle name="F5" xfId="15542" xr:uid="{00000000-0005-0000-0000-0000B33C0000}"/>
    <cellStyle name="F5 10" xfId="15543" xr:uid="{00000000-0005-0000-0000-0000B43C0000}"/>
    <cellStyle name="F5 11" xfId="15544" xr:uid="{00000000-0005-0000-0000-0000B53C0000}"/>
    <cellStyle name="F5 12" xfId="15545" xr:uid="{00000000-0005-0000-0000-0000B63C0000}"/>
    <cellStyle name="F5 13" xfId="15546" xr:uid="{00000000-0005-0000-0000-0000B73C0000}"/>
    <cellStyle name="F5 14" xfId="15547" xr:uid="{00000000-0005-0000-0000-0000B83C0000}"/>
    <cellStyle name="F5 15" xfId="15548" xr:uid="{00000000-0005-0000-0000-0000B93C0000}"/>
    <cellStyle name="F5 16" xfId="15549" xr:uid="{00000000-0005-0000-0000-0000BA3C0000}"/>
    <cellStyle name="F5 17" xfId="15550" xr:uid="{00000000-0005-0000-0000-0000BB3C0000}"/>
    <cellStyle name="F5 18" xfId="15551" xr:uid="{00000000-0005-0000-0000-0000BC3C0000}"/>
    <cellStyle name="F5 19" xfId="15552" xr:uid="{00000000-0005-0000-0000-0000BD3C0000}"/>
    <cellStyle name="F5 2" xfId="15553" xr:uid="{00000000-0005-0000-0000-0000BE3C0000}"/>
    <cellStyle name="F5 20" xfId="15554" xr:uid="{00000000-0005-0000-0000-0000BF3C0000}"/>
    <cellStyle name="F5 21" xfId="15555" xr:uid="{00000000-0005-0000-0000-0000C03C0000}"/>
    <cellStyle name="F5 21 2" xfId="15556" xr:uid="{00000000-0005-0000-0000-0000C13C0000}"/>
    <cellStyle name="F5 3" xfId="15557" xr:uid="{00000000-0005-0000-0000-0000C23C0000}"/>
    <cellStyle name="F5 4" xfId="15558" xr:uid="{00000000-0005-0000-0000-0000C33C0000}"/>
    <cellStyle name="F5 5" xfId="15559" xr:uid="{00000000-0005-0000-0000-0000C43C0000}"/>
    <cellStyle name="F5 6" xfId="15560" xr:uid="{00000000-0005-0000-0000-0000C53C0000}"/>
    <cellStyle name="F5 7" xfId="15561" xr:uid="{00000000-0005-0000-0000-0000C63C0000}"/>
    <cellStyle name="F5 8" xfId="15562" xr:uid="{00000000-0005-0000-0000-0000C73C0000}"/>
    <cellStyle name="F5 9" xfId="15563" xr:uid="{00000000-0005-0000-0000-0000C83C0000}"/>
    <cellStyle name="F6" xfId="15564" xr:uid="{00000000-0005-0000-0000-0000C93C0000}"/>
    <cellStyle name="F6 10" xfId="15565" xr:uid="{00000000-0005-0000-0000-0000CA3C0000}"/>
    <cellStyle name="F6 11" xfId="15566" xr:uid="{00000000-0005-0000-0000-0000CB3C0000}"/>
    <cellStyle name="F6 12" xfId="15567" xr:uid="{00000000-0005-0000-0000-0000CC3C0000}"/>
    <cellStyle name="F6 13" xfId="15568" xr:uid="{00000000-0005-0000-0000-0000CD3C0000}"/>
    <cellStyle name="F6 14" xfId="15569" xr:uid="{00000000-0005-0000-0000-0000CE3C0000}"/>
    <cellStyle name="F6 15" xfId="15570" xr:uid="{00000000-0005-0000-0000-0000CF3C0000}"/>
    <cellStyle name="F6 16" xfId="15571" xr:uid="{00000000-0005-0000-0000-0000D03C0000}"/>
    <cellStyle name="F6 17" xfId="15572" xr:uid="{00000000-0005-0000-0000-0000D13C0000}"/>
    <cellStyle name="F6 18" xfId="15573" xr:uid="{00000000-0005-0000-0000-0000D23C0000}"/>
    <cellStyle name="F6 19" xfId="15574" xr:uid="{00000000-0005-0000-0000-0000D33C0000}"/>
    <cellStyle name="F6 2" xfId="15575" xr:uid="{00000000-0005-0000-0000-0000D43C0000}"/>
    <cellStyle name="F6 20" xfId="15576" xr:uid="{00000000-0005-0000-0000-0000D53C0000}"/>
    <cellStyle name="F6 21" xfId="15577" xr:uid="{00000000-0005-0000-0000-0000D63C0000}"/>
    <cellStyle name="F6 21 2" xfId="15578" xr:uid="{00000000-0005-0000-0000-0000D73C0000}"/>
    <cellStyle name="F6 3" xfId="15579" xr:uid="{00000000-0005-0000-0000-0000D83C0000}"/>
    <cellStyle name="F6 4" xfId="15580" xr:uid="{00000000-0005-0000-0000-0000D93C0000}"/>
    <cellStyle name="F6 5" xfId="15581" xr:uid="{00000000-0005-0000-0000-0000DA3C0000}"/>
    <cellStyle name="F6 6" xfId="15582" xr:uid="{00000000-0005-0000-0000-0000DB3C0000}"/>
    <cellStyle name="F6 7" xfId="15583" xr:uid="{00000000-0005-0000-0000-0000DC3C0000}"/>
    <cellStyle name="F6 8" xfId="15584" xr:uid="{00000000-0005-0000-0000-0000DD3C0000}"/>
    <cellStyle name="F6 9" xfId="15585" xr:uid="{00000000-0005-0000-0000-0000DE3C0000}"/>
    <cellStyle name="F7_state taxes" xfId="15586" xr:uid="{00000000-0005-0000-0000-0000DF3C0000}"/>
    <cellStyle name="F8_state taxes" xfId="15587" xr:uid="{00000000-0005-0000-0000-0000E03C0000}"/>
    <cellStyle name="ff" xfId="15588" xr:uid="{00000000-0005-0000-0000-0000E13C0000}"/>
    <cellStyle name="ff 10" xfId="15589" xr:uid="{00000000-0005-0000-0000-0000E23C0000}"/>
    <cellStyle name="ff 11" xfId="15590" xr:uid="{00000000-0005-0000-0000-0000E33C0000}"/>
    <cellStyle name="ff 12" xfId="15591" xr:uid="{00000000-0005-0000-0000-0000E43C0000}"/>
    <cellStyle name="ff 13" xfId="15592" xr:uid="{00000000-0005-0000-0000-0000E53C0000}"/>
    <cellStyle name="ff 14" xfId="15593" xr:uid="{00000000-0005-0000-0000-0000E63C0000}"/>
    <cellStyle name="ff 15" xfId="15594" xr:uid="{00000000-0005-0000-0000-0000E73C0000}"/>
    <cellStyle name="ff 16" xfId="15595" xr:uid="{00000000-0005-0000-0000-0000E83C0000}"/>
    <cellStyle name="ff 17" xfId="15596" xr:uid="{00000000-0005-0000-0000-0000E93C0000}"/>
    <cellStyle name="ff 18" xfId="15597" xr:uid="{00000000-0005-0000-0000-0000EA3C0000}"/>
    <cellStyle name="ff 19" xfId="15598" xr:uid="{00000000-0005-0000-0000-0000EB3C0000}"/>
    <cellStyle name="ff 2" xfId="15599" xr:uid="{00000000-0005-0000-0000-0000EC3C0000}"/>
    <cellStyle name="ff 20" xfId="15600" xr:uid="{00000000-0005-0000-0000-0000ED3C0000}"/>
    <cellStyle name="ff 21" xfId="15601" xr:uid="{00000000-0005-0000-0000-0000EE3C0000}"/>
    <cellStyle name="ff 21 2" xfId="15602" xr:uid="{00000000-0005-0000-0000-0000EF3C0000}"/>
    <cellStyle name="ff 3" xfId="15603" xr:uid="{00000000-0005-0000-0000-0000F03C0000}"/>
    <cellStyle name="ff 4" xfId="15604" xr:uid="{00000000-0005-0000-0000-0000F13C0000}"/>
    <cellStyle name="ff 5" xfId="15605" xr:uid="{00000000-0005-0000-0000-0000F23C0000}"/>
    <cellStyle name="ff 6" xfId="15606" xr:uid="{00000000-0005-0000-0000-0000F33C0000}"/>
    <cellStyle name="ff 7" xfId="15607" xr:uid="{00000000-0005-0000-0000-0000F43C0000}"/>
    <cellStyle name="ff 8" xfId="15608" xr:uid="{00000000-0005-0000-0000-0000F53C0000}"/>
    <cellStyle name="ff 9" xfId="15609" xr:uid="{00000000-0005-0000-0000-0000F63C0000}"/>
    <cellStyle name="fff" xfId="15610" xr:uid="{00000000-0005-0000-0000-0000F73C0000}"/>
    <cellStyle name="fff 10" xfId="15611" xr:uid="{00000000-0005-0000-0000-0000F83C0000}"/>
    <cellStyle name="fff 11" xfId="15612" xr:uid="{00000000-0005-0000-0000-0000F93C0000}"/>
    <cellStyle name="fff 12" xfId="15613" xr:uid="{00000000-0005-0000-0000-0000FA3C0000}"/>
    <cellStyle name="fff 13" xfId="15614" xr:uid="{00000000-0005-0000-0000-0000FB3C0000}"/>
    <cellStyle name="fff 14" xfId="15615" xr:uid="{00000000-0005-0000-0000-0000FC3C0000}"/>
    <cellStyle name="fff 15" xfId="15616" xr:uid="{00000000-0005-0000-0000-0000FD3C0000}"/>
    <cellStyle name="fff 16" xfId="15617" xr:uid="{00000000-0005-0000-0000-0000FE3C0000}"/>
    <cellStyle name="fff 17" xfId="15618" xr:uid="{00000000-0005-0000-0000-0000FF3C0000}"/>
    <cellStyle name="fff 18" xfId="15619" xr:uid="{00000000-0005-0000-0000-0000003D0000}"/>
    <cellStyle name="fff 19" xfId="15620" xr:uid="{00000000-0005-0000-0000-0000013D0000}"/>
    <cellStyle name="fff 2" xfId="15621" xr:uid="{00000000-0005-0000-0000-0000023D0000}"/>
    <cellStyle name="fff 20" xfId="15622" xr:uid="{00000000-0005-0000-0000-0000033D0000}"/>
    <cellStyle name="fff 21" xfId="15623" xr:uid="{00000000-0005-0000-0000-0000043D0000}"/>
    <cellStyle name="fff 21 2" xfId="15624" xr:uid="{00000000-0005-0000-0000-0000053D0000}"/>
    <cellStyle name="fff 3" xfId="15625" xr:uid="{00000000-0005-0000-0000-0000063D0000}"/>
    <cellStyle name="fff 4" xfId="15626" xr:uid="{00000000-0005-0000-0000-0000073D0000}"/>
    <cellStyle name="fff 5" xfId="15627" xr:uid="{00000000-0005-0000-0000-0000083D0000}"/>
    <cellStyle name="fff 6" xfId="15628" xr:uid="{00000000-0005-0000-0000-0000093D0000}"/>
    <cellStyle name="fff 7" xfId="15629" xr:uid="{00000000-0005-0000-0000-00000A3D0000}"/>
    <cellStyle name="fff 8" xfId="15630" xr:uid="{00000000-0005-0000-0000-00000B3D0000}"/>
    <cellStyle name="fff 9" xfId="15631" xr:uid="{00000000-0005-0000-0000-00000C3D0000}"/>
    <cellStyle name="Fixed" xfId="15632" xr:uid="{00000000-0005-0000-0000-00000D3D0000}"/>
    <cellStyle name="Fixed 10" xfId="15633" xr:uid="{00000000-0005-0000-0000-00000E3D0000}"/>
    <cellStyle name="Fixed 11" xfId="15634" xr:uid="{00000000-0005-0000-0000-00000F3D0000}"/>
    <cellStyle name="Fixed 11 2" xfId="15635" xr:uid="{00000000-0005-0000-0000-0000103D0000}"/>
    <cellStyle name="Fixed 12" xfId="15636" xr:uid="{00000000-0005-0000-0000-0000113D0000}"/>
    <cellStyle name="Fixed 12 2" xfId="15637" xr:uid="{00000000-0005-0000-0000-0000123D0000}"/>
    <cellStyle name="Fixed 13" xfId="15638" xr:uid="{00000000-0005-0000-0000-0000133D0000}"/>
    <cellStyle name="Fixed 14" xfId="15639" xr:uid="{00000000-0005-0000-0000-0000143D0000}"/>
    <cellStyle name="Fixed 15" xfId="15640" xr:uid="{00000000-0005-0000-0000-0000153D0000}"/>
    <cellStyle name="Fixed 16" xfId="15641" xr:uid="{00000000-0005-0000-0000-0000163D0000}"/>
    <cellStyle name="Fixed 17" xfId="15642" xr:uid="{00000000-0005-0000-0000-0000173D0000}"/>
    <cellStyle name="Fixed 18" xfId="15643" xr:uid="{00000000-0005-0000-0000-0000183D0000}"/>
    <cellStyle name="Fixed 19" xfId="15644" xr:uid="{00000000-0005-0000-0000-0000193D0000}"/>
    <cellStyle name="Fixed 2" xfId="15645" xr:uid="{00000000-0005-0000-0000-00001A3D0000}"/>
    <cellStyle name="Fixed 2 2" xfId="15646" xr:uid="{00000000-0005-0000-0000-00001B3D0000}"/>
    <cellStyle name="Fixed 20" xfId="15647" xr:uid="{00000000-0005-0000-0000-00001C3D0000}"/>
    <cellStyle name="Fixed 21" xfId="15648" xr:uid="{00000000-0005-0000-0000-00001D3D0000}"/>
    <cellStyle name="Fixed 22" xfId="15649" xr:uid="{00000000-0005-0000-0000-00001E3D0000}"/>
    <cellStyle name="Fixed 23" xfId="15650" xr:uid="{00000000-0005-0000-0000-00001F3D0000}"/>
    <cellStyle name="Fixed 24" xfId="15651" xr:uid="{00000000-0005-0000-0000-0000203D0000}"/>
    <cellStyle name="Fixed 25" xfId="15652" xr:uid="{00000000-0005-0000-0000-0000213D0000}"/>
    <cellStyle name="Fixed 26" xfId="15653" xr:uid="{00000000-0005-0000-0000-0000223D0000}"/>
    <cellStyle name="Fixed 27" xfId="15654" xr:uid="{00000000-0005-0000-0000-0000233D0000}"/>
    <cellStyle name="Fixed 27 2" xfId="15655" xr:uid="{00000000-0005-0000-0000-0000243D0000}"/>
    <cellStyle name="Fixed 28" xfId="15656" xr:uid="{00000000-0005-0000-0000-0000253D0000}"/>
    <cellStyle name="Fixed 28 2" xfId="15657" xr:uid="{00000000-0005-0000-0000-0000263D0000}"/>
    <cellStyle name="Fixed 29" xfId="15658" xr:uid="{00000000-0005-0000-0000-0000273D0000}"/>
    <cellStyle name="Fixed 3" xfId="15659" xr:uid="{00000000-0005-0000-0000-0000283D0000}"/>
    <cellStyle name="Fixed 3 2" xfId="15660" xr:uid="{00000000-0005-0000-0000-0000293D0000}"/>
    <cellStyle name="Fixed 30" xfId="15661" xr:uid="{00000000-0005-0000-0000-00002A3D0000}"/>
    <cellStyle name="Fixed 31" xfId="15662" xr:uid="{00000000-0005-0000-0000-00002B3D0000}"/>
    <cellStyle name="Fixed 32" xfId="15663" xr:uid="{00000000-0005-0000-0000-00002C3D0000}"/>
    <cellStyle name="Fixed 33" xfId="15664" xr:uid="{00000000-0005-0000-0000-00002D3D0000}"/>
    <cellStyle name="Fixed 33 2" xfId="15665" xr:uid="{00000000-0005-0000-0000-00002E3D0000}"/>
    <cellStyle name="Fixed 34" xfId="15666" xr:uid="{00000000-0005-0000-0000-00002F3D0000}"/>
    <cellStyle name="Fixed 35" xfId="15667" xr:uid="{00000000-0005-0000-0000-0000303D0000}"/>
    <cellStyle name="Fixed 36" xfId="15668" xr:uid="{00000000-0005-0000-0000-0000313D0000}"/>
    <cellStyle name="Fixed 37" xfId="15669" xr:uid="{00000000-0005-0000-0000-0000323D0000}"/>
    <cellStyle name="Fixed 38" xfId="15670" xr:uid="{00000000-0005-0000-0000-0000333D0000}"/>
    <cellStyle name="Fixed 39" xfId="15671" xr:uid="{00000000-0005-0000-0000-0000343D0000}"/>
    <cellStyle name="Fixed 4" xfId="15672" xr:uid="{00000000-0005-0000-0000-0000353D0000}"/>
    <cellStyle name="Fixed 40" xfId="15673" xr:uid="{00000000-0005-0000-0000-0000363D0000}"/>
    <cellStyle name="Fixed 41" xfId="15674" xr:uid="{00000000-0005-0000-0000-0000373D0000}"/>
    <cellStyle name="Fixed 42" xfId="15675" xr:uid="{00000000-0005-0000-0000-0000383D0000}"/>
    <cellStyle name="Fixed 43" xfId="15676" xr:uid="{00000000-0005-0000-0000-0000393D0000}"/>
    <cellStyle name="Fixed 44" xfId="15677" xr:uid="{00000000-0005-0000-0000-00003A3D0000}"/>
    <cellStyle name="Fixed 45" xfId="15678" xr:uid="{00000000-0005-0000-0000-00003B3D0000}"/>
    <cellStyle name="Fixed 46" xfId="15679" xr:uid="{00000000-0005-0000-0000-00003C3D0000}"/>
    <cellStyle name="Fixed 47" xfId="15680" xr:uid="{00000000-0005-0000-0000-00003D3D0000}"/>
    <cellStyle name="Fixed 48" xfId="15681" xr:uid="{00000000-0005-0000-0000-00003E3D0000}"/>
    <cellStyle name="Fixed 5" xfId="15682" xr:uid="{00000000-0005-0000-0000-00003F3D0000}"/>
    <cellStyle name="Fixed 5 2" xfId="15683" xr:uid="{00000000-0005-0000-0000-0000403D0000}"/>
    <cellStyle name="Fixed 6" xfId="15684" xr:uid="{00000000-0005-0000-0000-0000413D0000}"/>
    <cellStyle name="Fixed 6 2" xfId="15685" xr:uid="{00000000-0005-0000-0000-0000423D0000}"/>
    <cellStyle name="Fixed 7" xfId="15686" xr:uid="{00000000-0005-0000-0000-0000433D0000}"/>
    <cellStyle name="Fixed 7 2" xfId="15687" xr:uid="{00000000-0005-0000-0000-0000443D0000}"/>
    <cellStyle name="Fixed 8" xfId="15688" xr:uid="{00000000-0005-0000-0000-0000453D0000}"/>
    <cellStyle name="Fixed 8 2" xfId="15689" xr:uid="{00000000-0005-0000-0000-0000463D0000}"/>
    <cellStyle name="Fixed 9" xfId="15690" xr:uid="{00000000-0005-0000-0000-0000473D0000}"/>
    <cellStyle name="Fixed 9 2" xfId="15691" xr:uid="{00000000-0005-0000-0000-0000483D0000}"/>
    <cellStyle name="Fixed0" xfId="15692" xr:uid="{00000000-0005-0000-0000-0000493D0000}"/>
    <cellStyle name="Fixed0 10" xfId="15693" xr:uid="{00000000-0005-0000-0000-00004A3D0000}"/>
    <cellStyle name="Fixed0 11" xfId="15694" xr:uid="{00000000-0005-0000-0000-00004B3D0000}"/>
    <cellStyle name="Fixed0 12" xfId="15695" xr:uid="{00000000-0005-0000-0000-00004C3D0000}"/>
    <cellStyle name="Fixed0 13" xfId="15696" xr:uid="{00000000-0005-0000-0000-00004D3D0000}"/>
    <cellStyle name="Fixed0 14" xfId="15697" xr:uid="{00000000-0005-0000-0000-00004E3D0000}"/>
    <cellStyle name="Fixed0 15" xfId="15698" xr:uid="{00000000-0005-0000-0000-00004F3D0000}"/>
    <cellStyle name="Fixed0 16" xfId="15699" xr:uid="{00000000-0005-0000-0000-0000503D0000}"/>
    <cellStyle name="Fixed0 17" xfId="15700" xr:uid="{00000000-0005-0000-0000-0000513D0000}"/>
    <cellStyle name="Fixed0 18" xfId="15701" xr:uid="{00000000-0005-0000-0000-0000523D0000}"/>
    <cellStyle name="Fixed0 19" xfId="15702" xr:uid="{00000000-0005-0000-0000-0000533D0000}"/>
    <cellStyle name="Fixed0 2" xfId="15703" xr:uid="{00000000-0005-0000-0000-0000543D0000}"/>
    <cellStyle name="Fixed0 20" xfId="15704" xr:uid="{00000000-0005-0000-0000-0000553D0000}"/>
    <cellStyle name="Fixed0 21" xfId="15705" xr:uid="{00000000-0005-0000-0000-0000563D0000}"/>
    <cellStyle name="Fixed0 21 2" xfId="15706" xr:uid="{00000000-0005-0000-0000-0000573D0000}"/>
    <cellStyle name="Fixed0 3" xfId="15707" xr:uid="{00000000-0005-0000-0000-0000583D0000}"/>
    <cellStyle name="Fixed0 4" xfId="15708" xr:uid="{00000000-0005-0000-0000-0000593D0000}"/>
    <cellStyle name="Fixed0 5" xfId="15709" xr:uid="{00000000-0005-0000-0000-00005A3D0000}"/>
    <cellStyle name="Fixed0 6" xfId="15710" xr:uid="{00000000-0005-0000-0000-00005B3D0000}"/>
    <cellStyle name="Fixed0 7" xfId="15711" xr:uid="{00000000-0005-0000-0000-00005C3D0000}"/>
    <cellStyle name="Fixed0 8" xfId="15712" xr:uid="{00000000-0005-0000-0000-00005D3D0000}"/>
    <cellStyle name="Fixed0 9" xfId="15713" xr:uid="{00000000-0005-0000-0000-00005E3D0000}"/>
    <cellStyle name="Fixed2 - Style2" xfId="15714" xr:uid="{00000000-0005-0000-0000-00005F3D0000}"/>
    <cellStyle name="Fixed2 - Style2 10" xfId="15715" xr:uid="{00000000-0005-0000-0000-0000603D0000}"/>
    <cellStyle name="Fixed2 - Style2 11" xfId="15716" xr:uid="{00000000-0005-0000-0000-0000613D0000}"/>
    <cellStyle name="Fixed2 - Style2 12" xfId="15717" xr:uid="{00000000-0005-0000-0000-0000623D0000}"/>
    <cellStyle name="Fixed2 - Style2 13" xfId="15718" xr:uid="{00000000-0005-0000-0000-0000633D0000}"/>
    <cellStyle name="Fixed2 - Style2 14" xfId="15719" xr:uid="{00000000-0005-0000-0000-0000643D0000}"/>
    <cellStyle name="Fixed2 - Style2 15" xfId="15720" xr:uid="{00000000-0005-0000-0000-0000653D0000}"/>
    <cellStyle name="Fixed2 - Style2 16" xfId="15721" xr:uid="{00000000-0005-0000-0000-0000663D0000}"/>
    <cellStyle name="Fixed2 - Style2 17" xfId="15722" xr:uid="{00000000-0005-0000-0000-0000673D0000}"/>
    <cellStyle name="Fixed2 - Style2 18" xfId="15723" xr:uid="{00000000-0005-0000-0000-0000683D0000}"/>
    <cellStyle name="Fixed2 - Style2 19" xfId="15724" xr:uid="{00000000-0005-0000-0000-0000693D0000}"/>
    <cellStyle name="Fixed2 - Style2 2" xfId="15725" xr:uid="{00000000-0005-0000-0000-00006A3D0000}"/>
    <cellStyle name="Fixed2 - Style2 20" xfId="15726" xr:uid="{00000000-0005-0000-0000-00006B3D0000}"/>
    <cellStyle name="Fixed2 - Style2 21" xfId="15727" xr:uid="{00000000-0005-0000-0000-00006C3D0000}"/>
    <cellStyle name="Fixed2 - Style2 21 2" xfId="15728" xr:uid="{00000000-0005-0000-0000-00006D3D0000}"/>
    <cellStyle name="Fixed2 - Style2 3" xfId="15729" xr:uid="{00000000-0005-0000-0000-00006E3D0000}"/>
    <cellStyle name="Fixed2 - Style2 4" xfId="15730" xr:uid="{00000000-0005-0000-0000-00006F3D0000}"/>
    <cellStyle name="Fixed2 - Style2 5" xfId="15731" xr:uid="{00000000-0005-0000-0000-0000703D0000}"/>
    <cellStyle name="Fixed2 - Style2 6" xfId="15732" xr:uid="{00000000-0005-0000-0000-0000713D0000}"/>
    <cellStyle name="Fixed2 - Style2 7" xfId="15733" xr:uid="{00000000-0005-0000-0000-0000723D0000}"/>
    <cellStyle name="Fixed2 - Style2 8" xfId="15734" xr:uid="{00000000-0005-0000-0000-0000733D0000}"/>
    <cellStyle name="Fixed2 - Style2 9" xfId="15735" xr:uid="{00000000-0005-0000-0000-0000743D0000}"/>
    <cellStyle name="fn" xfId="15736" xr:uid="{00000000-0005-0000-0000-0000753D0000}"/>
    <cellStyle name="fn 10" xfId="15737" xr:uid="{00000000-0005-0000-0000-0000763D0000}"/>
    <cellStyle name="fn 11" xfId="15738" xr:uid="{00000000-0005-0000-0000-0000773D0000}"/>
    <cellStyle name="fn 12" xfId="15739" xr:uid="{00000000-0005-0000-0000-0000783D0000}"/>
    <cellStyle name="fn 13" xfId="15740" xr:uid="{00000000-0005-0000-0000-0000793D0000}"/>
    <cellStyle name="fn 14" xfId="15741" xr:uid="{00000000-0005-0000-0000-00007A3D0000}"/>
    <cellStyle name="fn 15" xfId="15742" xr:uid="{00000000-0005-0000-0000-00007B3D0000}"/>
    <cellStyle name="fn 16" xfId="15743" xr:uid="{00000000-0005-0000-0000-00007C3D0000}"/>
    <cellStyle name="fn 17" xfId="15744" xr:uid="{00000000-0005-0000-0000-00007D3D0000}"/>
    <cellStyle name="fn 18" xfId="15745" xr:uid="{00000000-0005-0000-0000-00007E3D0000}"/>
    <cellStyle name="fn 19" xfId="15746" xr:uid="{00000000-0005-0000-0000-00007F3D0000}"/>
    <cellStyle name="fn 2" xfId="15747" xr:uid="{00000000-0005-0000-0000-0000803D0000}"/>
    <cellStyle name="fn 20" xfId="15748" xr:uid="{00000000-0005-0000-0000-0000813D0000}"/>
    <cellStyle name="fn 21" xfId="15749" xr:uid="{00000000-0005-0000-0000-0000823D0000}"/>
    <cellStyle name="fn 3" xfId="15750" xr:uid="{00000000-0005-0000-0000-0000833D0000}"/>
    <cellStyle name="fn 4" xfId="15751" xr:uid="{00000000-0005-0000-0000-0000843D0000}"/>
    <cellStyle name="fn 5" xfId="15752" xr:uid="{00000000-0005-0000-0000-0000853D0000}"/>
    <cellStyle name="fn 6" xfId="15753" xr:uid="{00000000-0005-0000-0000-0000863D0000}"/>
    <cellStyle name="fn 7" xfId="15754" xr:uid="{00000000-0005-0000-0000-0000873D0000}"/>
    <cellStyle name="fn 8" xfId="15755" xr:uid="{00000000-0005-0000-0000-0000883D0000}"/>
    <cellStyle name="fn 9" xfId="15756" xr:uid="{00000000-0005-0000-0000-0000893D0000}"/>
    <cellStyle name="fnComment" xfId="15757" xr:uid="{00000000-0005-0000-0000-00008A3D0000}"/>
    <cellStyle name="fnComment 10" xfId="15758" xr:uid="{00000000-0005-0000-0000-00008B3D0000}"/>
    <cellStyle name="fnComment 11" xfId="15759" xr:uid="{00000000-0005-0000-0000-00008C3D0000}"/>
    <cellStyle name="fnComment 12" xfId="15760" xr:uid="{00000000-0005-0000-0000-00008D3D0000}"/>
    <cellStyle name="fnComment 13" xfId="15761" xr:uid="{00000000-0005-0000-0000-00008E3D0000}"/>
    <cellStyle name="fnComment 14" xfId="15762" xr:uid="{00000000-0005-0000-0000-00008F3D0000}"/>
    <cellStyle name="fnComment 15" xfId="15763" xr:uid="{00000000-0005-0000-0000-0000903D0000}"/>
    <cellStyle name="fnComment 16" xfId="15764" xr:uid="{00000000-0005-0000-0000-0000913D0000}"/>
    <cellStyle name="fnComment 17" xfId="15765" xr:uid="{00000000-0005-0000-0000-0000923D0000}"/>
    <cellStyle name="fnComment 18" xfId="15766" xr:uid="{00000000-0005-0000-0000-0000933D0000}"/>
    <cellStyle name="fnComment 19" xfId="15767" xr:uid="{00000000-0005-0000-0000-0000943D0000}"/>
    <cellStyle name="fnComment 2" xfId="15768" xr:uid="{00000000-0005-0000-0000-0000953D0000}"/>
    <cellStyle name="fnComment 20" xfId="15769" xr:uid="{00000000-0005-0000-0000-0000963D0000}"/>
    <cellStyle name="fnComment 21" xfId="15770" xr:uid="{00000000-0005-0000-0000-0000973D0000}"/>
    <cellStyle name="fnComment 21 2" xfId="15771" xr:uid="{00000000-0005-0000-0000-0000983D0000}"/>
    <cellStyle name="fnComment 3" xfId="15772" xr:uid="{00000000-0005-0000-0000-0000993D0000}"/>
    <cellStyle name="fnComment 4" xfId="15773" xr:uid="{00000000-0005-0000-0000-00009A3D0000}"/>
    <cellStyle name="fnComment 5" xfId="15774" xr:uid="{00000000-0005-0000-0000-00009B3D0000}"/>
    <cellStyle name="fnComment 6" xfId="15775" xr:uid="{00000000-0005-0000-0000-00009C3D0000}"/>
    <cellStyle name="fnComment 7" xfId="15776" xr:uid="{00000000-0005-0000-0000-00009D3D0000}"/>
    <cellStyle name="fnComment 8" xfId="15777" xr:uid="{00000000-0005-0000-0000-00009E3D0000}"/>
    <cellStyle name="fnComment 9" xfId="15778" xr:uid="{00000000-0005-0000-0000-00009F3D0000}"/>
    <cellStyle name="Footnote" xfId="15779" xr:uid="{00000000-0005-0000-0000-0000A03D0000}"/>
    <cellStyle name="Footnote 10" xfId="15780" xr:uid="{00000000-0005-0000-0000-0000A13D0000}"/>
    <cellStyle name="Footnote 11" xfId="15781" xr:uid="{00000000-0005-0000-0000-0000A23D0000}"/>
    <cellStyle name="Footnote 12" xfId="15782" xr:uid="{00000000-0005-0000-0000-0000A33D0000}"/>
    <cellStyle name="Footnote 13" xfId="15783" xr:uid="{00000000-0005-0000-0000-0000A43D0000}"/>
    <cellStyle name="Footnote 14" xfId="15784" xr:uid="{00000000-0005-0000-0000-0000A53D0000}"/>
    <cellStyle name="Footnote 15" xfId="15785" xr:uid="{00000000-0005-0000-0000-0000A63D0000}"/>
    <cellStyle name="Footnote 16" xfId="15786" xr:uid="{00000000-0005-0000-0000-0000A73D0000}"/>
    <cellStyle name="Footnote 17" xfId="15787" xr:uid="{00000000-0005-0000-0000-0000A83D0000}"/>
    <cellStyle name="Footnote 18" xfId="15788" xr:uid="{00000000-0005-0000-0000-0000A93D0000}"/>
    <cellStyle name="Footnote 19" xfId="15789" xr:uid="{00000000-0005-0000-0000-0000AA3D0000}"/>
    <cellStyle name="Footnote 2" xfId="15790" xr:uid="{00000000-0005-0000-0000-0000AB3D0000}"/>
    <cellStyle name="Footnote 20" xfId="15791" xr:uid="{00000000-0005-0000-0000-0000AC3D0000}"/>
    <cellStyle name="Footnote 21" xfId="15792" xr:uid="{00000000-0005-0000-0000-0000AD3D0000}"/>
    <cellStyle name="Footnote 21 2" xfId="15793" xr:uid="{00000000-0005-0000-0000-0000AE3D0000}"/>
    <cellStyle name="Footnote 3" xfId="15794" xr:uid="{00000000-0005-0000-0000-0000AF3D0000}"/>
    <cellStyle name="Footnote 4" xfId="15795" xr:uid="{00000000-0005-0000-0000-0000B03D0000}"/>
    <cellStyle name="Footnote 5" xfId="15796" xr:uid="{00000000-0005-0000-0000-0000B13D0000}"/>
    <cellStyle name="Footnote 6" xfId="15797" xr:uid="{00000000-0005-0000-0000-0000B23D0000}"/>
    <cellStyle name="Footnote 7" xfId="15798" xr:uid="{00000000-0005-0000-0000-0000B33D0000}"/>
    <cellStyle name="Footnote 8" xfId="15799" xr:uid="{00000000-0005-0000-0000-0000B43D0000}"/>
    <cellStyle name="Footnote 9" xfId="15800" xr:uid="{00000000-0005-0000-0000-0000B53D0000}"/>
    <cellStyle name="Form_CheckBox" xfId="15801" xr:uid="{00000000-0005-0000-0000-0000B63D0000}"/>
    <cellStyle name="FormulaCellStyle" xfId="15802" xr:uid="{00000000-0005-0000-0000-0000B73D0000}"/>
    <cellStyle name="FormulaCellStyle 10" xfId="15803" xr:uid="{00000000-0005-0000-0000-0000B83D0000}"/>
    <cellStyle name="FormulaCellStyle 11" xfId="15804" xr:uid="{00000000-0005-0000-0000-0000B93D0000}"/>
    <cellStyle name="FormulaCellStyle 12" xfId="15805" xr:uid="{00000000-0005-0000-0000-0000BA3D0000}"/>
    <cellStyle name="FormulaCellStyle 13" xfId="15806" xr:uid="{00000000-0005-0000-0000-0000BB3D0000}"/>
    <cellStyle name="FormulaCellStyle 14" xfId="15807" xr:uid="{00000000-0005-0000-0000-0000BC3D0000}"/>
    <cellStyle name="FormulaCellStyle 15" xfId="15808" xr:uid="{00000000-0005-0000-0000-0000BD3D0000}"/>
    <cellStyle name="FormulaCellStyle 16" xfId="15809" xr:uid="{00000000-0005-0000-0000-0000BE3D0000}"/>
    <cellStyle name="FormulaCellStyle 17" xfId="15810" xr:uid="{00000000-0005-0000-0000-0000BF3D0000}"/>
    <cellStyle name="FormulaCellStyle 18" xfId="15811" xr:uid="{00000000-0005-0000-0000-0000C03D0000}"/>
    <cellStyle name="FormulaCellStyle 19" xfId="15812" xr:uid="{00000000-0005-0000-0000-0000C13D0000}"/>
    <cellStyle name="FormulaCellStyle 2" xfId="15813" xr:uid="{00000000-0005-0000-0000-0000C23D0000}"/>
    <cellStyle name="FormulaCellStyle 2 2" xfId="15814" xr:uid="{00000000-0005-0000-0000-0000C33D0000}"/>
    <cellStyle name="FormulaCellStyle 20" xfId="15815" xr:uid="{00000000-0005-0000-0000-0000C43D0000}"/>
    <cellStyle name="FormulaCellStyle 21" xfId="15816" xr:uid="{00000000-0005-0000-0000-0000C53D0000}"/>
    <cellStyle name="FormulaCellStyle 22" xfId="15817" xr:uid="{00000000-0005-0000-0000-0000C63D0000}"/>
    <cellStyle name="FormulaCellStyle 23" xfId="15818" xr:uid="{00000000-0005-0000-0000-0000C73D0000}"/>
    <cellStyle name="FormulaCellStyle 23 2" xfId="15819" xr:uid="{00000000-0005-0000-0000-0000C83D0000}"/>
    <cellStyle name="FormulaCellStyle 3" xfId="15820" xr:uid="{00000000-0005-0000-0000-0000C93D0000}"/>
    <cellStyle name="FormulaCellStyle 3 2" xfId="15821" xr:uid="{00000000-0005-0000-0000-0000CA3D0000}"/>
    <cellStyle name="FormulaCellStyle 4" xfId="15822" xr:uid="{00000000-0005-0000-0000-0000CB3D0000}"/>
    <cellStyle name="FormulaCellStyle 5" xfId="15823" xr:uid="{00000000-0005-0000-0000-0000CC3D0000}"/>
    <cellStyle name="FormulaCellStyle 6" xfId="15824" xr:uid="{00000000-0005-0000-0000-0000CD3D0000}"/>
    <cellStyle name="FormulaCellStyle 7" xfId="15825" xr:uid="{00000000-0005-0000-0000-0000CE3D0000}"/>
    <cellStyle name="FormulaCellStyle 8" xfId="15826" xr:uid="{00000000-0005-0000-0000-0000CF3D0000}"/>
    <cellStyle name="FormulaCellStyle 9" xfId="15827" xr:uid="{00000000-0005-0000-0000-0000D03D0000}"/>
    <cellStyle name="Fyrirsögn" xfId="15828" xr:uid="{00000000-0005-0000-0000-0000D13D0000}"/>
    <cellStyle name="Fyrirsögn 10" xfId="15829" xr:uid="{00000000-0005-0000-0000-0000D23D0000}"/>
    <cellStyle name="Fyrirsögn 11" xfId="15830" xr:uid="{00000000-0005-0000-0000-0000D33D0000}"/>
    <cellStyle name="Fyrirsögn 12" xfId="15831" xr:uid="{00000000-0005-0000-0000-0000D43D0000}"/>
    <cellStyle name="Fyrirsögn 13" xfId="15832" xr:uid="{00000000-0005-0000-0000-0000D53D0000}"/>
    <cellStyle name="Fyrirsögn 14" xfId="15833" xr:uid="{00000000-0005-0000-0000-0000D63D0000}"/>
    <cellStyle name="Fyrirsögn 15" xfId="15834" xr:uid="{00000000-0005-0000-0000-0000D73D0000}"/>
    <cellStyle name="Fyrirsögn 16" xfId="15835" xr:uid="{00000000-0005-0000-0000-0000D83D0000}"/>
    <cellStyle name="Fyrirsögn 17" xfId="15836" xr:uid="{00000000-0005-0000-0000-0000D93D0000}"/>
    <cellStyle name="Fyrirsögn 18" xfId="15837" xr:uid="{00000000-0005-0000-0000-0000DA3D0000}"/>
    <cellStyle name="Fyrirsögn 19" xfId="15838" xr:uid="{00000000-0005-0000-0000-0000DB3D0000}"/>
    <cellStyle name="Fyrirsögn 2" xfId="15839" xr:uid="{00000000-0005-0000-0000-0000DC3D0000}"/>
    <cellStyle name="Fyrirsögn 20" xfId="15840" xr:uid="{00000000-0005-0000-0000-0000DD3D0000}"/>
    <cellStyle name="Fyrirsögn 21" xfId="15841" xr:uid="{00000000-0005-0000-0000-0000DE3D0000}"/>
    <cellStyle name="Fyrirsögn 21 2" xfId="15842" xr:uid="{00000000-0005-0000-0000-0000DF3D0000}"/>
    <cellStyle name="Fyrirsögn 3" xfId="15843" xr:uid="{00000000-0005-0000-0000-0000E03D0000}"/>
    <cellStyle name="Fyrirsögn 4" xfId="15844" xr:uid="{00000000-0005-0000-0000-0000E13D0000}"/>
    <cellStyle name="Fyrirsögn 5" xfId="15845" xr:uid="{00000000-0005-0000-0000-0000E23D0000}"/>
    <cellStyle name="Fyrirsögn 6" xfId="15846" xr:uid="{00000000-0005-0000-0000-0000E33D0000}"/>
    <cellStyle name="Fyrirsögn 7" xfId="15847" xr:uid="{00000000-0005-0000-0000-0000E43D0000}"/>
    <cellStyle name="Fyrirsögn 8" xfId="15848" xr:uid="{00000000-0005-0000-0000-0000E53D0000}"/>
    <cellStyle name="Fyrirsögn 9" xfId="15849" xr:uid="{00000000-0005-0000-0000-0000E63D0000}"/>
    <cellStyle name="Fyrirsögn_Dist Summary_11.XX.09" xfId="15850" xr:uid="{00000000-0005-0000-0000-0000E73D0000}"/>
    <cellStyle name="Gen. Number" xfId="15851" xr:uid="{00000000-0005-0000-0000-0000E83D0000}"/>
    <cellStyle name="Gen. Number 10" xfId="15852" xr:uid="{00000000-0005-0000-0000-0000E93D0000}"/>
    <cellStyle name="Gen. Number 11" xfId="15853" xr:uid="{00000000-0005-0000-0000-0000EA3D0000}"/>
    <cellStyle name="Gen. Number 12" xfId="15854" xr:uid="{00000000-0005-0000-0000-0000EB3D0000}"/>
    <cellStyle name="Gen. Number 13" xfId="15855" xr:uid="{00000000-0005-0000-0000-0000EC3D0000}"/>
    <cellStyle name="Gen. Number 14" xfId="15856" xr:uid="{00000000-0005-0000-0000-0000ED3D0000}"/>
    <cellStyle name="Gen. Number 15" xfId="15857" xr:uid="{00000000-0005-0000-0000-0000EE3D0000}"/>
    <cellStyle name="Gen. Number 16" xfId="15858" xr:uid="{00000000-0005-0000-0000-0000EF3D0000}"/>
    <cellStyle name="Gen. Number 17" xfId="15859" xr:uid="{00000000-0005-0000-0000-0000F03D0000}"/>
    <cellStyle name="Gen. Number 18" xfId="15860" xr:uid="{00000000-0005-0000-0000-0000F13D0000}"/>
    <cellStyle name="Gen. Number 19" xfId="15861" xr:uid="{00000000-0005-0000-0000-0000F23D0000}"/>
    <cellStyle name="Gen. Number 2" xfId="15862" xr:uid="{00000000-0005-0000-0000-0000F33D0000}"/>
    <cellStyle name="Gen. Number 20" xfId="15863" xr:uid="{00000000-0005-0000-0000-0000F43D0000}"/>
    <cellStyle name="Gen. Number 21" xfId="15864" xr:uid="{00000000-0005-0000-0000-0000F53D0000}"/>
    <cellStyle name="Gen. Number 21 2" xfId="15865" xr:uid="{00000000-0005-0000-0000-0000F63D0000}"/>
    <cellStyle name="Gen. Number 3" xfId="15866" xr:uid="{00000000-0005-0000-0000-0000F73D0000}"/>
    <cellStyle name="Gen. Number 4" xfId="15867" xr:uid="{00000000-0005-0000-0000-0000F83D0000}"/>
    <cellStyle name="Gen. Number 5" xfId="15868" xr:uid="{00000000-0005-0000-0000-0000F93D0000}"/>
    <cellStyle name="Gen. Number 6" xfId="15869" xr:uid="{00000000-0005-0000-0000-0000FA3D0000}"/>
    <cellStyle name="Gen. Number 7" xfId="15870" xr:uid="{00000000-0005-0000-0000-0000FB3D0000}"/>
    <cellStyle name="Gen. Number 8" xfId="15871" xr:uid="{00000000-0005-0000-0000-0000FC3D0000}"/>
    <cellStyle name="Gen. Number 9" xfId="15872" xr:uid="{00000000-0005-0000-0000-0000FD3D0000}"/>
    <cellStyle name="Gen. Percent" xfId="15873" xr:uid="{00000000-0005-0000-0000-0000FE3D0000}"/>
    <cellStyle name="Gen. Percent 10" xfId="15874" xr:uid="{00000000-0005-0000-0000-0000FF3D0000}"/>
    <cellStyle name="Gen. Percent 11" xfId="15875" xr:uid="{00000000-0005-0000-0000-0000003E0000}"/>
    <cellStyle name="Gen. Percent 12" xfId="15876" xr:uid="{00000000-0005-0000-0000-0000013E0000}"/>
    <cellStyle name="Gen. Percent 13" xfId="15877" xr:uid="{00000000-0005-0000-0000-0000023E0000}"/>
    <cellStyle name="Gen. Percent 14" xfId="15878" xr:uid="{00000000-0005-0000-0000-0000033E0000}"/>
    <cellStyle name="Gen. Percent 15" xfId="15879" xr:uid="{00000000-0005-0000-0000-0000043E0000}"/>
    <cellStyle name="Gen. Percent 16" xfId="15880" xr:uid="{00000000-0005-0000-0000-0000053E0000}"/>
    <cellStyle name="Gen. Percent 17" xfId="15881" xr:uid="{00000000-0005-0000-0000-0000063E0000}"/>
    <cellStyle name="Gen. Percent 18" xfId="15882" xr:uid="{00000000-0005-0000-0000-0000073E0000}"/>
    <cellStyle name="Gen. Percent 19" xfId="15883" xr:uid="{00000000-0005-0000-0000-0000083E0000}"/>
    <cellStyle name="Gen. Percent 2" xfId="15884" xr:uid="{00000000-0005-0000-0000-0000093E0000}"/>
    <cellStyle name="Gen. Percent 20" xfId="15885" xr:uid="{00000000-0005-0000-0000-00000A3E0000}"/>
    <cellStyle name="Gen. Percent 21" xfId="15886" xr:uid="{00000000-0005-0000-0000-00000B3E0000}"/>
    <cellStyle name="Gen. Percent 21 2" xfId="15887" xr:uid="{00000000-0005-0000-0000-00000C3E0000}"/>
    <cellStyle name="Gen. Percent 3" xfId="15888" xr:uid="{00000000-0005-0000-0000-00000D3E0000}"/>
    <cellStyle name="Gen. Percent 4" xfId="15889" xr:uid="{00000000-0005-0000-0000-00000E3E0000}"/>
    <cellStyle name="Gen. Percent 5" xfId="15890" xr:uid="{00000000-0005-0000-0000-00000F3E0000}"/>
    <cellStyle name="Gen. Percent 6" xfId="15891" xr:uid="{00000000-0005-0000-0000-0000103E0000}"/>
    <cellStyle name="Gen. Percent 7" xfId="15892" xr:uid="{00000000-0005-0000-0000-0000113E0000}"/>
    <cellStyle name="Gen. Percent 8" xfId="15893" xr:uid="{00000000-0005-0000-0000-0000123E0000}"/>
    <cellStyle name="Gen. Percent 9" xfId="15894" xr:uid="{00000000-0005-0000-0000-0000133E0000}"/>
    <cellStyle name="Gen.Number" xfId="15895" xr:uid="{00000000-0005-0000-0000-0000143E0000}"/>
    <cellStyle name="Gen.Number 10" xfId="15896" xr:uid="{00000000-0005-0000-0000-0000153E0000}"/>
    <cellStyle name="Gen.Number 11" xfId="15897" xr:uid="{00000000-0005-0000-0000-0000163E0000}"/>
    <cellStyle name="Gen.Number 12" xfId="15898" xr:uid="{00000000-0005-0000-0000-0000173E0000}"/>
    <cellStyle name="Gen.Number 13" xfId="15899" xr:uid="{00000000-0005-0000-0000-0000183E0000}"/>
    <cellStyle name="Gen.Number 14" xfId="15900" xr:uid="{00000000-0005-0000-0000-0000193E0000}"/>
    <cellStyle name="Gen.Number 15" xfId="15901" xr:uid="{00000000-0005-0000-0000-00001A3E0000}"/>
    <cellStyle name="Gen.Number 16" xfId="15902" xr:uid="{00000000-0005-0000-0000-00001B3E0000}"/>
    <cellStyle name="Gen.Number 17" xfId="15903" xr:uid="{00000000-0005-0000-0000-00001C3E0000}"/>
    <cellStyle name="Gen.Number 18" xfId="15904" xr:uid="{00000000-0005-0000-0000-00001D3E0000}"/>
    <cellStyle name="Gen.Number 19" xfId="15905" xr:uid="{00000000-0005-0000-0000-00001E3E0000}"/>
    <cellStyle name="Gen.Number 2" xfId="15906" xr:uid="{00000000-0005-0000-0000-00001F3E0000}"/>
    <cellStyle name="Gen.Number 20" xfId="15907" xr:uid="{00000000-0005-0000-0000-0000203E0000}"/>
    <cellStyle name="Gen.Number 21" xfId="15908" xr:uid="{00000000-0005-0000-0000-0000213E0000}"/>
    <cellStyle name="Gen.Number 21 2" xfId="15909" xr:uid="{00000000-0005-0000-0000-0000223E0000}"/>
    <cellStyle name="Gen.Number 3" xfId="15910" xr:uid="{00000000-0005-0000-0000-0000233E0000}"/>
    <cellStyle name="Gen.Number 4" xfId="15911" xr:uid="{00000000-0005-0000-0000-0000243E0000}"/>
    <cellStyle name="Gen.Number 5" xfId="15912" xr:uid="{00000000-0005-0000-0000-0000253E0000}"/>
    <cellStyle name="Gen.Number 6" xfId="15913" xr:uid="{00000000-0005-0000-0000-0000263E0000}"/>
    <cellStyle name="Gen.Number 7" xfId="15914" xr:uid="{00000000-0005-0000-0000-0000273E0000}"/>
    <cellStyle name="Gen.Number 8" xfId="15915" xr:uid="{00000000-0005-0000-0000-0000283E0000}"/>
    <cellStyle name="Gen.Number 9" xfId="15916" xr:uid="{00000000-0005-0000-0000-0000293E0000}"/>
    <cellStyle name="General" xfId="15917" xr:uid="{00000000-0005-0000-0000-00002A3E0000}"/>
    <cellStyle name="Good" xfId="35694" builtinId="26" customBuiltin="1"/>
    <cellStyle name="Good 10" xfId="15918" xr:uid="{00000000-0005-0000-0000-00002B3E0000}"/>
    <cellStyle name="Good 11" xfId="15919" xr:uid="{00000000-0005-0000-0000-00002C3E0000}"/>
    <cellStyle name="Good 12" xfId="15920" xr:uid="{00000000-0005-0000-0000-00002D3E0000}"/>
    <cellStyle name="Good 13" xfId="15921" xr:uid="{00000000-0005-0000-0000-00002E3E0000}"/>
    <cellStyle name="Good 14" xfId="15922" xr:uid="{00000000-0005-0000-0000-00002F3E0000}"/>
    <cellStyle name="Good 15" xfId="15923" xr:uid="{00000000-0005-0000-0000-0000303E0000}"/>
    <cellStyle name="Good 16" xfId="15924" xr:uid="{00000000-0005-0000-0000-0000313E0000}"/>
    <cellStyle name="Good 17" xfId="15925" xr:uid="{00000000-0005-0000-0000-0000323E0000}"/>
    <cellStyle name="Good 18" xfId="15926" xr:uid="{00000000-0005-0000-0000-0000333E0000}"/>
    <cellStyle name="Good 19" xfId="15927" xr:uid="{00000000-0005-0000-0000-0000343E0000}"/>
    <cellStyle name="Good 2" xfId="15928" xr:uid="{00000000-0005-0000-0000-0000353E0000}"/>
    <cellStyle name="Good 2 2" xfId="15929" xr:uid="{00000000-0005-0000-0000-0000363E0000}"/>
    <cellStyle name="Good 20" xfId="15930" xr:uid="{00000000-0005-0000-0000-0000373E0000}"/>
    <cellStyle name="Good 21" xfId="15931" xr:uid="{00000000-0005-0000-0000-0000383E0000}"/>
    <cellStyle name="Good 22" xfId="15932" xr:uid="{00000000-0005-0000-0000-0000393E0000}"/>
    <cellStyle name="Good 23" xfId="15933" xr:uid="{00000000-0005-0000-0000-00003A3E0000}"/>
    <cellStyle name="Good 24" xfId="15934" xr:uid="{00000000-0005-0000-0000-00003B3E0000}"/>
    <cellStyle name="Good 25" xfId="15935" xr:uid="{00000000-0005-0000-0000-00003C3E0000}"/>
    <cellStyle name="Good 26" xfId="15936" xr:uid="{00000000-0005-0000-0000-00003D3E0000}"/>
    <cellStyle name="Good 27" xfId="15937" xr:uid="{00000000-0005-0000-0000-00003E3E0000}"/>
    <cellStyle name="Good 28" xfId="15938" xr:uid="{00000000-0005-0000-0000-00003F3E0000}"/>
    <cellStyle name="Good 29" xfId="15939" xr:uid="{00000000-0005-0000-0000-0000403E0000}"/>
    <cellStyle name="Good 29 2" xfId="15940" xr:uid="{00000000-0005-0000-0000-0000413E0000}"/>
    <cellStyle name="Good 3" xfId="15941" xr:uid="{00000000-0005-0000-0000-0000423E0000}"/>
    <cellStyle name="Good 30" xfId="15942" xr:uid="{00000000-0005-0000-0000-0000433E0000}"/>
    <cellStyle name="Good 31" xfId="15943" xr:uid="{00000000-0005-0000-0000-0000443E0000}"/>
    <cellStyle name="Good 32" xfId="15944" xr:uid="{00000000-0005-0000-0000-0000453E0000}"/>
    <cellStyle name="Good 33" xfId="15945" xr:uid="{00000000-0005-0000-0000-0000463E0000}"/>
    <cellStyle name="Good 34" xfId="15946" xr:uid="{00000000-0005-0000-0000-0000473E0000}"/>
    <cellStyle name="Good 35" xfId="15947" xr:uid="{00000000-0005-0000-0000-0000483E0000}"/>
    <cellStyle name="Good 36" xfId="15948" xr:uid="{00000000-0005-0000-0000-0000493E0000}"/>
    <cellStyle name="Good 37" xfId="15949" xr:uid="{00000000-0005-0000-0000-00004A3E0000}"/>
    <cellStyle name="Good 38" xfId="15950" xr:uid="{00000000-0005-0000-0000-00004B3E0000}"/>
    <cellStyle name="Good 4" xfId="15951" xr:uid="{00000000-0005-0000-0000-00004C3E0000}"/>
    <cellStyle name="Good 5" xfId="15952" xr:uid="{00000000-0005-0000-0000-00004D3E0000}"/>
    <cellStyle name="Good 6" xfId="15953" xr:uid="{00000000-0005-0000-0000-00004E3E0000}"/>
    <cellStyle name="Good 7" xfId="15954" xr:uid="{00000000-0005-0000-0000-00004F3E0000}"/>
    <cellStyle name="Good 8" xfId="15955" xr:uid="{00000000-0005-0000-0000-0000503E0000}"/>
    <cellStyle name="Good 9" xfId="15956" xr:uid="{00000000-0005-0000-0000-0000513E0000}"/>
    <cellStyle name="Grand Total" xfId="15957" xr:uid="{00000000-0005-0000-0000-0000523E0000}"/>
    <cellStyle name="Grand Total 10" xfId="15958" xr:uid="{00000000-0005-0000-0000-0000533E0000}"/>
    <cellStyle name="Grand Total 11" xfId="15959" xr:uid="{00000000-0005-0000-0000-0000543E0000}"/>
    <cellStyle name="Grand Total 12" xfId="15960" xr:uid="{00000000-0005-0000-0000-0000553E0000}"/>
    <cellStyle name="Grand Total 13" xfId="15961" xr:uid="{00000000-0005-0000-0000-0000563E0000}"/>
    <cellStyle name="Grand Total 14" xfId="15962" xr:uid="{00000000-0005-0000-0000-0000573E0000}"/>
    <cellStyle name="Grand Total 15" xfId="15963" xr:uid="{00000000-0005-0000-0000-0000583E0000}"/>
    <cellStyle name="Grand Total 16" xfId="15964" xr:uid="{00000000-0005-0000-0000-0000593E0000}"/>
    <cellStyle name="Grand Total 17" xfId="15965" xr:uid="{00000000-0005-0000-0000-00005A3E0000}"/>
    <cellStyle name="Grand Total 18" xfId="15966" xr:uid="{00000000-0005-0000-0000-00005B3E0000}"/>
    <cellStyle name="Grand Total 19" xfId="15967" xr:uid="{00000000-0005-0000-0000-00005C3E0000}"/>
    <cellStyle name="Grand Total 2" xfId="15968" xr:uid="{00000000-0005-0000-0000-00005D3E0000}"/>
    <cellStyle name="Grand Total 20" xfId="15969" xr:uid="{00000000-0005-0000-0000-00005E3E0000}"/>
    <cellStyle name="Grand Total 21" xfId="15970" xr:uid="{00000000-0005-0000-0000-00005F3E0000}"/>
    <cellStyle name="Grand Total 21 2" xfId="15971" xr:uid="{00000000-0005-0000-0000-0000603E0000}"/>
    <cellStyle name="Grand Total 3" xfId="15972" xr:uid="{00000000-0005-0000-0000-0000613E0000}"/>
    <cellStyle name="Grand Total 4" xfId="15973" xr:uid="{00000000-0005-0000-0000-0000623E0000}"/>
    <cellStyle name="Grand Total 5" xfId="15974" xr:uid="{00000000-0005-0000-0000-0000633E0000}"/>
    <cellStyle name="Grand Total 6" xfId="15975" xr:uid="{00000000-0005-0000-0000-0000643E0000}"/>
    <cellStyle name="Grand Total 7" xfId="15976" xr:uid="{00000000-0005-0000-0000-0000653E0000}"/>
    <cellStyle name="Grand Total 8" xfId="15977" xr:uid="{00000000-0005-0000-0000-0000663E0000}"/>
    <cellStyle name="Grand Total 9" xfId="15978" xr:uid="{00000000-0005-0000-0000-0000673E0000}"/>
    <cellStyle name="Grey" xfId="15979" xr:uid="{00000000-0005-0000-0000-0000683E0000}"/>
    <cellStyle name="Grey 10" xfId="15980" xr:uid="{00000000-0005-0000-0000-0000693E0000}"/>
    <cellStyle name="Grey 11" xfId="15981" xr:uid="{00000000-0005-0000-0000-00006A3E0000}"/>
    <cellStyle name="Grey 12" xfId="15982" xr:uid="{00000000-0005-0000-0000-00006B3E0000}"/>
    <cellStyle name="Grey 13" xfId="15983" xr:uid="{00000000-0005-0000-0000-00006C3E0000}"/>
    <cellStyle name="Grey 14" xfId="15984" xr:uid="{00000000-0005-0000-0000-00006D3E0000}"/>
    <cellStyle name="Grey 15" xfId="15985" xr:uid="{00000000-0005-0000-0000-00006E3E0000}"/>
    <cellStyle name="Grey 16" xfId="15986" xr:uid="{00000000-0005-0000-0000-00006F3E0000}"/>
    <cellStyle name="Grey 17" xfId="15987" xr:uid="{00000000-0005-0000-0000-0000703E0000}"/>
    <cellStyle name="Grey 18" xfId="15988" xr:uid="{00000000-0005-0000-0000-0000713E0000}"/>
    <cellStyle name="Grey 19" xfId="15989" xr:uid="{00000000-0005-0000-0000-0000723E0000}"/>
    <cellStyle name="Grey 2" xfId="15990" xr:uid="{00000000-0005-0000-0000-0000733E0000}"/>
    <cellStyle name="Grey 2 2" xfId="15991" xr:uid="{00000000-0005-0000-0000-0000743E0000}"/>
    <cellStyle name="Grey 20" xfId="15992" xr:uid="{00000000-0005-0000-0000-0000753E0000}"/>
    <cellStyle name="Grey 21" xfId="15993" xr:uid="{00000000-0005-0000-0000-0000763E0000}"/>
    <cellStyle name="Grey 22" xfId="15994" xr:uid="{00000000-0005-0000-0000-0000773E0000}"/>
    <cellStyle name="Grey 23" xfId="15995" xr:uid="{00000000-0005-0000-0000-0000783E0000}"/>
    <cellStyle name="Grey 24" xfId="15996" xr:uid="{00000000-0005-0000-0000-0000793E0000}"/>
    <cellStyle name="Grey 25" xfId="15997" xr:uid="{00000000-0005-0000-0000-00007A3E0000}"/>
    <cellStyle name="Grey 26" xfId="15998" xr:uid="{00000000-0005-0000-0000-00007B3E0000}"/>
    <cellStyle name="Grey 27" xfId="15999" xr:uid="{00000000-0005-0000-0000-00007C3E0000}"/>
    <cellStyle name="Grey 28" xfId="16000" xr:uid="{00000000-0005-0000-0000-00007D3E0000}"/>
    <cellStyle name="Grey 29" xfId="16001" xr:uid="{00000000-0005-0000-0000-00007E3E0000}"/>
    <cellStyle name="Grey 3" xfId="16002" xr:uid="{00000000-0005-0000-0000-00007F3E0000}"/>
    <cellStyle name="Grey 3 2" xfId="16003" xr:uid="{00000000-0005-0000-0000-0000803E0000}"/>
    <cellStyle name="Grey 30" xfId="16004" xr:uid="{00000000-0005-0000-0000-0000813E0000}"/>
    <cellStyle name="Grey 31" xfId="16005" xr:uid="{00000000-0005-0000-0000-0000823E0000}"/>
    <cellStyle name="Grey 32" xfId="16006" xr:uid="{00000000-0005-0000-0000-0000833E0000}"/>
    <cellStyle name="Grey 33" xfId="16007" xr:uid="{00000000-0005-0000-0000-0000843E0000}"/>
    <cellStyle name="Grey 33 2" xfId="16008" xr:uid="{00000000-0005-0000-0000-0000853E0000}"/>
    <cellStyle name="Grey 34" xfId="16009" xr:uid="{00000000-0005-0000-0000-0000863E0000}"/>
    <cellStyle name="Grey 35" xfId="16010" xr:uid="{00000000-0005-0000-0000-0000873E0000}"/>
    <cellStyle name="Grey 36" xfId="16011" xr:uid="{00000000-0005-0000-0000-0000883E0000}"/>
    <cellStyle name="Grey 37" xfId="16012" xr:uid="{00000000-0005-0000-0000-0000893E0000}"/>
    <cellStyle name="Grey 38" xfId="16013" xr:uid="{00000000-0005-0000-0000-00008A3E0000}"/>
    <cellStyle name="Grey 39" xfId="16014" xr:uid="{00000000-0005-0000-0000-00008B3E0000}"/>
    <cellStyle name="Grey 4" xfId="16015" xr:uid="{00000000-0005-0000-0000-00008C3E0000}"/>
    <cellStyle name="Grey 40" xfId="16016" xr:uid="{00000000-0005-0000-0000-00008D3E0000}"/>
    <cellStyle name="Grey 41" xfId="16017" xr:uid="{00000000-0005-0000-0000-00008E3E0000}"/>
    <cellStyle name="Grey 42" xfId="16018" xr:uid="{00000000-0005-0000-0000-00008F3E0000}"/>
    <cellStyle name="Grey 43" xfId="16019" xr:uid="{00000000-0005-0000-0000-0000903E0000}"/>
    <cellStyle name="Grey 44" xfId="16020" xr:uid="{00000000-0005-0000-0000-0000913E0000}"/>
    <cellStyle name="Grey 45" xfId="16021" xr:uid="{00000000-0005-0000-0000-0000923E0000}"/>
    <cellStyle name="Grey 46" xfId="16022" xr:uid="{00000000-0005-0000-0000-0000933E0000}"/>
    <cellStyle name="Grey 47" xfId="16023" xr:uid="{00000000-0005-0000-0000-0000943E0000}"/>
    <cellStyle name="Grey 48" xfId="16024" xr:uid="{00000000-0005-0000-0000-0000953E0000}"/>
    <cellStyle name="Grey 5" xfId="16025" xr:uid="{00000000-0005-0000-0000-0000963E0000}"/>
    <cellStyle name="Grey 6" xfId="16026" xr:uid="{00000000-0005-0000-0000-0000973E0000}"/>
    <cellStyle name="Grey 7" xfId="16027" xr:uid="{00000000-0005-0000-0000-0000983E0000}"/>
    <cellStyle name="Grey 8" xfId="16028" xr:uid="{00000000-0005-0000-0000-0000993E0000}"/>
    <cellStyle name="Grey 9" xfId="16029" xr:uid="{00000000-0005-0000-0000-00009A3E0000}"/>
    <cellStyle name="GS_Col_Headers" xfId="16030" xr:uid="{00000000-0005-0000-0000-00009B3E0000}"/>
    <cellStyle name="GT" xfId="16031" xr:uid="{00000000-0005-0000-0000-00009C3E0000}"/>
    <cellStyle name="GT 10" xfId="16032" xr:uid="{00000000-0005-0000-0000-00009D3E0000}"/>
    <cellStyle name="GT 11" xfId="16033" xr:uid="{00000000-0005-0000-0000-00009E3E0000}"/>
    <cellStyle name="GT 12" xfId="16034" xr:uid="{00000000-0005-0000-0000-00009F3E0000}"/>
    <cellStyle name="GT 13" xfId="16035" xr:uid="{00000000-0005-0000-0000-0000A03E0000}"/>
    <cellStyle name="GT 14" xfId="16036" xr:uid="{00000000-0005-0000-0000-0000A13E0000}"/>
    <cellStyle name="GT 15" xfId="16037" xr:uid="{00000000-0005-0000-0000-0000A23E0000}"/>
    <cellStyle name="GT 16" xfId="16038" xr:uid="{00000000-0005-0000-0000-0000A33E0000}"/>
    <cellStyle name="GT 17" xfId="16039" xr:uid="{00000000-0005-0000-0000-0000A43E0000}"/>
    <cellStyle name="GT 18" xfId="16040" xr:uid="{00000000-0005-0000-0000-0000A53E0000}"/>
    <cellStyle name="GT 19" xfId="16041" xr:uid="{00000000-0005-0000-0000-0000A63E0000}"/>
    <cellStyle name="GT 2" xfId="16042" xr:uid="{00000000-0005-0000-0000-0000A73E0000}"/>
    <cellStyle name="GT 20" xfId="16043" xr:uid="{00000000-0005-0000-0000-0000A83E0000}"/>
    <cellStyle name="GT 21" xfId="16044" xr:uid="{00000000-0005-0000-0000-0000A93E0000}"/>
    <cellStyle name="GT 21 2" xfId="16045" xr:uid="{00000000-0005-0000-0000-0000AA3E0000}"/>
    <cellStyle name="GT 3" xfId="16046" xr:uid="{00000000-0005-0000-0000-0000AB3E0000}"/>
    <cellStyle name="GT 4" xfId="16047" xr:uid="{00000000-0005-0000-0000-0000AC3E0000}"/>
    <cellStyle name="GT 5" xfId="16048" xr:uid="{00000000-0005-0000-0000-0000AD3E0000}"/>
    <cellStyle name="GT 6" xfId="16049" xr:uid="{00000000-0005-0000-0000-0000AE3E0000}"/>
    <cellStyle name="GT 7" xfId="16050" xr:uid="{00000000-0005-0000-0000-0000AF3E0000}"/>
    <cellStyle name="GT 8" xfId="16051" xr:uid="{00000000-0005-0000-0000-0000B03E0000}"/>
    <cellStyle name="GT 9" xfId="16052" xr:uid="{00000000-0005-0000-0000-0000B13E0000}"/>
    <cellStyle name="h" xfId="16053" xr:uid="{00000000-0005-0000-0000-0000B23E0000}"/>
    <cellStyle name="h 10" xfId="16054" xr:uid="{00000000-0005-0000-0000-0000B33E0000}"/>
    <cellStyle name="h 11" xfId="16055" xr:uid="{00000000-0005-0000-0000-0000B43E0000}"/>
    <cellStyle name="h 12" xfId="16056" xr:uid="{00000000-0005-0000-0000-0000B53E0000}"/>
    <cellStyle name="h 13" xfId="16057" xr:uid="{00000000-0005-0000-0000-0000B63E0000}"/>
    <cellStyle name="h 14" xfId="16058" xr:uid="{00000000-0005-0000-0000-0000B73E0000}"/>
    <cellStyle name="h 15" xfId="16059" xr:uid="{00000000-0005-0000-0000-0000B83E0000}"/>
    <cellStyle name="h 16" xfId="16060" xr:uid="{00000000-0005-0000-0000-0000B93E0000}"/>
    <cellStyle name="h 17" xfId="16061" xr:uid="{00000000-0005-0000-0000-0000BA3E0000}"/>
    <cellStyle name="h 18" xfId="16062" xr:uid="{00000000-0005-0000-0000-0000BB3E0000}"/>
    <cellStyle name="h 19" xfId="16063" xr:uid="{00000000-0005-0000-0000-0000BC3E0000}"/>
    <cellStyle name="h 2" xfId="16064" xr:uid="{00000000-0005-0000-0000-0000BD3E0000}"/>
    <cellStyle name="h 20" xfId="16065" xr:uid="{00000000-0005-0000-0000-0000BE3E0000}"/>
    <cellStyle name="h 21" xfId="16066" xr:uid="{00000000-0005-0000-0000-0000BF3E0000}"/>
    <cellStyle name="h 21 2" xfId="16067" xr:uid="{00000000-0005-0000-0000-0000C03E0000}"/>
    <cellStyle name="h 3" xfId="16068" xr:uid="{00000000-0005-0000-0000-0000C13E0000}"/>
    <cellStyle name="h 4" xfId="16069" xr:uid="{00000000-0005-0000-0000-0000C23E0000}"/>
    <cellStyle name="h 5" xfId="16070" xr:uid="{00000000-0005-0000-0000-0000C33E0000}"/>
    <cellStyle name="h 6" xfId="16071" xr:uid="{00000000-0005-0000-0000-0000C43E0000}"/>
    <cellStyle name="h 7" xfId="16072" xr:uid="{00000000-0005-0000-0000-0000C53E0000}"/>
    <cellStyle name="h 8" xfId="16073" xr:uid="{00000000-0005-0000-0000-0000C63E0000}"/>
    <cellStyle name="h 9" xfId="16074" xr:uid="{00000000-0005-0000-0000-0000C73E0000}"/>
    <cellStyle name="h_{6} Clawback" xfId="16075" xr:uid="{00000000-0005-0000-0000-0000C83E0000}"/>
    <cellStyle name="h_AIF IV Financial Highlights 12-31-08 v4" xfId="16076" xr:uid="{00000000-0005-0000-0000-0000C93E0000}"/>
    <cellStyle name="h_AIF IV Financial Highlights 12-31-08 v4_Apollo Investment Fund IV  Q3 2009 Capital Analysis CURRENT" xfId="16077" xr:uid="{00000000-0005-0000-0000-0000CA3E0000}"/>
    <cellStyle name="h_AIF IV Financial Highlights 12-31-08 v4_Apollo Investment Fund IV  Q3 2009 Capital Analysis iPCS &amp; URI Distribution" xfId="16078" xr:uid="{00000000-0005-0000-0000-0000CB3E0000}"/>
    <cellStyle name="h_AIF IV Financial Highlights 12-31-08 v4_iPCs#1-Remaining" xfId="16079" xr:uid="{00000000-0005-0000-0000-0000CC3E0000}"/>
    <cellStyle name="h_AIF VI - BondcoVI_Entities Invested Capital (CURRENT)" xfId="16080" xr:uid="{00000000-0005-0000-0000-0000CD3E0000}"/>
    <cellStyle name="h_Andy Affrick - Schedulev2" xfId="16081" xr:uid="{00000000-0005-0000-0000-0000CE3E0000}"/>
    <cellStyle name="h_Apollo Investment Fund IV  April Priority Return" xfId="16082" xr:uid="{00000000-0005-0000-0000-0000CF3E0000}"/>
    <cellStyle name="h_Carry Calculation" xfId="16083" xr:uid="{00000000-0005-0000-0000-0000D03E0000}"/>
    <cellStyle name="h_Fund IV" xfId="16084" xr:uid="{00000000-0005-0000-0000-0000D13E0000}"/>
    <cellStyle name="h_Fund IV 9.30.08" xfId="16085" xr:uid="{00000000-0005-0000-0000-0000D23E0000}"/>
    <cellStyle name="h_Fund IV_1" xfId="16086" xr:uid="{00000000-0005-0000-0000-0000D33E0000}"/>
    <cellStyle name="h_Funds IV Clawback Adjustment Summary" xfId="16087" xr:uid="{00000000-0005-0000-0000-0000D43E0000}"/>
    <cellStyle name="h_Funds IV Clawback Value Adjustment" xfId="16088" xr:uid="{00000000-0005-0000-0000-0000D53E0000}"/>
    <cellStyle name="h_Invested Capital Debt Worksheet" xfId="16089" xr:uid="{00000000-0005-0000-0000-0000D63E0000}"/>
    <cellStyle name="h_MMF Income" xfId="16090" xr:uid="{00000000-0005-0000-0000-0000D73E0000}"/>
    <cellStyle name="h_Partners Capital Q1 2009" xfId="16091" xr:uid="{00000000-0005-0000-0000-0000D83E0000}"/>
    <cellStyle name="h_Partners Capital Q1 2009 2" xfId="16092" xr:uid="{00000000-0005-0000-0000-0000D93E0000}"/>
    <cellStyle name="h_Partners Capital Q1 2009_MMF Income" xfId="16093" xr:uid="{00000000-0005-0000-0000-0000DA3E0000}"/>
    <cellStyle name="h_Placement Fee Summary 05-14-09 - Current (2)" xfId="16094" xr:uid="{00000000-0005-0000-0000-0000DB3E0000}"/>
    <cellStyle name="h_PR Calc" xfId="16095" xr:uid="{00000000-0005-0000-0000-0000DC3E0000}"/>
    <cellStyle name="H1" xfId="16096" xr:uid="{00000000-0005-0000-0000-0000DD3E0000}"/>
    <cellStyle name="H1 10" xfId="16097" xr:uid="{00000000-0005-0000-0000-0000DE3E0000}"/>
    <cellStyle name="H1 11" xfId="16098" xr:uid="{00000000-0005-0000-0000-0000DF3E0000}"/>
    <cellStyle name="H1 12" xfId="16099" xr:uid="{00000000-0005-0000-0000-0000E03E0000}"/>
    <cellStyle name="H1 13" xfId="16100" xr:uid="{00000000-0005-0000-0000-0000E13E0000}"/>
    <cellStyle name="H1 14" xfId="16101" xr:uid="{00000000-0005-0000-0000-0000E23E0000}"/>
    <cellStyle name="H1 15" xfId="16102" xr:uid="{00000000-0005-0000-0000-0000E33E0000}"/>
    <cellStyle name="H1 16" xfId="16103" xr:uid="{00000000-0005-0000-0000-0000E43E0000}"/>
    <cellStyle name="H1 17" xfId="16104" xr:uid="{00000000-0005-0000-0000-0000E53E0000}"/>
    <cellStyle name="H1 18" xfId="16105" xr:uid="{00000000-0005-0000-0000-0000E63E0000}"/>
    <cellStyle name="H1 19" xfId="16106" xr:uid="{00000000-0005-0000-0000-0000E73E0000}"/>
    <cellStyle name="H1 2" xfId="16107" xr:uid="{00000000-0005-0000-0000-0000E83E0000}"/>
    <cellStyle name="H1 20" xfId="16108" xr:uid="{00000000-0005-0000-0000-0000E93E0000}"/>
    <cellStyle name="H1 21" xfId="16109" xr:uid="{00000000-0005-0000-0000-0000EA3E0000}"/>
    <cellStyle name="H1 21 2" xfId="16110" xr:uid="{00000000-0005-0000-0000-0000EB3E0000}"/>
    <cellStyle name="H1 3" xfId="16111" xr:uid="{00000000-0005-0000-0000-0000EC3E0000}"/>
    <cellStyle name="H1 4" xfId="16112" xr:uid="{00000000-0005-0000-0000-0000ED3E0000}"/>
    <cellStyle name="H1 5" xfId="16113" xr:uid="{00000000-0005-0000-0000-0000EE3E0000}"/>
    <cellStyle name="H1 6" xfId="16114" xr:uid="{00000000-0005-0000-0000-0000EF3E0000}"/>
    <cellStyle name="H1 7" xfId="16115" xr:uid="{00000000-0005-0000-0000-0000F03E0000}"/>
    <cellStyle name="H1 8" xfId="16116" xr:uid="{00000000-0005-0000-0000-0000F13E0000}"/>
    <cellStyle name="H1 9" xfId="16117" xr:uid="{00000000-0005-0000-0000-0000F23E0000}"/>
    <cellStyle name="H2" xfId="16118" xr:uid="{00000000-0005-0000-0000-0000F33E0000}"/>
    <cellStyle name="H2 10" xfId="16119" xr:uid="{00000000-0005-0000-0000-0000F43E0000}"/>
    <cellStyle name="H2 11" xfId="16120" xr:uid="{00000000-0005-0000-0000-0000F53E0000}"/>
    <cellStyle name="H2 12" xfId="16121" xr:uid="{00000000-0005-0000-0000-0000F63E0000}"/>
    <cellStyle name="H2 13" xfId="16122" xr:uid="{00000000-0005-0000-0000-0000F73E0000}"/>
    <cellStyle name="H2 14" xfId="16123" xr:uid="{00000000-0005-0000-0000-0000F83E0000}"/>
    <cellStyle name="H2 15" xfId="16124" xr:uid="{00000000-0005-0000-0000-0000F93E0000}"/>
    <cellStyle name="H2 16" xfId="16125" xr:uid="{00000000-0005-0000-0000-0000FA3E0000}"/>
    <cellStyle name="H2 17" xfId="16126" xr:uid="{00000000-0005-0000-0000-0000FB3E0000}"/>
    <cellStyle name="H2 18" xfId="16127" xr:uid="{00000000-0005-0000-0000-0000FC3E0000}"/>
    <cellStyle name="H2 19" xfId="16128" xr:uid="{00000000-0005-0000-0000-0000FD3E0000}"/>
    <cellStyle name="H2 2" xfId="16129" xr:uid="{00000000-0005-0000-0000-0000FE3E0000}"/>
    <cellStyle name="H2 2 2" xfId="16130" xr:uid="{00000000-0005-0000-0000-0000FF3E0000}"/>
    <cellStyle name="H2 20" xfId="16131" xr:uid="{00000000-0005-0000-0000-0000003F0000}"/>
    <cellStyle name="H2 21" xfId="16132" xr:uid="{00000000-0005-0000-0000-0000013F0000}"/>
    <cellStyle name="H2 22" xfId="16133" xr:uid="{00000000-0005-0000-0000-0000023F0000}"/>
    <cellStyle name="H2 23" xfId="16134" xr:uid="{00000000-0005-0000-0000-0000033F0000}"/>
    <cellStyle name="H2 23 2" xfId="16135" xr:uid="{00000000-0005-0000-0000-0000043F0000}"/>
    <cellStyle name="H2 3" xfId="16136" xr:uid="{00000000-0005-0000-0000-0000053F0000}"/>
    <cellStyle name="H2 3 2" xfId="16137" xr:uid="{00000000-0005-0000-0000-0000063F0000}"/>
    <cellStyle name="H2 4" xfId="16138" xr:uid="{00000000-0005-0000-0000-0000073F0000}"/>
    <cellStyle name="H2 5" xfId="16139" xr:uid="{00000000-0005-0000-0000-0000083F0000}"/>
    <cellStyle name="H2 6" xfId="16140" xr:uid="{00000000-0005-0000-0000-0000093F0000}"/>
    <cellStyle name="H2 7" xfId="16141" xr:uid="{00000000-0005-0000-0000-00000A3F0000}"/>
    <cellStyle name="H2 8" xfId="16142" xr:uid="{00000000-0005-0000-0000-00000B3F0000}"/>
    <cellStyle name="H2 9" xfId="16143" xr:uid="{00000000-0005-0000-0000-00000C3F0000}"/>
    <cellStyle name="H3" xfId="16144" xr:uid="{00000000-0005-0000-0000-00000D3F0000}"/>
    <cellStyle name="H3 10" xfId="16145" xr:uid="{00000000-0005-0000-0000-00000E3F0000}"/>
    <cellStyle name="H3 11" xfId="16146" xr:uid="{00000000-0005-0000-0000-00000F3F0000}"/>
    <cellStyle name="H3 12" xfId="16147" xr:uid="{00000000-0005-0000-0000-0000103F0000}"/>
    <cellStyle name="H3 13" xfId="16148" xr:uid="{00000000-0005-0000-0000-0000113F0000}"/>
    <cellStyle name="H3 14" xfId="16149" xr:uid="{00000000-0005-0000-0000-0000123F0000}"/>
    <cellStyle name="H3 15" xfId="16150" xr:uid="{00000000-0005-0000-0000-0000133F0000}"/>
    <cellStyle name="H3 16" xfId="16151" xr:uid="{00000000-0005-0000-0000-0000143F0000}"/>
    <cellStyle name="H3 17" xfId="16152" xr:uid="{00000000-0005-0000-0000-0000153F0000}"/>
    <cellStyle name="H3 18" xfId="16153" xr:uid="{00000000-0005-0000-0000-0000163F0000}"/>
    <cellStyle name="H3 19" xfId="16154" xr:uid="{00000000-0005-0000-0000-0000173F0000}"/>
    <cellStyle name="H3 2" xfId="16155" xr:uid="{00000000-0005-0000-0000-0000183F0000}"/>
    <cellStyle name="H3 20" xfId="16156" xr:uid="{00000000-0005-0000-0000-0000193F0000}"/>
    <cellStyle name="H3 21" xfId="16157" xr:uid="{00000000-0005-0000-0000-00001A3F0000}"/>
    <cellStyle name="H3 21 2" xfId="16158" xr:uid="{00000000-0005-0000-0000-00001B3F0000}"/>
    <cellStyle name="H3 3" xfId="16159" xr:uid="{00000000-0005-0000-0000-00001C3F0000}"/>
    <cellStyle name="H3 4" xfId="16160" xr:uid="{00000000-0005-0000-0000-00001D3F0000}"/>
    <cellStyle name="H3 5" xfId="16161" xr:uid="{00000000-0005-0000-0000-00001E3F0000}"/>
    <cellStyle name="H3 6" xfId="16162" xr:uid="{00000000-0005-0000-0000-00001F3F0000}"/>
    <cellStyle name="H3 7" xfId="16163" xr:uid="{00000000-0005-0000-0000-0000203F0000}"/>
    <cellStyle name="H3 8" xfId="16164" xr:uid="{00000000-0005-0000-0000-0000213F0000}"/>
    <cellStyle name="H3 9" xfId="16165" xr:uid="{00000000-0005-0000-0000-0000223F0000}"/>
    <cellStyle name="H4" xfId="16166" xr:uid="{00000000-0005-0000-0000-0000233F0000}"/>
    <cellStyle name="H4 10" xfId="16167" xr:uid="{00000000-0005-0000-0000-0000243F0000}"/>
    <cellStyle name="H4 11" xfId="16168" xr:uid="{00000000-0005-0000-0000-0000253F0000}"/>
    <cellStyle name="H4 12" xfId="16169" xr:uid="{00000000-0005-0000-0000-0000263F0000}"/>
    <cellStyle name="H4 13" xfId="16170" xr:uid="{00000000-0005-0000-0000-0000273F0000}"/>
    <cellStyle name="H4 14" xfId="16171" xr:uid="{00000000-0005-0000-0000-0000283F0000}"/>
    <cellStyle name="H4 15" xfId="16172" xr:uid="{00000000-0005-0000-0000-0000293F0000}"/>
    <cellStyle name="H4 16" xfId="16173" xr:uid="{00000000-0005-0000-0000-00002A3F0000}"/>
    <cellStyle name="H4 17" xfId="16174" xr:uid="{00000000-0005-0000-0000-00002B3F0000}"/>
    <cellStyle name="H4 18" xfId="16175" xr:uid="{00000000-0005-0000-0000-00002C3F0000}"/>
    <cellStyle name="H4 19" xfId="16176" xr:uid="{00000000-0005-0000-0000-00002D3F0000}"/>
    <cellStyle name="H4 2" xfId="16177" xr:uid="{00000000-0005-0000-0000-00002E3F0000}"/>
    <cellStyle name="H4 20" xfId="16178" xr:uid="{00000000-0005-0000-0000-00002F3F0000}"/>
    <cellStyle name="H4 21" xfId="16179" xr:uid="{00000000-0005-0000-0000-0000303F0000}"/>
    <cellStyle name="H4 21 2" xfId="16180" xr:uid="{00000000-0005-0000-0000-0000313F0000}"/>
    <cellStyle name="H4 3" xfId="16181" xr:uid="{00000000-0005-0000-0000-0000323F0000}"/>
    <cellStyle name="H4 4" xfId="16182" xr:uid="{00000000-0005-0000-0000-0000333F0000}"/>
    <cellStyle name="H4 5" xfId="16183" xr:uid="{00000000-0005-0000-0000-0000343F0000}"/>
    <cellStyle name="H4 6" xfId="16184" xr:uid="{00000000-0005-0000-0000-0000353F0000}"/>
    <cellStyle name="H4 7" xfId="16185" xr:uid="{00000000-0005-0000-0000-0000363F0000}"/>
    <cellStyle name="H4 8" xfId="16186" xr:uid="{00000000-0005-0000-0000-0000373F0000}"/>
    <cellStyle name="H4 9" xfId="16187" xr:uid="{00000000-0005-0000-0000-0000383F0000}"/>
    <cellStyle name="H5" xfId="16188" xr:uid="{00000000-0005-0000-0000-0000393F0000}"/>
    <cellStyle name="H5 10" xfId="16189" xr:uid="{00000000-0005-0000-0000-00003A3F0000}"/>
    <cellStyle name="H5 11" xfId="16190" xr:uid="{00000000-0005-0000-0000-00003B3F0000}"/>
    <cellStyle name="H5 12" xfId="16191" xr:uid="{00000000-0005-0000-0000-00003C3F0000}"/>
    <cellStyle name="H5 13" xfId="16192" xr:uid="{00000000-0005-0000-0000-00003D3F0000}"/>
    <cellStyle name="H5 14" xfId="16193" xr:uid="{00000000-0005-0000-0000-00003E3F0000}"/>
    <cellStyle name="H5 15" xfId="16194" xr:uid="{00000000-0005-0000-0000-00003F3F0000}"/>
    <cellStyle name="H5 16" xfId="16195" xr:uid="{00000000-0005-0000-0000-0000403F0000}"/>
    <cellStyle name="H5 17" xfId="16196" xr:uid="{00000000-0005-0000-0000-0000413F0000}"/>
    <cellStyle name="H5 18" xfId="16197" xr:uid="{00000000-0005-0000-0000-0000423F0000}"/>
    <cellStyle name="H5 19" xfId="16198" xr:uid="{00000000-0005-0000-0000-0000433F0000}"/>
    <cellStyle name="H5 2" xfId="16199" xr:uid="{00000000-0005-0000-0000-0000443F0000}"/>
    <cellStyle name="H5 20" xfId="16200" xr:uid="{00000000-0005-0000-0000-0000453F0000}"/>
    <cellStyle name="H5 21" xfId="16201" xr:uid="{00000000-0005-0000-0000-0000463F0000}"/>
    <cellStyle name="H5 21 2" xfId="16202" xr:uid="{00000000-0005-0000-0000-0000473F0000}"/>
    <cellStyle name="H5 3" xfId="16203" xr:uid="{00000000-0005-0000-0000-0000483F0000}"/>
    <cellStyle name="H5 4" xfId="16204" xr:uid="{00000000-0005-0000-0000-0000493F0000}"/>
    <cellStyle name="H5 5" xfId="16205" xr:uid="{00000000-0005-0000-0000-00004A3F0000}"/>
    <cellStyle name="H5 6" xfId="16206" xr:uid="{00000000-0005-0000-0000-00004B3F0000}"/>
    <cellStyle name="H5 7" xfId="16207" xr:uid="{00000000-0005-0000-0000-00004C3F0000}"/>
    <cellStyle name="H5 8" xfId="16208" xr:uid="{00000000-0005-0000-0000-00004D3F0000}"/>
    <cellStyle name="H5 9" xfId="16209" xr:uid="{00000000-0005-0000-0000-00004E3F0000}"/>
    <cellStyle name="H6" xfId="16210" xr:uid="{00000000-0005-0000-0000-00004F3F0000}"/>
    <cellStyle name="H6 10" xfId="16211" xr:uid="{00000000-0005-0000-0000-0000503F0000}"/>
    <cellStyle name="H6 11" xfId="16212" xr:uid="{00000000-0005-0000-0000-0000513F0000}"/>
    <cellStyle name="H6 12" xfId="16213" xr:uid="{00000000-0005-0000-0000-0000523F0000}"/>
    <cellStyle name="H6 13" xfId="16214" xr:uid="{00000000-0005-0000-0000-0000533F0000}"/>
    <cellStyle name="H6 14" xfId="16215" xr:uid="{00000000-0005-0000-0000-0000543F0000}"/>
    <cellStyle name="H6 15" xfId="16216" xr:uid="{00000000-0005-0000-0000-0000553F0000}"/>
    <cellStyle name="H6 16" xfId="16217" xr:uid="{00000000-0005-0000-0000-0000563F0000}"/>
    <cellStyle name="H6 17" xfId="16218" xr:uid="{00000000-0005-0000-0000-0000573F0000}"/>
    <cellStyle name="H6 18" xfId="16219" xr:uid="{00000000-0005-0000-0000-0000583F0000}"/>
    <cellStyle name="H6 19" xfId="16220" xr:uid="{00000000-0005-0000-0000-0000593F0000}"/>
    <cellStyle name="H6 2" xfId="16221" xr:uid="{00000000-0005-0000-0000-00005A3F0000}"/>
    <cellStyle name="H6 2 2" xfId="16222" xr:uid="{00000000-0005-0000-0000-00005B3F0000}"/>
    <cellStyle name="H6 20" xfId="16223" xr:uid="{00000000-0005-0000-0000-00005C3F0000}"/>
    <cellStyle name="H6 21" xfId="16224" xr:uid="{00000000-0005-0000-0000-00005D3F0000}"/>
    <cellStyle name="H6 22" xfId="16225" xr:uid="{00000000-0005-0000-0000-00005E3F0000}"/>
    <cellStyle name="H6 23" xfId="16226" xr:uid="{00000000-0005-0000-0000-00005F3F0000}"/>
    <cellStyle name="H6 23 2" xfId="16227" xr:uid="{00000000-0005-0000-0000-0000603F0000}"/>
    <cellStyle name="H6 3" xfId="16228" xr:uid="{00000000-0005-0000-0000-0000613F0000}"/>
    <cellStyle name="H6 3 2" xfId="16229" xr:uid="{00000000-0005-0000-0000-0000623F0000}"/>
    <cellStyle name="H6 4" xfId="16230" xr:uid="{00000000-0005-0000-0000-0000633F0000}"/>
    <cellStyle name="H6 5" xfId="16231" xr:uid="{00000000-0005-0000-0000-0000643F0000}"/>
    <cellStyle name="H6 6" xfId="16232" xr:uid="{00000000-0005-0000-0000-0000653F0000}"/>
    <cellStyle name="H6 7" xfId="16233" xr:uid="{00000000-0005-0000-0000-0000663F0000}"/>
    <cellStyle name="H6 8" xfId="16234" xr:uid="{00000000-0005-0000-0000-0000673F0000}"/>
    <cellStyle name="H6 9" xfId="16235" xr:uid="{00000000-0005-0000-0000-0000683F0000}"/>
    <cellStyle name="H7" xfId="16236" xr:uid="{00000000-0005-0000-0000-0000693F0000}"/>
    <cellStyle name="H7 10" xfId="16237" xr:uid="{00000000-0005-0000-0000-00006A3F0000}"/>
    <cellStyle name="H7 11" xfId="16238" xr:uid="{00000000-0005-0000-0000-00006B3F0000}"/>
    <cellStyle name="H7 12" xfId="16239" xr:uid="{00000000-0005-0000-0000-00006C3F0000}"/>
    <cellStyle name="H7 13" xfId="16240" xr:uid="{00000000-0005-0000-0000-00006D3F0000}"/>
    <cellStyle name="H7 14" xfId="16241" xr:uid="{00000000-0005-0000-0000-00006E3F0000}"/>
    <cellStyle name="H7 15" xfId="16242" xr:uid="{00000000-0005-0000-0000-00006F3F0000}"/>
    <cellStyle name="H7 16" xfId="16243" xr:uid="{00000000-0005-0000-0000-0000703F0000}"/>
    <cellStyle name="H7 17" xfId="16244" xr:uid="{00000000-0005-0000-0000-0000713F0000}"/>
    <cellStyle name="H7 18" xfId="16245" xr:uid="{00000000-0005-0000-0000-0000723F0000}"/>
    <cellStyle name="H7 19" xfId="16246" xr:uid="{00000000-0005-0000-0000-0000733F0000}"/>
    <cellStyle name="H7 2" xfId="16247" xr:uid="{00000000-0005-0000-0000-0000743F0000}"/>
    <cellStyle name="H7 2 2" xfId="16248" xr:uid="{00000000-0005-0000-0000-0000753F0000}"/>
    <cellStyle name="H7 20" xfId="16249" xr:uid="{00000000-0005-0000-0000-0000763F0000}"/>
    <cellStyle name="H7 21" xfId="16250" xr:uid="{00000000-0005-0000-0000-0000773F0000}"/>
    <cellStyle name="H7 22" xfId="16251" xr:uid="{00000000-0005-0000-0000-0000783F0000}"/>
    <cellStyle name="H7 23" xfId="16252" xr:uid="{00000000-0005-0000-0000-0000793F0000}"/>
    <cellStyle name="H7 23 2" xfId="16253" xr:uid="{00000000-0005-0000-0000-00007A3F0000}"/>
    <cellStyle name="H7 3" xfId="16254" xr:uid="{00000000-0005-0000-0000-00007B3F0000}"/>
    <cellStyle name="H7 3 2" xfId="16255" xr:uid="{00000000-0005-0000-0000-00007C3F0000}"/>
    <cellStyle name="H7 4" xfId="16256" xr:uid="{00000000-0005-0000-0000-00007D3F0000}"/>
    <cellStyle name="H7 5" xfId="16257" xr:uid="{00000000-0005-0000-0000-00007E3F0000}"/>
    <cellStyle name="H7 6" xfId="16258" xr:uid="{00000000-0005-0000-0000-00007F3F0000}"/>
    <cellStyle name="H7 7" xfId="16259" xr:uid="{00000000-0005-0000-0000-0000803F0000}"/>
    <cellStyle name="H7 8" xfId="16260" xr:uid="{00000000-0005-0000-0000-0000813F0000}"/>
    <cellStyle name="H7 9" xfId="16261" xr:uid="{00000000-0005-0000-0000-0000823F0000}"/>
    <cellStyle name="H8" xfId="16262" xr:uid="{00000000-0005-0000-0000-0000833F0000}"/>
    <cellStyle name="H8 10" xfId="16263" xr:uid="{00000000-0005-0000-0000-0000843F0000}"/>
    <cellStyle name="H8 11" xfId="16264" xr:uid="{00000000-0005-0000-0000-0000853F0000}"/>
    <cellStyle name="H8 12" xfId="16265" xr:uid="{00000000-0005-0000-0000-0000863F0000}"/>
    <cellStyle name="H8 13" xfId="16266" xr:uid="{00000000-0005-0000-0000-0000873F0000}"/>
    <cellStyle name="H8 14" xfId="16267" xr:uid="{00000000-0005-0000-0000-0000883F0000}"/>
    <cellStyle name="H8 15" xfId="16268" xr:uid="{00000000-0005-0000-0000-0000893F0000}"/>
    <cellStyle name="H8 16" xfId="16269" xr:uid="{00000000-0005-0000-0000-00008A3F0000}"/>
    <cellStyle name="H8 17" xfId="16270" xr:uid="{00000000-0005-0000-0000-00008B3F0000}"/>
    <cellStyle name="H8 18" xfId="16271" xr:uid="{00000000-0005-0000-0000-00008C3F0000}"/>
    <cellStyle name="H8 19" xfId="16272" xr:uid="{00000000-0005-0000-0000-00008D3F0000}"/>
    <cellStyle name="H8 2" xfId="16273" xr:uid="{00000000-0005-0000-0000-00008E3F0000}"/>
    <cellStyle name="H8 20" xfId="16274" xr:uid="{00000000-0005-0000-0000-00008F3F0000}"/>
    <cellStyle name="H8 21" xfId="16275" xr:uid="{00000000-0005-0000-0000-0000903F0000}"/>
    <cellStyle name="H8 21 2" xfId="16276" xr:uid="{00000000-0005-0000-0000-0000913F0000}"/>
    <cellStyle name="H8 3" xfId="16277" xr:uid="{00000000-0005-0000-0000-0000923F0000}"/>
    <cellStyle name="H8 4" xfId="16278" xr:uid="{00000000-0005-0000-0000-0000933F0000}"/>
    <cellStyle name="H8 5" xfId="16279" xr:uid="{00000000-0005-0000-0000-0000943F0000}"/>
    <cellStyle name="H8 6" xfId="16280" xr:uid="{00000000-0005-0000-0000-0000953F0000}"/>
    <cellStyle name="H8 7" xfId="16281" xr:uid="{00000000-0005-0000-0000-0000963F0000}"/>
    <cellStyle name="H8 8" xfId="16282" xr:uid="{00000000-0005-0000-0000-0000973F0000}"/>
    <cellStyle name="H8 9" xfId="16283" xr:uid="{00000000-0005-0000-0000-0000983F0000}"/>
    <cellStyle name="Hard input" xfId="16284" xr:uid="{00000000-0005-0000-0000-0000993F0000}"/>
    <cellStyle name="Hard input 10" xfId="16285" xr:uid="{00000000-0005-0000-0000-00009A3F0000}"/>
    <cellStyle name="Hard input 11" xfId="16286" xr:uid="{00000000-0005-0000-0000-00009B3F0000}"/>
    <cellStyle name="Hard input 12" xfId="16287" xr:uid="{00000000-0005-0000-0000-00009C3F0000}"/>
    <cellStyle name="Hard input 13" xfId="16288" xr:uid="{00000000-0005-0000-0000-00009D3F0000}"/>
    <cellStyle name="Hard input 14" xfId="16289" xr:uid="{00000000-0005-0000-0000-00009E3F0000}"/>
    <cellStyle name="Hard input 15" xfId="16290" xr:uid="{00000000-0005-0000-0000-00009F3F0000}"/>
    <cellStyle name="Hard input 16" xfId="16291" xr:uid="{00000000-0005-0000-0000-0000A03F0000}"/>
    <cellStyle name="Hard input 17" xfId="16292" xr:uid="{00000000-0005-0000-0000-0000A13F0000}"/>
    <cellStyle name="Hard input 18" xfId="16293" xr:uid="{00000000-0005-0000-0000-0000A23F0000}"/>
    <cellStyle name="Hard input 19" xfId="16294" xr:uid="{00000000-0005-0000-0000-0000A33F0000}"/>
    <cellStyle name="Hard input 2" xfId="16295" xr:uid="{00000000-0005-0000-0000-0000A43F0000}"/>
    <cellStyle name="Hard input 20" xfId="16296" xr:uid="{00000000-0005-0000-0000-0000A53F0000}"/>
    <cellStyle name="Hard input 21" xfId="16297" xr:uid="{00000000-0005-0000-0000-0000A63F0000}"/>
    <cellStyle name="Hard input 22" xfId="16298" xr:uid="{00000000-0005-0000-0000-0000A73F0000}"/>
    <cellStyle name="Hard input 23" xfId="16299" xr:uid="{00000000-0005-0000-0000-0000A83F0000}"/>
    <cellStyle name="Hard input 24" xfId="16300" xr:uid="{00000000-0005-0000-0000-0000A93F0000}"/>
    <cellStyle name="Hard input 25" xfId="16301" xr:uid="{00000000-0005-0000-0000-0000AA3F0000}"/>
    <cellStyle name="Hard input 26" xfId="16302" xr:uid="{00000000-0005-0000-0000-0000AB3F0000}"/>
    <cellStyle name="Hard input 27" xfId="16303" xr:uid="{00000000-0005-0000-0000-0000AC3F0000}"/>
    <cellStyle name="Hard input 28" xfId="16304" xr:uid="{00000000-0005-0000-0000-0000AD3F0000}"/>
    <cellStyle name="Hard input 29" xfId="16305" xr:uid="{00000000-0005-0000-0000-0000AE3F0000}"/>
    <cellStyle name="Hard input 29 2" xfId="16306" xr:uid="{00000000-0005-0000-0000-0000AF3F0000}"/>
    <cellStyle name="Hard input 3" xfId="16307" xr:uid="{00000000-0005-0000-0000-0000B03F0000}"/>
    <cellStyle name="Hard input 30" xfId="16308" xr:uid="{00000000-0005-0000-0000-0000B13F0000}"/>
    <cellStyle name="Hard input 31" xfId="16309" xr:uid="{00000000-0005-0000-0000-0000B23F0000}"/>
    <cellStyle name="Hard input 32" xfId="16310" xr:uid="{00000000-0005-0000-0000-0000B33F0000}"/>
    <cellStyle name="Hard input 33" xfId="16311" xr:uid="{00000000-0005-0000-0000-0000B43F0000}"/>
    <cellStyle name="Hard input 34" xfId="16312" xr:uid="{00000000-0005-0000-0000-0000B53F0000}"/>
    <cellStyle name="Hard input 35" xfId="16313" xr:uid="{00000000-0005-0000-0000-0000B63F0000}"/>
    <cellStyle name="Hard input 36" xfId="16314" xr:uid="{00000000-0005-0000-0000-0000B73F0000}"/>
    <cellStyle name="Hard input 37" xfId="16315" xr:uid="{00000000-0005-0000-0000-0000B83F0000}"/>
    <cellStyle name="Hard input 38" xfId="16316" xr:uid="{00000000-0005-0000-0000-0000B93F0000}"/>
    <cellStyle name="Hard input 4" xfId="16317" xr:uid="{00000000-0005-0000-0000-0000BA3F0000}"/>
    <cellStyle name="Hard input 5" xfId="16318" xr:uid="{00000000-0005-0000-0000-0000BB3F0000}"/>
    <cellStyle name="Hard input 6" xfId="16319" xr:uid="{00000000-0005-0000-0000-0000BC3F0000}"/>
    <cellStyle name="Hard input 7" xfId="16320" xr:uid="{00000000-0005-0000-0000-0000BD3F0000}"/>
    <cellStyle name="Hard input 8" xfId="16321" xr:uid="{00000000-0005-0000-0000-0000BE3F0000}"/>
    <cellStyle name="Hard input 9" xfId="16322" xr:uid="{00000000-0005-0000-0000-0000BF3F0000}"/>
    <cellStyle name="hard no" xfId="16323" xr:uid="{00000000-0005-0000-0000-0000C03F0000}"/>
    <cellStyle name="hard no 10" xfId="16324" xr:uid="{00000000-0005-0000-0000-0000C13F0000}"/>
    <cellStyle name="hard no 11" xfId="16325" xr:uid="{00000000-0005-0000-0000-0000C23F0000}"/>
    <cellStyle name="hard no 12" xfId="16326" xr:uid="{00000000-0005-0000-0000-0000C33F0000}"/>
    <cellStyle name="hard no 13" xfId="16327" xr:uid="{00000000-0005-0000-0000-0000C43F0000}"/>
    <cellStyle name="hard no 14" xfId="16328" xr:uid="{00000000-0005-0000-0000-0000C53F0000}"/>
    <cellStyle name="hard no 15" xfId="16329" xr:uid="{00000000-0005-0000-0000-0000C63F0000}"/>
    <cellStyle name="hard no 16" xfId="16330" xr:uid="{00000000-0005-0000-0000-0000C73F0000}"/>
    <cellStyle name="hard no 17" xfId="16331" xr:uid="{00000000-0005-0000-0000-0000C83F0000}"/>
    <cellStyle name="hard no 18" xfId="16332" xr:uid="{00000000-0005-0000-0000-0000C93F0000}"/>
    <cellStyle name="hard no 19" xfId="16333" xr:uid="{00000000-0005-0000-0000-0000CA3F0000}"/>
    <cellStyle name="hard no 2" xfId="16334" xr:uid="{00000000-0005-0000-0000-0000CB3F0000}"/>
    <cellStyle name="hard no 2 2" xfId="16335" xr:uid="{00000000-0005-0000-0000-0000CC3F0000}"/>
    <cellStyle name="hard no 20" xfId="16336" xr:uid="{00000000-0005-0000-0000-0000CD3F0000}"/>
    <cellStyle name="hard no 21" xfId="16337" xr:uid="{00000000-0005-0000-0000-0000CE3F0000}"/>
    <cellStyle name="hard no 22" xfId="16338" xr:uid="{00000000-0005-0000-0000-0000CF3F0000}"/>
    <cellStyle name="hard no 23" xfId="16339" xr:uid="{00000000-0005-0000-0000-0000D03F0000}"/>
    <cellStyle name="hard no 24" xfId="16340" xr:uid="{00000000-0005-0000-0000-0000D13F0000}"/>
    <cellStyle name="hard no 25" xfId="16341" xr:uid="{00000000-0005-0000-0000-0000D23F0000}"/>
    <cellStyle name="hard no 26" xfId="16342" xr:uid="{00000000-0005-0000-0000-0000D33F0000}"/>
    <cellStyle name="hard no 27" xfId="16343" xr:uid="{00000000-0005-0000-0000-0000D43F0000}"/>
    <cellStyle name="hard no 28" xfId="16344" xr:uid="{00000000-0005-0000-0000-0000D53F0000}"/>
    <cellStyle name="hard no 29" xfId="16345" xr:uid="{00000000-0005-0000-0000-0000D63F0000}"/>
    <cellStyle name="hard no 3" xfId="16346" xr:uid="{00000000-0005-0000-0000-0000D73F0000}"/>
    <cellStyle name="hard no 3 2" xfId="16347" xr:uid="{00000000-0005-0000-0000-0000D83F0000}"/>
    <cellStyle name="hard no 30" xfId="16348" xr:uid="{00000000-0005-0000-0000-0000D93F0000}"/>
    <cellStyle name="hard no 31" xfId="16349" xr:uid="{00000000-0005-0000-0000-0000DA3F0000}"/>
    <cellStyle name="hard no 31 2" xfId="16350" xr:uid="{00000000-0005-0000-0000-0000DB3F0000}"/>
    <cellStyle name="hard no 32" xfId="16351" xr:uid="{00000000-0005-0000-0000-0000DC3F0000}"/>
    <cellStyle name="hard no 33" xfId="16352" xr:uid="{00000000-0005-0000-0000-0000DD3F0000}"/>
    <cellStyle name="hard no 34" xfId="16353" xr:uid="{00000000-0005-0000-0000-0000DE3F0000}"/>
    <cellStyle name="hard no 35" xfId="16354" xr:uid="{00000000-0005-0000-0000-0000DF3F0000}"/>
    <cellStyle name="hard no 36" xfId="16355" xr:uid="{00000000-0005-0000-0000-0000E03F0000}"/>
    <cellStyle name="hard no 37" xfId="16356" xr:uid="{00000000-0005-0000-0000-0000E13F0000}"/>
    <cellStyle name="hard no 38" xfId="16357" xr:uid="{00000000-0005-0000-0000-0000E23F0000}"/>
    <cellStyle name="hard no 39" xfId="16358" xr:uid="{00000000-0005-0000-0000-0000E33F0000}"/>
    <cellStyle name="hard no 4" xfId="16359" xr:uid="{00000000-0005-0000-0000-0000E43F0000}"/>
    <cellStyle name="hard no 40" xfId="16360" xr:uid="{00000000-0005-0000-0000-0000E53F0000}"/>
    <cellStyle name="hard no 5" xfId="16361" xr:uid="{00000000-0005-0000-0000-0000E63F0000}"/>
    <cellStyle name="hard no 6" xfId="16362" xr:uid="{00000000-0005-0000-0000-0000E73F0000}"/>
    <cellStyle name="hard no 7" xfId="16363" xr:uid="{00000000-0005-0000-0000-0000E83F0000}"/>
    <cellStyle name="hard no 8" xfId="16364" xr:uid="{00000000-0005-0000-0000-0000E93F0000}"/>
    <cellStyle name="hard no 9" xfId="16365" xr:uid="{00000000-0005-0000-0000-0000EA3F0000}"/>
    <cellStyle name="Hard Percent" xfId="16366" xr:uid="{00000000-0005-0000-0000-0000EB3F0000}"/>
    <cellStyle name="Hard Percent 10" xfId="16367" xr:uid="{00000000-0005-0000-0000-0000EC3F0000}"/>
    <cellStyle name="Hard Percent 11" xfId="16368" xr:uid="{00000000-0005-0000-0000-0000ED3F0000}"/>
    <cellStyle name="Hard Percent 12" xfId="16369" xr:uid="{00000000-0005-0000-0000-0000EE3F0000}"/>
    <cellStyle name="Hard Percent 13" xfId="16370" xr:uid="{00000000-0005-0000-0000-0000EF3F0000}"/>
    <cellStyle name="Hard Percent 14" xfId="16371" xr:uid="{00000000-0005-0000-0000-0000F03F0000}"/>
    <cellStyle name="Hard Percent 15" xfId="16372" xr:uid="{00000000-0005-0000-0000-0000F13F0000}"/>
    <cellStyle name="Hard Percent 16" xfId="16373" xr:uid="{00000000-0005-0000-0000-0000F23F0000}"/>
    <cellStyle name="Hard Percent 17" xfId="16374" xr:uid="{00000000-0005-0000-0000-0000F33F0000}"/>
    <cellStyle name="Hard Percent 18" xfId="16375" xr:uid="{00000000-0005-0000-0000-0000F43F0000}"/>
    <cellStyle name="Hard Percent 19" xfId="16376" xr:uid="{00000000-0005-0000-0000-0000F53F0000}"/>
    <cellStyle name="Hard Percent 2" xfId="16377" xr:uid="{00000000-0005-0000-0000-0000F63F0000}"/>
    <cellStyle name="Hard Percent 20" xfId="16378" xr:uid="{00000000-0005-0000-0000-0000F73F0000}"/>
    <cellStyle name="Hard Percent 21" xfId="16379" xr:uid="{00000000-0005-0000-0000-0000F83F0000}"/>
    <cellStyle name="Hard Percent 3" xfId="16380" xr:uid="{00000000-0005-0000-0000-0000F93F0000}"/>
    <cellStyle name="Hard Percent 4" xfId="16381" xr:uid="{00000000-0005-0000-0000-0000FA3F0000}"/>
    <cellStyle name="Hard Percent 5" xfId="16382" xr:uid="{00000000-0005-0000-0000-0000FB3F0000}"/>
    <cellStyle name="Hard Percent 6" xfId="16383" xr:uid="{00000000-0005-0000-0000-0000FC3F0000}"/>
    <cellStyle name="Hard Percent 7" xfId="16384" xr:uid="{00000000-0005-0000-0000-0000FD3F0000}"/>
    <cellStyle name="Hard Percent 8" xfId="16385" xr:uid="{00000000-0005-0000-0000-0000FE3F0000}"/>
    <cellStyle name="Hard Percent 9" xfId="16386" xr:uid="{00000000-0005-0000-0000-0000FF3F0000}"/>
    <cellStyle name="hardno" xfId="16387" xr:uid="{00000000-0005-0000-0000-000000400000}"/>
    <cellStyle name="hardno 10" xfId="16388" xr:uid="{00000000-0005-0000-0000-000001400000}"/>
    <cellStyle name="hardno 11" xfId="16389" xr:uid="{00000000-0005-0000-0000-000002400000}"/>
    <cellStyle name="hardno 12" xfId="16390" xr:uid="{00000000-0005-0000-0000-000003400000}"/>
    <cellStyle name="hardno 13" xfId="16391" xr:uid="{00000000-0005-0000-0000-000004400000}"/>
    <cellStyle name="hardno 14" xfId="16392" xr:uid="{00000000-0005-0000-0000-000005400000}"/>
    <cellStyle name="hardno 15" xfId="16393" xr:uid="{00000000-0005-0000-0000-000006400000}"/>
    <cellStyle name="hardno 16" xfId="16394" xr:uid="{00000000-0005-0000-0000-000007400000}"/>
    <cellStyle name="hardno 17" xfId="16395" xr:uid="{00000000-0005-0000-0000-000008400000}"/>
    <cellStyle name="hardno 18" xfId="16396" xr:uid="{00000000-0005-0000-0000-000009400000}"/>
    <cellStyle name="hardno 19" xfId="16397" xr:uid="{00000000-0005-0000-0000-00000A400000}"/>
    <cellStyle name="hardno 2" xfId="16398" xr:uid="{00000000-0005-0000-0000-00000B400000}"/>
    <cellStyle name="hardno 20" xfId="16399" xr:uid="{00000000-0005-0000-0000-00000C400000}"/>
    <cellStyle name="hardno 21" xfId="16400" xr:uid="{00000000-0005-0000-0000-00000D400000}"/>
    <cellStyle name="hardno 22" xfId="16401" xr:uid="{00000000-0005-0000-0000-00000E400000}"/>
    <cellStyle name="hardno 23" xfId="16402" xr:uid="{00000000-0005-0000-0000-00000F400000}"/>
    <cellStyle name="hardno 24" xfId="16403" xr:uid="{00000000-0005-0000-0000-000010400000}"/>
    <cellStyle name="hardno 25" xfId="16404" xr:uid="{00000000-0005-0000-0000-000011400000}"/>
    <cellStyle name="hardno 26" xfId="16405" xr:uid="{00000000-0005-0000-0000-000012400000}"/>
    <cellStyle name="hardno 27" xfId="16406" xr:uid="{00000000-0005-0000-0000-000013400000}"/>
    <cellStyle name="hardno 28" xfId="16407" xr:uid="{00000000-0005-0000-0000-000014400000}"/>
    <cellStyle name="hardno 29" xfId="16408" xr:uid="{00000000-0005-0000-0000-000015400000}"/>
    <cellStyle name="hardno 29 2" xfId="16409" xr:uid="{00000000-0005-0000-0000-000016400000}"/>
    <cellStyle name="hardno 3" xfId="16410" xr:uid="{00000000-0005-0000-0000-000017400000}"/>
    <cellStyle name="hardno 30" xfId="16411" xr:uid="{00000000-0005-0000-0000-000018400000}"/>
    <cellStyle name="hardno 31" xfId="16412" xr:uid="{00000000-0005-0000-0000-000019400000}"/>
    <cellStyle name="hardno 32" xfId="16413" xr:uid="{00000000-0005-0000-0000-00001A400000}"/>
    <cellStyle name="hardno 33" xfId="16414" xr:uid="{00000000-0005-0000-0000-00001B400000}"/>
    <cellStyle name="hardno 34" xfId="16415" xr:uid="{00000000-0005-0000-0000-00001C400000}"/>
    <cellStyle name="hardno 35" xfId="16416" xr:uid="{00000000-0005-0000-0000-00001D400000}"/>
    <cellStyle name="hardno 36" xfId="16417" xr:uid="{00000000-0005-0000-0000-00001E400000}"/>
    <cellStyle name="hardno 37" xfId="16418" xr:uid="{00000000-0005-0000-0000-00001F400000}"/>
    <cellStyle name="hardno 38" xfId="16419" xr:uid="{00000000-0005-0000-0000-000020400000}"/>
    <cellStyle name="hardno 4" xfId="16420" xr:uid="{00000000-0005-0000-0000-000021400000}"/>
    <cellStyle name="hardno 5" xfId="16421" xr:uid="{00000000-0005-0000-0000-000022400000}"/>
    <cellStyle name="hardno 6" xfId="16422" xr:uid="{00000000-0005-0000-0000-000023400000}"/>
    <cellStyle name="hardno 7" xfId="16423" xr:uid="{00000000-0005-0000-0000-000024400000}"/>
    <cellStyle name="hardno 8" xfId="16424" xr:uid="{00000000-0005-0000-0000-000025400000}"/>
    <cellStyle name="hardno 9" xfId="16425" xr:uid="{00000000-0005-0000-0000-000026400000}"/>
    <cellStyle name="head1" xfId="16426" xr:uid="{00000000-0005-0000-0000-000027400000}"/>
    <cellStyle name="head1 10" xfId="16427" xr:uid="{00000000-0005-0000-0000-000028400000}"/>
    <cellStyle name="head1 11" xfId="16428" xr:uid="{00000000-0005-0000-0000-000029400000}"/>
    <cellStyle name="head1 12" xfId="16429" xr:uid="{00000000-0005-0000-0000-00002A400000}"/>
    <cellStyle name="head1 13" xfId="16430" xr:uid="{00000000-0005-0000-0000-00002B400000}"/>
    <cellStyle name="head1 14" xfId="16431" xr:uid="{00000000-0005-0000-0000-00002C400000}"/>
    <cellStyle name="head1 15" xfId="16432" xr:uid="{00000000-0005-0000-0000-00002D400000}"/>
    <cellStyle name="head1 16" xfId="16433" xr:uid="{00000000-0005-0000-0000-00002E400000}"/>
    <cellStyle name="head1 17" xfId="16434" xr:uid="{00000000-0005-0000-0000-00002F400000}"/>
    <cellStyle name="head1 18" xfId="16435" xr:uid="{00000000-0005-0000-0000-000030400000}"/>
    <cellStyle name="head1 19" xfId="16436" xr:uid="{00000000-0005-0000-0000-000031400000}"/>
    <cellStyle name="head1 2" xfId="16437" xr:uid="{00000000-0005-0000-0000-000032400000}"/>
    <cellStyle name="head1 20" xfId="16438" xr:uid="{00000000-0005-0000-0000-000033400000}"/>
    <cellStyle name="head1 21" xfId="16439" xr:uid="{00000000-0005-0000-0000-000034400000}"/>
    <cellStyle name="head1 21 2" xfId="16440" xr:uid="{00000000-0005-0000-0000-000035400000}"/>
    <cellStyle name="head1 3" xfId="16441" xr:uid="{00000000-0005-0000-0000-000036400000}"/>
    <cellStyle name="head1 4" xfId="16442" xr:uid="{00000000-0005-0000-0000-000037400000}"/>
    <cellStyle name="head1 5" xfId="16443" xr:uid="{00000000-0005-0000-0000-000038400000}"/>
    <cellStyle name="head1 6" xfId="16444" xr:uid="{00000000-0005-0000-0000-000039400000}"/>
    <cellStyle name="head1 7" xfId="16445" xr:uid="{00000000-0005-0000-0000-00003A400000}"/>
    <cellStyle name="head1 8" xfId="16446" xr:uid="{00000000-0005-0000-0000-00003B400000}"/>
    <cellStyle name="head1 9" xfId="16447" xr:uid="{00000000-0005-0000-0000-00003C400000}"/>
    <cellStyle name="head2" xfId="16448" xr:uid="{00000000-0005-0000-0000-00003D400000}"/>
    <cellStyle name="head2 10" xfId="16449" xr:uid="{00000000-0005-0000-0000-00003E400000}"/>
    <cellStyle name="head2 11" xfId="16450" xr:uid="{00000000-0005-0000-0000-00003F400000}"/>
    <cellStyle name="head2 12" xfId="16451" xr:uid="{00000000-0005-0000-0000-000040400000}"/>
    <cellStyle name="head2 13" xfId="16452" xr:uid="{00000000-0005-0000-0000-000041400000}"/>
    <cellStyle name="head2 14" xfId="16453" xr:uid="{00000000-0005-0000-0000-000042400000}"/>
    <cellStyle name="head2 15" xfId="16454" xr:uid="{00000000-0005-0000-0000-000043400000}"/>
    <cellStyle name="head2 16" xfId="16455" xr:uid="{00000000-0005-0000-0000-000044400000}"/>
    <cellStyle name="head2 17" xfId="16456" xr:uid="{00000000-0005-0000-0000-000045400000}"/>
    <cellStyle name="head2 18" xfId="16457" xr:uid="{00000000-0005-0000-0000-000046400000}"/>
    <cellStyle name="head2 19" xfId="16458" xr:uid="{00000000-0005-0000-0000-000047400000}"/>
    <cellStyle name="head2 2" xfId="16459" xr:uid="{00000000-0005-0000-0000-000048400000}"/>
    <cellStyle name="head2 20" xfId="16460" xr:uid="{00000000-0005-0000-0000-000049400000}"/>
    <cellStyle name="head2 21" xfId="16461" xr:uid="{00000000-0005-0000-0000-00004A400000}"/>
    <cellStyle name="head2 21 2" xfId="16462" xr:uid="{00000000-0005-0000-0000-00004B400000}"/>
    <cellStyle name="head2 3" xfId="16463" xr:uid="{00000000-0005-0000-0000-00004C400000}"/>
    <cellStyle name="head2 4" xfId="16464" xr:uid="{00000000-0005-0000-0000-00004D400000}"/>
    <cellStyle name="head2 5" xfId="16465" xr:uid="{00000000-0005-0000-0000-00004E400000}"/>
    <cellStyle name="head2 6" xfId="16466" xr:uid="{00000000-0005-0000-0000-00004F400000}"/>
    <cellStyle name="head2 7" xfId="16467" xr:uid="{00000000-0005-0000-0000-000050400000}"/>
    <cellStyle name="head2 8" xfId="16468" xr:uid="{00000000-0005-0000-0000-000051400000}"/>
    <cellStyle name="head2 9" xfId="16469" xr:uid="{00000000-0005-0000-0000-000052400000}"/>
    <cellStyle name="Header" xfId="16470" xr:uid="{00000000-0005-0000-0000-000053400000}"/>
    <cellStyle name="Header 10" xfId="16471" xr:uid="{00000000-0005-0000-0000-000054400000}"/>
    <cellStyle name="Header 11" xfId="16472" xr:uid="{00000000-0005-0000-0000-000055400000}"/>
    <cellStyle name="Header 12" xfId="16473" xr:uid="{00000000-0005-0000-0000-000056400000}"/>
    <cellStyle name="Header 13" xfId="16474" xr:uid="{00000000-0005-0000-0000-000057400000}"/>
    <cellStyle name="Header 14" xfId="16475" xr:uid="{00000000-0005-0000-0000-000058400000}"/>
    <cellStyle name="Header 15" xfId="16476" xr:uid="{00000000-0005-0000-0000-000059400000}"/>
    <cellStyle name="Header 16" xfId="16477" xr:uid="{00000000-0005-0000-0000-00005A400000}"/>
    <cellStyle name="Header 17" xfId="16478" xr:uid="{00000000-0005-0000-0000-00005B400000}"/>
    <cellStyle name="Header 18" xfId="16479" xr:uid="{00000000-0005-0000-0000-00005C400000}"/>
    <cellStyle name="Header 19" xfId="16480" xr:uid="{00000000-0005-0000-0000-00005D400000}"/>
    <cellStyle name="Header 2" xfId="16481" xr:uid="{00000000-0005-0000-0000-00005E400000}"/>
    <cellStyle name="Header 20" xfId="16482" xr:uid="{00000000-0005-0000-0000-00005F400000}"/>
    <cellStyle name="Header 21" xfId="16483" xr:uid="{00000000-0005-0000-0000-000060400000}"/>
    <cellStyle name="Header 21 2" xfId="16484" xr:uid="{00000000-0005-0000-0000-000061400000}"/>
    <cellStyle name="Header 3" xfId="16485" xr:uid="{00000000-0005-0000-0000-000062400000}"/>
    <cellStyle name="Header 4" xfId="16486" xr:uid="{00000000-0005-0000-0000-000063400000}"/>
    <cellStyle name="Header 5" xfId="16487" xr:uid="{00000000-0005-0000-0000-000064400000}"/>
    <cellStyle name="Header 6" xfId="16488" xr:uid="{00000000-0005-0000-0000-000065400000}"/>
    <cellStyle name="Header 7" xfId="16489" xr:uid="{00000000-0005-0000-0000-000066400000}"/>
    <cellStyle name="Header 8" xfId="16490" xr:uid="{00000000-0005-0000-0000-000067400000}"/>
    <cellStyle name="Header 9" xfId="16491" xr:uid="{00000000-0005-0000-0000-000068400000}"/>
    <cellStyle name="Header1" xfId="16492" xr:uid="{00000000-0005-0000-0000-000069400000}"/>
    <cellStyle name="Header1 10" xfId="16493" xr:uid="{00000000-0005-0000-0000-00006A400000}"/>
    <cellStyle name="Header1 11" xfId="16494" xr:uid="{00000000-0005-0000-0000-00006B400000}"/>
    <cellStyle name="Header1 12" xfId="16495" xr:uid="{00000000-0005-0000-0000-00006C400000}"/>
    <cellStyle name="Header1 13" xfId="16496" xr:uid="{00000000-0005-0000-0000-00006D400000}"/>
    <cellStyle name="Header1 14" xfId="16497" xr:uid="{00000000-0005-0000-0000-00006E400000}"/>
    <cellStyle name="Header1 15" xfId="16498" xr:uid="{00000000-0005-0000-0000-00006F400000}"/>
    <cellStyle name="Header1 16" xfId="16499" xr:uid="{00000000-0005-0000-0000-000070400000}"/>
    <cellStyle name="Header1 17" xfId="16500" xr:uid="{00000000-0005-0000-0000-000071400000}"/>
    <cellStyle name="Header1 18" xfId="16501" xr:uid="{00000000-0005-0000-0000-000072400000}"/>
    <cellStyle name="Header1 19" xfId="16502" xr:uid="{00000000-0005-0000-0000-000073400000}"/>
    <cellStyle name="Header1 2" xfId="16503" xr:uid="{00000000-0005-0000-0000-000074400000}"/>
    <cellStyle name="Header1 20" xfId="16504" xr:uid="{00000000-0005-0000-0000-000075400000}"/>
    <cellStyle name="Header1 21" xfId="16505" xr:uid="{00000000-0005-0000-0000-000076400000}"/>
    <cellStyle name="Header1 22" xfId="16506" xr:uid="{00000000-0005-0000-0000-000077400000}"/>
    <cellStyle name="Header1 23" xfId="16507" xr:uid="{00000000-0005-0000-0000-000078400000}"/>
    <cellStyle name="Header1 24" xfId="16508" xr:uid="{00000000-0005-0000-0000-000079400000}"/>
    <cellStyle name="Header1 25" xfId="16509" xr:uid="{00000000-0005-0000-0000-00007A400000}"/>
    <cellStyle name="Header1 26" xfId="16510" xr:uid="{00000000-0005-0000-0000-00007B400000}"/>
    <cellStyle name="Header1 27" xfId="16511" xr:uid="{00000000-0005-0000-0000-00007C400000}"/>
    <cellStyle name="Header1 28" xfId="16512" xr:uid="{00000000-0005-0000-0000-00007D400000}"/>
    <cellStyle name="Header1 29" xfId="16513" xr:uid="{00000000-0005-0000-0000-00007E400000}"/>
    <cellStyle name="Header1 29 2" xfId="16514" xr:uid="{00000000-0005-0000-0000-00007F400000}"/>
    <cellStyle name="Header1 3" xfId="16515" xr:uid="{00000000-0005-0000-0000-000080400000}"/>
    <cellStyle name="Header1 30" xfId="16516" xr:uid="{00000000-0005-0000-0000-000081400000}"/>
    <cellStyle name="Header1 31" xfId="16517" xr:uid="{00000000-0005-0000-0000-000082400000}"/>
    <cellStyle name="Header1 32" xfId="16518" xr:uid="{00000000-0005-0000-0000-000083400000}"/>
    <cellStyle name="Header1 33" xfId="16519" xr:uid="{00000000-0005-0000-0000-000084400000}"/>
    <cellStyle name="Header1 34" xfId="16520" xr:uid="{00000000-0005-0000-0000-000085400000}"/>
    <cellStyle name="Header1 35" xfId="16521" xr:uid="{00000000-0005-0000-0000-000086400000}"/>
    <cellStyle name="Header1 36" xfId="16522" xr:uid="{00000000-0005-0000-0000-000087400000}"/>
    <cellStyle name="Header1 37" xfId="16523" xr:uid="{00000000-0005-0000-0000-000088400000}"/>
    <cellStyle name="Header1 38" xfId="16524" xr:uid="{00000000-0005-0000-0000-000089400000}"/>
    <cellStyle name="Header1 4" xfId="16525" xr:uid="{00000000-0005-0000-0000-00008A400000}"/>
    <cellStyle name="Header1 5" xfId="16526" xr:uid="{00000000-0005-0000-0000-00008B400000}"/>
    <cellStyle name="Header1 6" xfId="16527" xr:uid="{00000000-0005-0000-0000-00008C400000}"/>
    <cellStyle name="Header1 7" xfId="16528" xr:uid="{00000000-0005-0000-0000-00008D400000}"/>
    <cellStyle name="Header1 8" xfId="16529" xr:uid="{00000000-0005-0000-0000-00008E400000}"/>
    <cellStyle name="Header1 9" xfId="16530" xr:uid="{00000000-0005-0000-0000-00008F400000}"/>
    <cellStyle name="Header2" xfId="16531" xr:uid="{00000000-0005-0000-0000-000090400000}"/>
    <cellStyle name="Header2 10" xfId="16532" xr:uid="{00000000-0005-0000-0000-000091400000}"/>
    <cellStyle name="Header2 11" xfId="16533" xr:uid="{00000000-0005-0000-0000-000092400000}"/>
    <cellStyle name="Header2 12" xfId="16534" xr:uid="{00000000-0005-0000-0000-000093400000}"/>
    <cellStyle name="Header2 13" xfId="16535" xr:uid="{00000000-0005-0000-0000-000094400000}"/>
    <cellStyle name="Header2 14" xfId="16536" xr:uid="{00000000-0005-0000-0000-000095400000}"/>
    <cellStyle name="Header2 15" xfId="16537" xr:uid="{00000000-0005-0000-0000-000096400000}"/>
    <cellStyle name="Header2 16" xfId="16538" xr:uid="{00000000-0005-0000-0000-000097400000}"/>
    <cellStyle name="Header2 17" xfId="16539" xr:uid="{00000000-0005-0000-0000-000098400000}"/>
    <cellStyle name="Header2 18" xfId="16540" xr:uid="{00000000-0005-0000-0000-000099400000}"/>
    <cellStyle name="Header2 19" xfId="16541" xr:uid="{00000000-0005-0000-0000-00009A400000}"/>
    <cellStyle name="Header2 2" xfId="16542" xr:uid="{00000000-0005-0000-0000-00009B400000}"/>
    <cellStyle name="Header2 20" xfId="16543" xr:uid="{00000000-0005-0000-0000-00009C400000}"/>
    <cellStyle name="Header2 21" xfId="16544" xr:uid="{00000000-0005-0000-0000-00009D400000}"/>
    <cellStyle name="Header2 22" xfId="16545" xr:uid="{00000000-0005-0000-0000-00009E400000}"/>
    <cellStyle name="Header2 23" xfId="16546" xr:uid="{00000000-0005-0000-0000-00009F400000}"/>
    <cellStyle name="Header2 24" xfId="16547" xr:uid="{00000000-0005-0000-0000-0000A0400000}"/>
    <cellStyle name="Header2 25" xfId="16548" xr:uid="{00000000-0005-0000-0000-0000A1400000}"/>
    <cellStyle name="Header2 26" xfId="16549" xr:uid="{00000000-0005-0000-0000-0000A2400000}"/>
    <cellStyle name="Header2 27" xfId="16550" xr:uid="{00000000-0005-0000-0000-0000A3400000}"/>
    <cellStyle name="Header2 28" xfId="16551" xr:uid="{00000000-0005-0000-0000-0000A4400000}"/>
    <cellStyle name="Header2 29" xfId="16552" xr:uid="{00000000-0005-0000-0000-0000A5400000}"/>
    <cellStyle name="Header2 29 2" xfId="16553" xr:uid="{00000000-0005-0000-0000-0000A6400000}"/>
    <cellStyle name="Header2 3" xfId="16554" xr:uid="{00000000-0005-0000-0000-0000A7400000}"/>
    <cellStyle name="Header2 30" xfId="16555" xr:uid="{00000000-0005-0000-0000-0000A8400000}"/>
    <cellStyle name="Header2 31" xfId="16556" xr:uid="{00000000-0005-0000-0000-0000A9400000}"/>
    <cellStyle name="Header2 32" xfId="16557" xr:uid="{00000000-0005-0000-0000-0000AA400000}"/>
    <cellStyle name="Header2 33" xfId="16558" xr:uid="{00000000-0005-0000-0000-0000AB400000}"/>
    <cellStyle name="Header2 34" xfId="16559" xr:uid="{00000000-0005-0000-0000-0000AC400000}"/>
    <cellStyle name="Header2 35" xfId="16560" xr:uid="{00000000-0005-0000-0000-0000AD400000}"/>
    <cellStyle name="Header2 36" xfId="16561" xr:uid="{00000000-0005-0000-0000-0000AE400000}"/>
    <cellStyle name="Header2 37" xfId="16562" xr:uid="{00000000-0005-0000-0000-0000AF400000}"/>
    <cellStyle name="Header2 38" xfId="16563" xr:uid="{00000000-0005-0000-0000-0000B0400000}"/>
    <cellStyle name="Header2 4" xfId="16564" xr:uid="{00000000-0005-0000-0000-0000B1400000}"/>
    <cellStyle name="Header2 5" xfId="16565" xr:uid="{00000000-0005-0000-0000-0000B2400000}"/>
    <cellStyle name="Header2 6" xfId="16566" xr:uid="{00000000-0005-0000-0000-0000B3400000}"/>
    <cellStyle name="Header2 7" xfId="16567" xr:uid="{00000000-0005-0000-0000-0000B4400000}"/>
    <cellStyle name="Header2 8" xfId="16568" xr:uid="{00000000-0005-0000-0000-0000B5400000}"/>
    <cellStyle name="Header2 9" xfId="16569" xr:uid="{00000000-0005-0000-0000-0000B6400000}"/>
    <cellStyle name="Headers" xfId="16570" xr:uid="{00000000-0005-0000-0000-0000B7400000}"/>
    <cellStyle name="Headers 10" xfId="16571" xr:uid="{00000000-0005-0000-0000-0000B8400000}"/>
    <cellStyle name="Headers 11" xfId="16572" xr:uid="{00000000-0005-0000-0000-0000B9400000}"/>
    <cellStyle name="Headers 12" xfId="16573" xr:uid="{00000000-0005-0000-0000-0000BA400000}"/>
    <cellStyle name="Headers 13" xfId="16574" xr:uid="{00000000-0005-0000-0000-0000BB400000}"/>
    <cellStyle name="Headers 14" xfId="16575" xr:uid="{00000000-0005-0000-0000-0000BC400000}"/>
    <cellStyle name="Headers 15" xfId="16576" xr:uid="{00000000-0005-0000-0000-0000BD400000}"/>
    <cellStyle name="Headers 16" xfId="16577" xr:uid="{00000000-0005-0000-0000-0000BE400000}"/>
    <cellStyle name="Headers 17" xfId="16578" xr:uid="{00000000-0005-0000-0000-0000BF400000}"/>
    <cellStyle name="Headers 18" xfId="16579" xr:uid="{00000000-0005-0000-0000-0000C0400000}"/>
    <cellStyle name="Headers 19" xfId="16580" xr:uid="{00000000-0005-0000-0000-0000C1400000}"/>
    <cellStyle name="Headers 2" xfId="16581" xr:uid="{00000000-0005-0000-0000-0000C2400000}"/>
    <cellStyle name="Headers 20" xfId="16582" xr:uid="{00000000-0005-0000-0000-0000C3400000}"/>
    <cellStyle name="Headers 21" xfId="16583" xr:uid="{00000000-0005-0000-0000-0000C4400000}"/>
    <cellStyle name="Headers 21 2" xfId="16584" xr:uid="{00000000-0005-0000-0000-0000C5400000}"/>
    <cellStyle name="Headers 3" xfId="16585" xr:uid="{00000000-0005-0000-0000-0000C6400000}"/>
    <cellStyle name="Headers 4" xfId="16586" xr:uid="{00000000-0005-0000-0000-0000C7400000}"/>
    <cellStyle name="Headers 5" xfId="16587" xr:uid="{00000000-0005-0000-0000-0000C8400000}"/>
    <cellStyle name="Headers 6" xfId="16588" xr:uid="{00000000-0005-0000-0000-0000C9400000}"/>
    <cellStyle name="Headers 7" xfId="16589" xr:uid="{00000000-0005-0000-0000-0000CA400000}"/>
    <cellStyle name="Headers 8" xfId="16590" xr:uid="{00000000-0005-0000-0000-0000CB400000}"/>
    <cellStyle name="Headers 9" xfId="16591" xr:uid="{00000000-0005-0000-0000-0000CC400000}"/>
    <cellStyle name="Headin - Style6" xfId="16592" xr:uid="{00000000-0005-0000-0000-0000CD400000}"/>
    <cellStyle name="Headin - Style6 10" xfId="16593" xr:uid="{00000000-0005-0000-0000-0000CE400000}"/>
    <cellStyle name="Headin - Style6 11" xfId="16594" xr:uid="{00000000-0005-0000-0000-0000CF400000}"/>
    <cellStyle name="Headin - Style6 12" xfId="16595" xr:uid="{00000000-0005-0000-0000-0000D0400000}"/>
    <cellStyle name="Headin - Style6 13" xfId="16596" xr:uid="{00000000-0005-0000-0000-0000D1400000}"/>
    <cellStyle name="Headin - Style6 14" xfId="16597" xr:uid="{00000000-0005-0000-0000-0000D2400000}"/>
    <cellStyle name="Headin - Style6 15" xfId="16598" xr:uid="{00000000-0005-0000-0000-0000D3400000}"/>
    <cellStyle name="Headin - Style6 16" xfId="16599" xr:uid="{00000000-0005-0000-0000-0000D4400000}"/>
    <cellStyle name="Headin - Style6 17" xfId="16600" xr:uid="{00000000-0005-0000-0000-0000D5400000}"/>
    <cellStyle name="Headin - Style6 18" xfId="16601" xr:uid="{00000000-0005-0000-0000-0000D6400000}"/>
    <cellStyle name="Headin - Style6 19" xfId="16602" xr:uid="{00000000-0005-0000-0000-0000D7400000}"/>
    <cellStyle name="Headin - Style6 2" xfId="16603" xr:uid="{00000000-0005-0000-0000-0000D8400000}"/>
    <cellStyle name="Headin - Style6 20" xfId="16604" xr:uid="{00000000-0005-0000-0000-0000D9400000}"/>
    <cellStyle name="Headin - Style6 21" xfId="16605" xr:uid="{00000000-0005-0000-0000-0000DA400000}"/>
    <cellStyle name="Headin - Style6 21 2" xfId="16606" xr:uid="{00000000-0005-0000-0000-0000DB400000}"/>
    <cellStyle name="Headin - Style6 3" xfId="16607" xr:uid="{00000000-0005-0000-0000-0000DC400000}"/>
    <cellStyle name="Headin - Style6 4" xfId="16608" xr:uid="{00000000-0005-0000-0000-0000DD400000}"/>
    <cellStyle name="Headin - Style6 5" xfId="16609" xr:uid="{00000000-0005-0000-0000-0000DE400000}"/>
    <cellStyle name="Headin - Style6 6" xfId="16610" xr:uid="{00000000-0005-0000-0000-0000DF400000}"/>
    <cellStyle name="Headin - Style6 7" xfId="16611" xr:uid="{00000000-0005-0000-0000-0000E0400000}"/>
    <cellStyle name="Headin - Style6 8" xfId="16612" xr:uid="{00000000-0005-0000-0000-0000E1400000}"/>
    <cellStyle name="Headin - Style6 9" xfId="16613" xr:uid="{00000000-0005-0000-0000-0000E2400000}"/>
    <cellStyle name="heading" xfId="16614" xr:uid="{00000000-0005-0000-0000-0000E3400000}"/>
    <cellStyle name="Heading 1" xfId="35690" builtinId="16" customBuiltin="1"/>
    <cellStyle name="Heading 1 10" xfId="16615" xr:uid="{00000000-0005-0000-0000-0000E4400000}"/>
    <cellStyle name="Heading 1 11" xfId="16616" xr:uid="{00000000-0005-0000-0000-0000E5400000}"/>
    <cellStyle name="Heading 1 12" xfId="16617" xr:uid="{00000000-0005-0000-0000-0000E6400000}"/>
    <cellStyle name="Heading 1 13" xfId="16618" xr:uid="{00000000-0005-0000-0000-0000E7400000}"/>
    <cellStyle name="Heading 1 14" xfId="16619" xr:uid="{00000000-0005-0000-0000-0000E8400000}"/>
    <cellStyle name="Heading 1 15" xfId="16620" xr:uid="{00000000-0005-0000-0000-0000E9400000}"/>
    <cellStyle name="Heading 1 16" xfId="16621" xr:uid="{00000000-0005-0000-0000-0000EA400000}"/>
    <cellStyle name="Heading 1 17" xfId="16622" xr:uid="{00000000-0005-0000-0000-0000EB400000}"/>
    <cellStyle name="Heading 1 18" xfId="16623" xr:uid="{00000000-0005-0000-0000-0000EC400000}"/>
    <cellStyle name="Heading 1 19" xfId="16624" xr:uid="{00000000-0005-0000-0000-0000ED400000}"/>
    <cellStyle name="Heading 1 2" xfId="16625" xr:uid="{00000000-0005-0000-0000-0000EE400000}"/>
    <cellStyle name="Heading 1 2 2" xfId="16626" xr:uid="{00000000-0005-0000-0000-0000EF400000}"/>
    <cellStyle name="Heading 1 20" xfId="16627" xr:uid="{00000000-0005-0000-0000-0000F0400000}"/>
    <cellStyle name="Heading 1 21" xfId="16628" xr:uid="{00000000-0005-0000-0000-0000F1400000}"/>
    <cellStyle name="Heading 1 22" xfId="16629" xr:uid="{00000000-0005-0000-0000-0000F2400000}"/>
    <cellStyle name="Heading 1 23" xfId="16630" xr:uid="{00000000-0005-0000-0000-0000F3400000}"/>
    <cellStyle name="Heading 1 23 2" xfId="16631" xr:uid="{00000000-0005-0000-0000-0000F4400000}"/>
    <cellStyle name="Heading 1 24" xfId="16632" xr:uid="{00000000-0005-0000-0000-0000F5400000}"/>
    <cellStyle name="Heading 1 24 2" xfId="16633" xr:uid="{00000000-0005-0000-0000-0000F6400000}"/>
    <cellStyle name="Heading 1 25" xfId="16634" xr:uid="{00000000-0005-0000-0000-0000F7400000}"/>
    <cellStyle name="Heading 1 26" xfId="16635" xr:uid="{00000000-0005-0000-0000-0000F8400000}"/>
    <cellStyle name="Heading 1 27" xfId="16636" xr:uid="{00000000-0005-0000-0000-0000F9400000}"/>
    <cellStyle name="Heading 1 28" xfId="16637" xr:uid="{00000000-0005-0000-0000-0000FA400000}"/>
    <cellStyle name="Heading 1 29" xfId="16638" xr:uid="{00000000-0005-0000-0000-0000FB400000}"/>
    <cellStyle name="Heading 1 29 2" xfId="16639" xr:uid="{00000000-0005-0000-0000-0000FC400000}"/>
    <cellStyle name="Heading 1 3" xfId="16640" xr:uid="{00000000-0005-0000-0000-0000FD400000}"/>
    <cellStyle name="Heading 1 3 2" xfId="16641" xr:uid="{00000000-0005-0000-0000-0000FE400000}"/>
    <cellStyle name="Heading 1 30" xfId="16642" xr:uid="{00000000-0005-0000-0000-0000FF400000}"/>
    <cellStyle name="Heading 1 31" xfId="16643" xr:uid="{00000000-0005-0000-0000-000000410000}"/>
    <cellStyle name="Heading 1 32" xfId="16644" xr:uid="{00000000-0005-0000-0000-000001410000}"/>
    <cellStyle name="Heading 1 33" xfId="16645" xr:uid="{00000000-0005-0000-0000-000002410000}"/>
    <cellStyle name="Heading 1 34" xfId="16646" xr:uid="{00000000-0005-0000-0000-000003410000}"/>
    <cellStyle name="Heading 1 35" xfId="16647" xr:uid="{00000000-0005-0000-0000-000004410000}"/>
    <cellStyle name="Heading 1 36" xfId="16648" xr:uid="{00000000-0005-0000-0000-000005410000}"/>
    <cellStyle name="Heading 1 37" xfId="16649" xr:uid="{00000000-0005-0000-0000-000006410000}"/>
    <cellStyle name="Heading 1 38" xfId="16650" xr:uid="{00000000-0005-0000-0000-000007410000}"/>
    <cellStyle name="Heading 1 4" xfId="16651" xr:uid="{00000000-0005-0000-0000-000008410000}"/>
    <cellStyle name="Heading 1 4 2" xfId="16652" xr:uid="{00000000-0005-0000-0000-000009410000}"/>
    <cellStyle name="Heading 1 5" xfId="16653" xr:uid="{00000000-0005-0000-0000-00000A410000}"/>
    <cellStyle name="Heading 1 5 2" xfId="16654" xr:uid="{00000000-0005-0000-0000-00000B410000}"/>
    <cellStyle name="Heading 1 6" xfId="16655" xr:uid="{00000000-0005-0000-0000-00000C410000}"/>
    <cellStyle name="Heading 1 6 2" xfId="16656" xr:uid="{00000000-0005-0000-0000-00000D410000}"/>
    <cellStyle name="Heading 1 7" xfId="16657" xr:uid="{00000000-0005-0000-0000-00000E410000}"/>
    <cellStyle name="Heading 1 7 2" xfId="16658" xr:uid="{00000000-0005-0000-0000-00000F410000}"/>
    <cellStyle name="Heading 1 8" xfId="16659" xr:uid="{00000000-0005-0000-0000-000010410000}"/>
    <cellStyle name="Heading 1 8 2" xfId="16660" xr:uid="{00000000-0005-0000-0000-000011410000}"/>
    <cellStyle name="Heading 1 9" xfId="16661" xr:uid="{00000000-0005-0000-0000-000012410000}"/>
    <cellStyle name="Heading 10" xfId="16662" xr:uid="{00000000-0005-0000-0000-000013410000}"/>
    <cellStyle name="Heading 11" xfId="16663" xr:uid="{00000000-0005-0000-0000-000014410000}"/>
    <cellStyle name="Heading 12" xfId="16664" xr:uid="{00000000-0005-0000-0000-000015410000}"/>
    <cellStyle name="Heading 13" xfId="16665" xr:uid="{00000000-0005-0000-0000-000016410000}"/>
    <cellStyle name="Heading 14" xfId="16666" xr:uid="{00000000-0005-0000-0000-000017410000}"/>
    <cellStyle name="Heading 15" xfId="16667" xr:uid="{00000000-0005-0000-0000-000018410000}"/>
    <cellStyle name="Heading 16" xfId="16668" xr:uid="{00000000-0005-0000-0000-000019410000}"/>
    <cellStyle name="Heading 17" xfId="16669" xr:uid="{00000000-0005-0000-0000-00001A410000}"/>
    <cellStyle name="Heading 18" xfId="16670" xr:uid="{00000000-0005-0000-0000-00001B410000}"/>
    <cellStyle name="Heading 19" xfId="16671" xr:uid="{00000000-0005-0000-0000-00001C410000}"/>
    <cellStyle name="Heading 2" xfId="35691" builtinId="17" customBuiltin="1"/>
    <cellStyle name="Heading 2 10" xfId="16672" xr:uid="{00000000-0005-0000-0000-00001D410000}"/>
    <cellStyle name="Heading 2 10 2" xfId="16673" xr:uid="{00000000-0005-0000-0000-00001E410000}"/>
    <cellStyle name="Heading 2 11" xfId="16674" xr:uid="{00000000-0005-0000-0000-00001F410000}"/>
    <cellStyle name="Heading 2 12" xfId="16675" xr:uid="{00000000-0005-0000-0000-000020410000}"/>
    <cellStyle name="Heading 2 13" xfId="16676" xr:uid="{00000000-0005-0000-0000-000021410000}"/>
    <cellStyle name="Heading 2 14" xfId="16677" xr:uid="{00000000-0005-0000-0000-000022410000}"/>
    <cellStyle name="Heading 2 15" xfId="16678" xr:uid="{00000000-0005-0000-0000-000023410000}"/>
    <cellStyle name="Heading 2 16" xfId="16679" xr:uid="{00000000-0005-0000-0000-000024410000}"/>
    <cellStyle name="Heading 2 17" xfId="16680" xr:uid="{00000000-0005-0000-0000-000025410000}"/>
    <cellStyle name="Heading 2 18" xfId="16681" xr:uid="{00000000-0005-0000-0000-000026410000}"/>
    <cellStyle name="Heading 2 19" xfId="16682" xr:uid="{00000000-0005-0000-0000-000027410000}"/>
    <cellStyle name="Heading 2 2" xfId="16683" xr:uid="{00000000-0005-0000-0000-000028410000}"/>
    <cellStyle name="Heading 2 2 2" xfId="16684" xr:uid="{00000000-0005-0000-0000-000029410000}"/>
    <cellStyle name="Heading 2 20" xfId="16685" xr:uid="{00000000-0005-0000-0000-00002A410000}"/>
    <cellStyle name="Heading 2 21" xfId="16686" xr:uid="{00000000-0005-0000-0000-00002B410000}"/>
    <cellStyle name="Heading 2 22" xfId="16687" xr:uid="{00000000-0005-0000-0000-00002C410000}"/>
    <cellStyle name="Heading 2 23" xfId="16688" xr:uid="{00000000-0005-0000-0000-00002D410000}"/>
    <cellStyle name="Heading 2 24" xfId="16689" xr:uid="{00000000-0005-0000-0000-00002E410000}"/>
    <cellStyle name="Heading 2 25" xfId="16690" xr:uid="{00000000-0005-0000-0000-00002F410000}"/>
    <cellStyle name="Heading 2 25 2" xfId="16691" xr:uid="{00000000-0005-0000-0000-000030410000}"/>
    <cellStyle name="Heading 2 26" xfId="16692" xr:uid="{00000000-0005-0000-0000-000031410000}"/>
    <cellStyle name="Heading 2 26 2" xfId="16693" xr:uid="{00000000-0005-0000-0000-000032410000}"/>
    <cellStyle name="Heading 2 27" xfId="16694" xr:uid="{00000000-0005-0000-0000-000033410000}"/>
    <cellStyle name="Heading 2 28" xfId="16695" xr:uid="{00000000-0005-0000-0000-000034410000}"/>
    <cellStyle name="Heading 2 29" xfId="16696" xr:uid="{00000000-0005-0000-0000-000035410000}"/>
    <cellStyle name="Heading 2 3" xfId="16697" xr:uid="{00000000-0005-0000-0000-000036410000}"/>
    <cellStyle name="Heading 2 3 2" xfId="16698" xr:uid="{00000000-0005-0000-0000-000037410000}"/>
    <cellStyle name="Heading 2 30" xfId="16699" xr:uid="{00000000-0005-0000-0000-000038410000}"/>
    <cellStyle name="Heading 2 31" xfId="16700" xr:uid="{00000000-0005-0000-0000-000039410000}"/>
    <cellStyle name="Heading 2 31 2" xfId="16701" xr:uid="{00000000-0005-0000-0000-00003A410000}"/>
    <cellStyle name="Heading 2 32" xfId="16702" xr:uid="{00000000-0005-0000-0000-00003B410000}"/>
    <cellStyle name="Heading 2 33" xfId="16703" xr:uid="{00000000-0005-0000-0000-00003C410000}"/>
    <cellStyle name="Heading 2 34" xfId="16704" xr:uid="{00000000-0005-0000-0000-00003D410000}"/>
    <cellStyle name="Heading 2 35" xfId="16705" xr:uid="{00000000-0005-0000-0000-00003E410000}"/>
    <cellStyle name="Heading 2 36" xfId="16706" xr:uid="{00000000-0005-0000-0000-00003F410000}"/>
    <cellStyle name="Heading 2 37" xfId="16707" xr:uid="{00000000-0005-0000-0000-000040410000}"/>
    <cellStyle name="Heading 2 38" xfId="16708" xr:uid="{00000000-0005-0000-0000-000041410000}"/>
    <cellStyle name="Heading 2 39" xfId="16709" xr:uid="{00000000-0005-0000-0000-000042410000}"/>
    <cellStyle name="Heading 2 4" xfId="16710" xr:uid="{00000000-0005-0000-0000-000043410000}"/>
    <cellStyle name="Heading 2 40" xfId="16711" xr:uid="{00000000-0005-0000-0000-000044410000}"/>
    <cellStyle name="Heading 2 5" xfId="16712" xr:uid="{00000000-0005-0000-0000-000045410000}"/>
    <cellStyle name="Heading 2 5 2" xfId="16713" xr:uid="{00000000-0005-0000-0000-000046410000}"/>
    <cellStyle name="Heading 2 6" xfId="16714" xr:uid="{00000000-0005-0000-0000-000047410000}"/>
    <cellStyle name="Heading 2 6 2" xfId="16715" xr:uid="{00000000-0005-0000-0000-000048410000}"/>
    <cellStyle name="Heading 2 7" xfId="16716" xr:uid="{00000000-0005-0000-0000-000049410000}"/>
    <cellStyle name="Heading 2 7 2" xfId="16717" xr:uid="{00000000-0005-0000-0000-00004A410000}"/>
    <cellStyle name="Heading 2 8" xfId="16718" xr:uid="{00000000-0005-0000-0000-00004B410000}"/>
    <cellStyle name="Heading 2 8 2" xfId="16719" xr:uid="{00000000-0005-0000-0000-00004C410000}"/>
    <cellStyle name="Heading 2 9" xfId="16720" xr:uid="{00000000-0005-0000-0000-00004D410000}"/>
    <cellStyle name="Heading 2 9 2" xfId="16721" xr:uid="{00000000-0005-0000-0000-00004E410000}"/>
    <cellStyle name="Heading 20" xfId="16722" xr:uid="{00000000-0005-0000-0000-00004F410000}"/>
    <cellStyle name="Heading 21" xfId="16723" xr:uid="{00000000-0005-0000-0000-000050410000}"/>
    <cellStyle name="Heading 22" xfId="16724" xr:uid="{00000000-0005-0000-0000-000051410000}"/>
    <cellStyle name="Heading 23" xfId="16725" xr:uid="{00000000-0005-0000-0000-000052410000}"/>
    <cellStyle name="Heading 24" xfId="16726" xr:uid="{00000000-0005-0000-0000-000053410000}"/>
    <cellStyle name="Heading 25" xfId="16727" xr:uid="{00000000-0005-0000-0000-000054410000}"/>
    <cellStyle name="Heading 26" xfId="16728" xr:uid="{00000000-0005-0000-0000-000055410000}"/>
    <cellStyle name="Heading 27" xfId="16729" xr:uid="{00000000-0005-0000-0000-000056410000}"/>
    <cellStyle name="Heading 28" xfId="16730" xr:uid="{00000000-0005-0000-0000-000057410000}"/>
    <cellStyle name="Heading 29" xfId="16731" xr:uid="{00000000-0005-0000-0000-000058410000}"/>
    <cellStyle name="Heading 3" xfId="35692" builtinId="18" customBuiltin="1"/>
    <cellStyle name="Heading 3 10" xfId="16732" xr:uid="{00000000-0005-0000-0000-000059410000}"/>
    <cellStyle name="Heading 3 11" xfId="16733" xr:uid="{00000000-0005-0000-0000-00005A410000}"/>
    <cellStyle name="Heading 3 12" xfId="16734" xr:uid="{00000000-0005-0000-0000-00005B410000}"/>
    <cellStyle name="Heading 3 13" xfId="16735" xr:uid="{00000000-0005-0000-0000-00005C410000}"/>
    <cellStyle name="Heading 3 14" xfId="16736" xr:uid="{00000000-0005-0000-0000-00005D410000}"/>
    <cellStyle name="Heading 3 15" xfId="16737" xr:uid="{00000000-0005-0000-0000-00005E410000}"/>
    <cellStyle name="Heading 3 16" xfId="16738" xr:uid="{00000000-0005-0000-0000-00005F410000}"/>
    <cellStyle name="Heading 3 17" xfId="16739" xr:uid="{00000000-0005-0000-0000-000060410000}"/>
    <cellStyle name="Heading 3 18" xfId="16740" xr:uid="{00000000-0005-0000-0000-000061410000}"/>
    <cellStyle name="Heading 3 19" xfId="16741" xr:uid="{00000000-0005-0000-0000-000062410000}"/>
    <cellStyle name="Heading 3 2" xfId="16742" xr:uid="{00000000-0005-0000-0000-000063410000}"/>
    <cellStyle name="Heading 3 2 2" xfId="16743" xr:uid="{00000000-0005-0000-0000-000064410000}"/>
    <cellStyle name="Heading 3 20" xfId="16744" xr:uid="{00000000-0005-0000-0000-000065410000}"/>
    <cellStyle name="Heading 3 21" xfId="16745" xr:uid="{00000000-0005-0000-0000-000066410000}"/>
    <cellStyle name="Heading 3 22" xfId="16746" xr:uid="{00000000-0005-0000-0000-000067410000}"/>
    <cellStyle name="Heading 3 23" xfId="16747" xr:uid="{00000000-0005-0000-0000-000068410000}"/>
    <cellStyle name="Heading 3 24" xfId="16748" xr:uid="{00000000-0005-0000-0000-000069410000}"/>
    <cellStyle name="Heading 3 25" xfId="16749" xr:uid="{00000000-0005-0000-0000-00006A410000}"/>
    <cellStyle name="Heading 3 26" xfId="16750" xr:uid="{00000000-0005-0000-0000-00006B410000}"/>
    <cellStyle name="Heading 3 27" xfId="16751" xr:uid="{00000000-0005-0000-0000-00006C410000}"/>
    <cellStyle name="Heading 3 28" xfId="16752" xr:uid="{00000000-0005-0000-0000-00006D410000}"/>
    <cellStyle name="Heading 3 29" xfId="16753" xr:uid="{00000000-0005-0000-0000-00006E410000}"/>
    <cellStyle name="Heading 3 29 2" xfId="16754" xr:uid="{00000000-0005-0000-0000-00006F410000}"/>
    <cellStyle name="Heading 3 3" xfId="16755" xr:uid="{00000000-0005-0000-0000-000070410000}"/>
    <cellStyle name="Heading 3 30" xfId="16756" xr:uid="{00000000-0005-0000-0000-000071410000}"/>
    <cellStyle name="Heading 3 31" xfId="16757" xr:uid="{00000000-0005-0000-0000-000072410000}"/>
    <cellStyle name="Heading 3 32" xfId="16758" xr:uid="{00000000-0005-0000-0000-000073410000}"/>
    <cellStyle name="Heading 3 33" xfId="16759" xr:uid="{00000000-0005-0000-0000-000074410000}"/>
    <cellStyle name="Heading 3 34" xfId="16760" xr:uid="{00000000-0005-0000-0000-000075410000}"/>
    <cellStyle name="Heading 3 35" xfId="16761" xr:uid="{00000000-0005-0000-0000-000076410000}"/>
    <cellStyle name="Heading 3 36" xfId="16762" xr:uid="{00000000-0005-0000-0000-000077410000}"/>
    <cellStyle name="Heading 3 37" xfId="16763" xr:uid="{00000000-0005-0000-0000-000078410000}"/>
    <cellStyle name="Heading 3 38" xfId="16764" xr:uid="{00000000-0005-0000-0000-000079410000}"/>
    <cellStyle name="Heading 3 4" xfId="16765" xr:uid="{00000000-0005-0000-0000-00007A410000}"/>
    <cellStyle name="Heading 3 5" xfId="16766" xr:uid="{00000000-0005-0000-0000-00007B410000}"/>
    <cellStyle name="Heading 3 6" xfId="16767" xr:uid="{00000000-0005-0000-0000-00007C410000}"/>
    <cellStyle name="Heading 3 7" xfId="16768" xr:uid="{00000000-0005-0000-0000-00007D410000}"/>
    <cellStyle name="Heading 3 8" xfId="16769" xr:uid="{00000000-0005-0000-0000-00007E410000}"/>
    <cellStyle name="Heading 3 9" xfId="16770" xr:uid="{00000000-0005-0000-0000-00007F410000}"/>
    <cellStyle name="Heading 30" xfId="16771" xr:uid="{00000000-0005-0000-0000-000080410000}"/>
    <cellStyle name="Heading 31" xfId="16772" xr:uid="{00000000-0005-0000-0000-000081410000}"/>
    <cellStyle name="Heading 32" xfId="16773" xr:uid="{00000000-0005-0000-0000-000082410000}"/>
    <cellStyle name="Heading 32 2" xfId="16774" xr:uid="{00000000-0005-0000-0000-000083410000}"/>
    <cellStyle name="Heading 33" xfId="16775" xr:uid="{00000000-0005-0000-0000-000084410000}"/>
    <cellStyle name="Heading 34" xfId="16776" xr:uid="{00000000-0005-0000-0000-000085410000}"/>
    <cellStyle name="Heading 35" xfId="16777" xr:uid="{00000000-0005-0000-0000-000086410000}"/>
    <cellStyle name="Heading 36" xfId="16778" xr:uid="{00000000-0005-0000-0000-000087410000}"/>
    <cellStyle name="Heading 37" xfId="16779" xr:uid="{00000000-0005-0000-0000-000088410000}"/>
    <cellStyle name="Heading 38" xfId="16780" xr:uid="{00000000-0005-0000-0000-000089410000}"/>
    <cellStyle name="Heading 39" xfId="16781" xr:uid="{00000000-0005-0000-0000-00008A410000}"/>
    <cellStyle name="Heading 4" xfId="35693" builtinId="19" customBuiltin="1"/>
    <cellStyle name="Heading 4 10" xfId="16782" xr:uid="{00000000-0005-0000-0000-00008B410000}"/>
    <cellStyle name="Heading 4 11" xfId="16783" xr:uid="{00000000-0005-0000-0000-00008C410000}"/>
    <cellStyle name="Heading 4 12" xfId="16784" xr:uid="{00000000-0005-0000-0000-00008D410000}"/>
    <cellStyle name="Heading 4 13" xfId="16785" xr:uid="{00000000-0005-0000-0000-00008E410000}"/>
    <cellStyle name="Heading 4 14" xfId="16786" xr:uid="{00000000-0005-0000-0000-00008F410000}"/>
    <cellStyle name="Heading 4 15" xfId="16787" xr:uid="{00000000-0005-0000-0000-000090410000}"/>
    <cellStyle name="Heading 4 16" xfId="16788" xr:uid="{00000000-0005-0000-0000-000091410000}"/>
    <cellStyle name="Heading 4 17" xfId="16789" xr:uid="{00000000-0005-0000-0000-000092410000}"/>
    <cellStyle name="Heading 4 18" xfId="16790" xr:uid="{00000000-0005-0000-0000-000093410000}"/>
    <cellStyle name="Heading 4 19" xfId="16791" xr:uid="{00000000-0005-0000-0000-000094410000}"/>
    <cellStyle name="Heading 4 2" xfId="16792" xr:uid="{00000000-0005-0000-0000-000095410000}"/>
    <cellStyle name="Heading 4 2 2" xfId="16793" xr:uid="{00000000-0005-0000-0000-000096410000}"/>
    <cellStyle name="Heading 4 20" xfId="16794" xr:uid="{00000000-0005-0000-0000-000097410000}"/>
    <cellStyle name="Heading 4 21" xfId="16795" xr:uid="{00000000-0005-0000-0000-000098410000}"/>
    <cellStyle name="Heading 4 22" xfId="16796" xr:uid="{00000000-0005-0000-0000-000099410000}"/>
    <cellStyle name="Heading 4 23" xfId="16797" xr:uid="{00000000-0005-0000-0000-00009A410000}"/>
    <cellStyle name="Heading 4 24" xfId="16798" xr:uid="{00000000-0005-0000-0000-00009B410000}"/>
    <cellStyle name="Heading 4 25" xfId="16799" xr:uid="{00000000-0005-0000-0000-00009C410000}"/>
    <cellStyle name="Heading 4 26" xfId="16800" xr:uid="{00000000-0005-0000-0000-00009D410000}"/>
    <cellStyle name="Heading 4 27" xfId="16801" xr:uid="{00000000-0005-0000-0000-00009E410000}"/>
    <cellStyle name="Heading 4 28" xfId="16802" xr:uid="{00000000-0005-0000-0000-00009F410000}"/>
    <cellStyle name="Heading 4 29" xfId="16803" xr:uid="{00000000-0005-0000-0000-0000A0410000}"/>
    <cellStyle name="Heading 4 29 2" xfId="16804" xr:uid="{00000000-0005-0000-0000-0000A1410000}"/>
    <cellStyle name="Heading 4 3" xfId="16805" xr:uid="{00000000-0005-0000-0000-0000A2410000}"/>
    <cellStyle name="Heading 4 30" xfId="16806" xr:uid="{00000000-0005-0000-0000-0000A3410000}"/>
    <cellStyle name="Heading 4 31" xfId="16807" xr:uid="{00000000-0005-0000-0000-0000A4410000}"/>
    <cellStyle name="Heading 4 32" xfId="16808" xr:uid="{00000000-0005-0000-0000-0000A5410000}"/>
    <cellStyle name="Heading 4 33" xfId="16809" xr:uid="{00000000-0005-0000-0000-0000A6410000}"/>
    <cellStyle name="Heading 4 34" xfId="16810" xr:uid="{00000000-0005-0000-0000-0000A7410000}"/>
    <cellStyle name="Heading 4 35" xfId="16811" xr:uid="{00000000-0005-0000-0000-0000A8410000}"/>
    <cellStyle name="Heading 4 36" xfId="16812" xr:uid="{00000000-0005-0000-0000-0000A9410000}"/>
    <cellStyle name="Heading 4 37" xfId="16813" xr:uid="{00000000-0005-0000-0000-0000AA410000}"/>
    <cellStyle name="Heading 4 38" xfId="16814" xr:uid="{00000000-0005-0000-0000-0000AB410000}"/>
    <cellStyle name="Heading 4 4" xfId="16815" xr:uid="{00000000-0005-0000-0000-0000AC410000}"/>
    <cellStyle name="Heading 4 5" xfId="16816" xr:uid="{00000000-0005-0000-0000-0000AD410000}"/>
    <cellStyle name="Heading 4 6" xfId="16817" xr:uid="{00000000-0005-0000-0000-0000AE410000}"/>
    <cellStyle name="Heading 4 7" xfId="16818" xr:uid="{00000000-0005-0000-0000-0000AF410000}"/>
    <cellStyle name="Heading 4 8" xfId="16819" xr:uid="{00000000-0005-0000-0000-0000B0410000}"/>
    <cellStyle name="Heading 4 9" xfId="16820" xr:uid="{00000000-0005-0000-0000-0000B1410000}"/>
    <cellStyle name="Heading 40" xfId="16821" xr:uid="{00000000-0005-0000-0000-0000B2410000}"/>
    <cellStyle name="Heading 41" xfId="16822" xr:uid="{00000000-0005-0000-0000-0000B3410000}"/>
    <cellStyle name="Heading 5" xfId="16823" xr:uid="{00000000-0005-0000-0000-0000B4410000}"/>
    <cellStyle name="Heading 6" xfId="16824" xr:uid="{00000000-0005-0000-0000-0000B5410000}"/>
    <cellStyle name="Heading 7" xfId="16825" xr:uid="{00000000-0005-0000-0000-0000B6410000}"/>
    <cellStyle name="Heading 8" xfId="16826" xr:uid="{00000000-0005-0000-0000-0000B7410000}"/>
    <cellStyle name="Heading 9" xfId="16827" xr:uid="{00000000-0005-0000-0000-0000B8410000}"/>
    <cellStyle name="heading info" xfId="16828" xr:uid="{00000000-0005-0000-0000-0000B9410000}"/>
    <cellStyle name="heading info 10" xfId="16829" xr:uid="{00000000-0005-0000-0000-0000BA410000}"/>
    <cellStyle name="heading info 11" xfId="16830" xr:uid="{00000000-0005-0000-0000-0000BB410000}"/>
    <cellStyle name="heading info 12" xfId="16831" xr:uid="{00000000-0005-0000-0000-0000BC410000}"/>
    <cellStyle name="heading info 13" xfId="16832" xr:uid="{00000000-0005-0000-0000-0000BD410000}"/>
    <cellStyle name="heading info 14" xfId="16833" xr:uid="{00000000-0005-0000-0000-0000BE410000}"/>
    <cellStyle name="heading info 15" xfId="16834" xr:uid="{00000000-0005-0000-0000-0000BF410000}"/>
    <cellStyle name="heading info 16" xfId="16835" xr:uid="{00000000-0005-0000-0000-0000C0410000}"/>
    <cellStyle name="heading info 17" xfId="16836" xr:uid="{00000000-0005-0000-0000-0000C1410000}"/>
    <cellStyle name="heading info 18" xfId="16837" xr:uid="{00000000-0005-0000-0000-0000C2410000}"/>
    <cellStyle name="heading info 19" xfId="16838" xr:uid="{00000000-0005-0000-0000-0000C3410000}"/>
    <cellStyle name="heading info 2" xfId="16839" xr:uid="{00000000-0005-0000-0000-0000C4410000}"/>
    <cellStyle name="heading info 2 2" xfId="16840" xr:uid="{00000000-0005-0000-0000-0000C5410000}"/>
    <cellStyle name="heading info 20" xfId="16841" xr:uid="{00000000-0005-0000-0000-0000C6410000}"/>
    <cellStyle name="heading info 21" xfId="16842" xr:uid="{00000000-0005-0000-0000-0000C7410000}"/>
    <cellStyle name="heading info 22" xfId="16843" xr:uid="{00000000-0005-0000-0000-0000C8410000}"/>
    <cellStyle name="heading info 23" xfId="16844" xr:uid="{00000000-0005-0000-0000-0000C9410000}"/>
    <cellStyle name="heading info 23 2" xfId="16845" xr:uid="{00000000-0005-0000-0000-0000CA410000}"/>
    <cellStyle name="heading info 3" xfId="16846" xr:uid="{00000000-0005-0000-0000-0000CB410000}"/>
    <cellStyle name="heading info 3 2" xfId="16847" xr:uid="{00000000-0005-0000-0000-0000CC410000}"/>
    <cellStyle name="heading info 4" xfId="16848" xr:uid="{00000000-0005-0000-0000-0000CD410000}"/>
    <cellStyle name="heading info 5" xfId="16849" xr:uid="{00000000-0005-0000-0000-0000CE410000}"/>
    <cellStyle name="heading info 6" xfId="16850" xr:uid="{00000000-0005-0000-0000-0000CF410000}"/>
    <cellStyle name="heading info 7" xfId="16851" xr:uid="{00000000-0005-0000-0000-0000D0410000}"/>
    <cellStyle name="heading info 8" xfId="16852" xr:uid="{00000000-0005-0000-0000-0000D1410000}"/>
    <cellStyle name="heading info 9" xfId="16853" xr:uid="{00000000-0005-0000-0000-0000D2410000}"/>
    <cellStyle name="Heading Left" xfId="16854" xr:uid="{00000000-0005-0000-0000-0000D3410000}"/>
    <cellStyle name="Heading Left 10" xfId="16855" xr:uid="{00000000-0005-0000-0000-0000D4410000}"/>
    <cellStyle name="Heading Left 11" xfId="16856" xr:uid="{00000000-0005-0000-0000-0000D5410000}"/>
    <cellStyle name="Heading Left 12" xfId="16857" xr:uid="{00000000-0005-0000-0000-0000D6410000}"/>
    <cellStyle name="Heading Left 13" xfId="16858" xr:uid="{00000000-0005-0000-0000-0000D7410000}"/>
    <cellStyle name="Heading Left 14" xfId="16859" xr:uid="{00000000-0005-0000-0000-0000D8410000}"/>
    <cellStyle name="Heading Left 15" xfId="16860" xr:uid="{00000000-0005-0000-0000-0000D9410000}"/>
    <cellStyle name="Heading Left 16" xfId="16861" xr:uid="{00000000-0005-0000-0000-0000DA410000}"/>
    <cellStyle name="Heading Left 17" xfId="16862" xr:uid="{00000000-0005-0000-0000-0000DB410000}"/>
    <cellStyle name="Heading Left 18" xfId="16863" xr:uid="{00000000-0005-0000-0000-0000DC410000}"/>
    <cellStyle name="Heading Left 19" xfId="16864" xr:uid="{00000000-0005-0000-0000-0000DD410000}"/>
    <cellStyle name="Heading Left 2" xfId="16865" xr:uid="{00000000-0005-0000-0000-0000DE410000}"/>
    <cellStyle name="Heading Left 20" xfId="16866" xr:uid="{00000000-0005-0000-0000-0000DF410000}"/>
    <cellStyle name="Heading Left 21" xfId="16867" xr:uid="{00000000-0005-0000-0000-0000E0410000}"/>
    <cellStyle name="Heading Left 21 2" xfId="16868" xr:uid="{00000000-0005-0000-0000-0000E1410000}"/>
    <cellStyle name="Heading Left 3" xfId="16869" xr:uid="{00000000-0005-0000-0000-0000E2410000}"/>
    <cellStyle name="Heading Left 4" xfId="16870" xr:uid="{00000000-0005-0000-0000-0000E3410000}"/>
    <cellStyle name="Heading Left 5" xfId="16871" xr:uid="{00000000-0005-0000-0000-0000E4410000}"/>
    <cellStyle name="Heading Left 6" xfId="16872" xr:uid="{00000000-0005-0000-0000-0000E5410000}"/>
    <cellStyle name="Heading Left 7" xfId="16873" xr:uid="{00000000-0005-0000-0000-0000E6410000}"/>
    <cellStyle name="Heading Left 8" xfId="16874" xr:uid="{00000000-0005-0000-0000-0000E7410000}"/>
    <cellStyle name="Heading Left 9" xfId="16875" xr:uid="{00000000-0005-0000-0000-0000E8410000}"/>
    <cellStyle name="Heading No Underline" xfId="4" xr:uid="{00000000-0005-0000-0000-0000E9410000}"/>
    <cellStyle name="Heading No Underline 10" xfId="16876" xr:uid="{00000000-0005-0000-0000-0000EA410000}"/>
    <cellStyle name="Heading No Underline 11" xfId="16877" xr:uid="{00000000-0005-0000-0000-0000EB410000}"/>
    <cellStyle name="Heading No Underline 12" xfId="16878" xr:uid="{00000000-0005-0000-0000-0000EC410000}"/>
    <cellStyle name="Heading No Underline 13" xfId="16879" xr:uid="{00000000-0005-0000-0000-0000ED410000}"/>
    <cellStyle name="Heading No Underline 14" xfId="16880" xr:uid="{00000000-0005-0000-0000-0000EE410000}"/>
    <cellStyle name="Heading No Underline 15" xfId="16881" xr:uid="{00000000-0005-0000-0000-0000EF410000}"/>
    <cellStyle name="Heading No Underline 16" xfId="16882" xr:uid="{00000000-0005-0000-0000-0000F0410000}"/>
    <cellStyle name="Heading No Underline 17" xfId="16883" xr:uid="{00000000-0005-0000-0000-0000F1410000}"/>
    <cellStyle name="Heading No Underline 18" xfId="16884" xr:uid="{00000000-0005-0000-0000-0000F2410000}"/>
    <cellStyle name="Heading No Underline 19" xfId="16885" xr:uid="{00000000-0005-0000-0000-0000F3410000}"/>
    <cellStyle name="Heading No Underline 2" xfId="16886" xr:uid="{00000000-0005-0000-0000-0000F4410000}"/>
    <cellStyle name="Heading No Underline 20" xfId="16887" xr:uid="{00000000-0005-0000-0000-0000F5410000}"/>
    <cellStyle name="Heading No Underline 21" xfId="16888" xr:uid="{00000000-0005-0000-0000-0000F6410000}"/>
    <cellStyle name="Heading No Underline 22" xfId="16889" xr:uid="{00000000-0005-0000-0000-0000F7410000}"/>
    <cellStyle name="Heading No Underline 23" xfId="16890" xr:uid="{00000000-0005-0000-0000-0000F8410000}"/>
    <cellStyle name="Heading No Underline 24" xfId="16891" xr:uid="{00000000-0005-0000-0000-0000F9410000}"/>
    <cellStyle name="Heading No Underline 25" xfId="16892" xr:uid="{00000000-0005-0000-0000-0000FA410000}"/>
    <cellStyle name="Heading No Underline 26" xfId="16893" xr:uid="{00000000-0005-0000-0000-0000FB410000}"/>
    <cellStyle name="Heading No Underline 27" xfId="16894" xr:uid="{00000000-0005-0000-0000-0000FC410000}"/>
    <cellStyle name="Heading No Underline 28" xfId="16895" xr:uid="{00000000-0005-0000-0000-0000FD410000}"/>
    <cellStyle name="Heading No Underline 29" xfId="16896" xr:uid="{00000000-0005-0000-0000-0000FE410000}"/>
    <cellStyle name="Heading No Underline 3" xfId="16897" xr:uid="{00000000-0005-0000-0000-0000FF410000}"/>
    <cellStyle name="Heading No Underline 30" xfId="16898" xr:uid="{00000000-0005-0000-0000-000000420000}"/>
    <cellStyle name="Heading No Underline 31" xfId="16899" xr:uid="{00000000-0005-0000-0000-000001420000}"/>
    <cellStyle name="Heading No Underline 31 2" xfId="16900" xr:uid="{00000000-0005-0000-0000-000002420000}"/>
    <cellStyle name="Heading No Underline 32" xfId="16901" xr:uid="{00000000-0005-0000-0000-000003420000}"/>
    <cellStyle name="Heading No Underline 33" xfId="16902" xr:uid="{00000000-0005-0000-0000-000004420000}"/>
    <cellStyle name="Heading No Underline 34" xfId="16903" xr:uid="{00000000-0005-0000-0000-000005420000}"/>
    <cellStyle name="Heading No Underline 35" xfId="16904" xr:uid="{00000000-0005-0000-0000-000006420000}"/>
    <cellStyle name="Heading No Underline 36" xfId="16905" xr:uid="{00000000-0005-0000-0000-000007420000}"/>
    <cellStyle name="Heading No Underline 37" xfId="16906" xr:uid="{00000000-0005-0000-0000-000008420000}"/>
    <cellStyle name="Heading No Underline 38" xfId="16907" xr:uid="{00000000-0005-0000-0000-000009420000}"/>
    <cellStyle name="Heading No Underline 39" xfId="16908" xr:uid="{00000000-0005-0000-0000-00000A420000}"/>
    <cellStyle name="Heading No Underline 4" xfId="16909" xr:uid="{00000000-0005-0000-0000-00000B420000}"/>
    <cellStyle name="Heading No Underline 40" xfId="16910" xr:uid="{00000000-0005-0000-0000-00000C420000}"/>
    <cellStyle name="Heading No Underline 41" xfId="16911" xr:uid="{00000000-0005-0000-0000-00000D420000}"/>
    <cellStyle name="Heading No Underline 42" xfId="16912" xr:uid="{00000000-0005-0000-0000-00000E420000}"/>
    <cellStyle name="Heading No Underline 43" xfId="16913" xr:uid="{00000000-0005-0000-0000-00000F420000}"/>
    <cellStyle name="Heading No Underline 44" xfId="16914" xr:uid="{00000000-0005-0000-0000-000010420000}"/>
    <cellStyle name="Heading No Underline 45" xfId="16915" xr:uid="{00000000-0005-0000-0000-000011420000}"/>
    <cellStyle name="Heading No Underline 46" xfId="16916" xr:uid="{00000000-0005-0000-0000-000012420000}"/>
    <cellStyle name="Heading No Underline 5" xfId="16917" xr:uid="{00000000-0005-0000-0000-000013420000}"/>
    <cellStyle name="Heading No Underline 6" xfId="16918" xr:uid="{00000000-0005-0000-0000-000014420000}"/>
    <cellStyle name="Heading No Underline 7" xfId="16919" xr:uid="{00000000-0005-0000-0000-000015420000}"/>
    <cellStyle name="Heading No Underline 8" xfId="16920" xr:uid="{00000000-0005-0000-0000-000016420000}"/>
    <cellStyle name="Heading No Underline 9" xfId="16921" xr:uid="{00000000-0005-0000-0000-000017420000}"/>
    <cellStyle name="Heading Right" xfId="16922" xr:uid="{00000000-0005-0000-0000-000018420000}"/>
    <cellStyle name="Heading Right 10" xfId="16923" xr:uid="{00000000-0005-0000-0000-000019420000}"/>
    <cellStyle name="Heading Right 11" xfId="16924" xr:uid="{00000000-0005-0000-0000-00001A420000}"/>
    <cellStyle name="Heading Right 12" xfId="16925" xr:uid="{00000000-0005-0000-0000-00001B420000}"/>
    <cellStyle name="Heading Right 13" xfId="16926" xr:uid="{00000000-0005-0000-0000-00001C420000}"/>
    <cellStyle name="Heading Right 14" xfId="16927" xr:uid="{00000000-0005-0000-0000-00001D420000}"/>
    <cellStyle name="Heading Right 15" xfId="16928" xr:uid="{00000000-0005-0000-0000-00001E420000}"/>
    <cellStyle name="Heading Right 16" xfId="16929" xr:uid="{00000000-0005-0000-0000-00001F420000}"/>
    <cellStyle name="Heading Right 17" xfId="16930" xr:uid="{00000000-0005-0000-0000-000020420000}"/>
    <cellStyle name="Heading Right 18" xfId="16931" xr:uid="{00000000-0005-0000-0000-000021420000}"/>
    <cellStyle name="Heading Right 19" xfId="16932" xr:uid="{00000000-0005-0000-0000-000022420000}"/>
    <cellStyle name="Heading Right 2" xfId="16933" xr:uid="{00000000-0005-0000-0000-000023420000}"/>
    <cellStyle name="Heading Right 20" xfId="16934" xr:uid="{00000000-0005-0000-0000-000024420000}"/>
    <cellStyle name="Heading Right 21" xfId="16935" xr:uid="{00000000-0005-0000-0000-000025420000}"/>
    <cellStyle name="Heading Right 21 2" xfId="16936" xr:uid="{00000000-0005-0000-0000-000026420000}"/>
    <cellStyle name="Heading Right 3" xfId="16937" xr:uid="{00000000-0005-0000-0000-000027420000}"/>
    <cellStyle name="Heading Right 4" xfId="16938" xr:uid="{00000000-0005-0000-0000-000028420000}"/>
    <cellStyle name="Heading Right 5" xfId="16939" xr:uid="{00000000-0005-0000-0000-000029420000}"/>
    <cellStyle name="Heading Right 6" xfId="16940" xr:uid="{00000000-0005-0000-0000-00002A420000}"/>
    <cellStyle name="Heading Right 7" xfId="16941" xr:uid="{00000000-0005-0000-0000-00002B420000}"/>
    <cellStyle name="Heading Right 8" xfId="16942" xr:uid="{00000000-0005-0000-0000-00002C420000}"/>
    <cellStyle name="Heading Right 9" xfId="16943" xr:uid="{00000000-0005-0000-0000-00002D420000}"/>
    <cellStyle name="Heading With Underline" xfId="6" xr:uid="{00000000-0005-0000-0000-00002E420000}"/>
    <cellStyle name="Heading With Underline 10" xfId="16944" xr:uid="{00000000-0005-0000-0000-00002F420000}"/>
    <cellStyle name="Heading With Underline 11" xfId="16945" xr:uid="{00000000-0005-0000-0000-000030420000}"/>
    <cellStyle name="Heading With Underline 12" xfId="16946" xr:uid="{00000000-0005-0000-0000-000031420000}"/>
    <cellStyle name="Heading With Underline 13" xfId="16947" xr:uid="{00000000-0005-0000-0000-000032420000}"/>
    <cellStyle name="Heading With Underline 14" xfId="16948" xr:uid="{00000000-0005-0000-0000-000033420000}"/>
    <cellStyle name="Heading With Underline 15" xfId="16949" xr:uid="{00000000-0005-0000-0000-000034420000}"/>
    <cellStyle name="Heading With Underline 16" xfId="16950" xr:uid="{00000000-0005-0000-0000-000035420000}"/>
    <cellStyle name="Heading With Underline 17" xfId="16951" xr:uid="{00000000-0005-0000-0000-000036420000}"/>
    <cellStyle name="Heading With Underline 18" xfId="16952" xr:uid="{00000000-0005-0000-0000-000037420000}"/>
    <cellStyle name="Heading With Underline 19" xfId="16953" xr:uid="{00000000-0005-0000-0000-000038420000}"/>
    <cellStyle name="Heading With Underline 2" xfId="16954" xr:uid="{00000000-0005-0000-0000-000039420000}"/>
    <cellStyle name="Heading With Underline 20" xfId="16955" xr:uid="{00000000-0005-0000-0000-00003A420000}"/>
    <cellStyle name="Heading With Underline 21" xfId="16956" xr:uid="{00000000-0005-0000-0000-00003B420000}"/>
    <cellStyle name="Heading With Underline 22" xfId="16957" xr:uid="{00000000-0005-0000-0000-00003C420000}"/>
    <cellStyle name="Heading With Underline 23" xfId="16958" xr:uid="{00000000-0005-0000-0000-00003D420000}"/>
    <cellStyle name="Heading With Underline 24" xfId="16959" xr:uid="{00000000-0005-0000-0000-00003E420000}"/>
    <cellStyle name="Heading With Underline 25" xfId="16960" xr:uid="{00000000-0005-0000-0000-00003F420000}"/>
    <cellStyle name="Heading With Underline 26" xfId="16961" xr:uid="{00000000-0005-0000-0000-000040420000}"/>
    <cellStyle name="Heading With Underline 27" xfId="16962" xr:uid="{00000000-0005-0000-0000-000041420000}"/>
    <cellStyle name="Heading With Underline 28" xfId="16963" xr:uid="{00000000-0005-0000-0000-000042420000}"/>
    <cellStyle name="Heading With Underline 29" xfId="16964" xr:uid="{00000000-0005-0000-0000-000043420000}"/>
    <cellStyle name="Heading With Underline 3" xfId="16965" xr:uid="{00000000-0005-0000-0000-000044420000}"/>
    <cellStyle name="Heading With Underline 30" xfId="16966" xr:uid="{00000000-0005-0000-0000-000045420000}"/>
    <cellStyle name="Heading With Underline 31" xfId="16967" xr:uid="{00000000-0005-0000-0000-000046420000}"/>
    <cellStyle name="Heading With Underline 31 2" xfId="16968" xr:uid="{00000000-0005-0000-0000-000047420000}"/>
    <cellStyle name="Heading With Underline 32" xfId="16969" xr:uid="{00000000-0005-0000-0000-000048420000}"/>
    <cellStyle name="Heading With Underline 33" xfId="16970" xr:uid="{00000000-0005-0000-0000-000049420000}"/>
    <cellStyle name="Heading With Underline 34" xfId="16971" xr:uid="{00000000-0005-0000-0000-00004A420000}"/>
    <cellStyle name="Heading With Underline 35" xfId="16972" xr:uid="{00000000-0005-0000-0000-00004B420000}"/>
    <cellStyle name="Heading With Underline 36" xfId="16973" xr:uid="{00000000-0005-0000-0000-00004C420000}"/>
    <cellStyle name="Heading With Underline 37" xfId="16974" xr:uid="{00000000-0005-0000-0000-00004D420000}"/>
    <cellStyle name="Heading With Underline 38" xfId="16975" xr:uid="{00000000-0005-0000-0000-00004E420000}"/>
    <cellStyle name="Heading With Underline 39" xfId="16976" xr:uid="{00000000-0005-0000-0000-00004F420000}"/>
    <cellStyle name="Heading With Underline 4" xfId="16977" xr:uid="{00000000-0005-0000-0000-000050420000}"/>
    <cellStyle name="Heading With Underline 40" xfId="16978" xr:uid="{00000000-0005-0000-0000-000051420000}"/>
    <cellStyle name="Heading With Underline 41" xfId="16979" xr:uid="{00000000-0005-0000-0000-000052420000}"/>
    <cellStyle name="Heading With Underline 42" xfId="16980" xr:uid="{00000000-0005-0000-0000-000053420000}"/>
    <cellStyle name="Heading With Underline 43" xfId="16981" xr:uid="{00000000-0005-0000-0000-000054420000}"/>
    <cellStyle name="Heading With Underline 44" xfId="16982" xr:uid="{00000000-0005-0000-0000-000055420000}"/>
    <cellStyle name="Heading With Underline 45" xfId="16983" xr:uid="{00000000-0005-0000-0000-000056420000}"/>
    <cellStyle name="Heading With Underline 46" xfId="16984" xr:uid="{00000000-0005-0000-0000-000057420000}"/>
    <cellStyle name="Heading With Underline 5" xfId="16985" xr:uid="{00000000-0005-0000-0000-000058420000}"/>
    <cellStyle name="Heading With Underline 6" xfId="16986" xr:uid="{00000000-0005-0000-0000-000059420000}"/>
    <cellStyle name="Heading With Underline 7" xfId="16987" xr:uid="{00000000-0005-0000-0000-00005A420000}"/>
    <cellStyle name="Heading With Underline 8" xfId="16988" xr:uid="{00000000-0005-0000-0000-00005B420000}"/>
    <cellStyle name="Heading With Underline 9" xfId="16989" xr:uid="{00000000-0005-0000-0000-00005C420000}"/>
    <cellStyle name="HEADING1" xfId="16990" xr:uid="{00000000-0005-0000-0000-00005D420000}"/>
    <cellStyle name="HEADING1 10" xfId="16991" xr:uid="{00000000-0005-0000-0000-00005E420000}"/>
    <cellStyle name="HEADING1 10 2" xfId="16992" xr:uid="{00000000-0005-0000-0000-00005F420000}"/>
    <cellStyle name="HEADING1 11" xfId="16993" xr:uid="{00000000-0005-0000-0000-000060420000}"/>
    <cellStyle name="HEADING1 12" xfId="16994" xr:uid="{00000000-0005-0000-0000-000061420000}"/>
    <cellStyle name="HEADING1 13" xfId="16995" xr:uid="{00000000-0005-0000-0000-000062420000}"/>
    <cellStyle name="HEADING1 14" xfId="16996" xr:uid="{00000000-0005-0000-0000-000063420000}"/>
    <cellStyle name="HEADING1 15" xfId="16997" xr:uid="{00000000-0005-0000-0000-000064420000}"/>
    <cellStyle name="HEADING1 16" xfId="16998" xr:uid="{00000000-0005-0000-0000-000065420000}"/>
    <cellStyle name="HEADING1 17" xfId="16999" xr:uid="{00000000-0005-0000-0000-000066420000}"/>
    <cellStyle name="HEADING1 18" xfId="17000" xr:uid="{00000000-0005-0000-0000-000067420000}"/>
    <cellStyle name="HEADING1 19" xfId="17001" xr:uid="{00000000-0005-0000-0000-000068420000}"/>
    <cellStyle name="HEADING1 2" xfId="17002" xr:uid="{00000000-0005-0000-0000-000069420000}"/>
    <cellStyle name="HEADING1 20" xfId="17003" xr:uid="{00000000-0005-0000-0000-00006A420000}"/>
    <cellStyle name="HEADING1 21" xfId="17004" xr:uid="{00000000-0005-0000-0000-00006B420000}"/>
    <cellStyle name="HEADING1 22" xfId="17005" xr:uid="{00000000-0005-0000-0000-00006C420000}"/>
    <cellStyle name="HEADING1 23" xfId="17006" xr:uid="{00000000-0005-0000-0000-00006D420000}"/>
    <cellStyle name="HEADING1 24" xfId="17007" xr:uid="{00000000-0005-0000-0000-00006E420000}"/>
    <cellStyle name="HEADING1 25" xfId="17008" xr:uid="{00000000-0005-0000-0000-00006F420000}"/>
    <cellStyle name="HEADING1 25 2" xfId="17009" xr:uid="{00000000-0005-0000-0000-000070420000}"/>
    <cellStyle name="HEADING1 26" xfId="17010" xr:uid="{00000000-0005-0000-0000-000071420000}"/>
    <cellStyle name="HEADING1 26 2" xfId="17011" xr:uid="{00000000-0005-0000-0000-000072420000}"/>
    <cellStyle name="HEADING1 27" xfId="17012" xr:uid="{00000000-0005-0000-0000-000073420000}"/>
    <cellStyle name="HEADING1 28" xfId="17013" xr:uid="{00000000-0005-0000-0000-000074420000}"/>
    <cellStyle name="HEADING1 29" xfId="17014" xr:uid="{00000000-0005-0000-0000-000075420000}"/>
    <cellStyle name="HEADING1 3" xfId="17015" xr:uid="{00000000-0005-0000-0000-000076420000}"/>
    <cellStyle name="HEADING1 3 2" xfId="17016" xr:uid="{00000000-0005-0000-0000-000077420000}"/>
    <cellStyle name="HEADING1 30" xfId="17017" xr:uid="{00000000-0005-0000-0000-000078420000}"/>
    <cellStyle name="HEADING1 31" xfId="17018" xr:uid="{00000000-0005-0000-0000-000079420000}"/>
    <cellStyle name="HEADING1 31 2" xfId="17019" xr:uid="{00000000-0005-0000-0000-00007A420000}"/>
    <cellStyle name="HEADING1 32" xfId="17020" xr:uid="{00000000-0005-0000-0000-00007B420000}"/>
    <cellStyle name="HEADING1 33" xfId="17021" xr:uid="{00000000-0005-0000-0000-00007C420000}"/>
    <cellStyle name="HEADING1 34" xfId="17022" xr:uid="{00000000-0005-0000-0000-00007D420000}"/>
    <cellStyle name="HEADING1 35" xfId="17023" xr:uid="{00000000-0005-0000-0000-00007E420000}"/>
    <cellStyle name="HEADING1 36" xfId="17024" xr:uid="{00000000-0005-0000-0000-00007F420000}"/>
    <cellStyle name="HEADING1 37" xfId="17025" xr:uid="{00000000-0005-0000-0000-000080420000}"/>
    <cellStyle name="HEADING1 38" xfId="17026" xr:uid="{00000000-0005-0000-0000-000081420000}"/>
    <cellStyle name="HEADING1 39" xfId="17027" xr:uid="{00000000-0005-0000-0000-000082420000}"/>
    <cellStyle name="HEADING1 4" xfId="17028" xr:uid="{00000000-0005-0000-0000-000083420000}"/>
    <cellStyle name="HEADING1 4 2" xfId="17029" xr:uid="{00000000-0005-0000-0000-000084420000}"/>
    <cellStyle name="HEADING1 40" xfId="17030" xr:uid="{00000000-0005-0000-0000-000085420000}"/>
    <cellStyle name="HEADING1 41" xfId="17031" xr:uid="{00000000-0005-0000-0000-000086420000}"/>
    <cellStyle name="HEADING1 42" xfId="17032" xr:uid="{00000000-0005-0000-0000-000087420000}"/>
    <cellStyle name="HEADING1 43" xfId="17033" xr:uid="{00000000-0005-0000-0000-000088420000}"/>
    <cellStyle name="HEADING1 44" xfId="17034" xr:uid="{00000000-0005-0000-0000-000089420000}"/>
    <cellStyle name="HEADING1 45" xfId="17035" xr:uid="{00000000-0005-0000-0000-00008A420000}"/>
    <cellStyle name="HEADING1 46" xfId="17036" xr:uid="{00000000-0005-0000-0000-00008B420000}"/>
    <cellStyle name="HEADING1 5" xfId="17037" xr:uid="{00000000-0005-0000-0000-00008C420000}"/>
    <cellStyle name="HEADING1 5 2" xfId="17038" xr:uid="{00000000-0005-0000-0000-00008D420000}"/>
    <cellStyle name="HEADING1 6" xfId="17039" xr:uid="{00000000-0005-0000-0000-00008E420000}"/>
    <cellStyle name="HEADING1 6 2" xfId="17040" xr:uid="{00000000-0005-0000-0000-00008F420000}"/>
    <cellStyle name="HEADING1 7" xfId="17041" xr:uid="{00000000-0005-0000-0000-000090420000}"/>
    <cellStyle name="HEADING1 7 2" xfId="17042" xr:uid="{00000000-0005-0000-0000-000091420000}"/>
    <cellStyle name="HEADING1 8" xfId="17043" xr:uid="{00000000-0005-0000-0000-000092420000}"/>
    <cellStyle name="HEADING1 9" xfId="17044" xr:uid="{00000000-0005-0000-0000-000093420000}"/>
    <cellStyle name="HEADING1 9 2" xfId="17045" xr:uid="{00000000-0005-0000-0000-000094420000}"/>
    <cellStyle name="HEADING2" xfId="17046" xr:uid="{00000000-0005-0000-0000-000095420000}"/>
    <cellStyle name="HEADING2 10" xfId="17047" xr:uid="{00000000-0005-0000-0000-000096420000}"/>
    <cellStyle name="HEADING2 11" xfId="17048" xr:uid="{00000000-0005-0000-0000-000097420000}"/>
    <cellStyle name="HEADING2 11 2" xfId="17049" xr:uid="{00000000-0005-0000-0000-000098420000}"/>
    <cellStyle name="HEADING2 12" xfId="17050" xr:uid="{00000000-0005-0000-0000-000099420000}"/>
    <cellStyle name="HEADING2 12 2" xfId="17051" xr:uid="{00000000-0005-0000-0000-00009A420000}"/>
    <cellStyle name="HEADING2 13" xfId="17052" xr:uid="{00000000-0005-0000-0000-00009B420000}"/>
    <cellStyle name="HEADING2 14" xfId="17053" xr:uid="{00000000-0005-0000-0000-00009C420000}"/>
    <cellStyle name="HEADING2 15" xfId="17054" xr:uid="{00000000-0005-0000-0000-00009D420000}"/>
    <cellStyle name="HEADING2 16" xfId="17055" xr:uid="{00000000-0005-0000-0000-00009E420000}"/>
    <cellStyle name="HEADING2 17" xfId="17056" xr:uid="{00000000-0005-0000-0000-00009F420000}"/>
    <cellStyle name="HEADING2 18" xfId="17057" xr:uid="{00000000-0005-0000-0000-0000A0420000}"/>
    <cellStyle name="HEADING2 19" xfId="17058" xr:uid="{00000000-0005-0000-0000-0000A1420000}"/>
    <cellStyle name="HEADING2 2" xfId="17059" xr:uid="{00000000-0005-0000-0000-0000A2420000}"/>
    <cellStyle name="HEADING2 2 2" xfId="17060" xr:uid="{00000000-0005-0000-0000-0000A3420000}"/>
    <cellStyle name="HEADING2 20" xfId="17061" xr:uid="{00000000-0005-0000-0000-0000A4420000}"/>
    <cellStyle name="HEADING2 21" xfId="17062" xr:uid="{00000000-0005-0000-0000-0000A5420000}"/>
    <cellStyle name="HEADING2 22" xfId="17063" xr:uid="{00000000-0005-0000-0000-0000A6420000}"/>
    <cellStyle name="HEADING2 23" xfId="17064" xr:uid="{00000000-0005-0000-0000-0000A7420000}"/>
    <cellStyle name="HEADING2 24" xfId="17065" xr:uid="{00000000-0005-0000-0000-0000A8420000}"/>
    <cellStyle name="HEADING2 25" xfId="17066" xr:uid="{00000000-0005-0000-0000-0000A9420000}"/>
    <cellStyle name="HEADING2 26" xfId="17067" xr:uid="{00000000-0005-0000-0000-0000AA420000}"/>
    <cellStyle name="HEADING2 27" xfId="17068" xr:uid="{00000000-0005-0000-0000-0000AB420000}"/>
    <cellStyle name="HEADING2 27 2" xfId="17069" xr:uid="{00000000-0005-0000-0000-0000AC420000}"/>
    <cellStyle name="HEADING2 28" xfId="17070" xr:uid="{00000000-0005-0000-0000-0000AD420000}"/>
    <cellStyle name="HEADING2 28 2" xfId="17071" xr:uid="{00000000-0005-0000-0000-0000AE420000}"/>
    <cellStyle name="HEADING2 29" xfId="17072" xr:uid="{00000000-0005-0000-0000-0000AF420000}"/>
    <cellStyle name="HEADING2 3" xfId="17073" xr:uid="{00000000-0005-0000-0000-0000B0420000}"/>
    <cellStyle name="HEADING2 3 2" xfId="17074" xr:uid="{00000000-0005-0000-0000-0000B1420000}"/>
    <cellStyle name="HEADING2 30" xfId="17075" xr:uid="{00000000-0005-0000-0000-0000B2420000}"/>
    <cellStyle name="HEADING2 31" xfId="17076" xr:uid="{00000000-0005-0000-0000-0000B3420000}"/>
    <cellStyle name="HEADING2 32" xfId="17077" xr:uid="{00000000-0005-0000-0000-0000B4420000}"/>
    <cellStyle name="HEADING2 33" xfId="17078" xr:uid="{00000000-0005-0000-0000-0000B5420000}"/>
    <cellStyle name="HEADING2 33 2" xfId="17079" xr:uid="{00000000-0005-0000-0000-0000B6420000}"/>
    <cellStyle name="HEADING2 34" xfId="17080" xr:uid="{00000000-0005-0000-0000-0000B7420000}"/>
    <cellStyle name="HEADING2 35" xfId="17081" xr:uid="{00000000-0005-0000-0000-0000B8420000}"/>
    <cellStyle name="HEADING2 36" xfId="17082" xr:uid="{00000000-0005-0000-0000-0000B9420000}"/>
    <cellStyle name="HEADING2 37" xfId="17083" xr:uid="{00000000-0005-0000-0000-0000BA420000}"/>
    <cellStyle name="HEADING2 38" xfId="17084" xr:uid="{00000000-0005-0000-0000-0000BB420000}"/>
    <cellStyle name="HEADING2 39" xfId="17085" xr:uid="{00000000-0005-0000-0000-0000BC420000}"/>
    <cellStyle name="HEADING2 4" xfId="17086" xr:uid="{00000000-0005-0000-0000-0000BD420000}"/>
    <cellStyle name="HEADING2 40" xfId="17087" xr:uid="{00000000-0005-0000-0000-0000BE420000}"/>
    <cellStyle name="HEADING2 41" xfId="17088" xr:uid="{00000000-0005-0000-0000-0000BF420000}"/>
    <cellStyle name="HEADING2 42" xfId="17089" xr:uid="{00000000-0005-0000-0000-0000C0420000}"/>
    <cellStyle name="HEADING2 43" xfId="17090" xr:uid="{00000000-0005-0000-0000-0000C1420000}"/>
    <cellStyle name="HEADING2 44" xfId="17091" xr:uid="{00000000-0005-0000-0000-0000C2420000}"/>
    <cellStyle name="HEADING2 45" xfId="17092" xr:uid="{00000000-0005-0000-0000-0000C3420000}"/>
    <cellStyle name="HEADING2 46" xfId="17093" xr:uid="{00000000-0005-0000-0000-0000C4420000}"/>
    <cellStyle name="HEADING2 47" xfId="17094" xr:uid="{00000000-0005-0000-0000-0000C5420000}"/>
    <cellStyle name="HEADING2 48" xfId="17095" xr:uid="{00000000-0005-0000-0000-0000C6420000}"/>
    <cellStyle name="HEADING2 5" xfId="17096" xr:uid="{00000000-0005-0000-0000-0000C7420000}"/>
    <cellStyle name="HEADING2 5 2" xfId="17097" xr:uid="{00000000-0005-0000-0000-0000C8420000}"/>
    <cellStyle name="HEADING2 6" xfId="17098" xr:uid="{00000000-0005-0000-0000-0000C9420000}"/>
    <cellStyle name="HEADING2 6 2" xfId="17099" xr:uid="{00000000-0005-0000-0000-0000CA420000}"/>
    <cellStyle name="HEADING2 7" xfId="17100" xr:uid="{00000000-0005-0000-0000-0000CB420000}"/>
    <cellStyle name="HEADING2 7 2" xfId="17101" xr:uid="{00000000-0005-0000-0000-0000CC420000}"/>
    <cellStyle name="HEADING2 8" xfId="17102" xr:uid="{00000000-0005-0000-0000-0000CD420000}"/>
    <cellStyle name="HEADING2 8 2" xfId="17103" xr:uid="{00000000-0005-0000-0000-0000CE420000}"/>
    <cellStyle name="HEADING2 9" xfId="17104" xr:uid="{00000000-0005-0000-0000-0000CF420000}"/>
    <cellStyle name="HEADING2 9 2" xfId="17105" xr:uid="{00000000-0005-0000-0000-0000D0420000}"/>
    <cellStyle name="HeadingS" xfId="17106" xr:uid="{00000000-0005-0000-0000-0000D1420000}"/>
    <cellStyle name="HeadingS 10" xfId="17107" xr:uid="{00000000-0005-0000-0000-0000D2420000}"/>
    <cellStyle name="HeadingS 11" xfId="17108" xr:uid="{00000000-0005-0000-0000-0000D3420000}"/>
    <cellStyle name="HeadingS 12" xfId="17109" xr:uid="{00000000-0005-0000-0000-0000D4420000}"/>
    <cellStyle name="HeadingS 13" xfId="17110" xr:uid="{00000000-0005-0000-0000-0000D5420000}"/>
    <cellStyle name="HeadingS 14" xfId="17111" xr:uid="{00000000-0005-0000-0000-0000D6420000}"/>
    <cellStyle name="HeadingS 15" xfId="17112" xr:uid="{00000000-0005-0000-0000-0000D7420000}"/>
    <cellStyle name="HeadingS 16" xfId="17113" xr:uid="{00000000-0005-0000-0000-0000D8420000}"/>
    <cellStyle name="HeadingS 17" xfId="17114" xr:uid="{00000000-0005-0000-0000-0000D9420000}"/>
    <cellStyle name="HeadingS 18" xfId="17115" xr:uid="{00000000-0005-0000-0000-0000DA420000}"/>
    <cellStyle name="HeadingS 19" xfId="17116" xr:uid="{00000000-0005-0000-0000-0000DB420000}"/>
    <cellStyle name="HeadingS 2" xfId="17117" xr:uid="{00000000-0005-0000-0000-0000DC420000}"/>
    <cellStyle name="HeadingS 20" xfId="17118" xr:uid="{00000000-0005-0000-0000-0000DD420000}"/>
    <cellStyle name="HeadingS 21" xfId="17119" xr:uid="{00000000-0005-0000-0000-0000DE420000}"/>
    <cellStyle name="HeadingS 21 2" xfId="17120" xr:uid="{00000000-0005-0000-0000-0000DF420000}"/>
    <cellStyle name="HeadingS 3" xfId="17121" xr:uid="{00000000-0005-0000-0000-0000E0420000}"/>
    <cellStyle name="HeadingS 4" xfId="17122" xr:uid="{00000000-0005-0000-0000-0000E1420000}"/>
    <cellStyle name="HeadingS 5" xfId="17123" xr:uid="{00000000-0005-0000-0000-0000E2420000}"/>
    <cellStyle name="HeadingS 6" xfId="17124" xr:uid="{00000000-0005-0000-0000-0000E3420000}"/>
    <cellStyle name="HeadingS 7" xfId="17125" xr:uid="{00000000-0005-0000-0000-0000E4420000}"/>
    <cellStyle name="HeadingS 8" xfId="17126" xr:uid="{00000000-0005-0000-0000-0000E5420000}"/>
    <cellStyle name="HeadingS 9" xfId="17127" xr:uid="{00000000-0005-0000-0000-0000E6420000}"/>
    <cellStyle name="HEADINGSTOP" xfId="17128" xr:uid="{00000000-0005-0000-0000-0000E7420000}"/>
    <cellStyle name="HEADINGSTOP 10" xfId="17129" xr:uid="{00000000-0005-0000-0000-0000E8420000}"/>
    <cellStyle name="HEADINGSTOP 11" xfId="17130" xr:uid="{00000000-0005-0000-0000-0000E9420000}"/>
    <cellStyle name="HEADINGSTOP 12" xfId="17131" xr:uid="{00000000-0005-0000-0000-0000EA420000}"/>
    <cellStyle name="HEADINGSTOP 13" xfId="17132" xr:uid="{00000000-0005-0000-0000-0000EB420000}"/>
    <cellStyle name="HEADINGSTOP 14" xfId="17133" xr:uid="{00000000-0005-0000-0000-0000EC420000}"/>
    <cellStyle name="HEADINGSTOP 15" xfId="17134" xr:uid="{00000000-0005-0000-0000-0000ED420000}"/>
    <cellStyle name="HEADINGSTOP 16" xfId="17135" xr:uid="{00000000-0005-0000-0000-0000EE420000}"/>
    <cellStyle name="HEADINGSTOP 17" xfId="17136" xr:uid="{00000000-0005-0000-0000-0000EF420000}"/>
    <cellStyle name="HEADINGSTOP 18" xfId="17137" xr:uid="{00000000-0005-0000-0000-0000F0420000}"/>
    <cellStyle name="HEADINGSTOP 19" xfId="17138" xr:uid="{00000000-0005-0000-0000-0000F1420000}"/>
    <cellStyle name="HEADINGSTOP 2" xfId="17139" xr:uid="{00000000-0005-0000-0000-0000F2420000}"/>
    <cellStyle name="HEADINGSTOP 20" xfId="17140" xr:uid="{00000000-0005-0000-0000-0000F3420000}"/>
    <cellStyle name="HEADINGSTOP 21" xfId="17141" xr:uid="{00000000-0005-0000-0000-0000F4420000}"/>
    <cellStyle name="HEADINGSTOP 21 2" xfId="17142" xr:uid="{00000000-0005-0000-0000-0000F5420000}"/>
    <cellStyle name="HEADINGSTOP 3" xfId="17143" xr:uid="{00000000-0005-0000-0000-0000F6420000}"/>
    <cellStyle name="HEADINGSTOP 4" xfId="17144" xr:uid="{00000000-0005-0000-0000-0000F7420000}"/>
    <cellStyle name="HEADINGSTOP 5" xfId="17145" xr:uid="{00000000-0005-0000-0000-0000F8420000}"/>
    <cellStyle name="HEADINGSTOP 6" xfId="17146" xr:uid="{00000000-0005-0000-0000-0000F9420000}"/>
    <cellStyle name="HEADINGSTOP 7" xfId="17147" xr:uid="{00000000-0005-0000-0000-0000FA420000}"/>
    <cellStyle name="HEADINGSTOP 8" xfId="17148" xr:uid="{00000000-0005-0000-0000-0000FB420000}"/>
    <cellStyle name="HEADINGSTOP 9" xfId="17149" xr:uid="{00000000-0005-0000-0000-0000FC420000}"/>
    <cellStyle name="Hed Side" xfId="17150" xr:uid="{00000000-0005-0000-0000-0000FD420000}"/>
    <cellStyle name="Hed Side 10" xfId="17151" xr:uid="{00000000-0005-0000-0000-0000FE420000}"/>
    <cellStyle name="Hed Side 11" xfId="17152" xr:uid="{00000000-0005-0000-0000-0000FF420000}"/>
    <cellStyle name="Hed Side 12" xfId="17153" xr:uid="{00000000-0005-0000-0000-000000430000}"/>
    <cellStyle name="Hed Side 13" xfId="17154" xr:uid="{00000000-0005-0000-0000-000001430000}"/>
    <cellStyle name="Hed Side 14" xfId="17155" xr:uid="{00000000-0005-0000-0000-000002430000}"/>
    <cellStyle name="Hed Side 15" xfId="17156" xr:uid="{00000000-0005-0000-0000-000003430000}"/>
    <cellStyle name="Hed Side 16" xfId="17157" xr:uid="{00000000-0005-0000-0000-000004430000}"/>
    <cellStyle name="Hed Side 17" xfId="17158" xr:uid="{00000000-0005-0000-0000-000005430000}"/>
    <cellStyle name="Hed Side 18" xfId="17159" xr:uid="{00000000-0005-0000-0000-000006430000}"/>
    <cellStyle name="Hed Side 19" xfId="17160" xr:uid="{00000000-0005-0000-0000-000007430000}"/>
    <cellStyle name="Hed Side 2" xfId="17161" xr:uid="{00000000-0005-0000-0000-000008430000}"/>
    <cellStyle name="Hed Side 20" xfId="17162" xr:uid="{00000000-0005-0000-0000-000009430000}"/>
    <cellStyle name="Hed Side 21" xfId="17163" xr:uid="{00000000-0005-0000-0000-00000A430000}"/>
    <cellStyle name="Hed Side 21 2" xfId="17164" xr:uid="{00000000-0005-0000-0000-00000B430000}"/>
    <cellStyle name="Hed Side 3" xfId="17165" xr:uid="{00000000-0005-0000-0000-00000C430000}"/>
    <cellStyle name="Hed Side 4" xfId="17166" xr:uid="{00000000-0005-0000-0000-00000D430000}"/>
    <cellStyle name="Hed Side 5" xfId="17167" xr:uid="{00000000-0005-0000-0000-00000E430000}"/>
    <cellStyle name="Hed Side 6" xfId="17168" xr:uid="{00000000-0005-0000-0000-00000F430000}"/>
    <cellStyle name="Hed Side 7" xfId="17169" xr:uid="{00000000-0005-0000-0000-000010430000}"/>
    <cellStyle name="Hed Side 8" xfId="17170" xr:uid="{00000000-0005-0000-0000-000011430000}"/>
    <cellStyle name="Hed Side 9" xfId="17171" xr:uid="{00000000-0005-0000-0000-000012430000}"/>
    <cellStyle name="Hed Top" xfId="17172" xr:uid="{00000000-0005-0000-0000-000013430000}"/>
    <cellStyle name="Hed Top - SECTION" xfId="17173" xr:uid="{00000000-0005-0000-0000-000014430000}"/>
    <cellStyle name="Hed Top - SECTION 10" xfId="17174" xr:uid="{00000000-0005-0000-0000-000015430000}"/>
    <cellStyle name="Hed Top - SECTION 11" xfId="17175" xr:uid="{00000000-0005-0000-0000-000016430000}"/>
    <cellStyle name="Hed Top - SECTION 12" xfId="17176" xr:uid="{00000000-0005-0000-0000-000017430000}"/>
    <cellStyle name="Hed Top - SECTION 13" xfId="17177" xr:uid="{00000000-0005-0000-0000-000018430000}"/>
    <cellStyle name="Hed Top - SECTION 14" xfId="17178" xr:uid="{00000000-0005-0000-0000-000019430000}"/>
    <cellStyle name="Hed Top - SECTION 15" xfId="17179" xr:uid="{00000000-0005-0000-0000-00001A430000}"/>
    <cellStyle name="Hed Top - SECTION 16" xfId="17180" xr:uid="{00000000-0005-0000-0000-00001B430000}"/>
    <cellStyle name="Hed Top - SECTION 17" xfId="17181" xr:uid="{00000000-0005-0000-0000-00001C430000}"/>
    <cellStyle name="Hed Top - SECTION 18" xfId="17182" xr:uid="{00000000-0005-0000-0000-00001D430000}"/>
    <cellStyle name="Hed Top - SECTION 19" xfId="17183" xr:uid="{00000000-0005-0000-0000-00001E430000}"/>
    <cellStyle name="Hed Top - SECTION 2" xfId="17184" xr:uid="{00000000-0005-0000-0000-00001F430000}"/>
    <cellStyle name="Hed Top - SECTION 20" xfId="17185" xr:uid="{00000000-0005-0000-0000-000020430000}"/>
    <cellStyle name="Hed Top - SECTION 21" xfId="17186" xr:uid="{00000000-0005-0000-0000-000021430000}"/>
    <cellStyle name="Hed Top - SECTION 21 2" xfId="17187" xr:uid="{00000000-0005-0000-0000-000022430000}"/>
    <cellStyle name="Hed Top - SECTION 3" xfId="17188" xr:uid="{00000000-0005-0000-0000-000023430000}"/>
    <cellStyle name="Hed Top - SECTION 4" xfId="17189" xr:uid="{00000000-0005-0000-0000-000024430000}"/>
    <cellStyle name="Hed Top - SECTION 5" xfId="17190" xr:uid="{00000000-0005-0000-0000-000025430000}"/>
    <cellStyle name="Hed Top - SECTION 6" xfId="17191" xr:uid="{00000000-0005-0000-0000-000026430000}"/>
    <cellStyle name="Hed Top - SECTION 7" xfId="17192" xr:uid="{00000000-0005-0000-0000-000027430000}"/>
    <cellStyle name="Hed Top - SECTION 8" xfId="17193" xr:uid="{00000000-0005-0000-0000-000028430000}"/>
    <cellStyle name="Hed Top - SECTION 9" xfId="17194" xr:uid="{00000000-0005-0000-0000-000029430000}"/>
    <cellStyle name="Hed Top 10" xfId="17195" xr:uid="{00000000-0005-0000-0000-00002A430000}"/>
    <cellStyle name="Hed Top 11" xfId="17196" xr:uid="{00000000-0005-0000-0000-00002B430000}"/>
    <cellStyle name="Hed Top 12" xfId="17197" xr:uid="{00000000-0005-0000-0000-00002C430000}"/>
    <cellStyle name="Hed Top 13" xfId="17198" xr:uid="{00000000-0005-0000-0000-00002D430000}"/>
    <cellStyle name="Hed Top 14" xfId="17199" xr:uid="{00000000-0005-0000-0000-00002E430000}"/>
    <cellStyle name="Hed Top 15" xfId="17200" xr:uid="{00000000-0005-0000-0000-00002F430000}"/>
    <cellStyle name="Hed Top 16" xfId="17201" xr:uid="{00000000-0005-0000-0000-000030430000}"/>
    <cellStyle name="Hed Top 17" xfId="17202" xr:uid="{00000000-0005-0000-0000-000031430000}"/>
    <cellStyle name="Hed Top 18" xfId="17203" xr:uid="{00000000-0005-0000-0000-000032430000}"/>
    <cellStyle name="Hed Top 19" xfId="17204" xr:uid="{00000000-0005-0000-0000-000033430000}"/>
    <cellStyle name="Hed Top 2" xfId="17205" xr:uid="{00000000-0005-0000-0000-000034430000}"/>
    <cellStyle name="Hed Top 20" xfId="17206" xr:uid="{00000000-0005-0000-0000-000035430000}"/>
    <cellStyle name="Hed Top 21" xfId="17207" xr:uid="{00000000-0005-0000-0000-000036430000}"/>
    <cellStyle name="Hed Top 21 2" xfId="17208" xr:uid="{00000000-0005-0000-0000-000037430000}"/>
    <cellStyle name="Hed Top 3" xfId="17209" xr:uid="{00000000-0005-0000-0000-000038430000}"/>
    <cellStyle name="Hed Top 4" xfId="17210" xr:uid="{00000000-0005-0000-0000-000039430000}"/>
    <cellStyle name="Hed Top 5" xfId="17211" xr:uid="{00000000-0005-0000-0000-00003A430000}"/>
    <cellStyle name="Hed Top 6" xfId="17212" xr:uid="{00000000-0005-0000-0000-00003B430000}"/>
    <cellStyle name="Hed Top 7" xfId="17213" xr:uid="{00000000-0005-0000-0000-00003C430000}"/>
    <cellStyle name="Hed Top 8" xfId="17214" xr:uid="{00000000-0005-0000-0000-00003D430000}"/>
    <cellStyle name="Hed Top 9" xfId="17215" xr:uid="{00000000-0005-0000-0000-00003E430000}"/>
    <cellStyle name="Helv" xfId="17216" xr:uid="{00000000-0005-0000-0000-00003F430000}"/>
    <cellStyle name="Helv 10" xfId="17217" xr:uid="{00000000-0005-0000-0000-000040430000}"/>
    <cellStyle name="Helv 11" xfId="17218" xr:uid="{00000000-0005-0000-0000-000041430000}"/>
    <cellStyle name="Helv 12" xfId="17219" xr:uid="{00000000-0005-0000-0000-000042430000}"/>
    <cellStyle name="Helv 13" xfId="17220" xr:uid="{00000000-0005-0000-0000-000043430000}"/>
    <cellStyle name="Helv 14" xfId="17221" xr:uid="{00000000-0005-0000-0000-000044430000}"/>
    <cellStyle name="Helv 15" xfId="17222" xr:uid="{00000000-0005-0000-0000-000045430000}"/>
    <cellStyle name="Helv 16" xfId="17223" xr:uid="{00000000-0005-0000-0000-000046430000}"/>
    <cellStyle name="Helv 17" xfId="17224" xr:uid="{00000000-0005-0000-0000-000047430000}"/>
    <cellStyle name="Helv 18" xfId="17225" xr:uid="{00000000-0005-0000-0000-000048430000}"/>
    <cellStyle name="Helv 19" xfId="17226" xr:uid="{00000000-0005-0000-0000-000049430000}"/>
    <cellStyle name="Helv 2" xfId="17227" xr:uid="{00000000-0005-0000-0000-00004A430000}"/>
    <cellStyle name="Helv 20" xfId="17228" xr:uid="{00000000-0005-0000-0000-00004B430000}"/>
    <cellStyle name="Helv 21" xfId="17229" xr:uid="{00000000-0005-0000-0000-00004C430000}"/>
    <cellStyle name="Helv 3" xfId="17230" xr:uid="{00000000-0005-0000-0000-00004D430000}"/>
    <cellStyle name="Helv 4" xfId="17231" xr:uid="{00000000-0005-0000-0000-00004E430000}"/>
    <cellStyle name="Helv 5" xfId="17232" xr:uid="{00000000-0005-0000-0000-00004F430000}"/>
    <cellStyle name="Helv 6" xfId="17233" xr:uid="{00000000-0005-0000-0000-000050430000}"/>
    <cellStyle name="Helv 7" xfId="17234" xr:uid="{00000000-0005-0000-0000-000051430000}"/>
    <cellStyle name="Helv 8" xfId="17235" xr:uid="{00000000-0005-0000-0000-000052430000}"/>
    <cellStyle name="Helv 9" xfId="17236" xr:uid="{00000000-0005-0000-0000-000053430000}"/>
    <cellStyle name="hh" xfId="17237" xr:uid="{00000000-0005-0000-0000-000054430000}"/>
    <cellStyle name="hh 10" xfId="17238" xr:uid="{00000000-0005-0000-0000-000055430000}"/>
    <cellStyle name="hh 11" xfId="17239" xr:uid="{00000000-0005-0000-0000-000056430000}"/>
    <cellStyle name="hh 12" xfId="17240" xr:uid="{00000000-0005-0000-0000-000057430000}"/>
    <cellStyle name="hh 13" xfId="17241" xr:uid="{00000000-0005-0000-0000-000058430000}"/>
    <cellStyle name="hh 14" xfId="17242" xr:uid="{00000000-0005-0000-0000-000059430000}"/>
    <cellStyle name="hh 15" xfId="17243" xr:uid="{00000000-0005-0000-0000-00005A430000}"/>
    <cellStyle name="hh 16" xfId="17244" xr:uid="{00000000-0005-0000-0000-00005B430000}"/>
    <cellStyle name="hh 17" xfId="17245" xr:uid="{00000000-0005-0000-0000-00005C430000}"/>
    <cellStyle name="hh 18" xfId="17246" xr:uid="{00000000-0005-0000-0000-00005D430000}"/>
    <cellStyle name="hh 19" xfId="17247" xr:uid="{00000000-0005-0000-0000-00005E430000}"/>
    <cellStyle name="hh 2" xfId="17248" xr:uid="{00000000-0005-0000-0000-00005F430000}"/>
    <cellStyle name="hh 20" xfId="17249" xr:uid="{00000000-0005-0000-0000-000060430000}"/>
    <cellStyle name="hh 21" xfId="17250" xr:uid="{00000000-0005-0000-0000-000061430000}"/>
    <cellStyle name="hh 21 2" xfId="17251" xr:uid="{00000000-0005-0000-0000-000062430000}"/>
    <cellStyle name="hh 3" xfId="17252" xr:uid="{00000000-0005-0000-0000-000063430000}"/>
    <cellStyle name="hh 4" xfId="17253" xr:uid="{00000000-0005-0000-0000-000064430000}"/>
    <cellStyle name="hh 5" xfId="17254" xr:uid="{00000000-0005-0000-0000-000065430000}"/>
    <cellStyle name="hh 6" xfId="17255" xr:uid="{00000000-0005-0000-0000-000066430000}"/>
    <cellStyle name="hh 7" xfId="17256" xr:uid="{00000000-0005-0000-0000-000067430000}"/>
    <cellStyle name="hh 8" xfId="17257" xr:uid="{00000000-0005-0000-0000-000068430000}"/>
    <cellStyle name="hh 9" xfId="17258" xr:uid="{00000000-0005-0000-0000-000069430000}"/>
    <cellStyle name="hj" xfId="17259" xr:uid="{00000000-0005-0000-0000-00006A430000}"/>
    <cellStyle name="hj 10" xfId="17260" xr:uid="{00000000-0005-0000-0000-00006B430000}"/>
    <cellStyle name="hj 11" xfId="17261" xr:uid="{00000000-0005-0000-0000-00006C430000}"/>
    <cellStyle name="hj 12" xfId="17262" xr:uid="{00000000-0005-0000-0000-00006D430000}"/>
    <cellStyle name="hj 13" xfId="17263" xr:uid="{00000000-0005-0000-0000-00006E430000}"/>
    <cellStyle name="hj 14" xfId="17264" xr:uid="{00000000-0005-0000-0000-00006F430000}"/>
    <cellStyle name="hj 15" xfId="17265" xr:uid="{00000000-0005-0000-0000-000070430000}"/>
    <cellStyle name="hj 16" xfId="17266" xr:uid="{00000000-0005-0000-0000-000071430000}"/>
    <cellStyle name="hj 17" xfId="17267" xr:uid="{00000000-0005-0000-0000-000072430000}"/>
    <cellStyle name="hj 18" xfId="17268" xr:uid="{00000000-0005-0000-0000-000073430000}"/>
    <cellStyle name="hj 19" xfId="17269" xr:uid="{00000000-0005-0000-0000-000074430000}"/>
    <cellStyle name="hj 2" xfId="17270" xr:uid="{00000000-0005-0000-0000-000075430000}"/>
    <cellStyle name="hj 2 2" xfId="17271" xr:uid="{00000000-0005-0000-0000-000076430000}"/>
    <cellStyle name="hj 20" xfId="17272" xr:uid="{00000000-0005-0000-0000-000077430000}"/>
    <cellStyle name="hj 21" xfId="17273" xr:uid="{00000000-0005-0000-0000-000078430000}"/>
    <cellStyle name="hj 22" xfId="17274" xr:uid="{00000000-0005-0000-0000-000079430000}"/>
    <cellStyle name="hj 23" xfId="17275" xr:uid="{00000000-0005-0000-0000-00007A430000}"/>
    <cellStyle name="hj 23 2" xfId="17276" xr:uid="{00000000-0005-0000-0000-00007B430000}"/>
    <cellStyle name="hj 3" xfId="17277" xr:uid="{00000000-0005-0000-0000-00007C430000}"/>
    <cellStyle name="hj 3 2" xfId="17278" xr:uid="{00000000-0005-0000-0000-00007D430000}"/>
    <cellStyle name="hj 4" xfId="17279" xr:uid="{00000000-0005-0000-0000-00007E430000}"/>
    <cellStyle name="hj 5" xfId="17280" xr:uid="{00000000-0005-0000-0000-00007F430000}"/>
    <cellStyle name="hj 6" xfId="17281" xr:uid="{00000000-0005-0000-0000-000080430000}"/>
    <cellStyle name="hj 7" xfId="17282" xr:uid="{00000000-0005-0000-0000-000081430000}"/>
    <cellStyle name="hj 8" xfId="17283" xr:uid="{00000000-0005-0000-0000-000082430000}"/>
    <cellStyle name="hj 9" xfId="17284" xr:uid="{00000000-0005-0000-0000-000083430000}"/>
    <cellStyle name="Hyperlink" xfId="35733" builtinId="8"/>
    <cellStyle name="Hyperlink 2" xfId="17285" xr:uid="{00000000-0005-0000-0000-000084430000}"/>
    <cellStyle name="i" xfId="17286" xr:uid="{00000000-0005-0000-0000-000085430000}"/>
    <cellStyle name="i 10" xfId="17287" xr:uid="{00000000-0005-0000-0000-000086430000}"/>
    <cellStyle name="i 11" xfId="17288" xr:uid="{00000000-0005-0000-0000-000087430000}"/>
    <cellStyle name="i 12" xfId="17289" xr:uid="{00000000-0005-0000-0000-000088430000}"/>
    <cellStyle name="i 13" xfId="17290" xr:uid="{00000000-0005-0000-0000-000089430000}"/>
    <cellStyle name="i 14" xfId="17291" xr:uid="{00000000-0005-0000-0000-00008A430000}"/>
    <cellStyle name="i 15" xfId="17292" xr:uid="{00000000-0005-0000-0000-00008B430000}"/>
    <cellStyle name="i 16" xfId="17293" xr:uid="{00000000-0005-0000-0000-00008C430000}"/>
    <cellStyle name="i 17" xfId="17294" xr:uid="{00000000-0005-0000-0000-00008D430000}"/>
    <cellStyle name="i 18" xfId="17295" xr:uid="{00000000-0005-0000-0000-00008E430000}"/>
    <cellStyle name="i 19" xfId="17296" xr:uid="{00000000-0005-0000-0000-00008F430000}"/>
    <cellStyle name="i 2" xfId="17297" xr:uid="{00000000-0005-0000-0000-000090430000}"/>
    <cellStyle name="i 20" xfId="17298" xr:uid="{00000000-0005-0000-0000-000091430000}"/>
    <cellStyle name="i 21" xfId="17299" xr:uid="{00000000-0005-0000-0000-000092430000}"/>
    <cellStyle name="i 21 2" xfId="17300" xr:uid="{00000000-0005-0000-0000-000093430000}"/>
    <cellStyle name="i 3" xfId="17301" xr:uid="{00000000-0005-0000-0000-000094430000}"/>
    <cellStyle name="i 4" xfId="17302" xr:uid="{00000000-0005-0000-0000-000095430000}"/>
    <cellStyle name="i 5" xfId="17303" xr:uid="{00000000-0005-0000-0000-000096430000}"/>
    <cellStyle name="i 6" xfId="17304" xr:uid="{00000000-0005-0000-0000-000097430000}"/>
    <cellStyle name="i 7" xfId="17305" xr:uid="{00000000-0005-0000-0000-000098430000}"/>
    <cellStyle name="i 8" xfId="17306" xr:uid="{00000000-0005-0000-0000-000099430000}"/>
    <cellStyle name="i 9" xfId="17307" xr:uid="{00000000-0005-0000-0000-00009A430000}"/>
    <cellStyle name="i_Apollo Advisors IV 12-31-08 GAAP TB Final" xfId="17308" xr:uid="{00000000-0005-0000-0000-00009B430000}"/>
    <cellStyle name="i_Apollo Advisors IV 12-31-08 TB (Revised for Aggr PR)" xfId="17309" xr:uid="{00000000-0005-0000-0000-00009C430000}"/>
    <cellStyle name="i_Apollo Advisors IV 6-30-09 GAAP TB" xfId="17310" xr:uid="{00000000-0005-0000-0000-00009D430000}"/>
    <cellStyle name="i_Broadleaf Watefall 9-30-09" xfId="17311" xr:uid="{00000000-0005-0000-0000-00009E430000}"/>
    <cellStyle name="i_Funds IV Clawback Adjustment Summary" xfId="17312" xr:uid="{00000000-0005-0000-0000-00009F430000}"/>
    <cellStyle name="i_Invested Capital Debt Worksheet" xfId="17313" xr:uid="{00000000-0005-0000-0000-0000A0430000}"/>
    <cellStyle name="i_Invested Capital Debt Worksheet_1" xfId="17314" xr:uid="{00000000-0005-0000-0000-0000A1430000}"/>
    <cellStyle name="i_Partners Capital Q1 2009" xfId="17315" xr:uid="{00000000-0005-0000-0000-0000A2430000}"/>
    <cellStyle name="i_Partners Capital Q1 2009_Invested Capital Debt Worksheet" xfId="17316" xr:uid="{00000000-0005-0000-0000-0000A3430000}"/>
    <cellStyle name="i_Sheet1" xfId="17317" xr:uid="{00000000-0005-0000-0000-0000A4430000}"/>
    <cellStyle name="i0" xfId="17318" xr:uid="{00000000-0005-0000-0000-0000A5430000}"/>
    <cellStyle name="i0 10" xfId="17319" xr:uid="{00000000-0005-0000-0000-0000A6430000}"/>
    <cellStyle name="i0 11" xfId="17320" xr:uid="{00000000-0005-0000-0000-0000A7430000}"/>
    <cellStyle name="i0 12" xfId="17321" xr:uid="{00000000-0005-0000-0000-0000A8430000}"/>
    <cellStyle name="i0 13" xfId="17322" xr:uid="{00000000-0005-0000-0000-0000A9430000}"/>
    <cellStyle name="i0 14" xfId="17323" xr:uid="{00000000-0005-0000-0000-0000AA430000}"/>
    <cellStyle name="i0 15" xfId="17324" xr:uid="{00000000-0005-0000-0000-0000AB430000}"/>
    <cellStyle name="i0 16" xfId="17325" xr:uid="{00000000-0005-0000-0000-0000AC430000}"/>
    <cellStyle name="i0 17" xfId="17326" xr:uid="{00000000-0005-0000-0000-0000AD430000}"/>
    <cellStyle name="i0 18" xfId="17327" xr:uid="{00000000-0005-0000-0000-0000AE430000}"/>
    <cellStyle name="i0 19" xfId="17328" xr:uid="{00000000-0005-0000-0000-0000AF430000}"/>
    <cellStyle name="i0 2" xfId="17329" xr:uid="{00000000-0005-0000-0000-0000B0430000}"/>
    <cellStyle name="i0 20" xfId="17330" xr:uid="{00000000-0005-0000-0000-0000B1430000}"/>
    <cellStyle name="i0 21" xfId="17331" xr:uid="{00000000-0005-0000-0000-0000B2430000}"/>
    <cellStyle name="i0 21 2" xfId="17332" xr:uid="{00000000-0005-0000-0000-0000B3430000}"/>
    <cellStyle name="i0 3" xfId="17333" xr:uid="{00000000-0005-0000-0000-0000B4430000}"/>
    <cellStyle name="i0 4" xfId="17334" xr:uid="{00000000-0005-0000-0000-0000B5430000}"/>
    <cellStyle name="i0 5" xfId="17335" xr:uid="{00000000-0005-0000-0000-0000B6430000}"/>
    <cellStyle name="i0 6" xfId="17336" xr:uid="{00000000-0005-0000-0000-0000B7430000}"/>
    <cellStyle name="i0 7" xfId="17337" xr:uid="{00000000-0005-0000-0000-0000B8430000}"/>
    <cellStyle name="i0 8" xfId="17338" xr:uid="{00000000-0005-0000-0000-0000B9430000}"/>
    <cellStyle name="i0 9" xfId="17339" xr:uid="{00000000-0005-0000-0000-0000BA430000}"/>
    <cellStyle name="i1" xfId="17340" xr:uid="{00000000-0005-0000-0000-0000BB430000}"/>
    <cellStyle name="i1 10" xfId="17341" xr:uid="{00000000-0005-0000-0000-0000BC430000}"/>
    <cellStyle name="i1 11" xfId="17342" xr:uid="{00000000-0005-0000-0000-0000BD430000}"/>
    <cellStyle name="i1 12" xfId="17343" xr:uid="{00000000-0005-0000-0000-0000BE430000}"/>
    <cellStyle name="i1 13" xfId="17344" xr:uid="{00000000-0005-0000-0000-0000BF430000}"/>
    <cellStyle name="i1 14" xfId="17345" xr:uid="{00000000-0005-0000-0000-0000C0430000}"/>
    <cellStyle name="i1 15" xfId="17346" xr:uid="{00000000-0005-0000-0000-0000C1430000}"/>
    <cellStyle name="i1 16" xfId="17347" xr:uid="{00000000-0005-0000-0000-0000C2430000}"/>
    <cellStyle name="i1 17" xfId="17348" xr:uid="{00000000-0005-0000-0000-0000C3430000}"/>
    <cellStyle name="i1 18" xfId="17349" xr:uid="{00000000-0005-0000-0000-0000C4430000}"/>
    <cellStyle name="i1 19" xfId="17350" xr:uid="{00000000-0005-0000-0000-0000C5430000}"/>
    <cellStyle name="i1 2" xfId="17351" xr:uid="{00000000-0005-0000-0000-0000C6430000}"/>
    <cellStyle name="i1 20" xfId="17352" xr:uid="{00000000-0005-0000-0000-0000C7430000}"/>
    <cellStyle name="i1 21" xfId="17353" xr:uid="{00000000-0005-0000-0000-0000C8430000}"/>
    <cellStyle name="i1 21 2" xfId="17354" xr:uid="{00000000-0005-0000-0000-0000C9430000}"/>
    <cellStyle name="i1 3" xfId="17355" xr:uid="{00000000-0005-0000-0000-0000CA430000}"/>
    <cellStyle name="i1 4" xfId="17356" xr:uid="{00000000-0005-0000-0000-0000CB430000}"/>
    <cellStyle name="i1 5" xfId="17357" xr:uid="{00000000-0005-0000-0000-0000CC430000}"/>
    <cellStyle name="i1 6" xfId="17358" xr:uid="{00000000-0005-0000-0000-0000CD430000}"/>
    <cellStyle name="i1 7" xfId="17359" xr:uid="{00000000-0005-0000-0000-0000CE430000}"/>
    <cellStyle name="i1 8" xfId="17360" xr:uid="{00000000-0005-0000-0000-0000CF430000}"/>
    <cellStyle name="i1 9" xfId="17361" xr:uid="{00000000-0005-0000-0000-0000D0430000}"/>
    <cellStyle name="i2" xfId="17362" xr:uid="{00000000-0005-0000-0000-0000D1430000}"/>
    <cellStyle name="i2 10" xfId="17363" xr:uid="{00000000-0005-0000-0000-0000D2430000}"/>
    <cellStyle name="i2 11" xfId="17364" xr:uid="{00000000-0005-0000-0000-0000D3430000}"/>
    <cellStyle name="i2 12" xfId="17365" xr:uid="{00000000-0005-0000-0000-0000D4430000}"/>
    <cellStyle name="i2 13" xfId="17366" xr:uid="{00000000-0005-0000-0000-0000D5430000}"/>
    <cellStyle name="i2 14" xfId="17367" xr:uid="{00000000-0005-0000-0000-0000D6430000}"/>
    <cellStyle name="i2 15" xfId="17368" xr:uid="{00000000-0005-0000-0000-0000D7430000}"/>
    <cellStyle name="i2 16" xfId="17369" xr:uid="{00000000-0005-0000-0000-0000D8430000}"/>
    <cellStyle name="i2 17" xfId="17370" xr:uid="{00000000-0005-0000-0000-0000D9430000}"/>
    <cellStyle name="i2 18" xfId="17371" xr:uid="{00000000-0005-0000-0000-0000DA430000}"/>
    <cellStyle name="i2 19" xfId="17372" xr:uid="{00000000-0005-0000-0000-0000DB430000}"/>
    <cellStyle name="i2 2" xfId="17373" xr:uid="{00000000-0005-0000-0000-0000DC430000}"/>
    <cellStyle name="i2 20" xfId="17374" xr:uid="{00000000-0005-0000-0000-0000DD430000}"/>
    <cellStyle name="i2 21" xfId="17375" xr:uid="{00000000-0005-0000-0000-0000DE430000}"/>
    <cellStyle name="i2 21 2" xfId="17376" xr:uid="{00000000-0005-0000-0000-0000DF430000}"/>
    <cellStyle name="i2 3" xfId="17377" xr:uid="{00000000-0005-0000-0000-0000E0430000}"/>
    <cellStyle name="i2 4" xfId="17378" xr:uid="{00000000-0005-0000-0000-0000E1430000}"/>
    <cellStyle name="i2 5" xfId="17379" xr:uid="{00000000-0005-0000-0000-0000E2430000}"/>
    <cellStyle name="i2 6" xfId="17380" xr:uid="{00000000-0005-0000-0000-0000E3430000}"/>
    <cellStyle name="i2 7" xfId="17381" xr:uid="{00000000-0005-0000-0000-0000E4430000}"/>
    <cellStyle name="i2 8" xfId="17382" xr:uid="{00000000-0005-0000-0000-0000E5430000}"/>
    <cellStyle name="i2 9" xfId="17383" xr:uid="{00000000-0005-0000-0000-0000E6430000}"/>
    <cellStyle name="i3" xfId="17384" xr:uid="{00000000-0005-0000-0000-0000E7430000}"/>
    <cellStyle name="i3 10" xfId="17385" xr:uid="{00000000-0005-0000-0000-0000E8430000}"/>
    <cellStyle name="i3 11" xfId="17386" xr:uid="{00000000-0005-0000-0000-0000E9430000}"/>
    <cellStyle name="i3 12" xfId="17387" xr:uid="{00000000-0005-0000-0000-0000EA430000}"/>
    <cellStyle name="i3 13" xfId="17388" xr:uid="{00000000-0005-0000-0000-0000EB430000}"/>
    <cellStyle name="i3 14" xfId="17389" xr:uid="{00000000-0005-0000-0000-0000EC430000}"/>
    <cellStyle name="i3 15" xfId="17390" xr:uid="{00000000-0005-0000-0000-0000ED430000}"/>
    <cellStyle name="i3 16" xfId="17391" xr:uid="{00000000-0005-0000-0000-0000EE430000}"/>
    <cellStyle name="i3 17" xfId="17392" xr:uid="{00000000-0005-0000-0000-0000EF430000}"/>
    <cellStyle name="i3 18" xfId="17393" xr:uid="{00000000-0005-0000-0000-0000F0430000}"/>
    <cellStyle name="i3 19" xfId="17394" xr:uid="{00000000-0005-0000-0000-0000F1430000}"/>
    <cellStyle name="i3 2" xfId="17395" xr:uid="{00000000-0005-0000-0000-0000F2430000}"/>
    <cellStyle name="i3 2 2" xfId="17396" xr:uid="{00000000-0005-0000-0000-0000F3430000}"/>
    <cellStyle name="i3 20" xfId="17397" xr:uid="{00000000-0005-0000-0000-0000F4430000}"/>
    <cellStyle name="i3 21" xfId="17398" xr:uid="{00000000-0005-0000-0000-0000F5430000}"/>
    <cellStyle name="i3 22" xfId="17399" xr:uid="{00000000-0005-0000-0000-0000F6430000}"/>
    <cellStyle name="i3 23" xfId="17400" xr:uid="{00000000-0005-0000-0000-0000F7430000}"/>
    <cellStyle name="i3 23 2" xfId="17401" xr:uid="{00000000-0005-0000-0000-0000F8430000}"/>
    <cellStyle name="i3 3" xfId="17402" xr:uid="{00000000-0005-0000-0000-0000F9430000}"/>
    <cellStyle name="i3 3 2" xfId="17403" xr:uid="{00000000-0005-0000-0000-0000FA430000}"/>
    <cellStyle name="i3 4" xfId="17404" xr:uid="{00000000-0005-0000-0000-0000FB430000}"/>
    <cellStyle name="i3 5" xfId="17405" xr:uid="{00000000-0005-0000-0000-0000FC430000}"/>
    <cellStyle name="i3 6" xfId="17406" xr:uid="{00000000-0005-0000-0000-0000FD430000}"/>
    <cellStyle name="i3 7" xfId="17407" xr:uid="{00000000-0005-0000-0000-0000FE430000}"/>
    <cellStyle name="i3 8" xfId="17408" xr:uid="{00000000-0005-0000-0000-0000FF430000}"/>
    <cellStyle name="i3 9" xfId="17409" xr:uid="{00000000-0005-0000-0000-000000440000}"/>
    <cellStyle name="i4" xfId="17410" xr:uid="{00000000-0005-0000-0000-000001440000}"/>
    <cellStyle name="i4 10" xfId="17411" xr:uid="{00000000-0005-0000-0000-000002440000}"/>
    <cellStyle name="i4 11" xfId="17412" xr:uid="{00000000-0005-0000-0000-000003440000}"/>
    <cellStyle name="i4 12" xfId="17413" xr:uid="{00000000-0005-0000-0000-000004440000}"/>
    <cellStyle name="i4 13" xfId="17414" xr:uid="{00000000-0005-0000-0000-000005440000}"/>
    <cellStyle name="i4 14" xfId="17415" xr:uid="{00000000-0005-0000-0000-000006440000}"/>
    <cellStyle name="i4 15" xfId="17416" xr:uid="{00000000-0005-0000-0000-000007440000}"/>
    <cellStyle name="i4 16" xfId="17417" xr:uid="{00000000-0005-0000-0000-000008440000}"/>
    <cellStyle name="i4 17" xfId="17418" xr:uid="{00000000-0005-0000-0000-000009440000}"/>
    <cellStyle name="i4 18" xfId="17419" xr:uid="{00000000-0005-0000-0000-00000A440000}"/>
    <cellStyle name="i4 19" xfId="17420" xr:uid="{00000000-0005-0000-0000-00000B440000}"/>
    <cellStyle name="i4 2" xfId="17421" xr:uid="{00000000-0005-0000-0000-00000C440000}"/>
    <cellStyle name="i4 20" xfId="17422" xr:uid="{00000000-0005-0000-0000-00000D440000}"/>
    <cellStyle name="i4 21" xfId="17423" xr:uid="{00000000-0005-0000-0000-00000E440000}"/>
    <cellStyle name="i4 21 2" xfId="17424" xr:uid="{00000000-0005-0000-0000-00000F440000}"/>
    <cellStyle name="i4 3" xfId="17425" xr:uid="{00000000-0005-0000-0000-000010440000}"/>
    <cellStyle name="i4 4" xfId="17426" xr:uid="{00000000-0005-0000-0000-000011440000}"/>
    <cellStyle name="i4 5" xfId="17427" xr:uid="{00000000-0005-0000-0000-000012440000}"/>
    <cellStyle name="i4 6" xfId="17428" xr:uid="{00000000-0005-0000-0000-000013440000}"/>
    <cellStyle name="i4 7" xfId="17429" xr:uid="{00000000-0005-0000-0000-000014440000}"/>
    <cellStyle name="i4 8" xfId="17430" xr:uid="{00000000-0005-0000-0000-000015440000}"/>
    <cellStyle name="i4 9" xfId="17431" xr:uid="{00000000-0005-0000-0000-000016440000}"/>
    <cellStyle name="i5" xfId="17432" xr:uid="{00000000-0005-0000-0000-000017440000}"/>
    <cellStyle name="i5 10" xfId="17433" xr:uid="{00000000-0005-0000-0000-000018440000}"/>
    <cellStyle name="i5 11" xfId="17434" xr:uid="{00000000-0005-0000-0000-000019440000}"/>
    <cellStyle name="i5 12" xfId="17435" xr:uid="{00000000-0005-0000-0000-00001A440000}"/>
    <cellStyle name="i5 13" xfId="17436" xr:uid="{00000000-0005-0000-0000-00001B440000}"/>
    <cellStyle name="i5 14" xfId="17437" xr:uid="{00000000-0005-0000-0000-00001C440000}"/>
    <cellStyle name="i5 15" xfId="17438" xr:uid="{00000000-0005-0000-0000-00001D440000}"/>
    <cellStyle name="i5 16" xfId="17439" xr:uid="{00000000-0005-0000-0000-00001E440000}"/>
    <cellStyle name="i5 17" xfId="17440" xr:uid="{00000000-0005-0000-0000-00001F440000}"/>
    <cellStyle name="i5 18" xfId="17441" xr:uid="{00000000-0005-0000-0000-000020440000}"/>
    <cellStyle name="i5 19" xfId="17442" xr:uid="{00000000-0005-0000-0000-000021440000}"/>
    <cellStyle name="i5 2" xfId="17443" xr:uid="{00000000-0005-0000-0000-000022440000}"/>
    <cellStyle name="i5 20" xfId="17444" xr:uid="{00000000-0005-0000-0000-000023440000}"/>
    <cellStyle name="i5 21" xfId="17445" xr:uid="{00000000-0005-0000-0000-000024440000}"/>
    <cellStyle name="i5 21 2" xfId="17446" xr:uid="{00000000-0005-0000-0000-000025440000}"/>
    <cellStyle name="i5 3" xfId="17447" xr:uid="{00000000-0005-0000-0000-000026440000}"/>
    <cellStyle name="i5 4" xfId="17448" xr:uid="{00000000-0005-0000-0000-000027440000}"/>
    <cellStyle name="i5 5" xfId="17449" xr:uid="{00000000-0005-0000-0000-000028440000}"/>
    <cellStyle name="i5 6" xfId="17450" xr:uid="{00000000-0005-0000-0000-000029440000}"/>
    <cellStyle name="i5 7" xfId="17451" xr:uid="{00000000-0005-0000-0000-00002A440000}"/>
    <cellStyle name="i5 8" xfId="17452" xr:uid="{00000000-0005-0000-0000-00002B440000}"/>
    <cellStyle name="i5 9" xfId="17453" xr:uid="{00000000-0005-0000-0000-00002C440000}"/>
    <cellStyle name="InLink" xfId="17454" xr:uid="{00000000-0005-0000-0000-00002D440000}"/>
    <cellStyle name="InLink 10" xfId="17455" xr:uid="{00000000-0005-0000-0000-00002E440000}"/>
    <cellStyle name="InLink 11" xfId="17456" xr:uid="{00000000-0005-0000-0000-00002F440000}"/>
    <cellStyle name="InLink 12" xfId="17457" xr:uid="{00000000-0005-0000-0000-000030440000}"/>
    <cellStyle name="InLink 13" xfId="17458" xr:uid="{00000000-0005-0000-0000-000031440000}"/>
    <cellStyle name="InLink 14" xfId="17459" xr:uid="{00000000-0005-0000-0000-000032440000}"/>
    <cellStyle name="InLink 15" xfId="17460" xr:uid="{00000000-0005-0000-0000-000033440000}"/>
    <cellStyle name="InLink 16" xfId="17461" xr:uid="{00000000-0005-0000-0000-000034440000}"/>
    <cellStyle name="InLink 17" xfId="17462" xr:uid="{00000000-0005-0000-0000-000035440000}"/>
    <cellStyle name="InLink 18" xfId="17463" xr:uid="{00000000-0005-0000-0000-000036440000}"/>
    <cellStyle name="InLink 19" xfId="17464" xr:uid="{00000000-0005-0000-0000-000037440000}"/>
    <cellStyle name="InLink 2" xfId="17465" xr:uid="{00000000-0005-0000-0000-000038440000}"/>
    <cellStyle name="InLink 20" xfId="17466" xr:uid="{00000000-0005-0000-0000-000039440000}"/>
    <cellStyle name="InLink 21" xfId="17467" xr:uid="{00000000-0005-0000-0000-00003A440000}"/>
    <cellStyle name="InLink 22" xfId="17468" xr:uid="{00000000-0005-0000-0000-00003B440000}"/>
    <cellStyle name="InLink 23" xfId="17469" xr:uid="{00000000-0005-0000-0000-00003C440000}"/>
    <cellStyle name="InLink 23 2" xfId="17470" xr:uid="{00000000-0005-0000-0000-00003D440000}"/>
    <cellStyle name="InLink 24" xfId="17471" xr:uid="{00000000-0005-0000-0000-00003E440000}"/>
    <cellStyle name="InLink 24 2" xfId="17472" xr:uid="{00000000-0005-0000-0000-00003F440000}"/>
    <cellStyle name="InLink 25" xfId="17473" xr:uid="{00000000-0005-0000-0000-000040440000}"/>
    <cellStyle name="InLink 26" xfId="17474" xr:uid="{00000000-0005-0000-0000-000041440000}"/>
    <cellStyle name="InLink 27" xfId="17475" xr:uid="{00000000-0005-0000-0000-000042440000}"/>
    <cellStyle name="InLink 28" xfId="17476" xr:uid="{00000000-0005-0000-0000-000043440000}"/>
    <cellStyle name="InLink 29" xfId="17477" xr:uid="{00000000-0005-0000-0000-000044440000}"/>
    <cellStyle name="InLink 29 2" xfId="17478" xr:uid="{00000000-0005-0000-0000-000045440000}"/>
    <cellStyle name="InLink 3" xfId="17479" xr:uid="{00000000-0005-0000-0000-000046440000}"/>
    <cellStyle name="InLink 3 2" xfId="17480" xr:uid="{00000000-0005-0000-0000-000047440000}"/>
    <cellStyle name="InLink 30" xfId="17481" xr:uid="{00000000-0005-0000-0000-000048440000}"/>
    <cellStyle name="InLink 31" xfId="17482" xr:uid="{00000000-0005-0000-0000-000049440000}"/>
    <cellStyle name="InLink 32" xfId="17483" xr:uid="{00000000-0005-0000-0000-00004A440000}"/>
    <cellStyle name="InLink 33" xfId="17484" xr:uid="{00000000-0005-0000-0000-00004B440000}"/>
    <cellStyle name="InLink 34" xfId="17485" xr:uid="{00000000-0005-0000-0000-00004C440000}"/>
    <cellStyle name="InLink 35" xfId="17486" xr:uid="{00000000-0005-0000-0000-00004D440000}"/>
    <cellStyle name="InLink 36" xfId="17487" xr:uid="{00000000-0005-0000-0000-00004E440000}"/>
    <cellStyle name="InLink 37" xfId="17488" xr:uid="{00000000-0005-0000-0000-00004F440000}"/>
    <cellStyle name="InLink 38" xfId="17489" xr:uid="{00000000-0005-0000-0000-000050440000}"/>
    <cellStyle name="InLink 4" xfId="17490" xr:uid="{00000000-0005-0000-0000-000051440000}"/>
    <cellStyle name="InLink 4 2" xfId="17491" xr:uid="{00000000-0005-0000-0000-000052440000}"/>
    <cellStyle name="InLink 5" xfId="17492" xr:uid="{00000000-0005-0000-0000-000053440000}"/>
    <cellStyle name="InLink 5 2" xfId="17493" xr:uid="{00000000-0005-0000-0000-000054440000}"/>
    <cellStyle name="InLink 6" xfId="17494" xr:uid="{00000000-0005-0000-0000-000055440000}"/>
    <cellStyle name="InLink 6 2" xfId="17495" xr:uid="{00000000-0005-0000-0000-000056440000}"/>
    <cellStyle name="InLink 7" xfId="17496" xr:uid="{00000000-0005-0000-0000-000057440000}"/>
    <cellStyle name="InLink 7 2" xfId="17497" xr:uid="{00000000-0005-0000-0000-000058440000}"/>
    <cellStyle name="InLink 8" xfId="17498" xr:uid="{00000000-0005-0000-0000-000059440000}"/>
    <cellStyle name="InLink 8 2" xfId="17499" xr:uid="{00000000-0005-0000-0000-00005A440000}"/>
    <cellStyle name="InLink 9" xfId="17500" xr:uid="{00000000-0005-0000-0000-00005B440000}"/>
    <cellStyle name="Input" xfId="35697" builtinId="20" customBuiltin="1"/>
    <cellStyle name="Input [yellow]" xfId="17501" xr:uid="{00000000-0005-0000-0000-00005C440000}"/>
    <cellStyle name="Input [yellow] 10" xfId="17502" xr:uid="{00000000-0005-0000-0000-00005D440000}"/>
    <cellStyle name="Input [yellow] 11" xfId="17503" xr:uid="{00000000-0005-0000-0000-00005E440000}"/>
    <cellStyle name="Input [yellow] 12" xfId="17504" xr:uid="{00000000-0005-0000-0000-00005F440000}"/>
    <cellStyle name="Input [yellow] 13" xfId="17505" xr:uid="{00000000-0005-0000-0000-000060440000}"/>
    <cellStyle name="Input [yellow] 14" xfId="17506" xr:uid="{00000000-0005-0000-0000-000061440000}"/>
    <cellStyle name="Input [yellow] 15" xfId="17507" xr:uid="{00000000-0005-0000-0000-000062440000}"/>
    <cellStyle name="Input [yellow] 16" xfId="17508" xr:uid="{00000000-0005-0000-0000-000063440000}"/>
    <cellStyle name="Input [yellow] 17" xfId="17509" xr:uid="{00000000-0005-0000-0000-000064440000}"/>
    <cellStyle name="Input [yellow] 18" xfId="17510" xr:uid="{00000000-0005-0000-0000-000065440000}"/>
    <cellStyle name="Input [yellow] 19" xfId="17511" xr:uid="{00000000-0005-0000-0000-000066440000}"/>
    <cellStyle name="Input [yellow] 2" xfId="17512" xr:uid="{00000000-0005-0000-0000-000067440000}"/>
    <cellStyle name="Input [yellow] 2 2" xfId="17513" xr:uid="{00000000-0005-0000-0000-000068440000}"/>
    <cellStyle name="Input [yellow] 20" xfId="17514" xr:uid="{00000000-0005-0000-0000-000069440000}"/>
    <cellStyle name="Input [yellow] 21" xfId="17515" xr:uid="{00000000-0005-0000-0000-00006A440000}"/>
    <cellStyle name="Input [yellow] 22" xfId="17516" xr:uid="{00000000-0005-0000-0000-00006B440000}"/>
    <cellStyle name="Input [yellow] 23" xfId="17517" xr:uid="{00000000-0005-0000-0000-00006C440000}"/>
    <cellStyle name="Input [yellow] 24" xfId="17518" xr:uid="{00000000-0005-0000-0000-00006D440000}"/>
    <cellStyle name="Input [yellow] 25" xfId="17519" xr:uid="{00000000-0005-0000-0000-00006E440000}"/>
    <cellStyle name="Input [yellow] 26" xfId="17520" xr:uid="{00000000-0005-0000-0000-00006F440000}"/>
    <cellStyle name="Input [yellow] 27" xfId="17521" xr:uid="{00000000-0005-0000-0000-000070440000}"/>
    <cellStyle name="Input [yellow] 28" xfId="17522" xr:uid="{00000000-0005-0000-0000-000071440000}"/>
    <cellStyle name="Input [yellow] 29" xfId="17523" xr:uid="{00000000-0005-0000-0000-000072440000}"/>
    <cellStyle name="Input [yellow] 3" xfId="17524" xr:uid="{00000000-0005-0000-0000-000073440000}"/>
    <cellStyle name="Input [yellow] 3 2" xfId="17525" xr:uid="{00000000-0005-0000-0000-000074440000}"/>
    <cellStyle name="Input [yellow] 30" xfId="17526" xr:uid="{00000000-0005-0000-0000-000075440000}"/>
    <cellStyle name="Input [yellow] 31" xfId="17527" xr:uid="{00000000-0005-0000-0000-000076440000}"/>
    <cellStyle name="Input [yellow] 32" xfId="17528" xr:uid="{00000000-0005-0000-0000-000077440000}"/>
    <cellStyle name="Input [yellow] 33" xfId="17529" xr:uid="{00000000-0005-0000-0000-000078440000}"/>
    <cellStyle name="Input [yellow] 33 2" xfId="17530" xr:uid="{00000000-0005-0000-0000-000079440000}"/>
    <cellStyle name="Input [yellow] 34" xfId="17531" xr:uid="{00000000-0005-0000-0000-00007A440000}"/>
    <cellStyle name="Input [yellow] 35" xfId="17532" xr:uid="{00000000-0005-0000-0000-00007B440000}"/>
    <cellStyle name="Input [yellow] 36" xfId="17533" xr:uid="{00000000-0005-0000-0000-00007C440000}"/>
    <cellStyle name="Input [yellow] 37" xfId="17534" xr:uid="{00000000-0005-0000-0000-00007D440000}"/>
    <cellStyle name="Input [yellow] 38" xfId="17535" xr:uid="{00000000-0005-0000-0000-00007E440000}"/>
    <cellStyle name="Input [yellow] 39" xfId="17536" xr:uid="{00000000-0005-0000-0000-00007F440000}"/>
    <cellStyle name="Input [yellow] 4" xfId="17537" xr:uid="{00000000-0005-0000-0000-000080440000}"/>
    <cellStyle name="Input [yellow] 40" xfId="17538" xr:uid="{00000000-0005-0000-0000-000081440000}"/>
    <cellStyle name="Input [yellow] 41" xfId="17539" xr:uid="{00000000-0005-0000-0000-000082440000}"/>
    <cellStyle name="Input [yellow] 42" xfId="17540" xr:uid="{00000000-0005-0000-0000-000083440000}"/>
    <cellStyle name="Input [yellow] 43" xfId="17541" xr:uid="{00000000-0005-0000-0000-000084440000}"/>
    <cellStyle name="Input [yellow] 44" xfId="17542" xr:uid="{00000000-0005-0000-0000-000085440000}"/>
    <cellStyle name="Input [yellow] 45" xfId="17543" xr:uid="{00000000-0005-0000-0000-000086440000}"/>
    <cellStyle name="Input [yellow] 46" xfId="17544" xr:uid="{00000000-0005-0000-0000-000087440000}"/>
    <cellStyle name="Input [yellow] 47" xfId="17545" xr:uid="{00000000-0005-0000-0000-000088440000}"/>
    <cellStyle name="Input [yellow] 48" xfId="17546" xr:uid="{00000000-0005-0000-0000-000089440000}"/>
    <cellStyle name="Input [yellow] 5" xfId="17547" xr:uid="{00000000-0005-0000-0000-00008A440000}"/>
    <cellStyle name="Input [yellow] 6" xfId="17548" xr:uid="{00000000-0005-0000-0000-00008B440000}"/>
    <cellStyle name="Input [yellow] 7" xfId="17549" xr:uid="{00000000-0005-0000-0000-00008C440000}"/>
    <cellStyle name="Input [yellow] 8" xfId="17550" xr:uid="{00000000-0005-0000-0000-00008D440000}"/>
    <cellStyle name="Input [yellow] 9" xfId="17551" xr:uid="{00000000-0005-0000-0000-00008E440000}"/>
    <cellStyle name="Input 10" xfId="17552" xr:uid="{00000000-0005-0000-0000-00008F440000}"/>
    <cellStyle name="Input 11" xfId="17553" xr:uid="{00000000-0005-0000-0000-000090440000}"/>
    <cellStyle name="Input 12" xfId="17554" xr:uid="{00000000-0005-0000-0000-000091440000}"/>
    <cellStyle name="Input 13" xfId="17555" xr:uid="{00000000-0005-0000-0000-000092440000}"/>
    <cellStyle name="Input 14" xfId="17556" xr:uid="{00000000-0005-0000-0000-000093440000}"/>
    <cellStyle name="Input 15" xfId="17557" xr:uid="{00000000-0005-0000-0000-000094440000}"/>
    <cellStyle name="Input 16" xfId="17558" xr:uid="{00000000-0005-0000-0000-000095440000}"/>
    <cellStyle name="Input 17" xfId="17559" xr:uid="{00000000-0005-0000-0000-000096440000}"/>
    <cellStyle name="Input 18" xfId="17560" xr:uid="{00000000-0005-0000-0000-000097440000}"/>
    <cellStyle name="Input 19" xfId="17561" xr:uid="{00000000-0005-0000-0000-000098440000}"/>
    <cellStyle name="Input 2" xfId="17562" xr:uid="{00000000-0005-0000-0000-000099440000}"/>
    <cellStyle name="Input 2 2" xfId="17563" xr:uid="{00000000-0005-0000-0000-00009A440000}"/>
    <cellStyle name="Input 20" xfId="17564" xr:uid="{00000000-0005-0000-0000-00009B440000}"/>
    <cellStyle name="Input 21" xfId="17565" xr:uid="{00000000-0005-0000-0000-00009C440000}"/>
    <cellStyle name="Input 22" xfId="17566" xr:uid="{00000000-0005-0000-0000-00009D440000}"/>
    <cellStyle name="input 23" xfId="17567" xr:uid="{00000000-0005-0000-0000-00009E440000}"/>
    <cellStyle name="input 23 2" xfId="17568" xr:uid="{00000000-0005-0000-0000-00009F440000}"/>
    <cellStyle name="input 24" xfId="17569" xr:uid="{00000000-0005-0000-0000-0000A0440000}"/>
    <cellStyle name="input 24 2" xfId="17570" xr:uid="{00000000-0005-0000-0000-0000A1440000}"/>
    <cellStyle name="Input 25" xfId="17571" xr:uid="{00000000-0005-0000-0000-0000A2440000}"/>
    <cellStyle name="Input 26" xfId="17572" xr:uid="{00000000-0005-0000-0000-0000A3440000}"/>
    <cellStyle name="Input 27" xfId="17573" xr:uid="{00000000-0005-0000-0000-0000A4440000}"/>
    <cellStyle name="Input 28" xfId="17574" xr:uid="{00000000-0005-0000-0000-0000A5440000}"/>
    <cellStyle name="Input 29" xfId="17575" xr:uid="{00000000-0005-0000-0000-0000A6440000}"/>
    <cellStyle name="Input 29 2" xfId="17576" xr:uid="{00000000-0005-0000-0000-0000A7440000}"/>
    <cellStyle name="Input 3" xfId="17577" xr:uid="{00000000-0005-0000-0000-0000A8440000}"/>
    <cellStyle name="input 30" xfId="17578" xr:uid="{00000000-0005-0000-0000-0000A9440000}"/>
    <cellStyle name="input 31" xfId="17579" xr:uid="{00000000-0005-0000-0000-0000AA440000}"/>
    <cellStyle name="input 32" xfId="17580" xr:uid="{00000000-0005-0000-0000-0000AB440000}"/>
    <cellStyle name="input 33" xfId="17581" xr:uid="{00000000-0005-0000-0000-0000AC440000}"/>
    <cellStyle name="input 34" xfId="17582" xr:uid="{00000000-0005-0000-0000-0000AD440000}"/>
    <cellStyle name="input 35" xfId="17583" xr:uid="{00000000-0005-0000-0000-0000AE440000}"/>
    <cellStyle name="input 36" xfId="17584" xr:uid="{00000000-0005-0000-0000-0000AF440000}"/>
    <cellStyle name="input 37" xfId="17585" xr:uid="{00000000-0005-0000-0000-0000B0440000}"/>
    <cellStyle name="input 38" xfId="17586" xr:uid="{00000000-0005-0000-0000-0000B1440000}"/>
    <cellStyle name="Input 4" xfId="17587" xr:uid="{00000000-0005-0000-0000-0000B2440000}"/>
    <cellStyle name="Input 5" xfId="17588" xr:uid="{00000000-0005-0000-0000-0000B3440000}"/>
    <cellStyle name="Input 6" xfId="17589" xr:uid="{00000000-0005-0000-0000-0000B4440000}"/>
    <cellStyle name="Input 7" xfId="17590" xr:uid="{00000000-0005-0000-0000-0000B5440000}"/>
    <cellStyle name="input 7 2" xfId="17591" xr:uid="{00000000-0005-0000-0000-0000B6440000}"/>
    <cellStyle name="Input 8" xfId="17592" xr:uid="{00000000-0005-0000-0000-0000B7440000}"/>
    <cellStyle name="input 8 2" xfId="17593" xr:uid="{00000000-0005-0000-0000-0000B8440000}"/>
    <cellStyle name="Input 9" xfId="17594" xr:uid="{00000000-0005-0000-0000-0000B9440000}"/>
    <cellStyle name="Input cell" xfId="17595" xr:uid="{00000000-0005-0000-0000-0000BA440000}"/>
    <cellStyle name="Input cell 10" xfId="17596" xr:uid="{00000000-0005-0000-0000-0000BB440000}"/>
    <cellStyle name="Input cell 11" xfId="17597" xr:uid="{00000000-0005-0000-0000-0000BC440000}"/>
    <cellStyle name="Input cell 12" xfId="17598" xr:uid="{00000000-0005-0000-0000-0000BD440000}"/>
    <cellStyle name="Input cell 13" xfId="17599" xr:uid="{00000000-0005-0000-0000-0000BE440000}"/>
    <cellStyle name="Input cell 14" xfId="17600" xr:uid="{00000000-0005-0000-0000-0000BF440000}"/>
    <cellStyle name="Input cell 15" xfId="17601" xr:uid="{00000000-0005-0000-0000-0000C0440000}"/>
    <cellStyle name="Input cell 16" xfId="17602" xr:uid="{00000000-0005-0000-0000-0000C1440000}"/>
    <cellStyle name="Input cell 17" xfId="17603" xr:uid="{00000000-0005-0000-0000-0000C2440000}"/>
    <cellStyle name="Input cell 18" xfId="17604" xr:uid="{00000000-0005-0000-0000-0000C3440000}"/>
    <cellStyle name="Input cell 19" xfId="17605" xr:uid="{00000000-0005-0000-0000-0000C4440000}"/>
    <cellStyle name="Input cell 2" xfId="17606" xr:uid="{00000000-0005-0000-0000-0000C5440000}"/>
    <cellStyle name="Input cell 20" xfId="17607" xr:uid="{00000000-0005-0000-0000-0000C6440000}"/>
    <cellStyle name="Input cell 21" xfId="17608" xr:uid="{00000000-0005-0000-0000-0000C7440000}"/>
    <cellStyle name="Input cell 21 2" xfId="17609" xr:uid="{00000000-0005-0000-0000-0000C8440000}"/>
    <cellStyle name="Input cell 3" xfId="17610" xr:uid="{00000000-0005-0000-0000-0000C9440000}"/>
    <cellStyle name="Input cell 4" xfId="17611" xr:uid="{00000000-0005-0000-0000-0000CA440000}"/>
    <cellStyle name="Input cell 5" xfId="17612" xr:uid="{00000000-0005-0000-0000-0000CB440000}"/>
    <cellStyle name="Input cell 6" xfId="17613" xr:uid="{00000000-0005-0000-0000-0000CC440000}"/>
    <cellStyle name="Input cell 7" xfId="17614" xr:uid="{00000000-0005-0000-0000-0000CD440000}"/>
    <cellStyle name="Input cell 8" xfId="17615" xr:uid="{00000000-0005-0000-0000-0000CE440000}"/>
    <cellStyle name="Input cell 9" xfId="17616" xr:uid="{00000000-0005-0000-0000-0000CF440000}"/>
    <cellStyle name="input currency rates" xfId="17617" xr:uid="{00000000-0005-0000-0000-0000D0440000}"/>
    <cellStyle name="input currency rates 10" xfId="17618" xr:uid="{00000000-0005-0000-0000-0000D1440000}"/>
    <cellStyle name="input currency rates 11" xfId="17619" xr:uid="{00000000-0005-0000-0000-0000D2440000}"/>
    <cellStyle name="input currency rates 12" xfId="17620" xr:uid="{00000000-0005-0000-0000-0000D3440000}"/>
    <cellStyle name="input currency rates 13" xfId="17621" xr:uid="{00000000-0005-0000-0000-0000D4440000}"/>
    <cellStyle name="input currency rates 14" xfId="17622" xr:uid="{00000000-0005-0000-0000-0000D5440000}"/>
    <cellStyle name="input currency rates 15" xfId="17623" xr:uid="{00000000-0005-0000-0000-0000D6440000}"/>
    <cellStyle name="input currency rates 16" xfId="17624" xr:uid="{00000000-0005-0000-0000-0000D7440000}"/>
    <cellStyle name="input currency rates 17" xfId="17625" xr:uid="{00000000-0005-0000-0000-0000D8440000}"/>
    <cellStyle name="input currency rates 18" xfId="17626" xr:uid="{00000000-0005-0000-0000-0000D9440000}"/>
    <cellStyle name="input currency rates 19" xfId="17627" xr:uid="{00000000-0005-0000-0000-0000DA440000}"/>
    <cellStyle name="input currency rates 2" xfId="17628" xr:uid="{00000000-0005-0000-0000-0000DB440000}"/>
    <cellStyle name="input currency rates 20" xfId="17629" xr:uid="{00000000-0005-0000-0000-0000DC440000}"/>
    <cellStyle name="input currency rates 21" xfId="17630" xr:uid="{00000000-0005-0000-0000-0000DD440000}"/>
    <cellStyle name="input currency rates 21 2" xfId="17631" xr:uid="{00000000-0005-0000-0000-0000DE440000}"/>
    <cellStyle name="input currency rates 3" xfId="17632" xr:uid="{00000000-0005-0000-0000-0000DF440000}"/>
    <cellStyle name="input currency rates 4" xfId="17633" xr:uid="{00000000-0005-0000-0000-0000E0440000}"/>
    <cellStyle name="input currency rates 5" xfId="17634" xr:uid="{00000000-0005-0000-0000-0000E1440000}"/>
    <cellStyle name="input currency rates 6" xfId="17635" xr:uid="{00000000-0005-0000-0000-0000E2440000}"/>
    <cellStyle name="input currency rates 7" xfId="17636" xr:uid="{00000000-0005-0000-0000-0000E3440000}"/>
    <cellStyle name="input currency rates 8" xfId="17637" xr:uid="{00000000-0005-0000-0000-0000E4440000}"/>
    <cellStyle name="input currency rates 9" xfId="17638" xr:uid="{00000000-0005-0000-0000-0000E5440000}"/>
    <cellStyle name="Input0" xfId="17639" xr:uid="{00000000-0005-0000-0000-0000E6440000}"/>
    <cellStyle name="Input0 10" xfId="17640" xr:uid="{00000000-0005-0000-0000-0000E7440000}"/>
    <cellStyle name="Input0 11" xfId="17641" xr:uid="{00000000-0005-0000-0000-0000E8440000}"/>
    <cellStyle name="Input0 12" xfId="17642" xr:uid="{00000000-0005-0000-0000-0000E9440000}"/>
    <cellStyle name="Input0 13" xfId="17643" xr:uid="{00000000-0005-0000-0000-0000EA440000}"/>
    <cellStyle name="Input0 14" xfId="17644" xr:uid="{00000000-0005-0000-0000-0000EB440000}"/>
    <cellStyle name="Input0 15" xfId="17645" xr:uid="{00000000-0005-0000-0000-0000EC440000}"/>
    <cellStyle name="Input0 16" xfId="17646" xr:uid="{00000000-0005-0000-0000-0000ED440000}"/>
    <cellStyle name="Input0 17" xfId="17647" xr:uid="{00000000-0005-0000-0000-0000EE440000}"/>
    <cellStyle name="Input0 18" xfId="17648" xr:uid="{00000000-0005-0000-0000-0000EF440000}"/>
    <cellStyle name="Input0 19" xfId="17649" xr:uid="{00000000-0005-0000-0000-0000F0440000}"/>
    <cellStyle name="Input0 2" xfId="17650" xr:uid="{00000000-0005-0000-0000-0000F1440000}"/>
    <cellStyle name="Input0 20" xfId="17651" xr:uid="{00000000-0005-0000-0000-0000F2440000}"/>
    <cellStyle name="Input0 21" xfId="17652" xr:uid="{00000000-0005-0000-0000-0000F3440000}"/>
    <cellStyle name="Input0 3" xfId="17653" xr:uid="{00000000-0005-0000-0000-0000F4440000}"/>
    <cellStyle name="Input0 4" xfId="17654" xr:uid="{00000000-0005-0000-0000-0000F5440000}"/>
    <cellStyle name="Input0 5" xfId="17655" xr:uid="{00000000-0005-0000-0000-0000F6440000}"/>
    <cellStyle name="Input0 6" xfId="17656" xr:uid="{00000000-0005-0000-0000-0000F7440000}"/>
    <cellStyle name="Input0 7" xfId="17657" xr:uid="{00000000-0005-0000-0000-0000F8440000}"/>
    <cellStyle name="Input0 8" xfId="17658" xr:uid="{00000000-0005-0000-0000-0000F9440000}"/>
    <cellStyle name="Input0 9" xfId="17659" xr:uid="{00000000-0005-0000-0000-0000FA440000}"/>
    <cellStyle name="InputBlueFont" xfId="17660" xr:uid="{00000000-0005-0000-0000-0000FB440000}"/>
    <cellStyle name="InputBlueFont 10" xfId="17661" xr:uid="{00000000-0005-0000-0000-0000FC440000}"/>
    <cellStyle name="InputBlueFont 11" xfId="17662" xr:uid="{00000000-0005-0000-0000-0000FD440000}"/>
    <cellStyle name="InputBlueFont 12" xfId="17663" xr:uid="{00000000-0005-0000-0000-0000FE440000}"/>
    <cellStyle name="InputBlueFont 13" xfId="17664" xr:uid="{00000000-0005-0000-0000-0000FF440000}"/>
    <cellStyle name="InputBlueFont 14" xfId="17665" xr:uid="{00000000-0005-0000-0000-000000450000}"/>
    <cellStyle name="InputBlueFont 15" xfId="17666" xr:uid="{00000000-0005-0000-0000-000001450000}"/>
    <cellStyle name="InputBlueFont 16" xfId="17667" xr:uid="{00000000-0005-0000-0000-000002450000}"/>
    <cellStyle name="InputBlueFont 17" xfId="17668" xr:uid="{00000000-0005-0000-0000-000003450000}"/>
    <cellStyle name="InputBlueFont 18" xfId="17669" xr:uid="{00000000-0005-0000-0000-000004450000}"/>
    <cellStyle name="InputBlueFont 19" xfId="17670" xr:uid="{00000000-0005-0000-0000-000005450000}"/>
    <cellStyle name="InputBlueFont 2" xfId="17671" xr:uid="{00000000-0005-0000-0000-000006450000}"/>
    <cellStyle name="InputBlueFont 20" xfId="17672" xr:uid="{00000000-0005-0000-0000-000007450000}"/>
    <cellStyle name="InputBlueFont 21" xfId="17673" xr:uid="{00000000-0005-0000-0000-000008450000}"/>
    <cellStyle name="InputBlueFont 21 2" xfId="17674" xr:uid="{00000000-0005-0000-0000-000009450000}"/>
    <cellStyle name="InputBlueFont 3" xfId="17675" xr:uid="{00000000-0005-0000-0000-00000A450000}"/>
    <cellStyle name="InputBlueFont 4" xfId="17676" xr:uid="{00000000-0005-0000-0000-00000B450000}"/>
    <cellStyle name="InputBlueFont 5" xfId="17677" xr:uid="{00000000-0005-0000-0000-00000C450000}"/>
    <cellStyle name="InputBlueFont 6" xfId="17678" xr:uid="{00000000-0005-0000-0000-00000D450000}"/>
    <cellStyle name="InputBlueFont 7" xfId="17679" xr:uid="{00000000-0005-0000-0000-00000E450000}"/>
    <cellStyle name="InputBlueFont 8" xfId="17680" xr:uid="{00000000-0005-0000-0000-00000F450000}"/>
    <cellStyle name="InputBlueFont 9" xfId="17681" xr:uid="{00000000-0005-0000-0000-000010450000}"/>
    <cellStyle name="InputCurrency" xfId="17682" xr:uid="{00000000-0005-0000-0000-000011450000}"/>
    <cellStyle name="InputCurrency 10" xfId="17683" xr:uid="{00000000-0005-0000-0000-000012450000}"/>
    <cellStyle name="InputCurrency 11" xfId="17684" xr:uid="{00000000-0005-0000-0000-000013450000}"/>
    <cellStyle name="InputCurrency 12" xfId="17685" xr:uid="{00000000-0005-0000-0000-000014450000}"/>
    <cellStyle name="InputCurrency 13" xfId="17686" xr:uid="{00000000-0005-0000-0000-000015450000}"/>
    <cellStyle name="InputCurrency 14" xfId="17687" xr:uid="{00000000-0005-0000-0000-000016450000}"/>
    <cellStyle name="InputCurrency 15" xfId="17688" xr:uid="{00000000-0005-0000-0000-000017450000}"/>
    <cellStyle name="InputCurrency 16" xfId="17689" xr:uid="{00000000-0005-0000-0000-000018450000}"/>
    <cellStyle name="InputCurrency 17" xfId="17690" xr:uid="{00000000-0005-0000-0000-000019450000}"/>
    <cellStyle name="InputCurrency 18" xfId="17691" xr:uid="{00000000-0005-0000-0000-00001A450000}"/>
    <cellStyle name="InputCurrency 19" xfId="17692" xr:uid="{00000000-0005-0000-0000-00001B450000}"/>
    <cellStyle name="InputCurrency 2" xfId="17693" xr:uid="{00000000-0005-0000-0000-00001C450000}"/>
    <cellStyle name="InputCurrency 20" xfId="17694" xr:uid="{00000000-0005-0000-0000-00001D450000}"/>
    <cellStyle name="InputCurrency 21" xfId="17695" xr:uid="{00000000-0005-0000-0000-00001E450000}"/>
    <cellStyle name="InputCurrency 3" xfId="17696" xr:uid="{00000000-0005-0000-0000-00001F450000}"/>
    <cellStyle name="InputCurrency 4" xfId="17697" xr:uid="{00000000-0005-0000-0000-000020450000}"/>
    <cellStyle name="InputCurrency 5" xfId="17698" xr:uid="{00000000-0005-0000-0000-000021450000}"/>
    <cellStyle name="InputCurrency 6" xfId="17699" xr:uid="{00000000-0005-0000-0000-000022450000}"/>
    <cellStyle name="InputCurrency 7" xfId="17700" xr:uid="{00000000-0005-0000-0000-000023450000}"/>
    <cellStyle name="InputCurrency 8" xfId="17701" xr:uid="{00000000-0005-0000-0000-000024450000}"/>
    <cellStyle name="InputCurrency 9" xfId="17702" xr:uid="{00000000-0005-0000-0000-000025450000}"/>
    <cellStyle name="InputCurrency2" xfId="17703" xr:uid="{00000000-0005-0000-0000-000026450000}"/>
    <cellStyle name="InputCurrency2 10" xfId="17704" xr:uid="{00000000-0005-0000-0000-000027450000}"/>
    <cellStyle name="InputCurrency2 11" xfId="17705" xr:uid="{00000000-0005-0000-0000-000028450000}"/>
    <cellStyle name="InputCurrency2 12" xfId="17706" xr:uid="{00000000-0005-0000-0000-000029450000}"/>
    <cellStyle name="InputCurrency2 13" xfId="17707" xr:uid="{00000000-0005-0000-0000-00002A450000}"/>
    <cellStyle name="InputCurrency2 14" xfId="17708" xr:uid="{00000000-0005-0000-0000-00002B450000}"/>
    <cellStyle name="InputCurrency2 15" xfId="17709" xr:uid="{00000000-0005-0000-0000-00002C450000}"/>
    <cellStyle name="InputCurrency2 16" xfId="17710" xr:uid="{00000000-0005-0000-0000-00002D450000}"/>
    <cellStyle name="InputCurrency2 17" xfId="17711" xr:uid="{00000000-0005-0000-0000-00002E450000}"/>
    <cellStyle name="InputCurrency2 18" xfId="17712" xr:uid="{00000000-0005-0000-0000-00002F450000}"/>
    <cellStyle name="InputCurrency2 19" xfId="17713" xr:uid="{00000000-0005-0000-0000-000030450000}"/>
    <cellStyle name="InputCurrency2 2" xfId="17714" xr:uid="{00000000-0005-0000-0000-000031450000}"/>
    <cellStyle name="InputCurrency2 20" xfId="17715" xr:uid="{00000000-0005-0000-0000-000032450000}"/>
    <cellStyle name="InputCurrency2 21" xfId="17716" xr:uid="{00000000-0005-0000-0000-000033450000}"/>
    <cellStyle name="InputCurrency2 3" xfId="17717" xr:uid="{00000000-0005-0000-0000-000034450000}"/>
    <cellStyle name="InputCurrency2 4" xfId="17718" xr:uid="{00000000-0005-0000-0000-000035450000}"/>
    <cellStyle name="InputCurrency2 5" xfId="17719" xr:uid="{00000000-0005-0000-0000-000036450000}"/>
    <cellStyle name="InputCurrency2 6" xfId="17720" xr:uid="{00000000-0005-0000-0000-000037450000}"/>
    <cellStyle name="InputCurrency2 7" xfId="17721" xr:uid="{00000000-0005-0000-0000-000038450000}"/>
    <cellStyle name="InputCurrency2 8" xfId="17722" xr:uid="{00000000-0005-0000-0000-000039450000}"/>
    <cellStyle name="InputCurrency2 9" xfId="17723" xr:uid="{00000000-0005-0000-0000-00003A450000}"/>
    <cellStyle name="InputDate" xfId="17724" xr:uid="{00000000-0005-0000-0000-00003B450000}"/>
    <cellStyle name="InputDate 10" xfId="17725" xr:uid="{00000000-0005-0000-0000-00003C450000}"/>
    <cellStyle name="InputDate 11" xfId="17726" xr:uid="{00000000-0005-0000-0000-00003D450000}"/>
    <cellStyle name="InputDate 12" xfId="17727" xr:uid="{00000000-0005-0000-0000-00003E450000}"/>
    <cellStyle name="InputDate 13" xfId="17728" xr:uid="{00000000-0005-0000-0000-00003F450000}"/>
    <cellStyle name="InputDate 14" xfId="17729" xr:uid="{00000000-0005-0000-0000-000040450000}"/>
    <cellStyle name="InputDate 15" xfId="17730" xr:uid="{00000000-0005-0000-0000-000041450000}"/>
    <cellStyle name="InputDate 16" xfId="17731" xr:uid="{00000000-0005-0000-0000-000042450000}"/>
    <cellStyle name="InputDate 17" xfId="17732" xr:uid="{00000000-0005-0000-0000-000043450000}"/>
    <cellStyle name="InputDate 18" xfId="17733" xr:uid="{00000000-0005-0000-0000-000044450000}"/>
    <cellStyle name="InputDate 19" xfId="17734" xr:uid="{00000000-0005-0000-0000-000045450000}"/>
    <cellStyle name="InputDate 2" xfId="17735" xr:uid="{00000000-0005-0000-0000-000046450000}"/>
    <cellStyle name="InputDate 20" xfId="17736" xr:uid="{00000000-0005-0000-0000-000047450000}"/>
    <cellStyle name="InputDate 21" xfId="17737" xr:uid="{00000000-0005-0000-0000-000048450000}"/>
    <cellStyle name="InputDate 21 2" xfId="17738" xr:uid="{00000000-0005-0000-0000-000049450000}"/>
    <cellStyle name="InputDate 3" xfId="17739" xr:uid="{00000000-0005-0000-0000-00004A450000}"/>
    <cellStyle name="InputDate 4" xfId="17740" xr:uid="{00000000-0005-0000-0000-00004B450000}"/>
    <cellStyle name="InputDate 5" xfId="17741" xr:uid="{00000000-0005-0000-0000-00004C450000}"/>
    <cellStyle name="InputDate 6" xfId="17742" xr:uid="{00000000-0005-0000-0000-00004D450000}"/>
    <cellStyle name="InputDate 7" xfId="17743" xr:uid="{00000000-0005-0000-0000-00004E450000}"/>
    <cellStyle name="InputDate 8" xfId="17744" xr:uid="{00000000-0005-0000-0000-00004F450000}"/>
    <cellStyle name="InputDate 9" xfId="17745" xr:uid="{00000000-0005-0000-0000-000050450000}"/>
    <cellStyle name="InputNormal" xfId="17746" xr:uid="{00000000-0005-0000-0000-000051450000}"/>
    <cellStyle name="InputNormal 10" xfId="17747" xr:uid="{00000000-0005-0000-0000-000052450000}"/>
    <cellStyle name="InputNormal 11" xfId="17748" xr:uid="{00000000-0005-0000-0000-000053450000}"/>
    <cellStyle name="InputNormal 12" xfId="17749" xr:uid="{00000000-0005-0000-0000-000054450000}"/>
    <cellStyle name="InputNormal 13" xfId="17750" xr:uid="{00000000-0005-0000-0000-000055450000}"/>
    <cellStyle name="InputNormal 14" xfId="17751" xr:uid="{00000000-0005-0000-0000-000056450000}"/>
    <cellStyle name="InputNormal 15" xfId="17752" xr:uid="{00000000-0005-0000-0000-000057450000}"/>
    <cellStyle name="InputNormal 16" xfId="17753" xr:uid="{00000000-0005-0000-0000-000058450000}"/>
    <cellStyle name="InputNormal 17" xfId="17754" xr:uid="{00000000-0005-0000-0000-000059450000}"/>
    <cellStyle name="InputNormal 18" xfId="17755" xr:uid="{00000000-0005-0000-0000-00005A450000}"/>
    <cellStyle name="InputNormal 19" xfId="17756" xr:uid="{00000000-0005-0000-0000-00005B450000}"/>
    <cellStyle name="InputNormal 2" xfId="17757" xr:uid="{00000000-0005-0000-0000-00005C450000}"/>
    <cellStyle name="InputNormal 20" xfId="17758" xr:uid="{00000000-0005-0000-0000-00005D450000}"/>
    <cellStyle name="InputNormal 21" xfId="17759" xr:uid="{00000000-0005-0000-0000-00005E450000}"/>
    <cellStyle name="InputNormal 3" xfId="17760" xr:uid="{00000000-0005-0000-0000-00005F450000}"/>
    <cellStyle name="InputNormal 4" xfId="17761" xr:uid="{00000000-0005-0000-0000-000060450000}"/>
    <cellStyle name="InputNormal 5" xfId="17762" xr:uid="{00000000-0005-0000-0000-000061450000}"/>
    <cellStyle name="InputNormal 6" xfId="17763" xr:uid="{00000000-0005-0000-0000-000062450000}"/>
    <cellStyle name="InputNormal 7" xfId="17764" xr:uid="{00000000-0005-0000-0000-000063450000}"/>
    <cellStyle name="InputNormal 8" xfId="17765" xr:uid="{00000000-0005-0000-0000-000064450000}"/>
    <cellStyle name="InputNormal 9" xfId="17766" xr:uid="{00000000-0005-0000-0000-000065450000}"/>
    <cellStyle name="InputPercent1" xfId="17767" xr:uid="{00000000-0005-0000-0000-000066450000}"/>
    <cellStyle name="InputPercent1 10" xfId="17768" xr:uid="{00000000-0005-0000-0000-000067450000}"/>
    <cellStyle name="InputPercent1 11" xfId="17769" xr:uid="{00000000-0005-0000-0000-000068450000}"/>
    <cellStyle name="InputPercent1 12" xfId="17770" xr:uid="{00000000-0005-0000-0000-000069450000}"/>
    <cellStyle name="InputPercent1 13" xfId="17771" xr:uid="{00000000-0005-0000-0000-00006A450000}"/>
    <cellStyle name="InputPercent1 14" xfId="17772" xr:uid="{00000000-0005-0000-0000-00006B450000}"/>
    <cellStyle name="InputPercent1 15" xfId="17773" xr:uid="{00000000-0005-0000-0000-00006C450000}"/>
    <cellStyle name="InputPercent1 16" xfId="17774" xr:uid="{00000000-0005-0000-0000-00006D450000}"/>
    <cellStyle name="InputPercent1 17" xfId="17775" xr:uid="{00000000-0005-0000-0000-00006E450000}"/>
    <cellStyle name="InputPercent1 18" xfId="17776" xr:uid="{00000000-0005-0000-0000-00006F450000}"/>
    <cellStyle name="InputPercent1 19" xfId="17777" xr:uid="{00000000-0005-0000-0000-000070450000}"/>
    <cellStyle name="InputPercent1 2" xfId="17778" xr:uid="{00000000-0005-0000-0000-000071450000}"/>
    <cellStyle name="InputPercent1 20" xfId="17779" xr:uid="{00000000-0005-0000-0000-000072450000}"/>
    <cellStyle name="InputPercent1 21" xfId="17780" xr:uid="{00000000-0005-0000-0000-000073450000}"/>
    <cellStyle name="InputPercent1 21 2" xfId="17781" xr:uid="{00000000-0005-0000-0000-000074450000}"/>
    <cellStyle name="InputPercent1 3" xfId="17782" xr:uid="{00000000-0005-0000-0000-000075450000}"/>
    <cellStyle name="InputPercent1 4" xfId="17783" xr:uid="{00000000-0005-0000-0000-000076450000}"/>
    <cellStyle name="InputPercent1 5" xfId="17784" xr:uid="{00000000-0005-0000-0000-000077450000}"/>
    <cellStyle name="InputPercent1 6" xfId="17785" xr:uid="{00000000-0005-0000-0000-000078450000}"/>
    <cellStyle name="InputPercent1 7" xfId="17786" xr:uid="{00000000-0005-0000-0000-000079450000}"/>
    <cellStyle name="InputPercent1 8" xfId="17787" xr:uid="{00000000-0005-0000-0000-00007A450000}"/>
    <cellStyle name="InputPercent1 9" xfId="17788" xr:uid="{00000000-0005-0000-0000-00007B450000}"/>
    <cellStyle name="Integer" xfId="17789" xr:uid="{00000000-0005-0000-0000-00007C450000}"/>
    <cellStyle name="Integer 10" xfId="17790" xr:uid="{00000000-0005-0000-0000-00007D450000}"/>
    <cellStyle name="Integer 11" xfId="17791" xr:uid="{00000000-0005-0000-0000-00007E450000}"/>
    <cellStyle name="Integer 12" xfId="17792" xr:uid="{00000000-0005-0000-0000-00007F450000}"/>
    <cellStyle name="Integer 13" xfId="17793" xr:uid="{00000000-0005-0000-0000-000080450000}"/>
    <cellStyle name="Integer 14" xfId="17794" xr:uid="{00000000-0005-0000-0000-000081450000}"/>
    <cellStyle name="Integer 15" xfId="17795" xr:uid="{00000000-0005-0000-0000-000082450000}"/>
    <cellStyle name="Integer 16" xfId="17796" xr:uid="{00000000-0005-0000-0000-000083450000}"/>
    <cellStyle name="Integer 17" xfId="17797" xr:uid="{00000000-0005-0000-0000-000084450000}"/>
    <cellStyle name="Integer 18" xfId="17798" xr:uid="{00000000-0005-0000-0000-000085450000}"/>
    <cellStyle name="Integer 19" xfId="17799" xr:uid="{00000000-0005-0000-0000-000086450000}"/>
    <cellStyle name="Integer 2" xfId="17800" xr:uid="{00000000-0005-0000-0000-000087450000}"/>
    <cellStyle name="Integer 20" xfId="17801" xr:uid="{00000000-0005-0000-0000-000088450000}"/>
    <cellStyle name="Integer 21" xfId="17802" xr:uid="{00000000-0005-0000-0000-000089450000}"/>
    <cellStyle name="Integer 22" xfId="17803" xr:uid="{00000000-0005-0000-0000-00008A450000}"/>
    <cellStyle name="Integer 23" xfId="17804" xr:uid="{00000000-0005-0000-0000-00008B450000}"/>
    <cellStyle name="Integer 23 2" xfId="17805" xr:uid="{00000000-0005-0000-0000-00008C450000}"/>
    <cellStyle name="Integer 24" xfId="17806" xr:uid="{00000000-0005-0000-0000-00008D450000}"/>
    <cellStyle name="Integer 24 2" xfId="17807" xr:uid="{00000000-0005-0000-0000-00008E450000}"/>
    <cellStyle name="Integer 25" xfId="17808" xr:uid="{00000000-0005-0000-0000-00008F450000}"/>
    <cellStyle name="Integer 26" xfId="17809" xr:uid="{00000000-0005-0000-0000-000090450000}"/>
    <cellStyle name="Integer 27" xfId="17810" xr:uid="{00000000-0005-0000-0000-000091450000}"/>
    <cellStyle name="Integer 28" xfId="17811" xr:uid="{00000000-0005-0000-0000-000092450000}"/>
    <cellStyle name="Integer 29" xfId="17812" xr:uid="{00000000-0005-0000-0000-000093450000}"/>
    <cellStyle name="Integer 29 2" xfId="17813" xr:uid="{00000000-0005-0000-0000-000094450000}"/>
    <cellStyle name="Integer 3" xfId="17814" xr:uid="{00000000-0005-0000-0000-000095450000}"/>
    <cellStyle name="Integer 3 2" xfId="17815" xr:uid="{00000000-0005-0000-0000-000096450000}"/>
    <cellStyle name="Integer 30" xfId="17816" xr:uid="{00000000-0005-0000-0000-000097450000}"/>
    <cellStyle name="Integer 31" xfId="17817" xr:uid="{00000000-0005-0000-0000-000098450000}"/>
    <cellStyle name="Integer 32" xfId="17818" xr:uid="{00000000-0005-0000-0000-000099450000}"/>
    <cellStyle name="Integer 33" xfId="17819" xr:uid="{00000000-0005-0000-0000-00009A450000}"/>
    <cellStyle name="Integer 34" xfId="17820" xr:uid="{00000000-0005-0000-0000-00009B450000}"/>
    <cellStyle name="Integer 35" xfId="17821" xr:uid="{00000000-0005-0000-0000-00009C450000}"/>
    <cellStyle name="Integer 36" xfId="17822" xr:uid="{00000000-0005-0000-0000-00009D450000}"/>
    <cellStyle name="Integer 37" xfId="17823" xr:uid="{00000000-0005-0000-0000-00009E450000}"/>
    <cellStyle name="Integer 38" xfId="17824" xr:uid="{00000000-0005-0000-0000-00009F450000}"/>
    <cellStyle name="Integer 4" xfId="17825" xr:uid="{00000000-0005-0000-0000-0000A0450000}"/>
    <cellStyle name="Integer 4 2" xfId="17826" xr:uid="{00000000-0005-0000-0000-0000A1450000}"/>
    <cellStyle name="Integer 5" xfId="17827" xr:uid="{00000000-0005-0000-0000-0000A2450000}"/>
    <cellStyle name="Integer 5 2" xfId="17828" xr:uid="{00000000-0005-0000-0000-0000A3450000}"/>
    <cellStyle name="Integer 6" xfId="17829" xr:uid="{00000000-0005-0000-0000-0000A4450000}"/>
    <cellStyle name="Integer 6 2" xfId="17830" xr:uid="{00000000-0005-0000-0000-0000A5450000}"/>
    <cellStyle name="Integer 7" xfId="17831" xr:uid="{00000000-0005-0000-0000-0000A6450000}"/>
    <cellStyle name="Integer 7 2" xfId="17832" xr:uid="{00000000-0005-0000-0000-0000A7450000}"/>
    <cellStyle name="Integer 8" xfId="17833" xr:uid="{00000000-0005-0000-0000-0000A8450000}"/>
    <cellStyle name="Integer 8 2" xfId="17834" xr:uid="{00000000-0005-0000-0000-0000A9450000}"/>
    <cellStyle name="Integer 9" xfId="17835" xr:uid="{00000000-0005-0000-0000-0000AA450000}"/>
    <cellStyle name="Invisible" xfId="17836" xr:uid="{00000000-0005-0000-0000-0000AB450000}"/>
    <cellStyle name="Invisible 10" xfId="17837" xr:uid="{00000000-0005-0000-0000-0000AC450000}"/>
    <cellStyle name="Invisible 11" xfId="17838" xr:uid="{00000000-0005-0000-0000-0000AD450000}"/>
    <cellStyle name="Invisible 12" xfId="17839" xr:uid="{00000000-0005-0000-0000-0000AE450000}"/>
    <cellStyle name="Invisible 13" xfId="17840" xr:uid="{00000000-0005-0000-0000-0000AF450000}"/>
    <cellStyle name="Invisible 14" xfId="17841" xr:uid="{00000000-0005-0000-0000-0000B0450000}"/>
    <cellStyle name="Invisible 15" xfId="17842" xr:uid="{00000000-0005-0000-0000-0000B1450000}"/>
    <cellStyle name="Invisible 16" xfId="17843" xr:uid="{00000000-0005-0000-0000-0000B2450000}"/>
    <cellStyle name="Invisible 17" xfId="17844" xr:uid="{00000000-0005-0000-0000-0000B3450000}"/>
    <cellStyle name="Invisible 18" xfId="17845" xr:uid="{00000000-0005-0000-0000-0000B4450000}"/>
    <cellStyle name="Invisible 19" xfId="17846" xr:uid="{00000000-0005-0000-0000-0000B5450000}"/>
    <cellStyle name="Invisible 2" xfId="17847" xr:uid="{00000000-0005-0000-0000-0000B6450000}"/>
    <cellStyle name="Invisible 20" xfId="17848" xr:uid="{00000000-0005-0000-0000-0000B7450000}"/>
    <cellStyle name="Invisible 21" xfId="17849" xr:uid="{00000000-0005-0000-0000-0000B8450000}"/>
    <cellStyle name="Invisible 22" xfId="17850" xr:uid="{00000000-0005-0000-0000-0000B9450000}"/>
    <cellStyle name="Invisible 23" xfId="17851" xr:uid="{00000000-0005-0000-0000-0000BA450000}"/>
    <cellStyle name="Invisible 23 2" xfId="17852" xr:uid="{00000000-0005-0000-0000-0000BB450000}"/>
    <cellStyle name="Invisible 24" xfId="17853" xr:uid="{00000000-0005-0000-0000-0000BC450000}"/>
    <cellStyle name="Invisible 24 2" xfId="17854" xr:uid="{00000000-0005-0000-0000-0000BD450000}"/>
    <cellStyle name="Invisible 25" xfId="17855" xr:uid="{00000000-0005-0000-0000-0000BE450000}"/>
    <cellStyle name="Invisible 26" xfId="17856" xr:uid="{00000000-0005-0000-0000-0000BF450000}"/>
    <cellStyle name="Invisible 27" xfId="17857" xr:uid="{00000000-0005-0000-0000-0000C0450000}"/>
    <cellStyle name="Invisible 28" xfId="17858" xr:uid="{00000000-0005-0000-0000-0000C1450000}"/>
    <cellStyle name="Invisible 29" xfId="17859" xr:uid="{00000000-0005-0000-0000-0000C2450000}"/>
    <cellStyle name="Invisible 29 2" xfId="17860" xr:uid="{00000000-0005-0000-0000-0000C3450000}"/>
    <cellStyle name="Invisible 3" xfId="17861" xr:uid="{00000000-0005-0000-0000-0000C4450000}"/>
    <cellStyle name="Invisible 3 2" xfId="17862" xr:uid="{00000000-0005-0000-0000-0000C5450000}"/>
    <cellStyle name="Invisible 30" xfId="17863" xr:uid="{00000000-0005-0000-0000-0000C6450000}"/>
    <cellStyle name="Invisible 31" xfId="17864" xr:uid="{00000000-0005-0000-0000-0000C7450000}"/>
    <cellStyle name="Invisible 32" xfId="17865" xr:uid="{00000000-0005-0000-0000-0000C8450000}"/>
    <cellStyle name="Invisible 33" xfId="17866" xr:uid="{00000000-0005-0000-0000-0000C9450000}"/>
    <cellStyle name="Invisible 34" xfId="17867" xr:uid="{00000000-0005-0000-0000-0000CA450000}"/>
    <cellStyle name="Invisible 35" xfId="17868" xr:uid="{00000000-0005-0000-0000-0000CB450000}"/>
    <cellStyle name="Invisible 36" xfId="17869" xr:uid="{00000000-0005-0000-0000-0000CC450000}"/>
    <cellStyle name="Invisible 37" xfId="17870" xr:uid="{00000000-0005-0000-0000-0000CD450000}"/>
    <cellStyle name="Invisible 38" xfId="17871" xr:uid="{00000000-0005-0000-0000-0000CE450000}"/>
    <cellStyle name="Invisible 4" xfId="17872" xr:uid="{00000000-0005-0000-0000-0000CF450000}"/>
    <cellStyle name="Invisible 4 2" xfId="17873" xr:uid="{00000000-0005-0000-0000-0000D0450000}"/>
    <cellStyle name="Invisible 5" xfId="17874" xr:uid="{00000000-0005-0000-0000-0000D1450000}"/>
    <cellStyle name="Invisible 5 2" xfId="17875" xr:uid="{00000000-0005-0000-0000-0000D2450000}"/>
    <cellStyle name="Invisible 6" xfId="17876" xr:uid="{00000000-0005-0000-0000-0000D3450000}"/>
    <cellStyle name="Invisible 6 2" xfId="17877" xr:uid="{00000000-0005-0000-0000-0000D4450000}"/>
    <cellStyle name="Invisible 7" xfId="17878" xr:uid="{00000000-0005-0000-0000-0000D5450000}"/>
    <cellStyle name="Invisible 7 2" xfId="17879" xr:uid="{00000000-0005-0000-0000-0000D6450000}"/>
    <cellStyle name="Invisible 8" xfId="17880" xr:uid="{00000000-0005-0000-0000-0000D7450000}"/>
    <cellStyle name="Invisible 8 2" xfId="17881" xr:uid="{00000000-0005-0000-0000-0000D8450000}"/>
    <cellStyle name="Invisible 9" xfId="17882" xr:uid="{00000000-0005-0000-0000-0000D9450000}"/>
    <cellStyle name="Italics" xfId="17883" xr:uid="{00000000-0005-0000-0000-0000DA450000}"/>
    <cellStyle name="Italics 10" xfId="17884" xr:uid="{00000000-0005-0000-0000-0000DB450000}"/>
    <cellStyle name="Italics 11" xfId="17885" xr:uid="{00000000-0005-0000-0000-0000DC450000}"/>
    <cellStyle name="Italics 12" xfId="17886" xr:uid="{00000000-0005-0000-0000-0000DD450000}"/>
    <cellStyle name="Italics 13" xfId="17887" xr:uid="{00000000-0005-0000-0000-0000DE450000}"/>
    <cellStyle name="Italics 14" xfId="17888" xr:uid="{00000000-0005-0000-0000-0000DF450000}"/>
    <cellStyle name="Italics 15" xfId="17889" xr:uid="{00000000-0005-0000-0000-0000E0450000}"/>
    <cellStyle name="Italics 16" xfId="17890" xr:uid="{00000000-0005-0000-0000-0000E1450000}"/>
    <cellStyle name="Italics 17" xfId="17891" xr:uid="{00000000-0005-0000-0000-0000E2450000}"/>
    <cellStyle name="Italics 18" xfId="17892" xr:uid="{00000000-0005-0000-0000-0000E3450000}"/>
    <cellStyle name="Italics 19" xfId="17893" xr:uid="{00000000-0005-0000-0000-0000E4450000}"/>
    <cellStyle name="Italics 2" xfId="17894" xr:uid="{00000000-0005-0000-0000-0000E5450000}"/>
    <cellStyle name="Italics 20" xfId="17895" xr:uid="{00000000-0005-0000-0000-0000E6450000}"/>
    <cellStyle name="Italics 21" xfId="17896" xr:uid="{00000000-0005-0000-0000-0000E7450000}"/>
    <cellStyle name="Italics 21 2" xfId="17897" xr:uid="{00000000-0005-0000-0000-0000E8450000}"/>
    <cellStyle name="Italics 3" xfId="17898" xr:uid="{00000000-0005-0000-0000-0000E9450000}"/>
    <cellStyle name="Italics 4" xfId="17899" xr:uid="{00000000-0005-0000-0000-0000EA450000}"/>
    <cellStyle name="Italics 5" xfId="17900" xr:uid="{00000000-0005-0000-0000-0000EB450000}"/>
    <cellStyle name="Italics 6" xfId="17901" xr:uid="{00000000-0005-0000-0000-0000EC450000}"/>
    <cellStyle name="Italics 7" xfId="17902" xr:uid="{00000000-0005-0000-0000-0000ED450000}"/>
    <cellStyle name="Italics 8" xfId="17903" xr:uid="{00000000-0005-0000-0000-0000EE450000}"/>
    <cellStyle name="Italics 9" xfId="17904" xr:uid="{00000000-0005-0000-0000-0000EF450000}"/>
    <cellStyle name="Item" xfId="17905" xr:uid="{00000000-0005-0000-0000-0000F0450000}"/>
    <cellStyle name="Item 10" xfId="17906" xr:uid="{00000000-0005-0000-0000-0000F1450000}"/>
    <cellStyle name="Item 11" xfId="17907" xr:uid="{00000000-0005-0000-0000-0000F2450000}"/>
    <cellStyle name="Item 12" xfId="17908" xr:uid="{00000000-0005-0000-0000-0000F3450000}"/>
    <cellStyle name="Item 13" xfId="17909" xr:uid="{00000000-0005-0000-0000-0000F4450000}"/>
    <cellStyle name="Item 14" xfId="17910" xr:uid="{00000000-0005-0000-0000-0000F5450000}"/>
    <cellStyle name="Item 15" xfId="17911" xr:uid="{00000000-0005-0000-0000-0000F6450000}"/>
    <cellStyle name="Item 16" xfId="17912" xr:uid="{00000000-0005-0000-0000-0000F7450000}"/>
    <cellStyle name="Item 17" xfId="17913" xr:uid="{00000000-0005-0000-0000-0000F8450000}"/>
    <cellStyle name="Item 18" xfId="17914" xr:uid="{00000000-0005-0000-0000-0000F9450000}"/>
    <cellStyle name="Item 19" xfId="17915" xr:uid="{00000000-0005-0000-0000-0000FA450000}"/>
    <cellStyle name="Item 2" xfId="17916" xr:uid="{00000000-0005-0000-0000-0000FB450000}"/>
    <cellStyle name="Item 20" xfId="17917" xr:uid="{00000000-0005-0000-0000-0000FC450000}"/>
    <cellStyle name="Item 21" xfId="17918" xr:uid="{00000000-0005-0000-0000-0000FD450000}"/>
    <cellStyle name="Item 22" xfId="17919" xr:uid="{00000000-0005-0000-0000-0000FE450000}"/>
    <cellStyle name="Item 23" xfId="17920" xr:uid="{00000000-0005-0000-0000-0000FF450000}"/>
    <cellStyle name="Item 23 2" xfId="17921" xr:uid="{00000000-0005-0000-0000-000000460000}"/>
    <cellStyle name="Item 24" xfId="17922" xr:uid="{00000000-0005-0000-0000-000001460000}"/>
    <cellStyle name="Item 24 2" xfId="17923" xr:uid="{00000000-0005-0000-0000-000002460000}"/>
    <cellStyle name="Item 25" xfId="17924" xr:uid="{00000000-0005-0000-0000-000003460000}"/>
    <cellStyle name="Item 26" xfId="17925" xr:uid="{00000000-0005-0000-0000-000004460000}"/>
    <cellStyle name="Item 27" xfId="17926" xr:uid="{00000000-0005-0000-0000-000005460000}"/>
    <cellStyle name="Item 28" xfId="17927" xr:uid="{00000000-0005-0000-0000-000006460000}"/>
    <cellStyle name="Item 29" xfId="17928" xr:uid="{00000000-0005-0000-0000-000007460000}"/>
    <cellStyle name="Item 29 2" xfId="17929" xr:uid="{00000000-0005-0000-0000-000008460000}"/>
    <cellStyle name="Item 3" xfId="17930" xr:uid="{00000000-0005-0000-0000-000009460000}"/>
    <cellStyle name="Item 3 2" xfId="17931" xr:uid="{00000000-0005-0000-0000-00000A460000}"/>
    <cellStyle name="Item 30" xfId="17932" xr:uid="{00000000-0005-0000-0000-00000B460000}"/>
    <cellStyle name="Item 31" xfId="17933" xr:uid="{00000000-0005-0000-0000-00000C460000}"/>
    <cellStyle name="Item 32" xfId="17934" xr:uid="{00000000-0005-0000-0000-00000D460000}"/>
    <cellStyle name="Item 33" xfId="17935" xr:uid="{00000000-0005-0000-0000-00000E460000}"/>
    <cellStyle name="Item 34" xfId="17936" xr:uid="{00000000-0005-0000-0000-00000F460000}"/>
    <cellStyle name="Item 35" xfId="17937" xr:uid="{00000000-0005-0000-0000-000010460000}"/>
    <cellStyle name="Item 36" xfId="17938" xr:uid="{00000000-0005-0000-0000-000011460000}"/>
    <cellStyle name="Item 37" xfId="17939" xr:uid="{00000000-0005-0000-0000-000012460000}"/>
    <cellStyle name="Item 38" xfId="17940" xr:uid="{00000000-0005-0000-0000-000013460000}"/>
    <cellStyle name="Item 4" xfId="17941" xr:uid="{00000000-0005-0000-0000-000014460000}"/>
    <cellStyle name="Item 4 2" xfId="17942" xr:uid="{00000000-0005-0000-0000-000015460000}"/>
    <cellStyle name="Item 5" xfId="17943" xr:uid="{00000000-0005-0000-0000-000016460000}"/>
    <cellStyle name="Item 5 2" xfId="17944" xr:uid="{00000000-0005-0000-0000-000017460000}"/>
    <cellStyle name="Item 6" xfId="17945" xr:uid="{00000000-0005-0000-0000-000018460000}"/>
    <cellStyle name="Item 6 2" xfId="17946" xr:uid="{00000000-0005-0000-0000-000019460000}"/>
    <cellStyle name="Item 7" xfId="17947" xr:uid="{00000000-0005-0000-0000-00001A460000}"/>
    <cellStyle name="Item 7 2" xfId="17948" xr:uid="{00000000-0005-0000-0000-00001B460000}"/>
    <cellStyle name="Item 8" xfId="17949" xr:uid="{00000000-0005-0000-0000-00001C460000}"/>
    <cellStyle name="Item 8 2" xfId="17950" xr:uid="{00000000-0005-0000-0000-00001D460000}"/>
    <cellStyle name="Item 9" xfId="17951" xr:uid="{00000000-0005-0000-0000-00001E460000}"/>
    <cellStyle name="ItemTypeClass" xfId="17952" xr:uid="{00000000-0005-0000-0000-00001F460000}"/>
    <cellStyle name="ItemTypeClass 10" xfId="17953" xr:uid="{00000000-0005-0000-0000-000020460000}"/>
    <cellStyle name="ItemTypeClass 11" xfId="17954" xr:uid="{00000000-0005-0000-0000-000021460000}"/>
    <cellStyle name="ItemTypeClass 12" xfId="17955" xr:uid="{00000000-0005-0000-0000-000022460000}"/>
    <cellStyle name="ItemTypeClass 13" xfId="17956" xr:uid="{00000000-0005-0000-0000-000023460000}"/>
    <cellStyle name="ItemTypeClass 14" xfId="17957" xr:uid="{00000000-0005-0000-0000-000024460000}"/>
    <cellStyle name="ItemTypeClass 15" xfId="17958" xr:uid="{00000000-0005-0000-0000-000025460000}"/>
    <cellStyle name="ItemTypeClass 16" xfId="17959" xr:uid="{00000000-0005-0000-0000-000026460000}"/>
    <cellStyle name="ItemTypeClass 17" xfId="17960" xr:uid="{00000000-0005-0000-0000-000027460000}"/>
    <cellStyle name="ItemTypeClass 18" xfId="17961" xr:uid="{00000000-0005-0000-0000-000028460000}"/>
    <cellStyle name="ItemTypeClass 19" xfId="17962" xr:uid="{00000000-0005-0000-0000-000029460000}"/>
    <cellStyle name="ItemTypeClass 2" xfId="17963" xr:uid="{00000000-0005-0000-0000-00002A460000}"/>
    <cellStyle name="ItemTypeClass 20" xfId="17964" xr:uid="{00000000-0005-0000-0000-00002B460000}"/>
    <cellStyle name="ItemTypeClass 21" xfId="17965" xr:uid="{00000000-0005-0000-0000-00002C460000}"/>
    <cellStyle name="ItemTypeClass 22" xfId="17966" xr:uid="{00000000-0005-0000-0000-00002D460000}"/>
    <cellStyle name="ItemTypeClass 23" xfId="17967" xr:uid="{00000000-0005-0000-0000-00002E460000}"/>
    <cellStyle name="ItemTypeClass 23 2" xfId="17968" xr:uid="{00000000-0005-0000-0000-00002F460000}"/>
    <cellStyle name="ItemTypeClass 24" xfId="17969" xr:uid="{00000000-0005-0000-0000-000030460000}"/>
    <cellStyle name="ItemTypeClass 24 2" xfId="17970" xr:uid="{00000000-0005-0000-0000-000031460000}"/>
    <cellStyle name="ItemTypeClass 25" xfId="17971" xr:uid="{00000000-0005-0000-0000-000032460000}"/>
    <cellStyle name="ItemTypeClass 26" xfId="17972" xr:uid="{00000000-0005-0000-0000-000033460000}"/>
    <cellStyle name="ItemTypeClass 27" xfId="17973" xr:uid="{00000000-0005-0000-0000-000034460000}"/>
    <cellStyle name="ItemTypeClass 28" xfId="17974" xr:uid="{00000000-0005-0000-0000-000035460000}"/>
    <cellStyle name="ItemTypeClass 29" xfId="17975" xr:uid="{00000000-0005-0000-0000-000036460000}"/>
    <cellStyle name="ItemTypeClass 29 2" xfId="17976" xr:uid="{00000000-0005-0000-0000-000037460000}"/>
    <cellStyle name="ItemTypeClass 3" xfId="17977" xr:uid="{00000000-0005-0000-0000-000038460000}"/>
    <cellStyle name="ItemTypeClass 3 2" xfId="17978" xr:uid="{00000000-0005-0000-0000-000039460000}"/>
    <cellStyle name="ItemTypeClass 30" xfId="17979" xr:uid="{00000000-0005-0000-0000-00003A460000}"/>
    <cellStyle name="ItemTypeClass 31" xfId="17980" xr:uid="{00000000-0005-0000-0000-00003B460000}"/>
    <cellStyle name="ItemTypeClass 32" xfId="17981" xr:uid="{00000000-0005-0000-0000-00003C460000}"/>
    <cellStyle name="ItemTypeClass 33" xfId="17982" xr:uid="{00000000-0005-0000-0000-00003D460000}"/>
    <cellStyle name="ItemTypeClass 34" xfId="17983" xr:uid="{00000000-0005-0000-0000-00003E460000}"/>
    <cellStyle name="ItemTypeClass 35" xfId="17984" xr:uid="{00000000-0005-0000-0000-00003F460000}"/>
    <cellStyle name="ItemTypeClass 36" xfId="17985" xr:uid="{00000000-0005-0000-0000-000040460000}"/>
    <cellStyle name="ItemTypeClass 37" xfId="17986" xr:uid="{00000000-0005-0000-0000-000041460000}"/>
    <cellStyle name="ItemTypeClass 38" xfId="17987" xr:uid="{00000000-0005-0000-0000-000042460000}"/>
    <cellStyle name="ItemTypeClass 4" xfId="17988" xr:uid="{00000000-0005-0000-0000-000043460000}"/>
    <cellStyle name="ItemTypeClass 4 2" xfId="17989" xr:uid="{00000000-0005-0000-0000-000044460000}"/>
    <cellStyle name="ItemTypeClass 5" xfId="17990" xr:uid="{00000000-0005-0000-0000-000045460000}"/>
    <cellStyle name="ItemTypeClass 5 2" xfId="17991" xr:uid="{00000000-0005-0000-0000-000046460000}"/>
    <cellStyle name="ItemTypeClass 6" xfId="17992" xr:uid="{00000000-0005-0000-0000-000047460000}"/>
    <cellStyle name="ItemTypeClass 6 2" xfId="17993" xr:uid="{00000000-0005-0000-0000-000048460000}"/>
    <cellStyle name="ItemTypeClass 7" xfId="17994" xr:uid="{00000000-0005-0000-0000-000049460000}"/>
    <cellStyle name="ItemTypeClass 7 2" xfId="17995" xr:uid="{00000000-0005-0000-0000-00004A460000}"/>
    <cellStyle name="ItemTypeClass 8" xfId="17996" xr:uid="{00000000-0005-0000-0000-00004B460000}"/>
    <cellStyle name="ItemTypeClass 8 2" xfId="17997" xr:uid="{00000000-0005-0000-0000-00004C460000}"/>
    <cellStyle name="ItemTypeClass 9" xfId="17998" xr:uid="{00000000-0005-0000-0000-00004D460000}"/>
    <cellStyle name="James" xfId="17999" xr:uid="{00000000-0005-0000-0000-00004E460000}"/>
    <cellStyle name="James 10" xfId="18000" xr:uid="{00000000-0005-0000-0000-00004F460000}"/>
    <cellStyle name="James 11" xfId="18001" xr:uid="{00000000-0005-0000-0000-000050460000}"/>
    <cellStyle name="James 12" xfId="18002" xr:uid="{00000000-0005-0000-0000-000051460000}"/>
    <cellStyle name="James 13" xfId="18003" xr:uid="{00000000-0005-0000-0000-000052460000}"/>
    <cellStyle name="James 14" xfId="18004" xr:uid="{00000000-0005-0000-0000-000053460000}"/>
    <cellStyle name="James 15" xfId="18005" xr:uid="{00000000-0005-0000-0000-000054460000}"/>
    <cellStyle name="James 16" xfId="18006" xr:uid="{00000000-0005-0000-0000-000055460000}"/>
    <cellStyle name="James 17" xfId="18007" xr:uid="{00000000-0005-0000-0000-000056460000}"/>
    <cellStyle name="James 18" xfId="18008" xr:uid="{00000000-0005-0000-0000-000057460000}"/>
    <cellStyle name="James 19" xfId="18009" xr:uid="{00000000-0005-0000-0000-000058460000}"/>
    <cellStyle name="James 2" xfId="18010" xr:uid="{00000000-0005-0000-0000-000059460000}"/>
    <cellStyle name="James 20" xfId="18011" xr:uid="{00000000-0005-0000-0000-00005A460000}"/>
    <cellStyle name="James 21" xfId="18012" xr:uid="{00000000-0005-0000-0000-00005B460000}"/>
    <cellStyle name="James 22" xfId="18013" xr:uid="{00000000-0005-0000-0000-00005C460000}"/>
    <cellStyle name="James 23" xfId="18014" xr:uid="{00000000-0005-0000-0000-00005D460000}"/>
    <cellStyle name="James 24" xfId="18015" xr:uid="{00000000-0005-0000-0000-00005E460000}"/>
    <cellStyle name="James 25" xfId="18016" xr:uid="{00000000-0005-0000-0000-00005F460000}"/>
    <cellStyle name="James 26" xfId="18017" xr:uid="{00000000-0005-0000-0000-000060460000}"/>
    <cellStyle name="James 27" xfId="18018" xr:uid="{00000000-0005-0000-0000-000061460000}"/>
    <cellStyle name="James 28" xfId="18019" xr:uid="{00000000-0005-0000-0000-000062460000}"/>
    <cellStyle name="James 29" xfId="18020" xr:uid="{00000000-0005-0000-0000-000063460000}"/>
    <cellStyle name="James 29 2" xfId="18021" xr:uid="{00000000-0005-0000-0000-000064460000}"/>
    <cellStyle name="James 3" xfId="18022" xr:uid="{00000000-0005-0000-0000-000065460000}"/>
    <cellStyle name="James 30" xfId="18023" xr:uid="{00000000-0005-0000-0000-000066460000}"/>
    <cellStyle name="James 31" xfId="18024" xr:uid="{00000000-0005-0000-0000-000067460000}"/>
    <cellStyle name="James 32" xfId="18025" xr:uid="{00000000-0005-0000-0000-000068460000}"/>
    <cellStyle name="James 33" xfId="18026" xr:uid="{00000000-0005-0000-0000-000069460000}"/>
    <cellStyle name="James 34" xfId="18027" xr:uid="{00000000-0005-0000-0000-00006A460000}"/>
    <cellStyle name="James 35" xfId="18028" xr:uid="{00000000-0005-0000-0000-00006B460000}"/>
    <cellStyle name="James 36" xfId="18029" xr:uid="{00000000-0005-0000-0000-00006C460000}"/>
    <cellStyle name="James 37" xfId="18030" xr:uid="{00000000-0005-0000-0000-00006D460000}"/>
    <cellStyle name="James 38" xfId="18031" xr:uid="{00000000-0005-0000-0000-00006E460000}"/>
    <cellStyle name="James 4" xfId="18032" xr:uid="{00000000-0005-0000-0000-00006F460000}"/>
    <cellStyle name="James 5" xfId="18033" xr:uid="{00000000-0005-0000-0000-000070460000}"/>
    <cellStyle name="James 6" xfId="18034" xr:uid="{00000000-0005-0000-0000-000071460000}"/>
    <cellStyle name="James 7" xfId="18035" xr:uid="{00000000-0005-0000-0000-000072460000}"/>
    <cellStyle name="James 8" xfId="18036" xr:uid="{00000000-0005-0000-0000-000073460000}"/>
    <cellStyle name="James 9" xfId="18037" xr:uid="{00000000-0005-0000-0000-000074460000}"/>
    <cellStyle name="k" xfId="18038" xr:uid="{00000000-0005-0000-0000-000075460000}"/>
    <cellStyle name="k 10" xfId="18039" xr:uid="{00000000-0005-0000-0000-000076460000}"/>
    <cellStyle name="k 11" xfId="18040" xr:uid="{00000000-0005-0000-0000-000077460000}"/>
    <cellStyle name="k 12" xfId="18041" xr:uid="{00000000-0005-0000-0000-000078460000}"/>
    <cellStyle name="k 13" xfId="18042" xr:uid="{00000000-0005-0000-0000-000079460000}"/>
    <cellStyle name="k 14" xfId="18043" xr:uid="{00000000-0005-0000-0000-00007A460000}"/>
    <cellStyle name="k 15" xfId="18044" xr:uid="{00000000-0005-0000-0000-00007B460000}"/>
    <cellStyle name="k 16" xfId="18045" xr:uid="{00000000-0005-0000-0000-00007C460000}"/>
    <cellStyle name="k 17" xfId="18046" xr:uid="{00000000-0005-0000-0000-00007D460000}"/>
    <cellStyle name="k 18" xfId="18047" xr:uid="{00000000-0005-0000-0000-00007E460000}"/>
    <cellStyle name="k 19" xfId="18048" xr:uid="{00000000-0005-0000-0000-00007F460000}"/>
    <cellStyle name="k 2" xfId="18049" xr:uid="{00000000-0005-0000-0000-000080460000}"/>
    <cellStyle name="k 20" xfId="18050" xr:uid="{00000000-0005-0000-0000-000081460000}"/>
    <cellStyle name="k 21" xfId="18051" xr:uid="{00000000-0005-0000-0000-000082460000}"/>
    <cellStyle name="k 21 2" xfId="18052" xr:uid="{00000000-0005-0000-0000-000083460000}"/>
    <cellStyle name="k 3" xfId="18053" xr:uid="{00000000-0005-0000-0000-000084460000}"/>
    <cellStyle name="k 4" xfId="18054" xr:uid="{00000000-0005-0000-0000-000085460000}"/>
    <cellStyle name="k 5" xfId="18055" xr:uid="{00000000-0005-0000-0000-000086460000}"/>
    <cellStyle name="k 6" xfId="18056" xr:uid="{00000000-0005-0000-0000-000087460000}"/>
    <cellStyle name="k 7" xfId="18057" xr:uid="{00000000-0005-0000-0000-000088460000}"/>
    <cellStyle name="k 8" xfId="18058" xr:uid="{00000000-0005-0000-0000-000089460000}"/>
    <cellStyle name="k 9" xfId="18059" xr:uid="{00000000-0005-0000-0000-00008A460000}"/>
    <cellStyle name="Komma [0]_Blad1" xfId="18060" xr:uid="{00000000-0005-0000-0000-00008B460000}"/>
    <cellStyle name="Komma_Blad1" xfId="18061" xr:uid="{00000000-0005-0000-0000-00008C460000}"/>
    <cellStyle name="KP_Normal" xfId="18062" xr:uid="{00000000-0005-0000-0000-00008D460000}"/>
    <cellStyle name="Lable8Left" xfId="18063" xr:uid="{00000000-0005-0000-0000-00008E460000}"/>
    <cellStyle name="Lable8Left 10" xfId="18064" xr:uid="{00000000-0005-0000-0000-00008F460000}"/>
    <cellStyle name="Lable8Left 11" xfId="18065" xr:uid="{00000000-0005-0000-0000-000090460000}"/>
    <cellStyle name="Lable8Left 12" xfId="18066" xr:uid="{00000000-0005-0000-0000-000091460000}"/>
    <cellStyle name="Lable8Left 13" xfId="18067" xr:uid="{00000000-0005-0000-0000-000092460000}"/>
    <cellStyle name="Lable8Left 14" xfId="18068" xr:uid="{00000000-0005-0000-0000-000093460000}"/>
    <cellStyle name="Lable8Left 15" xfId="18069" xr:uid="{00000000-0005-0000-0000-000094460000}"/>
    <cellStyle name="Lable8Left 16" xfId="18070" xr:uid="{00000000-0005-0000-0000-000095460000}"/>
    <cellStyle name="Lable8Left 17" xfId="18071" xr:uid="{00000000-0005-0000-0000-000096460000}"/>
    <cellStyle name="Lable8Left 18" xfId="18072" xr:uid="{00000000-0005-0000-0000-000097460000}"/>
    <cellStyle name="Lable8Left 19" xfId="18073" xr:uid="{00000000-0005-0000-0000-000098460000}"/>
    <cellStyle name="Lable8Left 2" xfId="18074" xr:uid="{00000000-0005-0000-0000-000099460000}"/>
    <cellStyle name="Lable8Left 2 2" xfId="18075" xr:uid="{00000000-0005-0000-0000-00009A460000}"/>
    <cellStyle name="Lable8Left 20" xfId="18076" xr:uid="{00000000-0005-0000-0000-00009B460000}"/>
    <cellStyle name="Lable8Left 21" xfId="18077" xr:uid="{00000000-0005-0000-0000-00009C460000}"/>
    <cellStyle name="Lable8Left 22" xfId="18078" xr:uid="{00000000-0005-0000-0000-00009D460000}"/>
    <cellStyle name="Lable8Left 23" xfId="18079" xr:uid="{00000000-0005-0000-0000-00009E460000}"/>
    <cellStyle name="Lable8Left 23 2" xfId="18080" xr:uid="{00000000-0005-0000-0000-00009F460000}"/>
    <cellStyle name="Lable8Left 3" xfId="18081" xr:uid="{00000000-0005-0000-0000-0000A0460000}"/>
    <cellStyle name="Lable8Left 3 2" xfId="18082" xr:uid="{00000000-0005-0000-0000-0000A1460000}"/>
    <cellStyle name="Lable8Left 4" xfId="18083" xr:uid="{00000000-0005-0000-0000-0000A2460000}"/>
    <cellStyle name="Lable8Left 5" xfId="18084" xr:uid="{00000000-0005-0000-0000-0000A3460000}"/>
    <cellStyle name="Lable8Left 6" xfId="18085" xr:uid="{00000000-0005-0000-0000-0000A4460000}"/>
    <cellStyle name="Lable8Left 7" xfId="18086" xr:uid="{00000000-0005-0000-0000-0000A5460000}"/>
    <cellStyle name="Lable8Left 8" xfId="18087" xr:uid="{00000000-0005-0000-0000-0000A6460000}"/>
    <cellStyle name="Lable8Left 9" xfId="18088" xr:uid="{00000000-0005-0000-0000-0000A7460000}"/>
    <cellStyle name="Large Page Heading" xfId="18089" xr:uid="{00000000-0005-0000-0000-0000A8460000}"/>
    <cellStyle name="lev1" xfId="18090" xr:uid="{00000000-0005-0000-0000-0000A9460000}"/>
    <cellStyle name="lev1 10" xfId="18091" xr:uid="{00000000-0005-0000-0000-0000AA460000}"/>
    <cellStyle name="lev1 11" xfId="18092" xr:uid="{00000000-0005-0000-0000-0000AB460000}"/>
    <cellStyle name="lev1 12" xfId="18093" xr:uid="{00000000-0005-0000-0000-0000AC460000}"/>
    <cellStyle name="lev1 13" xfId="18094" xr:uid="{00000000-0005-0000-0000-0000AD460000}"/>
    <cellStyle name="lev1 14" xfId="18095" xr:uid="{00000000-0005-0000-0000-0000AE460000}"/>
    <cellStyle name="lev1 15" xfId="18096" xr:uid="{00000000-0005-0000-0000-0000AF460000}"/>
    <cellStyle name="lev1 16" xfId="18097" xr:uid="{00000000-0005-0000-0000-0000B0460000}"/>
    <cellStyle name="lev1 17" xfId="18098" xr:uid="{00000000-0005-0000-0000-0000B1460000}"/>
    <cellStyle name="lev1 18" xfId="18099" xr:uid="{00000000-0005-0000-0000-0000B2460000}"/>
    <cellStyle name="lev1 19" xfId="18100" xr:uid="{00000000-0005-0000-0000-0000B3460000}"/>
    <cellStyle name="lev1 2" xfId="18101" xr:uid="{00000000-0005-0000-0000-0000B4460000}"/>
    <cellStyle name="lev1 20" xfId="18102" xr:uid="{00000000-0005-0000-0000-0000B5460000}"/>
    <cellStyle name="lev1 21" xfId="18103" xr:uid="{00000000-0005-0000-0000-0000B6460000}"/>
    <cellStyle name="lev1 21 2" xfId="18104" xr:uid="{00000000-0005-0000-0000-0000B7460000}"/>
    <cellStyle name="lev1 3" xfId="18105" xr:uid="{00000000-0005-0000-0000-0000B8460000}"/>
    <cellStyle name="lev1 4" xfId="18106" xr:uid="{00000000-0005-0000-0000-0000B9460000}"/>
    <cellStyle name="lev1 5" xfId="18107" xr:uid="{00000000-0005-0000-0000-0000BA460000}"/>
    <cellStyle name="lev1 6" xfId="18108" xr:uid="{00000000-0005-0000-0000-0000BB460000}"/>
    <cellStyle name="lev1 7" xfId="18109" xr:uid="{00000000-0005-0000-0000-0000BC460000}"/>
    <cellStyle name="lev1 8" xfId="18110" xr:uid="{00000000-0005-0000-0000-0000BD460000}"/>
    <cellStyle name="lev1 9" xfId="18111" xr:uid="{00000000-0005-0000-0000-0000BE460000}"/>
    <cellStyle name="lev2" xfId="18112" xr:uid="{00000000-0005-0000-0000-0000BF460000}"/>
    <cellStyle name="lev2 10" xfId="18113" xr:uid="{00000000-0005-0000-0000-0000C0460000}"/>
    <cellStyle name="lev2 11" xfId="18114" xr:uid="{00000000-0005-0000-0000-0000C1460000}"/>
    <cellStyle name="lev2 12" xfId="18115" xr:uid="{00000000-0005-0000-0000-0000C2460000}"/>
    <cellStyle name="lev2 13" xfId="18116" xr:uid="{00000000-0005-0000-0000-0000C3460000}"/>
    <cellStyle name="lev2 14" xfId="18117" xr:uid="{00000000-0005-0000-0000-0000C4460000}"/>
    <cellStyle name="lev2 15" xfId="18118" xr:uid="{00000000-0005-0000-0000-0000C5460000}"/>
    <cellStyle name="lev2 16" xfId="18119" xr:uid="{00000000-0005-0000-0000-0000C6460000}"/>
    <cellStyle name="lev2 17" xfId="18120" xr:uid="{00000000-0005-0000-0000-0000C7460000}"/>
    <cellStyle name="lev2 18" xfId="18121" xr:uid="{00000000-0005-0000-0000-0000C8460000}"/>
    <cellStyle name="lev2 19" xfId="18122" xr:uid="{00000000-0005-0000-0000-0000C9460000}"/>
    <cellStyle name="lev2 2" xfId="18123" xr:uid="{00000000-0005-0000-0000-0000CA460000}"/>
    <cellStyle name="lev2 20" xfId="18124" xr:uid="{00000000-0005-0000-0000-0000CB460000}"/>
    <cellStyle name="lev2 21" xfId="18125" xr:uid="{00000000-0005-0000-0000-0000CC460000}"/>
    <cellStyle name="lev2 21 2" xfId="18126" xr:uid="{00000000-0005-0000-0000-0000CD460000}"/>
    <cellStyle name="lev2 3" xfId="18127" xr:uid="{00000000-0005-0000-0000-0000CE460000}"/>
    <cellStyle name="lev2 4" xfId="18128" xr:uid="{00000000-0005-0000-0000-0000CF460000}"/>
    <cellStyle name="lev2 5" xfId="18129" xr:uid="{00000000-0005-0000-0000-0000D0460000}"/>
    <cellStyle name="lev2 6" xfId="18130" xr:uid="{00000000-0005-0000-0000-0000D1460000}"/>
    <cellStyle name="lev2 7" xfId="18131" xr:uid="{00000000-0005-0000-0000-0000D2460000}"/>
    <cellStyle name="lev2 8" xfId="18132" xr:uid="{00000000-0005-0000-0000-0000D3460000}"/>
    <cellStyle name="lev2 9" xfId="18133" xr:uid="{00000000-0005-0000-0000-0000D4460000}"/>
    <cellStyle name="lev3" xfId="18134" xr:uid="{00000000-0005-0000-0000-0000D5460000}"/>
    <cellStyle name="lev3 10" xfId="18135" xr:uid="{00000000-0005-0000-0000-0000D6460000}"/>
    <cellStyle name="lev3 11" xfId="18136" xr:uid="{00000000-0005-0000-0000-0000D7460000}"/>
    <cellStyle name="lev3 12" xfId="18137" xr:uid="{00000000-0005-0000-0000-0000D8460000}"/>
    <cellStyle name="lev3 13" xfId="18138" xr:uid="{00000000-0005-0000-0000-0000D9460000}"/>
    <cellStyle name="lev3 14" xfId="18139" xr:uid="{00000000-0005-0000-0000-0000DA460000}"/>
    <cellStyle name="lev3 15" xfId="18140" xr:uid="{00000000-0005-0000-0000-0000DB460000}"/>
    <cellStyle name="lev3 16" xfId="18141" xr:uid="{00000000-0005-0000-0000-0000DC460000}"/>
    <cellStyle name="lev3 17" xfId="18142" xr:uid="{00000000-0005-0000-0000-0000DD460000}"/>
    <cellStyle name="lev3 18" xfId="18143" xr:uid="{00000000-0005-0000-0000-0000DE460000}"/>
    <cellStyle name="lev3 19" xfId="18144" xr:uid="{00000000-0005-0000-0000-0000DF460000}"/>
    <cellStyle name="lev3 2" xfId="18145" xr:uid="{00000000-0005-0000-0000-0000E0460000}"/>
    <cellStyle name="lev3 20" xfId="18146" xr:uid="{00000000-0005-0000-0000-0000E1460000}"/>
    <cellStyle name="lev3 21" xfId="18147" xr:uid="{00000000-0005-0000-0000-0000E2460000}"/>
    <cellStyle name="lev3 21 2" xfId="18148" xr:uid="{00000000-0005-0000-0000-0000E3460000}"/>
    <cellStyle name="lev3 3" xfId="18149" xr:uid="{00000000-0005-0000-0000-0000E4460000}"/>
    <cellStyle name="lev3 4" xfId="18150" xr:uid="{00000000-0005-0000-0000-0000E5460000}"/>
    <cellStyle name="lev3 5" xfId="18151" xr:uid="{00000000-0005-0000-0000-0000E6460000}"/>
    <cellStyle name="lev3 6" xfId="18152" xr:uid="{00000000-0005-0000-0000-0000E7460000}"/>
    <cellStyle name="lev3 7" xfId="18153" xr:uid="{00000000-0005-0000-0000-0000E8460000}"/>
    <cellStyle name="lev3 8" xfId="18154" xr:uid="{00000000-0005-0000-0000-0000E9460000}"/>
    <cellStyle name="lev3 9" xfId="18155" xr:uid="{00000000-0005-0000-0000-0000EA460000}"/>
    <cellStyle name="lev4" xfId="18156" xr:uid="{00000000-0005-0000-0000-0000EB460000}"/>
    <cellStyle name="lev4 10" xfId="18157" xr:uid="{00000000-0005-0000-0000-0000EC460000}"/>
    <cellStyle name="lev4 11" xfId="18158" xr:uid="{00000000-0005-0000-0000-0000ED460000}"/>
    <cellStyle name="lev4 12" xfId="18159" xr:uid="{00000000-0005-0000-0000-0000EE460000}"/>
    <cellStyle name="lev4 13" xfId="18160" xr:uid="{00000000-0005-0000-0000-0000EF460000}"/>
    <cellStyle name="lev4 14" xfId="18161" xr:uid="{00000000-0005-0000-0000-0000F0460000}"/>
    <cellStyle name="lev4 15" xfId="18162" xr:uid="{00000000-0005-0000-0000-0000F1460000}"/>
    <cellStyle name="lev4 16" xfId="18163" xr:uid="{00000000-0005-0000-0000-0000F2460000}"/>
    <cellStyle name="lev4 17" xfId="18164" xr:uid="{00000000-0005-0000-0000-0000F3460000}"/>
    <cellStyle name="lev4 18" xfId="18165" xr:uid="{00000000-0005-0000-0000-0000F4460000}"/>
    <cellStyle name="lev4 19" xfId="18166" xr:uid="{00000000-0005-0000-0000-0000F5460000}"/>
    <cellStyle name="lev4 2" xfId="18167" xr:uid="{00000000-0005-0000-0000-0000F6460000}"/>
    <cellStyle name="lev4 20" xfId="18168" xr:uid="{00000000-0005-0000-0000-0000F7460000}"/>
    <cellStyle name="lev4 21" xfId="18169" xr:uid="{00000000-0005-0000-0000-0000F8460000}"/>
    <cellStyle name="lev4 21 2" xfId="18170" xr:uid="{00000000-0005-0000-0000-0000F9460000}"/>
    <cellStyle name="lev4 3" xfId="18171" xr:uid="{00000000-0005-0000-0000-0000FA460000}"/>
    <cellStyle name="lev4 4" xfId="18172" xr:uid="{00000000-0005-0000-0000-0000FB460000}"/>
    <cellStyle name="lev4 5" xfId="18173" xr:uid="{00000000-0005-0000-0000-0000FC460000}"/>
    <cellStyle name="lev4 6" xfId="18174" xr:uid="{00000000-0005-0000-0000-0000FD460000}"/>
    <cellStyle name="lev4 7" xfId="18175" xr:uid="{00000000-0005-0000-0000-0000FE460000}"/>
    <cellStyle name="lev4 8" xfId="18176" xr:uid="{00000000-0005-0000-0000-0000FF460000}"/>
    <cellStyle name="lev4 9" xfId="18177" xr:uid="{00000000-0005-0000-0000-000000470000}"/>
    <cellStyle name="LineItem" xfId="18178" xr:uid="{00000000-0005-0000-0000-000001470000}"/>
    <cellStyle name="LineItem 10" xfId="18179" xr:uid="{00000000-0005-0000-0000-000002470000}"/>
    <cellStyle name="LineItem 11" xfId="18180" xr:uid="{00000000-0005-0000-0000-000003470000}"/>
    <cellStyle name="LineItem 12" xfId="18181" xr:uid="{00000000-0005-0000-0000-000004470000}"/>
    <cellStyle name="LineItem 13" xfId="18182" xr:uid="{00000000-0005-0000-0000-000005470000}"/>
    <cellStyle name="LineItem 14" xfId="18183" xr:uid="{00000000-0005-0000-0000-000006470000}"/>
    <cellStyle name="LineItem 15" xfId="18184" xr:uid="{00000000-0005-0000-0000-000007470000}"/>
    <cellStyle name="LineItem 16" xfId="18185" xr:uid="{00000000-0005-0000-0000-000008470000}"/>
    <cellStyle name="LineItem 17" xfId="18186" xr:uid="{00000000-0005-0000-0000-000009470000}"/>
    <cellStyle name="LineItem 18" xfId="18187" xr:uid="{00000000-0005-0000-0000-00000A470000}"/>
    <cellStyle name="LineItem 19" xfId="18188" xr:uid="{00000000-0005-0000-0000-00000B470000}"/>
    <cellStyle name="LineItem 2" xfId="18189" xr:uid="{00000000-0005-0000-0000-00000C470000}"/>
    <cellStyle name="LineItem 2 2" xfId="18190" xr:uid="{00000000-0005-0000-0000-00000D470000}"/>
    <cellStyle name="LineItem 20" xfId="18191" xr:uid="{00000000-0005-0000-0000-00000E470000}"/>
    <cellStyle name="LineItem 21" xfId="18192" xr:uid="{00000000-0005-0000-0000-00000F470000}"/>
    <cellStyle name="LineItem 22" xfId="18193" xr:uid="{00000000-0005-0000-0000-000010470000}"/>
    <cellStyle name="LineItem 23" xfId="18194" xr:uid="{00000000-0005-0000-0000-000011470000}"/>
    <cellStyle name="LineItem 23 2" xfId="18195" xr:uid="{00000000-0005-0000-0000-000012470000}"/>
    <cellStyle name="LineItem 3" xfId="18196" xr:uid="{00000000-0005-0000-0000-000013470000}"/>
    <cellStyle name="LineItem 3 2" xfId="18197" xr:uid="{00000000-0005-0000-0000-000014470000}"/>
    <cellStyle name="LineItem 4" xfId="18198" xr:uid="{00000000-0005-0000-0000-000015470000}"/>
    <cellStyle name="LineItem 5" xfId="18199" xr:uid="{00000000-0005-0000-0000-000016470000}"/>
    <cellStyle name="LineItem 6" xfId="18200" xr:uid="{00000000-0005-0000-0000-000017470000}"/>
    <cellStyle name="LineItem 7" xfId="18201" xr:uid="{00000000-0005-0000-0000-000018470000}"/>
    <cellStyle name="LineItem 8" xfId="18202" xr:uid="{00000000-0005-0000-0000-000019470000}"/>
    <cellStyle name="LineItem 9" xfId="18203" xr:uid="{00000000-0005-0000-0000-00001A470000}"/>
    <cellStyle name="Lines" xfId="18204" xr:uid="{00000000-0005-0000-0000-00001B470000}"/>
    <cellStyle name="Lines 10" xfId="18205" xr:uid="{00000000-0005-0000-0000-00001C470000}"/>
    <cellStyle name="Lines 11" xfId="18206" xr:uid="{00000000-0005-0000-0000-00001D470000}"/>
    <cellStyle name="Lines 12" xfId="18207" xr:uid="{00000000-0005-0000-0000-00001E470000}"/>
    <cellStyle name="Lines 13" xfId="18208" xr:uid="{00000000-0005-0000-0000-00001F470000}"/>
    <cellStyle name="Lines 14" xfId="18209" xr:uid="{00000000-0005-0000-0000-000020470000}"/>
    <cellStyle name="Lines 15" xfId="18210" xr:uid="{00000000-0005-0000-0000-000021470000}"/>
    <cellStyle name="Lines 16" xfId="18211" xr:uid="{00000000-0005-0000-0000-000022470000}"/>
    <cellStyle name="Lines 17" xfId="18212" xr:uid="{00000000-0005-0000-0000-000023470000}"/>
    <cellStyle name="Lines 18" xfId="18213" xr:uid="{00000000-0005-0000-0000-000024470000}"/>
    <cellStyle name="Lines 19" xfId="18214" xr:uid="{00000000-0005-0000-0000-000025470000}"/>
    <cellStyle name="Lines 2" xfId="18215" xr:uid="{00000000-0005-0000-0000-000026470000}"/>
    <cellStyle name="Lines 2 2" xfId="18216" xr:uid="{00000000-0005-0000-0000-000027470000}"/>
    <cellStyle name="Lines 20" xfId="18217" xr:uid="{00000000-0005-0000-0000-000028470000}"/>
    <cellStyle name="Lines 21" xfId="18218" xr:uid="{00000000-0005-0000-0000-000029470000}"/>
    <cellStyle name="Lines 22" xfId="18219" xr:uid="{00000000-0005-0000-0000-00002A470000}"/>
    <cellStyle name="Lines 23" xfId="18220" xr:uid="{00000000-0005-0000-0000-00002B470000}"/>
    <cellStyle name="Lines 23 2" xfId="18221" xr:uid="{00000000-0005-0000-0000-00002C470000}"/>
    <cellStyle name="Lines 3" xfId="18222" xr:uid="{00000000-0005-0000-0000-00002D470000}"/>
    <cellStyle name="Lines 3 2" xfId="18223" xr:uid="{00000000-0005-0000-0000-00002E470000}"/>
    <cellStyle name="Lines 4" xfId="18224" xr:uid="{00000000-0005-0000-0000-00002F470000}"/>
    <cellStyle name="Lines 5" xfId="18225" xr:uid="{00000000-0005-0000-0000-000030470000}"/>
    <cellStyle name="Lines 6" xfId="18226" xr:uid="{00000000-0005-0000-0000-000031470000}"/>
    <cellStyle name="Lines 7" xfId="18227" xr:uid="{00000000-0005-0000-0000-000032470000}"/>
    <cellStyle name="Lines 8" xfId="18228" xr:uid="{00000000-0005-0000-0000-000033470000}"/>
    <cellStyle name="Lines 9" xfId="18229" xr:uid="{00000000-0005-0000-0000-000034470000}"/>
    <cellStyle name="Link Currency (0)" xfId="18230" xr:uid="{00000000-0005-0000-0000-000035470000}"/>
    <cellStyle name="Link Currency (0) 10" xfId="18231" xr:uid="{00000000-0005-0000-0000-000036470000}"/>
    <cellStyle name="Link Currency (0) 11" xfId="18232" xr:uid="{00000000-0005-0000-0000-000037470000}"/>
    <cellStyle name="Link Currency (0) 12" xfId="18233" xr:uid="{00000000-0005-0000-0000-000038470000}"/>
    <cellStyle name="Link Currency (0) 13" xfId="18234" xr:uid="{00000000-0005-0000-0000-000039470000}"/>
    <cellStyle name="Link Currency (0) 14" xfId="18235" xr:uid="{00000000-0005-0000-0000-00003A470000}"/>
    <cellStyle name="Link Currency (0) 15" xfId="18236" xr:uid="{00000000-0005-0000-0000-00003B470000}"/>
    <cellStyle name="Link Currency (0) 16" xfId="18237" xr:uid="{00000000-0005-0000-0000-00003C470000}"/>
    <cellStyle name="Link Currency (0) 17" xfId="18238" xr:uid="{00000000-0005-0000-0000-00003D470000}"/>
    <cellStyle name="Link Currency (0) 18" xfId="18239" xr:uid="{00000000-0005-0000-0000-00003E470000}"/>
    <cellStyle name="Link Currency (0) 19" xfId="18240" xr:uid="{00000000-0005-0000-0000-00003F470000}"/>
    <cellStyle name="Link Currency (0) 2" xfId="18241" xr:uid="{00000000-0005-0000-0000-000040470000}"/>
    <cellStyle name="Link Currency (0) 20" xfId="18242" xr:uid="{00000000-0005-0000-0000-000041470000}"/>
    <cellStyle name="Link Currency (0) 21" xfId="18243" xr:uid="{00000000-0005-0000-0000-000042470000}"/>
    <cellStyle name="Link Currency (0) 21 2" xfId="18244" xr:uid="{00000000-0005-0000-0000-000043470000}"/>
    <cellStyle name="Link Currency (0) 3" xfId="18245" xr:uid="{00000000-0005-0000-0000-000044470000}"/>
    <cellStyle name="Link Currency (0) 4" xfId="18246" xr:uid="{00000000-0005-0000-0000-000045470000}"/>
    <cellStyle name="Link Currency (0) 5" xfId="18247" xr:uid="{00000000-0005-0000-0000-000046470000}"/>
    <cellStyle name="Link Currency (0) 6" xfId="18248" xr:uid="{00000000-0005-0000-0000-000047470000}"/>
    <cellStyle name="Link Currency (0) 7" xfId="18249" xr:uid="{00000000-0005-0000-0000-000048470000}"/>
    <cellStyle name="Link Currency (0) 8" xfId="18250" xr:uid="{00000000-0005-0000-0000-000049470000}"/>
    <cellStyle name="Link Currency (0) 9" xfId="18251" xr:uid="{00000000-0005-0000-0000-00004A470000}"/>
    <cellStyle name="Link Currency (2)" xfId="18252" xr:uid="{00000000-0005-0000-0000-00004B470000}"/>
    <cellStyle name="Link Currency (2) 10" xfId="18253" xr:uid="{00000000-0005-0000-0000-00004C470000}"/>
    <cellStyle name="Link Currency (2) 11" xfId="18254" xr:uid="{00000000-0005-0000-0000-00004D470000}"/>
    <cellStyle name="Link Currency (2) 12" xfId="18255" xr:uid="{00000000-0005-0000-0000-00004E470000}"/>
    <cellStyle name="Link Currency (2) 13" xfId="18256" xr:uid="{00000000-0005-0000-0000-00004F470000}"/>
    <cellStyle name="Link Currency (2) 14" xfId="18257" xr:uid="{00000000-0005-0000-0000-000050470000}"/>
    <cellStyle name="Link Currency (2) 15" xfId="18258" xr:uid="{00000000-0005-0000-0000-000051470000}"/>
    <cellStyle name="Link Currency (2) 16" xfId="18259" xr:uid="{00000000-0005-0000-0000-000052470000}"/>
    <cellStyle name="Link Currency (2) 17" xfId="18260" xr:uid="{00000000-0005-0000-0000-000053470000}"/>
    <cellStyle name="Link Currency (2) 18" xfId="18261" xr:uid="{00000000-0005-0000-0000-000054470000}"/>
    <cellStyle name="Link Currency (2) 19" xfId="18262" xr:uid="{00000000-0005-0000-0000-000055470000}"/>
    <cellStyle name="Link Currency (2) 2" xfId="18263" xr:uid="{00000000-0005-0000-0000-000056470000}"/>
    <cellStyle name="Link Currency (2) 20" xfId="18264" xr:uid="{00000000-0005-0000-0000-000057470000}"/>
    <cellStyle name="Link Currency (2) 21" xfId="18265" xr:uid="{00000000-0005-0000-0000-000058470000}"/>
    <cellStyle name="Link Currency (2) 21 2" xfId="18266" xr:uid="{00000000-0005-0000-0000-000059470000}"/>
    <cellStyle name="Link Currency (2) 3" xfId="18267" xr:uid="{00000000-0005-0000-0000-00005A470000}"/>
    <cellStyle name="Link Currency (2) 4" xfId="18268" xr:uid="{00000000-0005-0000-0000-00005B470000}"/>
    <cellStyle name="Link Currency (2) 5" xfId="18269" xr:uid="{00000000-0005-0000-0000-00005C470000}"/>
    <cellStyle name="Link Currency (2) 6" xfId="18270" xr:uid="{00000000-0005-0000-0000-00005D470000}"/>
    <cellStyle name="Link Currency (2) 7" xfId="18271" xr:uid="{00000000-0005-0000-0000-00005E470000}"/>
    <cellStyle name="Link Currency (2) 8" xfId="18272" xr:uid="{00000000-0005-0000-0000-00005F470000}"/>
    <cellStyle name="Link Currency (2) 9" xfId="18273" xr:uid="{00000000-0005-0000-0000-000060470000}"/>
    <cellStyle name="Link Units (0)" xfId="18274" xr:uid="{00000000-0005-0000-0000-000061470000}"/>
    <cellStyle name="Link Units (0) 10" xfId="18275" xr:uid="{00000000-0005-0000-0000-000062470000}"/>
    <cellStyle name="Link Units (0) 11" xfId="18276" xr:uid="{00000000-0005-0000-0000-000063470000}"/>
    <cellStyle name="Link Units (0) 12" xfId="18277" xr:uid="{00000000-0005-0000-0000-000064470000}"/>
    <cellStyle name="Link Units (0) 13" xfId="18278" xr:uid="{00000000-0005-0000-0000-000065470000}"/>
    <cellStyle name="Link Units (0) 14" xfId="18279" xr:uid="{00000000-0005-0000-0000-000066470000}"/>
    <cellStyle name="Link Units (0) 15" xfId="18280" xr:uid="{00000000-0005-0000-0000-000067470000}"/>
    <cellStyle name="Link Units (0) 16" xfId="18281" xr:uid="{00000000-0005-0000-0000-000068470000}"/>
    <cellStyle name="Link Units (0) 17" xfId="18282" xr:uid="{00000000-0005-0000-0000-000069470000}"/>
    <cellStyle name="Link Units (0) 18" xfId="18283" xr:uid="{00000000-0005-0000-0000-00006A470000}"/>
    <cellStyle name="Link Units (0) 19" xfId="18284" xr:uid="{00000000-0005-0000-0000-00006B470000}"/>
    <cellStyle name="Link Units (0) 2" xfId="18285" xr:uid="{00000000-0005-0000-0000-00006C470000}"/>
    <cellStyle name="Link Units (0) 20" xfId="18286" xr:uid="{00000000-0005-0000-0000-00006D470000}"/>
    <cellStyle name="Link Units (0) 21" xfId="18287" xr:uid="{00000000-0005-0000-0000-00006E470000}"/>
    <cellStyle name="Link Units (0) 21 2" xfId="18288" xr:uid="{00000000-0005-0000-0000-00006F470000}"/>
    <cellStyle name="Link Units (0) 3" xfId="18289" xr:uid="{00000000-0005-0000-0000-000070470000}"/>
    <cellStyle name="Link Units (0) 4" xfId="18290" xr:uid="{00000000-0005-0000-0000-000071470000}"/>
    <cellStyle name="Link Units (0) 5" xfId="18291" xr:uid="{00000000-0005-0000-0000-000072470000}"/>
    <cellStyle name="Link Units (0) 6" xfId="18292" xr:uid="{00000000-0005-0000-0000-000073470000}"/>
    <cellStyle name="Link Units (0) 7" xfId="18293" xr:uid="{00000000-0005-0000-0000-000074470000}"/>
    <cellStyle name="Link Units (0) 8" xfId="18294" xr:uid="{00000000-0005-0000-0000-000075470000}"/>
    <cellStyle name="Link Units (0) 9" xfId="18295" xr:uid="{00000000-0005-0000-0000-000076470000}"/>
    <cellStyle name="Link Units (1)" xfId="18296" xr:uid="{00000000-0005-0000-0000-000077470000}"/>
    <cellStyle name="Link Units (1) 10" xfId="18297" xr:uid="{00000000-0005-0000-0000-000078470000}"/>
    <cellStyle name="Link Units (1) 11" xfId="18298" xr:uid="{00000000-0005-0000-0000-000079470000}"/>
    <cellStyle name="Link Units (1) 12" xfId="18299" xr:uid="{00000000-0005-0000-0000-00007A470000}"/>
    <cellStyle name="Link Units (1) 13" xfId="18300" xr:uid="{00000000-0005-0000-0000-00007B470000}"/>
    <cellStyle name="Link Units (1) 14" xfId="18301" xr:uid="{00000000-0005-0000-0000-00007C470000}"/>
    <cellStyle name="Link Units (1) 15" xfId="18302" xr:uid="{00000000-0005-0000-0000-00007D470000}"/>
    <cellStyle name="Link Units (1) 16" xfId="18303" xr:uid="{00000000-0005-0000-0000-00007E470000}"/>
    <cellStyle name="Link Units (1) 17" xfId="18304" xr:uid="{00000000-0005-0000-0000-00007F470000}"/>
    <cellStyle name="Link Units (1) 18" xfId="18305" xr:uid="{00000000-0005-0000-0000-000080470000}"/>
    <cellStyle name="Link Units (1) 19" xfId="18306" xr:uid="{00000000-0005-0000-0000-000081470000}"/>
    <cellStyle name="Link Units (1) 2" xfId="18307" xr:uid="{00000000-0005-0000-0000-000082470000}"/>
    <cellStyle name="Link Units (1) 20" xfId="18308" xr:uid="{00000000-0005-0000-0000-000083470000}"/>
    <cellStyle name="Link Units (1) 21" xfId="18309" xr:uid="{00000000-0005-0000-0000-000084470000}"/>
    <cellStyle name="Link Units (1) 21 2" xfId="18310" xr:uid="{00000000-0005-0000-0000-000085470000}"/>
    <cellStyle name="Link Units (1) 3" xfId="18311" xr:uid="{00000000-0005-0000-0000-000086470000}"/>
    <cellStyle name="Link Units (1) 4" xfId="18312" xr:uid="{00000000-0005-0000-0000-000087470000}"/>
    <cellStyle name="Link Units (1) 5" xfId="18313" xr:uid="{00000000-0005-0000-0000-000088470000}"/>
    <cellStyle name="Link Units (1) 6" xfId="18314" xr:uid="{00000000-0005-0000-0000-000089470000}"/>
    <cellStyle name="Link Units (1) 7" xfId="18315" xr:uid="{00000000-0005-0000-0000-00008A470000}"/>
    <cellStyle name="Link Units (1) 8" xfId="18316" xr:uid="{00000000-0005-0000-0000-00008B470000}"/>
    <cellStyle name="Link Units (1) 9" xfId="18317" xr:uid="{00000000-0005-0000-0000-00008C470000}"/>
    <cellStyle name="Link Units (2)" xfId="18318" xr:uid="{00000000-0005-0000-0000-00008D470000}"/>
    <cellStyle name="Link Units (2) 10" xfId="18319" xr:uid="{00000000-0005-0000-0000-00008E470000}"/>
    <cellStyle name="Link Units (2) 11" xfId="18320" xr:uid="{00000000-0005-0000-0000-00008F470000}"/>
    <cellStyle name="Link Units (2) 12" xfId="18321" xr:uid="{00000000-0005-0000-0000-000090470000}"/>
    <cellStyle name="Link Units (2) 13" xfId="18322" xr:uid="{00000000-0005-0000-0000-000091470000}"/>
    <cellStyle name="Link Units (2) 14" xfId="18323" xr:uid="{00000000-0005-0000-0000-000092470000}"/>
    <cellStyle name="Link Units (2) 15" xfId="18324" xr:uid="{00000000-0005-0000-0000-000093470000}"/>
    <cellStyle name="Link Units (2) 16" xfId="18325" xr:uid="{00000000-0005-0000-0000-000094470000}"/>
    <cellStyle name="Link Units (2) 17" xfId="18326" xr:uid="{00000000-0005-0000-0000-000095470000}"/>
    <cellStyle name="Link Units (2) 18" xfId="18327" xr:uid="{00000000-0005-0000-0000-000096470000}"/>
    <cellStyle name="Link Units (2) 19" xfId="18328" xr:uid="{00000000-0005-0000-0000-000097470000}"/>
    <cellStyle name="Link Units (2) 2" xfId="18329" xr:uid="{00000000-0005-0000-0000-000098470000}"/>
    <cellStyle name="Link Units (2) 20" xfId="18330" xr:uid="{00000000-0005-0000-0000-000099470000}"/>
    <cellStyle name="Link Units (2) 21" xfId="18331" xr:uid="{00000000-0005-0000-0000-00009A470000}"/>
    <cellStyle name="Link Units (2) 21 2" xfId="18332" xr:uid="{00000000-0005-0000-0000-00009B470000}"/>
    <cellStyle name="Link Units (2) 3" xfId="18333" xr:uid="{00000000-0005-0000-0000-00009C470000}"/>
    <cellStyle name="Link Units (2) 4" xfId="18334" xr:uid="{00000000-0005-0000-0000-00009D470000}"/>
    <cellStyle name="Link Units (2) 5" xfId="18335" xr:uid="{00000000-0005-0000-0000-00009E470000}"/>
    <cellStyle name="Link Units (2) 6" xfId="18336" xr:uid="{00000000-0005-0000-0000-00009F470000}"/>
    <cellStyle name="Link Units (2) 7" xfId="18337" xr:uid="{00000000-0005-0000-0000-0000A0470000}"/>
    <cellStyle name="Link Units (2) 8" xfId="18338" xr:uid="{00000000-0005-0000-0000-0000A1470000}"/>
    <cellStyle name="Link Units (2) 9" xfId="18339" xr:uid="{00000000-0005-0000-0000-0000A2470000}"/>
    <cellStyle name="Linked Cell" xfId="35700" builtinId="24" customBuiltin="1"/>
    <cellStyle name="Linked Cell 10" xfId="18340" xr:uid="{00000000-0005-0000-0000-0000A3470000}"/>
    <cellStyle name="Linked Cell 11" xfId="18341" xr:uid="{00000000-0005-0000-0000-0000A4470000}"/>
    <cellStyle name="Linked Cell 12" xfId="18342" xr:uid="{00000000-0005-0000-0000-0000A5470000}"/>
    <cellStyle name="Linked Cell 13" xfId="18343" xr:uid="{00000000-0005-0000-0000-0000A6470000}"/>
    <cellStyle name="Linked Cell 14" xfId="18344" xr:uid="{00000000-0005-0000-0000-0000A7470000}"/>
    <cellStyle name="Linked Cell 15" xfId="18345" xr:uid="{00000000-0005-0000-0000-0000A8470000}"/>
    <cellStyle name="Linked Cell 16" xfId="18346" xr:uid="{00000000-0005-0000-0000-0000A9470000}"/>
    <cellStyle name="Linked Cell 17" xfId="18347" xr:uid="{00000000-0005-0000-0000-0000AA470000}"/>
    <cellStyle name="Linked Cell 18" xfId="18348" xr:uid="{00000000-0005-0000-0000-0000AB470000}"/>
    <cellStyle name="Linked Cell 19" xfId="18349" xr:uid="{00000000-0005-0000-0000-0000AC470000}"/>
    <cellStyle name="Linked Cell 2" xfId="18350" xr:uid="{00000000-0005-0000-0000-0000AD470000}"/>
    <cellStyle name="Linked Cell 2 2" xfId="18351" xr:uid="{00000000-0005-0000-0000-0000AE470000}"/>
    <cellStyle name="Linked Cell 20" xfId="18352" xr:uid="{00000000-0005-0000-0000-0000AF470000}"/>
    <cellStyle name="Linked Cell 21" xfId="18353" xr:uid="{00000000-0005-0000-0000-0000B0470000}"/>
    <cellStyle name="Linked Cell 22" xfId="18354" xr:uid="{00000000-0005-0000-0000-0000B1470000}"/>
    <cellStyle name="Linked Cell 23" xfId="18355" xr:uid="{00000000-0005-0000-0000-0000B2470000}"/>
    <cellStyle name="Linked Cell 24" xfId="18356" xr:uid="{00000000-0005-0000-0000-0000B3470000}"/>
    <cellStyle name="Linked Cell 25" xfId="18357" xr:uid="{00000000-0005-0000-0000-0000B4470000}"/>
    <cellStyle name="Linked Cell 26" xfId="18358" xr:uid="{00000000-0005-0000-0000-0000B5470000}"/>
    <cellStyle name="Linked Cell 27" xfId="18359" xr:uid="{00000000-0005-0000-0000-0000B6470000}"/>
    <cellStyle name="Linked Cell 28" xfId="18360" xr:uid="{00000000-0005-0000-0000-0000B7470000}"/>
    <cellStyle name="Linked Cell 29" xfId="18361" xr:uid="{00000000-0005-0000-0000-0000B8470000}"/>
    <cellStyle name="Linked Cell 29 2" xfId="18362" xr:uid="{00000000-0005-0000-0000-0000B9470000}"/>
    <cellStyle name="Linked Cell 3" xfId="18363" xr:uid="{00000000-0005-0000-0000-0000BA470000}"/>
    <cellStyle name="Linked Cell 30" xfId="18364" xr:uid="{00000000-0005-0000-0000-0000BB470000}"/>
    <cellStyle name="Linked Cell 31" xfId="18365" xr:uid="{00000000-0005-0000-0000-0000BC470000}"/>
    <cellStyle name="Linked Cell 32" xfId="18366" xr:uid="{00000000-0005-0000-0000-0000BD470000}"/>
    <cellStyle name="Linked Cell 33" xfId="18367" xr:uid="{00000000-0005-0000-0000-0000BE470000}"/>
    <cellStyle name="Linked Cell 34" xfId="18368" xr:uid="{00000000-0005-0000-0000-0000BF470000}"/>
    <cellStyle name="Linked Cell 35" xfId="18369" xr:uid="{00000000-0005-0000-0000-0000C0470000}"/>
    <cellStyle name="Linked Cell 36" xfId="18370" xr:uid="{00000000-0005-0000-0000-0000C1470000}"/>
    <cellStyle name="Linked Cell 37" xfId="18371" xr:uid="{00000000-0005-0000-0000-0000C2470000}"/>
    <cellStyle name="Linked Cell 38" xfId="18372" xr:uid="{00000000-0005-0000-0000-0000C3470000}"/>
    <cellStyle name="Linked Cell 4" xfId="18373" xr:uid="{00000000-0005-0000-0000-0000C4470000}"/>
    <cellStyle name="Linked Cell 5" xfId="18374" xr:uid="{00000000-0005-0000-0000-0000C5470000}"/>
    <cellStyle name="Linked Cell 6" xfId="18375" xr:uid="{00000000-0005-0000-0000-0000C6470000}"/>
    <cellStyle name="Linked Cell 7" xfId="18376" xr:uid="{00000000-0005-0000-0000-0000C7470000}"/>
    <cellStyle name="Linked Cell 8" xfId="18377" xr:uid="{00000000-0005-0000-0000-0000C8470000}"/>
    <cellStyle name="Linked Cell 9" xfId="18378" xr:uid="{00000000-0005-0000-0000-0000C9470000}"/>
    <cellStyle name="Long Date" xfId="18379" xr:uid="{00000000-0005-0000-0000-0000CA470000}"/>
    <cellStyle name="Long Date 10" xfId="18380" xr:uid="{00000000-0005-0000-0000-0000CB470000}"/>
    <cellStyle name="Long Date 11" xfId="18381" xr:uid="{00000000-0005-0000-0000-0000CC470000}"/>
    <cellStyle name="Long Date 12" xfId="18382" xr:uid="{00000000-0005-0000-0000-0000CD470000}"/>
    <cellStyle name="Long Date 13" xfId="18383" xr:uid="{00000000-0005-0000-0000-0000CE470000}"/>
    <cellStyle name="Long Date 14" xfId="18384" xr:uid="{00000000-0005-0000-0000-0000CF470000}"/>
    <cellStyle name="Long Date 15" xfId="18385" xr:uid="{00000000-0005-0000-0000-0000D0470000}"/>
    <cellStyle name="Long Date 16" xfId="18386" xr:uid="{00000000-0005-0000-0000-0000D1470000}"/>
    <cellStyle name="Long Date 17" xfId="18387" xr:uid="{00000000-0005-0000-0000-0000D2470000}"/>
    <cellStyle name="Long Date 18" xfId="18388" xr:uid="{00000000-0005-0000-0000-0000D3470000}"/>
    <cellStyle name="Long Date 19" xfId="18389" xr:uid="{00000000-0005-0000-0000-0000D4470000}"/>
    <cellStyle name="Long Date 2" xfId="18390" xr:uid="{00000000-0005-0000-0000-0000D5470000}"/>
    <cellStyle name="Long Date 20" xfId="18391" xr:uid="{00000000-0005-0000-0000-0000D6470000}"/>
    <cellStyle name="Long Date 21" xfId="18392" xr:uid="{00000000-0005-0000-0000-0000D7470000}"/>
    <cellStyle name="Long Date 21 2" xfId="18393" xr:uid="{00000000-0005-0000-0000-0000D8470000}"/>
    <cellStyle name="Long Date 3" xfId="18394" xr:uid="{00000000-0005-0000-0000-0000D9470000}"/>
    <cellStyle name="Long Date 4" xfId="18395" xr:uid="{00000000-0005-0000-0000-0000DA470000}"/>
    <cellStyle name="Long Date 5" xfId="18396" xr:uid="{00000000-0005-0000-0000-0000DB470000}"/>
    <cellStyle name="Long Date 6" xfId="18397" xr:uid="{00000000-0005-0000-0000-0000DC470000}"/>
    <cellStyle name="Long Date 7" xfId="18398" xr:uid="{00000000-0005-0000-0000-0000DD470000}"/>
    <cellStyle name="Long Date 8" xfId="18399" xr:uid="{00000000-0005-0000-0000-0000DE470000}"/>
    <cellStyle name="Long Date 9" xfId="18400" xr:uid="{00000000-0005-0000-0000-0000DF470000}"/>
    <cellStyle name="m" xfId="18401" xr:uid="{00000000-0005-0000-0000-0000E0470000}"/>
    <cellStyle name="m 10" xfId="18402" xr:uid="{00000000-0005-0000-0000-0000E1470000}"/>
    <cellStyle name="m 11" xfId="18403" xr:uid="{00000000-0005-0000-0000-0000E2470000}"/>
    <cellStyle name="m 12" xfId="18404" xr:uid="{00000000-0005-0000-0000-0000E3470000}"/>
    <cellStyle name="m 13" xfId="18405" xr:uid="{00000000-0005-0000-0000-0000E4470000}"/>
    <cellStyle name="m 14" xfId="18406" xr:uid="{00000000-0005-0000-0000-0000E5470000}"/>
    <cellStyle name="m 15" xfId="18407" xr:uid="{00000000-0005-0000-0000-0000E6470000}"/>
    <cellStyle name="m 16" xfId="18408" xr:uid="{00000000-0005-0000-0000-0000E7470000}"/>
    <cellStyle name="m 17" xfId="18409" xr:uid="{00000000-0005-0000-0000-0000E8470000}"/>
    <cellStyle name="m 18" xfId="18410" xr:uid="{00000000-0005-0000-0000-0000E9470000}"/>
    <cellStyle name="m 19" xfId="18411" xr:uid="{00000000-0005-0000-0000-0000EA470000}"/>
    <cellStyle name="m 2" xfId="18412" xr:uid="{00000000-0005-0000-0000-0000EB470000}"/>
    <cellStyle name="m 20" xfId="18413" xr:uid="{00000000-0005-0000-0000-0000EC470000}"/>
    <cellStyle name="m 21" xfId="18414" xr:uid="{00000000-0005-0000-0000-0000ED470000}"/>
    <cellStyle name="m 3" xfId="18415" xr:uid="{00000000-0005-0000-0000-0000EE470000}"/>
    <cellStyle name="m 4" xfId="18416" xr:uid="{00000000-0005-0000-0000-0000EF470000}"/>
    <cellStyle name="m 5" xfId="18417" xr:uid="{00000000-0005-0000-0000-0000F0470000}"/>
    <cellStyle name="m 6" xfId="18418" xr:uid="{00000000-0005-0000-0000-0000F1470000}"/>
    <cellStyle name="m 7" xfId="18419" xr:uid="{00000000-0005-0000-0000-0000F2470000}"/>
    <cellStyle name="m 8" xfId="18420" xr:uid="{00000000-0005-0000-0000-0000F3470000}"/>
    <cellStyle name="m 9" xfId="18421" xr:uid="{00000000-0005-0000-0000-0000F4470000}"/>
    <cellStyle name="m_{6} Carry" xfId="18422" xr:uid="{00000000-0005-0000-0000-0000F5470000}"/>
    <cellStyle name="m_{6} Clawback" xfId="18423" xr:uid="{00000000-0005-0000-0000-0000F6470000}"/>
    <cellStyle name="m_AIF IV Financial Highlights 12-31-08 v4" xfId="18424" xr:uid="{00000000-0005-0000-0000-0000F7470000}"/>
    <cellStyle name="m_AIF IV Financial Highlights 12-31-08 v4_Apollo Investment Fund IV  Q3 2009 Capital Analysis CURRENT" xfId="18425" xr:uid="{00000000-0005-0000-0000-0000F8470000}"/>
    <cellStyle name="m_AIF IV Financial Highlights 12-31-08 v4_Apollo Investment Fund IV  Q3 2009 Capital Analysis iPCS &amp; URI Distribution" xfId="18426" xr:uid="{00000000-0005-0000-0000-0000F9470000}"/>
    <cellStyle name="m_AIF IV Financial Highlights 12-31-08 v4_iPCs#1-Remaining" xfId="18427" xr:uid="{00000000-0005-0000-0000-0000FA470000}"/>
    <cellStyle name="m_Andy Affrick - Schedulev2" xfId="18428" xr:uid="{00000000-0005-0000-0000-0000FB470000}"/>
    <cellStyle name="m_Apollo Investment Fund IV  April Priority Return" xfId="18429" xr:uid="{00000000-0005-0000-0000-0000FC470000}"/>
    <cellStyle name="m_Apollo Investment Fund IV  Q1 2009 Capital Analysis 5-22-09 with GAAP" xfId="18430" xr:uid="{00000000-0005-0000-0000-0000FD470000}"/>
    <cellStyle name="m_Apollo Investment Fund IV  Q1 2009 Capital Analysis GAAP" xfId="18431" xr:uid="{00000000-0005-0000-0000-0000FE470000}"/>
    <cellStyle name="m_Apollo Investment Fund IV  Q2 2009 Capital Analysis CURRENT" xfId="18432" xr:uid="{00000000-0005-0000-0000-0000FF470000}"/>
    <cellStyle name="m_Apollo Investment Fund IV  Q3 2009 Capital Analysis CURRENT" xfId="18433" xr:uid="{00000000-0005-0000-0000-000000480000}"/>
    <cellStyle name="m_Apollo Investment Fund IV  Q3 2009 Capital Analysis iPCS &amp; URI Distribution" xfId="18434" xr:uid="{00000000-0005-0000-0000-000001480000}"/>
    <cellStyle name="m_Apollo Investment Fund IV Priority Return 6-30-09" xfId="18435" xr:uid="{00000000-0005-0000-0000-000002480000}"/>
    <cellStyle name="m_Apollo Investment Fund IV Q1 2009 Capital Analysis PR CORRECTED 6-30-09" xfId="18436" xr:uid="{00000000-0005-0000-0000-000003480000}"/>
    <cellStyle name="m_Book4" xfId="18437" xr:uid="{00000000-0005-0000-0000-000004480000}"/>
    <cellStyle name="m_Book4 10" xfId="18438" xr:uid="{00000000-0005-0000-0000-000005480000}"/>
    <cellStyle name="m_Book4 11" xfId="18439" xr:uid="{00000000-0005-0000-0000-000006480000}"/>
    <cellStyle name="m_Book4 12" xfId="18440" xr:uid="{00000000-0005-0000-0000-000007480000}"/>
    <cellStyle name="m_Book4 13" xfId="18441" xr:uid="{00000000-0005-0000-0000-000008480000}"/>
    <cellStyle name="m_Book4 14" xfId="18442" xr:uid="{00000000-0005-0000-0000-000009480000}"/>
    <cellStyle name="m_Book4 15" xfId="18443" xr:uid="{00000000-0005-0000-0000-00000A480000}"/>
    <cellStyle name="m_Book4 16" xfId="18444" xr:uid="{00000000-0005-0000-0000-00000B480000}"/>
    <cellStyle name="m_Book4 17" xfId="18445" xr:uid="{00000000-0005-0000-0000-00000C480000}"/>
    <cellStyle name="m_Book4 18" xfId="18446" xr:uid="{00000000-0005-0000-0000-00000D480000}"/>
    <cellStyle name="m_Book4 19" xfId="18447" xr:uid="{00000000-0005-0000-0000-00000E480000}"/>
    <cellStyle name="m_Book4 2" xfId="18448" xr:uid="{00000000-0005-0000-0000-00000F480000}"/>
    <cellStyle name="m_Book4 20" xfId="18449" xr:uid="{00000000-0005-0000-0000-000010480000}"/>
    <cellStyle name="m_Book4 21" xfId="18450" xr:uid="{00000000-0005-0000-0000-000011480000}"/>
    <cellStyle name="m_Book4 3" xfId="18451" xr:uid="{00000000-0005-0000-0000-000012480000}"/>
    <cellStyle name="m_Book4 4" xfId="18452" xr:uid="{00000000-0005-0000-0000-000013480000}"/>
    <cellStyle name="m_Book4 5" xfId="18453" xr:uid="{00000000-0005-0000-0000-000014480000}"/>
    <cellStyle name="m_Book4 6" xfId="18454" xr:uid="{00000000-0005-0000-0000-000015480000}"/>
    <cellStyle name="m_Book4 7" xfId="18455" xr:uid="{00000000-0005-0000-0000-000016480000}"/>
    <cellStyle name="m_Book4 8" xfId="18456" xr:uid="{00000000-0005-0000-0000-000017480000}"/>
    <cellStyle name="m_Book4 9" xfId="18457" xr:uid="{00000000-0005-0000-0000-000018480000}"/>
    <cellStyle name="m_Book4_Broadleaf Watefall 9-30-09" xfId="18458" xr:uid="{00000000-0005-0000-0000-000019480000}"/>
    <cellStyle name="m_Book4_Dist Summary_11.XX.09" xfId="18459" xr:uid="{00000000-0005-0000-0000-00001A480000}"/>
    <cellStyle name="m_Book4_IC Balance" xfId="18460" xr:uid="{00000000-0005-0000-0000-00001B480000}"/>
    <cellStyle name="m_Book4_Invested Capital Debt Worksheet" xfId="18461" xr:uid="{00000000-0005-0000-0000-00001C480000}"/>
    <cellStyle name="m_Broadleaf Watefall 9-30-09" xfId="18462" xr:uid="{00000000-0005-0000-0000-00001D480000}"/>
    <cellStyle name="m_CALCS" xfId="18463" xr:uid="{00000000-0005-0000-0000-00001E480000}"/>
    <cellStyle name="m_CALCS 10" xfId="18464" xr:uid="{00000000-0005-0000-0000-00001F480000}"/>
    <cellStyle name="m_CALCS 11" xfId="18465" xr:uid="{00000000-0005-0000-0000-000020480000}"/>
    <cellStyle name="m_CALCS 12" xfId="18466" xr:uid="{00000000-0005-0000-0000-000021480000}"/>
    <cellStyle name="m_CALCS 13" xfId="18467" xr:uid="{00000000-0005-0000-0000-000022480000}"/>
    <cellStyle name="m_CALCS 14" xfId="18468" xr:uid="{00000000-0005-0000-0000-000023480000}"/>
    <cellStyle name="m_CALCS 15" xfId="18469" xr:uid="{00000000-0005-0000-0000-000024480000}"/>
    <cellStyle name="m_CALCS 16" xfId="18470" xr:uid="{00000000-0005-0000-0000-000025480000}"/>
    <cellStyle name="m_CALCS 17" xfId="18471" xr:uid="{00000000-0005-0000-0000-000026480000}"/>
    <cellStyle name="m_CALCS 18" xfId="18472" xr:uid="{00000000-0005-0000-0000-000027480000}"/>
    <cellStyle name="m_CALCS 19" xfId="18473" xr:uid="{00000000-0005-0000-0000-000028480000}"/>
    <cellStyle name="m_CALCS 2" xfId="18474" xr:uid="{00000000-0005-0000-0000-000029480000}"/>
    <cellStyle name="m_CALCS 20" xfId="18475" xr:uid="{00000000-0005-0000-0000-00002A480000}"/>
    <cellStyle name="m_CALCS 21" xfId="18476" xr:uid="{00000000-0005-0000-0000-00002B480000}"/>
    <cellStyle name="m_CALCS 3" xfId="18477" xr:uid="{00000000-0005-0000-0000-00002C480000}"/>
    <cellStyle name="m_CALCS 4" xfId="18478" xr:uid="{00000000-0005-0000-0000-00002D480000}"/>
    <cellStyle name="m_CALCS 5" xfId="18479" xr:uid="{00000000-0005-0000-0000-00002E480000}"/>
    <cellStyle name="m_CALCS 6" xfId="18480" xr:uid="{00000000-0005-0000-0000-00002F480000}"/>
    <cellStyle name="m_CALCS 7" xfId="18481" xr:uid="{00000000-0005-0000-0000-000030480000}"/>
    <cellStyle name="m_CALCS 8" xfId="18482" xr:uid="{00000000-0005-0000-0000-000031480000}"/>
    <cellStyle name="m_CALCS 9" xfId="18483" xr:uid="{00000000-0005-0000-0000-000032480000}"/>
    <cellStyle name="m_CALCS_Broadleaf Watefall 9-30-09" xfId="18484" xr:uid="{00000000-0005-0000-0000-000033480000}"/>
    <cellStyle name="m_CALCS_COF I CAS" xfId="18485" xr:uid="{00000000-0005-0000-0000-000034480000}"/>
    <cellStyle name="m_CALCS_COF II CAS" xfId="18486" xr:uid="{00000000-0005-0000-0000-000035480000}"/>
    <cellStyle name="m_CALCS_Dist Summary_11.XX.09" xfId="18487" xr:uid="{00000000-0005-0000-0000-000036480000}"/>
    <cellStyle name="m_CALCS_IC Balance" xfId="18488" xr:uid="{00000000-0005-0000-0000-000037480000}"/>
    <cellStyle name="m_CALCS_Invested Capital Debt Worksheet" xfId="18489" xr:uid="{00000000-0005-0000-0000-000038480000}"/>
    <cellStyle name="m_Carry Calculation" xfId="18490" xr:uid="{00000000-0005-0000-0000-000039480000}"/>
    <cellStyle name="m_COF I CAS" xfId="18491" xr:uid="{00000000-0005-0000-0000-00003A480000}"/>
    <cellStyle name="m_COF II CAS" xfId="18492" xr:uid="{00000000-0005-0000-0000-00003B480000}"/>
    <cellStyle name="m_Dist Summary_11.XX.09" xfId="18493" xr:uid="{00000000-0005-0000-0000-00003C480000}"/>
    <cellStyle name="m_Fund IV" xfId="18494" xr:uid="{00000000-0005-0000-0000-00003D480000}"/>
    <cellStyle name="m_Fund IV 9.30.08" xfId="18495" xr:uid="{00000000-0005-0000-0000-00003E480000}"/>
    <cellStyle name="m_Fund IV_1" xfId="18496" xr:uid="{00000000-0005-0000-0000-00003F480000}"/>
    <cellStyle name="m_Fund IV_Funds IV Clawback Value Adjustment" xfId="18497" xr:uid="{00000000-0005-0000-0000-000040480000}"/>
    <cellStyle name="m_IC Balance" xfId="18498" xr:uid="{00000000-0005-0000-0000-000041480000}"/>
    <cellStyle name="m_Invested Capital Debt Worksheet" xfId="18499" xr:uid="{00000000-0005-0000-0000-000042480000}"/>
    <cellStyle name="m_iPCs#1-Remaining" xfId="18500" xr:uid="{00000000-0005-0000-0000-000043480000}"/>
    <cellStyle name="m_Partners Capital Q1 2009" xfId="18501" xr:uid="{00000000-0005-0000-0000-000044480000}"/>
    <cellStyle name="m_Partners Capital Q1 2009 2" xfId="18502" xr:uid="{00000000-0005-0000-0000-000045480000}"/>
    <cellStyle name="m_Partners Capital Q1 2009 3" xfId="18503" xr:uid="{00000000-0005-0000-0000-000046480000}"/>
    <cellStyle name="m_Partners Capital Q1 2009_Broadleaf Watefall 12-31-09" xfId="18504" xr:uid="{00000000-0005-0000-0000-000047480000}"/>
    <cellStyle name="m_PR Calc" xfId="18505" xr:uid="{00000000-0005-0000-0000-000048480000}"/>
    <cellStyle name="m_PR Calc - DOMESTIC" xfId="18506" xr:uid="{00000000-0005-0000-0000-000049480000}"/>
    <cellStyle name="m_RCIV Q3 2009 Capital Analysis CURRENT" xfId="18507" xr:uid="{00000000-0005-0000-0000-00004A480000}"/>
    <cellStyle name="m2" xfId="18508" xr:uid="{00000000-0005-0000-0000-00004B480000}"/>
    <cellStyle name="m2 10" xfId="18509" xr:uid="{00000000-0005-0000-0000-00004C480000}"/>
    <cellStyle name="m2 11" xfId="18510" xr:uid="{00000000-0005-0000-0000-00004D480000}"/>
    <cellStyle name="m2 12" xfId="18511" xr:uid="{00000000-0005-0000-0000-00004E480000}"/>
    <cellStyle name="m2 13" xfId="18512" xr:uid="{00000000-0005-0000-0000-00004F480000}"/>
    <cellStyle name="m2 14" xfId="18513" xr:uid="{00000000-0005-0000-0000-000050480000}"/>
    <cellStyle name="m2 15" xfId="18514" xr:uid="{00000000-0005-0000-0000-000051480000}"/>
    <cellStyle name="m2 16" xfId="18515" xr:uid="{00000000-0005-0000-0000-000052480000}"/>
    <cellStyle name="m2 17" xfId="18516" xr:uid="{00000000-0005-0000-0000-000053480000}"/>
    <cellStyle name="m2 18" xfId="18517" xr:uid="{00000000-0005-0000-0000-000054480000}"/>
    <cellStyle name="m2 19" xfId="18518" xr:uid="{00000000-0005-0000-0000-000055480000}"/>
    <cellStyle name="m2 2" xfId="18519" xr:uid="{00000000-0005-0000-0000-000056480000}"/>
    <cellStyle name="m2 20" xfId="18520" xr:uid="{00000000-0005-0000-0000-000057480000}"/>
    <cellStyle name="m2 21" xfId="18521" xr:uid="{00000000-0005-0000-0000-000058480000}"/>
    <cellStyle name="m2 3" xfId="18522" xr:uid="{00000000-0005-0000-0000-000059480000}"/>
    <cellStyle name="m2 4" xfId="18523" xr:uid="{00000000-0005-0000-0000-00005A480000}"/>
    <cellStyle name="m2 5" xfId="18524" xr:uid="{00000000-0005-0000-0000-00005B480000}"/>
    <cellStyle name="m2 6" xfId="18525" xr:uid="{00000000-0005-0000-0000-00005C480000}"/>
    <cellStyle name="m2 7" xfId="18526" xr:uid="{00000000-0005-0000-0000-00005D480000}"/>
    <cellStyle name="m2 8" xfId="18527" xr:uid="{00000000-0005-0000-0000-00005E480000}"/>
    <cellStyle name="m2 9" xfId="18528" xr:uid="{00000000-0005-0000-0000-00005F480000}"/>
    <cellStyle name="Map Labels" xfId="18529" xr:uid="{00000000-0005-0000-0000-000060480000}"/>
    <cellStyle name="Map Labels 10" xfId="18530" xr:uid="{00000000-0005-0000-0000-000061480000}"/>
    <cellStyle name="Map Labels 11" xfId="18531" xr:uid="{00000000-0005-0000-0000-000062480000}"/>
    <cellStyle name="Map Labels 12" xfId="18532" xr:uid="{00000000-0005-0000-0000-000063480000}"/>
    <cellStyle name="Map Labels 13" xfId="18533" xr:uid="{00000000-0005-0000-0000-000064480000}"/>
    <cellStyle name="Map Labels 14" xfId="18534" xr:uid="{00000000-0005-0000-0000-000065480000}"/>
    <cellStyle name="Map Labels 15" xfId="18535" xr:uid="{00000000-0005-0000-0000-000066480000}"/>
    <cellStyle name="Map Labels 16" xfId="18536" xr:uid="{00000000-0005-0000-0000-000067480000}"/>
    <cellStyle name="Map Labels 17" xfId="18537" xr:uid="{00000000-0005-0000-0000-000068480000}"/>
    <cellStyle name="Map Labels 18" xfId="18538" xr:uid="{00000000-0005-0000-0000-000069480000}"/>
    <cellStyle name="Map Labels 19" xfId="18539" xr:uid="{00000000-0005-0000-0000-00006A480000}"/>
    <cellStyle name="Map Labels 2" xfId="18540" xr:uid="{00000000-0005-0000-0000-00006B480000}"/>
    <cellStyle name="Map Labels 20" xfId="18541" xr:uid="{00000000-0005-0000-0000-00006C480000}"/>
    <cellStyle name="Map Labels 21" xfId="18542" xr:uid="{00000000-0005-0000-0000-00006D480000}"/>
    <cellStyle name="Map Labels 22" xfId="18543" xr:uid="{00000000-0005-0000-0000-00006E480000}"/>
    <cellStyle name="Map Labels 23" xfId="18544" xr:uid="{00000000-0005-0000-0000-00006F480000}"/>
    <cellStyle name="Map Labels 23 2" xfId="18545" xr:uid="{00000000-0005-0000-0000-000070480000}"/>
    <cellStyle name="Map Labels 24" xfId="18546" xr:uid="{00000000-0005-0000-0000-000071480000}"/>
    <cellStyle name="Map Labels 24 2" xfId="18547" xr:uid="{00000000-0005-0000-0000-000072480000}"/>
    <cellStyle name="Map Labels 25" xfId="18548" xr:uid="{00000000-0005-0000-0000-000073480000}"/>
    <cellStyle name="Map Labels 26" xfId="18549" xr:uid="{00000000-0005-0000-0000-000074480000}"/>
    <cellStyle name="Map Labels 27" xfId="18550" xr:uid="{00000000-0005-0000-0000-000075480000}"/>
    <cellStyle name="Map Labels 28" xfId="18551" xr:uid="{00000000-0005-0000-0000-000076480000}"/>
    <cellStyle name="Map Labels 29" xfId="18552" xr:uid="{00000000-0005-0000-0000-000077480000}"/>
    <cellStyle name="Map Labels 29 2" xfId="18553" xr:uid="{00000000-0005-0000-0000-000078480000}"/>
    <cellStyle name="Map Labels 3" xfId="18554" xr:uid="{00000000-0005-0000-0000-000079480000}"/>
    <cellStyle name="Map Labels 3 2" xfId="18555" xr:uid="{00000000-0005-0000-0000-00007A480000}"/>
    <cellStyle name="Map Labels 30" xfId="18556" xr:uid="{00000000-0005-0000-0000-00007B480000}"/>
    <cellStyle name="Map Labels 31" xfId="18557" xr:uid="{00000000-0005-0000-0000-00007C480000}"/>
    <cellStyle name="Map Labels 32" xfId="18558" xr:uid="{00000000-0005-0000-0000-00007D480000}"/>
    <cellStyle name="Map Labels 33" xfId="18559" xr:uid="{00000000-0005-0000-0000-00007E480000}"/>
    <cellStyle name="Map Labels 34" xfId="18560" xr:uid="{00000000-0005-0000-0000-00007F480000}"/>
    <cellStyle name="Map Labels 35" xfId="18561" xr:uid="{00000000-0005-0000-0000-000080480000}"/>
    <cellStyle name="Map Labels 36" xfId="18562" xr:uid="{00000000-0005-0000-0000-000081480000}"/>
    <cellStyle name="Map Labels 37" xfId="18563" xr:uid="{00000000-0005-0000-0000-000082480000}"/>
    <cellStyle name="Map Labels 38" xfId="18564" xr:uid="{00000000-0005-0000-0000-000083480000}"/>
    <cellStyle name="Map Labels 4" xfId="18565" xr:uid="{00000000-0005-0000-0000-000084480000}"/>
    <cellStyle name="Map Labels 4 2" xfId="18566" xr:uid="{00000000-0005-0000-0000-000085480000}"/>
    <cellStyle name="Map Labels 5" xfId="18567" xr:uid="{00000000-0005-0000-0000-000086480000}"/>
    <cellStyle name="Map Labels 5 2" xfId="18568" xr:uid="{00000000-0005-0000-0000-000087480000}"/>
    <cellStyle name="Map Labels 6" xfId="18569" xr:uid="{00000000-0005-0000-0000-000088480000}"/>
    <cellStyle name="Map Labels 6 2" xfId="18570" xr:uid="{00000000-0005-0000-0000-000089480000}"/>
    <cellStyle name="Map Labels 7" xfId="18571" xr:uid="{00000000-0005-0000-0000-00008A480000}"/>
    <cellStyle name="Map Labels 7 2" xfId="18572" xr:uid="{00000000-0005-0000-0000-00008B480000}"/>
    <cellStyle name="Map Labels 8" xfId="18573" xr:uid="{00000000-0005-0000-0000-00008C480000}"/>
    <cellStyle name="Map Labels 8 2" xfId="18574" xr:uid="{00000000-0005-0000-0000-00008D480000}"/>
    <cellStyle name="Map Labels 9" xfId="18575" xr:uid="{00000000-0005-0000-0000-00008E480000}"/>
    <cellStyle name="Map Legend" xfId="18576" xr:uid="{00000000-0005-0000-0000-00008F480000}"/>
    <cellStyle name="Map Legend 10" xfId="18577" xr:uid="{00000000-0005-0000-0000-000090480000}"/>
    <cellStyle name="Map Legend 11" xfId="18578" xr:uid="{00000000-0005-0000-0000-000091480000}"/>
    <cellStyle name="Map Legend 12" xfId="18579" xr:uid="{00000000-0005-0000-0000-000092480000}"/>
    <cellStyle name="Map Legend 13" xfId="18580" xr:uid="{00000000-0005-0000-0000-000093480000}"/>
    <cellStyle name="Map Legend 14" xfId="18581" xr:uid="{00000000-0005-0000-0000-000094480000}"/>
    <cellStyle name="Map Legend 15" xfId="18582" xr:uid="{00000000-0005-0000-0000-000095480000}"/>
    <cellStyle name="Map Legend 16" xfId="18583" xr:uid="{00000000-0005-0000-0000-000096480000}"/>
    <cellStyle name="Map Legend 17" xfId="18584" xr:uid="{00000000-0005-0000-0000-000097480000}"/>
    <cellStyle name="Map Legend 18" xfId="18585" xr:uid="{00000000-0005-0000-0000-000098480000}"/>
    <cellStyle name="Map Legend 19" xfId="18586" xr:uid="{00000000-0005-0000-0000-000099480000}"/>
    <cellStyle name="Map Legend 2" xfId="18587" xr:uid="{00000000-0005-0000-0000-00009A480000}"/>
    <cellStyle name="Map Legend 20" xfId="18588" xr:uid="{00000000-0005-0000-0000-00009B480000}"/>
    <cellStyle name="Map Legend 21" xfId="18589" xr:uid="{00000000-0005-0000-0000-00009C480000}"/>
    <cellStyle name="Map Legend 22" xfId="18590" xr:uid="{00000000-0005-0000-0000-00009D480000}"/>
    <cellStyle name="Map Legend 23" xfId="18591" xr:uid="{00000000-0005-0000-0000-00009E480000}"/>
    <cellStyle name="Map Legend 23 2" xfId="18592" xr:uid="{00000000-0005-0000-0000-00009F480000}"/>
    <cellStyle name="Map Legend 24" xfId="18593" xr:uid="{00000000-0005-0000-0000-0000A0480000}"/>
    <cellStyle name="Map Legend 24 2" xfId="18594" xr:uid="{00000000-0005-0000-0000-0000A1480000}"/>
    <cellStyle name="Map Legend 25" xfId="18595" xr:uid="{00000000-0005-0000-0000-0000A2480000}"/>
    <cellStyle name="Map Legend 26" xfId="18596" xr:uid="{00000000-0005-0000-0000-0000A3480000}"/>
    <cellStyle name="Map Legend 27" xfId="18597" xr:uid="{00000000-0005-0000-0000-0000A4480000}"/>
    <cellStyle name="Map Legend 28" xfId="18598" xr:uid="{00000000-0005-0000-0000-0000A5480000}"/>
    <cellStyle name="Map Legend 29" xfId="18599" xr:uid="{00000000-0005-0000-0000-0000A6480000}"/>
    <cellStyle name="Map Legend 29 2" xfId="18600" xr:uid="{00000000-0005-0000-0000-0000A7480000}"/>
    <cellStyle name="Map Legend 3" xfId="18601" xr:uid="{00000000-0005-0000-0000-0000A8480000}"/>
    <cellStyle name="Map Legend 3 2" xfId="18602" xr:uid="{00000000-0005-0000-0000-0000A9480000}"/>
    <cellStyle name="Map Legend 30" xfId="18603" xr:uid="{00000000-0005-0000-0000-0000AA480000}"/>
    <cellStyle name="Map Legend 31" xfId="18604" xr:uid="{00000000-0005-0000-0000-0000AB480000}"/>
    <cellStyle name="Map Legend 32" xfId="18605" xr:uid="{00000000-0005-0000-0000-0000AC480000}"/>
    <cellStyle name="Map Legend 33" xfId="18606" xr:uid="{00000000-0005-0000-0000-0000AD480000}"/>
    <cellStyle name="Map Legend 34" xfId="18607" xr:uid="{00000000-0005-0000-0000-0000AE480000}"/>
    <cellStyle name="Map Legend 35" xfId="18608" xr:uid="{00000000-0005-0000-0000-0000AF480000}"/>
    <cellStyle name="Map Legend 36" xfId="18609" xr:uid="{00000000-0005-0000-0000-0000B0480000}"/>
    <cellStyle name="Map Legend 37" xfId="18610" xr:uid="{00000000-0005-0000-0000-0000B1480000}"/>
    <cellStyle name="Map Legend 38" xfId="18611" xr:uid="{00000000-0005-0000-0000-0000B2480000}"/>
    <cellStyle name="Map Legend 4" xfId="18612" xr:uid="{00000000-0005-0000-0000-0000B3480000}"/>
    <cellStyle name="Map Legend 4 2" xfId="18613" xr:uid="{00000000-0005-0000-0000-0000B4480000}"/>
    <cellStyle name="Map Legend 5" xfId="18614" xr:uid="{00000000-0005-0000-0000-0000B5480000}"/>
    <cellStyle name="Map Legend 5 2" xfId="18615" xr:uid="{00000000-0005-0000-0000-0000B6480000}"/>
    <cellStyle name="Map Legend 6" xfId="18616" xr:uid="{00000000-0005-0000-0000-0000B7480000}"/>
    <cellStyle name="Map Legend 6 2" xfId="18617" xr:uid="{00000000-0005-0000-0000-0000B8480000}"/>
    <cellStyle name="Map Legend 7" xfId="18618" xr:uid="{00000000-0005-0000-0000-0000B9480000}"/>
    <cellStyle name="Map Legend 7 2" xfId="18619" xr:uid="{00000000-0005-0000-0000-0000BA480000}"/>
    <cellStyle name="Map Legend 8" xfId="18620" xr:uid="{00000000-0005-0000-0000-0000BB480000}"/>
    <cellStyle name="Map Legend 8 2" xfId="18621" xr:uid="{00000000-0005-0000-0000-0000BC480000}"/>
    <cellStyle name="Map Legend 9" xfId="18622" xr:uid="{00000000-0005-0000-0000-0000BD480000}"/>
    <cellStyle name="Map Title" xfId="18623" xr:uid="{00000000-0005-0000-0000-0000BE480000}"/>
    <cellStyle name="Map Title 10" xfId="18624" xr:uid="{00000000-0005-0000-0000-0000BF480000}"/>
    <cellStyle name="Map Title 11" xfId="18625" xr:uid="{00000000-0005-0000-0000-0000C0480000}"/>
    <cellStyle name="Map Title 12" xfId="18626" xr:uid="{00000000-0005-0000-0000-0000C1480000}"/>
    <cellStyle name="Map Title 13" xfId="18627" xr:uid="{00000000-0005-0000-0000-0000C2480000}"/>
    <cellStyle name="Map Title 14" xfId="18628" xr:uid="{00000000-0005-0000-0000-0000C3480000}"/>
    <cellStyle name="Map Title 15" xfId="18629" xr:uid="{00000000-0005-0000-0000-0000C4480000}"/>
    <cellStyle name="Map Title 16" xfId="18630" xr:uid="{00000000-0005-0000-0000-0000C5480000}"/>
    <cellStyle name="Map Title 17" xfId="18631" xr:uid="{00000000-0005-0000-0000-0000C6480000}"/>
    <cellStyle name="Map Title 18" xfId="18632" xr:uid="{00000000-0005-0000-0000-0000C7480000}"/>
    <cellStyle name="Map Title 19" xfId="18633" xr:uid="{00000000-0005-0000-0000-0000C8480000}"/>
    <cellStyle name="Map Title 2" xfId="18634" xr:uid="{00000000-0005-0000-0000-0000C9480000}"/>
    <cellStyle name="Map Title 20" xfId="18635" xr:uid="{00000000-0005-0000-0000-0000CA480000}"/>
    <cellStyle name="Map Title 21" xfId="18636" xr:uid="{00000000-0005-0000-0000-0000CB480000}"/>
    <cellStyle name="Map Title 22" xfId="18637" xr:uid="{00000000-0005-0000-0000-0000CC480000}"/>
    <cellStyle name="Map Title 23" xfId="18638" xr:uid="{00000000-0005-0000-0000-0000CD480000}"/>
    <cellStyle name="Map Title 23 2" xfId="18639" xr:uid="{00000000-0005-0000-0000-0000CE480000}"/>
    <cellStyle name="Map Title 24" xfId="18640" xr:uid="{00000000-0005-0000-0000-0000CF480000}"/>
    <cellStyle name="Map Title 24 2" xfId="18641" xr:uid="{00000000-0005-0000-0000-0000D0480000}"/>
    <cellStyle name="Map Title 25" xfId="18642" xr:uid="{00000000-0005-0000-0000-0000D1480000}"/>
    <cellStyle name="Map Title 26" xfId="18643" xr:uid="{00000000-0005-0000-0000-0000D2480000}"/>
    <cellStyle name="Map Title 27" xfId="18644" xr:uid="{00000000-0005-0000-0000-0000D3480000}"/>
    <cellStyle name="Map Title 28" xfId="18645" xr:uid="{00000000-0005-0000-0000-0000D4480000}"/>
    <cellStyle name="Map Title 29" xfId="18646" xr:uid="{00000000-0005-0000-0000-0000D5480000}"/>
    <cellStyle name="Map Title 29 2" xfId="18647" xr:uid="{00000000-0005-0000-0000-0000D6480000}"/>
    <cellStyle name="Map Title 3" xfId="18648" xr:uid="{00000000-0005-0000-0000-0000D7480000}"/>
    <cellStyle name="Map Title 3 2" xfId="18649" xr:uid="{00000000-0005-0000-0000-0000D8480000}"/>
    <cellStyle name="Map Title 30" xfId="18650" xr:uid="{00000000-0005-0000-0000-0000D9480000}"/>
    <cellStyle name="Map Title 31" xfId="18651" xr:uid="{00000000-0005-0000-0000-0000DA480000}"/>
    <cellStyle name="Map Title 32" xfId="18652" xr:uid="{00000000-0005-0000-0000-0000DB480000}"/>
    <cellStyle name="Map Title 33" xfId="18653" xr:uid="{00000000-0005-0000-0000-0000DC480000}"/>
    <cellStyle name="Map Title 34" xfId="18654" xr:uid="{00000000-0005-0000-0000-0000DD480000}"/>
    <cellStyle name="Map Title 35" xfId="18655" xr:uid="{00000000-0005-0000-0000-0000DE480000}"/>
    <cellStyle name="Map Title 36" xfId="18656" xr:uid="{00000000-0005-0000-0000-0000DF480000}"/>
    <cellStyle name="Map Title 37" xfId="18657" xr:uid="{00000000-0005-0000-0000-0000E0480000}"/>
    <cellStyle name="Map Title 38" xfId="18658" xr:uid="{00000000-0005-0000-0000-0000E1480000}"/>
    <cellStyle name="Map Title 4" xfId="18659" xr:uid="{00000000-0005-0000-0000-0000E2480000}"/>
    <cellStyle name="Map Title 4 2" xfId="18660" xr:uid="{00000000-0005-0000-0000-0000E3480000}"/>
    <cellStyle name="Map Title 5" xfId="18661" xr:uid="{00000000-0005-0000-0000-0000E4480000}"/>
    <cellStyle name="Map Title 5 2" xfId="18662" xr:uid="{00000000-0005-0000-0000-0000E5480000}"/>
    <cellStyle name="Map Title 6" xfId="18663" xr:uid="{00000000-0005-0000-0000-0000E6480000}"/>
    <cellStyle name="Map Title 6 2" xfId="18664" xr:uid="{00000000-0005-0000-0000-0000E7480000}"/>
    <cellStyle name="Map Title 7" xfId="18665" xr:uid="{00000000-0005-0000-0000-0000E8480000}"/>
    <cellStyle name="Map Title 7 2" xfId="18666" xr:uid="{00000000-0005-0000-0000-0000E9480000}"/>
    <cellStyle name="Map Title 8" xfId="18667" xr:uid="{00000000-0005-0000-0000-0000EA480000}"/>
    <cellStyle name="Map Title 8 2" xfId="18668" xr:uid="{00000000-0005-0000-0000-0000EB480000}"/>
    <cellStyle name="Map Title 9" xfId="18669" xr:uid="{00000000-0005-0000-0000-0000EC480000}"/>
    <cellStyle name="Migliaia (0)_07 Deut - FS0699HY" xfId="18670" xr:uid="{00000000-0005-0000-0000-0000ED480000}"/>
    <cellStyle name="Migliaia [0]_Ieffe Due BP 2004" xfId="18671" xr:uid="{00000000-0005-0000-0000-0000EE480000}"/>
    <cellStyle name="Migliaia_07 Deut - FS0699HY" xfId="18672" xr:uid="{00000000-0005-0000-0000-0000EF480000}"/>
    <cellStyle name="Millares [0]_ARE" xfId="18673" xr:uid="{00000000-0005-0000-0000-0000F0480000}"/>
    <cellStyle name="Millares_ARE" xfId="18674" xr:uid="{00000000-0005-0000-0000-0000F1480000}"/>
    <cellStyle name="Milliers [0]_Basis" xfId="18675" xr:uid="{00000000-0005-0000-0000-0000F2480000}"/>
    <cellStyle name="Milliers_Basis" xfId="18676" xr:uid="{00000000-0005-0000-0000-0000F3480000}"/>
    <cellStyle name="mine" xfId="18677" xr:uid="{00000000-0005-0000-0000-0000F4480000}"/>
    <cellStyle name="mine 10" xfId="18678" xr:uid="{00000000-0005-0000-0000-0000F5480000}"/>
    <cellStyle name="mine 11" xfId="18679" xr:uid="{00000000-0005-0000-0000-0000F6480000}"/>
    <cellStyle name="mine 12" xfId="18680" xr:uid="{00000000-0005-0000-0000-0000F7480000}"/>
    <cellStyle name="mine 13" xfId="18681" xr:uid="{00000000-0005-0000-0000-0000F8480000}"/>
    <cellStyle name="mine 14" xfId="18682" xr:uid="{00000000-0005-0000-0000-0000F9480000}"/>
    <cellStyle name="mine 15" xfId="18683" xr:uid="{00000000-0005-0000-0000-0000FA480000}"/>
    <cellStyle name="mine 16" xfId="18684" xr:uid="{00000000-0005-0000-0000-0000FB480000}"/>
    <cellStyle name="mine 17" xfId="18685" xr:uid="{00000000-0005-0000-0000-0000FC480000}"/>
    <cellStyle name="mine 18" xfId="18686" xr:uid="{00000000-0005-0000-0000-0000FD480000}"/>
    <cellStyle name="mine 19" xfId="18687" xr:uid="{00000000-0005-0000-0000-0000FE480000}"/>
    <cellStyle name="mine 2" xfId="18688" xr:uid="{00000000-0005-0000-0000-0000FF480000}"/>
    <cellStyle name="mine 20" xfId="18689" xr:uid="{00000000-0005-0000-0000-000000490000}"/>
    <cellStyle name="mine 21" xfId="18690" xr:uid="{00000000-0005-0000-0000-000001490000}"/>
    <cellStyle name="mine 22" xfId="18691" xr:uid="{00000000-0005-0000-0000-000002490000}"/>
    <cellStyle name="mine 23" xfId="18692" xr:uid="{00000000-0005-0000-0000-000003490000}"/>
    <cellStyle name="mine 23 2" xfId="18693" xr:uid="{00000000-0005-0000-0000-000004490000}"/>
    <cellStyle name="mine 24" xfId="18694" xr:uid="{00000000-0005-0000-0000-000005490000}"/>
    <cellStyle name="mine 24 2" xfId="18695" xr:uid="{00000000-0005-0000-0000-000006490000}"/>
    <cellStyle name="mine 25" xfId="18696" xr:uid="{00000000-0005-0000-0000-000007490000}"/>
    <cellStyle name="mine 26" xfId="18697" xr:uid="{00000000-0005-0000-0000-000008490000}"/>
    <cellStyle name="mine 27" xfId="18698" xr:uid="{00000000-0005-0000-0000-000009490000}"/>
    <cellStyle name="mine 28" xfId="18699" xr:uid="{00000000-0005-0000-0000-00000A490000}"/>
    <cellStyle name="mine 29" xfId="18700" xr:uid="{00000000-0005-0000-0000-00000B490000}"/>
    <cellStyle name="mine 3" xfId="18701" xr:uid="{00000000-0005-0000-0000-00000C490000}"/>
    <cellStyle name="mine 3 2" xfId="18702" xr:uid="{00000000-0005-0000-0000-00000D490000}"/>
    <cellStyle name="mine 30" xfId="18703" xr:uid="{00000000-0005-0000-0000-00000E490000}"/>
    <cellStyle name="mine 31" xfId="18704" xr:uid="{00000000-0005-0000-0000-00000F490000}"/>
    <cellStyle name="mine 32" xfId="18705" xr:uid="{00000000-0005-0000-0000-000010490000}"/>
    <cellStyle name="mine 33" xfId="18706" xr:uid="{00000000-0005-0000-0000-000011490000}"/>
    <cellStyle name="mine 34" xfId="18707" xr:uid="{00000000-0005-0000-0000-000012490000}"/>
    <cellStyle name="mine 35" xfId="18708" xr:uid="{00000000-0005-0000-0000-000013490000}"/>
    <cellStyle name="mine 36" xfId="18709" xr:uid="{00000000-0005-0000-0000-000014490000}"/>
    <cellStyle name="mine 37" xfId="18710" xr:uid="{00000000-0005-0000-0000-000015490000}"/>
    <cellStyle name="mine 38" xfId="18711" xr:uid="{00000000-0005-0000-0000-000016490000}"/>
    <cellStyle name="mine 4" xfId="18712" xr:uid="{00000000-0005-0000-0000-000017490000}"/>
    <cellStyle name="mine 4 2" xfId="18713" xr:uid="{00000000-0005-0000-0000-000018490000}"/>
    <cellStyle name="mine 5" xfId="18714" xr:uid="{00000000-0005-0000-0000-000019490000}"/>
    <cellStyle name="mine 5 2" xfId="18715" xr:uid="{00000000-0005-0000-0000-00001A490000}"/>
    <cellStyle name="mine 6" xfId="18716" xr:uid="{00000000-0005-0000-0000-00001B490000}"/>
    <cellStyle name="mine 6 2" xfId="18717" xr:uid="{00000000-0005-0000-0000-00001C490000}"/>
    <cellStyle name="mine 7" xfId="18718" xr:uid="{00000000-0005-0000-0000-00001D490000}"/>
    <cellStyle name="mine 7 2" xfId="18719" xr:uid="{00000000-0005-0000-0000-00001E490000}"/>
    <cellStyle name="mine 8" xfId="18720" xr:uid="{00000000-0005-0000-0000-00001F490000}"/>
    <cellStyle name="mine 8 2" xfId="18721" xr:uid="{00000000-0005-0000-0000-000020490000}"/>
    <cellStyle name="mine 9" xfId="18722" xr:uid="{00000000-0005-0000-0000-000021490000}"/>
    <cellStyle name="MLComma0" xfId="18723" xr:uid="{00000000-0005-0000-0000-000022490000}"/>
    <cellStyle name="MLComma0 10" xfId="18724" xr:uid="{00000000-0005-0000-0000-000023490000}"/>
    <cellStyle name="MLComma0 11" xfId="18725" xr:uid="{00000000-0005-0000-0000-000024490000}"/>
    <cellStyle name="MLComma0 12" xfId="18726" xr:uid="{00000000-0005-0000-0000-000025490000}"/>
    <cellStyle name="MLComma0 13" xfId="18727" xr:uid="{00000000-0005-0000-0000-000026490000}"/>
    <cellStyle name="MLComma0 14" xfId="18728" xr:uid="{00000000-0005-0000-0000-000027490000}"/>
    <cellStyle name="MLComma0 15" xfId="18729" xr:uid="{00000000-0005-0000-0000-000028490000}"/>
    <cellStyle name="MLComma0 16" xfId="18730" xr:uid="{00000000-0005-0000-0000-000029490000}"/>
    <cellStyle name="MLComma0 17" xfId="18731" xr:uid="{00000000-0005-0000-0000-00002A490000}"/>
    <cellStyle name="MLComma0 18" xfId="18732" xr:uid="{00000000-0005-0000-0000-00002B490000}"/>
    <cellStyle name="MLComma0 19" xfId="18733" xr:uid="{00000000-0005-0000-0000-00002C490000}"/>
    <cellStyle name="MLComma0 2" xfId="18734" xr:uid="{00000000-0005-0000-0000-00002D490000}"/>
    <cellStyle name="MLComma0 2 2" xfId="18735" xr:uid="{00000000-0005-0000-0000-00002E490000}"/>
    <cellStyle name="MLComma0 20" xfId="18736" xr:uid="{00000000-0005-0000-0000-00002F490000}"/>
    <cellStyle name="MLComma0 21" xfId="18737" xr:uid="{00000000-0005-0000-0000-000030490000}"/>
    <cellStyle name="MLComma0 22" xfId="18738" xr:uid="{00000000-0005-0000-0000-000031490000}"/>
    <cellStyle name="MLComma0 23" xfId="18739" xr:uid="{00000000-0005-0000-0000-000032490000}"/>
    <cellStyle name="MLComma0 24" xfId="18740" xr:uid="{00000000-0005-0000-0000-000033490000}"/>
    <cellStyle name="MLComma0 25" xfId="18741" xr:uid="{00000000-0005-0000-0000-000034490000}"/>
    <cellStyle name="MLComma0 26" xfId="18742" xr:uid="{00000000-0005-0000-0000-000035490000}"/>
    <cellStyle name="MLComma0 27" xfId="18743" xr:uid="{00000000-0005-0000-0000-000036490000}"/>
    <cellStyle name="MLComma0 28" xfId="18744" xr:uid="{00000000-0005-0000-0000-000037490000}"/>
    <cellStyle name="MLComma0 29" xfId="18745" xr:uid="{00000000-0005-0000-0000-000038490000}"/>
    <cellStyle name="MLComma0 3" xfId="18746" xr:uid="{00000000-0005-0000-0000-000039490000}"/>
    <cellStyle name="MLComma0 3 2" xfId="18747" xr:uid="{00000000-0005-0000-0000-00003A490000}"/>
    <cellStyle name="MLComma0 30" xfId="18748" xr:uid="{00000000-0005-0000-0000-00003B490000}"/>
    <cellStyle name="MLComma0 31" xfId="18749" xr:uid="{00000000-0005-0000-0000-00003C490000}"/>
    <cellStyle name="MLComma0 31 2" xfId="18750" xr:uid="{00000000-0005-0000-0000-00003D490000}"/>
    <cellStyle name="MLComma0 32" xfId="18751" xr:uid="{00000000-0005-0000-0000-00003E490000}"/>
    <cellStyle name="MLComma0 33" xfId="18752" xr:uid="{00000000-0005-0000-0000-00003F490000}"/>
    <cellStyle name="MLComma0 34" xfId="18753" xr:uid="{00000000-0005-0000-0000-000040490000}"/>
    <cellStyle name="MLComma0 35" xfId="18754" xr:uid="{00000000-0005-0000-0000-000041490000}"/>
    <cellStyle name="MLComma0 36" xfId="18755" xr:uid="{00000000-0005-0000-0000-000042490000}"/>
    <cellStyle name="MLComma0 37" xfId="18756" xr:uid="{00000000-0005-0000-0000-000043490000}"/>
    <cellStyle name="MLComma0 38" xfId="18757" xr:uid="{00000000-0005-0000-0000-000044490000}"/>
    <cellStyle name="MLComma0 39" xfId="18758" xr:uid="{00000000-0005-0000-0000-000045490000}"/>
    <cellStyle name="MLComma0 4" xfId="18759" xr:uid="{00000000-0005-0000-0000-000046490000}"/>
    <cellStyle name="MLComma0 40" xfId="18760" xr:uid="{00000000-0005-0000-0000-000047490000}"/>
    <cellStyle name="MLComma0 5" xfId="18761" xr:uid="{00000000-0005-0000-0000-000048490000}"/>
    <cellStyle name="MLComma0 6" xfId="18762" xr:uid="{00000000-0005-0000-0000-000049490000}"/>
    <cellStyle name="MLComma0 7" xfId="18763" xr:uid="{00000000-0005-0000-0000-00004A490000}"/>
    <cellStyle name="MLComma0 8" xfId="18764" xr:uid="{00000000-0005-0000-0000-00004B490000}"/>
    <cellStyle name="MLComma0 9" xfId="18765" xr:uid="{00000000-0005-0000-0000-00004C490000}"/>
    <cellStyle name="MLMultiple0" xfId="18766" xr:uid="{00000000-0005-0000-0000-00004D490000}"/>
    <cellStyle name="MLMultiple0 10" xfId="18767" xr:uid="{00000000-0005-0000-0000-00004E490000}"/>
    <cellStyle name="MLMultiple0 11" xfId="18768" xr:uid="{00000000-0005-0000-0000-00004F490000}"/>
    <cellStyle name="MLMultiple0 12" xfId="18769" xr:uid="{00000000-0005-0000-0000-000050490000}"/>
    <cellStyle name="MLMultiple0 13" xfId="18770" xr:uid="{00000000-0005-0000-0000-000051490000}"/>
    <cellStyle name="MLMultiple0 14" xfId="18771" xr:uid="{00000000-0005-0000-0000-000052490000}"/>
    <cellStyle name="MLMultiple0 15" xfId="18772" xr:uid="{00000000-0005-0000-0000-000053490000}"/>
    <cellStyle name="MLMultiple0 16" xfId="18773" xr:uid="{00000000-0005-0000-0000-000054490000}"/>
    <cellStyle name="MLMultiple0 17" xfId="18774" xr:uid="{00000000-0005-0000-0000-000055490000}"/>
    <cellStyle name="MLMultiple0 18" xfId="18775" xr:uid="{00000000-0005-0000-0000-000056490000}"/>
    <cellStyle name="MLMultiple0 19" xfId="18776" xr:uid="{00000000-0005-0000-0000-000057490000}"/>
    <cellStyle name="MLMultiple0 2" xfId="18777" xr:uid="{00000000-0005-0000-0000-000058490000}"/>
    <cellStyle name="MLMultiple0 2 2" xfId="18778" xr:uid="{00000000-0005-0000-0000-000059490000}"/>
    <cellStyle name="MLMultiple0 20" xfId="18779" xr:uid="{00000000-0005-0000-0000-00005A490000}"/>
    <cellStyle name="MLMultiple0 21" xfId="18780" xr:uid="{00000000-0005-0000-0000-00005B490000}"/>
    <cellStyle name="MLMultiple0 22" xfId="18781" xr:uid="{00000000-0005-0000-0000-00005C490000}"/>
    <cellStyle name="MLMultiple0 23" xfId="18782" xr:uid="{00000000-0005-0000-0000-00005D490000}"/>
    <cellStyle name="MLMultiple0 24" xfId="18783" xr:uid="{00000000-0005-0000-0000-00005E490000}"/>
    <cellStyle name="MLMultiple0 25" xfId="18784" xr:uid="{00000000-0005-0000-0000-00005F490000}"/>
    <cellStyle name="MLMultiple0 26" xfId="18785" xr:uid="{00000000-0005-0000-0000-000060490000}"/>
    <cellStyle name="MLMultiple0 27" xfId="18786" xr:uid="{00000000-0005-0000-0000-000061490000}"/>
    <cellStyle name="MLMultiple0 28" xfId="18787" xr:uid="{00000000-0005-0000-0000-000062490000}"/>
    <cellStyle name="MLMultiple0 29" xfId="18788" xr:uid="{00000000-0005-0000-0000-000063490000}"/>
    <cellStyle name="MLMultiple0 3" xfId="18789" xr:uid="{00000000-0005-0000-0000-000064490000}"/>
    <cellStyle name="MLMultiple0 3 2" xfId="18790" xr:uid="{00000000-0005-0000-0000-000065490000}"/>
    <cellStyle name="MLMultiple0 30" xfId="18791" xr:uid="{00000000-0005-0000-0000-000066490000}"/>
    <cellStyle name="MLMultiple0 31" xfId="18792" xr:uid="{00000000-0005-0000-0000-000067490000}"/>
    <cellStyle name="MLMultiple0 31 2" xfId="18793" xr:uid="{00000000-0005-0000-0000-000068490000}"/>
    <cellStyle name="MLMultiple0 32" xfId="18794" xr:uid="{00000000-0005-0000-0000-000069490000}"/>
    <cellStyle name="MLMultiple0 33" xfId="18795" xr:uid="{00000000-0005-0000-0000-00006A490000}"/>
    <cellStyle name="MLMultiple0 34" xfId="18796" xr:uid="{00000000-0005-0000-0000-00006B490000}"/>
    <cellStyle name="MLMultiple0 35" xfId="18797" xr:uid="{00000000-0005-0000-0000-00006C490000}"/>
    <cellStyle name="MLMultiple0 36" xfId="18798" xr:uid="{00000000-0005-0000-0000-00006D490000}"/>
    <cellStyle name="MLMultiple0 37" xfId="18799" xr:uid="{00000000-0005-0000-0000-00006E490000}"/>
    <cellStyle name="MLMultiple0 38" xfId="18800" xr:uid="{00000000-0005-0000-0000-00006F490000}"/>
    <cellStyle name="MLMultiple0 39" xfId="18801" xr:uid="{00000000-0005-0000-0000-000070490000}"/>
    <cellStyle name="MLMultiple0 4" xfId="18802" xr:uid="{00000000-0005-0000-0000-000071490000}"/>
    <cellStyle name="MLMultiple0 40" xfId="18803" xr:uid="{00000000-0005-0000-0000-000072490000}"/>
    <cellStyle name="MLMultiple0 5" xfId="18804" xr:uid="{00000000-0005-0000-0000-000073490000}"/>
    <cellStyle name="MLMultiple0 6" xfId="18805" xr:uid="{00000000-0005-0000-0000-000074490000}"/>
    <cellStyle name="MLMultiple0 7" xfId="18806" xr:uid="{00000000-0005-0000-0000-000075490000}"/>
    <cellStyle name="MLMultiple0 8" xfId="18807" xr:uid="{00000000-0005-0000-0000-000076490000}"/>
    <cellStyle name="MLMultiple0 9" xfId="18808" xr:uid="{00000000-0005-0000-0000-000077490000}"/>
    <cellStyle name="MLPercent0" xfId="18809" xr:uid="{00000000-0005-0000-0000-000078490000}"/>
    <cellStyle name="MLPercent0 10" xfId="18810" xr:uid="{00000000-0005-0000-0000-000079490000}"/>
    <cellStyle name="MLPercent0 11" xfId="18811" xr:uid="{00000000-0005-0000-0000-00007A490000}"/>
    <cellStyle name="MLPercent0 12" xfId="18812" xr:uid="{00000000-0005-0000-0000-00007B490000}"/>
    <cellStyle name="MLPercent0 13" xfId="18813" xr:uid="{00000000-0005-0000-0000-00007C490000}"/>
    <cellStyle name="MLPercent0 14" xfId="18814" xr:uid="{00000000-0005-0000-0000-00007D490000}"/>
    <cellStyle name="MLPercent0 15" xfId="18815" xr:uid="{00000000-0005-0000-0000-00007E490000}"/>
    <cellStyle name="MLPercent0 16" xfId="18816" xr:uid="{00000000-0005-0000-0000-00007F490000}"/>
    <cellStyle name="MLPercent0 17" xfId="18817" xr:uid="{00000000-0005-0000-0000-000080490000}"/>
    <cellStyle name="MLPercent0 18" xfId="18818" xr:uid="{00000000-0005-0000-0000-000081490000}"/>
    <cellStyle name="MLPercent0 19" xfId="18819" xr:uid="{00000000-0005-0000-0000-000082490000}"/>
    <cellStyle name="MLPercent0 2" xfId="18820" xr:uid="{00000000-0005-0000-0000-000083490000}"/>
    <cellStyle name="MLPercent0 2 2" xfId="18821" xr:uid="{00000000-0005-0000-0000-000084490000}"/>
    <cellStyle name="MLPercent0 20" xfId="18822" xr:uid="{00000000-0005-0000-0000-000085490000}"/>
    <cellStyle name="MLPercent0 21" xfId="18823" xr:uid="{00000000-0005-0000-0000-000086490000}"/>
    <cellStyle name="MLPercent0 22" xfId="18824" xr:uid="{00000000-0005-0000-0000-000087490000}"/>
    <cellStyle name="MLPercent0 23" xfId="18825" xr:uid="{00000000-0005-0000-0000-000088490000}"/>
    <cellStyle name="MLPercent0 24" xfId="18826" xr:uid="{00000000-0005-0000-0000-000089490000}"/>
    <cellStyle name="MLPercent0 25" xfId="18827" xr:uid="{00000000-0005-0000-0000-00008A490000}"/>
    <cellStyle name="MLPercent0 26" xfId="18828" xr:uid="{00000000-0005-0000-0000-00008B490000}"/>
    <cellStyle name="MLPercent0 27" xfId="18829" xr:uid="{00000000-0005-0000-0000-00008C490000}"/>
    <cellStyle name="MLPercent0 28" xfId="18830" xr:uid="{00000000-0005-0000-0000-00008D490000}"/>
    <cellStyle name="MLPercent0 29" xfId="18831" xr:uid="{00000000-0005-0000-0000-00008E490000}"/>
    <cellStyle name="MLPercent0 3" xfId="18832" xr:uid="{00000000-0005-0000-0000-00008F490000}"/>
    <cellStyle name="MLPercent0 3 2" xfId="18833" xr:uid="{00000000-0005-0000-0000-000090490000}"/>
    <cellStyle name="MLPercent0 30" xfId="18834" xr:uid="{00000000-0005-0000-0000-000091490000}"/>
    <cellStyle name="MLPercent0 31" xfId="18835" xr:uid="{00000000-0005-0000-0000-000092490000}"/>
    <cellStyle name="MLPercent0 31 2" xfId="18836" xr:uid="{00000000-0005-0000-0000-000093490000}"/>
    <cellStyle name="MLPercent0 32" xfId="18837" xr:uid="{00000000-0005-0000-0000-000094490000}"/>
    <cellStyle name="MLPercent0 33" xfId="18838" xr:uid="{00000000-0005-0000-0000-000095490000}"/>
    <cellStyle name="MLPercent0 34" xfId="18839" xr:uid="{00000000-0005-0000-0000-000096490000}"/>
    <cellStyle name="MLPercent0 35" xfId="18840" xr:uid="{00000000-0005-0000-0000-000097490000}"/>
    <cellStyle name="MLPercent0 36" xfId="18841" xr:uid="{00000000-0005-0000-0000-000098490000}"/>
    <cellStyle name="MLPercent0 37" xfId="18842" xr:uid="{00000000-0005-0000-0000-000099490000}"/>
    <cellStyle name="MLPercent0 38" xfId="18843" xr:uid="{00000000-0005-0000-0000-00009A490000}"/>
    <cellStyle name="MLPercent0 39" xfId="18844" xr:uid="{00000000-0005-0000-0000-00009B490000}"/>
    <cellStyle name="MLPercent0 4" xfId="18845" xr:uid="{00000000-0005-0000-0000-00009C490000}"/>
    <cellStyle name="MLPercent0 40" xfId="18846" xr:uid="{00000000-0005-0000-0000-00009D490000}"/>
    <cellStyle name="MLPercent0 5" xfId="18847" xr:uid="{00000000-0005-0000-0000-00009E490000}"/>
    <cellStyle name="MLPercent0 6" xfId="18848" xr:uid="{00000000-0005-0000-0000-00009F490000}"/>
    <cellStyle name="MLPercent0 7" xfId="18849" xr:uid="{00000000-0005-0000-0000-0000A0490000}"/>
    <cellStyle name="MLPercent0 8" xfId="18850" xr:uid="{00000000-0005-0000-0000-0000A1490000}"/>
    <cellStyle name="MLPercent0 9" xfId="18851" xr:uid="{00000000-0005-0000-0000-0000A2490000}"/>
    <cellStyle name="Model" xfId="18852" xr:uid="{00000000-0005-0000-0000-0000A3490000}"/>
    <cellStyle name="Model 10" xfId="18853" xr:uid="{00000000-0005-0000-0000-0000A4490000}"/>
    <cellStyle name="Model 11" xfId="18854" xr:uid="{00000000-0005-0000-0000-0000A5490000}"/>
    <cellStyle name="Model 12" xfId="18855" xr:uid="{00000000-0005-0000-0000-0000A6490000}"/>
    <cellStyle name="Model 13" xfId="18856" xr:uid="{00000000-0005-0000-0000-0000A7490000}"/>
    <cellStyle name="Model 14" xfId="18857" xr:uid="{00000000-0005-0000-0000-0000A8490000}"/>
    <cellStyle name="Model 15" xfId="18858" xr:uid="{00000000-0005-0000-0000-0000A9490000}"/>
    <cellStyle name="Model 16" xfId="18859" xr:uid="{00000000-0005-0000-0000-0000AA490000}"/>
    <cellStyle name="Model 17" xfId="18860" xr:uid="{00000000-0005-0000-0000-0000AB490000}"/>
    <cellStyle name="Model 18" xfId="18861" xr:uid="{00000000-0005-0000-0000-0000AC490000}"/>
    <cellStyle name="Model 19" xfId="18862" xr:uid="{00000000-0005-0000-0000-0000AD490000}"/>
    <cellStyle name="Model 2" xfId="18863" xr:uid="{00000000-0005-0000-0000-0000AE490000}"/>
    <cellStyle name="Model 20" xfId="18864" xr:uid="{00000000-0005-0000-0000-0000AF490000}"/>
    <cellStyle name="Model 21" xfId="18865" xr:uid="{00000000-0005-0000-0000-0000B0490000}"/>
    <cellStyle name="Model 21 2" xfId="18866" xr:uid="{00000000-0005-0000-0000-0000B1490000}"/>
    <cellStyle name="Model 3" xfId="18867" xr:uid="{00000000-0005-0000-0000-0000B2490000}"/>
    <cellStyle name="Model 4" xfId="18868" xr:uid="{00000000-0005-0000-0000-0000B3490000}"/>
    <cellStyle name="Model 5" xfId="18869" xr:uid="{00000000-0005-0000-0000-0000B4490000}"/>
    <cellStyle name="Model 6" xfId="18870" xr:uid="{00000000-0005-0000-0000-0000B5490000}"/>
    <cellStyle name="Model 7" xfId="18871" xr:uid="{00000000-0005-0000-0000-0000B6490000}"/>
    <cellStyle name="Model 8" xfId="18872" xr:uid="{00000000-0005-0000-0000-0000B7490000}"/>
    <cellStyle name="Model 9" xfId="18873" xr:uid="{00000000-0005-0000-0000-0000B8490000}"/>
    <cellStyle name="Moneda [0]_ARE" xfId="18874" xr:uid="{00000000-0005-0000-0000-0000B9490000}"/>
    <cellStyle name="Moneda_ARE" xfId="18875" xr:uid="{00000000-0005-0000-0000-0000BA490000}"/>
    <cellStyle name="Monétaire [0]_Basis" xfId="18876" xr:uid="{00000000-0005-0000-0000-0000BB490000}"/>
    <cellStyle name="Monétaire_Basis" xfId="18877" xr:uid="{00000000-0005-0000-0000-0000BC490000}"/>
    <cellStyle name="MS_COL_STYLE" xfId="18878" xr:uid="{00000000-0005-0000-0000-0000BD490000}"/>
    <cellStyle name="MSprotect" xfId="18879" xr:uid="{00000000-0005-0000-0000-0000BE490000}"/>
    <cellStyle name="MSprotect 10" xfId="18880" xr:uid="{00000000-0005-0000-0000-0000BF490000}"/>
    <cellStyle name="MSprotect 11" xfId="18881" xr:uid="{00000000-0005-0000-0000-0000C0490000}"/>
    <cellStyle name="MSprotect 12" xfId="18882" xr:uid="{00000000-0005-0000-0000-0000C1490000}"/>
    <cellStyle name="MSprotect 13" xfId="18883" xr:uid="{00000000-0005-0000-0000-0000C2490000}"/>
    <cellStyle name="MSprotect 14" xfId="18884" xr:uid="{00000000-0005-0000-0000-0000C3490000}"/>
    <cellStyle name="MSprotect 15" xfId="18885" xr:uid="{00000000-0005-0000-0000-0000C4490000}"/>
    <cellStyle name="MSprotect 16" xfId="18886" xr:uid="{00000000-0005-0000-0000-0000C5490000}"/>
    <cellStyle name="MSprotect 17" xfId="18887" xr:uid="{00000000-0005-0000-0000-0000C6490000}"/>
    <cellStyle name="MSprotect 18" xfId="18888" xr:uid="{00000000-0005-0000-0000-0000C7490000}"/>
    <cellStyle name="MSprotect 19" xfId="18889" xr:uid="{00000000-0005-0000-0000-0000C8490000}"/>
    <cellStyle name="MSprotect 2" xfId="18890" xr:uid="{00000000-0005-0000-0000-0000C9490000}"/>
    <cellStyle name="MSprotect 20" xfId="18891" xr:uid="{00000000-0005-0000-0000-0000CA490000}"/>
    <cellStyle name="MSprotect 21" xfId="18892" xr:uid="{00000000-0005-0000-0000-0000CB490000}"/>
    <cellStyle name="MSprotect 21 2" xfId="18893" xr:uid="{00000000-0005-0000-0000-0000CC490000}"/>
    <cellStyle name="MSprotect 3" xfId="18894" xr:uid="{00000000-0005-0000-0000-0000CD490000}"/>
    <cellStyle name="MSprotect 4" xfId="18895" xr:uid="{00000000-0005-0000-0000-0000CE490000}"/>
    <cellStyle name="MSprotect 5" xfId="18896" xr:uid="{00000000-0005-0000-0000-0000CF490000}"/>
    <cellStyle name="MSprotect 6" xfId="18897" xr:uid="{00000000-0005-0000-0000-0000D0490000}"/>
    <cellStyle name="MSprotect 7" xfId="18898" xr:uid="{00000000-0005-0000-0000-0000D1490000}"/>
    <cellStyle name="MSprotect 8" xfId="18899" xr:uid="{00000000-0005-0000-0000-0000D2490000}"/>
    <cellStyle name="MSprotect 9" xfId="18900" xr:uid="{00000000-0005-0000-0000-0000D3490000}"/>
    <cellStyle name="Multiple" xfId="18901" xr:uid="{00000000-0005-0000-0000-0000D4490000}"/>
    <cellStyle name="Multiple 10" xfId="18902" xr:uid="{00000000-0005-0000-0000-0000D5490000}"/>
    <cellStyle name="Multiple 10 2" xfId="18903" xr:uid="{00000000-0005-0000-0000-0000D6490000}"/>
    <cellStyle name="Multiple 11" xfId="18904" xr:uid="{00000000-0005-0000-0000-0000D7490000}"/>
    <cellStyle name="Multiple 12" xfId="18905" xr:uid="{00000000-0005-0000-0000-0000D8490000}"/>
    <cellStyle name="Multiple 13" xfId="18906" xr:uid="{00000000-0005-0000-0000-0000D9490000}"/>
    <cellStyle name="Multiple 14" xfId="18907" xr:uid="{00000000-0005-0000-0000-0000DA490000}"/>
    <cellStyle name="Multiple 15" xfId="18908" xr:uid="{00000000-0005-0000-0000-0000DB490000}"/>
    <cellStyle name="Multiple 16" xfId="18909" xr:uid="{00000000-0005-0000-0000-0000DC490000}"/>
    <cellStyle name="Multiple 17" xfId="18910" xr:uid="{00000000-0005-0000-0000-0000DD490000}"/>
    <cellStyle name="Multiple 18" xfId="18911" xr:uid="{00000000-0005-0000-0000-0000DE490000}"/>
    <cellStyle name="Multiple 19" xfId="18912" xr:uid="{00000000-0005-0000-0000-0000DF490000}"/>
    <cellStyle name="Multiple 2" xfId="18913" xr:uid="{00000000-0005-0000-0000-0000E0490000}"/>
    <cellStyle name="Multiple 2 2" xfId="18914" xr:uid="{00000000-0005-0000-0000-0000E1490000}"/>
    <cellStyle name="Multiple 20" xfId="18915" xr:uid="{00000000-0005-0000-0000-0000E2490000}"/>
    <cellStyle name="Multiple 21" xfId="18916" xr:uid="{00000000-0005-0000-0000-0000E3490000}"/>
    <cellStyle name="Multiple 22" xfId="18917" xr:uid="{00000000-0005-0000-0000-0000E4490000}"/>
    <cellStyle name="Multiple 23" xfId="18918" xr:uid="{00000000-0005-0000-0000-0000E5490000}"/>
    <cellStyle name="Multiple 24" xfId="18919" xr:uid="{00000000-0005-0000-0000-0000E6490000}"/>
    <cellStyle name="Multiple 25" xfId="18920" xr:uid="{00000000-0005-0000-0000-0000E7490000}"/>
    <cellStyle name="Multiple 25 2" xfId="18921" xr:uid="{00000000-0005-0000-0000-0000E8490000}"/>
    <cellStyle name="Multiple 26" xfId="18922" xr:uid="{00000000-0005-0000-0000-0000E9490000}"/>
    <cellStyle name="Multiple 26 2" xfId="18923" xr:uid="{00000000-0005-0000-0000-0000EA490000}"/>
    <cellStyle name="Multiple 27" xfId="18924" xr:uid="{00000000-0005-0000-0000-0000EB490000}"/>
    <cellStyle name="Multiple 28" xfId="18925" xr:uid="{00000000-0005-0000-0000-0000EC490000}"/>
    <cellStyle name="Multiple 29" xfId="18926" xr:uid="{00000000-0005-0000-0000-0000ED490000}"/>
    <cellStyle name="Multiple 3" xfId="18927" xr:uid="{00000000-0005-0000-0000-0000EE490000}"/>
    <cellStyle name="Multiple 3 2" xfId="18928" xr:uid="{00000000-0005-0000-0000-0000EF490000}"/>
    <cellStyle name="Multiple 30" xfId="18929" xr:uid="{00000000-0005-0000-0000-0000F0490000}"/>
    <cellStyle name="Multiple 31" xfId="18930" xr:uid="{00000000-0005-0000-0000-0000F1490000}"/>
    <cellStyle name="Multiple 31 2" xfId="18931" xr:uid="{00000000-0005-0000-0000-0000F2490000}"/>
    <cellStyle name="Multiple 32" xfId="18932" xr:uid="{00000000-0005-0000-0000-0000F3490000}"/>
    <cellStyle name="Multiple 33" xfId="18933" xr:uid="{00000000-0005-0000-0000-0000F4490000}"/>
    <cellStyle name="Multiple 34" xfId="18934" xr:uid="{00000000-0005-0000-0000-0000F5490000}"/>
    <cellStyle name="Multiple 35" xfId="18935" xr:uid="{00000000-0005-0000-0000-0000F6490000}"/>
    <cellStyle name="Multiple 36" xfId="18936" xr:uid="{00000000-0005-0000-0000-0000F7490000}"/>
    <cellStyle name="Multiple 37" xfId="18937" xr:uid="{00000000-0005-0000-0000-0000F8490000}"/>
    <cellStyle name="Multiple 38" xfId="18938" xr:uid="{00000000-0005-0000-0000-0000F9490000}"/>
    <cellStyle name="Multiple 39" xfId="18939" xr:uid="{00000000-0005-0000-0000-0000FA490000}"/>
    <cellStyle name="Multiple 4" xfId="18940" xr:uid="{00000000-0005-0000-0000-0000FB490000}"/>
    <cellStyle name="Multiple 40" xfId="18941" xr:uid="{00000000-0005-0000-0000-0000FC490000}"/>
    <cellStyle name="Multiple 5" xfId="18942" xr:uid="{00000000-0005-0000-0000-0000FD490000}"/>
    <cellStyle name="Multiple 5 2" xfId="18943" xr:uid="{00000000-0005-0000-0000-0000FE490000}"/>
    <cellStyle name="Multiple 6" xfId="18944" xr:uid="{00000000-0005-0000-0000-0000FF490000}"/>
    <cellStyle name="Multiple 6 2" xfId="18945" xr:uid="{00000000-0005-0000-0000-0000004A0000}"/>
    <cellStyle name="Multiple 7" xfId="18946" xr:uid="{00000000-0005-0000-0000-0000014A0000}"/>
    <cellStyle name="Multiple 7 2" xfId="18947" xr:uid="{00000000-0005-0000-0000-0000024A0000}"/>
    <cellStyle name="Multiple 8" xfId="18948" xr:uid="{00000000-0005-0000-0000-0000034A0000}"/>
    <cellStyle name="Multiple 8 2" xfId="18949" xr:uid="{00000000-0005-0000-0000-0000044A0000}"/>
    <cellStyle name="Multiple 9" xfId="18950" xr:uid="{00000000-0005-0000-0000-0000054A0000}"/>
    <cellStyle name="Multiple 9 2" xfId="18951" xr:uid="{00000000-0005-0000-0000-0000064A0000}"/>
    <cellStyle name="Multiple1" xfId="18952" xr:uid="{00000000-0005-0000-0000-0000074A0000}"/>
    <cellStyle name="Multiple1 10" xfId="18953" xr:uid="{00000000-0005-0000-0000-0000084A0000}"/>
    <cellStyle name="Multiple1 11" xfId="18954" xr:uid="{00000000-0005-0000-0000-0000094A0000}"/>
    <cellStyle name="Multiple1 12" xfId="18955" xr:uid="{00000000-0005-0000-0000-00000A4A0000}"/>
    <cellStyle name="Multiple1 13" xfId="18956" xr:uid="{00000000-0005-0000-0000-00000B4A0000}"/>
    <cellStyle name="Multiple1 14" xfId="18957" xr:uid="{00000000-0005-0000-0000-00000C4A0000}"/>
    <cellStyle name="Multiple1 15" xfId="18958" xr:uid="{00000000-0005-0000-0000-00000D4A0000}"/>
    <cellStyle name="Multiple1 16" xfId="18959" xr:uid="{00000000-0005-0000-0000-00000E4A0000}"/>
    <cellStyle name="Multiple1 17" xfId="18960" xr:uid="{00000000-0005-0000-0000-00000F4A0000}"/>
    <cellStyle name="Multiple1 18" xfId="18961" xr:uid="{00000000-0005-0000-0000-0000104A0000}"/>
    <cellStyle name="Multiple1 19" xfId="18962" xr:uid="{00000000-0005-0000-0000-0000114A0000}"/>
    <cellStyle name="Multiple1 2" xfId="18963" xr:uid="{00000000-0005-0000-0000-0000124A0000}"/>
    <cellStyle name="Multiple1 20" xfId="18964" xr:uid="{00000000-0005-0000-0000-0000134A0000}"/>
    <cellStyle name="Multiple1 21" xfId="18965" xr:uid="{00000000-0005-0000-0000-0000144A0000}"/>
    <cellStyle name="Multiple1 3" xfId="18966" xr:uid="{00000000-0005-0000-0000-0000154A0000}"/>
    <cellStyle name="Multiple1 4" xfId="18967" xr:uid="{00000000-0005-0000-0000-0000164A0000}"/>
    <cellStyle name="Multiple1 5" xfId="18968" xr:uid="{00000000-0005-0000-0000-0000174A0000}"/>
    <cellStyle name="Multiple1 6" xfId="18969" xr:uid="{00000000-0005-0000-0000-0000184A0000}"/>
    <cellStyle name="Multiple1 7" xfId="18970" xr:uid="{00000000-0005-0000-0000-0000194A0000}"/>
    <cellStyle name="Multiple1 8" xfId="18971" xr:uid="{00000000-0005-0000-0000-00001A4A0000}"/>
    <cellStyle name="Multiple1 9" xfId="18972" xr:uid="{00000000-0005-0000-0000-00001B4A0000}"/>
    <cellStyle name="multiples" xfId="18973" xr:uid="{00000000-0005-0000-0000-00001C4A0000}"/>
    <cellStyle name="multiples 10" xfId="18974" xr:uid="{00000000-0005-0000-0000-00001D4A0000}"/>
    <cellStyle name="multiples 11" xfId="18975" xr:uid="{00000000-0005-0000-0000-00001E4A0000}"/>
    <cellStyle name="multiples 12" xfId="18976" xr:uid="{00000000-0005-0000-0000-00001F4A0000}"/>
    <cellStyle name="multiples 13" xfId="18977" xr:uid="{00000000-0005-0000-0000-0000204A0000}"/>
    <cellStyle name="multiples 14" xfId="18978" xr:uid="{00000000-0005-0000-0000-0000214A0000}"/>
    <cellStyle name="multiples 15" xfId="18979" xr:uid="{00000000-0005-0000-0000-0000224A0000}"/>
    <cellStyle name="multiples 16" xfId="18980" xr:uid="{00000000-0005-0000-0000-0000234A0000}"/>
    <cellStyle name="multiples 17" xfId="18981" xr:uid="{00000000-0005-0000-0000-0000244A0000}"/>
    <cellStyle name="multiples 18" xfId="18982" xr:uid="{00000000-0005-0000-0000-0000254A0000}"/>
    <cellStyle name="multiples 19" xfId="18983" xr:uid="{00000000-0005-0000-0000-0000264A0000}"/>
    <cellStyle name="multiples 2" xfId="18984" xr:uid="{00000000-0005-0000-0000-0000274A0000}"/>
    <cellStyle name="multiples 20" xfId="18985" xr:uid="{00000000-0005-0000-0000-0000284A0000}"/>
    <cellStyle name="multiples 21" xfId="18986" xr:uid="{00000000-0005-0000-0000-0000294A0000}"/>
    <cellStyle name="multiples 21 2" xfId="18987" xr:uid="{00000000-0005-0000-0000-00002A4A0000}"/>
    <cellStyle name="multiples 3" xfId="18988" xr:uid="{00000000-0005-0000-0000-00002B4A0000}"/>
    <cellStyle name="multiples 4" xfId="18989" xr:uid="{00000000-0005-0000-0000-00002C4A0000}"/>
    <cellStyle name="multiples 5" xfId="18990" xr:uid="{00000000-0005-0000-0000-00002D4A0000}"/>
    <cellStyle name="multiples 6" xfId="18991" xr:uid="{00000000-0005-0000-0000-00002E4A0000}"/>
    <cellStyle name="multiples 7" xfId="18992" xr:uid="{00000000-0005-0000-0000-00002F4A0000}"/>
    <cellStyle name="multiples 8" xfId="18993" xr:uid="{00000000-0005-0000-0000-0000304A0000}"/>
    <cellStyle name="multiples 9" xfId="18994" xr:uid="{00000000-0005-0000-0000-0000314A0000}"/>
    <cellStyle name="n" xfId="18995" xr:uid="{00000000-0005-0000-0000-0000324A0000}"/>
    <cellStyle name="n 10" xfId="18996" xr:uid="{00000000-0005-0000-0000-0000334A0000}"/>
    <cellStyle name="n 11" xfId="18997" xr:uid="{00000000-0005-0000-0000-0000344A0000}"/>
    <cellStyle name="n 12" xfId="18998" xr:uid="{00000000-0005-0000-0000-0000354A0000}"/>
    <cellStyle name="n 13" xfId="18999" xr:uid="{00000000-0005-0000-0000-0000364A0000}"/>
    <cellStyle name="n 14" xfId="19000" xr:uid="{00000000-0005-0000-0000-0000374A0000}"/>
    <cellStyle name="n 15" xfId="19001" xr:uid="{00000000-0005-0000-0000-0000384A0000}"/>
    <cellStyle name="n 16" xfId="19002" xr:uid="{00000000-0005-0000-0000-0000394A0000}"/>
    <cellStyle name="n 17" xfId="19003" xr:uid="{00000000-0005-0000-0000-00003A4A0000}"/>
    <cellStyle name="n 18" xfId="19004" xr:uid="{00000000-0005-0000-0000-00003B4A0000}"/>
    <cellStyle name="n 19" xfId="19005" xr:uid="{00000000-0005-0000-0000-00003C4A0000}"/>
    <cellStyle name="n 2" xfId="19006" xr:uid="{00000000-0005-0000-0000-00003D4A0000}"/>
    <cellStyle name="n 20" xfId="19007" xr:uid="{00000000-0005-0000-0000-00003E4A0000}"/>
    <cellStyle name="n 21" xfId="19008" xr:uid="{00000000-0005-0000-0000-00003F4A0000}"/>
    <cellStyle name="n 3" xfId="19009" xr:uid="{00000000-0005-0000-0000-0000404A0000}"/>
    <cellStyle name="n 4" xfId="19010" xr:uid="{00000000-0005-0000-0000-0000414A0000}"/>
    <cellStyle name="n 5" xfId="19011" xr:uid="{00000000-0005-0000-0000-0000424A0000}"/>
    <cellStyle name="n 6" xfId="19012" xr:uid="{00000000-0005-0000-0000-0000434A0000}"/>
    <cellStyle name="n 7" xfId="19013" xr:uid="{00000000-0005-0000-0000-0000444A0000}"/>
    <cellStyle name="n 8" xfId="19014" xr:uid="{00000000-0005-0000-0000-0000454A0000}"/>
    <cellStyle name="n 9" xfId="19015" xr:uid="{00000000-0005-0000-0000-0000464A0000}"/>
    <cellStyle name="Name - Style7" xfId="19016" xr:uid="{00000000-0005-0000-0000-0000474A0000}"/>
    <cellStyle name="Name - Style7 10" xfId="19017" xr:uid="{00000000-0005-0000-0000-0000484A0000}"/>
    <cellStyle name="Name - Style7 11" xfId="19018" xr:uid="{00000000-0005-0000-0000-0000494A0000}"/>
    <cellStyle name="Name - Style7 12" xfId="19019" xr:uid="{00000000-0005-0000-0000-00004A4A0000}"/>
    <cellStyle name="Name - Style7 13" xfId="19020" xr:uid="{00000000-0005-0000-0000-00004B4A0000}"/>
    <cellStyle name="Name - Style7 14" xfId="19021" xr:uid="{00000000-0005-0000-0000-00004C4A0000}"/>
    <cellStyle name="Name - Style7 15" xfId="19022" xr:uid="{00000000-0005-0000-0000-00004D4A0000}"/>
    <cellStyle name="Name - Style7 16" xfId="19023" xr:uid="{00000000-0005-0000-0000-00004E4A0000}"/>
    <cellStyle name="Name - Style7 17" xfId="19024" xr:uid="{00000000-0005-0000-0000-00004F4A0000}"/>
    <cellStyle name="Name - Style7 18" xfId="19025" xr:uid="{00000000-0005-0000-0000-0000504A0000}"/>
    <cellStyle name="Name - Style7 19" xfId="19026" xr:uid="{00000000-0005-0000-0000-0000514A0000}"/>
    <cellStyle name="Name - Style7 2" xfId="19027" xr:uid="{00000000-0005-0000-0000-0000524A0000}"/>
    <cellStyle name="Name - Style7 20" xfId="19028" xr:uid="{00000000-0005-0000-0000-0000534A0000}"/>
    <cellStyle name="Name - Style7 21" xfId="19029" xr:uid="{00000000-0005-0000-0000-0000544A0000}"/>
    <cellStyle name="Name - Style7 21 2" xfId="19030" xr:uid="{00000000-0005-0000-0000-0000554A0000}"/>
    <cellStyle name="Name - Style7 3" xfId="19031" xr:uid="{00000000-0005-0000-0000-0000564A0000}"/>
    <cellStyle name="Name - Style7 4" xfId="19032" xr:uid="{00000000-0005-0000-0000-0000574A0000}"/>
    <cellStyle name="Name - Style7 5" xfId="19033" xr:uid="{00000000-0005-0000-0000-0000584A0000}"/>
    <cellStyle name="Name - Style7 6" xfId="19034" xr:uid="{00000000-0005-0000-0000-0000594A0000}"/>
    <cellStyle name="Name - Style7 7" xfId="19035" xr:uid="{00000000-0005-0000-0000-00005A4A0000}"/>
    <cellStyle name="Name - Style7 8" xfId="19036" xr:uid="{00000000-0005-0000-0000-00005B4A0000}"/>
    <cellStyle name="Name - Style7 9" xfId="19037" xr:uid="{00000000-0005-0000-0000-00005C4A0000}"/>
    <cellStyle name="NCR-Entry" xfId="19038" xr:uid="{00000000-0005-0000-0000-00005D4A0000}"/>
    <cellStyle name="NCR-Entry 10" xfId="19039" xr:uid="{00000000-0005-0000-0000-00005E4A0000}"/>
    <cellStyle name="NCR-Entry 11" xfId="19040" xr:uid="{00000000-0005-0000-0000-00005F4A0000}"/>
    <cellStyle name="NCR-Entry 12" xfId="19041" xr:uid="{00000000-0005-0000-0000-0000604A0000}"/>
    <cellStyle name="NCR-Entry 13" xfId="19042" xr:uid="{00000000-0005-0000-0000-0000614A0000}"/>
    <cellStyle name="NCR-Entry 14" xfId="19043" xr:uid="{00000000-0005-0000-0000-0000624A0000}"/>
    <cellStyle name="NCR-Entry 15" xfId="19044" xr:uid="{00000000-0005-0000-0000-0000634A0000}"/>
    <cellStyle name="NCR-Entry 16" xfId="19045" xr:uid="{00000000-0005-0000-0000-0000644A0000}"/>
    <cellStyle name="NCR-Entry 17" xfId="19046" xr:uid="{00000000-0005-0000-0000-0000654A0000}"/>
    <cellStyle name="NCR-Entry 18" xfId="19047" xr:uid="{00000000-0005-0000-0000-0000664A0000}"/>
    <cellStyle name="NCR-Entry 19" xfId="19048" xr:uid="{00000000-0005-0000-0000-0000674A0000}"/>
    <cellStyle name="NCR-Entry 2" xfId="19049" xr:uid="{00000000-0005-0000-0000-0000684A0000}"/>
    <cellStyle name="NCR-Entry 20" xfId="19050" xr:uid="{00000000-0005-0000-0000-0000694A0000}"/>
    <cellStyle name="NCR-Entry 21" xfId="19051" xr:uid="{00000000-0005-0000-0000-00006A4A0000}"/>
    <cellStyle name="NCR-Entry 21 2" xfId="19052" xr:uid="{00000000-0005-0000-0000-00006B4A0000}"/>
    <cellStyle name="NCR-Entry 3" xfId="19053" xr:uid="{00000000-0005-0000-0000-00006C4A0000}"/>
    <cellStyle name="NCR-Entry 4" xfId="19054" xr:uid="{00000000-0005-0000-0000-00006D4A0000}"/>
    <cellStyle name="NCR-Entry 5" xfId="19055" xr:uid="{00000000-0005-0000-0000-00006E4A0000}"/>
    <cellStyle name="NCR-Entry 6" xfId="19056" xr:uid="{00000000-0005-0000-0000-00006F4A0000}"/>
    <cellStyle name="NCR-Entry 7" xfId="19057" xr:uid="{00000000-0005-0000-0000-0000704A0000}"/>
    <cellStyle name="NCR-Entry 8" xfId="19058" xr:uid="{00000000-0005-0000-0000-0000714A0000}"/>
    <cellStyle name="NCR-Entry 9" xfId="19059" xr:uid="{00000000-0005-0000-0000-0000724A0000}"/>
    <cellStyle name="neg0.0" xfId="19060" xr:uid="{00000000-0005-0000-0000-0000734A0000}"/>
    <cellStyle name="neg0.0 10" xfId="19061" xr:uid="{00000000-0005-0000-0000-0000744A0000}"/>
    <cellStyle name="neg0.0 10 2" xfId="19062" xr:uid="{00000000-0005-0000-0000-0000754A0000}"/>
    <cellStyle name="neg0.0 11" xfId="19063" xr:uid="{00000000-0005-0000-0000-0000764A0000}"/>
    <cellStyle name="neg0.0 12" xfId="19064" xr:uid="{00000000-0005-0000-0000-0000774A0000}"/>
    <cellStyle name="neg0.0 13" xfId="19065" xr:uid="{00000000-0005-0000-0000-0000784A0000}"/>
    <cellStyle name="neg0.0 14" xfId="19066" xr:uid="{00000000-0005-0000-0000-0000794A0000}"/>
    <cellStyle name="neg0.0 15" xfId="19067" xr:uid="{00000000-0005-0000-0000-00007A4A0000}"/>
    <cellStyle name="neg0.0 16" xfId="19068" xr:uid="{00000000-0005-0000-0000-00007B4A0000}"/>
    <cellStyle name="neg0.0 17" xfId="19069" xr:uid="{00000000-0005-0000-0000-00007C4A0000}"/>
    <cellStyle name="neg0.0 18" xfId="19070" xr:uid="{00000000-0005-0000-0000-00007D4A0000}"/>
    <cellStyle name="neg0.0 19" xfId="19071" xr:uid="{00000000-0005-0000-0000-00007E4A0000}"/>
    <cellStyle name="neg0.0 2" xfId="19072" xr:uid="{00000000-0005-0000-0000-00007F4A0000}"/>
    <cellStyle name="neg0.0 2 2" xfId="19073" xr:uid="{00000000-0005-0000-0000-0000804A0000}"/>
    <cellStyle name="neg0.0 20" xfId="19074" xr:uid="{00000000-0005-0000-0000-0000814A0000}"/>
    <cellStyle name="neg0.0 21" xfId="19075" xr:uid="{00000000-0005-0000-0000-0000824A0000}"/>
    <cellStyle name="neg0.0 22" xfId="19076" xr:uid="{00000000-0005-0000-0000-0000834A0000}"/>
    <cellStyle name="neg0.0 23" xfId="19077" xr:uid="{00000000-0005-0000-0000-0000844A0000}"/>
    <cellStyle name="neg0.0 24" xfId="19078" xr:uid="{00000000-0005-0000-0000-0000854A0000}"/>
    <cellStyle name="neg0.0 25" xfId="19079" xr:uid="{00000000-0005-0000-0000-0000864A0000}"/>
    <cellStyle name="neg0.0 25 2" xfId="19080" xr:uid="{00000000-0005-0000-0000-0000874A0000}"/>
    <cellStyle name="neg0.0 26" xfId="19081" xr:uid="{00000000-0005-0000-0000-0000884A0000}"/>
    <cellStyle name="neg0.0 26 2" xfId="19082" xr:uid="{00000000-0005-0000-0000-0000894A0000}"/>
    <cellStyle name="neg0.0 27" xfId="19083" xr:uid="{00000000-0005-0000-0000-00008A4A0000}"/>
    <cellStyle name="neg0.0 28" xfId="19084" xr:uid="{00000000-0005-0000-0000-00008B4A0000}"/>
    <cellStyle name="neg0.0 29" xfId="19085" xr:uid="{00000000-0005-0000-0000-00008C4A0000}"/>
    <cellStyle name="neg0.0 3" xfId="19086" xr:uid="{00000000-0005-0000-0000-00008D4A0000}"/>
    <cellStyle name="neg0.0 3 2" xfId="19087" xr:uid="{00000000-0005-0000-0000-00008E4A0000}"/>
    <cellStyle name="neg0.0 30" xfId="19088" xr:uid="{00000000-0005-0000-0000-00008F4A0000}"/>
    <cellStyle name="neg0.0 31" xfId="19089" xr:uid="{00000000-0005-0000-0000-0000904A0000}"/>
    <cellStyle name="neg0.0 31 2" xfId="19090" xr:uid="{00000000-0005-0000-0000-0000914A0000}"/>
    <cellStyle name="neg0.0 32" xfId="19091" xr:uid="{00000000-0005-0000-0000-0000924A0000}"/>
    <cellStyle name="neg0.0 33" xfId="19092" xr:uid="{00000000-0005-0000-0000-0000934A0000}"/>
    <cellStyle name="neg0.0 34" xfId="19093" xr:uid="{00000000-0005-0000-0000-0000944A0000}"/>
    <cellStyle name="neg0.0 35" xfId="19094" xr:uid="{00000000-0005-0000-0000-0000954A0000}"/>
    <cellStyle name="neg0.0 36" xfId="19095" xr:uid="{00000000-0005-0000-0000-0000964A0000}"/>
    <cellStyle name="neg0.0 37" xfId="19096" xr:uid="{00000000-0005-0000-0000-0000974A0000}"/>
    <cellStyle name="neg0.0 38" xfId="19097" xr:uid="{00000000-0005-0000-0000-0000984A0000}"/>
    <cellStyle name="neg0.0 39" xfId="19098" xr:uid="{00000000-0005-0000-0000-0000994A0000}"/>
    <cellStyle name="neg0.0 4" xfId="19099" xr:uid="{00000000-0005-0000-0000-00009A4A0000}"/>
    <cellStyle name="neg0.0 40" xfId="19100" xr:uid="{00000000-0005-0000-0000-00009B4A0000}"/>
    <cellStyle name="neg0.0 5" xfId="19101" xr:uid="{00000000-0005-0000-0000-00009C4A0000}"/>
    <cellStyle name="neg0.0 5 2" xfId="19102" xr:uid="{00000000-0005-0000-0000-00009D4A0000}"/>
    <cellStyle name="neg0.0 6" xfId="19103" xr:uid="{00000000-0005-0000-0000-00009E4A0000}"/>
    <cellStyle name="neg0.0 6 2" xfId="19104" xr:uid="{00000000-0005-0000-0000-00009F4A0000}"/>
    <cellStyle name="neg0.0 7" xfId="19105" xr:uid="{00000000-0005-0000-0000-0000A04A0000}"/>
    <cellStyle name="neg0.0 7 2" xfId="19106" xr:uid="{00000000-0005-0000-0000-0000A14A0000}"/>
    <cellStyle name="neg0.0 8" xfId="19107" xr:uid="{00000000-0005-0000-0000-0000A24A0000}"/>
    <cellStyle name="neg0.0 8 2" xfId="19108" xr:uid="{00000000-0005-0000-0000-0000A34A0000}"/>
    <cellStyle name="neg0.0 9" xfId="19109" xr:uid="{00000000-0005-0000-0000-0000A44A0000}"/>
    <cellStyle name="neg0.0 9 2" xfId="19110" xr:uid="{00000000-0005-0000-0000-0000A54A0000}"/>
    <cellStyle name="Negative" xfId="19111" xr:uid="{00000000-0005-0000-0000-0000A64A0000}"/>
    <cellStyle name="Negative 10" xfId="19112" xr:uid="{00000000-0005-0000-0000-0000A74A0000}"/>
    <cellStyle name="Negative 11" xfId="19113" xr:uid="{00000000-0005-0000-0000-0000A84A0000}"/>
    <cellStyle name="Negative 12" xfId="19114" xr:uid="{00000000-0005-0000-0000-0000A94A0000}"/>
    <cellStyle name="Negative 13" xfId="19115" xr:uid="{00000000-0005-0000-0000-0000AA4A0000}"/>
    <cellStyle name="Negative 14" xfId="19116" xr:uid="{00000000-0005-0000-0000-0000AB4A0000}"/>
    <cellStyle name="Negative 15" xfId="19117" xr:uid="{00000000-0005-0000-0000-0000AC4A0000}"/>
    <cellStyle name="Negative 16" xfId="19118" xr:uid="{00000000-0005-0000-0000-0000AD4A0000}"/>
    <cellStyle name="Negative 17" xfId="19119" xr:uid="{00000000-0005-0000-0000-0000AE4A0000}"/>
    <cellStyle name="Negative 18" xfId="19120" xr:uid="{00000000-0005-0000-0000-0000AF4A0000}"/>
    <cellStyle name="Negative 19" xfId="19121" xr:uid="{00000000-0005-0000-0000-0000B04A0000}"/>
    <cellStyle name="Negative 2" xfId="19122" xr:uid="{00000000-0005-0000-0000-0000B14A0000}"/>
    <cellStyle name="Negative 2 2" xfId="19123" xr:uid="{00000000-0005-0000-0000-0000B24A0000}"/>
    <cellStyle name="Negative 20" xfId="19124" xr:uid="{00000000-0005-0000-0000-0000B34A0000}"/>
    <cellStyle name="Negative 21" xfId="19125" xr:uid="{00000000-0005-0000-0000-0000B44A0000}"/>
    <cellStyle name="Negative 22" xfId="19126" xr:uid="{00000000-0005-0000-0000-0000B54A0000}"/>
    <cellStyle name="Negative 23" xfId="19127" xr:uid="{00000000-0005-0000-0000-0000B64A0000}"/>
    <cellStyle name="Negative 3" xfId="19128" xr:uid="{00000000-0005-0000-0000-0000B74A0000}"/>
    <cellStyle name="Negative 3 2" xfId="19129" xr:uid="{00000000-0005-0000-0000-0000B84A0000}"/>
    <cellStyle name="Negative 4" xfId="19130" xr:uid="{00000000-0005-0000-0000-0000B94A0000}"/>
    <cellStyle name="Negative 5" xfId="19131" xr:uid="{00000000-0005-0000-0000-0000BA4A0000}"/>
    <cellStyle name="Negative 6" xfId="19132" xr:uid="{00000000-0005-0000-0000-0000BB4A0000}"/>
    <cellStyle name="Negative 7" xfId="19133" xr:uid="{00000000-0005-0000-0000-0000BC4A0000}"/>
    <cellStyle name="Negative 8" xfId="19134" xr:uid="{00000000-0005-0000-0000-0000BD4A0000}"/>
    <cellStyle name="Negative 9" xfId="19135" xr:uid="{00000000-0005-0000-0000-0000BE4A0000}"/>
    <cellStyle name="Neutral" xfId="35696" builtinId="28" customBuiltin="1"/>
    <cellStyle name="Neutral 10" xfId="19136" xr:uid="{00000000-0005-0000-0000-0000BF4A0000}"/>
    <cellStyle name="Neutral 11" xfId="19137" xr:uid="{00000000-0005-0000-0000-0000C04A0000}"/>
    <cellStyle name="Neutral 12" xfId="19138" xr:uid="{00000000-0005-0000-0000-0000C14A0000}"/>
    <cellStyle name="Neutral 13" xfId="19139" xr:uid="{00000000-0005-0000-0000-0000C24A0000}"/>
    <cellStyle name="Neutral 14" xfId="19140" xr:uid="{00000000-0005-0000-0000-0000C34A0000}"/>
    <cellStyle name="Neutral 15" xfId="19141" xr:uid="{00000000-0005-0000-0000-0000C44A0000}"/>
    <cellStyle name="Neutral 16" xfId="19142" xr:uid="{00000000-0005-0000-0000-0000C54A0000}"/>
    <cellStyle name="Neutral 17" xfId="19143" xr:uid="{00000000-0005-0000-0000-0000C64A0000}"/>
    <cellStyle name="Neutral 18" xfId="19144" xr:uid="{00000000-0005-0000-0000-0000C74A0000}"/>
    <cellStyle name="Neutral 19" xfId="19145" xr:uid="{00000000-0005-0000-0000-0000C84A0000}"/>
    <cellStyle name="Neutral 2" xfId="19146" xr:uid="{00000000-0005-0000-0000-0000C94A0000}"/>
    <cellStyle name="Neutral 2 2" xfId="19147" xr:uid="{00000000-0005-0000-0000-0000CA4A0000}"/>
    <cellStyle name="Neutral 20" xfId="19148" xr:uid="{00000000-0005-0000-0000-0000CB4A0000}"/>
    <cellStyle name="Neutral 21" xfId="19149" xr:uid="{00000000-0005-0000-0000-0000CC4A0000}"/>
    <cellStyle name="Neutral 22" xfId="19150" xr:uid="{00000000-0005-0000-0000-0000CD4A0000}"/>
    <cellStyle name="Neutral 23" xfId="19151" xr:uid="{00000000-0005-0000-0000-0000CE4A0000}"/>
    <cellStyle name="Neutral 24" xfId="19152" xr:uid="{00000000-0005-0000-0000-0000CF4A0000}"/>
    <cellStyle name="Neutral 25" xfId="19153" xr:uid="{00000000-0005-0000-0000-0000D04A0000}"/>
    <cellStyle name="Neutral 26" xfId="19154" xr:uid="{00000000-0005-0000-0000-0000D14A0000}"/>
    <cellStyle name="Neutral 27" xfId="19155" xr:uid="{00000000-0005-0000-0000-0000D24A0000}"/>
    <cellStyle name="Neutral 28" xfId="19156" xr:uid="{00000000-0005-0000-0000-0000D34A0000}"/>
    <cellStyle name="Neutral 29" xfId="19157" xr:uid="{00000000-0005-0000-0000-0000D44A0000}"/>
    <cellStyle name="Neutral 29 2" xfId="19158" xr:uid="{00000000-0005-0000-0000-0000D54A0000}"/>
    <cellStyle name="Neutral 3" xfId="19159" xr:uid="{00000000-0005-0000-0000-0000D64A0000}"/>
    <cellStyle name="Neutral 30" xfId="19160" xr:uid="{00000000-0005-0000-0000-0000D74A0000}"/>
    <cellStyle name="Neutral 31" xfId="19161" xr:uid="{00000000-0005-0000-0000-0000D84A0000}"/>
    <cellStyle name="Neutral 32" xfId="19162" xr:uid="{00000000-0005-0000-0000-0000D94A0000}"/>
    <cellStyle name="Neutral 33" xfId="19163" xr:uid="{00000000-0005-0000-0000-0000DA4A0000}"/>
    <cellStyle name="Neutral 34" xfId="19164" xr:uid="{00000000-0005-0000-0000-0000DB4A0000}"/>
    <cellStyle name="Neutral 35" xfId="19165" xr:uid="{00000000-0005-0000-0000-0000DC4A0000}"/>
    <cellStyle name="Neutral 36" xfId="19166" xr:uid="{00000000-0005-0000-0000-0000DD4A0000}"/>
    <cellStyle name="Neutral 37" xfId="19167" xr:uid="{00000000-0005-0000-0000-0000DE4A0000}"/>
    <cellStyle name="Neutral 38" xfId="19168" xr:uid="{00000000-0005-0000-0000-0000DF4A0000}"/>
    <cellStyle name="Neutral 4" xfId="19169" xr:uid="{00000000-0005-0000-0000-0000E04A0000}"/>
    <cellStyle name="Neutral 5" xfId="19170" xr:uid="{00000000-0005-0000-0000-0000E14A0000}"/>
    <cellStyle name="Neutral 6" xfId="19171" xr:uid="{00000000-0005-0000-0000-0000E24A0000}"/>
    <cellStyle name="Neutral 7" xfId="19172" xr:uid="{00000000-0005-0000-0000-0000E34A0000}"/>
    <cellStyle name="Neutral 8" xfId="19173" xr:uid="{00000000-0005-0000-0000-0000E44A0000}"/>
    <cellStyle name="Neutral 9" xfId="19174" xr:uid="{00000000-0005-0000-0000-0000E54A0000}"/>
    <cellStyle name="NewColumnHeaderNormal" xfId="19175" xr:uid="{00000000-0005-0000-0000-0000E64A0000}"/>
    <cellStyle name="NewColumnHeaderNormal 10" xfId="19176" xr:uid="{00000000-0005-0000-0000-0000E74A0000}"/>
    <cellStyle name="NewColumnHeaderNormal 11" xfId="19177" xr:uid="{00000000-0005-0000-0000-0000E84A0000}"/>
    <cellStyle name="NewColumnHeaderNormal 12" xfId="19178" xr:uid="{00000000-0005-0000-0000-0000E94A0000}"/>
    <cellStyle name="NewColumnHeaderNormal 13" xfId="19179" xr:uid="{00000000-0005-0000-0000-0000EA4A0000}"/>
    <cellStyle name="NewColumnHeaderNormal 14" xfId="19180" xr:uid="{00000000-0005-0000-0000-0000EB4A0000}"/>
    <cellStyle name="NewColumnHeaderNormal 15" xfId="19181" xr:uid="{00000000-0005-0000-0000-0000EC4A0000}"/>
    <cellStyle name="NewColumnHeaderNormal 16" xfId="19182" xr:uid="{00000000-0005-0000-0000-0000ED4A0000}"/>
    <cellStyle name="NewColumnHeaderNormal 17" xfId="19183" xr:uid="{00000000-0005-0000-0000-0000EE4A0000}"/>
    <cellStyle name="NewColumnHeaderNormal 18" xfId="19184" xr:uid="{00000000-0005-0000-0000-0000EF4A0000}"/>
    <cellStyle name="NewColumnHeaderNormal 19" xfId="19185" xr:uid="{00000000-0005-0000-0000-0000F04A0000}"/>
    <cellStyle name="NewColumnHeaderNormal 2" xfId="19186" xr:uid="{00000000-0005-0000-0000-0000F14A0000}"/>
    <cellStyle name="NewColumnHeaderNormal 20" xfId="19187" xr:uid="{00000000-0005-0000-0000-0000F24A0000}"/>
    <cellStyle name="NewColumnHeaderNormal 21" xfId="19188" xr:uid="{00000000-0005-0000-0000-0000F34A0000}"/>
    <cellStyle name="NewColumnHeaderNormal 22" xfId="19189" xr:uid="{00000000-0005-0000-0000-0000F44A0000}"/>
    <cellStyle name="NewColumnHeaderNormal 23" xfId="19190" xr:uid="{00000000-0005-0000-0000-0000F54A0000}"/>
    <cellStyle name="NewColumnHeaderNormal 23 2" xfId="19191" xr:uid="{00000000-0005-0000-0000-0000F64A0000}"/>
    <cellStyle name="NewColumnHeaderNormal 24" xfId="19192" xr:uid="{00000000-0005-0000-0000-0000F74A0000}"/>
    <cellStyle name="NewColumnHeaderNormal 24 2" xfId="19193" xr:uid="{00000000-0005-0000-0000-0000F84A0000}"/>
    <cellStyle name="NewColumnHeaderNormal 25" xfId="19194" xr:uid="{00000000-0005-0000-0000-0000F94A0000}"/>
    <cellStyle name="NewColumnHeaderNormal 26" xfId="19195" xr:uid="{00000000-0005-0000-0000-0000FA4A0000}"/>
    <cellStyle name="NewColumnHeaderNormal 27" xfId="19196" xr:uid="{00000000-0005-0000-0000-0000FB4A0000}"/>
    <cellStyle name="NewColumnHeaderNormal 28" xfId="19197" xr:uid="{00000000-0005-0000-0000-0000FC4A0000}"/>
    <cellStyle name="NewColumnHeaderNormal 29" xfId="19198" xr:uid="{00000000-0005-0000-0000-0000FD4A0000}"/>
    <cellStyle name="NewColumnHeaderNormal 29 2" xfId="19199" xr:uid="{00000000-0005-0000-0000-0000FE4A0000}"/>
    <cellStyle name="NewColumnHeaderNormal 3" xfId="19200" xr:uid="{00000000-0005-0000-0000-0000FF4A0000}"/>
    <cellStyle name="NewColumnHeaderNormal 3 2" xfId="19201" xr:uid="{00000000-0005-0000-0000-0000004B0000}"/>
    <cellStyle name="NewColumnHeaderNormal 30" xfId="19202" xr:uid="{00000000-0005-0000-0000-0000014B0000}"/>
    <cellStyle name="NewColumnHeaderNormal 31" xfId="19203" xr:uid="{00000000-0005-0000-0000-0000024B0000}"/>
    <cellStyle name="NewColumnHeaderNormal 32" xfId="19204" xr:uid="{00000000-0005-0000-0000-0000034B0000}"/>
    <cellStyle name="NewColumnHeaderNormal 33" xfId="19205" xr:uid="{00000000-0005-0000-0000-0000044B0000}"/>
    <cellStyle name="NewColumnHeaderNormal 34" xfId="19206" xr:uid="{00000000-0005-0000-0000-0000054B0000}"/>
    <cellStyle name="NewColumnHeaderNormal 35" xfId="19207" xr:uid="{00000000-0005-0000-0000-0000064B0000}"/>
    <cellStyle name="NewColumnHeaderNormal 36" xfId="19208" xr:uid="{00000000-0005-0000-0000-0000074B0000}"/>
    <cellStyle name="NewColumnHeaderNormal 37" xfId="19209" xr:uid="{00000000-0005-0000-0000-0000084B0000}"/>
    <cellStyle name="NewColumnHeaderNormal 38" xfId="19210" xr:uid="{00000000-0005-0000-0000-0000094B0000}"/>
    <cellStyle name="NewColumnHeaderNormal 4" xfId="19211" xr:uid="{00000000-0005-0000-0000-00000A4B0000}"/>
    <cellStyle name="NewColumnHeaderNormal 4 2" xfId="19212" xr:uid="{00000000-0005-0000-0000-00000B4B0000}"/>
    <cellStyle name="NewColumnHeaderNormal 5" xfId="19213" xr:uid="{00000000-0005-0000-0000-00000C4B0000}"/>
    <cellStyle name="NewColumnHeaderNormal 5 2" xfId="19214" xr:uid="{00000000-0005-0000-0000-00000D4B0000}"/>
    <cellStyle name="NewColumnHeaderNormal 6" xfId="19215" xr:uid="{00000000-0005-0000-0000-00000E4B0000}"/>
    <cellStyle name="NewColumnHeaderNormal 6 2" xfId="19216" xr:uid="{00000000-0005-0000-0000-00000F4B0000}"/>
    <cellStyle name="NewColumnHeaderNormal 7" xfId="19217" xr:uid="{00000000-0005-0000-0000-0000104B0000}"/>
    <cellStyle name="NewColumnHeaderNormal 7 2" xfId="19218" xr:uid="{00000000-0005-0000-0000-0000114B0000}"/>
    <cellStyle name="NewColumnHeaderNormal 8" xfId="19219" xr:uid="{00000000-0005-0000-0000-0000124B0000}"/>
    <cellStyle name="NewColumnHeaderNormal 8 2" xfId="19220" xr:uid="{00000000-0005-0000-0000-0000134B0000}"/>
    <cellStyle name="NewColumnHeaderNormal 9" xfId="19221" xr:uid="{00000000-0005-0000-0000-0000144B0000}"/>
    <cellStyle name="NewSectionHeaderNormal" xfId="19222" xr:uid="{00000000-0005-0000-0000-0000154B0000}"/>
    <cellStyle name="NewSectionHeaderNormal 10" xfId="19223" xr:uid="{00000000-0005-0000-0000-0000164B0000}"/>
    <cellStyle name="NewSectionHeaderNormal 11" xfId="19224" xr:uid="{00000000-0005-0000-0000-0000174B0000}"/>
    <cellStyle name="NewSectionHeaderNormal 12" xfId="19225" xr:uid="{00000000-0005-0000-0000-0000184B0000}"/>
    <cellStyle name="NewSectionHeaderNormal 13" xfId="19226" xr:uid="{00000000-0005-0000-0000-0000194B0000}"/>
    <cellStyle name="NewSectionHeaderNormal 14" xfId="19227" xr:uid="{00000000-0005-0000-0000-00001A4B0000}"/>
    <cellStyle name="NewSectionHeaderNormal 15" xfId="19228" xr:uid="{00000000-0005-0000-0000-00001B4B0000}"/>
    <cellStyle name="NewSectionHeaderNormal 16" xfId="19229" xr:uid="{00000000-0005-0000-0000-00001C4B0000}"/>
    <cellStyle name="NewSectionHeaderNormal 17" xfId="19230" xr:uid="{00000000-0005-0000-0000-00001D4B0000}"/>
    <cellStyle name="NewSectionHeaderNormal 18" xfId="19231" xr:uid="{00000000-0005-0000-0000-00001E4B0000}"/>
    <cellStyle name="NewSectionHeaderNormal 19" xfId="19232" xr:uid="{00000000-0005-0000-0000-00001F4B0000}"/>
    <cellStyle name="NewSectionHeaderNormal 2" xfId="19233" xr:uid="{00000000-0005-0000-0000-0000204B0000}"/>
    <cellStyle name="NewSectionHeaderNormal 20" xfId="19234" xr:uid="{00000000-0005-0000-0000-0000214B0000}"/>
    <cellStyle name="NewSectionHeaderNormal 21" xfId="19235" xr:uid="{00000000-0005-0000-0000-0000224B0000}"/>
    <cellStyle name="NewSectionHeaderNormal 22" xfId="19236" xr:uid="{00000000-0005-0000-0000-0000234B0000}"/>
    <cellStyle name="NewSectionHeaderNormal 23" xfId="19237" xr:uid="{00000000-0005-0000-0000-0000244B0000}"/>
    <cellStyle name="NewSectionHeaderNormal 23 2" xfId="19238" xr:uid="{00000000-0005-0000-0000-0000254B0000}"/>
    <cellStyle name="NewSectionHeaderNormal 24" xfId="19239" xr:uid="{00000000-0005-0000-0000-0000264B0000}"/>
    <cellStyle name="NewSectionHeaderNormal 24 2" xfId="19240" xr:uid="{00000000-0005-0000-0000-0000274B0000}"/>
    <cellStyle name="NewSectionHeaderNormal 25" xfId="19241" xr:uid="{00000000-0005-0000-0000-0000284B0000}"/>
    <cellStyle name="NewSectionHeaderNormal 26" xfId="19242" xr:uid="{00000000-0005-0000-0000-0000294B0000}"/>
    <cellStyle name="NewSectionHeaderNormal 27" xfId="19243" xr:uid="{00000000-0005-0000-0000-00002A4B0000}"/>
    <cellStyle name="NewSectionHeaderNormal 28" xfId="19244" xr:uid="{00000000-0005-0000-0000-00002B4B0000}"/>
    <cellStyle name="NewSectionHeaderNormal 29" xfId="19245" xr:uid="{00000000-0005-0000-0000-00002C4B0000}"/>
    <cellStyle name="NewSectionHeaderNormal 29 2" xfId="19246" xr:uid="{00000000-0005-0000-0000-00002D4B0000}"/>
    <cellStyle name="NewSectionHeaderNormal 3" xfId="19247" xr:uid="{00000000-0005-0000-0000-00002E4B0000}"/>
    <cellStyle name="NewSectionHeaderNormal 3 2" xfId="19248" xr:uid="{00000000-0005-0000-0000-00002F4B0000}"/>
    <cellStyle name="NewSectionHeaderNormal 30" xfId="19249" xr:uid="{00000000-0005-0000-0000-0000304B0000}"/>
    <cellStyle name="NewSectionHeaderNormal 31" xfId="19250" xr:uid="{00000000-0005-0000-0000-0000314B0000}"/>
    <cellStyle name="NewSectionHeaderNormal 32" xfId="19251" xr:uid="{00000000-0005-0000-0000-0000324B0000}"/>
    <cellStyle name="NewSectionHeaderNormal 33" xfId="19252" xr:uid="{00000000-0005-0000-0000-0000334B0000}"/>
    <cellStyle name="NewSectionHeaderNormal 34" xfId="19253" xr:uid="{00000000-0005-0000-0000-0000344B0000}"/>
    <cellStyle name="NewSectionHeaderNormal 35" xfId="19254" xr:uid="{00000000-0005-0000-0000-0000354B0000}"/>
    <cellStyle name="NewSectionHeaderNormal 36" xfId="19255" xr:uid="{00000000-0005-0000-0000-0000364B0000}"/>
    <cellStyle name="NewSectionHeaderNormal 37" xfId="19256" xr:uid="{00000000-0005-0000-0000-0000374B0000}"/>
    <cellStyle name="NewSectionHeaderNormal 38" xfId="19257" xr:uid="{00000000-0005-0000-0000-0000384B0000}"/>
    <cellStyle name="NewSectionHeaderNormal 4" xfId="19258" xr:uid="{00000000-0005-0000-0000-0000394B0000}"/>
    <cellStyle name="NewSectionHeaderNormal 4 2" xfId="19259" xr:uid="{00000000-0005-0000-0000-00003A4B0000}"/>
    <cellStyle name="NewSectionHeaderNormal 5" xfId="19260" xr:uid="{00000000-0005-0000-0000-00003B4B0000}"/>
    <cellStyle name="NewSectionHeaderNormal 5 2" xfId="19261" xr:uid="{00000000-0005-0000-0000-00003C4B0000}"/>
    <cellStyle name="NewSectionHeaderNormal 6" xfId="19262" xr:uid="{00000000-0005-0000-0000-00003D4B0000}"/>
    <cellStyle name="NewSectionHeaderNormal 6 2" xfId="19263" xr:uid="{00000000-0005-0000-0000-00003E4B0000}"/>
    <cellStyle name="NewSectionHeaderNormal 7" xfId="19264" xr:uid="{00000000-0005-0000-0000-00003F4B0000}"/>
    <cellStyle name="NewSectionHeaderNormal 7 2" xfId="19265" xr:uid="{00000000-0005-0000-0000-0000404B0000}"/>
    <cellStyle name="NewSectionHeaderNormal 8" xfId="19266" xr:uid="{00000000-0005-0000-0000-0000414B0000}"/>
    <cellStyle name="NewSectionHeaderNormal 8 2" xfId="19267" xr:uid="{00000000-0005-0000-0000-0000424B0000}"/>
    <cellStyle name="NewSectionHeaderNormal 9" xfId="19268" xr:uid="{00000000-0005-0000-0000-0000434B0000}"/>
    <cellStyle name="NewTitleNormal" xfId="19269" xr:uid="{00000000-0005-0000-0000-0000444B0000}"/>
    <cellStyle name="NewTitleNormal 10" xfId="19270" xr:uid="{00000000-0005-0000-0000-0000454B0000}"/>
    <cellStyle name="NewTitleNormal 11" xfId="19271" xr:uid="{00000000-0005-0000-0000-0000464B0000}"/>
    <cellStyle name="NewTitleNormal 12" xfId="19272" xr:uid="{00000000-0005-0000-0000-0000474B0000}"/>
    <cellStyle name="NewTitleNormal 13" xfId="19273" xr:uid="{00000000-0005-0000-0000-0000484B0000}"/>
    <cellStyle name="NewTitleNormal 14" xfId="19274" xr:uid="{00000000-0005-0000-0000-0000494B0000}"/>
    <cellStyle name="NewTitleNormal 15" xfId="19275" xr:uid="{00000000-0005-0000-0000-00004A4B0000}"/>
    <cellStyle name="NewTitleNormal 16" xfId="19276" xr:uid="{00000000-0005-0000-0000-00004B4B0000}"/>
    <cellStyle name="NewTitleNormal 17" xfId="19277" xr:uid="{00000000-0005-0000-0000-00004C4B0000}"/>
    <cellStyle name="NewTitleNormal 18" xfId="19278" xr:uid="{00000000-0005-0000-0000-00004D4B0000}"/>
    <cellStyle name="NewTitleNormal 19" xfId="19279" xr:uid="{00000000-0005-0000-0000-00004E4B0000}"/>
    <cellStyle name="NewTitleNormal 2" xfId="19280" xr:uid="{00000000-0005-0000-0000-00004F4B0000}"/>
    <cellStyle name="NewTitleNormal 20" xfId="19281" xr:uid="{00000000-0005-0000-0000-0000504B0000}"/>
    <cellStyle name="NewTitleNormal 21" xfId="19282" xr:uid="{00000000-0005-0000-0000-0000514B0000}"/>
    <cellStyle name="NewTitleNormal 22" xfId="19283" xr:uid="{00000000-0005-0000-0000-0000524B0000}"/>
    <cellStyle name="NewTitleNormal 23" xfId="19284" xr:uid="{00000000-0005-0000-0000-0000534B0000}"/>
    <cellStyle name="NewTitleNormal 23 2" xfId="19285" xr:uid="{00000000-0005-0000-0000-0000544B0000}"/>
    <cellStyle name="NewTitleNormal 24" xfId="19286" xr:uid="{00000000-0005-0000-0000-0000554B0000}"/>
    <cellStyle name="NewTitleNormal 24 2" xfId="19287" xr:uid="{00000000-0005-0000-0000-0000564B0000}"/>
    <cellStyle name="NewTitleNormal 25" xfId="19288" xr:uid="{00000000-0005-0000-0000-0000574B0000}"/>
    <cellStyle name="NewTitleNormal 26" xfId="19289" xr:uid="{00000000-0005-0000-0000-0000584B0000}"/>
    <cellStyle name="NewTitleNormal 27" xfId="19290" xr:uid="{00000000-0005-0000-0000-0000594B0000}"/>
    <cellStyle name="NewTitleNormal 28" xfId="19291" xr:uid="{00000000-0005-0000-0000-00005A4B0000}"/>
    <cellStyle name="NewTitleNormal 29" xfId="19292" xr:uid="{00000000-0005-0000-0000-00005B4B0000}"/>
    <cellStyle name="NewTitleNormal 29 2" xfId="19293" xr:uid="{00000000-0005-0000-0000-00005C4B0000}"/>
    <cellStyle name="NewTitleNormal 3" xfId="19294" xr:uid="{00000000-0005-0000-0000-00005D4B0000}"/>
    <cellStyle name="NewTitleNormal 3 2" xfId="19295" xr:uid="{00000000-0005-0000-0000-00005E4B0000}"/>
    <cellStyle name="NewTitleNormal 30" xfId="19296" xr:uid="{00000000-0005-0000-0000-00005F4B0000}"/>
    <cellStyle name="NewTitleNormal 31" xfId="19297" xr:uid="{00000000-0005-0000-0000-0000604B0000}"/>
    <cellStyle name="NewTitleNormal 32" xfId="19298" xr:uid="{00000000-0005-0000-0000-0000614B0000}"/>
    <cellStyle name="NewTitleNormal 33" xfId="19299" xr:uid="{00000000-0005-0000-0000-0000624B0000}"/>
    <cellStyle name="NewTitleNormal 34" xfId="19300" xr:uid="{00000000-0005-0000-0000-0000634B0000}"/>
    <cellStyle name="NewTitleNormal 35" xfId="19301" xr:uid="{00000000-0005-0000-0000-0000644B0000}"/>
    <cellStyle name="NewTitleNormal 36" xfId="19302" xr:uid="{00000000-0005-0000-0000-0000654B0000}"/>
    <cellStyle name="NewTitleNormal 37" xfId="19303" xr:uid="{00000000-0005-0000-0000-0000664B0000}"/>
    <cellStyle name="NewTitleNormal 38" xfId="19304" xr:uid="{00000000-0005-0000-0000-0000674B0000}"/>
    <cellStyle name="NewTitleNormal 4" xfId="19305" xr:uid="{00000000-0005-0000-0000-0000684B0000}"/>
    <cellStyle name="NewTitleNormal 4 2" xfId="19306" xr:uid="{00000000-0005-0000-0000-0000694B0000}"/>
    <cellStyle name="NewTitleNormal 5" xfId="19307" xr:uid="{00000000-0005-0000-0000-00006A4B0000}"/>
    <cellStyle name="NewTitleNormal 5 2" xfId="19308" xr:uid="{00000000-0005-0000-0000-00006B4B0000}"/>
    <cellStyle name="NewTitleNormal 6" xfId="19309" xr:uid="{00000000-0005-0000-0000-00006C4B0000}"/>
    <cellStyle name="NewTitleNormal 6 2" xfId="19310" xr:uid="{00000000-0005-0000-0000-00006D4B0000}"/>
    <cellStyle name="NewTitleNormal 7" xfId="19311" xr:uid="{00000000-0005-0000-0000-00006E4B0000}"/>
    <cellStyle name="NewTitleNormal 7 2" xfId="19312" xr:uid="{00000000-0005-0000-0000-00006F4B0000}"/>
    <cellStyle name="NewTitleNormal 8" xfId="19313" xr:uid="{00000000-0005-0000-0000-0000704B0000}"/>
    <cellStyle name="NewTitleNormal 8 2" xfId="19314" xr:uid="{00000000-0005-0000-0000-0000714B0000}"/>
    <cellStyle name="NewTitleNormal 9" xfId="19315" xr:uid="{00000000-0005-0000-0000-0000724B0000}"/>
    <cellStyle name="no dec" xfId="19316" xr:uid="{00000000-0005-0000-0000-0000734B0000}"/>
    <cellStyle name="no dec 10" xfId="19317" xr:uid="{00000000-0005-0000-0000-0000744B0000}"/>
    <cellStyle name="no dec 11" xfId="19318" xr:uid="{00000000-0005-0000-0000-0000754B0000}"/>
    <cellStyle name="no dec 12" xfId="19319" xr:uid="{00000000-0005-0000-0000-0000764B0000}"/>
    <cellStyle name="no dec 13" xfId="19320" xr:uid="{00000000-0005-0000-0000-0000774B0000}"/>
    <cellStyle name="no dec 14" xfId="19321" xr:uid="{00000000-0005-0000-0000-0000784B0000}"/>
    <cellStyle name="no dec 15" xfId="19322" xr:uid="{00000000-0005-0000-0000-0000794B0000}"/>
    <cellStyle name="no dec 16" xfId="19323" xr:uid="{00000000-0005-0000-0000-00007A4B0000}"/>
    <cellStyle name="no dec 17" xfId="19324" xr:uid="{00000000-0005-0000-0000-00007B4B0000}"/>
    <cellStyle name="no dec 18" xfId="19325" xr:uid="{00000000-0005-0000-0000-00007C4B0000}"/>
    <cellStyle name="no dec 19" xfId="19326" xr:uid="{00000000-0005-0000-0000-00007D4B0000}"/>
    <cellStyle name="no dec 2" xfId="19327" xr:uid="{00000000-0005-0000-0000-00007E4B0000}"/>
    <cellStyle name="no dec 20" xfId="19328" xr:uid="{00000000-0005-0000-0000-00007F4B0000}"/>
    <cellStyle name="no dec 21" xfId="19329" xr:uid="{00000000-0005-0000-0000-0000804B0000}"/>
    <cellStyle name="no dec 22" xfId="19330" xr:uid="{00000000-0005-0000-0000-0000814B0000}"/>
    <cellStyle name="no dec 23" xfId="19331" xr:uid="{00000000-0005-0000-0000-0000824B0000}"/>
    <cellStyle name="no dec 23 2" xfId="19332" xr:uid="{00000000-0005-0000-0000-0000834B0000}"/>
    <cellStyle name="no dec 24" xfId="19333" xr:uid="{00000000-0005-0000-0000-0000844B0000}"/>
    <cellStyle name="no dec 24 2" xfId="19334" xr:uid="{00000000-0005-0000-0000-0000854B0000}"/>
    <cellStyle name="no dec 25" xfId="19335" xr:uid="{00000000-0005-0000-0000-0000864B0000}"/>
    <cellStyle name="no dec 26" xfId="19336" xr:uid="{00000000-0005-0000-0000-0000874B0000}"/>
    <cellStyle name="no dec 27" xfId="19337" xr:uid="{00000000-0005-0000-0000-0000884B0000}"/>
    <cellStyle name="no dec 28" xfId="19338" xr:uid="{00000000-0005-0000-0000-0000894B0000}"/>
    <cellStyle name="no dec 29" xfId="19339" xr:uid="{00000000-0005-0000-0000-00008A4B0000}"/>
    <cellStyle name="no dec 29 2" xfId="19340" xr:uid="{00000000-0005-0000-0000-00008B4B0000}"/>
    <cellStyle name="no dec 3" xfId="19341" xr:uid="{00000000-0005-0000-0000-00008C4B0000}"/>
    <cellStyle name="no dec 3 2" xfId="19342" xr:uid="{00000000-0005-0000-0000-00008D4B0000}"/>
    <cellStyle name="no dec 30" xfId="19343" xr:uid="{00000000-0005-0000-0000-00008E4B0000}"/>
    <cellStyle name="no dec 31" xfId="19344" xr:uid="{00000000-0005-0000-0000-00008F4B0000}"/>
    <cellStyle name="no dec 32" xfId="19345" xr:uid="{00000000-0005-0000-0000-0000904B0000}"/>
    <cellStyle name="no dec 33" xfId="19346" xr:uid="{00000000-0005-0000-0000-0000914B0000}"/>
    <cellStyle name="no dec 34" xfId="19347" xr:uid="{00000000-0005-0000-0000-0000924B0000}"/>
    <cellStyle name="no dec 35" xfId="19348" xr:uid="{00000000-0005-0000-0000-0000934B0000}"/>
    <cellStyle name="no dec 36" xfId="19349" xr:uid="{00000000-0005-0000-0000-0000944B0000}"/>
    <cellStyle name="no dec 37" xfId="19350" xr:uid="{00000000-0005-0000-0000-0000954B0000}"/>
    <cellStyle name="no dec 38" xfId="19351" xr:uid="{00000000-0005-0000-0000-0000964B0000}"/>
    <cellStyle name="no dec 4" xfId="19352" xr:uid="{00000000-0005-0000-0000-0000974B0000}"/>
    <cellStyle name="no dec 4 2" xfId="19353" xr:uid="{00000000-0005-0000-0000-0000984B0000}"/>
    <cellStyle name="no dec 5" xfId="19354" xr:uid="{00000000-0005-0000-0000-0000994B0000}"/>
    <cellStyle name="no dec 5 2" xfId="19355" xr:uid="{00000000-0005-0000-0000-00009A4B0000}"/>
    <cellStyle name="no dec 6" xfId="19356" xr:uid="{00000000-0005-0000-0000-00009B4B0000}"/>
    <cellStyle name="no dec 6 2" xfId="19357" xr:uid="{00000000-0005-0000-0000-00009C4B0000}"/>
    <cellStyle name="no dec 7" xfId="19358" xr:uid="{00000000-0005-0000-0000-00009D4B0000}"/>
    <cellStyle name="no dec 7 2" xfId="19359" xr:uid="{00000000-0005-0000-0000-00009E4B0000}"/>
    <cellStyle name="no dec 8" xfId="19360" xr:uid="{00000000-0005-0000-0000-00009F4B0000}"/>
    <cellStyle name="no dec 8 2" xfId="19361" xr:uid="{00000000-0005-0000-0000-0000A04B0000}"/>
    <cellStyle name="no dec 9" xfId="19362" xr:uid="{00000000-0005-0000-0000-0000A14B0000}"/>
    <cellStyle name="No-definido" xfId="19363" xr:uid="{00000000-0005-0000-0000-0000A24B0000}"/>
    <cellStyle name="No-definido 10" xfId="19364" xr:uid="{00000000-0005-0000-0000-0000A34B0000}"/>
    <cellStyle name="No-definido 11" xfId="19365" xr:uid="{00000000-0005-0000-0000-0000A44B0000}"/>
    <cellStyle name="No-definido 12" xfId="19366" xr:uid="{00000000-0005-0000-0000-0000A54B0000}"/>
    <cellStyle name="No-definido 13" xfId="19367" xr:uid="{00000000-0005-0000-0000-0000A64B0000}"/>
    <cellStyle name="No-definido 14" xfId="19368" xr:uid="{00000000-0005-0000-0000-0000A74B0000}"/>
    <cellStyle name="No-definido 15" xfId="19369" xr:uid="{00000000-0005-0000-0000-0000A84B0000}"/>
    <cellStyle name="No-definido 16" xfId="19370" xr:uid="{00000000-0005-0000-0000-0000A94B0000}"/>
    <cellStyle name="No-definido 17" xfId="19371" xr:uid="{00000000-0005-0000-0000-0000AA4B0000}"/>
    <cellStyle name="No-definido 18" xfId="19372" xr:uid="{00000000-0005-0000-0000-0000AB4B0000}"/>
    <cellStyle name="No-definido 19" xfId="19373" xr:uid="{00000000-0005-0000-0000-0000AC4B0000}"/>
    <cellStyle name="No-definido 2" xfId="19374" xr:uid="{00000000-0005-0000-0000-0000AD4B0000}"/>
    <cellStyle name="No-definido 20" xfId="19375" xr:uid="{00000000-0005-0000-0000-0000AE4B0000}"/>
    <cellStyle name="No-definido 21" xfId="19376" xr:uid="{00000000-0005-0000-0000-0000AF4B0000}"/>
    <cellStyle name="No-definido 22" xfId="19377" xr:uid="{00000000-0005-0000-0000-0000B04B0000}"/>
    <cellStyle name="No-definido 23" xfId="19378" xr:uid="{00000000-0005-0000-0000-0000B14B0000}"/>
    <cellStyle name="No-definido 23 2" xfId="19379" xr:uid="{00000000-0005-0000-0000-0000B24B0000}"/>
    <cellStyle name="No-definido 24" xfId="19380" xr:uid="{00000000-0005-0000-0000-0000B34B0000}"/>
    <cellStyle name="No-definido 24 2" xfId="19381" xr:uid="{00000000-0005-0000-0000-0000B44B0000}"/>
    <cellStyle name="No-definido 25" xfId="19382" xr:uid="{00000000-0005-0000-0000-0000B54B0000}"/>
    <cellStyle name="No-definido 26" xfId="19383" xr:uid="{00000000-0005-0000-0000-0000B64B0000}"/>
    <cellStyle name="No-definido 27" xfId="19384" xr:uid="{00000000-0005-0000-0000-0000B74B0000}"/>
    <cellStyle name="No-definido 28" xfId="19385" xr:uid="{00000000-0005-0000-0000-0000B84B0000}"/>
    <cellStyle name="No-definido 29" xfId="19386" xr:uid="{00000000-0005-0000-0000-0000B94B0000}"/>
    <cellStyle name="No-definido 29 2" xfId="19387" xr:uid="{00000000-0005-0000-0000-0000BA4B0000}"/>
    <cellStyle name="No-definido 3" xfId="19388" xr:uid="{00000000-0005-0000-0000-0000BB4B0000}"/>
    <cellStyle name="No-definido 3 2" xfId="19389" xr:uid="{00000000-0005-0000-0000-0000BC4B0000}"/>
    <cellStyle name="No-definido 30" xfId="19390" xr:uid="{00000000-0005-0000-0000-0000BD4B0000}"/>
    <cellStyle name="No-definido 31" xfId="19391" xr:uid="{00000000-0005-0000-0000-0000BE4B0000}"/>
    <cellStyle name="No-definido 32" xfId="19392" xr:uid="{00000000-0005-0000-0000-0000BF4B0000}"/>
    <cellStyle name="No-definido 33" xfId="19393" xr:uid="{00000000-0005-0000-0000-0000C04B0000}"/>
    <cellStyle name="No-definido 34" xfId="19394" xr:uid="{00000000-0005-0000-0000-0000C14B0000}"/>
    <cellStyle name="No-definido 35" xfId="19395" xr:uid="{00000000-0005-0000-0000-0000C24B0000}"/>
    <cellStyle name="No-definido 36" xfId="19396" xr:uid="{00000000-0005-0000-0000-0000C34B0000}"/>
    <cellStyle name="No-definido 37" xfId="19397" xr:uid="{00000000-0005-0000-0000-0000C44B0000}"/>
    <cellStyle name="No-definido 38" xfId="19398" xr:uid="{00000000-0005-0000-0000-0000C54B0000}"/>
    <cellStyle name="No-definido 4" xfId="19399" xr:uid="{00000000-0005-0000-0000-0000C64B0000}"/>
    <cellStyle name="No-definido 4 2" xfId="19400" xr:uid="{00000000-0005-0000-0000-0000C74B0000}"/>
    <cellStyle name="No-definido 5" xfId="19401" xr:uid="{00000000-0005-0000-0000-0000C84B0000}"/>
    <cellStyle name="No-definido 5 2" xfId="19402" xr:uid="{00000000-0005-0000-0000-0000C94B0000}"/>
    <cellStyle name="No-definido 6" xfId="19403" xr:uid="{00000000-0005-0000-0000-0000CA4B0000}"/>
    <cellStyle name="No-definido 6 2" xfId="19404" xr:uid="{00000000-0005-0000-0000-0000CB4B0000}"/>
    <cellStyle name="No-definido 7" xfId="19405" xr:uid="{00000000-0005-0000-0000-0000CC4B0000}"/>
    <cellStyle name="No-definido 7 2" xfId="19406" xr:uid="{00000000-0005-0000-0000-0000CD4B0000}"/>
    <cellStyle name="No-definido 8" xfId="19407" xr:uid="{00000000-0005-0000-0000-0000CE4B0000}"/>
    <cellStyle name="No-definido 8 2" xfId="19408" xr:uid="{00000000-0005-0000-0000-0000CF4B0000}"/>
    <cellStyle name="No-definido 9" xfId="19409" xr:uid="{00000000-0005-0000-0000-0000D04B0000}"/>
    <cellStyle name="Non_definito" xfId="19410" xr:uid="{00000000-0005-0000-0000-0000D14B0000}"/>
    <cellStyle name="Normal" xfId="0" builtinId="0"/>
    <cellStyle name="normal'" xfId="19411" xr:uid="{00000000-0005-0000-0000-0000D34B0000}"/>
    <cellStyle name="Normal - Style1" xfId="19412" xr:uid="{00000000-0005-0000-0000-0000D44B0000}"/>
    <cellStyle name="Normal - Style1 10" xfId="19413" xr:uid="{00000000-0005-0000-0000-0000D54B0000}"/>
    <cellStyle name="Normal - Style1 11" xfId="19414" xr:uid="{00000000-0005-0000-0000-0000D64B0000}"/>
    <cellStyle name="Normal - Style1 12" xfId="19415" xr:uid="{00000000-0005-0000-0000-0000D74B0000}"/>
    <cellStyle name="Normal - Style1 13" xfId="19416" xr:uid="{00000000-0005-0000-0000-0000D84B0000}"/>
    <cellStyle name="Normal - Style1 14" xfId="19417" xr:uid="{00000000-0005-0000-0000-0000D94B0000}"/>
    <cellStyle name="Normal - Style1 15" xfId="19418" xr:uid="{00000000-0005-0000-0000-0000DA4B0000}"/>
    <cellStyle name="Normal - Style1 16" xfId="19419" xr:uid="{00000000-0005-0000-0000-0000DB4B0000}"/>
    <cellStyle name="Normal - Style1 17" xfId="19420" xr:uid="{00000000-0005-0000-0000-0000DC4B0000}"/>
    <cellStyle name="Normal - Style1 18" xfId="19421" xr:uid="{00000000-0005-0000-0000-0000DD4B0000}"/>
    <cellStyle name="Normal - Style1 19" xfId="19422" xr:uid="{00000000-0005-0000-0000-0000DE4B0000}"/>
    <cellStyle name="Normal - Style1 2" xfId="19423" xr:uid="{00000000-0005-0000-0000-0000DF4B0000}"/>
    <cellStyle name="Normal - Style1 20" xfId="19424" xr:uid="{00000000-0005-0000-0000-0000E04B0000}"/>
    <cellStyle name="Normal - Style1 21" xfId="19425" xr:uid="{00000000-0005-0000-0000-0000E14B0000}"/>
    <cellStyle name="Normal - Style1 22" xfId="19426" xr:uid="{00000000-0005-0000-0000-0000E24B0000}"/>
    <cellStyle name="Normal - Style1 23" xfId="19427" xr:uid="{00000000-0005-0000-0000-0000E34B0000}"/>
    <cellStyle name="Normal - Style1 24" xfId="19428" xr:uid="{00000000-0005-0000-0000-0000E44B0000}"/>
    <cellStyle name="Normal - Style1 25" xfId="19429" xr:uid="{00000000-0005-0000-0000-0000E54B0000}"/>
    <cellStyle name="Normal - Style1 26" xfId="19430" xr:uid="{00000000-0005-0000-0000-0000E64B0000}"/>
    <cellStyle name="Normal - Style1 27" xfId="19431" xr:uid="{00000000-0005-0000-0000-0000E74B0000}"/>
    <cellStyle name="Normal - Style1 28" xfId="19432" xr:uid="{00000000-0005-0000-0000-0000E84B0000}"/>
    <cellStyle name="Normal - Style1 29" xfId="19433" xr:uid="{00000000-0005-0000-0000-0000E94B0000}"/>
    <cellStyle name="Normal - Style1 3" xfId="19434" xr:uid="{00000000-0005-0000-0000-0000EA4B0000}"/>
    <cellStyle name="Normal - Style1 30" xfId="19435" xr:uid="{00000000-0005-0000-0000-0000EB4B0000}"/>
    <cellStyle name="Normal - Style1 31" xfId="19436" xr:uid="{00000000-0005-0000-0000-0000EC4B0000}"/>
    <cellStyle name="Normal - Style1 31 2" xfId="19437" xr:uid="{00000000-0005-0000-0000-0000ED4B0000}"/>
    <cellStyle name="Normal - Style1 32" xfId="19438" xr:uid="{00000000-0005-0000-0000-0000EE4B0000}"/>
    <cellStyle name="Normal - Style1 33" xfId="19439" xr:uid="{00000000-0005-0000-0000-0000EF4B0000}"/>
    <cellStyle name="Normal - Style1 34" xfId="19440" xr:uid="{00000000-0005-0000-0000-0000F04B0000}"/>
    <cellStyle name="Normal - Style1 35" xfId="19441" xr:uid="{00000000-0005-0000-0000-0000F14B0000}"/>
    <cellStyle name="Normal - Style1 36" xfId="19442" xr:uid="{00000000-0005-0000-0000-0000F24B0000}"/>
    <cellStyle name="Normal - Style1 37" xfId="19443" xr:uid="{00000000-0005-0000-0000-0000F34B0000}"/>
    <cellStyle name="Normal - Style1 38" xfId="19444" xr:uid="{00000000-0005-0000-0000-0000F44B0000}"/>
    <cellStyle name="Normal - Style1 39" xfId="19445" xr:uid="{00000000-0005-0000-0000-0000F54B0000}"/>
    <cellStyle name="Normal - Style1 4" xfId="19446" xr:uid="{00000000-0005-0000-0000-0000F64B0000}"/>
    <cellStyle name="Normal - Style1 40" xfId="19447" xr:uid="{00000000-0005-0000-0000-0000F74B0000}"/>
    <cellStyle name="Normal - Style1 41" xfId="19448" xr:uid="{00000000-0005-0000-0000-0000F84B0000}"/>
    <cellStyle name="Normal - Style1 42" xfId="19449" xr:uid="{00000000-0005-0000-0000-0000F94B0000}"/>
    <cellStyle name="Normal - Style1 43" xfId="19450" xr:uid="{00000000-0005-0000-0000-0000FA4B0000}"/>
    <cellStyle name="Normal - Style1 44" xfId="19451" xr:uid="{00000000-0005-0000-0000-0000FB4B0000}"/>
    <cellStyle name="Normal - Style1 45" xfId="19452" xr:uid="{00000000-0005-0000-0000-0000FC4B0000}"/>
    <cellStyle name="Normal - Style1 46" xfId="19453" xr:uid="{00000000-0005-0000-0000-0000FD4B0000}"/>
    <cellStyle name="Normal - Style1 5" xfId="19454" xr:uid="{00000000-0005-0000-0000-0000FE4B0000}"/>
    <cellStyle name="Normal - Style1 6" xfId="19455" xr:uid="{00000000-0005-0000-0000-0000FF4B0000}"/>
    <cellStyle name="Normal - Style1 7" xfId="19456" xr:uid="{00000000-0005-0000-0000-0000004C0000}"/>
    <cellStyle name="Normal - Style1 8" xfId="19457" xr:uid="{00000000-0005-0000-0000-0000014C0000}"/>
    <cellStyle name="Normal - Style1 9" xfId="19458" xr:uid="{00000000-0005-0000-0000-0000024C0000}"/>
    <cellStyle name="Normal - Style8" xfId="19459" xr:uid="{00000000-0005-0000-0000-0000034C0000}"/>
    <cellStyle name="Normal - Style8 10" xfId="19460" xr:uid="{00000000-0005-0000-0000-0000044C0000}"/>
    <cellStyle name="Normal - Style8 11" xfId="19461" xr:uid="{00000000-0005-0000-0000-0000054C0000}"/>
    <cellStyle name="Normal - Style8 12" xfId="19462" xr:uid="{00000000-0005-0000-0000-0000064C0000}"/>
    <cellStyle name="Normal - Style8 13" xfId="19463" xr:uid="{00000000-0005-0000-0000-0000074C0000}"/>
    <cellStyle name="Normal - Style8 14" xfId="19464" xr:uid="{00000000-0005-0000-0000-0000084C0000}"/>
    <cellStyle name="Normal - Style8 15" xfId="19465" xr:uid="{00000000-0005-0000-0000-0000094C0000}"/>
    <cellStyle name="Normal - Style8 16" xfId="19466" xr:uid="{00000000-0005-0000-0000-00000A4C0000}"/>
    <cellStyle name="Normal - Style8 17" xfId="19467" xr:uid="{00000000-0005-0000-0000-00000B4C0000}"/>
    <cellStyle name="Normal - Style8 18" xfId="19468" xr:uid="{00000000-0005-0000-0000-00000C4C0000}"/>
    <cellStyle name="Normal - Style8 19" xfId="19469" xr:uid="{00000000-0005-0000-0000-00000D4C0000}"/>
    <cellStyle name="Normal - Style8 2" xfId="19470" xr:uid="{00000000-0005-0000-0000-00000E4C0000}"/>
    <cellStyle name="Normal - Style8 20" xfId="19471" xr:uid="{00000000-0005-0000-0000-00000F4C0000}"/>
    <cellStyle name="Normal - Style8 21" xfId="19472" xr:uid="{00000000-0005-0000-0000-0000104C0000}"/>
    <cellStyle name="Normal - Style8 21 2" xfId="19473" xr:uid="{00000000-0005-0000-0000-0000114C0000}"/>
    <cellStyle name="Normal - Style8 3" xfId="19474" xr:uid="{00000000-0005-0000-0000-0000124C0000}"/>
    <cellStyle name="Normal - Style8 4" xfId="19475" xr:uid="{00000000-0005-0000-0000-0000134C0000}"/>
    <cellStyle name="Normal - Style8 5" xfId="19476" xr:uid="{00000000-0005-0000-0000-0000144C0000}"/>
    <cellStyle name="Normal - Style8 6" xfId="19477" xr:uid="{00000000-0005-0000-0000-0000154C0000}"/>
    <cellStyle name="Normal - Style8 7" xfId="19478" xr:uid="{00000000-0005-0000-0000-0000164C0000}"/>
    <cellStyle name="Normal - Style8 8" xfId="19479" xr:uid="{00000000-0005-0000-0000-0000174C0000}"/>
    <cellStyle name="Normal - Style8 9" xfId="19480" xr:uid="{00000000-0005-0000-0000-0000184C0000}"/>
    <cellStyle name="Normal 10" xfId="19481" xr:uid="{00000000-0005-0000-0000-0000194C0000}"/>
    <cellStyle name="normal' 10" xfId="19482" xr:uid="{00000000-0005-0000-0000-00001A4C0000}"/>
    <cellStyle name="Normal 10 2" xfId="19483" xr:uid="{00000000-0005-0000-0000-00001B4C0000}"/>
    <cellStyle name="Normal 10 3" xfId="19484" xr:uid="{00000000-0005-0000-0000-00001C4C0000}"/>
    <cellStyle name="Normal 11" xfId="19485" xr:uid="{00000000-0005-0000-0000-00001D4C0000}"/>
    <cellStyle name="normal' 11" xfId="19486" xr:uid="{00000000-0005-0000-0000-00001E4C0000}"/>
    <cellStyle name="Normal 11 2" xfId="19487" xr:uid="{00000000-0005-0000-0000-00001F4C0000}"/>
    <cellStyle name="Normal 12" xfId="19488" xr:uid="{00000000-0005-0000-0000-0000204C0000}"/>
    <cellStyle name="normal' 12" xfId="19489" xr:uid="{00000000-0005-0000-0000-0000214C0000}"/>
    <cellStyle name="Normal 12 2" xfId="19490" xr:uid="{00000000-0005-0000-0000-0000224C0000}"/>
    <cellStyle name="Normal 13" xfId="19491" xr:uid="{00000000-0005-0000-0000-0000234C0000}"/>
    <cellStyle name="normal' 13" xfId="19492" xr:uid="{00000000-0005-0000-0000-0000244C0000}"/>
    <cellStyle name="Normal 13 2" xfId="19493" xr:uid="{00000000-0005-0000-0000-0000254C0000}"/>
    <cellStyle name="Normal 13 2 2" xfId="19494" xr:uid="{00000000-0005-0000-0000-0000264C0000}"/>
    <cellStyle name="Normal 14" xfId="19495" xr:uid="{00000000-0005-0000-0000-0000274C0000}"/>
    <cellStyle name="normal' 14" xfId="19496" xr:uid="{00000000-0005-0000-0000-0000284C0000}"/>
    <cellStyle name="Normal 14 2" xfId="19497" xr:uid="{00000000-0005-0000-0000-0000294C0000}"/>
    <cellStyle name="Normal 15" xfId="19498" xr:uid="{00000000-0005-0000-0000-00002A4C0000}"/>
    <cellStyle name="normal' 15" xfId="19499" xr:uid="{00000000-0005-0000-0000-00002B4C0000}"/>
    <cellStyle name="Normal 15 2" xfId="19500" xr:uid="{00000000-0005-0000-0000-00002C4C0000}"/>
    <cellStyle name="Normal 16" xfId="19501" xr:uid="{00000000-0005-0000-0000-00002D4C0000}"/>
    <cellStyle name="normal' 16" xfId="19502" xr:uid="{00000000-0005-0000-0000-00002E4C0000}"/>
    <cellStyle name="Normal 17" xfId="19503" xr:uid="{00000000-0005-0000-0000-00002F4C0000}"/>
    <cellStyle name="normal' 17" xfId="19504" xr:uid="{00000000-0005-0000-0000-0000304C0000}"/>
    <cellStyle name="Normal 17 2" xfId="19505" xr:uid="{00000000-0005-0000-0000-0000314C0000}"/>
    <cellStyle name="Normal 18" xfId="19506" xr:uid="{00000000-0005-0000-0000-0000324C0000}"/>
    <cellStyle name="normal' 18" xfId="19507" xr:uid="{00000000-0005-0000-0000-0000334C0000}"/>
    <cellStyle name="Normal 18 2" xfId="19508" xr:uid="{00000000-0005-0000-0000-0000344C0000}"/>
    <cellStyle name="Normal 18 2 2" xfId="19509" xr:uid="{00000000-0005-0000-0000-0000354C0000}"/>
    <cellStyle name="Normal 18 2 2 2" xfId="35686" xr:uid="{00000000-0005-0000-0000-0000364C0000}"/>
    <cellStyle name="Normal 19" xfId="19510" xr:uid="{00000000-0005-0000-0000-0000374C0000}"/>
    <cellStyle name="normal' 19" xfId="19511" xr:uid="{00000000-0005-0000-0000-0000384C0000}"/>
    <cellStyle name="Normal 2" xfId="19512" xr:uid="{00000000-0005-0000-0000-0000394C0000}"/>
    <cellStyle name="normal' 2" xfId="19513" xr:uid="{00000000-0005-0000-0000-00003A4C0000}"/>
    <cellStyle name="Normal 2 10" xfId="3" xr:uid="{00000000-0005-0000-0000-00003B4C0000}"/>
    <cellStyle name="Normal 2 11" xfId="19514" xr:uid="{00000000-0005-0000-0000-00003C4C0000}"/>
    <cellStyle name="Normal 2 12" xfId="19515" xr:uid="{00000000-0005-0000-0000-00003D4C0000}"/>
    <cellStyle name="Normal 2 2" xfId="19516" xr:uid="{00000000-0005-0000-0000-00003E4C0000}"/>
    <cellStyle name="normal' 2 2" xfId="19517" xr:uid="{00000000-0005-0000-0000-00003F4C0000}"/>
    <cellStyle name="Normal 2 2 10" xfId="19518" xr:uid="{00000000-0005-0000-0000-0000404C0000}"/>
    <cellStyle name="Normal 2 2 11" xfId="19519" xr:uid="{00000000-0005-0000-0000-0000414C0000}"/>
    <cellStyle name="Normal 2 2 12" xfId="19520" xr:uid="{00000000-0005-0000-0000-0000424C0000}"/>
    <cellStyle name="Normal 2 2 2" xfId="19521" xr:uid="{00000000-0005-0000-0000-0000434C0000}"/>
    <cellStyle name="Normal 2 2 2 2" xfId="19522" xr:uid="{00000000-0005-0000-0000-0000444C0000}"/>
    <cellStyle name="Normal 2 2 3" xfId="19523" xr:uid="{00000000-0005-0000-0000-0000454C0000}"/>
    <cellStyle name="Normal 2 2 4" xfId="19524" xr:uid="{00000000-0005-0000-0000-0000464C0000}"/>
    <cellStyle name="Normal 2 2 5" xfId="19525" xr:uid="{00000000-0005-0000-0000-0000474C0000}"/>
    <cellStyle name="Normal 2 2 6" xfId="19526" xr:uid="{00000000-0005-0000-0000-0000484C0000}"/>
    <cellStyle name="Normal 2 2 7" xfId="19527" xr:uid="{00000000-0005-0000-0000-0000494C0000}"/>
    <cellStyle name="Normal 2 2 8" xfId="19528" xr:uid="{00000000-0005-0000-0000-00004A4C0000}"/>
    <cellStyle name="Normal 2 2 9" xfId="19529" xr:uid="{00000000-0005-0000-0000-00004B4C0000}"/>
    <cellStyle name="Normal 2 2_SLX Output " xfId="19530" xr:uid="{00000000-0005-0000-0000-00004C4C0000}"/>
    <cellStyle name="Normal 2 3" xfId="19531" xr:uid="{00000000-0005-0000-0000-00004D4C0000}"/>
    <cellStyle name="Normal 2 3 2" xfId="19532" xr:uid="{00000000-0005-0000-0000-00004E4C0000}"/>
    <cellStyle name="Normal 2 3 2 2" xfId="19533" xr:uid="{00000000-0005-0000-0000-00004F4C0000}"/>
    <cellStyle name="Normal 2 3 2 3" xfId="19534" xr:uid="{00000000-0005-0000-0000-0000504C0000}"/>
    <cellStyle name="Normal 2 3 3" xfId="19535" xr:uid="{00000000-0005-0000-0000-0000514C0000}"/>
    <cellStyle name="Normal 2 3 3 2" xfId="19536" xr:uid="{00000000-0005-0000-0000-0000524C0000}"/>
    <cellStyle name="Normal 2 3 3 3" xfId="19537" xr:uid="{00000000-0005-0000-0000-0000534C0000}"/>
    <cellStyle name="Normal 2 3 4" xfId="1" xr:uid="{00000000-0005-0000-0000-0000544C0000}"/>
    <cellStyle name="Normal 2 3 4 2" xfId="19538" xr:uid="{00000000-0005-0000-0000-0000554C0000}"/>
    <cellStyle name="Normal 2 4" xfId="19539" xr:uid="{00000000-0005-0000-0000-0000564C0000}"/>
    <cellStyle name="Normal 2 4 2" xfId="19540" xr:uid="{00000000-0005-0000-0000-0000574C0000}"/>
    <cellStyle name="Normal 2 4 3" xfId="19541" xr:uid="{00000000-0005-0000-0000-0000584C0000}"/>
    <cellStyle name="Normal 2 4 4" xfId="19542" xr:uid="{00000000-0005-0000-0000-0000594C0000}"/>
    <cellStyle name="Normal 2 5" xfId="19543" xr:uid="{00000000-0005-0000-0000-00005A4C0000}"/>
    <cellStyle name="Normal 2 5 2" xfId="19544" xr:uid="{00000000-0005-0000-0000-00005B4C0000}"/>
    <cellStyle name="Normal 2 5 2 2" xfId="19545" xr:uid="{00000000-0005-0000-0000-00005C4C0000}"/>
    <cellStyle name="Normal 2 5 3" xfId="19546" xr:uid="{00000000-0005-0000-0000-00005D4C0000}"/>
    <cellStyle name="Normal 2 6" xfId="19547" xr:uid="{00000000-0005-0000-0000-00005E4C0000}"/>
    <cellStyle name="Normal 2 6 2" xfId="19548" xr:uid="{00000000-0005-0000-0000-00005F4C0000}"/>
    <cellStyle name="Normal 2 6 3" xfId="19549" xr:uid="{00000000-0005-0000-0000-0000604C0000}"/>
    <cellStyle name="Normal 2 7" xfId="19550" xr:uid="{00000000-0005-0000-0000-0000614C0000}"/>
    <cellStyle name="Normal 2 8" xfId="19551" xr:uid="{00000000-0005-0000-0000-0000624C0000}"/>
    <cellStyle name="Normal 2 9" xfId="19552" xr:uid="{00000000-0005-0000-0000-0000634C0000}"/>
    <cellStyle name="Normal 2_Broadleaf Watefall 12-31-09" xfId="19553" xr:uid="{00000000-0005-0000-0000-0000644C0000}"/>
    <cellStyle name="Normal 20" xfId="19554" xr:uid="{00000000-0005-0000-0000-0000654C0000}"/>
    <cellStyle name="normal' 20" xfId="19555" xr:uid="{00000000-0005-0000-0000-0000664C0000}"/>
    <cellStyle name="Normal 21" xfId="19556" xr:uid="{00000000-0005-0000-0000-0000674C0000}"/>
    <cellStyle name="normal' 21" xfId="19557" xr:uid="{00000000-0005-0000-0000-0000684C0000}"/>
    <cellStyle name="Normal 22" xfId="19558" xr:uid="{00000000-0005-0000-0000-0000694C0000}"/>
    <cellStyle name="normal' 22" xfId="19559" xr:uid="{00000000-0005-0000-0000-00006A4C0000}"/>
    <cellStyle name="Normal 23" xfId="19560" xr:uid="{00000000-0005-0000-0000-00006B4C0000}"/>
    <cellStyle name="normal' 23" xfId="19561" xr:uid="{00000000-0005-0000-0000-00006C4C0000}"/>
    <cellStyle name="Normal 24" xfId="19562" xr:uid="{00000000-0005-0000-0000-00006D4C0000}"/>
    <cellStyle name="Normal 25" xfId="19563" xr:uid="{00000000-0005-0000-0000-00006E4C0000}"/>
    <cellStyle name="Normal 26" xfId="19564" xr:uid="{00000000-0005-0000-0000-00006F4C0000}"/>
    <cellStyle name="Normal 27" xfId="19565" xr:uid="{00000000-0005-0000-0000-0000704C0000}"/>
    <cellStyle name="Normal 28" xfId="19566" xr:uid="{00000000-0005-0000-0000-0000714C0000}"/>
    <cellStyle name="Normal 29" xfId="19567" xr:uid="{00000000-0005-0000-0000-0000724C0000}"/>
    <cellStyle name="Normal 3" xfId="19568" xr:uid="{00000000-0005-0000-0000-0000734C0000}"/>
    <cellStyle name="normal' 3" xfId="19569" xr:uid="{00000000-0005-0000-0000-0000744C0000}"/>
    <cellStyle name="Normal 3 2" xfId="19570" xr:uid="{00000000-0005-0000-0000-0000754C0000}"/>
    <cellStyle name="normal' 3 2" xfId="19571" xr:uid="{00000000-0005-0000-0000-0000764C0000}"/>
    <cellStyle name="Normal 3 2 2" xfId="19572" xr:uid="{00000000-0005-0000-0000-0000774C0000}"/>
    <cellStyle name="Normal 3 3" xfId="19573" xr:uid="{00000000-0005-0000-0000-0000784C0000}"/>
    <cellStyle name="Normal 3 3 2" xfId="19574" xr:uid="{00000000-0005-0000-0000-0000794C0000}"/>
    <cellStyle name="Normal 3 3 3" xfId="19575" xr:uid="{00000000-0005-0000-0000-00007A4C0000}"/>
    <cellStyle name="Normal 3 4" xfId="19576" xr:uid="{00000000-0005-0000-0000-00007B4C0000}"/>
    <cellStyle name="Normal 3 4 2" xfId="19577" xr:uid="{00000000-0005-0000-0000-00007C4C0000}"/>
    <cellStyle name="Normal 3 5" xfId="19578" xr:uid="{00000000-0005-0000-0000-00007D4C0000}"/>
    <cellStyle name="Normal 3 6" xfId="19579" xr:uid="{00000000-0005-0000-0000-00007E4C0000}"/>
    <cellStyle name="Normal 3 7" xfId="19580" xr:uid="{00000000-0005-0000-0000-00007F4C0000}"/>
    <cellStyle name="Normal 3 8" xfId="19581" xr:uid="{00000000-0005-0000-0000-0000804C0000}"/>
    <cellStyle name="Normal 3_Broadleaf Watefall 12-31-09" xfId="19582" xr:uid="{00000000-0005-0000-0000-0000814C0000}"/>
    <cellStyle name="Normal 30" xfId="19583" xr:uid="{00000000-0005-0000-0000-0000824C0000}"/>
    <cellStyle name="Normal 31" xfId="19584" xr:uid="{00000000-0005-0000-0000-0000834C0000}"/>
    <cellStyle name="Normal 32" xfId="19585" xr:uid="{00000000-0005-0000-0000-0000844C0000}"/>
    <cellStyle name="Normal 33" xfId="19586" xr:uid="{00000000-0005-0000-0000-0000854C0000}"/>
    <cellStyle name="Normal 34" xfId="19587" xr:uid="{00000000-0005-0000-0000-0000864C0000}"/>
    <cellStyle name="Normal 35" xfId="19588" xr:uid="{00000000-0005-0000-0000-0000874C0000}"/>
    <cellStyle name="Normal 36" xfId="19589" xr:uid="{00000000-0005-0000-0000-0000884C0000}"/>
    <cellStyle name="Normal 37" xfId="7" xr:uid="{00000000-0005-0000-0000-0000894C0000}"/>
    <cellStyle name="Normal 38" xfId="19590" xr:uid="{00000000-0005-0000-0000-00008A4C0000}"/>
    <cellStyle name="Normal 39" xfId="19591" xr:uid="{00000000-0005-0000-0000-00008B4C0000}"/>
    <cellStyle name="Normal 4" xfId="19592" xr:uid="{00000000-0005-0000-0000-00008C4C0000}"/>
    <cellStyle name="normal' 4" xfId="19593" xr:uid="{00000000-0005-0000-0000-00008D4C0000}"/>
    <cellStyle name="Normal 4 2" xfId="19594" xr:uid="{00000000-0005-0000-0000-00008E4C0000}"/>
    <cellStyle name="Normal 4 3" xfId="19595" xr:uid="{00000000-0005-0000-0000-00008F4C0000}"/>
    <cellStyle name="Normal 40" xfId="19596" xr:uid="{00000000-0005-0000-0000-0000904C0000}"/>
    <cellStyle name="Normal 41" xfId="19597" xr:uid="{00000000-0005-0000-0000-0000914C0000}"/>
    <cellStyle name="Normal 42" xfId="19598" xr:uid="{00000000-0005-0000-0000-0000924C0000}"/>
    <cellStyle name="Normal 42 2" xfId="19599" xr:uid="{00000000-0005-0000-0000-0000934C0000}"/>
    <cellStyle name="Normal 43" xfId="19600" xr:uid="{00000000-0005-0000-0000-0000944C0000}"/>
    <cellStyle name="Normal 43 2" xfId="19601" xr:uid="{00000000-0005-0000-0000-0000954C0000}"/>
    <cellStyle name="Normal 44" xfId="19602" xr:uid="{00000000-0005-0000-0000-0000964C0000}"/>
    <cellStyle name="Normal 44 2" xfId="19603" xr:uid="{00000000-0005-0000-0000-0000974C0000}"/>
    <cellStyle name="Normal 45" xfId="19604" xr:uid="{00000000-0005-0000-0000-0000984C0000}"/>
    <cellStyle name="Normal 45 2" xfId="19605" xr:uid="{00000000-0005-0000-0000-0000994C0000}"/>
    <cellStyle name="Normal 46" xfId="19606" xr:uid="{00000000-0005-0000-0000-00009A4C0000}"/>
    <cellStyle name="Normal 46 2" xfId="19607" xr:uid="{00000000-0005-0000-0000-00009B4C0000}"/>
    <cellStyle name="Normal 47" xfId="19608" xr:uid="{00000000-0005-0000-0000-00009C4C0000}"/>
    <cellStyle name="Normal 48" xfId="19609" xr:uid="{00000000-0005-0000-0000-00009D4C0000}"/>
    <cellStyle name="Normal 48 2" xfId="19610" xr:uid="{00000000-0005-0000-0000-00009E4C0000}"/>
    <cellStyle name="Normal 49" xfId="19611" xr:uid="{00000000-0005-0000-0000-00009F4C0000}"/>
    <cellStyle name="Normal 5" xfId="19612" xr:uid="{00000000-0005-0000-0000-0000A04C0000}"/>
    <cellStyle name="normal' 5" xfId="19613" xr:uid="{00000000-0005-0000-0000-0000A14C0000}"/>
    <cellStyle name="Normal 5 2" xfId="19614" xr:uid="{00000000-0005-0000-0000-0000A24C0000}"/>
    <cellStyle name="Normal 5 3" xfId="19615" xr:uid="{00000000-0005-0000-0000-0000A34C0000}"/>
    <cellStyle name="Normal 50" xfId="2" xr:uid="{00000000-0005-0000-0000-0000A44C0000}"/>
    <cellStyle name="Normal 51" xfId="19616" xr:uid="{00000000-0005-0000-0000-0000A54C0000}"/>
    <cellStyle name="Normal 52" xfId="19617" xr:uid="{00000000-0005-0000-0000-0000A64C0000}"/>
    <cellStyle name="Normal 53" xfId="19618" xr:uid="{00000000-0005-0000-0000-0000A74C0000}"/>
    <cellStyle name="Normal 54" xfId="35730" xr:uid="{35E1CD30-EBAC-483E-AF2B-D38EF5D69355}"/>
    <cellStyle name="Normal 6" xfId="19619" xr:uid="{00000000-0005-0000-0000-0000A84C0000}"/>
    <cellStyle name="normal' 6" xfId="19620" xr:uid="{00000000-0005-0000-0000-0000A94C0000}"/>
    <cellStyle name="Normal 6 2" xfId="19621" xr:uid="{00000000-0005-0000-0000-0000AA4C0000}"/>
    <cellStyle name="Normal 6 3" xfId="19622" xr:uid="{00000000-0005-0000-0000-0000AB4C0000}"/>
    <cellStyle name="Normal 7" xfId="19623" xr:uid="{00000000-0005-0000-0000-0000AC4C0000}"/>
    <cellStyle name="normal' 7" xfId="19624" xr:uid="{00000000-0005-0000-0000-0000AD4C0000}"/>
    <cellStyle name="Normal 7 2" xfId="19625" xr:uid="{00000000-0005-0000-0000-0000AE4C0000}"/>
    <cellStyle name="Normal 7 3" xfId="19626" xr:uid="{00000000-0005-0000-0000-0000AF4C0000}"/>
    <cellStyle name="Normal 7 4" xfId="19627" xr:uid="{00000000-0005-0000-0000-0000B04C0000}"/>
    <cellStyle name="Normal 7 4 2" xfId="19628" xr:uid="{00000000-0005-0000-0000-0000B14C0000}"/>
    <cellStyle name="Normal 8" xfId="19629" xr:uid="{00000000-0005-0000-0000-0000B24C0000}"/>
    <cellStyle name="normal' 8" xfId="19630" xr:uid="{00000000-0005-0000-0000-0000B34C0000}"/>
    <cellStyle name="Normal 8 2" xfId="19631" xr:uid="{00000000-0005-0000-0000-0000B44C0000}"/>
    <cellStyle name="Normal 8 2 2" xfId="19632" xr:uid="{00000000-0005-0000-0000-0000B54C0000}"/>
    <cellStyle name="Normal 8 2 2 2" xfId="19633" xr:uid="{00000000-0005-0000-0000-0000B64C0000}"/>
    <cellStyle name="Normal 8 2 3" xfId="19634" xr:uid="{00000000-0005-0000-0000-0000B74C0000}"/>
    <cellStyle name="Normal 8 2 4" xfId="19635" xr:uid="{00000000-0005-0000-0000-0000B84C0000}"/>
    <cellStyle name="Normal 8 3" xfId="19636" xr:uid="{00000000-0005-0000-0000-0000B94C0000}"/>
    <cellStyle name="Normal 8 4" xfId="19637" xr:uid="{00000000-0005-0000-0000-0000BA4C0000}"/>
    <cellStyle name="Normal 8 5" xfId="19638" xr:uid="{00000000-0005-0000-0000-0000BB4C0000}"/>
    <cellStyle name="Normal 9" xfId="19639" xr:uid="{00000000-0005-0000-0000-0000BC4C0000}"/>
    <cellStyle name="normal' 9" xfId="19640" xr:uid="{00000000-0005-0000-0000-0000BD4C0000}"/>
    <cellStyle name="Normal 9 2" xfId="19641" xr:uid="{00000000-0005-0000-0000-0000BE4C0000}"/>
    <cellStyle name="Normal Bold" xfId="19642" xr:uid="{00000000-0005-0000-0000-0000BF4C0000}"/>
    <cellStyle name="Normal Bold 10" xfId="19643" xr:uid="{00000000-0005-0000-0000-0000C04C0000}"/>
    <cellStyle name="Normal Bold 11" xfId="19644" xr:uid="{00000000-0005-0000-0000-0000C14C0000}"/>
    <cellStyle name="Normal Bold 12" xfId="19645" xr:uid="{00000000-0005-0000-0000-0000C24C0000}"/>
    <cellStyle name="Normal Bold 13" xfId="19646" xr:uid="{00000000-0005-0000-0000-0000C34C0000}"/>
    <cellStyle name="Normal Bold 14" xfId="19647" xr:uid="{00000000-0005-0000-0000-0000C44C0000}"/>
    <cellStyle name="Normal Bold 15" xfId="19648" xr:uid="{00000000-0005-0000-0000-0000C54C0000}"/>
    <cellStyle name="Normal Bold 16" xfId="19649" xr:uid="{00000000-0005-0000-0000-0000C64C0000}"/>
    <cellStyle name="Normal Bold 17" xfId="19650" xr:uid="{00000000-0005-0000-0000-0000C74C0000}"/>
    <cellStyle name="Normal Bold 18" xfId="19651" xr:uid="{00000000-0005-0000-0000-0000C84C0000}"/>
    <cellStyle name="Normal Bold 19" xfId="19652" xr:uid="{00000000-0005-0000-0000-0000C94C0000}"/>
    <cellStyle name="Normal Bold 2" xfId="19653" xr:uid="{00000000-0005-0000-0000-0000CA4C0000}"/>
    <cellStyle name="Normal Bold 20" xfId="19654" xr:uid="{00000000-0005-0000-0000-0000CB4C0000}"/>
    <cellStyle name="Normal Bold 21" xfId="19655" xr:uid="{00000000-0005-0000-0000-0000CC4C0000}"/>
    <cellStyle name="Normal Bold 21 2" xfId="19656" xr:uid="{00000000-0005-0000-0000-0000CD4C0000}"/>
    <cellStyle name="Normal Bold 3" xfId="19657" xr:uid="{00000000-0005-0000-0000-0000CE4C0000}"/>
    <cellStyle name="Normal Bold 4" xfId="19658" xr:uid="{00000000-0005-0000-0000-0000CF4C0000}"/>
    <cellStyle name="Normal Bold 5" xfId="19659" xr:uid="{00000000-0005-0000-0000-0000D04C0000}"/>
    <cellStyle name="Normal Bold 6" xfId="19660" xr:uid="{00000000-0005-0000-0000-0000D14C0000}"/>
    <cellStyle name="Normal Bold 7" xfId="19661" xr:uid="{00000000-0005-0000-0000-0000D24C0000}"/>
    <cellStyle name="Normal Bold 8" xfId="19662" xr:uid="{00000000-0005-0000-0000-0000D34C0000}"/>
    <cellStyle name="Normal Bold 9" xfId="19663" xr:uid="{00000000-0005-0000-0000-0000D44C0000}"/>
    <cellStyle name="Normal Bold Italic" xfId="19664" xr:uid="{00000000-0005-0000-0000-0000D54C0000}"/>
    <cellStyle name="Normal Bold Italic 10" xfId="19665" xr:uid="{00000000-0005-0000-0000-0000D64C0000}"/>
    <cellStyle name="Normal Bold Italic 11" xfId="19666" xr:uid="{00000000-0005-0000-0000-0000D74C0000}"/>
    <cellStyle name="Normal Bold Italic 12" xfId="19667" xr:uid="{00000000-0005-0000-0000-0000D84C0000}"/>
    <cellStyle name="Normal Bold Italic 13" xfId="19668" xr:uid="{00000000-0005-0000-0000-0000D94C0000}"/>
    <cellStyle name="Normal Bold Italic 14" xfId="19669" xr:uid="{00000000-0005-0000-0000-0000DA4C0000}"/>
    <cellStyle name="Normal Bold Italic 15" xfId="19670" xr:uid="{00000000-0005-0000-0000-0000DB4C0000}"/>
    <cellStyle name="Normal Bold Italic 16" xfId="19671" xr:uid="{00000000-0005-0000-0000-0000DC4C0000}"/>
    <cellStyle name="Normal Bold Italic 17" xfId="19672" xr:uid="{00000000-0005-0000-0000-0000DD4C0000}"/>
    <cellStyle name="Normal Bold Italic 18" xfId="19673" xr:uid="{00000000-0005-0000-0000-0000DE4C0000}"/>
    <cellStyle name="Normal Bold Italic 19" xfId="19674" xr:uid="{00000000-0005-0000-0000-0000DF4C0000}"/>
    <cellStyle name="Normal Bold Italic 2" xfId="19675" xr:uid="{00000000-0005-0000-0000-0000E04C0000}"/>
    <cellStyle name="Normal Bold Italic 20" xfId="19676" xr:uid="{00000000-0005-0000-0000-0000E14C0000}"/>
    <cellStyle name="Normal Bold Italic 21" xfId="19677" xr:uid="{00000000-0005-0000-0000-0000E24C0000}"/>
    <cellStyle name="Normal Bold Italic 21 2" xfId="19678" xr:uid="{00000000-0005-0000-0000-0000E34C0000}"/>
    <cellStyle name="Normal Bold Italic 3" xfId="19679" xr:uid="{00000000-0005-0000-0000-0000E44C0000}"/>
    <cellStyle name="Normal Bold Italic 4" xfId="19680" xr:uid="{00000000-0005-0000-0000-0000E54C0000}"/>
    <cellStyle name="Normal Bold Italic 5" xfId="19681" xr:uid="{00000000-0005-0000-0000-0000E64C0000}"/>
    <cellStyle name="Normal Bold Italic 6" xfId="19682" xr:uid="{00000000-0005-0000-0000-0000E74C0000}"/>
    <cellStyle name="Normal Bold Italic 7" xfId="19683" xr:uid="{00000000-0005-0000-0000-0000E84C0000}"/>
    <cellStyle name="Normal Bold Italic 8" xfId="19684" xr:uid="{00000000-0005-0000-0000-0000E94C0000}"/>
    <cellStyle name="Normal Bold Italic 9" xfId="19685" xr:uid="{00000000-0005-0000-0000-0000EA4C0000}"/>
    <cellStyle name="Normal Italic" xfId="19686" xr:uid="{00000000-0005-0000-0000-0000EB4C0000}"/>
    <cellStyle name="Normal Italic 10" xfId="19687" xr:uid="{00000000-0005-0000-0000-0000EC4C0000}"/>
    <cellStyle name="Normal Italic 11" xfId="19688" xr:uid="{00000000-0005-0000-0000-0000ED4C0000}"/>
    <cellStyle name="Normal Italic 12" xfId="19689" xr:uid="{00000000-0005-0000-0000-0000EE4C0000}"/>
    <cellStyle name="Normal Italic 13" xfId="19690" xr:uid="{00000000-0005-0000-0000-0000EF4C0000}"/>
    <cellStyle name="Normal Italic 14" xfId="19691" xr:uid="{00000000-0005-0000-0000-0000F04C0000}"/>
    <cellStyle name="Normal Italic 15" xfId="19692" xr:uid="{00000000-0005-0000-0000-0000F14C0000}"/>
    <cellStyle name="Normal Italic 16" xfId="19693" xr:uid="{00000000-0005-0000-0000-0000F24C0000}"/>
    <cellStyle name="Normal Italic 17" xfId="19694" xr:uid="{00000000-0005-0000-0000-0000F34C0000}"/>
    <cellStyle name="Normal Italic 18" xfId="19695" xr:uid="{00000000-0005-0000-0000-0000F44C0000}"/>
    <cellStyle name="Normal Italic 19" xfId="19696" xr:uid="{00000000-0005-0000-0000-0000F54C0000}"/>
    <cellStyle name="Normal Italic 2" xfId="19697" xr:uid="{00000000-0005-0000-0000-0000F64C0000}"/>
    <cellStyle name="Normal Italic 20" xfId="19698" xr:uid="{00000000-0005-0000-0000-0000F74C0000}"/>
    <cellStyle name="Normal Italic 21" xfId="19699" xr:uid="{00000000-0005-0000-0000-0000F84C0000}"/>
    <cellStyle name="Normal Italic 21 2" xfId="19700" xr:uid="{00000000-0005-0000-0000-0000F94C0000}"/>
    <cellStyle name="Normal Italic 3" xfId="19701" xr:uid="{00000000-0005-0000-0000-0000FA4C0000}"/>
    <cellStyle name="Normal Italic 4" xfId="19702" xr:uid="{00000000-0005-0000-0000-0000FB4C0000}"/>
    <cellStyle name="Normal Italic 5" xfId="19703" xr:uid="{00000000-0005-0000-0000-0000FC4C0000}"/>
    <cellStyle name="Normal Italic 6" xfId="19704" xr:uid="{00000000-0005-0000-0000-0000FD4C0000}"/>
    <cellStyle name="Normal Italic 7" xfId="19705" xr:uid="{00000000-0005-0000-0000-0000FE4C0000}"/>
    <cellStyle name="Normal Italic 8" xfId="19706" xr:uid="{00000000-0005-0000-0000-0000FF4C0000}"/>
    <cellStyle name="Normal Italic 9" xfId="19707" xr:uid="{00000000-0005-0000-0000-0000004D0000}"/>
    <cellStyle name="normal'_Book4" xfId="19708" xr:uid="{00000000-0005-0000-0000-0000014D0000}"/>
    <cellStyle name="Normal0" xfId="19709" xr:uid="{00000000-0005-0000-0000-0000044D0000}"/>
    <cellStyle name="Normal0 10" xfId="19710" xr:uid="{00000000-0005-0000-0000-0000054D0000}"/>
    <cellStyle name="Normal0 11" xfId="19711" xr:uid="{00000000-0005-0000-0000-0000064D0000}"/>
    <cellStyle name="Normal0 12" xfId="19712" xr:uid="{00000000-0005-0000-0000-0000074D0000}"/>
    <cellStyle name="Normal0 13" xfId="19713" xr:uid="{00000000-0005-0000-0000-0000084D0000}"/>
    <cellStyle name="Normal0 14" xfId="19714" xr:uid="{00000000-0005-0000-0000-0000094D0000}"/>
    <cellStyle name="Normal0 15" xfId="19715" xr:uid="{00000000-0005-0000-0000-00000A4D0000}"/>
    <cellStyle name="Normal0 16" xfId="19716" xr:uid="{00000000-0005-0000-0000-00000B4D0000}"/>
    <cellStyle name="Normal0 17" xfId="19717" xr:uid="{00000000-0005-0000-0000-00000C4D0000}"/>
    <cellStyle name="Normal0 18" xfId="19718" xr:uid="{00000000-0005-0000-0000-00000D4D0000}"/>
    <cellStyle name="Normal0 19" xfId="19719" xr:uid="{00000000-0005-0000-0000-00000E4D0000}"/>
    <cellStyle name="Normal0 2" xfId="19720" xr:uid="{00000000-0005-0000-0000-00000F4D0000}"/>
    <cellStyle name="Normal0 20" xfId="19721" xr:uid="{00000000-0005-0000-0000-0000104D0000}"/>
    <cellStyle name="Normal0 21" xfId="19722" xr:uid="{00000000-0005-0000-0000-0000114D0000}"/>
    <cellStyle name="Normal0 3" xfId="19723" xr:uid="{00000000-0005-0000-0000-0000124D0000}"/>
    <cellStyle name="Normal0 4" xfId="19724" xr:uid="{00000000-0005-0000-0000-0000134D0000}"/>
    <cellStyle name="Normal0 5" xfId="19725" xr:uid="{00000000-0005-0000-0000-0000144D0000}"/>
    <cellStyle name="Normal0 6" xfId="19726" xr:uid="{00000000-0005-0000-0000-0000154D0000}"/>
    <cellStyle name="Normal0 7" xfId="19727" xr:uid="{00000000-0005-0000-0000-0000164D0000}"/>
    <cellStyle name="Normal0 8" xfId="19728" xr:uid="{00000000-0005-0000-0000-0000174D0000}"/>
    <cellStyle name="Normal0 9" xfId="19729" xr:uid="{00000000-0005-0000-0000-0000184D0000}"/>
    <cellStyle name="Normal1" xfId="19730" xr:uid="{00000000-0005-0000-0000-0000194D0000}"/>
    <cellStyle name="Normal1 10" xfId="19731" xr:uid="{00000000-0005-0000-0000-00001A4D0000}"/>
    <cellStyle name="Normal1 11" xfId="19732" xr:uid="{00000000-0005-0000-0000-00001B4D0000}"/>
    <cellStyle name="Normal1 12" xfId="19733" xr:uid="{00000000-0005-0000-0000-00001C4D0000}"/>
    <cellStyle name="Normal1 13" xfId="19734" xr:uid="{00000000-0005-0000-0000-00001D4D0000}"/>
    <cellStyle name="Normal1 14" xfId="19735" xr:uid="{00000000-0005-0000-0000-00001E4D0000}"/>
    <cellStyle name="Normal1 15" xfId="19736" xr:uid="{00000000-0005-0000-0000-00001F4D0000}"/>
    <cellStyle name="Normal1 16" xfId="19737" xr:uid="{00000000-0005-0000-0000-0000204D0000}"/>
    <cellStyle name="Normal1 17" xfId="19738" xr:uid="{00000000-0005-0000-0000-0000214D0000}"/>
    <cellStyle name="Normal1 18" xfId="19739" xr:uid="{00000000-0005-0000-0000-0000224D0000}"/>
    <cellStyle name="Normal1 19" xfId="19740" xr:uid="{00000000-0005-0000-0000-0000234D0000}"/>
    <cellStyle name="Normal1 2" xfId="19741" xr:uid="{00000000-0005-0000-0000-0000244D0000}"/>
    <cellStyle name="Normal1 20" xfId="19742" xr:uid="{00000000-0005-0000-0000-0000254D0000}"/>
    <cellStyle name="Normal1 21" xfId="19743" xr:uid="{00000000-0005-0000-0000-0000264D0000}"/>
    <cellStyle name="Normal1 3" xfId="19744" xr:uid="{00000000-0005-0000-0000-0000274D0000}"/>
    <cellStyle name="Normal1 4" xfId="19745" xr:uid="{00000000-0005-0000-0000-0000284D0000}"/>
    <cellStyle name="Normal1 5" xfId="19746" xr:uid="{00000000-0005-0000-0000-0000294D0000}"/>
    <cellStyle name="Normal1 6" xfId="19747" xr:uid="{00000000-0005-0000-0000-00002A4D0000}"/>
    <cellStyle name="Normal1 7" xfId="19748" xr:uid="{00000000-0005-0000-0000-00002B4D0000}"/>
    <cellStyle name="Normal1 8" xfId="19749" xr:uid="{00000000-0005-0000-0000-00002C4D0000}"/>
    <cellStyle name="Normal1 9" xfId="19750" xr:uid="{00000000-0005-0000-0000-00002D4D0000}"/>
    <cellStyle name="Normal2" xfId="19751" xr:uid="{00000000-0005-0000-0000-00002E4D0000}"/>
    <cellStyle name="Normal2 10" xfId="19752" xr:uid="{00000000-0005-0000-0000-00002F4D0000}"/>
    <cellStyle name="Normal2 11" xfId="19753" xr:uid="{00000000-0005-0000-0000-0000304D0000}"/>
    <cellStyle name="Normal2 12" xfId="19754" xr:uid="{00000000-0005-0000-0000-0000314D0000}"/>
    <cellStyle name="Normal2 13" xfId="19755" xr:uid="{00000000-0005-0000-0000-0000324D0000}"/>
    <cellStyle name="Normal2 14" xfId="19756" xr:uid="{00000000-0005-0000-0000-0000334D0000}"/>
    <cellStyle name="Normal2 15" xfId="19757" xr:uid="{00000000-0005-0000-0000-0000344D0000}"/>
    <cellStyle name="Normal2 16" xfId="19758" xr:uid="{00000000-0005-0000-0000-0000354D0000}"/>
    <cellStyle name="Normal2 17" xfId="19759" xr:uid="{00000000-0005-0000-0000-0000364D0000}"/>
    <cellStyle name="Normal2 18" xfId="19760" xr:uid="{00000000-0005-0000-0000-0000374D0000}"/>
    <cellStyle name="Normal2 19" xfId="19761" xr:uid="{00000000-0005-0000-0000-0000384D0000}"/>
    <cellStyle name="Normal2 2" xfId="19762" xr:uid="{00000000-0005-0000-0000-0000394D0000}"/>
    <cellStyle name="Normal2 20" xfId="19763" xr:uid="{00000000-0005-0000-0000-00003A4D0000}"/>
    <cellStyle name="Normal2 21" xfId="19764" xr:uid="{00000000-0005-0000-0000-00003B4D0000}"/>
    <cellStyle name="Normal2 3" xfId="19765" xr:uid="{00000000-0005-0000-0000-00003C4D0000}"/>
    <cellStyle name="Normal2 4" xfId="19766" xr:uid="{00000000-0005-0000-0000-00003D4D0000}"/>
    <cellStyle name="Normal2 5" xfId="19767" xr:uid="{00000000-0005-0000-0000-00003E4D0000}"/>
    <cellStyle name="Normal2 6" xfId="19768" xr:uid="{00000000-0005-0000-0000-00003F4D0000}"/>
    <cellStyle name="Normal2 7" xfId="19769" xr:uid="{00000000-0005-0000-0000-0000404D0000}"/>
    <cellStyle name="Normal2 8" xfId="19770" xr:uid="{00000000-0005-0000-0000-0000414D0000}"/>
    <cellStyle name="Normal2 9" xfId="19771" xr:uid="{00000000-0005-0000-0000-0000424D0000}"/>
    <cellStyle name="NormalCurrency" xfId="19772" xr:uid="{00000000-0005-0000-0000-0000434D0000}"/>
    <cellStyle name="NormalCurrency 10" xfId="19773" xr:uid="{00000000-0005-0000-0000-0000444D0000}"/>
    <cellStyle name="NormalCurrency 11" xfId="19774" xr:uid="{00000000-0005-0000-0000-0000454D0000}"/>
    <cellStyle name="NormalCurrency 12" xfId="19775" xr:uid="{00000000-0005-0000-0000-0000464D0000}"/>
    <cellStyle name="NormalCurrency 13" xfId="19776" xr:uid="{00000000-0005-0000-0000-0000474D0000}"/>
    <cellStyle name="NormalCurrency 14" xfId="19777" xr:uid="{00000000-0005-0000-0000-0000484D0000}"/>
    <cellStyle name="NormalCurrency 15" xfId="19778" xr:uid="{00000000-0005-0000-0000-0000494D0000}"/>
    <cellStyle name="NormalCurrency 16" xfId="19779" xr:uid="{00000000-0005-0000-0000-00004A4D0000}"/>
    <cellStyle name="NormalCurrency 17" xfId="19780" xr:uid="{00000000-0005-0000-0000-00004B4D0000}"/>
    <cellStyle name="NormalCurrency 18" xfId="19781" xr:uid="{00000000-0005-0000-0000-00004C4D0000}"/>
    <cellStyle name="NormalCurrency 19" xfId="19782" xr:uid="{00000000-0005-0000-0000-00004D4D0000}"/>
    <cellStyle name="NormalCurrency 2" xfId="19783" xr:uid="{00000000-0005-0000-0000-00004E4D0000}"/>
    <cellStyle name="NormalCurrency 20" xfId="19784" xr:uid="{00000000-0005-0000-0000-00004F4D0000}"/>
    <cellStyle name="NormalCurrency 21" xfId="19785" xr:uid="{00000000-0005-0000-0000-0000504D0000}"/>
    <cellStyle name="NormalCurrency 3" xfId="19786" xr:uid="{00000000-0005-0000-0000-0000514D0000}"/>
    <cellStyle name="NormalCurrency 4" xfId="19787" xr:uid="{00000000-0005-0000-0000-0000524D0000}"/>
    <cellStyle name="NormalCurrency 5" xfId="19788" xr:uid="{00000000-0005-0000-0000-0000534D0000}"/>
    <cellStyle name="NormalCurrency 6" xfId="19789" xr:uid="{00000000-0005-0000-0000-0000544D0000}"/>
    <cellStyle name="NormalCurrency 7" xfId="19790" xr:uid="{00000000-0005-0000-0000-0000554D0000}"/>
    <cellStyle name="NormalCurrency 8" xfId="19791" xr:uid="{00000000-0005-0000-0000-0000564D0000}"/>
    <cellStyle name="NormalCurrency 9" xfId="19792" xr:uid="{00000000-0005-0000-0000-0000574D0000}"/>
    <cellStyle name="Normale_07 Deut - FS0699HY" xfId="19793" xr:uid="{00000000-0005-0000-0000-0000584D0000}"/>
    <cellStyle name="Note" xfId="35703" builtinId="10" customBuiltin="1"/>
    <cellStyle name="Note 10" xfId="19794" xr:uid="{00000000-0005-0000-0000-0000594D0000}"/>
    <cellStyle name="Note 11" xfId="19795" xr:uid="{00000000-0005-0000-0000-00005A4D0000}"/>
    <cellStyle name="Note 12" xfId="19796" xr:uid="{00000000-0005-0000-0000-00005B4D0000}"/>
    <cellStyle name="Note 13" xfId="19797" xr:uid="{00000000-0005-0000-0000-00005C4D0000}"/>
    <cellStyle name="Note 14" xfId="19798" xr:uid="{00000000-0005-0000-0000-00005D4D0000}"/>
    <cellStyle name="Note 15" xfId="19799" xr:uid="{00000000-0005-0000-0000-00005E4D0000}"/>
    <cellStyle name="Note 16" xfId="19800" xr:uid="{00000000-0005-0000-0000-00005F4D0000}"/>
    <cellStyle name="Note 17" xfId="19801" xr:uid="{00000000-0005-0000-0000-0000604D0000}"/>
    <cellStyle name="Note 18" xfId="19802" xr:uid="{00000000-0005-0000-0000-0000614D0000}"/>
    <cellStyle name="Note 19" xfId="19803" xr:uid="{00000000-0005-0000-0000-0000624D0000}"/>
    <cellStyle name="Note 2" xfId="19804" xr:uid="{00000000-0005-0000-0000-0000634D0000}"/>
    <cellStyle name="Note 2 2" xfId="19805" xr:uid="{00000000-0005-0000-0000-0000644D0000}"/>
    <cellStyle name="Note 20" xfId="19806" xr:uid="{00000000-0005-0000-0000-0000654D0000}"/>
    <cellStyle name="Note 21" xfId="19807" xr:uid="{00000000-0005-0000-0000-0000664D0000}"/>
    <cellStyle name="Note 22" xfId="19808" xr:uid="{00000000-0005-0000-0000-0000674D0000}"/>
    <cellStyle name="Note 23" xfId="19809" xr:uid="{00000000-0005-0000-0000-0000684D0000}"/>
    <cellStyle name="Note 24" xfId="19810" xr:uid="{00000000-0005-0000-0000-0000694D0000}"/>
    <cellStyle name="Note 25" xfId="19811" xr:uid="{00000000-0005-0000-0000-00006A4D0000}"/>
    <cellStyle name="Note 26" xfId="19812" xr:uid="{00000000-0005-0000-0000-00006B4D0000}"/>
    <cellStyle name="Note 27" xfId="19813" xr:uid="{00000000-0005-0000-0000-00006C4D0000}"/>
    <cellStyle name="Note 28" xfId="19814" xr:uid="{00000000-0005-0000-0000-00006D4D0000}"/>
    <cellStyle name="Note 29" xfId="19815" xr:uid="{00000000-0005-0000-0000-00006E4D0000}"/>
    <cellStyle name="Note 29 2" xfId="19816" xr:uid="{00000000-0005-0000-0000-00006F4D0000}"/>
    <cellStyle name="Note 3" xfId="19817" xr:uid="{00000000-0005-0000-0000-0000704D0000}"/>
    <cellStyle name="Note 30" xfId="19818" xr:uid="{00000000-0005-0000-0000-0000714D0000}"/>
    <cellStyle name="Note 31" xfId="19819" xr:uid="{00000000-0005-0000-0000-0000724D0000}"/>
    <cellStyle name="Note 32" xfId="19820" xr:uid="{00000000-0005-0000-0000-0000734D0000}"/>
    <cellStyle name="Note 33" xfId="19821" xr:uid="{00000000-0005-0000-0000-0000744D0000}"/>
    <cellStyle name="Note 34" xfId="19822" xr:uid="{00000000-0005-0000-0000-0000754D0000}"/>
    <cellStyle name="Note 35" xfId="19823" xr:uid="{00000000-0005-0000-0000-0000764D0000}"/>
    <cellStyle name="Note 36" xfId="19824" xr:uid="{00000000-0005-0000-0000-0000774D0000}"/>
    <cellStyle name="Note 37" xfId="19825" xr:uid="{00000000-0005-0000-0000-0000784D0000}"/>
    <cellStyle name="Note 38" xfId="19826" xr:uid="{00000000-0005-0000-0000-0000794D0000}"/>
    <cellStyle name="Note 4" xfId="19827" xr:uid="{00000000-0005-0000-0000-00007A4D0000}"/>
    <cellStyle name="Note 5" xfId="19828" xr:uid="{00000000-0005-0000-0000-00007B4D0000}"/>
    <cellStyle name="Note 6" xfId="19829" xr:uid="{00000000-0005-0000-0000-00007C4D0000}"/>
    <cellStyle name="Note 7" xfId="19830" xr:uid="{00000000-0005-0000-0000-00007D4D0000}"/>
    <cellStyle name="Note 8" xfId="19831" xr:uid="{00000000-0005-0000-0000-00007E4D0000}"/>
    <cellStyle name="Note 9" xfId="19832" xr:uid="{00000000-0005-0000-0000-00007F4D0000}"/>
    <cellStyle name="Num0Un" xfId="19833" xr:uid="{00000000-0005-0000-0000-0000804D0000}"/>
    <cellStyle name="Num0Un 10" xfId="19834" xr:uid="{00000000-0005-0000-0000-0000814D0000}"/>
    <cellStyle name="Num0Un 11" xfId="19835" xr:uid="{00000000-0005-0000-0000-0000824D0000}"/>
    <cellStyle name="Num0Un 12" xfId="19836" xr:uid="{00000000-0005-0000-0000-0000834D0000}"/>
    <cellStyle name="Num0Un 13" xfId="19837" xr:uid="{00000000-0005-0000-0000-0000844D0000}"/>
    <cellStyle name="Num0Un 14" xfId="19838" xr:uid="{00000000-0005-0000-0000-0000854D0000}"/>
    <cellStyle name="Num0Un 15" xfId="19839" xr:uid="{00000000-0005-0000-0000-0000864D0000}"/>
    <cellStyle name="Num0Un 16" xfId="19840" xr:uid="{00000000-0005-0000-0000-0000874D0000}"/>
    <cellStyle name="Num0Un 17" xfId="19841" xr:uid="{00000000-0005-0000-0000-0000884D0000}"/>
    <cellStyle name="Num0Un 18" xfId="19842" xr:uid="{00000000-0005-0000-0000-0000894D0000}"/>
    <cellStyle name="Num0Un 19" xfId="19843" xr:uid="{00000000-0005-0000-0000-00008A4D0000}"/>
    <cellStyle name="Num0Un 2" xfId="19844" xr:uid="{00000000-0005-0000-0000-00008B4D0000}"/>
    <cellStyle name="Num0Un 20" xfId="19845" xr:uid="{00000000-0005-0000-0000-00008C4D0000}"/>
    <cellStyle name="Num0Un 21" xfId="19846" xr:uid="{00000000-0005-0000-0000-00008D4D0000}"/>
    <cellStyle name="Num0Un 21 2" xfId="19847" xr:uid="{00000000-0005-0000-0000-00008E4D0000}"/>
    <cellStyle name="Num0Un 3" xfId="19848" xr:uid="{00000000-0005-0000-0000-00008F4D0000}"/>
    <cellStyle name="Num0Un 4" xfId="19849" xr:uid="{00000000-0005-0000-0000-0000904D0000}"/>
    <cellStyle name="Num0Un 5" xfId="19850" xr:uid="{00000000-0005-0000-0000-0000914D0000}"/>
    <cellStyle name="Num0Un 6" xfId="19851" xr:uid="{00000000-0005-0000-0000-0000924D0000}"/>
    <cellStyle name="Num0Un 7" xfId="19852" xr:uid="{00000000-0005-0000-0000-0000934D0000}"/>
    <cellStyle name="Num0Un 8" xfId="19853" xr:uid="{00000000-0005-0000-0000-0000944D0000}"/>
    <cellStyle name="Num0Un 9" xfId="19854" xr:uid="{00000000-0005-0000-0000-0000954D0000}"/>
    <cellStyle name="Num1" xfId="19855" xr:uid="{00000000-0005-0000-0000-0000964D0000}"/>
    <cellStyle name="Num1 10" xfId="19856" xr:uid="{00000000-0005-0000-0000-0000974D0000}"/>
    <cellStyle name="Num1 11" xfId="19857" xr:uid="{00000000-0005-0000-0000-0000984D0000}"/>
    <cellStyle name="Num1 12" xfId="19858" xr:uid="{00000000-0005-0000-0000-0000994D0000}"/>
    <cellStyle name="Num1 13" xfId="19859" xr:uid="{00000000-0005-0000-0000-00009A4D0000}"/>
    <cellStyle name="Num1 14" xfId="19860" xr:uid="{00000000-0005-0000-0000-00009B4D0000}"/>
    <cellStyle name="Num1 15" xfId="19861" xr:uid="{00000000-0005-0000-0000-00009C4D0000}"/>
    <cellStyle name="Num1 16" xfId="19862" xr:uid="{00000000-0005-0000-0000-00009D4D0000}"/>
    <cellStyle name="Num1 17" xfId="19863" xr:uid="{00000000-0005-0000-0000-00009E4D0000}"/>
    <cellStyle name="Num1 18" xfId="19864" xr:uid="{00000000-0005-0000-0000-00009F4D0000}"/>
    <cellStyle name="Num1 19" xfId="19865" xr:uid="{00000000-0005-0000-0000-0000A04D0000}"/>
    <cellStyle name="Num1 2" xfId="19866" xr:uid="{00000000-0005-0000-0000-0000A14D0000}"/>
    <cellStyle name="Num1 20" xfId="19867" xr:uid="{00000000-0005-0000-0000-0000A24D0000}"/>
    <cellStyle name="Num1 21" xfId="19868" xr:uid="{00000000-0005-0000-0000-0000A34D0000}"/>
    <cellStyle name="Num1 21 2" xfId="19869" xr:uid="{00000000-0005-0000-0000-0000A44D0000}"/>
    <cellStyle name="Num1 3" xfId="19870" xr:uid="{00000000-0005-0000-0000-0000A54D0000}"/>
    <cellStyle name="Num1 4" xfId="19871" xr:uid="{00000000-0005-0000-0000-0000A64D0000}"/>
    <cellStyle name="Num1 5" xfId="19872" xr:uid="{00000000-0005-0000-0000-0000A74D0000}"/>
    <cellStyle name="Num1 6" xfId="19873" xr:uid="{00000000-0005-0000-0000-0000A84D0000}"/>
    <cellStyle name="Num1 7" xfId="19874" xr:uid="{00000000-0005-0000-0000-0000A94D0000}"/>
    <cellStyle name="Num1 8" xfId="19875" xr:uid="{00000000-0005-0000-0000-0000AA4D0000}"/>
    <cellStyle name="Num1 9" xfId="19876" xr:uid="{00000000-0005-0000-0000-0000AB4D0000}"/>
    <cellStyle name="Num1Blue" xfId="19877" xr:uid="{00000000-0005-0000-0000-0000AC4D0000}"/>
    <cellStyle name="Num1Blue 10" xfId="19878" xr:uid="{00000000-0005-0000-0000-0000AD4D0000}"/>
    <cellStyle name="Num1Blue 11" xfId="19879" xr:uid="{00000000-0005-0000-0000-0000AE4D0000}"/>
    <cellStyle name="Num1Blue 12" xfId="19880" xr:uid="{00000000-0005-0000-0000-0000AF4D0000}"/>
    <cellStyle name="Num1Blue 13" xfId="19881" xr:uid="{00000000-0005-0000-0000-0000B04D0000}"/>
    <cellStyle name="Num1Blue 14" xfId="19882" xr:uid="{00000000-0005-0000-0000-0000B14D0000}"/>
    <cellStyle name="Num1Blue 15" xfId="19883" xr:uid="{00000000-0005-0000-0000-0000B24D0000}"/>
    <cellStyle name="Num1Blue 16" xfId="19884" xr:uid="{00000000-0005-0000-0000-0000B34D0000}"/>
    <cellStyle name="Num1Blue 17" xfId="19885" xr:uid="{00000000-0005-0000-0000-0000B44D0000}"/>
    <cellStyle name="Num1Blue 18" xfId="19886" xr:uid="{00000000-0005-0000-0000-0000B54D0000}"/>
    <cellStyle name="Num1Blue 19" xfId="19887" xr:uid="{00000000-0005-0000-0000-0000B64D0000}"/>
    <cellStyle name="Num1Blue 2" xfId="19888" xr:uid="{00000000-0005-0000-0000-0000B74D0000}"/>
    <cellStyle name="Num1Blue 20" xfId="19889" xr:uid="{00000000-0005-0000-0000-0000B84D0000}"/>
    <cellStyle name="Num1Blue 21" xfId="19890" xr:uid="{00000000-0005-0000-0000-0000B94D0000}"/>
    <cellStyle name="Num1Blue 21 2" xfId="19891" xr:uid="{00000000-0005-0000-0000-0000BA4D0000}"/>
    <cellStyle name="Num1Blue 3" xfId="19892" xr:uid="{00000000-0005-0000-0000-0000BB4D0000}"/>
    <cellStyle name="Num1Blue 4" xfId="19893" xr:uid="{00000000-0005-0000-0000-0000BC4D0000}"/>
    <cellStyle name="Num1Blue 5" xfId="19894" xr:uid="{00000000-0005-0000-0000-0000BD4D0000}"/>
    <cellStyle name="Num1Blue 6" xfId="19895" xr:uid="{00000000-0005-0000-0000-0000BE4D0000}"/>
    <cellStyle name="Num1Blue 7" xfId="19896" xr:uid="{00000000-0005-0000-0000-0000BF4D0000}"/>
    <cellStyle name="Num1Blue 8" xfId="19897" xr:uid="{00000000-0005-0000-0000-0000C04D0000}"/>
    <cellStyle name="Num1Blue 9" xfId="19898" xr:uid="{00000000-0005-0000-0000-0000C14D0000}"/>
    <cellStyle name="Num2" xfId="19899" xr:uid="{00000000-0005-0000-0000-0000C24D0000}"/>
    <cellStyle name="Num2 10" xfId="19900" xr:uid="{00000000-0005-0000-0000-0000C34D0000}"/>
    <cellStyle name="Num2 11" xfId="19901" xr:uid="{00000000-0005-0000-0000-0000C44D0000}"/>
    <cellStyle name="Num2 12" xfId="19902" xr:uid="{00000000-0005-0000-0000-0000C54D0000}"/>
    <cellStyle name="Num2 13" xfId="19903" xr:uid="{00000000-0005-0000-0000-0000C64D0000}"/>
    <cellStyle name="Num2 14" xfId="19904" xr:uid="{00000000-0005-0000-0000-0000C74D0000}"/>
    <cellStyle name="Num2 15" xfId="19905" xr:uid="{00000000-0005-0000-0000-0000C84D0000}"/>
    <cellStyle name="Num2 16" xfId="19906" xr:uid="{00000000-0005-0000-0000-0000C94D0000}"/>
    <cellStyle name="Num2 17" xfId="19907" xr:uid="{00000000-0005-0000-0000-0000CA4D0000}"/>
    <cellStyle name="Num2 18" xfId="19908" xr:uid="{00000000-0005-0000-0000-0000CB4D0000}"/>
    <cellStyle name="Num2 19" xfId="19909" xr:uid="{00000000-0005-0000-0000-0000CC4D0000}"/>
    <cellStyle name="Num2 2" xfId="19910" xr:uid="{00000000-0005-0000-0000-0000CD4D0000}"/>
    <cellStyle name="Num2 20" xfId="19911" xr:uid="{00000000-0005-0000-0000-0000CE4D0000}"/>
    <cellStyle name="Num2 21" xfId="19912" xr:uid="{00000000-0005-0000-0000-0000CF4D0000}"/>
    <cellStyle name="Num2 21 2" xfId="19913" xr:uid="{00000000-0005-0000-0000-0000D04D0000}"/>
    <cellStyle name="Num2 3" xfId="19914" xr:uid="{00000000-0005-0000-0000-0000D14D0000}"/>
    <cellStyle name="Num2 4" xfId="19915" xr:uid="{00000000-0005-0000-0000-0000D24D0000}"/>
    <cellStyle name="Num2 5" xfId="19916" xr:uid="{00000000-0005-0000-0000-0000D34D0000}"/>
    <cellStyle name="Num2 6" xfId="19917" xr:uid="{00000000-0005-0000-0000-0000D44D0000}"/>
    <cellStyle name="Num2 7" xfId="19918" xr:uid="{00000000-0005-0000-0000-0000D54D0000}"/>
    <cellStyle name="Num2 8" xfId="19919" xr:uid="{00000000-0005-0000-0000-0000D64D0000}"/>
    <cellStyle name="Num2 9" xfId="19920" xr:uid="{00000000-0005-0000-0000-0000D74D0000}"/>
    <cellStyle name="Num2Un" xfId="19921" xr:uid="{00000000-0005-0000-0000-0000D84D0000}"/>
    <cellStyle name="Num2Un 10" xfId="19922" xr:uid="{00000000-0005-0000-0000-0000D94D0000}"/>
    <cellStyle name="Num2Un 11" xfId="19923" xr:uid="{00000000-0005-0000-0000-0000DA4D0000}"/>
    <cellStyle name="Num2Un 12" xfId="19924" xr:uid="{00000000-0005-0000-0000-0000DB4D0000}"/>
    <cellStyle name="Num2Un 13" xfId="19925" xr:uid="{00000000-0005-0000-0000-0000DC4D0000}"/>
    <cellStyle name="Num2Un 14" xfId="19926" xr:uid="{00000000-0005-0000-0000-0000DD4D0000}"/>
    <cellStyle name="Num2Un 15" xfId="19927" xr:uid="{00000000-0005-0000-0000-0000DE4D0000}"/>
    <cellStyle name="Num2Un 16" xfId="19928" xr:uid="{00000000-0005-0000-0000-0000DF4D0000}"/>
    <cellStyle name="Num2Un 17" xfId="19929" xr:uid="{00000000-0005-0000-0000-0000E04D0000}"/>
    <cellStyle name="Num2Un 18" xfId="19930" xr:uid="{00000000-0005-0000-0000-0000E14D0000}"/>
    <cellStyle name="Num2Un 19" xfId="19931" xr:uid="{00000000-0005-0000-0000-0000E24D0000}"/>
    <cellStyle name="Num2Un 2" xfId="19932" xr:uid="{00000000-0005-0000-0000-0000E34D0000}"/>
    <cellStyle name="Num2Un 20" xfId="19933" xr:uid="{00000000-0005-0000-0000-0000E44D0000}"/>
    <cellStyle name="Num2Un 21" xfId="19934" xr:uid="{00000000-0005-0000-0000-0000E54D0000}"/>
    <cellStyle name="Num2Un 21 2" xfId="19935" xr:uid="{00000000-0005-0000-0000-0000E64D0000}"/>
    <cellStyle name="Num2Un 3" xfId="19936" xr:uid="{00000000-0005-0000-0000-0000E74D0000}"/>
    <cellStyle name="Num2Un 4" xfId="19937" xr:uid="{00000000-0005-0000-0000-0000E84D0000}"/>
    <cellStyle name="Num2Un 5" xfId="19938" xr:uid="{00000000-0005-0000-0000-0000E94D0000}"/>
    <cellStyle name="Num2Un 6" xfId="19939" xr:uid="{00000000-0005-0000-0000-0000EA4D0000}"/>
    <cellStyle name="Num2Un 7" xfId="19940" xr:uid="{00000000-0005-0000-0000-0000EB4D0000}"/>
    <cellStyle name="Num2Un 8" xfId="19941" xr:uid="{00000000-0005-0000-0000-0000EC4D0000}"/>
    <cellStyle name="Num2Un 9" xfId="19942" xr:uid="{00000000-0005-0000-0000-0000ED4D0000}"/>
    <cellStyle name="Number" xfId="19943" xr:uid="{00000000-0005-0000-0000-0000EE4D0000}"/>
    <cellStyle name="Number 10" xfId="19944" xr:uid="{00000000-0005-0000-0000-0000EF4D0000}"/>
    <cellStyle name="Number 11" xfId="19945" xr:uid="{00000000-0005-0000-0000-0000F04D0000}"/>
    <cellStyle name="Number 12" xfId="19946" xr:uid="{00000000-0005-0000-0000-0000F14D0000}"/>
    <cellStyle name="Number 13" xfId="19947" xr:uid="{00000000-0005-0000-0000-0000F24D0000}"/>
    <cellStyle name="Number 14" xfId="19948" xr:uid="{00000000-0005-0000-0000-0000F34D0000}"/>
    <cellStyle name="Number 15" xfId="19949" xr:uid="{00000000-0005-0000-0000-0000F44D0000}"/>
    <cellStyle name="Number 16" xfId="19950" xr:uid="{00000000-0005-0000-0000-0000F54D0000}"/>
    <cellStyle name="Number 17" xfId="19951" xr:uid="{00000000-0005-0000-0000-0000F64D0000}"/>
    <cellStyle name="Number 18" xfId="19952" xr:uid="{00000000-0005-0000-0000-0000F74D0000}"/>
    <cellStyle name="Number 19" xfId="19953" xr:uid="{00000000-0005-0000-0000-0000F84D0000}"/>
    <cellStyle name="Number 2" xfId="19954" xr:uid="{00000000-0005-0000-0000-0000F94D0000}"/>
    <cellStyle name="Number 20" xfId="19955" xr:uid="{00000000-0005-0000-0000-0000FA4D0000}"/>
    <cellStyle name="Number 21" xfId="19956" xr:uid="{00000000-0005-0000-0000-0000FB4D0000}"/>
    <cellStyle name="Number 22" xfId="19957" xr:uid="{00000000-0005-0000-0000-0000FC4D0000}"/>
    <cellStyle name="number 23" xfId="19958" xr:uid="{00000000-0005-0000-0000-0000FD4D0000}"/>
    <cellStyle name="number 24" xfId="19959" xr:uid="{00000000-0005-0000-0000-0000FE4D0000}"/>
    <cellStyle name="Number 25" xfId="19960" xr:uid="{00000000-0005-0000-0000-0000FF4D0000}"/>
    <cellStyle name="Number 26" xfId="19961" xr:uid="{00000000-0005-0000-0000-0000004E0000}"/>
    <cellStyle name="Number 27" xfId="19962" xr:uid="{00000000-0005-0000-0000-0000014E0000}"/>
    <cellStyle name="Number 28" xfId="19963" xr:uid="{00000000-0005-0000-0000-0000024E0000}"/>
    <cellStyle name="Number 29" xfId="19964" xr:uid="{00000000-0005-0000-0000-0000034E0000}"/>
    <cellStyle name="Number 29 2" xfId="19965" xr:uid="{00000000-0005-0000-0000-0000044E0000}"/>
    <cellStyle name="number 3" xfId="19966" xr:uid="{00000000-0005-0000-0000-0000054E0000}"/>
    <cellStyle name="number 30" xfId="19967" xr:uid="{00000000-0005-0000-0000-0000064E0000}"/>
    <cellStyle name="number 31" xfId="19968" xr:uid="{00000000-0005-0000-0000-0000074E0000}"/>
    <cellStyle name="number 32" xfId="19969" xr:uid="{00000000-0005-0000-0000-0000084E0000}"/>
    <cellStyle name="number 33" xfId="19970" xr:uid="{00000000-0005-0000-0000-0000094E0000}"/>
    <cellStyle name="number 34" xfId="19971" xr:uid="{00000000-0005-0000-0000-00000A4E0000}"/>
    <cellStyle name="number 35" xfId="19972" xr:uid="{00000000-0005-0000-0000-00000B4E0000}"/>
    <cellStyle name="number 36" xfId="19973" xr:uid="{00000000-0005-0000-0000-00000C4E0000}"/>
    <cellStyle name="number 37" xfId="19974" xr:uid="{00000000-0005-0000-0000-00000D4E0000}"/>
    <cellStyle name="number 38" xfId="19975" xr:uid="{00000000-0005-0000-0000-00000E4E0000}"/>
    <cellStyle name="number 4" xfId="19976" xr:uid="{00000000-0005-0000-0000-00000F4E0000}"/>
    <cellStyle name="number 5" xfId="19977" xr:uid="{00000000-0005-0000-0000-0000104E0000}"/>
    <cellStyle name="number 6" xfId="19978" xr:uid="{00000000-0005-0000-0000-0000114E0000}"/>
    <cellStyle name="number 7" xfId="19979" xr:uid="{00000000-0005-0000-0000-0000124E0000}"/>
    <cellStyle name="number 8" xfId="19980" xr:uid="{00000000-0005-0000-0000-0000134E0000}"/>
    <cellStyle name="Number 9" xfId="19981" xr:uid="{00000000-0005-0000-0000-0000144E0000}"/>
    <cellStyle name="Number2DecimalStyle" xfId="19982" xr:uid="{00000000-0005-0000-0000-0000154E0000}"/>
    <cellStyle name="Number2DecimalStyle 10" xfId="19983" xr:uid="{00000000-0005-0000-0000-0000164E0000}"/>
    <cellStyle name="Number2DecimalStyle 11" xfId="19984" xr:uid="{00000000-0005-0000-0000-0000174E0000}"/>
    <cellStyle name="Number2DecimalStyle 12" xfId="19985" xr:uid="{00000000-0005-0000-0000-0000184E0000}"/>
    <cellStyle name="Number2DecimalStyle 13" xfId="19986" xr:uid="{00000000-0005-0000-0000-0000194E0000}"/>
    <cellStyle name="Number2DecimalStyle 14" xfId="19987" xr:uid="{00000000-0005-0000-0000-00001A4E0000}"/>
    <cellStyle name="Number2DecimalStyle 15" xfId="19988" xr:uid="{00000000-0005-0000-0000-00001B4E0000}"/>
    <cellStyle name="Number2DecimalStyle 16" xfId="19989" xr:uid="{00000000-0005-0000-0000-00001C4E0000}"/>
    <cellStyle name="Number2DecimalStyle 17" xfId="19990" xr:uid="{00000000-0005-0000-0000-00001D4E0000}"/>
    <cellStyle name="Number2DecimalStyle 18" xfId="19991" xr:uid="{00000000-0005-0000-0000-00001E4E0000}"/>
    <cellStyle name="Number2DecimalStyle 19" xfId="19992" xr:uid="{00000000-0005-0000-0000-00001F4E0000}"/>
    <cellStyle name="Number2DecimalStyle 2" xfId="19993" xr:uid="{00000000-0005-0000-0000-0000204E0000}"/>
    <cellStyle name="Number2DecimalStyle 20" xfId="19994" xr:uid="{00000000-0005-0000-0000-0000214E0000}"/>
    <cellStyle name="Number2DecimalStyle 21" xfId="19995" xr:uid="{00000000-0005-0000-0000-0000224E0000}"/>
    <cellStyle name="Number2DecimalStyle 3" xfId="19996" xr:uid="{00000000-0005-0000-0000-0000234E0000}"/>
    <cellStyle name="Number2DecimalStyle 4" xfId="19997" xr:uid="{00000000-0005-0000-0000-0000244E0000}"/>
    <cellStyle name="Number2DecimalStyle 5" xfId="19998" xr:uid="{00000000-0005-0000-0000-0000254E0000}"/>
    <cellStyle name="Number2DecimalStyle 6" xfId="19999" xr:uid="{00000000-0005-0000-0000-0000264E0000}"/>
    <cellStyle name="Number2DecimalStyle 7" xfId="20000" xr:uid="{00000000-0005-0000-0000-0000274E0000}"/>
    <cellStyle name="Number2DecimalStyle 8" xfId="20001" xr:uid="{00000000-0005-0000-0000-0000284E0000}"/>
    <cellStyle name="Number2DecimalStyle 9" xfId="20002" xr:uid="{00000000-0005-0000-0000-0000294E0000}"/>
    <cellStyle name="Number3DecimalStyle" xfId="20003" xr:uid="{00000000-0005-0000-0000-00002A4E0000}"/>
    <cellStyle name="Number3DecimalStyle 10" xfId="20004" xr:uid="{00000000-0005-0000-0000-00002B4E0000}"/>
    <cellStyle name="Number3DecimalStyle 11" xfId="20005" xr:uid="{00000000-0005-0000-0000-00002C4E0000}"/>
    <cellStyle name="Number3DecimalStyle 12" xfId="20006" xr:uid="{00000000-0005-0000-0000-00002D4E0000}"/>
    <cellStyle name="Number3DecimalStyle 13" xfId="20007" xr:uid="{00000000-0005-0000-0000-00002E4E0000}"/>
    <cellStyle name="Number3DecimalStyle 14" xfId="20008" xr:uid="{00000000-0005-0000-0000-00002F4E0000}"/>
    <cellStyle name="Number3DecimalStyle 15" xfId="20009" xr:uid="{00000000-0005-0000-0000-0000304E0000}"/>
    <cellStyle name="Number3DecimalStyle 16" xfId="20010" xr:uid="{00000000-0005-0000-0000-0000314E0000}"/>
    <cellStyle name="Number3DecimalStyle 17" xfId="20011" xr:uid="{00000000-0005-0000-0000-0000324E0000}"/>
    <cellStyle name="Number3DecimalStyle 18" xfId="20012" xr:uid="{00000000-0005-0000-0000-0000334E0000}"/>
    <cellStyle name="Number3DecimalStyle 19" xfId="20013" xr:uid="{00000000-0005-0000-0000-0000344E0000}"/>
    <cellStyle name="Number3DecimalStyle 2" xfId="20014" xr:uid="{00000000-0005-0000-0000-0000354E0000}"/>
    <cellStyle name="Number3DecimalStyle 20" xfId="20015" xr:uid="{00000000-0005-0000-0000-0000364E0000}"/>
    <cellStyle name="Number3DecimalStyle 21" xfId="20016" xr:uid="{00000000-0005-0000-0000-0000374E0000}"/>
    <cellStyle name="Number3DecimalStyle 3" xfId="20017" xr:uid="{00000000-0005-0000-0000-0000384E0000}"/>
    <cellStyle name="Number3DecimalStyle 4" xfId="20018" xr:uid="{00000000-0005-0000-0000-0000394E0000}"/>
    <cellStyle name="Number3DecimalStyle 5" xfId="20019" xr:uid="{00000000-0005-0000-0000-00003A4E0000}"/>
    <cellStyle name="Number3DecimalStyle 6" xfId="20020" xr:uid="{00000000-0005-0000-0000-00003B4E0000}"/>
    <cellStyle name="Number3DecimalStyle 7" xfId="20021" xr:uid="{00000000-0005-0000-0000-00003C4E0000}"/>
    <cellStyle name="Number3DecimalStyle 8" xfId="20022" xr:uid="{00000000-0005-0000-0000-00003D4E0000}"/>
    <cellStyle name="Number3DecimalStyle 9" xfId="20023" xr:uid="{00000000-0005-0000-0000-00003E4E0000}"/>
    <cellStyle name="Number4DecimalStyle" xfId="20024" xr:uid="{00000000-0005-0000-0000-00003F4E0000}"/>
    <cellStyle name="Number4DecimalStyle 10" xfId="20025" xr:uid="{00000000-0005-0000-0000-0000404E0000}"/>
    <cellStyle name="Number4DecimalStyle 11" xfId="20026" xr:uid="{00000000-0005-0000-0000-0000414E0000}"/>
    <cellStyle name="Number4DecimalStyle 12" xfId="20027" xr:uid="{00000000-0005-0000-0000-0000424E0000}"/>
    <cellStyle name="Number4DecimalStyle 13" xfId="20028" xr:uid="{00000000-0005-0000-0000-0000434E0000}"/>
    <cellStyle name="Number4DecimalStyle 14" xfId="20029" xr:uid="{00000000-0005-0000-0000-0000444E0000}"/>
    <cellStyle name="Number4DecimalStyle 15" xfId="20030" xr:uid="{00000000-0005-0000-0000-0000454E0000}"/>
    <cellStyle name="Number4DecimalStyle 16" xfId="20031" xr:uid="{00000000-0005-0000-0000-0000464E0000}"/>
    <cellStyle name="Number4DecimalStyle 17" xfId="20032" xr:uid="{00000000-0005-0000-0000-0000474E0000}"/>
    <cellStyle name="Number4DecimalStyle 18" xfId="20033" xr:uid="{00000000-0005-0000-0000-0000484E0000}"/>
    <cellStyle name="Number4DecimalStyle 19" xfId="20034" xr:uid="{00000000-0005-0000-0000-0000494E0000}"/>
    <cellStyle name="Number4DecimalStyle 2" xfId="20035" xr:uid="{00000000-0005-0000-0000-00004A4E0000}"/>
    <cellStyle name="Number4DecimalStyle 20" xfId="20036" xr:uid="{00000000-0005-0000-0000-00004B4E0000}"/>
    <cellStyle name="Number4DecimalStyle 21" xfId="20037" xr:uid="{00000000-0005-0000-0000-00004C4E0000}"/>
    <cellStyle name="Number4DecimalStyle 3" xfId="20038" xr:uid="{00000000-0005-0000-0000-00004D4E0000}"/>
    <cellStyle name="Number4DecimalStyle 4" xfId="20039" xr:uid="{00000000-0005-0000-0000-00004E4E0000}"/>
    <cellStyle name="Number4DecimalStyle 5" xfId="20040" xr:uid="{00000000-0005-0000-0000-00004F4E0000}"/>
    <cellStyle name="Number4DecimalStyle 6" xfId="20041" xr:uid="{00000000-0005-0000-0000-0000504E0000}"/>
    <cellStyle name="Number4DecimalStyle 7" xfId="20042" xr:uid="{00000000-0005-0000-0000-0000514E0000}"/>
    <cellStyle name="Number4DecimalStyle 8" xfId="20043" xr:uid="{00000000-0005-0000-0000-0000524E0000}"/>
    <cellStyle name="Number4DecimalStyle 9" xfId="20044" xr:uid="{00000000-0005-0000-0000-0000534E0000}"/>
    <cellStyle name="Number5DecimalStyle" xfId="20045" xr:uid="{00000000-0005-0000-0000-0000544E0000}"/>
    <cellStyle name="Number5DecimalStyle 10" xfId="20046" xr:uid="{00000000-0005-0000-0000-0000554E0000}"/>
    <cellStyle name="Number5DecimalStyle 11" xfId="20047" xr:uid="{00000000-0005-0000-0000-0000564E0000}"/>
    <cellStyle name="Number5DecimalStyle 12" xfId="20048" xr:uid="{00000000-0005-0000-0000-0000574E0000}"/>
    <cellStyle name="Number5DecimalStyle 13" xfId="20049" xr:uid="{00000000-0005-0000-0000-0000584E0000}"/>
    <cellStyle name="Number5DecimalStyle 14" xfId="20050" xr:uid="{00000000-0005-0000-0000-0000594E0000}"/>
    <cellStyle name="Number5DecimalStyle 15" xfId="20051" xr:uid="{00000000-0005-0000-0000-00005A4E0000}"/>
    <cellStyle name="Number5DecimalStyle 16" xfId="20052" xr:uid="{00000000-0005-0000-0000-00005B4E0000}"/>
    <cellStyle name="Number5DecimalStyle 17" xfId="20053" xr:uid="{00000000-0005-0000-0000-00005C4E0000}"/>
    <cellStyle name="Number5DecimalStyle 18" xfId="20054" xr:uid="{00000000-0005-0000-0000-00005D4E0000}"/>
    <cellStyle name="Number5DecimalStyle 19" xfId="20055" xr:uid="{00000000-0005-0000-0000-00005E4E0000}"/>
    <cellStyle name="Number5DecimalStyle 2" xfId="20056" xr:uid="{00000000-0005-0000-0000-00005F4E0000}"/>
    <cellStyle name="Number5DecimalStyle 20" xfId="20057" xr:uid="{00000000-0005-0000-0000-0000604E0000}"/>
    <cellStyle name="Number5DecimalStyle 21" xfId="20058" xr:uid="{00000000-0005-0000-0000-0000614E0000}"/>
    <cellStyle name="Number5DecimalStyle 3" xfId="20059" xr:uid="{00000000-0005-0000-0000-0000624E0000}"/>
    <cellStyle name="Number5DecimalStyle 4" xfId="20060" xr:uid="{00000000-0005-0000-0000-0000634E0000}"/>
    <cellStyle name="Number5DecimalStyle 5" xfId="20061" xr:uid="{00000000-0005-0000-0000-0000644E0000}"/>
    <cellStyle name="Number5DecimalStyle 6" xfId="20062" xr:uid="{00000000-0005-0000-0000-0000654E0000}"/>
    <cellStyle name="Number5DecimalStyle 7" xfId="20063" xr:uid="{00000000-0005-0000-0000-0000664E0000}"/>
    <cellStyle name="Number5DecimalStyle 8" xfId="20064" xr:uid="{00000000-0005-0000-0000-0000674E0000}"/>
    <cellStyle name="Number5DecimalStyle 9" xfId="20065" xr:uid="{00000000-0005-0000-0000-0000684E0000}"/>
    <cellStyle name="Number6DecimalStyle" xfId="20066" xr:uid="{00000000-0005-0000-0000-0000694E0000}"/>
    <cellStyle name="Number6DecimalStyle 10" xfId="20067" xr:uid="{00000000-0005-0000-0000-00006A4E0000}"/>
    <cellStyle name="Number6DecimalStyle 11" xfId="20068" xr:uid="{00000000-0005-0000-0000-00006B4E0000}"/>
    <cellStyle name="Number6DecimalStyle 12" xfId="20069" xr:uid="{00000000-0005-0000-0000-00006C4E0000}"/>
    <cellStyle name="Number6DecimalStyle 13" xfId="20070" xr:uid="{00000000-0005-0000-0000-00006D4E0000}"/>
    <cellStyle name="Number6DecimalStyle 14" xfId="20071" xr:uid="{00000000-0005-0000-0000-00006E4E0000}"/>
    <cellStyle name="Number6DecimalStyle 15" xfId="20072" xr:uid="{00000000-0005-0000-0000-00006F4E0000}"/>
    <cellStyle name="Number6DecimalStyle 16" xfId="20073" xr:uid="{00000000-0005-0000-0000-0000704E0000}"/>
    <cellStyle name="Number6DecimalStyle 17" xfId="20074" xr:uid="{00000000-0005-0000-0000-0000714E0000}"/>
    <cellStyle name="Number6DecimalStyle 18" xfId="20075" xr:uid="{00000000-0005-0000-0000-0000724E0000}"/>
    <cellStyle name="Number6DecimalStyle 19" xfId="20076" xr:uid="{00000000-0005-0000-0000-0000734E0000}"/>
    <cellStyle name="Number6DecimalStyle 2" xfId="20077" xr:uid="{00000000-0005-0000-0000-0000744E0000}"/>
    <cellStyle name="Number6DecimalStyle 20" xfId="20078" xr:uid="{00000000-0005-0000-0000-0000754E0000}"/>
    <cellStyle name="Number6DecimalStyle 21" xfId="20079" xr:uid="{00000000-0005-0000-0000-0000764E0000}"/>
    <cellStyle name="Number6DecimalStyle 3" xfId="20080" xr:uid="{00000000-0005-0000-0000-0000774E0000}"/>
    <cellStyle name="Number6DecimalStyle 4" xfId="20081" xr:uid="{00000000-0005-0000-0000-0000784E0000}"/>
    <cellStyle name="Number6DecimalStyle 5" xfId="20082" xr:uid="{00000000-0005-0000-0000-0000794E0000}"/>
    <cellStyle name="Number6DecimalStyle 6" xfId="20083" xr:uid="{00000000-0005-0000-0000-00007A4E0000}"/>
    <cellStyle name="Number6DecimalStyle 7" xfId="20084" xr:uid="{00000000-0005-0000-0000-00007B4E0000}"/>
    <cellStyle name="Number6DecimalStyle 8" xfId="20085" xr:uid="{00000000-0005-0000-0000-00007C4E0000}"/>
    <cellStyle name="Number6DecimalStyle 9" xfId="20086" xr:uid="{00000000-0005-0000-0000-00007D4E0000}"/>
    <cellStyle name="NumberFormat" xfId="20087" xr:uid="{00000000-0005-0000-0000-00007E4E0000}"/>
    <cellStyle name="NumberFormat 10" xfId="20088" xr:uid="{00000000-0005-0000-0000-00007F4E0000}"/>
    <cellStyle name="NumberFormat 11" xfId="20089" xr:uid="{00000000-0005-0000-0000-0000804E0000}"/>
    <cellStyle name="NumberFormat 12" xfId="20090" xr:uid="{00000000-0005-0000-0000-0000814E0000}"/>
    <cellStyle name="NumberFormat 13" xfId="20091" xr:uid="{00000000-0005-0000-0000-0000824E0000}"/>
    <cellStyle name="NumberFormat 14" xfId="20092" xr:uid="{00000000-0005-0000-0000-0000834E0000}"/>
    <cellStyle name="NumberFormat 15" xfId="20093" xr:uid="{00000000-0005-0000-0000-0000844E0000}"/>
    <cellStyle name="NumberFormat 16" xfId="20094" xr:uid="{00000000-0005-0000-0000-0000854E0000}"/>
    <cellStyle name="NumberFormat 17" xfId="20095" xr:uid="{00000000-0005-0000-0000-0000864E0000}"/>
    <cellStyle name="NumberFormat 18" xfId="20096" xr:uid="{00000000-0005-0000-0000-0000874E0000}"/>
    <cellStyle name="NumberFormat 19" xfId="20097" xr:uid="{00000000-0005-0000-0000-0000884E0000}"/>
    <cellStyle name="NumberFormat 2" xfId="20098" xr:uid="{00000000-0005-0000-0000-0000894E0000}"/>
    <cellStyle name="NumberFormat 20" xfId="20099" xr:uid="{00000000-0005-0000-0000-00008A4E0000}"/>
    <cellStyle name="NumberFormat 21" xfId="20100" xr:uid="{00000000-0005-0000-0000-00008B4E0000}"/>
    <cellStyle name="NumberFormat 3" xfId="20101" xr:uid="{00000000-0005-0000-0000-00008C4E0000}"/>
    <cellStyle name="NumberFormat 4" xfId="20102" xr:uid="{00000000-0005-0000-0000-00008D4E0000}"/>
    <cellStyle name="NumberFormat 5" xfId="20103" xr:uid="{00000000-0005-0000-0000-00008E4E0000}"/>
    <cellStyle name="NumberFormat 6" xfId="20104" xr:uid="{00000000-0005-0000-0000-00008F4E0000}"/>
    <cellStyle name="NumberFormat 7" xfId="20105" xr:uid="{00000000-0005-0000-0000-0000904E0000}"/>
    <cellStyle name="NumberFormat 8" xfId="20106" xr:uid="{00000000-0005-0000-0000-0000914E0000}"/>
    <cellStyle name="NumberFormat 9" xfId="20107" xr:uid="{00000000-0005-0000-0000-0000924E0000}"/>
    <cellStyle name="Numbers" xfId="20108" xr:uid="{00000000-0005-0000-0000-0000934E0000}"/>
    <cellStyle name="Numbers - Bold" xfId="20109" xr:uid="{00000000-0005-0000-0000-0000944E0000}"/>
    <cellStyle name="Numbers - Bold 10" xfId="20110" xr:uid="{00000000-0005-0000-0000-0000954E0000}"/>
    <cellStyle name="Numbers - Bold 11" xfId="20111" xr:uid="{00000000-0005-0000-0000-0000964E0000}"/>
    <cellStyle name="Numbers - Bold 12" xfId="20112" xr:uid="{00000000-0005-0000-0000-0000974E0000}"/>
    <cellStyle name="Numbers - Bold 13" xfId="20113" xr:uid="{00000000-0005-0000-0000-0000984E0000}"/>
    <cellStyle name="Numbers - Bold 14" xfId="20114" xr:uid="{00000000-0005-0000-0000-0000994E0000}"/>
    <cellStyle name="Numbers - Bold 15" xfId="20115" xr:uid="{00000000-0005-0000-0000-00009A4E0000}"/>
    <cellStyle name="Numbers - Bold 16" xfId="20116" xr:uid="{00000000-0005-0000-0000-00009B4E0000}"/>
    <cellStyle name="Numbers - Bold 17" xfId="20117" xr:uid="{00000000-0005-0000-0000-00009C4E0000}"/>
    <cellStyle name="Numbers - Bold 18" xfId="20118" xr:uid="{00000000-0005-0000-0000-00009D4E0000}"/>
    <cellStyle name="Numbers - Bold 19" xfId="20119" xr:uid="{00000000-0005-0000-0000-00009E4E0000}"/>
    <cellStyle name="Numbers - Bold 2" xfId="20120" xr:uid="{00000000-0005-0000-0000-00009F4E0000}"/>
    <cellStyle name="Numbers - Bold 20" xfId="20121" xr:uid="{00000000-0005-0000-0000-0000A04E0000}"/>
    <cellStyle name="Numbers - Bold 21" xfId="20122" xr:uid="{00000000-0005-0000-0000-0000A14E0000}"/>
    <cellStyle name="Numbers - Bold 22" xfId="20123" xr:uid="{00000000-0005-0000-0000-0000A24E0000}"/>
    <cellStyle name="Numbers - Bold 23" xfId="20124" xr:uid="{00000000-0005-0000-0000-0000A34E0000}"/>
    <cellStyle name="Numbers - Bold 23 2" xfId="20125" xr:uid="{00000000-0005-0000-0000-0000A44E0000}"/>
    <cellStyle name="Numbers - Bold 24" xfId="20126" xr:uid="{00000000-0005-0000-0000-0000A54E0000}"/>
    <cellStyle name="Numbers - Bold 24 2" xfId="20127" xr:uid="{00000000-0005-0000-0000-0000A64E0000}"/>
    <cellStyle name="Numbers - Bold 25" xfId="20128" xr:uid="{00000000-0005-0000-0000-0000A74E0000}"/>
    <cellStyle name="Numbers - Bold 26" xfId="20129" xr:uid="{00000000-0005-0000-0000-0000A84E0000}"/>
    <cellStyle name="Numbers - Bold 27" xfId="20130" xr:uid="{00000000-0005-0000-0000-0000A94E0000}"/>
    <cellStyle name="Numbers - Bold 28" xfId="20131" xr:uid="{00000000-0005-0000-0000-0000AA4E0000}"/>
    <cellStyle name="Numbers - Bold 29" xfId="20132" xr:uid="{00000000-0005-0000-0000-0000AB4E0000}"/>
    <cellStyle name="Numbers - Bold 29 2" xfId="20133" xr:uid="{00000000-0005-0000-0000-0000AC4E0000}"/>
    <cellStyle name="Numbers - Bold 3" xfId="20134" xr:uid="{00000000-0005-0000-0000-0000AD4E0000}"/>
    <cellStyle name="Numbers - Bold 3 2" xfId="20135" xr:uid="{00000000-0005-0000-0000-0000AE4E0000}"/>
    <cellStyle name="Numbers - Bold 30" xfId="20136" xr:uid="{00000000-0005-0000-0000-0000AF4E0000}"/>
    <cellStyle name="Numbers - Bold 31" xfId="20137" xr:uid="{00000000-0005-0000-0000-0000B04E0000}"/>
    <cellStyle name="Numbers - Bold 32" xfId="20138" xr:uid="{00000000-0005-0000-0000-0000B14E0000}"/>
    <cellStyle name="Numbers - Bold 33" xfId="20139" xr:uid="{00000000-0005-0000-0000-0000B24E0000}"/>
    <cellStyle name="Numbers - Bold 34" xfId="20140" xr:uid="{00000000-0005-0000-0000-0000B34E0000}"/>
    <cellStyle name="Numbers - Bold 35" xfId="20141" xr:uid="{00000000-0005-0000-0000-0000B44E0000}"/>
    <cellStyle name="Numbers - Bold 36" xfId="20142" xr:uid="{00000000-0005-0000-0000-0000B54E0000}"/>
    <cellStyle name="Numbers - Bold 37" xfId="20143" xr:uid="{00000000-0005-0000-0000-0000B64E0000}"/>
    <cellStyle name="Numbers - Bold 38" xfId="20144" xr:uid="{00000000-0005-0000-0000-0000B74E0000}"/>
    <cellStyle name="Numbers - Bold 4" xfId="20145" xr:uid="{00000000-0005-0000-0000-0000B84E0000}"/>
    <cellStyle name="Numbers - Bold 4 2" xfId="20146" xr:uid="{00000000-0005-0000-0000-0000B94E0000}"/>
    <cellStyle name="Numbers - Bold 5" xfId="20147" xr:uid="{00000000-0005-0000-0000-0000BA4E0000}"/>
    <cellStyle name="Numbers - Bold 5 2" xfId="20148" xr:uid="{00000000-0005-0000-0000-0000BB4E0000}"/>
    <cellStyle name="Numbers - Bold 6" xfId="20149" xr:uid="{00000000-0005-0000-0000-0000BC4E0000}"/>
    <cellStyle name="Numbers - Bold 6 2" xfId="20150" xr:uid="{00000000-0005-0000-0000-0000BD4E0000}"/>
    <cellStyle name="Numbers - Bold 7" xfId="20151" xr:uid="{00000000-0005-0000-0000-0000BE4E0000}"/>
    <cellStyle name="Numbers - Bold 7 2" xfId="20152" xr:uid="{00000000-0005-0000-0000-0000BF4E0000}"/>
    <cellStyle name="Numbers - Bold 8" xfId="20153" xr:uid="{00000000-0005-0000-0000-0000C04E0000}"/>
    <cellStyle name="Numbers - Bold 8 2" xfId="20154" xr:uid="{00000000-0005-0000-0000-0000C14E0000}"/>
    <cellStyle name="Numbers - Bold 9" xfId="20155" xr:uid="{00000000-0005-0000-0000-0000C24E0000}"/>
    <cellStyle name="Numbers 10" xfId="20156" xr:uid="{00000000-0005-0000-0000-0000C34E0000}"/>
    <cellStyle name="Numbers 11" xfId="20157" xr:uid="{00000000-0005-0000-0000-0000C44E0000}"/>
    <cellStyle name="Numbers 12" xfId="20158" xr:uid="{00000000-0005-0000-0000-0000C54E0000}"/>
    <cellStyle name="Numbers 13" xfId="20159" xr:uid="{00000000-0005-0000-0000-0000C64E0000}"/>
    <cellStyle name="Numbers 14" xfId="20160" xr:uid="{00000000-0005-0000-0000-0000C74E0000}"/>
    <cellStyle name="Numbers 15" xfId="20161" xr:uid="{00000000-0005-0000-0000-0000C84E0000}"/>
    <cellStyle name="Numbers 16" xfId="20162" xr:uid="{00000000-0005-0000-0000-0000C94E0000}"/>
    <cellStyle name="Numbers 17" xfId="20163" xr:uid="{00000000-0005-0000-0000-0000CA4E0000}"/>
    <cellStyle name="Numbers 18" xfId="20164" xr:uid="{00000000-0005-0000-0000-0000CB4E0000}"/>
    <cellStyle name="Numbers 19" xfId="20165" xr:uid="{00000000-0005-0000-0000-0000CC4E0000}"/>
    <cellStyle name="Numbers 2" xfId="20166" xr:uid="{00000000-0005-0000-0000-0000CD4E0000}"/>
    <cellStyle name="Numbers 20" xfId="20167" xr:uid="{00000000-0005-0000-0000-0000CE4E0000}"/>
    <cellStyle name="Numbers 21" xfId="20168" xr:uid="{00000000-0005-0000-0000-0000CF4E0000}"/>
    <cellStyle name="Numbers 22" xfId="20169" xr:uid="{00000000-0005-0000-0000-0000D04E0000}"/>
    <cellStyle name="Numbers 23" xfId="20170" xr:uid="{00000000-0005-0000-0000-0000D14E0000}"/>
    <cellStyle name="Numbers 24" xfId="20171" xr:uid="{00000000-0005-0000-0000-0000D24E0000}"/>
    <cellStyle name="Numbers 25" xfId="20172" xr:uid="{00000000-0005-0000-0000-0000D34E0000}"/>
    <cellStyle name="Numbers 26" xfId="20173" xr:uid="{00000000-0005-0000-0000-0000D44E0000}"/>
    <cellStyle name="Numbers 27" xfId="20174" xr:uid="{00000000-0005-0000-0000-0000D54E0000}"/>
    <cellStyle name="Numbers 28" xfId="20175" xr:uid="{00000000-0005-0000-0000-0000D64E0000}"/>
    <cellStyle name="Numbers 29" xfId="20176" xr:uid="{00000000-0005-0000-0000-0000D74E0000}"/>
    <cellStyle name="Numbers 29 2" xfId="20177" xr:uid="{00000000-0005-0000-0000-0000D84E0000}"/>
    <cellStyle name="Numbers 3" xfId="20178" xr:uid="{00000000-0005-0000-0000-0000D94E0000}"/>
    <cellStyle name="Numbers 30" xfId="20179" xr:uid="{00000000-0005-0000-0000-0000DA4E0000}"/>
    <cellStyle name="Numbers 31" xfId="20180" xr:uid="{00000000-0005-0000-0000-0000DB4E0000}"/>
    <cellStyle name="Numbers 32" xfId="20181" xr:uid="{00000000-0005-0000-0000-0000DC4E0000}"/>
    <cellStyle name="Numbers 33" xfId="20182" xr:uid="{00000000-0005-0000-0000-0000DD4E0000}"/>
    <cellStyle name="Numbers 34" xfId="20183" xr:uid="{00000000-0005-0000-0000-0000DE4E0000}"/>
    <cellStyle name="Numbers 35" xfId="20184" xr:uid="{00000000-0005-0000-0000-0000DF4E0000}"/>
    <cellStyle name="Numbers 36" xfId="20185" xr:uid="{00000000-0005-0000-0000-0000E04E0000}"/>
    <cellStyle name="Numbers 37" xfId="20186" xr:uid="{00000000-0005-0000-0000-0000E14E0000}"/>
    <cellStyle name="Numbers 38" xfId="20187" xr:uid="{00000000-0005-0000-0000-0000E24E0000}"/>
    <cellStyle name="Numbers 4" xfId="20188" xr:uid="{00000000-0005-0000-0000-0000E34E0000}"/>
    <cellStyle name="Numbers 5" xfId="20189" xr:uid="{00000000-0005-0000-0000-0000E44E0000}"/>
    <cellStyle name="Numbers 6" xfId="20190" xr:uid="{00000000-0005-0000-0000-0000E54E0000}"/>
    <cellStyle name="Numbers 7" xfId="20191" xr:uid="{00000000-0005-0000-0000-0000E64E0000}"/>
    <cellStyle name="Numbers 8" xfId="20192" xr:uid="{00000000-0005-0000-0000-0000E74E0000}"/>
    <cellStyle name="Numbers 9" xfId="20193" xr:uid="{00000000-0005-0000-0000-0000E84E0000}"/>
    <cellStyle name="Numbers_{6} Carry" xfId="20194" xr:uid="{00000000-0005-0000-0000-0000E94E0000}"/>
    <cellStyle name="Œ…‹æØ‚è [0.00]_1997 Cal. Plan" xfId="20195" xr:uid="{00000000-0005-0000-0000-0000EA4E0000}"/>
    <cellStyle name="Œ…‹æØ‚è_GE 3 MINIMUM" xfId="20196" xr:uid="{00000000-0005-0000-0000-0000EB4E0000}"/>
    <cellStyle name="outh America" xfId="20197" xr:uid="{00000000-0005-0000-0000-0000EC4E0000}"/>
    <cellStyle name="outh America 10" xfId="20198" xr:uid="{00000000-0005-0000-0000-0000ED4E0000}"/>
    <cellStyle name="outh America 11" xfId="20199" xr:uid="{00000000-0005-0000-0000-0000EE4E0000}"/>
    <cellStyle name="outh America 12" xfId="20200" xr:uid="{00000000-0005-0000-0000-0000EF4E0000}"/>
    <cellStyle name="outh America 13" xfId="20201" xr:uid="{00000000-0005-0000-0000-0000F04E0000}"/>
    <cellStyle name="outh America 14" xfId="20202" xr:uid="{00000000-0005-0000-0000-0000F14E0000}"/>
    <cellStyle name="outh America 15" xfId="20203" xr:uid="{00000000-0005-0000-0000-0000F24E0000}"/>
    <cellStyle name="outh America 16" xfId="20204" xr:uid="{00000000-0005-0000-0000-0000F34E0000}"/>
    <cellStyle name="outh America 17" xfId="20205" xr:uid="{00000000-0005-0000-0000-0000F44E0000}"/>
    <cellStyle name="outh America 18" xfId="20206" xr:uid="{00000000-0005-0000-0000-0000F54E0000}"/>
    <cellStyle name="outh America 19" xfId="20207" xr:uid="{00000000-0005-0000-0000-0000F64E0000}"/>
    <cellStyle name="outh America 2" xfId="20208" xr:uid="{00000000-0005-0000-0000-0000F74E0000}"/>
    <cellStyle name="outh America 20" xfId="20209" xr:uid="{00000000-0005-0000-0000-0000F84E0000}"/>
    <cellStyle name="outh America 21" xfId="20210" xr:uid="{00000000-0005-0000-0000-0000F94E0000}"/>
    <cellStyle name="outh America 21 2" xfId="20211" xr:uid="{00000000-0005-0000-0000-0000FA4E0000}"/>
    <cellStyle name="outh America 3" xfId="20212" xr:uid="{00000000-0005-0000-0000-0000FB4E0000}"/>
    <cellStyle name="outh America 4" xfId="20213" xr:uid="{00000000-0005-0000-0000-0000FC4E0000}"/>
    <cellStyle name="outh America 5" xfId="20214" xr:uid="{00000000-0005-0000-0000-0000FD4E0000}"/>
    <cellStyle name="outh America 6" xfId="20215" xr:uid="{00000000-0005-0000-0000-0000FE4E0000}"/>
    <cellStyle name="outh America 7" xfId="20216" xr:uid="{00000000-0005-0000-0000-0000FF4E0000}"/>
    <cellStyle name="outh America 8" xfId="20217" xr:uid="{00000000-0005-0000-0000-0000004F0000}"/>
    <cellStyle name="outh America 9" xfId="20218" xr:uid="{00000000-0005-0000-0000-0000014F0000}"/>
    <cellStyle name="Output" xfId="35698" builtinId="21" customBuiltin="1"/>
    <cellStyle name="Output 10" xfId="20219" xr:uid="{00000000-0005-0000-0000-0000024F0000}"/>
    <cellStyle name="Output 11" xfId="20220" xr:uid="{00000000-0005-0000-0000-0000034F0000}"/>
    <cellStyle name="Output 12" xfId="20221" xr:uid="{00000000-0005-0000-0000-0000044F0000}"/>
    <cellStyle name="Output 13" xfId="20222" xr:uid="{00000000-0005-0000-0000-0000054F0000}"/>
    <cellStyle name="Output 14" xfId="20223" xr:uid="{00000000-0005-0000-0000-0000064F0000}"/>
    <cellStyle name="Output 15" xfId="20224" xr:uid="{00000000-0005-0000-0000-0000074F0000}"/>
    <cellStyle name="Output 16" xfId="20225" xr:uid="{00000000-0005-0000-0000-0000084F0000}"/>
    <cellStyle name="Output 17" xfId="20226" xr:uid="{00000000-0005-0000-0000-0000094F0000}"/>
    <cellStyle name="Output 18" xfId="20227" xr:uid="{00000000-0005-0000-0000-00000A4F0000}"/>
    <cellStyle name="Output 19" xfId="20228" xr:uid="{00000000-0005-0000-0000-00000B4F0000}"/>
    <cellStyle name="Output 2" xfId="20229" xr:uid="{00000000-0005-0000-0000-00000C4F0000}"/>
    <cellStyle name="Output 2 2" xfId="20230" xr:uid="{00000000-0005-0000-0000-00000D4F0000}"/>
    <cellStyle name="Output 20" xfId="20231" xr:uid="{00000000-0005-0000-0000-00000E4F0000}"/>
    <cellStyle name="Output 21" xfId="20232" xr:uid="{00000000-0005-0000-0000-00000F4F0000}"/>
    <cellStyle name="Output 22" xfId="20233" xr:uid="{00000000-0005-0000-0000-0000104F0000}"/>
    <cellStyle name="Output 23" xfId="20234" xr:uid="{00000000-0005-0000-0000-0000114F0000}"/>
    <cellStyle name="Output 23 2" xfId="20235" xr:uid="{00000000-0005-0000-0000-0000124F0000}"/>
    <cellStyle name="Output 24" xfId="20236" xr:uid="{00000000-0005-0000-0000-0000134F0000}"/>
    <cellStyle name="Output 24 2" xfId="20237" xr:uid="{00000000-0005-0000-0000-0000144F0000}"/>
    <cellStyle name="Output 25" xfId="20238" xr:uid="{00000000-0005-0000-0000-0000154F0000}"/>
    <cellStyle name="Output 26" xfId="20239" xr:uid="{00000000-0005-0000-0000-0000164F0000}"/>
    <cellStyle name="Output 27" xfId="20240" xr:uid="{00000000-0005-0000-0000-0000174F0000}"/>
    <cellStyle name="Output 28" xfId="20241" xr:uid="{00000000-0005-0000-0000-0000184F0000}"/>
    <cellStyle name="Output 29" xfId="20242" xr:uid="{00000000-0005-0000-0000-0000194F0000}"/>
    <cellStyle name="Output 29 2" xfId="20243" xr:uid="{00000000-0005-0000-0000-00001A4F0000}"/>
    <cellStyle name="Output 3" xfId="20244" xr:uid="{00000000-0005-0000-0000-00001B4F0000}"/>
    <cellStyle name="Output 3 2" xfId="20245" xr:uid="{00000000-0005-0000-0000-00001C4F0000}"/>
    <cellStyle name="Output 30" xfId="20246" xr:uid="{00000000-0005-0000-0000-00001D4F0000}"/>
    <cellStyle name="Output 31" xfId="20247" xr:uid="{00000000-0005-0000-0000-00001E4F0000}"/>
    <cellStyle name="Output 32" xfId="20248" xr:uid="{00000000-0005-0000-0000-00001F4F0000}"/>
    <cellStyle name="Output 33" xfId="20249" xr:uid="{00000000-0005-0000-0000-0000204F0000}"/>
    <cellStyle name="Output 34" xfId="20250" xr:uid="{00000000-0005-0000-0000-0000214F0000}"/>
    <cellStyle name="Output 35" xfId="20251" xr:uid="{00000000-0005-0000-0000-0000224F0000}"/>
    <cellStyle name="Output 36" xfId="20252" xr:uid="{00000000-0005-0000-0000-0000234F0000}"/>
    <cellStyle name="Output 37" xfId="20253" xr:uid="{00000000-0005-0000-0000-0000244F0000}"/>
    <cellStyle name="Output 38" xfId="20254" xr:uid="{00000000-0005-0000-0000-0000254F0000}"/>
    <cellStyle name="Output 4" xfId="20255" xr:uid="{00000000-0005-0000-0000-0000264F0000}"/>
    <cellStyle name="Output 4 2" xfId="20256" xr:uid="{00000000-0005-0000-0000-0000274F0000}"/>
    <cellStyle name="Output 5" xfId="20257" xr:uid="{00000000-0005-0000-0000-0000284F0000}"/>
    <cellStyle name="Output 5 2" xfId="20258" xr:uid="{00000000-0005-0000-0000-0000294F0000}"/>
    <cellStyle name="Output 6" xfId="20259" xr:uid="{00000000-0005-0000-0000-00002A4F0000}"/>
    <cellStyle name="Output 6 2" xfId="20260" xr:uid="{00000000-0005-0000-0000-00002B4F0000}"/>
    <cellStyle name="Output 7" xfId="20261" xr:uid="{00000000-0005-0000-0000-00002C4F0000}"/>
    <cellStyle name="Output 7 2" xfId="20262" xr:uid="{00000000-0005-0000-0000-00002D4F0000}"/>
    <cellStyle name="Output 8" xfId="20263" xr:uid="{00000000-0005-0000-0000-00002E4F0000}"/>
    <cellStyle name="Output 8 2" xfId="20264" xr:uid="{00000000-0005-0000-0000-00002F4F0000}"/>
    <cellStyle name="Output 9" xfId="20265" xr:uid="{00000000-0005-0000-0000-0000304F0000}"/>
    <cellStyle name="Output Amounts" xfId="20266" xr:uid="{00000000-0005-0000-0000-0000314F0000}"/>
    <cellStyle name="Output Amounts 10" xfId="20267" xr:uid="{00000000-0005-0000-0000-0000324F0000}"/>
    <cellStyle name="Output Amounts 11" xfId="20268" xr:uid="{00000000-0005-0000-0000-0000334F0000}"/>
    <cellStyle name="Output Amounts 12" xfId="20269" xr:uid="{00000000-0005-0000-0000-0000344F0000}"/>
    <cellStyle name="Output Amounts 13" xfId="20270" xr:uid="{00000000-0005-0000-0000-0000354F0000}"/>
    <cellStyle name="Output Amounts 14" xfId="20271" xr:uid="{00000000-0005-0000-0000-0000364F0000}"/>
    <cellStyle name="Output Amounts 15" xfId="20272" xr:uid="{00000000-0005-0000-0000-0000374F0000}"/>
    <cellStyle name="Output Amounts 16" xfId="20273" xr:uid="{00000000-0005-0000-0000-0000384F0000}"/>
    <cellStyle name="Output Amounts 17" xfId="20274" xr:uid="{00000000-0005-0000-0000-0000394F0000}"/>
    <cellStyle name="Output Amounts 18" xfId="20275" xr:uid="{00000000-0005-0000-0000-00003A4F0000}"/>
    <cellStyle name="Output Amounts 19" xfId="20276" xr:uid="{00000000-0005-0000-0000-00003B4F0000}"/>
    <cellStyle name="Output Amounts 2" xfId="20277" xr:uid="{00000000-0005-0000-0000-00003C4F0000}"/>
    <cellStyle name="Output Amounts 20" xfId="20278" xr:uid="{00000000-0005-0000-0000-00003D4F0000}"/>
    <cellStyle name="Output Amounts 21" xfId="20279" xr:uid="{00000000-0005-0000-0000-00003E4F0000}"/>
    <cellStyle name="Output Amounts 21 2" xfId="20280" xr:uid="{00000000-0005-0000-0000-00003F4F0000}"/>
    <cellStyle name="Output Amounts 3" xfId="20281" xr:uid="{00000000-0005-0000-0000-0000404F0000}"/>
    <cellStyle name="Output Amounts 4" xfId="20282" xr:uid="{00000000-0005-0000-0000-0000414F0000}"/>
    <cellStyle name="Output Amounts 5" xfId="20283" xr:uid="{00000000-0005-0000-0000-0000424F0000}"/>
    <cellStyle name="Output Amounts 6" xfId="20284" xr:uid="{00000000-0005-0000-0000-0000434F0000}"/>
    <cellStyle name="Output Amounts 7" xfId="20285" xr:uid="{00000000-0005-0000-0000-0000444F0000}"/>
    <cellStyle name="Output Amounts 8" xfId="20286" xr:uid="{00000000-0005-0000-0000-0000454F0000}"/>
    <cellStyle name="Output Amounts 9" xfId="20287" xr:uid="{00000000-0005-0000-0000-0000464F0000}"/>
    <cellStyle name="Output Column Headings" xfId="20288" xr:uid="{00000000-0005-0000-0000-0000474F0000}"/>
    <cellStyle name="Output Column Headings 10" xfId="20289" xr:uid="{00000000-0005-0000-0000-0000484F0000}"/>
    <cellStyle name="Output Column Headings 11" xfId="20290" xr:uid="{00000000-0005-0000-0000-0000494F0000}"/>
    <cellStyle name="Output Column Headings 12" xfId="20291" xr:uid="{00000000-0005-0000-0000-00004A4F0000}"/>
    <cellStyle name="Output Column Headings 13" xfId="20292" xr:uid="{00000000-0005-0000-0000-00004B4F0000}"/>
    <cellStyle name="Output Column Headings 14" xfId="20293" xr:uid="{00000000-0005-0000-0000-00004C4F0000}"/>
    <cellStyle name="Output Column Headings 15" xfId="20294" xr:uid="{00000000-0005-0000-0000-00004D4F0000}"/>
    <cellStyle name="Output Column Headings 16" xfId="20295" xr:uid="{00000000-0005-0000-0000-00004E4F0000}"/>
    <cellStyle name="Output Column Headings 17" xfId="20296" xr:uid="{00000000-0005-0000-0000-00004F4F0000}"/>
    <cellStyle name="Output Column Headings 18" xfId="20297" xr:uid="{00000000-0005-0000-0000-0000504F0000}"/>
    <cellStyle name="Output Column Headings 19" xfId="20298" xr:uid="{00000000-0005-0000-0000-0000514F0000}"/>
    <cellStyle name="Output Column Headings 2" xfId="20299" xr:uid="{00000000-0005-0000-0000-0000524F0000}"/>
    <cellStyle name="Output Column Headings 20" xfId="20300" xr:uid="{00000000-0005-0000-0000-0000534F0000}"/>
    <cellStyle name="Output Column Headings 21" xfId="20301" xr:uid="{00000000-0005-0000-0000-0000544F0000}"/>
    <cellStyle name="Output Column Headings 21 2" xfId="20302" xr:uid="{00000000-0005-0000-0000-0000554F0000}"/>
    <cellStyle name="Output Column Headings 3" xfId="20303" xr:uid="{00000000-0005-0000-0000-0000564F0000}"/>
    <cellStyle name="Output Column Headings 4" xfId="20304" xr:uid="{00000000-0005-0000-0000-0000574F0000}"/>
    <cellStyle name="Output Column Headings 5" xfId="20305" xr:uid="{00000000-0005-0000-0000-0000584F0000}"/>
    <cellStyle name="Output Column Headings 6" xfId="20306" xr:uid="{00000000-0005-0000-0000-0000594F0000}"/>
    <cellStyle name="Output Column Headings 7" xfId="20307" xr:uid="{00000000-0005-0000-0000-00005A4F0000}"/>
    <cellStyle name="Output Column Headings 8" xfId="20308" xr:uid="{00000000-0005-0000-0000-00005B4F0000}"/>
    <cellStyle name="Output Column Headings 9" xfId="20309" xr:uid="{00000000-0005-0000-0000-00005C4F0000}"/>
    <cellStyle name="Output Line Items" xfId="20310" xr:uid="{00000000-0005-0000-0000-00005D4F0000}"/>
    <cellStyle name="Output Line Items 10" xfId="20311" xr:uid="{00000000-0005-0000-0000-00005E4F0000}"/>
    <cellStyle name="Output Line Items 11" xfId="20312" xr:uid="{00000000-0005-0000-0000-00005F4F0000}"/>
    <cellStyle name="Output Line Items 12" xfId="20313" xr:uid="{00000000-0005-0000-0000-0000604F0000}"/>
    <cellStyle name="Output Line Items 13" xfId="20314" xr:uid="{00000000-0005-0000-0000-0000614F0000}"/>
    <cellStyle name="Output Line Items 14" xfId="20315" xr:uid="{00000000-0005-0000-0000-0000624F0000}"/>
    <cellStyle name="Output Line Items 15" xfId="20316" xr:uid="{00000000-0005-0000-0000-0000634F0000}"/>
    <cellStyle name="Output Line Items 16" xfId="20317" xr:uid="{00000000-0005-0000-0000-0000644F0000}"/>
    <cellStyle name="Output Line Items 17" xfId="20318" xr:uid="{00000000-0005-0000-0000-0000654F0000}"/>
    <cellStyle name="Output Line Items 18" xfId="20319" xr:uid="{00000000-0005-0000-0000-0000664F0000}"/>
    <cellStyle name="Output Line Items 19" xfId="20320" xr:uid="{00000000-0005-0000-0000-0000674F0000}"/>
    <cellStyle name="Output Line Items 2" xfId="20321" xr:uid="{00000000-0005-0000-0000-0000684F0000}"/>
    <cellStyle name="Output Line Items 20" xfId="20322" xr:uid="{00000000-0005-0000-0000-0000694F0000}"/>
    <cellStyle name="Output Line Items 21" xfId="20323" xr:uid="{00000000-0005-0000-0000-00006A4F0000}"/>
    <cellStyle name="Output Line Items 21 2" xfId="20324" xr:uid="{00000000-0005-0000-0000-00006B4F0000}"/>
    <cellStyle name="Output Line Items 3" xfId="20325" xr:uid="{00000000-0005-0000-0000-00006C4F0000}"/>
    <cellStyle name="Output Line Items 4" xfId="20326" xr:uid="{00000000-0005-0000-0000-00006D4F0000}"/>
    <cellStyle name="Output Line Items 5" xfId="20327" xr:uid="{00000000-0005-0000-0000-00006E4F0000}"/>
    <cellStyle name="Output Line Items 6" xfId="20328" xr:uid="{00000000-0005-0000-0000-00006F4F0000}"/>
    <cellStyle name="Output Line Items 7" xfId="20329" xr:uid="{00000000-0005-0000-0000-0000704F0000}"/>
    <cellStyle name="Output Line Items 8" xfId="20330" xr:uid="{00000000-0005-0000-0000-0000714F0000}"/>
    <cellStyle name="Output Line Items 9" xfId="20331" xr:uid="{00000000-0005-0000-0000-0000724F0000}"/>
    <cellStyle name="Output Report Heading" xfId="20332" xr:uid="{00000000-0005-0000-0000-0000734F0000}"/>
    <cellStyle name="Output Report Heading 10" xfId="20333" xr:uid="{00000000-0005-0000-0000-0000744F0000}"/>
    <cellStyle name="Output Report Heading 11" xfId="20334" xr:uid="{00000000-0005-0000-0000-0000754F0000}"/>
    <cellStyle name="Output Report Heading 12" xfId="20335" xr:uid="{00000000-0005-0000-0000-0000764F0000}"/>
    <cellStyle name="Output Report Heading 13" xfId="20336" xr:uid="{00000000-0005-0000-0000-0000774F0000}"/>
    <cellStyle name="Output Report Heading 14" xfId="20337" xr:uid="{00000000-0005-0000-0000-0000784F0000}"/>
    <cellStyle name="Output Report Heading 15" xfId="20338" xr:uid="{00000000-0005-0000-0000-0000794F0000}"/>
    <cellStyle name="Output Report Heading 16" xfId="20339" xr:uid="{00000000-0005-0000-0000-00007A4F0000}"/>
    <cellStyle name="Output Report Heading 17" xfId="20340" xr:uid="{00000000-0005-0000-0000-00007B4F0000}"/>
    <cellStyle name="Output Report Heading 18" xfId="20341" xr:uid="{00000000-0005-0000-0000-00007C4F0000}"/>
    <cellStyle name="Output Report Heading 19" xfId="20342" xr:uid="{00000000-0005-0000-0000-00007D4F0000}"/>
    <cellStyle name="Output Report Heading 2" xfId="20343" xr:uid="{00000000-0005-0000-0000-00007E4F0000}"/>
    <cellStyle name="Output Report Heading 20" xfId="20344" xr:uid="{00000000-0005-0000-0000-00007F4F0000}"/>
    <cellStyle name="Output Report Heading 21" xfId="20345" xr:uid="{00000000-0005-0000-0000-0000804F0000}"/>
    <cellStyle name="Output Report Heading 21 2" xfId="20346" xr:uid="{00000000-0005-0000-0000-0000814F0000}"/>
    <cellStyle name="Output Report Heading 3" xfId="20347" xr:uid="{00000000-0005-0000-0000-0000824F0000}"/>
    <cellStyle name="Output Report Heading 4" xfId="20348" xr:uid="{00000000-0005-0000-0000-0000834F0000}"/>
    <cellStyle name="Output Report Heading 5" xfId="20349" xr:uid="{00000000-0005-0000-0000-0000844F0000}"/>
    <cellStyle name="Output Report Heading 6" xfId="20350" xr:uid="{00000000-0005-0000-0000-0000854F0000}"/>
    <cellStyle name="Output Report Heading 7" xfId="20351" xr:uid="{00000000-0005-0000-0000-0000864F0000}"/>
    <cellStyle name="Output Report Heading 8" xfId="20352" xr:uid="{00000000-0005-0000-0000-0000874F0000}"/>
    <cellStyle name="Output Report Heading 9" xfId="20353" xr:uid="{00000000-0005-0000-0000-0000884F0000}"/>
    <cellStyle name="Output Report Title" xfId="20354" xr:uid="{00000000-0005-0000-0000-0000894F0000}"/>
    <cellStyle name="Output Report Title 10" xfId="20355" xr:uid="{00000000-0005-0000-0000-00008A4F0000}"/>
    <cellStyle name="Output Report Title 11" xfId="20356" xr:uid="{00000000-0005-0000-0000-00008B4F0000}"/>
    <cellStyle name="Output Report Title 12" xfId="20357" xr:uid="{00000000-0005-0000-0000-00008C4F0000}"/>
    <cellStyle name="Output Report Title 13" xfId="20358" xr:uid="{00000000-0005-0000-0000-00008D4F0000}"/>
    <cellStyle name="Output Report Title 14" xfId="20359" xr:uid="{00000000-0005-0000-0000-00008E4F0000}"/>
    <cellStyle name="Output Report Title 15" xfId="20360" xr:uid="{00000000-0005-0000-0000-00008F4F0000}"/>
    <cellStyle name="Output Report Title 16" xfId="20361" xr:uid="{00000000-0005-0000-0000-0000904F0000}"/>
    <cellStyle name="Output Report Title 17" xfId="20362" xr:uid="{00000000-0005-0000-0000-0000914F0000}"/>
    <cellStyle name="Output Report Title 18" xfId="20363" xr:uid="{00000000-0005-0000-0000-0000924F0000}"/>
    <cellStyle name="Output Report Title 19" xfId="20364" xr:uid="{00000000-0005-0000-0000-0000934F0000}"/>
    <cellStyle name="Output Report Title 2" xfId="20365" xr:uid="{00000000-0005-0000-0000-0000944F0000}"/>
    <cellStyle name="Output Report Title 20" xfId="20366" xr:uid="{00000000-0005-0000-0000-0000954F0000}"/>
    <cellStyle name="Output Report Title 21" xfId="20367" xr:uid="{00000000-0005-0000-0000-0000964F0000}"/>
    <cellStyle name="Output Report Title 21 2" xfId="20368" xr:uid="{00000000-0005-0000-0000-0000974F0000}"/>
    <cellStyle name="Output Report Title 3" xfId="20369" xr:uid="{00000000-0005-0000-0000-0000984F0000}"/>
    <cellStyle name="Output Report Title 4" xfId="20370" xr:uid="{00000000-0005-0000-0000-0000994F0000}"/>
    <cellStyle name="Output Report Title 5" xfId="20371" xr:uid="{00000000-0005-0000-0000-00009A4F0000}"/>
    <cellStyle name="Output Report Title 6" xfId="20372" xr:uid="{00000000-0005-0000-0000-00009B4F0000}"/>
    <cellStyle name="Output Report Title 7" xfId="20373" xr:uid="{00000000-0005-0000-0000-00009C4F0000}"/>
    <cellStyle name="Output Report Title 8" xfId="20374" xr:uid="{00000000-0005-0000-0000-00009D4F0000}"/>
    <cellStyle name="Output Report Title 9" xfId="20375" xr:uid="{00000000-0005-0000-0000-00009E4F0000}"/>
    <cellStyle name="p" xfId="20376" xr:uid="{00000000-0005-0000-0000-00009F4F0000}"/>
    <cellStyle name="p 10" xfId="20377" xr:uid="{00000000-0005-0000-0000-0000A04F0000}"/>
    <cellStyle name="p 11" xfId="20378" xr:uid="{00000000-0005-0000-0000-0000A14F0000}"/>
    <cellStyle name="p 12" xfId="20379" xr:uid="{00000000-0005-0000-0000-0000A24F0000}"/>
    <cellStyle name="p 13" xfId="20380" xr:uid="{00000000-0005-0000-0000-0000A34F0000}"/>
    <cellStyle name="p 14" xfId="20381" xr:uid="{00000000-0005-0000-0000-0000A44F0000}"/>
    <cellStyle name="p 15" xfId="20382" xr:uid="{00000000-0005-0000-0000-0000A54F0000}"/>
    <cellStyle name="p 16" xfId="20383" xr:uid="{00000000-0005-0000-0000-0000A64F0000}"/>
    <cellStyle name="p 17" xfId="20384" xr:uid="{00000000-0005-0000-0000-0000A74F0000}"/>
    <cellStyle name="p 18" xfId="20385" xr:uid="{00000000-0005-0000-0000-0000A84F0000}"/>
    <cellStyle name="p 19" xfId="20386" xr:uid="{00000000-0005-0000-0000-0000A94F0000}"/>
    <cellStyle name="p 2" xfId="20387" xr:uid="{00000000-0005-0000-0000-0000AA4F0000}"/>
    <cellStyle name="p 20" xfId="20388" xr:uid="{00000000-0005-0000-0000-0000AB4F0000}"/>
    <cellStyle name="p 21" xfId="20389" xr:uid="{00000000-0005-0000-0000-0000AC4F0000}"/>
    <cellStyle name="p 3" xfId="20390" xr:uid="{00000000-0005-0000-0000-0000AD4F0000}"/>
    <cellStyle name="p 4" xfId="20391" xr:uid="{00000000-0005-0000-0000-0000AE4F0000}"/>
    <cellStyle name="p 5" xfId="20392" xr:uid="{00000000-0005-0000-0000-0000AF4F0000}"/>
    <cellStyle name="p 6" xfId="20393" xr:uid="{00000000-0005-0000-0000-0000B04F0000}"/>
    <cellStyle name="p 7" xfId="20394" xr:uid="{00000000-0005-0000-0000-0000B14F0000}"/>
    <cellStyle name="p 8" xfId="20395" xr:uid="{00000000-0005-0000-0000-0000B24F0000}"/>
    <cellStyle name="p 9" xfId="20396" xr:uid="{00000000-0005-0000-0000-0000B34F0000}"/>
    <cellStyle name="P&amp;L Numbers" xfId="20397" xr:uid="{00000000-0005-0000-0000-0000B44F0000}"/>
    <cellStyle name="P&amp;L Numbers 10" xfId="20398" xr:uid="{00000000-0005-0000-0000-0000B54F0000}"/>
    <cellStyle name="P&amp;L Numbers 11" xfId="20399" xr:uid="{00000000-0005-0000-0000-0000B64F0000}"/>
    <cellStyle name="P&amp;L Numbers 12" xfId="20400" xr:uid="{00000000-0005-0000-0000-0000B74F0000}"/>
    <cellStyle name="P&amp;L Numbers 13" xfId="20401" xr:uid="{00000000-0005-0000-0000-0000B84F0000}"/>
    <cellStyle name="P&amp;L Numbers 14" xfId="20402" xr:uid="{00000000-0005-0000-0000-0000B94F0000}"/>
    <cellStyle name="P&amp;L Numbers 15" xfId="20403" xr:uid="{00000000-0005-0000-0000-0000BA4F0000}"/>
    <cellStyle name="P&amp;L Numbers 16" xfId="20404" xr:uid="{00000000-0005-0000-0000-0000BB4F0000}"/>
    <cellStyle name="P&amp;L Numbers 17" xfId="20405" xr:uid="{00000000-0005-0000-0000-0000BC4F0000}"/>
    <cellStyle name="P&amp;L Numbers 18" xfId="20406" xr:uid="{00000000-0005-0000-0000-0000BD4F0000}"/>
    <cellStyle name="P&amp;L Numbers 19" xfId="20407" xr:uid="{00000000-0005-0000-0000-0000BE4F0000}"/>
    <cellStyle name="P&amp;L Numbers 2" xfId="20408" xr:uid="{00000000-0005-0000-0000-0000BF4F0000}"/>
    <cellStyle name="P&amp;L Numbers 2 2" xfId="20409" xr:uid="{00000000-0005-0000-0000-0000C04F0000}"/>
    <cellStyle name="P&amp;L Numbers 20" xfId="20410" xr:uid="{00000000-0005-0000-0000-0000C14F0000}"/>
    <cellStyle name="P&amp;L Numbers 21" xfId="20411" xr:uid="{00000000-0005-0000-0000-0000C24F0000}"/>
    <cellStyle name="P&amp;L Numbers 22" xfId="20412" xr:uid="{00000000-0005-0000-0000-0000C34F0000}"/>
    <cellStyle name="P&amp;L Numbers 23" xfId="20413" xr:uid="{00000000-0005-0000-0000-0000C44F0000}"/>
    <cellStyle name="P&amp;L Numbers 23 2" xfId="20414" xr:uid="{00000000-0005-0000-0000-0000C54F0000}"/>
    <cellStyle name="P&amp;L Numbers 3" xfId="20415" xr:uid="{00000000-0005-0000-0000-0000C64F0000}"/>
    <cellStyle name="P&amp;L Numbers 3 2" xfId="20416" xr:uid="{00000000-0005-0000-0000-0000C74F0000}"/>
    <cellStyle name="P&amp;L Numbers 4" xfId="20417" xr:uid="{00000000-0005-0000-0000-0000C84F0000}"/>
    <cellStyle name="P&amp;L Numbers 5" xfId="20418" xr:uid="{00000000-0005-0000-0000-0000C94F0000}"/>
    <cellStyle name="P&amp;L Numbers 6" xfId="20419" xr:uid="{00000000-0005-0000-0000-0000CA4F0000}"/>
    <cellStyle name="P&amp;L Numbers 7" xfId="20420" xr:uid="{00000000-0005-0000-0000-0000CB4F0000}"/>
    <cellStyle name="P&amp;L Numbers 8" xfId="20421" xr:uid="{00000000-0005-0000-0000-0000CC4F0000}"/>
    <cellStyle name="P&amp;L Numbers 9" xfId="20422" xr:uid="{00000000-0005-0000-0000-0000CD4F0000}"/>
    <cellStyle name="p_2007 Trans Fees for NMFI Calc" xfId="20423" xr:uid="{00000000-0005-0000-0000-0000CE4F0000}"/>
    <cellStyle name="p_2007 Trans Fees for NMFI Calc 10" xfId="20424" xr:uid="{00000000-0005-0000-0000-0000CF4F0000}"/>
    <cellStyle name="p_2007 Trans Fees for NMFI Calc 11" xfId="20425" xr:uid="{00000000-0005-0000-0000-0000D04F0000}"/>
    <cellStyle name="p_2007 Trans Fees for NMFI Calc 12" xfId="20426" xr:uid="{00000000-0005-0000-0000-0000D14F0000}"/>
    <cellStyle name="p_2007 Trans Fees for NMFI Calc 13" xfId="20427" xr:uid="{00000000-0005-0000-0000-0000D24F0000}"/>
    <cellStyle name="p_2007 Trans Fees for NMFI Calc 14" xfId="20428" xr:uid="{00000000-0005-0000-0000-0000D34F0000}"/>
    <cellStyle name="p_2007 Trans Fees for NMFI Calc 15" xfId="20429" xr:uid="{00000000-0005-0000-0000-0000D44F0000}"/>
    <cellStyle name="p_2007 Trans Fees for NMFI Calc 16" xfId="20430" xr:uid="{00000000-0005-0000-0000-0000D54F0000}"/>
    <cellStyle name="p_2007 Trans Fees for NMFI Calc 17" xfId="20431" xr:uid="{00000000-0005-0000-0000-0000D64F0000}"/>
    <cellStyle name="p_2007 Trans Fees for NMFI Calc 18" xfId="20432" xr:uid="{00000000-0005-0000-0000-0000D74F0000}"/>
    <cellStyle name="p_2007 Trans Fees for NMFI Calc 19" xfId="20433" xr:uid="{00000000-0005-0000-0000-0000D84F0000}"/>
    <cellStyle name="p_2007 Trans Fees for NMFI Calc 2" xfId="20434" xr:uid="{00000000-0005-0000-0000-0000D94F0000}"/>
    <cellStyle name="p_2007 Trans Fees for NMFI Calc 20" xfId="20435" xr:uid="{00000000-0005-0000-0000-0000DA4F0000}"/>
    <cellStyle name="p_2007 Trans Fees for NMFI Calc 21" xfId="20436" xr:uid="{00000000-0005-0000-0000-0000DB4F0000}"/>
    <cellStyle name="p_2007 Trans Fees for NMFI Calc 21 2" xfId="20437" xr:uid="{00000000-0005-0000-0000-0000DC4F0000}"/>
    <cellStyle name="p_2007 Trans Fees for NMFI Calc 3" xfId="20438" xr:uid="{00000000-0005-0000-0000-0000DD4F0000}"/>
    <cellStyle name="p_2007 Trans Fees for NMFI Calc 4" xfId="20439" xr:uid="{00000000-0005-0000-0000-0000DE4F0000}"/>
    <cellStyle name="p_2007 Trans Fees for NMFI Calc 5" xfId="20440" xr:uid="{00000000-0005-0000-0000-0000DF4F0000}"/>
    <cellStyle name="p_2007 Trans Fees for NMFI Calc 6" xfId="20441" xr:uid="{00000000-0005-0000-0000-0000E04F0000}"/>
    <cellStyle name="p_2007 Trans Fees for NMFI Calc 7" xfId="20442" xr:uid="{00000000-0005-0000-0000-0000E14F0000}"/>
    <cellStyle name="p_2007 Trans Fees for NMFI Calc 8" xfId="20443" xr:uid="{00000000-0005-0000-0000-0000E24F0000}"/>
    <cellStyle name="p_2007 Trans Fees for NMFI Calc 9" xfId="20444" xr:uid="{00000000-0005-0000-0000-0000E34F0000}"/>
    <cellStyle name="p_3Q 07 Revenue Overview" xfId="20445" xr:uid="{00000000-0005-0000-0000-0000E44F0000}"/>
    <cellStyle name="p_3Q 07 Revenue Overview 10" xfId="20446" xr:uid="{00000000-0005-0000-0000-0000E54F0000}"/>
    <cellStyle name="p_3Q 07 Revenue Overview 11" xfId="20447" xr:uid="{00000000-0005-0000-0000-0000E64F0000}"/>
    <cellStyle name="p_3Q 07 Revenue Overview 12" xfId="20448" xr:uid="{00000000-0005-0000-0000-0000E74F0000}"/>
    <cellStyle name="p_3Q 07 Revenue Overview 13" xfId="20449" xr:uid="{00000000-0005-0000-0000-0000E84F0000}"/>
    <cellStyle name="p_3Q 07 Revenue Overview 14" xfId="20450" xr:uid="{00000000-0005-0000-0000-0000E94F0000}"/>
    <cellStyle name="p_3Q 07 Revenue Overview 15" xfId="20451" xr:uid="{00000000-0005-0000-0000-0000EA4F0000}"/>
    <cellStyle name="p_3Q 07 Revenue Overview 16" xfId="20452" xr:uid="{00000000-0005-0000-0000-0000EB4F0000}"/>
    <cellStyle name="p_3Q 07 Revenue Overview 17" xfId="20453" xr:uid="{00000000-0005-0000-0000-0000EC4F0000}"/>
    <cellStyle name="p_3Q 07 Revenue Overview 18" xfId="20454" xr:uid="{00000000-0005-0000-0000-0000ED4F0000}"/>
    <cellStyle name="p_3Q 07 Revenue Overview 19" xfId="20455" xr:uid="{00000000-0005-0000-0000-0000EE4F0000}"/>
    <cellStyle name="p_3Q 07 Revenue Overview 2" xfId="20456" xr:uid="{00000000-0005-0000-0000-0000EF4F0000}"/>
    <cellStyle name="p_3Q 07 Revenue Overview 20" xfId="20457" xr:uid="{00000000-0005-0000-0000-0000F04F0000}"/>
    <cellStyle name="p_3Q 07 Revenue Overview 21" xfId="20458" xr:uid="{00000000-0005-0000-0000-0000F14F0000}"/>
    <cellStyle name="p_3Q 07 Revenue Overview 3" xfId="20459" xr:uid="{00000000-0005-0000-0000-0000F24F0000}"/>
    <cellStyle name="p_3Q 07 Revenue Overview 4" xfId="20460" xr:uid="{00000000-0005-0000-0000-0000F34F0000}"/>
    <cellStyle name="p_3Q 07 Revenue Overview 5" xfId="20461" xr:uid="{00000000-0005-0000-0000-0000F44F0000}"/>
    <cellStyle name="p_3Q 07 Revenue Overview 6" xfId="20462" xr:uid="{00000000-0005-0000-0000-0000F54F0000}"/>
    <cellStyle name="p_3Q 07 Revenue Overview 7" xfId="20463" xr:uid="{00000000-0005-0000-0000-0000F64F0000}"/>
    <cellStyle name="p_3Q 07 Revenue Overview 8" xfId="20464" xr:uid="{00000000-0005-0000-0000-0000F74F0000}"/>
    <cellStyle name="p_3Q 07 Revenue Overview 9" xfId="20465" xr:uid="{00000000-0005-0000-0000-0000F84F0000}"/>
    <cellStyle name="p_Advisors Capital Rollforward 2008 Q2" xfId="20466" xr:uid="{00000000-0005-0000-0000-0000F94F0000}"/>
    <cellStyle name="p_Advisors Capital Rollforward 2008 Q2 10" xfId="20467" xr:uid="{00000000-0005-0000-0000-0000FA4F0000}"/>
    <cellStyle name="p_Advisors Capital Rollforward 2008 Q2 11" xfId="20468" xr:uid="{00000000-0005-0000-0000-0000FB4F0000}"/>
    <cellStyle name="p_Advisors Capital Rollforward 2008 Q2 12" xfId="20469" xr:uid="{00000000-0005-0000-0000-0000FC4F0000}"/>
    <cellStyle name="p_Advisors Capital Rollforward 2008 Q2 13" xfId="20470" xr:uid="{00000000-0005-0000-0000-0000FD4F0000}"/>
    <cellStyle name="p_Advisors Capital Rollforward 2008 Q2 14" xfId="20471" xr:uid="{00000000-0005-0000-0000-0000FE4F0000}"/>
    <cellStyle name="p_Advisors Capital Rollforward 2008 Q2 15" xfId="20472" xr:uid="{00000000-0005-0000-0000-0000FF4F0000}"/>
    <cellStyle name="p_Advisors Capital Rollforward 2008 Q2 16" xfId="20473" xr:uid="{00000000-0005-0000-0000-000000500000}"/>
    <cellStyle name="p_Advisors Capital Rollforward 2008 Q2 17" xfId="20474" xr:uid="{00000000-0005-0000-0000-000001500000}"/>
    <cellStyle name="p_Advisors Capital Rollforward 2008 Q2 18" xfId="20475" xr:uid="{00000000-0005-0000-0000-000002500000}"/>
    <cellStyle name="p_Advisors Capital Rollforward 2008 Q2 19" xfId="20476" xr:uid="{00000000-0005-0000-0000-000003500000}"/>
    <cellStyle name="p_Advisors Capital Rollforward 2008 Q2 2" xfId="20477" xr:uid="{00000000-0005-0000-0000-000004500000}"/>
    <cellStyle name="p_Advisors Capital Rollforward 2008 Q2 20" xfId="20478" xr:uid="{00000000-0005-0000-0000-000005500000}"/>
    <cellStyle name="p_Advisors Capital Rollforward 2008 Q2 21" xfId="20479" xr:uid="{00000000-0005-0000-0000-000006500000}"/>
    <cellStyle name="p_Advisors Capital Rollforward 2008 Q2 3" xfId="20480" xr:uid="{00000000-0005-0000-0000-000007500000}"/>
    <cellStyle name="p_Advisors Capital Rollforward 2008 Q2 4" xfId="20481" xr:uid="{00000000-0005-0000-0000-000008500000}"/>
    <cellStyle name="p_Advisors Capital Rollforward 2008 Q2 5" xfId="20482" xr:uid="{00000000-0005-0000-0000-000009500000}"/>
    <cellStyle name="p_Advisors Capital Rollforward 2008 Q2 6" xfId="20483" xr:uid="{00000000-0005-0000-0000-00000A500000}"/>
    <cellStyle name="p_Advisors Capital Rollforward 2008 Q2 7" xfId="20484" xr:uid="{00000000-0005-0000-0000-00000B500000}"/>
    <cellStyle name="p_Advisors Capital Rollforward 2008 Q2 8" xfId="20485" xr:uid="{00000000-0005-0000-0000-00000C500000}"/>
    <cellStyle name="p_Advisors Capital Rollforward 2008 Q2 9" xfId="20486" xr:uid="{00000000-0005-0000-0000-00000D500000}"/>
    <cellStyle name="p_AGM Professional Fees (summary)" xfId="20487" xr:uid="{00000000-0005-0000-0000-00000E500000}"/>
    <cellStyle name="p_AGM Professional Fees (summary) 10" xfId="20488" xr:uid="{00000000-0005-0000-0000-00000F500000}"/>
    <cellStyle name="p_AGM Professional Fees (summary) 11" xfId="20489" xr:uid="{00000000-0005-0000-0000-000010500000}"/>
    <cellStyle name="p_AGM Professional Fees (summary) 12" xfId="20490" xr:uid="{00000000-0005-0000-0000-000011500000}"/>
    <cellStyle name="p_AGM Professional Fees (summary) 13" xfId="20491" xr:uid="{00000000-0005-0000-0000-000012500000}"/>
    <cellStyle name="p_AGM Professional Fees (summary) 14" xfId="20492" xr:uid="{00000000-0005-0000-0000-000013500000}"/>
    <cellStyle name="p_AGM Professional Fees (summary) 15" xfId="20493" xr:uid="{00000000-0005-0000-0000-000014500000}"/>
    <cellStyle name="p_AGM Professional Fees (summary) 16" xfId="20494" xr:uid="{00000000-0005-0000-0000-000015500000}"/>
    <cellStyle name="p_AGM Professional Fees (summary) 17" xfId="20495" xr:uid="{00000000-0005-0000-0000-000016500000}"/>
    <cellStyle name="p_AGM Professional Fees (summary) 18" xfId="20496" xr:uid="{00000000-0005-0000-0000-000017500000}"/>
    <cellStyle name="p_AGM Professional Fees (summary) 19" xfId="20497" xr:uid="{00000000-0005-0000-0000-000018500000}"/>
    <cellStyle name="p_AGM Professional Fees (summary) 2" xfId="20498" xr:uid="{00000000-0005-0000-0000-000019500000}"/>
    <cellStyle name="p_AGM Professional Fees (summary) 20" xfId="20499" xr:uid="{00000000-0005-0000-0000-00001A500000}"/>
    <cellStyle name="p_AGM Professional Fees (summary) 21" xfId="20500" xr:uid="{00000000-0005-0000-0000-00001B500000}"/>
    <cellStyle name="p_AGM Professional Fees (summary) 3" xfId="20501" xr:uid="{00000000-0005-0000-0000-00001C500000}"/>
    <cellStyle name="p_AGM Professional Fees (summary) 4" xfId="20502" xr:uid="{00000000-0005-0000-0000-00001D500000}"/>
    <cellStyle name="p_AGM Professional Fees (summary) 5" xfId="20503" xr:uid="{00000000-0005-0000-0000-00001E500000}"/>
    <cellStyle name="p_AGM Professional Fees (summary) 6" xfId="20504" xr:uid="{00000000-0005-0000-0000-00001F500000}"/>
    <cellStyle name="p_AGM Professional Fees (summary) 7" xfId="20505" xr:uid="{00000000-0005-0000-0000-000020500000}"/>
    <cellStyle name="p_AGM Professional Fees (summary) 8" xfId="20506" xr:uid="{00000000-0005-0000-0000-000021500000}"/>
    <cellStyle name="p_AGM Professional Fees (summary) 9" xfId="20507" xr:uid="{00000000-0005-0000-0000-000022500000}"/>
    <cellStyle name="p_AGM YE NMFI (Estimated) 12-5-07 v1.3" xfId="20508" xr:uid="{00000000-0005-0000-0000-000023500000}"/>
    <cellStyle name="p_AGM YE NMFI (Estimated) 12-5-07 v1.3 10" xfId="20509" xr:uid="{00000000-0005-0000-0000-000024500000}"/>
    <cellStyle name="p_AGM YE NMFI (Estimated) 12-5-07 v1.3 11" xfId="20510" xr:uid="{00000000-0005-0000-0000-000025500000}"/>
    <cellStyle name="p_AGM YE NMFI (Estimated) 12-5-07 v1.3 12" xfId="20511" xr:uid="{00000000-0005-0000-0000-000026500000}"/>
    <cellStyle name="p_AGM YE NMFI (Estimated) 12-5-07 v1.3 13" xfId="20512" xr:uid="{00000000-0005-0000-0000-000027500000}"/>
    <cellStyle name="p_AGM YE NMFI (Estimated) 12-5-07 v1.3 14" xfId="20513" xr:uid="{00000000-0005-0000-0000-000028500000}"/>
    <cellStyle name="p_AGM YE NMFI (Estimated) 12-5-07 v1.3 15" xfId="20514" xr:uid="{00000000-0005-0000-0000-000029500000}"/>
    <cellStyle name="p_AGM YE NMFI (Estimated) 12-5-07 v1.3 16" xfId="20515" xr:uid="{00000000-0005-0000-0000-00002A500000}"/>
    <cellStyle name="p_AGM YE NMFI (Estimated) 12-5-07 v1.3 17" xfId="20516" xr:uid="{00000000-0005-0000-0000-00002B500000}"/>
    <cellStyle name="p_AGM YE NMFI (Estimated) 12-5-07 v1.3 18" xfId="20517" xr:uid="{00000000-0005-0000-0000-00002C500000}"/>
    <cellStyle name="p_AGM YE NMFI (Estimated) 12-5-07 v1.3 19" xfId="20518" xr:uid="{00000000-0005-0000-0000-00002D500000}"/>
    <cellStyle name="p_AGM YE NMFI (Estimated) 12-5-07 v1.3 2" xfId="20519" xr:uid="{00000000-0005-0000-0000-00002E500000}"/>
    <cellStyle name="p_AGM YE NMFI (Estimated) 12-5-07 v1.3 20" xfId="20520" xr:uid="{00000000-0005-0000-0000-00002F500000}"/>
    <cellStyle name="p_AGM YE NMFI (Estimated) 12-5-07 v1.3 21" xfId="20521" xr:uid="{00000000-0005-0000-0000-000030500000}"/>
    <cellStyle name="p_AGM YE NMFI (Estimated) 12-5-07 v1.3 21 2" xfId="20522" xr:uid="{00000000-0005-0000-0000-000031500000}"/>
    <cellStyle name="p_AGM YE NMFI (Estimated) 12-5-07 v1.3 3" xfId="20523" xr:uid="{00000000-0005-0000-0000-000032500000}"/>
    <cellStyle name="p_AGM YE NMFI (Estimated) 12-5-07 v1.3 4" xfId="20524" xr:uid="{00000000-0005-0000-0000-000033500000}"/>
    <cellStyle name="p_AGM YE NMFI (Estimated) 12-5-07 v1.3 5" xfId="20525" xr:uid="{00000000-0005-0000-0000-000034500000}"/>
    <cellStyle name="p_AGM YE NMFI (Estimated) 12-5-07 v1.3 6" xfId="20526" xr:uid="{00000000-0005-0000-0000-000035500000}"/>
    <cellStyle name="p_AGM YE NMFI (Estimated) 12-5-07 v1.3 7" xfId="20527" xr:uid="{00000000-0005-0000-0000-000036500000}"/>
    <cellStyle name="p_AGM YE NMFI (Estimated) 12-5-07 v1.3 8" xfId="20528" xr:uid="{00000000-0005-0000-0000-000037500000}"/>
    <cellStyle name="p_AGM YE NMFI (Estimated) 12-5-07 v1.3 9" xfId="20529" xr:uid="{00000000-0005-0000-0000-000038500000}"/>
    <cellStyle name="p_AIF VI  VII Summary Dec 2008 v3" xfId="20530" xr:uid="{00000000-0005-0000-0000-000039500000}"/>
    <cellStyle name="p_AIF VI  VII Summary Dec 2008 v3 10" xfId="20531" xr:uid="{00000000-0005-0000-0000-00003A500000}"/>
    <cellStyle name="p_AIF VI  VII Summary Dec 2008 v3 11" xfId="20532" xr:uid="{00000000-0005-0000-0000-00003B500000}"/>
    <cellStyle name="p_AIF VI  VII Summary Dec 2008 v3 12" xfId="20533" xr:uid="{00000000-0005-0000-0000-00003C500000}"/>
    <cellStyle name="p_AIF VI  VII Summary Dec 2008 v3 13" xfId="20534" xr:uid="{00000000-0005-0000-0000-00003D500000}"/>
    <cellStyle name="p_AIF VI  VII Summary Dec 2008 v3 14" xfId="20535" xr:uid="{00000000-0005-0000-0000-00003E500000}"/>
    <cellStyle name="p_AIF VI  VII Summary Dec 2008 v3 15" xfId="20536" xr:uid="{00000000-0005-0000-0000-00003F500000}"/>
    <cellStyle name="p_AIF VI  VII Summary Dec 2008 v3 16" xfId="20537" xr:uid="{00000000-0005-0000-0000-000040500000}"/>
    <cellStyle name="p_AIF VI  VII Summary Dec 2008 v3 17" xfId="20538" xr:uid="{00000000-0005-0000-0000-000041500000}"/>
    <cellStyle name="p_AIF VI  VII Summary Dec 2008 v3 18" xfId="20539" xr:uid="{00000000-0005-0000-0000-000042500000}"/>
    <cellStyle name="p_AIF VI  VII Summary Dec 2008 v3 19" xfId="20540" xr:uid="{00000000-0005-0000-0000-000043500000}"/>
    <cellStyle name="p_AIF VI  VII Summary Dec 2008 v3 2" xfId="20541" xr:uid="{00000000-0005-0000-0000-000044500000}"/>
    <cellStyle name="p_AIF VI  VII Summary Dec 2008 v3 20" xfId="20542" xr:uid="{00000000-0005-0000-0000-000045500000}"/>
    <cellStyle name="p_AIF VI  VII Summary Dec 2008 v3 21" xfId="20543" xr:uid="{00000000-0005-0000-0000-000046500000}"/>
    <cellStyle name="p_AIF VI  VII Summary Dec 2008 v3 3" xfId="20544" xr:uid="{00000000-0005-0000-0000-000047500000}"/>
    <cellStyle name="p_AIF VI  VII Summary Dec 2008 v3 4" xfId="20545" xr:uid="{00000000-0005-0000-0000-000048500000}"/>
    <cellStyle name="p_AIF VI  VII Summary Dec 2008 v3 5" xfId="20546" xr:uid="{00000000-0005-0000-0000-000049500000}"/>
    <cellStyle name="p_AIF VI  VII Summary Dec 2008 v3 6" xfId="20547" xr:uid="{00000000-0005-0000-0000-00004A500000}"/>
    <cellStyle name="p_AIF VI  VII Summary Dec 2008 v3 7" xfId="20548" xr:uid="{00000000-0005-0000-0000-00004B500000}"/>
    <cellStyle name="p_AIF VI  VII Summary Dec 2008 v3 8" xfId="20549" xr:uid="{00000000-0005-0000-0000-00004C500000}"/>
    <cellStyle name="p_AIF VI  VII Summary Dec 2008 v3 9" xfId="20550" xr:uid="{00000000-0005-0000-0000-00004D500000}"/>
    <cellStyle name="p_AIF VI CBA 3.20.08" xfId="20551" xr:uid="{00000000-0005-0000-0000-00004E500000}"/>
    <cellStyle name="p_AIF VII Capital Balance Analysis INCEPTION to 09-30-08 on 10-13-08 8am" xfId="20552" xr:uid="{00000000-0005-0000-0000-00004F500000}"/>
    <cellStyle name="p_AIF VII Capital Balance Analysis INCEPTION to 09-30-08 on 10-13-08 8am 2" xfId="20553" xr:uid="{00000000-0005-0000-0000-000050500000}"/>
    <cellStyle name="p_Apollo Due from -Due to as of 12-31-07 (D) revised" xfId="20554" xr:uid="{00000000-0005-0000-0000-000051500000}"/>
    <cellStyle name="p_Apollo Due from -Due to as of 12-31-07 (D) revised 10" xfId="20555" xr:uid="{00000000-0005-0000-0000-000052500000}"/>
    <cellStyle name="p_Apollo Due from -Due to as of 12-31-07 (D) revised 11" xfId="20556" xr:uid="{00000000-0005-0000-0000-000053500000}"/>
    <cellStyle name="p_Apollo Due from -Due to as of 12-31-07 (D) revised 12" xfId="20557" xr:uid="{00000000-0005-0000-0000-000054500000}"/>
    <cellStyle name="p_Apollo Due from -Due to as of 12-31-07 (D) revised 13" xfId="20558" xr:uid="{00000000-0005-0000-0000-000055500000}"/>
    <cellStyle name="p_Apollo Due from -Due to as of 12-31-07 (D) revised 14" xfId="20559" xr:uid="{00000000-0005-0000-0000-000056500000}"/>
    <cellStyle name="p_Apollo Due from -Due to as of 12-31-07 (D) revised 15" xfId="20560" xr:uid="{00000000-0005-0000-0000-000057500000}"/>
    <cellStyle name="p_Apollo Due from -Due to as of 12-31-07 (D) revised 16" xfId="20561" xr:uid="{00000000-0005-0000-0000-000058500000}"/>
    <cellStyle name="p_Apollo Due from -Due to as of 12-31-07 (D) revised 17" xfId="20562" xr:uid="{00000000-0005-0000-0000-000059500000}"/>
    <cellStyle name="p_Apollo Due from -Due to as of 12-31-07 (D) revised 18" xfId="20563" xr:uid="{00000000-0005-0000-0000-00005A500000}"/>
    <cellStyle name="p_Apollo Due from -Due to as of 12-31-07 (D) revised 19" xfId="20564" xr:uid="{00000000-0005-0000-0000-00005B500000}"/>
    <cellStyle name="p_Apollo Due from -Due to as of 12-31-07 (D) revised 2" xfId="20565" xr:uid="{00000000-0005-0000-0000-00005C500000}"/>
    <cellStyle name="p_Apollo Due from -Due to as of 12-31-07 (D) revised 20" xfId="20566" xr:uid="{00000000-0005-0000-0000-00005D500000}"/>
    <cellStyle name="p_Apollo Due from -Due to as of 12-31-07 (D) revised 21" xfId="20567" xr:uid="{00000000-0005-0000-0000-00005E500000}"/>
    <cellStyle name="p_Apollo Due from -Due to as of 12-31-07 (D) revised 3" xfId="20568" xr:uid="{00000000-0005-0000-0000-00005F500000}"/>
    <cellStyle name="p_Apollo Due from -Due to as of 12-31-07 (D) revised 4" xfId="20569" xr:uid="{00000000-0005-0000-0000-000060500000}"/>
    <cellStyle name="p_Apollo Due from -Due to as of 12-31-07 (D) revised 5" xfId="20570" xr:uid="{00000000-0005-0000-0000-000061500000}"/>
    <cellStyle name="p_Apollo Due from -Due to as of 12-31-07 (D) revised 6" xfId="20571" xr:uid="{00000000-0005-0000-0000-000062500000}"/>
    <cellStyle name="p_Apollo Due from -Due to as of 12-31-07 (D) revised 7" xfId="20572" xr:uid="{00000000-0005-0000-0000-000063500000}"/>
    <cellStyle name="p_Apollo Due from -Due to as of 12-31-07 (D) revised 8" xfId="20573" xr:uid="{00000000-0005-0000-0000-000064500000}"/>
    <cellStyle name="p_Apollo Due from -Due to as of 12-31-07 (D) revised 9" xfId="20574" xr:uid="{00000000-0005-0000-0000-000065500000}"/>
    <cellStyle name="p_Apollo Operating Group Control Schedule ver 2" xfId="20575" xr:uid="{00000000-0005-0000-0000-000066500000}"/>
    <cellStyle name="p_CALCS" xfId="20576" xr:uid="{00000000-0005-0000-0000-000067500000}"/>
    <cellStyle name="p_CALCS 10" xfId="20577" xr:uid="{00000000-0005-0000-0000-000068500000}"/>
    <cellStyle name="p_CALCS 11" xfId="20578" xr:uid="{00000000-0005-0000-0000-000069500000}"/>
    <cellStyle name="p_CALCS 12" xfId="20579" xr:uid="{00000000-0005-0000-0000-00006A500000}"/>
    <cellStyle name="p_CALCS 13" xfId="20580" xr:uid="{00000000-0005-0000-0000-00006B500000}"/>
    <cellStyle name="p_CALCS 14" xfId="20581" xr:uid="{00000000-0005-0000-0000-00006C500000}"/>
    <cellStyle name="p_CALCS 15" xfId="20582" xr:uid="{00000000-0005-0000-0000-00006D500000}"/>
    <cellStyle name="p_CALCS 16" xfId="20583" xr:uid="{00000000-0005-0000-0000-00006E500000}"/>
    <cellStyle name="p_CALCS 17" xfId="20584" xr:uid="{00000000-0005-0000-0000-00006F500000}"/>
    <cellStyle name="p_CALCS 18" xfId="20585" xr:uid="{00000000-0005-0000-0000-000070500000}"/>
    <cellStyle name="p_CALCS 19" xfId="20586" xr:uid="{00000000-0005-0000-0000-000071500000}"/>
    <cellStyle name="p_CALCS 2" xfId="20587" xr:uid="{00000000-0005-0000-0000-000072500000}"/>
    <cellStyle name="p_CALCS 20" xfId="20588" xr:uid="{00000000-0005-0000-0000-000073500000}"/>
    <cellStyle name="p_CALCS 21" xfId="20589" xr:uid="{00000000-0005-0000-0000-000074500000}"/>
    <cellStyle name="p_CALCS 3" xfId="20590" xr:uid="{00000000-0005-0000-0000-000075500000}"/>
    <cellStyle name="p_CALCS 4" xfId="20591" xr:uid="{00000000-0005-0000-0000-000076500000}"/>
    <cellStyle name="p_CALCS 5" xfId="20592" xr:uid="{00000000-0005-0000-0000-000077500000}"/>
    <cellStyle name="p_CALCS 6" xfId="20593" xr:uid="{00000000-0005-0000-0000-000078500000}"/>
    <cellStyle name="p_CALCS 7" xfId="20594" xr:uid="{00000000-0005-0000-0000-000079500000}"/>
    <cellStyle name="p_CALCS 8" xfId="20595" xr:uid="{00000000-0005-0000-0000-00007A500000}"/>
    <cellStyle name="p_CALCS 9" xfId="20596" xr:uid="{00000000-0005-0000-0000-00007B500000}"/>
    <cellStyle name="p_Domestic FS 12-31-08 v3-20-09" xfId="20597" xr:uid="{00000000-0005-0000-0000-00007C500000}"/>
    <cellStyle name="p_Hexicon Adj" xfId="20598" xr:uid="{00000000-0005-0000-0000-00007D500000}"/>
    <cellStyle name="p_Inv Cap Roll" xfId="20599" xr:uid="{00000000-0005-0000-0000-00007E500000}"/>
    <cellStyle name="p_Inv Cap Roll 2" xfId="20600" xr:uid="{00000000-0005-0000-0000-00007F500000}"/>
    <cellStyle name="p_PF Model 8.2 v2" xfId="20601" xr:uid="{00000000-0005-0000-0000-000080500000}"/>
    <cellStyle name="p_PF Model 8.2 v2 10" xfId="20602" xr:uid="{00000000-0005-0000-0000-000081500000}"/>
    <cellStyle name="p_PF Model 8.2 v2 11" xfId="20603" xr:uid="{00000000-0005-0000-0000-000082500000}"/>
    <cellStyle name="p_PF Model 8.2 v2 12" xfId="20604" xr:uid="{00000000-0005-0000-0000-000083500000}"/>
    <cellStyle name="p_PF Model 8.2 v2 13" xfId="20605" xr:uid="{00000000-0005-0000-0000-000084500000}"/>
    <cellStyle name="p_PF Model 8.2 v2 14" xfId="20606" xr:uid="{00000000-0005-0000-0000-000085500000}"/>
    <cellStyle name="p_PF Model 8.2 v2 15" xfId="20607" xr:uid="{00000000-0005-0000-0000-000086500000}"/>
    <cellStyle name="p_PF Model 8.2 v2 16" xfId="20608" xr:uid="{00000000-0005-0000-0000-000087500000}"/>
    <cellStyle name="p_PF Model 8.2 v2 17" xfId="20609" xr:uid="{00000000-0005-0000-0000-000088500000}"/>
    <cellStyle name="p_PF Model 8.2 v2 18" xfId="20610" xr:uid="{00000000-0005-0000-0000-000089500000}"/>
    <cellStyle name="p_PF Model 8.2 v2 19" xfId="20611" xr:uid="{00000000-0005-0000-0000-00008A500000}"/>
    <cellStyle name="p_PF Model 8.2 v2 2" xfId="20612" xr:uid="{00000000-0005-0000-0000-00008B500000}"/>
    <cellStyle name="p_PF Model 8.2 v2 20" xfId="20613" xr:uid="{00000000-0005-0000-0000-00008C500000}"/>
    <cellStyle name="p_PF Model 8.2 v2 21" xfId="20614" xr:uid="{00000000-0005-0000-0000-00008D500000}"/>
    <cellStyle name="p_PF Model 8.2 v2 21 2" xfId="20615" xr:uid="{00000000-0005-0000-0000-00008E500000}"/>
    <cellStyle name="p_PF Model 8.2 v2 3" xfId="20616" xr:uid="{00000000-0005-0000-0000-00008F500000}"/>
    <cellStyle name="p_PF Model 8.2 v2 4" xfId="20617" xr:uid="{00000000-0005-0000-0000-000090500000}"/>
    <cellStyle name="p_PF Model 8.2 v2 5" xfId="20618" xr:uid="{00000000-0005-0000-0000-000091500000}"/>
    <cellStyle name="p_PF Model 8.2 v2 6" xfId="20619" xr:uid="{00000000-0005-0000-0000-000092500000}"/>
    <cellStyle name="p_PF Model 8.2 v2 7" xfId="20620" xr:uid="{00000000-0005-0000-0000-000093500000}"/>
    <cellStyle name="p_PF Model 8.2 v2 8" xfId="20621" xr:uid="{00000000-0005-0000-0000-000094500000}"/>
    <cellStyle name="p_PF Model 8.2 v2 9" xfId="20622" xr:uid="{00000000-0005-0000-0000-000095500000}"/>
    <cellStyle name="p_Priority Return" xfId="20623" xr:uid="{00000000-0005-0000-0000-000096500000}"/>
    <cellStyle name="p_Priority Return 10" xfId="20624" xr:uid="{00000000-0005-0000-0000-000097500000}"/>
    <cellStyle name="p_Priority Return 11" xfId="20625" xr:uid="{00000000-0005-0000-0000-000098500000}"/>
    <cellStyle name="p_Priority Return 12" xfId="20626" xr:uid="{00000000-0005-0000-0000-000099500000}"/>
    <cellStyle name="p_Priority Return 13" xfId="20627" xr:uid="{00000000-0005-0000-0000-00009A500000}"/>
    <cellStyle name="p_Priority Return 14" xfId="20628" xr:uid="{00000000-0005-0000-0000-00009B500000}"/>
    <cellStyle name="p_Priority Return 15" xfId="20629" xr:uid="{00000000-0005-0000-0000-00009C500000}"/>
    <cellStyle name="p_Priority Return 16" xfId="20630" xr:uid="{00000000-0005-0000-0000-00009D500000}"/>
    <cellStyle name="p_Priority Return 17" xfId="20631" xr:uid="{00000000-0005-0000-0000-00009E500000}"/>
    <cellStyle name="p_Priority Return 18" xfId="20632" xr:uid="{00000000-0005-0000-0000-00009F500000}"/>
    <cellStyle name="p_Priority Return 19" xfId="20633" xr:uid="{00000000-0005-0000-0000-0000A0500000}"/>
    <cellStyle name="p_Priority Return 2" xfId="20634" xr:uid="{00000000-0005-0000-0000-0000A1500000}"/>
    <cellStyle name="p_Priority Return 20" xfId="20635" xr:uid="{00000000-0005-0000-0000-0000A2500000}"/>
    <cellStyle name="p_Priority Return 21" xfId="20636" xr:uid="{00000000-0005-0000-0000-0000A3500000}"/>
    <cellStyle name="p_Priority Return 3" xfId="20637" xr:uid="{00000000-0005-0000-0000-0000A4500000}"/>
    <cellStyle name="p_Priority Return 4" xfId="20638" xr:uid="{00000000-0005-0000-0000-0000A5500000}"/>
    <cellStyle name="p_Priority Return 5" xfId="20639" xr:uid="{00000000-0005-0000-0000-0000A6500000}"/>
    <cellStyle name="p_Priority Return 6" xfId="20640" xr:uid="{00000000-0005-0000-0000-0000A7500000}"/>
    <cellStyle name="p_Priority Return 7" xfId="20641" xr:uid="{00000000-0005-0000-0000-0000A8500000}"/>
    <cellStyle name="p_Priority Return 8" xfId="20642" xr:uid="{00000000-0005-0000-0000-0000A9500000}"/>
    <cellStyle name="p_Priority Return 9" xfId="20643" xr:uid="{00000000-0005-0000-0000-0000AA500000}"/>
    <cellStyle name="p_Sheet1" xfId="20644" xr:uid="{00000000-0005-0000-0000-0000AB500000}"/>
    <cellStyle name="p_Sheet1 10" xfId="20645" xr:uid="{00000000-0005-0000-0000-0000AC500000}"/>
    <cellStyle name="p_Sheet1 11" xfId="20646" xr:uid="{00000000-0005-0000-0000-0000AD500000}"/>
    <cellStyle name="p_Sheet1 12" xfId="20647" xr:uid="{00000000-0005-0000-0000-0000AE500000}"/>
    <cellStyle name="p_Sheet1 13" xfId="20648" xr:uid="{00000000-0005-0000-0000-0000AF500000}"/>
    <cellStyle name="p_Sheet1 14" xfId="20649" xr:uid="{00000000-0005-0000-0000-0000B0500000}"/>
    <cellStyle name="p_Sheet1 15" xfId="20650" xr:uid="{00000000-0005-0000-0000-0000B1500000}"/>
    <cellStyle name="p_Sheet1 16" xfId="20651" xr:uid="{00000000-0005-0000-0000-0000B2500000}"/>
    <cellStyle name="p_Sheet1 17" xfId="20652" xr:uid="{00000000-0005-0000-0000-0000B3500000}"/>
    <cellStyle name="p_Sheet1 18" xfId="20653" xr:uid="{00000000-0005-0000-0000-0000B4500000}"/>
    <cellStyle name="p_Sheet1 19" xfId="20654" xr:uid="{00000000-0005-0000-0000-0000B5500000}"/>
    <cellStyle name="p_Sheet1 2" xfId="20655" xr:uid="{00000000-0005-0000-0000-0000B6500000}"/>
    <cellStyle name="p_Sheet1 20" xfId="20656" xr:uid="{00000000-0005-0000-0000-0000B7500000}"/>
    <cellStyle name="p_Sheet1 21" xfId="20657" xr:uid="{00000000-0005-0000-0000-0000B8500000}"/>
    <cellStyle name="p_Sheet1 3" xfId="20658" xr:uid="{00000000-0005-0000-0000-0000B9500000}"/>
    <cellStyle name="p_Sheet1 4" xfId="20659" xr:uid="{00000000-0005-0000-0000-0000BA500000}"/>
    <cellStyle name="p_Sheet1 5" xfId="20660" xr:uid="{00000000-0005-0000-0000-0000BB500000}"/>
    <cellStyle name="p_Sheet1 6" xfId="20661" xr:uid="{00000000-0005-0000-0000-0000BC500000}"/>
    <cellStyle name="p_Sheet1 7" xfId="20662" xr:uid="{00000000-0005-0000-0000-0000BD500000}"/>
    <cellStyle name="p_Sheet1 8" xfId="20663" xr:uid="{00000000-0005-0000-0000-0000BE500000}"/>
    <cellStyle name="p_Sheet1 9" xfId="20664" xr:uid="{00000000-0005-0000-0000-0000BF500000}"/>
    <cellStyle name="p_Sheet2" xfId="20665" xr:uid="{00000000-0005-0000-0000-0000C0500000}"/>
    <cellStyle name="p_Sheet2 10" xfId="20666" xr:uid="{00000000-0005-0000-0000-0000C1500000}"/>
    <cellStyle name="p_Sheet2 11" xfId="20667" xr:uid="{00000000-0005-0000-0000-0000C2500000}"/>
    <cellStyle name="p_Sheet2 12" xfId="20668" xr:uid="{00000000-0005-0000-0000-0000C3500000}"/>
    <cellStyle name="p_Sheet2 13" xfId="20669" xr:uid="{00000000-0005-0000-0000-0000C4500000}"/>
    <cellStyle name="p_Sheet2 14" xfId="20670" xr:uid="{00000000-0005-0000-0000-0000C5500000}"/>
    <cellStyle name="p_Sheet2 15" xfId="20671" xr:uid="{00000000-0005-0000-0000-0000C6500000}"/>
    <cellStyle name="p_Sheet2 16" xfId="20672" xr:uid="{00000000-0005-0000-0000-0000C7500000}"/>
    <cellStyle name="p_Sheet2 17" xfId="20673" xr:uid="{00000000-0005-0000-0000-0000C8500000}"/>
    <cellStyle name="p_Sheet2 18" xfId="20674" xr:uid="{00000000-0005-0000-0000-0000C9500000}"/>
    <cellStyle name="p_Sheet2 19" xfId="20675" xr:uid="{00000000-0005-0000-0000-0000CA500000}"/>
    <cellStyle name="p_Sheet2 2" xfId="20676" xr:uid="{00000000-0005-0000-0000-0000CB500000}"/>
    <cellStyle name="p_Sheet2 20" xfId="20677" xr:uid="{00000000-0005-0000-0000-0000CC500000}"/>
    <cellStyle name="p_Sheet2 21" xfId="20678" xr:uid="{00000000-0005-0000-0000-0000CD500000}"/>
    <cellStyle name="p_Sheet2 3" xfId="20679" xr:uid="{00000000-0005-0000-0000-0000CE500000}"/>
    <cellStyle name="p_Sheet2 4" xfId="20680" xr:uid="{00000000-0005-0000-0000-0000CF500000}"/>
    <cellStyle name="p_Sheet2 5" xfId="20681" xr:uid="{00000000-0005-0000-0000-0000D0500000}"/>
    <cellStyle name="p_Sheet2 6" xfId="20682" xr:uid="{00000000-0005-0000-0000-0000D1500000}"/>
    <cellStyle name="p_Sheet2 7" xfId="20683" xr:uid="{00000000-0005-0000-0000-0000D2500000}"/>
    <cellStyle name="p_Sheet2 8" xfId="20684" xr:uid="{00000000-0005-0000-0000-0000D3500000}"/>
    <cellStyle name="p_Sheet2 9" xfId="20685" xr:uid="{00000000-0005-0000-0000-0000D4500000}"/>
    <cellStyle name="p_Sheet3" xfId="20686" xr:uid="{00000000-0005-0000-0000-0000D5500000}"/>
    <cellStyle name="p_Sheet3 2" xfId="20687" xr:uid="{00000000-0005-0000-0000-0000D6500000}"/>
    <cellStyle name="p_Summary" xfId="20688" xr:uid="{00000000-0005-0000-0000-0000D7500000}"/>
    <cellStyle name="p_Summary 2" xfId="20689" xr:uid="{00000000-0005-0000-0000-0000D8500000}"/>
    <cellStyle name="p1" xfId="20690" xr:uid="{00000000-0005-0000-0000-0000D9500000}"/>
    <cellStyle name="p1 10" xfId="20691" xr:uid="{00000000-0005-0000-0000-0000DA500000}"/>
    <cellStyle name="p1 11" xfId="20692" xr:uid="{00000000-0005-0000-0000-0000DB500000}"/>
    <cellStyle name="p1 12" xfId="20693" xr:uid="{00000000-0005-0000-0000-0000DC500000}"/>
    <cellStyle name="p1 13" xfId="20694" xr:uid="{00000000-0005-0000-0000-0000DD500000}"/>
    <cellStyle name="p1 14" xfId="20695" xr:uid="{00000000-0005-0000-0000-0000DE500000}"/>
    <cellStyle name="p1 15" xfId="20696" xr:uid="{00000000-0005-0000-0000-0000DF500000}"/>
    <cellStyle name="p1 16" xfId="20697" xr:uid="{00000000-0005-0000-0000-0000E0500000}"/>
    <cellStyle name="p1 17" xfId="20698" xr:uid="{00000000-0005-0000-0000-0000E1500000}"/>
    <cellStyle name="p1 18" xfId="20699" xr:uid="{00000000-0005-0000-0000-0000E2500000}"/>
    <cellStyle name="p1 19" xfId="20700" xr:uid="{00000000-0005-0000-0000-0000E3500000}"/>
    <cellStyle name="p1 2" xfId="20701" xr:uid="{00000000-0005-0000-0000-0000E4500000}"/>
    <cellStyle name="p1 20" xfId="20702" xr:uid="{00000000-0005-0000-0000-0000E5500000}"/>
    <cellStyle name="p1 21" xfId="20703" xr:uid="{00000000-0005-0000-0000-0000E6500000}"/>
    <cellStyle name="p1 21 2" xfId="20704" xr:uid="{00000000-0005-0000-0000-0000E7500000}"/>
    <cellStyle name="p1 3" xfId="20705" xr:uid="{00000000-0005-0000-0000-0000E8500000}"/>
    <cellStyle name="p1 4" xfId="20706" xr:uid="{00000000-0005-0000-0000-0000E9500000}"/>
    <cellStyle name="p1 5" xfId="20707" xr:uid="{00000000-0005-0000-0000-0000EA500000}"/>
    <cellStyle name="p1 6" xfId="20708" xr:uid="{00000000-0005-0000-0000-0000EB500000}"/>
    <cellStyle name="p1 7" xfId="20709" xr:uid="{00000000-0005-0000-0000-0000EC500000}"/>
    <cellStyle name="p1 8" xfId="20710" xr:uid="{00000000-0005-0000-0000-0000ED500000}"/>
    <cellStyle name="p1 9" xfId="20711" xr:uid="{00000000-0005-0000-0000-0000EE500000}"/>
    <cellStyle name="Page Heading Large" xfId="20712" xr:uid="{00000000-0005-0000-0000-0000EF500000}"/>
    <cellStyle name="Page Heading Large 10" xfId="20713" xr:uid="{00000000-0005-0000-0000-0000F0500000}"/>
    <cellStyle name="Page Heading Large 11" xfId="20714" xr:uid="{00000000-0005-0000-0000-0000F1500000}"/>
    <cellStyle name="Page Heading Large 12" xfId="20715" xr:uid="{00000000-0005-0000-0000-0000F2500000}"/>
    <cellStyle name="Page Heading Large 13" xfId="20716" xr:uid="{00000000-0005-0000-0000-0000F3500000}"/>
    <cellStyle name="Page Heading Large 14" xfId="20717" xr:uid="{00000000-0005-0000-0000-0000F4500000}"/>
    <cellStyle name="Page Heading Large 15" xfId="20718" xr:uid="{00000000-0005-0000-0000-0000F5500000}"/>
    <cellStyle name="Page Heading Large 16" xfId="20719" xr:uid="{00000000-0005-0000-0000-0000F6500000}"/>
    <cellStyle name="Page Heading Large 17" xfId="20720" xr:uid="{00000000-0005-0000-0000-0000F7500000}"/>
    <cellStyle name="Page Heading Large 18" xfId="20721" xr:uid="{00000000-0005-0000-0000-0000F8500000}"/>
    <cellStyle name="Page Heading Large 19" xfId="20722" xr:uid="{00000000-0005-0000-0000-0000F9500000}"/>
    <cellStyle name="Page Heading Large 2" xfId="20723" xr:uid="{00000000-0005-0000-0000-0000FA500000}"/>
    <cellStyle name="Page Heading Large 20" xfId="20724" xr:uid="{00000000-0005-0000-0000-0000FB500000}"/>
    <cellStyle name="Page Heading Large 21" xfId="20725" xr:uid="{00000000-0005-0000-0000-0000FC500000}"/>
    <cellStyle name="Page Heading Large 21 2" xfId="20726" xr:uid="{00000000-0005-0000-0000-0000FD500000}"/>
    <cellStyle name="Page Heading Large 3" xfId="20727" xr:uid="{00000000-0005-0000-0000-0000FE500000}"/>
    <cellStyle name="Page Heading Large 4" xfId="20728" xr:uid="{00000000-0005-0000-0000-0000FF500000}"/>
    <cellStyle name="Page Heading Large 5" xfId="20729" xr:uid="{00000000-0005-0000-0000-000000510000}"/>
    <cellStyle name="Page Heading Large 6" xfId="20730" xr:uid="{00000000-0005-0000-0000-000001510000}"/>
    <cellStyle name="Page Heading Large 7" xfId="20731" xr:uid="{00000000-0005-0000-0000-000002510000}"/>
    <cellStyle name="Page Heading Large 8" xfId="20732" xr:uid="{00000000-0005-0000-0000-000003510000}"/>
    <cellStyle name="Page Heading Large 9" xfId="20733" xr:uid="{00000000-0005-0000-0000-000004510000}"/>
    <cellStyle name="Page Heading Small" xfId="20734" xr:uid="{00000000-0005-0000-0000-000005510000}"/>
    <cellStyle name="Page Heading Small 10" xfId="20735" xr:uid="{00000000-0005-0000-0000-000006510000}"/>
    <cellStyle name="Page Heading Small 11" xfId="20736" xr:uid="{00000000-0005-0000-0000-000007510000}"/>
    <cellStyle name="Page Heading Small 12" xfId="20737" xr:uid="{00000000-0005-0000-0000-000008510000}"/>
    <cellStyle name="Page Heading Small 13" xfId="20738" xr:uid="{00000000-0005-0000-0000-000009510000}"/>
    <cellStyle name="Page Heading Small 14" xfId="20739" xr:uid="{00000000-0005-0000-0000-00000A510000}"/>
    <cellStyle name="Page Heading Small 15" xfId="20740" xr:uid="{00000000-0005-0000-0000-00000B510000}"/>
    <cellStyle name="Page Heading Small 16" xfId="20741" xr:uid="{00000000-0005-0000-0000-00000C510000}"/>
    <cellStyle name="Page Heading Small 17" xfId="20742" xr:uid="{00000000-0005-0000-0000-00000D510000}"/>
    <cellStyle name="Page Heading Small 18" xfId="20743" xr:uid="{00000000-0005-0000-0000-00000E510000}"/>
    <cellStyle name="Page Heading Small 19" xfId="20744" xr:uid="{00000000-0005-0000-0000-00000F510000}"/>
    <cellStyle name="Page Heading Small 2" xfId="20745" xr:uid="{00000000-0005-0000-0000-000010510000}"/>
    <cellStyle name="Page Heading Small 20" xfId="20746" xr:uid="{00000000-0005-0000-0000-000011510000}"/>
    <cellStyle name="Page Heading Small 21" xfId="20747" xr:uid="{00000000-0005-0000-0000-000012510000}"/>
    <cellStyle name="Page Heading Small 21 2" xfId="20748" xr:uid="{00000000-0005-0000-0000-000013510000}"/>
    <cellStyle name="Page Heading Small 3" xfId="20749" xr:uid="{00000000-0005-0000-0000-000014510000}"/>
    <cellStyle name="Page Heading Small 4" xfId="20750" xr:uid="{00000000-0005-0000-0000-000015510000}"/>
    <cellStyle name="Page Heading Small 5" xfId="20751" xr:uid="{00000000-0005-0000-0000-000016510000}"/>
    <cellStyle name="Page Heading Small 6" xfId="20752" xr:uid="{00000000-0005-0000-0000-000017510000}"/>
    <cellStyle name="Page Heading Small 7" xfId="20753" xr:uid="{00000000-0005-0000-0000-000018510000}"/>
    <cellStyle name="Page Heading Small 8" xfId="20754" xr:uid="{00000000-0005-0000-0000-000019510000}"/>
    <cellStyle name="Page Heading Small 9" xfId="20755" xr:uid="{00000000-0005-0000-0000-00001A510000}"/>
    <cellStyle name="Page Number" xfId="20756" xr:uid="{00000000-0005-0000-0000-00001B510000}"/>
    <cellStyle name="Page Number 10" xfId="20757" xr:uid="{00000000-0005-0000-0000-00001C510000}"/>
    <cellStyle name="Page Number 11" xfId="20758" xr:uid="{00000000-0005-0000-0000-00001D510000}"/>
    <cellStyle name="Page Number 12" xfId="20759" xr:uid="{00000000-0005-0000-0000-00001E510000}"/>
    <cellStyle name="Page Number 13" xfId="20760" xr:uid="{00000000-0005-0000-0000-00001F510000}"/>
    <cellStyle name="Page Number 14" xfId="20761" xr:uid="{00000000-0005-0000-0000-000020510000}"/>
    <cellStyle name="Page Number 15" xfId="20762" xr:uid="{00000000-0005-0000-0000-000021510000}"/>
    <cellStyle name="Page Number 16" xfId="20763" xr:uid="{00000000-0005-0000-0000-000022510000}"/>
    <cellStyle name="Page Number 17" xfId="20764" xr:uid="{00000000-0005-0000-0000-000023510000}"/>
    <cellStyle name="Page Number 18" xfId="20765" xr:uid="{00000000-0005-0000-0000-000024510000}"/>
    <cellStyle name="Page Number 19" xfId="20766" xr:uid="{00000000-0005-0000-0000-000025510000}"/>
    <cellStyle name="Page Number 2" xfId="20767" xr:uid="{00000000-0005-0000-0000-000026510000}"/>
    <cellStyle name="Page Number 20" xfId="20768" xr:uid="{00000000-0005-0000-0000-000027510000}"/>
    <cellStyle name="Page Number 21" xfId="20769" xr:uid="{00000000-0005-0000-0000-000028510000}"/>
    <cellStyle name="Page Number 21 2" xfId="20770" xr:uid="{00000000-0005-0000-0000-000029510000}"/>
    <cellStyle name="Page Number 3" xfId="20771" xr:uid="{00000000-0005-0000-0000-00002A510000}"/>
    <cellStyle name="Page Number 4" xfId="20772" xr:uid="{00000000-0005-0000-0000-00002B510000}"/>
    <cellStyle name="Page Number 5" xfId="20773" xr:uid="{00000000-0005-0000-0000-00002C510000}"/>
    <cellStyle name="Page Number 6" xfId="20774" xr:uid="{00000000-0005-0000-0000-00002D510000}"/>
    <cellStyle name="Page Number 7" xfId="20775" xr:uid="{00000000-0005-0000-0000-00002E510000}"/>
    <cellStyle name="Page Number 8" xfId="20776" xr:uid="{00000000-0005-0000-0000-00002F510000}"/>
    <cellStyle name="Page Number 9" xfId="20777" xr:uid="{00000000-0005-0000-0000-000030510000}"/>
    <cellStyle name="PageSubTitle" xfId="20778" xr:uid="{00000000-0005-0000-0000-000031510000}"/>
    <cellStyle name="PageSubTitle 10" xfId="20779" xr:uid="{00000000-0005-0000-0000-000032510000}"/>
    <cellStyle name="PageSubTitle 11" xfId="20780" xr:uid="{00000000-0005-0000-0000-000033510000}"/>
    <cellStyle name="PageSubTitle 12" xfId="20781" xr:uid="{00000000-0005-0000-0000-000034510000}"/>
    <cellStyle name="PageSubTitle 13" xfId="20782" xr:uid="{00000000-0005-0000-0000-000035510000}"/>
    <cellStyle name="PageSubTitle 14" xfId="20783" xr:uid="{00000000-0005-0000-0000-000036510000}"/>
    <cellStyle name="PageSubTitle 15" xfId="20784" xr:uid="{00000000-0005-0000-0000-000037510000}"/>
    <cellStyle name="PageSubTitle 16" xfId="20785" xr:uid="{00000000-0005-0000-0000-000038510000}"/>
    <cellStyle name="PageSubTitle 17" xfId="20786" xr:uid="{00000000-0005-0000-0000-000039510000}"/>
    <cellStyle name="PageSubTitle 18" xfId="20787" xr:uid="{00000000-0005-0000-0000-00003A510000}"/>
    <cellStyle name="PageSubTitle 19" xfId="20788" xr:uid="{00000000-0005-0000-0000-00003B510000}"/>
    <cellStyle name="PageSubTitle 2" xfId="20789" xr:uid="{00000000-0005-0000-0000-00003C510000}"/>
    <cellStyle name="PageSubTitle 20" xfId="20790" xr:uid="{00000000-0005-0000-0000-00003D510000}"/>
    <cellStyle name="PageSubTitle 21" xfId="20791" xr:uid="{00000000-0005-0000-0000-00003E510000}"/>
    <cellStyle name="PageSubTitle 21 2" xfId="20792" xr:uid="{00000000-0005-0000-0000-00003F510000}"/>
    <cellStyle name="PageSubTitle 3" xfId="20793" xr:uid="{00000000-0005-0000-0000-000040510000}"/>
    <cellStyle name="PageSubTitle 4" xfId="20794" xr:uid="{00000000-0005-0000-0000-000041510000}"/>
    <cellStyle name="PageSubTitle 5" xfId="20795" xr:uid="{00000000-0005-0000-0000-000042510000}"/>
    <cellStyle name="PageSubTitle 6" xfId="20796" xr:uid="{00000000-0005-0000-0000-000043510000}"/>
    <cellStyle name="PageSubTitle 7" xfId="20797" xr:uid="{00000000-0005-0000-0000-000044510000}"/>
    <cellStyle name="PageSubTitle 8" xfId="20798" xr:uid="{00000000-0005-0000-0000-000045510000}"/>
    <cellStyle name="PageSubTitle 9" xfId="20799" xr:uid="{00000000-0005-0000-0000-000046510000}"/>
    <cellStyle name="PageTitle" xfId="20800" xr:uid="{00000000-0005-0000-0000-000047510000}"/>
    <cellStyle name="PageTitle 10" xfId="20801" xr:uid="{00000000-0005-0000-0000-000048510000}"/>
    <cellStyle name="PageTitle 11" xfId="20802" xr:uid="{00000000-0005-0000-0000-000049510000}"/>
    <cellStyle name="PageTitle 12" xfId="20803" xr:uid="{00000000-0005-0000-0000-00004A510000}"/>
    <cellStyle name="PageTitle 13" xfId="20804" xr:uid="{00000000-0005-0000-0000-00004B510000}"/>
    <cellStyle name="PageTitle 14" xfId="20805" xr:uid="{00000000-0005-0000-0000-00004C510000}"/>
    <cellStyle name="PageTitle 15" xfId="20806" xr:uid="{00000000-0005-0000-0000-00004D510000}"/>
    <cellStyle name="PageTitle 16" xfId="20807" xr:uid="{00000000-0005-0000-0000-00004E510000}"/>
    <cellStyle name="PageTitle 17" xfId="20808" xr:uid="{00000000-0005-0000-0000-00004F510000}"/>
    <cellStyle name="PageTitle 18" xfId="20809" xr:uid="{00000000-0005-0000-0000-000050510000}"/>
    <cellStyle name="PageTitle 19" xfId="20810" xr:uid="{00000000-0005-0000-0000-000051510000}"/>
    <cellStyle name="PageTitle 2" xfId="20811" xr:uid="{00000000-0005-0000-0000-000052510000}"/>
    <cellStyle name="PageTitle 20" xfId="20812" xr:uid="{00000000-0005-0000-0000-000053510000}"/>
    <cellStyle name="PageTitle 21" xfId="20813" xr:uid="{00000000-0005-0000-0000-000054510000}"/>
    <cellStyle name="PageTitle 21 2" xfId="20814" xr:uid="{00000000-0005-0000-0000-000055510000}"/>
    <cellStyle name="PageTitle 3" xfId="20815" xr:uid="{00000000-0005-0000-0000-000056510000}"/>
    <cellStyle name="PageTitle 4" xfId="20816" xr:uid="{00000000-0005-0000-0000-000057510000}"/>
    <cellStyle name="PageTitle 5" xfId="20817" xr:uid="{00000000-0005-0000-0000-000058510000}"/>
    <cellStyle name="PageTitle 6" xfId="20818" xr:uid="{00000000-0005-0000-0000-000059510000}"/>
    <cellStyle name="PageTitle 7" xfId="20819" xr:uid="{00000000-0005-0000-0000-00005A510000}"/>
    <cellStyle name="PageTitle 8" xfId="20820" xr:uid="{00000000-0005-0000-0000-00005B510000}"/>
    <cellStyle name="PageTitle 9" xfId="20821" xr:uid="{00000000-0005-0000-0000-00005C510000}"/>
    <cellStyle name="ParentCO" xfId="20822" xr:uid="{00000000-0005-0000-0000-00005D510000}"/>
    <cellStyle name="ParentCO 10" xfId="20823" xr:uid="{00000000-0005-0000-0000-00005E510000}"/>
    <cellStyle name="ParentCO 11" xfId="20824" xr:uid="{00000000-0005-0000-0000-00005F510000}"/>
    <cellStyle name="ParentCO 12" xfId="20825" xr:uid="{00000000-0005-0000-0000-000060510000}"/>
    <cellStyle name="ParentCO 13" xfId="20826" xr:uid="{00000000-0005-0000-0000-000061510000}"/>
    <cellStyle name="ParentCO 14" xfId="20827" xr:uid="{00000000-0005-0000-0000-000062510000}"/>
    <cellStyle name="ParentCO 15" xfId="20828" xr:uid="{00000000-0005-0000-0000-000063510000}"/>
    <cellStyle name="ParentCO 16" xfId="20829" xr:uid="{00000000-0005-0000-0000-000064510000}"/>
    <cellStyle name="ParentCO 17" xfId="20830" xr:uid="{00000000-0005-0000-0000-000065510000}"/>
    <cellStyle name="ParentCO 18" xfId="20831" xr:uid="{00000000-0005-0000-0000-000066510000}"/>
    <cellStyle name="ParentCO 19" xfId="20832" xr:uid="{00000000-0005-0000-0000-000067510000}"/>
    <cellStyle name="ParentCO 2" xfId="20833" xr:uid="{00000000-0005-0000-0000-000068510000}"/>
    <cellStyle name="ParentCO 20" xfId="20834" xr:uid="{00000000-0005-0000-0000-000069510000}"/>
    <cellStyle name="ParentCO 21" xfId="20835" xr:uid="{00000000-0005-0000-0000-00006A510000}"/>
    <cellStyle name="ParentCO 21 2" xfId="20836" xr:uid="{00000000-0005-0000-0000-00006B510000}"/>
    <cellStyle name="ParentCO 3" xfId="20837" xr:uid="{00000000-0005-0000-0000-00006C510000}"/>
    <cellStyle name="ParentCO 4" xfId="20838" xr:uid="{00000000-0005-0000-0000-00006D510000}"/>
    <cellStyle name="ParentCO 5" xfId="20839" xr:uid="{00000000-0005-0000-0000-00006E510000}"/>
    <cellStyle name="ParentCO 6" xfId="20840" xr:uid="{00000000-0005-0000-0000-00006F510000}"/>
    <cellStyle name="ParentCO 7" xfId="20841" xr:uid="{00000000-0005-0000-0000-000070510000}"/>
    <cellStyle name="ParentCO 8" xfId="20842" xr:uid="{00000000-0005-0000-0000-000071510000}"/>
    <cellStyle name="ParentCO 9" xfId="20843" xr:uid="{00000000-0005-0000-0000-000072510000}"/>
    <cellStyle name="PB Table Subtotal Row" xfId="20844" xr:uid="{00000000-0005-0000-0000-000073510000}"/>
    <cellStyle name="PB Table Subtotal Row 10" xfId="20845" xr:uid="{00000000-0005-0000-0000-000074510000}"/>
    <cellStyle name="PB Table Subtotal Row 11" xfId="20846" xr:uid="{00000000-0005-0000-0000-000075510000}"/>
    <cellStyle name="PB Table Subtotal Row 12" xfId="20847" xr:uid="{00000000-0005-0000-0000-000076510000}"/>
    <cellStyle name="PB Table Subtotal Row 13" xfId="20848" xr:uid="{00000000-0005-0000-0000-000077510000}"/>
    <cellStyle name="PB Table Subtotal Row 14" xfId="20849" xr:uid="{00000000-0005-0000-0000-000078510000}"/>
    <cellStyle name="PB Table Subtotal Row 15" xfId="20850" xr:uid="{00000000-0005-0000-0000-000079510000}"/>
    <cellStyle name="PB Table Subtotal Row 16" xfId="20851" xr:uid="{00000000-0005-0000-0000-00007A510000}"/>
    <cellStyle name="PB Table Subtotal Row 17" xfId="20852" xr:uid="{00000000-0005-0000-0000-00007B510000}"/>
    <cellStyle name="PB Table Subtotal Row 18" xfId="20853" xr:uid="{00000000-0005-0000-0000-00007C510000}"/>
    <cellStyle name="PB Table Subtotal Row 19" xfId="20854" xr:uid="{00000000-0005-0000-0000-00007D510000}"/>
    <cellStyle name="PB Table Subtotal Row 2" xfId="20855" xr:uid="{00000000-0005-0000-0000-00007E510000}"/>
    <cellStyle name="PB Table Subtotal Row 2 2" xfId="20856" xr:uid="{00000000-0005-0000-0000-00007F510000}"/>
    <cellStyle name="PB Table Subtotal Row 20" xfId="20857" xr:uid="{00000000-0005-0000-0000-000080510000}"/>
    <cellStyle name="PB Table Subtotal Row 21" xfId="20858" xr:uid="{00000000-0005-0000-0000-000081510000}"/>
    <cellStyle name="PB Table Subtotal Row 22" xfId="20859" xr:uid="{00000000-0005-0000-0000-000082510000}"/>
    <cellStyle name="PB Table Subtotal Row 23" xfId="20860" xr:uid="{00000000-0005-0000-0000-000083510000}"/>
    <cellStyle name="PB Table Subtotal Row 24" xfId="20861" xr:uid="{00000000-0005-0000-0000-000084510000}"/>
    <cellStyle name="PB Table Subtotal Row 25" xfId="20862" xr:uid="{00000000-0005-0000-0000-000085510000}"/>
    <cellStyle name="PB Table Subtotal Row 26" xfId="20863" xr:uid="{00000000-0005-0000-0000-000086510000}"/>
    <cellStyle name="PB Table Subtotal Row 27" xfId="20864" xr:uid="{00000000-0005-0000-0000-000087510000}"/>
    <cellStyle name="PB Table Subtotal Row 28" xfId="20865" xr:uid="{00000000-0005-0000-0000-000088510000}"/>
    <cellStyle name="PB Table Subtotal Row 29" xfId="20866" xr:uid="{00000000-0005-0000-0000-000089510000}"/>
    <cellStyle name="PB Table Subtotal Row 3" xfId="20867" xr:uid="{00000000-0005-0000-0000-00008A510000}"/>
    <cellStyle name="PB Table Subtotal Row 3 2" xfId="20868" xr:uid="{00000000-0005-0000-0000-00008B510000}"/>
    <cellStyle name="PB Table Subtotal Row 30" xfId="20869" xr:uid="{00000000-0005-0000-0000-00008C510000}"/>
    <cellStyle name="PB Table Subtotal Row 31" xfId="20870" xr:uid="{00000000-0005-0000-0000-00008D510000}"/>
    <cellStyle name="PB Table Subtotal Row 31 2" xfId="20871" xr:uid="{00000000-0005-0000-0000-00008E510000}"/>
    <cellStyle name="PB Table Subtotal Row 32" xfId="20872" xr:uid="{00000000-0005-0000-0000-00008F510000}"/>
    <cellStyle name="PB Table Subtotal Row 33" xfId="20873" xr:uid="{00000000-0005-0000-0000-000090510000}"/>
    <cellStyle name="PB Table Subtotal Row 34" xfId="20874" xr:uid="{00000000-0005-0000-0000-000091510000}"/>
    <cellStyle name="PB Table Subtotal Row 35" xfId="20875" xr:uid="{00000000-0005-0000-0000-000092510000}"/>
    <cellStyle name="PB Table Subtotal Row 36" xfId="20876" xr:uid="{00000000-0005-0000-0000-000093510000}"/>
    <cellStyle name="PB Table Subtotal Row 37" xfId="20877" xr:uid="{00000000-0005-0000-0000-000094510000}"/>
    <cellStyle name="PB Table Subtotal Row 38" xfId="20878" xr:uid="{00000000-0005-0000-0000-000095510000}"/>
    <cellStyle name="PB Table Subtotal Row 39" xfId="20879" xr:uid="{00000000-0005-0000-0000-000096510000}"/>
    <cellStyle name="PB Table Subtotal Row 4" xfId="20880" xr:uid="{00000000-0005-0000-0000-000097510000}"/>
    <cellStyle name="PB Table Subtotal Row 40" xfId="20881" xr:uid="{00000000-0005-0000-0000-000098510000}"/>
    <cellStyle name="PB Table Subtotal Row 5" xfId="20882" xr:uid="{00000000-0005-0000-0000-000099510000}"/>
    <cellStyle name="PB Table Subtotal Row 6" xfId="20883" xr:uid="{00000000-0005-0000-0000-00009A510000}"/>
    <cellStyle name="PB Table Subtotal Row 7" xfId="20884" xr:uid="{00000000-0005-0000-0000-00009B510000}"/>
    <cellStyle name="PB Table Subtotal Row 8" xfId="20885" xr:uid="{00000000-0005-0000-0000-00009C510000}"/>
    <cellStyle name="PB Table Subtotal Row 9" xfId="20886" xr:uid="{00000000-0005-0000-0000-00009D510000}"/>
    <cellStyle name="PB Table Total Row" xfId="20887" xr:uid="{00000000-0005-0000-0000-00009E510000}"/>
    <cellStyle name="PB Table Total Row 10" xfId="20888" xr:uid="{00000000-0005-0000-0000-00009F510000}"/>
    <cellStyle name="PB Table Total Row 11" xfId="20889" xr:uid="{00000000-0005-0000-0000-0000A0510000}"/>
    <cellStyle name="PB Table Total Row 12" xfId="20890" xr:uid="{00000000-0005-0000-0000-0000A1510000}"/>
    <cellStyle name="PB Table Total Row 13" xfId="20891" xr:uid="{00000000-0005-0000-0000-0000A2510000}"/>
    <cellStyle name="PB Table Total Row 14" xfId="20892" xr:uid="{00000000-0005-0000-0000-0000A3510000}"/>
    <cellStyle name="PB Table Total Row 15" xfId="20893" xr:uid="{00000000-0005-0000-0000-0000A4510000}"/>
    <cellStyle name="PB Table Total Row 16" xfId="20894" xr:uid="{00000000-0005-0000-0000-0000A5510000}"/>
    <cellStyle name="PB Table Total Row 17" xfId="20895" xr:uid="{00000000-0005-0000-0000-0000A6510000}"/>
    <cellStyle name="PB Table Total Row 18" xfId="20896" xr:uid="{00000000-0005-0000-0000-0000A7510000}"/>
    <cellStyle name="PB Table Total Row 19" xfId="20897" xr:uid="{00000000-0005-0000-0000-0000A8510000}"/>
    <cellStyle name="PB Table Total Row 2" xfId="20898" xr:uid="{00000000-0005-0000-0000-0000A9510000}"/>
    <cellStyle name="PB Table Total Row 20" xfId="20899" xr:uid="{00000000-0005-0000-0000-0000AA510000}"/>
    <cellStyle name="PB Table Total Row 21" xfId="20900" xr:uid="{00000000-0005-0000-0000-0000AB510000}"/>
    <cellStyle name="PB Table Total Row 22" xfId="20901" xr:uid="{00000000-0005-0000-0000-0000AC510000}"/>
    <cellStyle name="PB Table Total Row 23" xfId="20902" xr:uid="{00000000-0005-0000-0000-0000AD510000}"/>
    <cellStyle name="PB Table Total Row 24" xfId="20903" xr:uid="{00000000-0005-0000-0000-0000AE510000}"/>
    <cellStyle name="PB Table Total Row 25" xfId="20904" xr:uid="{00000000-0005-0000-0000-0000AF510000}"/>
    <cellStyle name="PB Table Total Row 26" xfId="20905" xr:uid="{00000000-0005-0000-0000-0000B0510000}"/>
    <cellStyle name="PB Table Total Row 27" xfId="20906" xr:uid="{00000000-0005-0000-0000-0000B1510000}"/>
    <cellStyle name="PB Table Total Row 28" xfId="20907" xr:uid="{00000000-0005-0000-0000-0000B2510000}"/>
    <cellStyle name="PB Table Total Row 29" xfId="20908" xr:uid="{00000000-0005-0000-0000-0000B3510000}"/>
    <cellStyle name="PB Table Total Row 29 2" xfId="20909" xr:uid="{00000000-0005-0000-0000-0000B4510000}"/>
    <cellStyle name="PB Table Total Row 3" xfId="20910" xr:uid="{00000000-0005-0000-0000-0000B5510000}"/>
    <cellStyle name="PB Table Total Row 30" xfId="20911" xr:uid="{00000000-0005-0000-0000-0000B6510000}"/>
    <cellStyle name="PB Table Total Row 31" xfId="20912" xr:uid="{00000000-0005-0000-0000-0000B7510000}"/>
    <cellStyle name="PB Table Total Row 32" xfId="20913" xr:uid="{00000000-0005-0000-0000-0000B8510000}"/>
    <cellStyle name="PB Table Total Row 33" xfId="20914" xr:uid="{00000000-0005-0000-0000-0000B9510000}"/>
    <cellStyle name="PB Table Total Row 34" xfId="20915" xr:uid="{00000000-0005-0000-0000-0000BA510000}"/>
    <cellStyle name="PB Table Total Row 35" xfId="20916" xr:uid="{00000000-0005-0000-0000-0000BB510000}"/>
    <cellStyle name="PB Table Total Row 36" xfId="20917" xr:uid="{00000000-0005-0000-0000-0000BC510000}"/>
    <cellStyle name="PB Table Total Row 37" xfId="20918" xr:uid="{00000000-0005-0000-0000-0000BD510000}"/>
    <cellStyle name="PB Table Total Row 38" xfId="20919" xr:uid="{00000000-0005-0000-0000-0000BE510000}"/>
    <cellStyle name="PB Table Total Row 4" xfId="20920" xr:uid="{00000000-0005-0000-0000-0000BF510000}"/>
    <cellStyle name="PB Table Total Row 5" xfId="20921" xr:uid="{00000000-0005-0000-0000-0000C0510000}"/>
    <cellStyle name="PB Table Total Row 6" xfId="20922" xr:uid="{00000000-0005-0000-0000-0000C1510000}"/>
    <cellStyle name="PB Table Total Row 7" xfId="20923" xr:uid="{00000000-0005-0000-0000-0000C2510000}"/>
    <cellStyle name="PB Table Total Row 8" xfId="20924" xr:uid="{00000000-0005-0000-0000-0000C3510000}"/>
    <cellStyle name="PB Table Total Row 9" xfId="20925" xr:uid="{00000000-0005-0000-0000-0000C4510000}"/>
    <cellStyle name="pb_page_heading_LS" xfId="20926" xr:uid="{00000000-0005-0000-0000-0000C5510000}"/>
    <cellStyle name="Pctg" xfId="20927" xr:uid="{00000000-0005-0000-0000-0000C6510000}"/>
    <cellStyle name="Pctg 10" xfId="20928" xr:uid="{00000000-0005-0000-0000-0000C7510000}"/>
    <cellStyle name="Pctg 11" xfId="20929" xr:uid="{00000000-0005-0000-0000-0000C8510000}"/>
    <cellStyle name="Pctg 12" xfId="20930" xr:uid="{00000000-0005-0000-0000-0000C9510000}"/>
    <cellStyle name="Pctg 13" xfId="20931" xr:uid="{00000000-0005-0000-0000-0000CA510000}"/>
    <cellStyle name="Pctg 14" xfId="20932" xr:uid="{00000000-0005-0000-0000-0000CB510000}"/>
    <cellStyle name="Pctg 15" xfId="20933" xr:uid="{00000000-0005-0000-0000-0000CC510000}"/>
    <cellStyle name="Pctg 16" xfId="20934" xr:uid="{00000000-0005-0000-0000-0000CD510000}"/>
    <cellStyle name="Pctg 17" xfId="20935" xr:uid="{00000000-0005-0000-0000-0000CE510000}"/>
    <cellStyle name="Pctg 18" xfId="20936" xr:uid="{00000000-0005-0000-0000-0000CF510000}"/>
    <cellStyle name="Pctg 19" xfId="20937" xr:uid="{00000000-0005-0000-0000-0000D0510000}"/>
    <cellStyle name="Pctg 2" xfId="20938" xr:uid="{00000000-0005-0000-0000-0000D1510000}"/>
    <cellStyle name="Pctg 20" xfId="20939" xr:uid="{00000000-0005-0000-0000-0000D2510000}"/>
    <cellStyle name="Pctg 21" xfId="20940" xr:uid="{00000000-0005-0000-0000-0000D3510000}"/>
    <cellStyle name="Pctg 21 2" xfId="20941" xr:uid="{00000000-0005-0000-0000-0000D4510000}"/>
    <cellStyle name="Pctg 3" xfId="20942" xr:uid="{00000000-0005-0000-0000-0000D5510000}"/>
    <cellStyle name="Pctg 4" xfId="20943" xr:uid="{00000000-0005-0000-0000-0000D6510000}"/>
    <cellStyle name="Pctg 5" xfId="20944" xr:uid="{00000000-0005-0000-0000-0000D7510000}"/>
    <cellStyle name="Pctg 6" xfId="20945" xr:uid="{00000000-0005-0000-0000-0000D8510000}"/>
    <cellStyle name="Pctg 7" xfId="20946" xr:uid="{00000000-0005-0000-0000-0000D9510000}"/>
    <cellStyle name="Pctg 8" xfId="20947" xr:uid="{00000000-0005-0000-0000-0000DA510000}"/>
    <cellStyle name="Pctg 9" xfId="20948" xr:uid="{00000000-0005-0000-0000-0000DB510000}"/>
    <cellStyle name="pd" xfId="20949" xr:uid="{00000000-0005-0000-0000-0000DC510000}"/>
    <cellStyle name="pd 10" xfId="20950" xr:uid="{00000000-0005-0000-0000-0000DD510000}"/>
    <cellStyle name="pd 11" xfId="20951" xr:uid="{00000000-0005-0000-0000-0000DE510000}"/>
    <cellStyle name="pd 12" xfId="20952" xr:uid="{00000000-0005-0000-0000-0000DF510000}"/>
    <cellStyle name="pd 13" xfId="20953" xr:uid="{00000000-0005-0000-0000-0000E0510000}"/>
    <cellStyle name="pd 14" xfId="20954" xr:uid="{00000000-0005-0000-0000-0000E1510000}"/>
    <cellStyle name="pd 15" xfId="20955" xr:uid="{00000000-0005-0000-0000-0000E2510000}"/>
    <cellStyle name="pd 16" xfId="20956" xr:uid="{00000000-0005-0000-0000-0000E3510000}"/>
    <cellStyle name="pd 17" xfId="20957" xr:uid="{00000000-0005-0000-0000-0000E4510000}"/>
    <cellStyle name="pd 18" xfId="20958" xr:uid="{00000000-0005-0000-0000-0000E5510000}"/>
    <cellStyle name="pd 19" xfId="20959" xr:uid="{00000000-0005-0000-0000-0000E6510000}"/>
    <cellStyle name="pd 2" xfId="20960" xr:uid="{00000000-0005-0000-0000-0000E7510000}"/>
    <cellStyle name="pd 20" xfId="20961" xr:uid="{00000000-0005-0000-0000-0000E8510000}"/>
    <cellStyle name="pd 21" xfId="20962" xr:uid="{00000000-0005-0000-0000-0000E9510000}"/>
    <cellStyle name="pd 21 2" xfId="20963" xr:uid="{00000000-0005-0000-0000-0000EA510000}"/>
    <cellStyle name="pd 3" xfId="20964" xr:uid="{00000000-0005-0000-0000-0000EB510000}"/>
    <cellStyle name="pd 4" xfId="20965" xr:uid="{00000000-0005-0000-0000-0000EC510000}"/>
    <cellStyle name="pd 5" xfId="20966" xr:uid="{00000000-0005-0000-0000-0000ED510000}"/>
    <cellStyle name="pd 6" xfId="20967" xr:uid="{00000000-0005-0000-0000-0000EE510000}"/>
    <cellStyle name="pd 7" xfId="20968" xr:uid="{00000000-0005-0000-0000-0000EF510000}"/>
    <cellStyle name="pd 8" xfId="20969" xr:uid="{00000000-0005-0000-0000-0000F0510000}"/>
    <cellStyle name="pd 9" xfId="20970" xr:uid="{00000000-0005-0000-0000-0000F1510000}"/>
    <cellStyle name="per.style" xfId="20971" xr:uid="{00000000-0005-0000-0000-0000F2510000}"/>
    <cellStyle name="per.style 10" xfId="20972" xr:uid="{00000000-0005-0000-0000-0000F3510000}"/>
    <cellStyle name="per.style 11" xfId="20973" xr:uid="{00000000-0005-0000-0000-0000F4510000}"/>
    <cellStyle name="per.style 12" xfId="20974" xr:uid="{00000000-0005-0000-0000-0000F5510000}"/>
    <cellStyle name="per.style 13" xfId="20975" xr:uid="{00000000-0005-0000-0000-0000F6510000}"/>
    <cellStyle name="per.style 14" xfId="20976" xr:uid="{00000000-0005-0000-0000-0000F7510000}"/>
    <cellStyle name="per.style 15" xfId="20977" xr:uid="{00000000-0005-0000-0000-0000F8510000}"/>
    <cellStyle name="per.style 16" xfId="20978" xr:uid="{00000000-0005-0000-0000-0000F9510000}"/>
    <cellStyle name="per.style 17" xfId="20979" xr:uid="{00000000-0005-0000-0000-0000FA510000}"/>
    <cellStyle name="per.style 18" xfId="20980" xr:uid="{00000000-0005-0000-0000-0000FB510000}"/>
    <cellStyle name="per.style 19" xfId="20981" xr:uid="{00000000-0005-0000-0000-0000FC510000}"/>
    <cellStyle name="per.style 2" xfId="20982" xr:uid="{00000000-0005-0000-0000-0000FD510000}"/>
    <cellStyle name="per.style 2 2" xfId="20983" xr:uid="{00000000-0005-0000-0000-0000FE510000}"/>
    <cellStyle name="per.style 20" xfId="20984" xr:uid="{00000000-0005-0000-0000-0000FF510000}"/>
    <cellStyle name="per.style 21" xfId="20985" xr:uid="{00000000-0005-0000-0000-000000520000}"/>
    <cellStyle name="per.style 22" xfId="20986" xr:uid="{00000000-0005-0000-0000-000001520000}"/>
    <cellStyle name="per.style 23" xfId="20987" xr:uid="{00000000-0005-0000-0000-000002520000}"/>
    <cellStyle name="per.style 23 2" xfId="20988" xr:uid="{00000000-0005-0000-0000-000003520000}"/>
    <cellStyle name="per.style 3" xfId="20989" xr:uid="{00000000-0005-0000-0000-000004520000}"/>
    <cellStyle name="per.style 3 2" xfId="20990" xr:uid="{00000000-0005-0000-0000-000005520000}"/>
    <cellStyle name="per.style 4" xfId="20991" xr:uid="{00000000-0005-0000-0000-000006520000}"/>
    <cellStyle name="per.style 5" xfId="20992" xr:uid="{00000000-0005-0000-0000-000007520000}"/>
    <cellStyle name="per.style 6" xfId="20993" xr:uid="{00000000-0005-0000-0000-000008520000}"/>
    <cellStyle name="per.style 7" xfId="20994" xr:uid="{00000000-0005-0000-0000-000009520000}"/>
    <cellStyle name="per.style 8" xfId="20995" xr:uid="{00000000-0005-0000-0000-00000A520000}"/>
    <cellStyle name="per.style 9" xfId="20996" xr:uid="{00000000-0005-0000-0000-00000B520000}"/>
    <cellStyle name="Perc1" xfId="20997" xr:uid="{00000000-0005-0000-0000-00000C520000}"/>
    <cellStyle name="Perc1 10" xfId="20998" xr:uid="{00000000-0005-0000-0000-00000D520000}"/>
    <cellStyle name="Perc1 11" xfId="20999" xr:uid="{00000000-0005-0000-0000-00000E520000}"/>
    <cellStyle name="Perc1 12" xfId="21000" xr:uid="{00000000-0005-0000-0000-00000F520000}"/>
    <cellStyle name="Perc1 13" xfId="21001" xr:uid="{00000000-0005-0000-0000-000010520000}"/>
    <cellStyle name="Perc1 14" xfId="21002" xr:uid="{00000000-0005-0000-0000-000011520000}"/>
    <cellStyle name="Perc1 15" xfId="21003" xr:uid="{00000000-0005-0000-0000-000012520000}"/>
    <cellStyle name="Perc1 16" xfId="21004" xr:uid="{00000000-0005-0000-0000-000013520000}"/>
    <cellStyle name="Perc1 17" xfId="21005" xr:uid="{00000000-0005-0000-0000-000014520000}"/>
    <cellStyle name="Perc1 18" xfId="21006" xr:uid="{00000000-0005-0000-0000-000015520000}"/>
    <cellStyle name="Perc1 19" xfId="21007" xr:uid="{00000000-0005-0000-0000-000016520000}"/>
    <cellStyle name="Perc1 2" xfId="21008" xr:uid="{00000000-0005-0000-0000-000017520000}"/>
    <cellStyle name="Perc1 2 2" xfId="21009" xr:uid="{00000000-0005-0000-0000-000018520000}"/>
    <cellStyle name="Perc1 20" xfId="21010" xr:uid="{00000000-0005-0000-0000-000019520000}"/>
    <cellStyle name="Perc1 21" xfId="21011" xr:uid="{00000000-0005-0000-0000-00001A520000}"/>
    <cellStyle name="Perc1 22" xfId="21012" xr:uid="{00000000-0005-0000-0000-00001B520000}"/>
    <cellStyle name="Perc1 23" xfId="21013" xr:uid="{00000000-0005-0000-0000-00001C520000}"/>
    <cellStyle name="Perc1 23 2" xfId="21014" xr:uid="{00000000-0005-0000-0000-00001D520000}"/>
    <cellStyle name="Perc1 3" xfId="21015" xr:uid="{00000000-0005-0000-0000-00001E520000}"/>
    <cellStyle name="Perc1 3 2" xfId="21016" xr:uid="{00000000-0005-0000-0000-00001F520000}"/>
    <cellStyle name="Perc1 4" xfId="21017" xr:uid="{00000000-0005-0000-0000-000020520000}"/>
    <cellStyle name="Perc1 5" xfId="21018" xr:uid="{00000000-0005-0000-0000-000021520000}"/>
    <cellStyle name="Perc1 6" xfId="21019" xr:uid="{00000000-0005-0000-0000-000022520000}"/>
    <cellStyle name="Perc1 7" xfId="21020" xr:uid="{00000000-0005-0000-0000-000023520000}"/>
    <cellStyle name="Perc1 8" xfId="21021" xr:uid="{00000000-0005-0000-0000-000024520000}"/>
    <cellStyle name="Perc1 9" xfId="21022" xr:uid="{00000000-0005-0000-0000-000025520000}"/>
    <cellStyle name="Percen - Style1" xfId="21023" xr:uid="{00000000-0005-0000-0000-000026520000}"/>
    <cellStyle name="Percen - Style1 10" xfId="21024" xr:uid="{00000000-0005-0000-0000-000027520000}"/>
    <cellStyle name="Percen - Style1 11" xfId="21025" xr:uid="{00000000-0005-0000-0000-000028520000}"/>
    <cellStyle name="Percen - Style1 12" xfId="21026" xr:uid="{00000000-0005-0000-0000-000029520000}"/>
    <cellStyle name="Percen - Style1 13" xfId="21027" xr:uid="{00000000-0005-0000-0000-00002A520000}"/>
    <cellStyle name="Percen - Style1 14" xfId="21028" xr:uid="{00000000-0005-0000-0000-00002B520000}"/>
    <cellStyle name="Percen - Style1 15" xfId="21029" xr:uid="{00000000-0005-0000-0000-00002C520000}"/>
    <cellStyle name="Percen - Style1 16" xfId="21030" xr:uid="{00000000-0005-0000-0000-00002D520000}"/>
    <cellStyle name="Percen - Style1 17" xfId="21031" xr:uid="{00000000-0005-0000-0000-00002E520000}"/>
    <cellStyle name="Percen - Style1 18" xfId="21032" xr:uid="{00000000-0005-0000-0000-00002F520000}"/>
    <cellStyle name="Percen - Style1 19" xfId="21033" xr:uid="{00000000-0005-0000-0000-000030520000}"/>
    <cellStyle name="Percen - Style1 2" xfId="21034" xr:uid="{00000000-0005-0000-0000-000031520000}"/>
    <cellStyle name="Percen - Style1 20" xfId="21035" xr:uid="{00000000-0005-0000-0000-000032520000}"/>
    <cellStyle name="Percen - Style1 21" xfId="21036" xr:uid="{00000000-0005-0000-0000-000033520000}"/>
    <cellStyle name="Percen - Style1 21 2" xfId="21037" xr:uid="{00000000-0005-0000-0000-000034520000}"/>
    <cellStyle name="Percen - Style1 3" xfId="21038" xr:uid="{00000000-0005-0000-0000-000035520000}"/>
    <cellStyle name="Percen - Style1 4" xfId="21039" xr:uid="{00000000-0005-0000-0000-000036520000}"/>
    <cellStyle name="Percen - Style1 5" xfId="21040" xr:uid="{00000000-0005-0000-0000-000037520000}"/>
    <cellStyle name="Percen - Style1 6" xfId="21041" xr:uid="{00000000-0005-0000-0000-000038520000}"/>
    <cellStyle name="Percen - Style1 7" xfId="21042" xr:uid="{00000000-0005-0000-0000-000039520000}"/>
    <cellStyle name="Percen - Style1 8" xfId="21043" xr:uid="{00000000-0005-0000-0000-00003A520000}"/>
    <cellStyle name="Percen - Style1 9" xfId="21044" xr:uid="{00000000-0005-0000-0000-00003B520000}"/>
    <cellStyle name="Percen - Style3" xfId="21045" xr:uid="{00000000-0005-0000-0000-00003C520000}"/>
    <cellStyle name="Percen - Style3 10" xfId="21046" xr:uid="{00000000-0005-0000-0000-00003D520000}"/>
    <cellStyle name="Percen - Style3 11" xfId="21047" xr:uid="{00000000-0005-0000-0000-00003E520000}"/>
    <cellStyle name="Percen - Style3 12" xfId="21048" xr:uid="{00000000-0005-0000-0000-00003F520000}"/>
    <cellStyle name="Percen - Style3 13" xfId="21049" xr:uid="{00000000-0005-0000-0000-000040520000}"/>
    <cellStyle name="Percen - Style3 14" xfId="21050" xr:uid="{00000000-0005-0000-0000-000041520000}"/>
    <cellStyle name="Percen - Style3 15" xfId="21051" xr:uid="{00000000-0005-0000-0000-000042520000}"/>
    <cellStyle name="Percen - Style3 16" xfId="21052" xr:uid="{00000000-0005-0000-0000-000043520000}"/>
    <cellStyle name="Percen - Style3 17" xfId="21053" xr:uid="{00000000-0005-0000-0000-000044520000}"/>
    <cellStyle name="Percen - Style3 18" xfId="21054" xr:uid="{00000000-0005-0000-0000-000045520000}"/>
    <cellStyle name="Percen - Style3 19" xfId="21055" xr:uid="{00000000-0005-0000-0000-000046520000}"/>
    <cellStyle name="Percen - Style3 2" xfId="21056" xr:uid="{00000000-0005-0000-0000-000047520000}"/>
    <cellStyle name="Percen - Style3 20" xfId="21057" xr:uid="{00000000-0005-0000-0000-000048520000}"/>
    <cellStyle name="Percen - Style3 21" xfId="21058" xr:uid="{00000000-0005-0000-0000-000049520000}"/>
    <cellStyle name="Percen - Style3 21 2" xfId="21059" xr:uid="{00000000-0005-0000-0000-00004A520000}"/>
    <cellStyle name="Percen - Style3 3" xfId="21060" xr:uid="{00000000-0005-0000-0000-00004B520000}"/>
    <cellStyle name="Percen - Style3 4" xfId="21061" xr:uid="{00000000-0005-0000-0000-00004C520000}"/>
    <cellStyle name="Percen - Style3 5" xfId="21062" xr:uid="{00000000-0005-0000-0000-00004D520000}"/>
    <cellStyle name="Percen - Style3 6" xfId="21063" xr:uid="{00000000-0005-0000-0000-00004E520000}"/>
    <cellStyle name="Percen - Style3 7" xfId="21064" xr:uid="{00000000-0005-0000-0000-00004F520000}"/>
    <cellStyle name="Percen - Style3 8" xfId="21065" xr:uid="{00000000-0005-0000-0000-000050520000}"/>
    <cellStyle name="Percen - Style3 9" xfId="21066" xr:uid="{00000000-0005-0000-0000-000051520000}"/>
    <cellStyle name="Percent" xfId="35734" builtinId="5"/>
    <cellStyle name="Percent %" xfId="21067" xr:uid="{00000000-0005-0000-0000-000053520000}"/>
    <cellStyle name="Percent % 10" xfId="21068" xr:uid="{00000000-0005-0000-0000-000054520000}"/>
    <cellStyle name="Percent % 11" xfId="21069" xr:uid="{00000000-0005-0000-0000-000055520000}"/>
    <cellStyle name="Percent % 12" xfId="21070" xr:uid="{00000000-0005-0000-0000-000056520000}"/>
    <cellStyle name="Percent % 13" xfId="21071" xr:uid="{00000000-0005-0000-0000-000057520000}"/>
    <cellStyle name="Percent % 14" xfId="21072" xr:uid="{00000000-0005-0000-0000-000058520000}"/>
    <cellStyle name="Percent % 15" xfId="21073" xr:uid="{00000000-0005-0000-0000-000059520000}"/>
    <cellStyle name="Percent % 16" xfId="21074" xr:uid="{00000000-0005-0000-0000-00005A520000}"/>
    <cellStyle name="Percent % 17" xfId="21075" xr:uid="{00000000-0005-0000-0000-00005B520000}"/>
    <cellStyle name="Percent % 18" xfId="21076" xr:uid="{00000000-0005-0000-0000-00005C520000}"/>
    <cellStyle name="Percent % 19" xfId="21077" xr:uid="{00000000-0005-0000-0000-00005D520000}"/>
    <cellStyle name="Percent % 2" xfId="21078" xr:uid="{00000000-0005-0000-0000-00005E520000}"/>
    <cellStyle name="Percent % 20" xfId="21079" xr:uid="{00000000-0005-0000-0000-00005F520000}"/>
    <cellStyle name="Percent % 21" xfId="21080" xr:uid="{00000000-0005-0000-0000-000060520000}"/>
    <cellStyle name="Percent % 22" xfId="21081" xr:uid="{00000000-0005-0000-0000-000061520000}"/>
    <cellStyle name="Percent % 23" xfId="21082" xr:uid="{00000000-0005-0000-0000-000062520000}"/>
    <cellStyle name="Percent % 24" xfId="21083" xr:uid="{00000000-0005-0000-0000-000063520000}"/>
    <cellStyle name="Percent % 25" xfId="21084" xr:uid="{00000000-0005-0000-0000-000064520000}"/>
    <cellStyle name="Percent % 26" xfId="21085" xr:uid="{00000000-0005-0000-0000-000065520000}"/>
    <cellStyle name="Percent % 27" xfId="21086" xr:uid="{00000000-0005-0000-0000-000066520000}"/>
    <cellStyle name="Percent % 28" xfId="21087" xr:uid="{00000000-0005-0000-0000-000067520000}"/>
    <cellStyle name="Percent % 29" xfId="21088" xr:uid="{00000000-0005-0000-0000-000068520000}"/>
    <cellStyle name="Percent % 29 2" xfId="21089" xr:uid="{00000000-0005-0000-0000-000069520000}"/>
    <cellStyle name="Percent % 3" xfId="21090" xr:uid="{00000000-0005-0000-0000-00006A520000}"/>
    <cellStyle name="Percent % 30" xfId="21091" xr:uid="{00000000-0005-0000-0000-00006B520000}"/>
    <cellStyle name="Percent % 31" xfId="21092" xr:uid="{00000000-0005-0000-0000-00006C520000}"/>
    <cellStyle name="Percent % 32" xfId="21093" xr:uid="{00000000-0005-0000-0000-00006D520000}"/>
    <cellStyle name="Percent % 33" xfId="21094" xr:uid="{00000000-0005-0000-0000-00006E520000}"/>
    <cellStyle name="Percent % 34" xfId="21095" xr:uid="{00000000-0005-0000-0000-00006F520000}"/>
    <cellStyle name="Percent % 35" xfId="21096" xr:uid="{00000000-0005-0000-0000-000070520000}"/>
    <cellStyle name="Percent % 36" xfId="21097" xr:uid="{00000000-0005-0000-0000-000071520000}"/>
    <cellStyle name="Percent % 37" xfId="21098" xr:uid="{00000000-0005-0000-0000-000072520000}"/>
    <cellStyle name="Percent % 38" xfId="21099" xr:uid="{00000000-0005-0000-0000-000073520000}"/>
    <cellStyle name="Percent % 4" xfId="21100" xr:uid="{00000000-0005-0000-0000-000074520000}"/>
    <cellStyle name="Percent % 5" xfId="21101" xr:uid="{00000000-0005-0000-0000-000075520000}"/>
    <cellStyle name="Percent % 6" xfId="21102" xr:uid="{00000000-0005-0000-0000-000076520000}"/>
    <cellStyle name="Percent % 7" xfId="21103" xr:uid="{00000000-0005-0000-0000-000077520000}"/>
    <cellStyle name="Percent % 8" xfId="21104" xr:uid="{00000000-0005-0000-0000-000078520000}"/>
    <cellStyle name="Percent % 9" xfId="21105" xr:uid="{00000000-0005-0000-0000-000079520000}"/>
    <cellStyle name="Percent % Long Underline" xfId="21106" xr:uid="{00000000-0005-0000-0000-00007A520000}"/>
    <cellStyle name="Percent % Long Underline 10" xfId="21107" xr:uid="{00000000-0005-0000-0000-00007B520000}"/>
    <cellStyle name="Percent % Long Underline 11" xfId="21108" xr:uid="{00000000-0005-0000-0000-00007C520000}"/>
    <cellStyle name="Percent % Long Underline 12" xfId="21109" xr:uid="{00000000-0005-0000-0000-00007D520000}"/>
    <cellStyle name="Percent % Long Underline 13" xfId="21110" xr:uid="{00000000-0005-0000-0000-00007E520000}"/>
    <cellStyle name="Percent % Long Underline 14" xfId="21111" xr:uid="{00000000-0005-0000-0000-00007F520000}"/>
    <cellStyle name="Percent % Long Underline 15" xfId="21112" xr:uid="{00000000-0005-0000-0000-000080520000}"/>
    <cellStyle name="Percent % Long Underline 16" xfId="21113" xr:uid="{00000000-0005-0000-0000-000081520000}"/>
    <cellStyle name="Percent % Long Underline 17" xfId="21114" xr:uid="{00000000-0005-0000-0000-000082520000}"/>
    <cellStyle name="Percent % Long Underline 18" xfId="21115" xr:uid="{00000000-0005-0000-0000-000083520000}"/>
    <cellStyle name="Percent % Long Underline 19" xfId="21116" xr:uid="{00000000-0005-0000-0000-000084520000}"/>
    <cellStyle name="Percent % Long Underline 2" xfId="21117" xr:uid="{00000000-0005-0000-0000-000085520000}"/>
    <cellStyle name="Percent % Long Underline 20" xfId="21118" xr:uid="{00000000-0005-0000-0000-000086520000}"/>
    <cellStyle name="Percent % Long Underline 21" xfId="21119" xr:uid="{00000000-0005-0000-0000-000087520000}"/>
    <cellStyle name="Percent % Long Underline 22" xfId="21120" xr:uid="{00000000-0005-0000-0000-000088520000}"/>
    <cellStyle name="Percent % Long Underline 23" xfId="21121" xr:uid="{00000000-0005-0000-0000-000089520000}"/>
    <cellStyle name="Percent % Long Underline 24" xfId="21122" xr:uid="{00000000-0005-0000-0000-00008A520000}"/>
    <cellStyle name="Percent % Long Underline 25" xfId="21123" xr:uid="{00000000-0005-0000-0000-00008B520000}"/>
    <cellStyle name="Percent % Long Underline 26" xfId="21124" xr:uid="{00000000-0005-0000-0000-00008C520000}"/>
    <cellStyle name="Percent % Long Underline 27" xfId="21125" xr:uid="{00000000-0005-0000-0000-00008D520000}"/>
    <cellStyle name="Percent % Long Underline 28" xfId="21126" xr:uid="{00000000-0005-0000-0000-00008E520000}"/>
    <cellStyle name="Percent % Long Underline 29" xfId="21127" xr:uid="{00000000-0005-0000-0000-00008F520000}"/>
    <cellStyle name="Percent % Long Underline 29 2" xfId="21128" xr:uid="{00000000-0005-0000-0000-000090520000}"/>
    <cellStyle name="Percent % Long Underline 3" xfId="21129" xr:uid="{00000000-0005-0000-0000-000091520000}"/>
    <cellStyle name="Percent % Long Underline 30" xfId="21130" xr:uid="{00000000-0005-0000-0000-000092520000}"/>
    <cellStyle name="Percent % Long Underline 31" xfId="21131" xr:uid="{00000000-0005-0000-0000-000093520000}"/>
    <cellStyle name="Percent % Long Underline 32" xfId="21132" xr:uid="{00000000-0005-0000-0000-000094520000}"/>
    <cellStyle name="Percent % Long Underline 33" xfId="21133" xr:uid="{00000000-0005-0000-0000-000095520000}"/>
    <cellStyle name="Percent % Long Underline 34" xfId="21134" xr:uid="{00000000-0005-0000-0000-000096520000}"/>
    <cellStyle name="Percent % Long Underline 35" xfId="21135" xr:uid="{00000000-0005-0000-0000-000097520000}"/>
    <cellStyle name="Percent % Long Underline 36" xfId="21136" xr:uid="{00000000-0005-0000-0000-000098520000}"/>
    <cellStyle name="Percent % Long Underline 37" xfId="21137" xr:uid="{00000000-0005-0000-0000-000099520000}"/>
    <cellStyle name="Percent % Long Underline 38" xfId="21138" xr:uid="{00000000-0005-0000-0000-00009A520000}"/>
    <cellStyle name="Percent % Long Underline 4" xfId="21139" xr:uid="{00000000-0005-0000-0000-00009B520000}"/>
    <cellStyle name="Percent % Long Underline 5" xfId="21140" xr:uid="{00000000-0005-0000-0000-00009C520000}"/>
    <cellStyle name="Percent % Long Underline 6" xfId="21141" xr:uid="{00000000-0005-0000-0000-00009D520000}"/>
    <cellStyle name="Percent % Long Underline 7" xfId="21142" xr:uid="{00000000-0005-0000-0000-00009E520000}"/>
    <cellStyle name="Percent % Long Underline 8" xfId="21143" xr:uid="{00000000-0005-0000-0000-00009F520000}"/>
    <cellStyle name="Percent % Long Underline 9" xfId="21144" xr:uid="{00000000-0005-0000-0000-0000A0520000}"/>
    <cellStyle name="Percent %_{6} Carry" xfId="21145" xr:uid="{00000000-0005-0000-0000-0000A1520000}"/>
    <cellStyle name="Percent (0)" xfId="21146" xr:uid="{00000000-0005-0000-0000-0000A2520000}"/>
    <cellStyle name="Percent (0) 10" xfId="21147" xr:uid="{00000000-0005-0000-0000-0000A3520000}"/>
    <cellStyle name="Percent (0) 11" xfId="21148" xr:uid="{00000000-0005-0000-0000-0000A4520000}"/>
    <cellStyle name="Percent (0) 12" xfId="21149" xr:uid="{00000000-0005-0000-0000-0000A5520000}"/>
    <cellStyle name="Percent (0) 13" xfId="21150" xr:uid="{00000000-0005-0000-0000-0000A6520000}"/>
    <cellStyle name="Percent (0) 14" xfId="21151" xr:uid="{00000000-0005-0000-0000-0000A7520000}"/>
    <cellStyle name="Percent (0) 15" xfId="21152" xr:uid="{00000000-0005-0000-0000-0000A8520000}"/>
    <cellStyle name="Percent (0) 16" xfId="21153" xr:uid="{00000000-0005-0000-0000-0000A9520000}"/>
    <cellStyle name="Percent (0) 17" xfId="21154" xr:uid="{00000000-0005-0000-0000-0000AA520000}"/>
    <cellStyle name="Percent (0) 18" xfId="21155" xr:uid="{00000000-0005-0000-0000-0000AB520000}"/>
    <cellStyle name="Percent (0) 19" xfId="21156" xr:uid="{00000000-0005-0000-0000-0000AC520000}"/>
    <cellStyle name="Percent (0) 2" xfId="21157" xr:uid="{00000000-0005-0000-0000-0000AD520000}"/>
    <cellStyle name="Percent (0) 20" xfId="21158" xr:uid="{00000000-0005-0000-0000-0000AE520000}"/>
    <cellStyle name="Percent (0) 21" xfId="21159" xr:uid="{00000000-0005-0000-0000-0000AF520000}"/>
    <cellStyle name="Percent (0) 22" xfId="21160" xr:uid="{00000000-0005-0000-0000-0000B0520000}"/>
    <cellStyle name="Percent (0) 23" xfId="21161" xr:uid="{00000000-0005-0000-0000-0000B1520000}"/>
    <cellStyle name="Percent (0) 23 2" xfId="21162" xr:uid="{00000000-0005-0000-0000-0000B2520000}"/>
    <cellStyle name="Percent (0) 24" xfId="21163" xr:uid="{00000000-0005-0000-0000-0000B3520000}"/>
    <cellStyle name="Percent (0) 24 2" xfId="21164" xr:uid="{00000000-0005-0000-0000-0000B4520000}"/>
    <cellStyle name="Percent (0) 25" xfId="21165" xr:uid="{00000000-0005-0000-0000-0000B5520000}"/>
    <cellStyle name="Percent (0) 26" xfId="21166" xr:uid="{00000000-0005-0000-0000-0000B6520000}"/>
    <cellStyle name="Percent (0) 27" xfId="21167" xr:uid="{00000000-0005-0000-0000-0000B7520000}"/>
    <cellStyle name="Percent (0) 28" xfId="21168" xr:uid="{00000000-0005-0000-0000-0000B8520000}"/>
    <cellStyle name="Percent (0) 29" xfId="21169" xr:uid="{00000000-0005-0000-0000-0000B9520000}"/>
    <cellStyle name="Percent (0) 3" xfId="21170" xr:uid="{00000000-0005-0000-0000-0000BA520000}"/>
    <cellStyle name="Percent (0) 3 2" xfId="21171" xr:uid="{00000000-0005-0000-0000-0000BB520000}"/>
    <cellStyle name="Percent (0) 30" xfId="21172" xr:uid="{00000000-0005-0000-0000-0000BC520000}"/>
    <cellStyle name="Percent (0) 31" xfId="21173" xr:uid="{00000000-0005-0000-0000-0000BD520000}"/>
    <cellStyle name="Percent (0) 32" xfId="21174" xr:uid="{00000000-0005-0000-0000-0000BE520000}"/>
    <cellStyle name="Percent (0) 33" xfId="21175" xr:uid="{00000000-0005-0000-0000-0000BF520000}"/>
    <cellStyle name="Percent (0) 34" xfId="21176" xr:uid="{00000000-0005-0000-0000-0000C0520000}"/>
    <cellStyle name="Percent (0) 35" xfId="21177" xr:uid="{00000000-0005-0000-0000-0000C1520000}"/>
    <cellStyle name="Percent (0) 36" xfId="21178" xr:uid="{00000000-0005-0000-0000-0000C2520000}"/>
    <cellStyle name="Percent (0) 37" xfId="21179" xr:uid="{00000000-0005-0000-0000-0000C3520000}"/>
    <cellStyle name="Percent (0) 38" xfId="21180" xr:uid="{00000000-0005-0000-0000-0000C4520000}"/>
    <cellStyle name="Percent (0) 4" xfId="21181" xr:uid="{00000000-0005-0000-0000-0000C5520000}"/>
    <cellStyle name="Percent (0) 4 2" xfId="21182" xr:uid="{00000000-0005-0000-0000-0000C6520000}"/>
    <cellStyle name="Percent (0) 5" xfId="21183" xr:uid="{00000000-0005-0000-0000-0000C7520000}"/>
    <cellStyle name="Percent (0) 5 2" xfId="21184" xr:uid="{00000000-0005-0000-0000-0000C8520000}"/>
    <cellStyle name="Percent (0) 6" xfId="21185" xr:uid="{00000000-0005-0000-0000-0000C9520000}"/>
    <cellStyle name="Percent (0) 6 2" xfId="21186" xr:uid="{00000000-0005-0000-0000-0000CA520000}"/>
    <cellStyle name="Percent (0) 7" xfId="21187" xr:uid="{00000000-0005-0000-0000-0000CB520000}"/>
    <cellStyle name="Percent (0) 7 2" xfId="21188" xr:uid="{00000000-0005-0000-0000-0000CC520000}"/>
    <cellStyle name="Percent (0) 8" xfId="21189" xr:uid="{00000000-0005-0000-0000-0000CD520000}"/>
    <cellStyle name="Percent (0) 8 2" xfId="21190" xr:uid="{00000000-0005-0000-0000-0000CE520000}"/>
    <cellStyle name="Percent (0) 9" xfId="21191" xr:uid="{00000000-0005-0000-0000-0000CF520000}"/>
    <cellStyle name="Percent [0]" xfId="21192" xr:uid="{00000000-0005-0000-0000-0000D0520000}"/>
    <cellStyle name="Percent [0] 10" xfId="21193" xr:uid="{00000000-0005-0000-0000-0000D1520000}"/>
    <cellStyle name="Percent [0] 11" xfId="21194" xr:uid="{00000000-0005-0000-0000-0000D2520000}"/>
    <cellStyle name="Percent [0] 12" xfId="21195" xr:uid="{00000000-0005-0000-0000-0000D3520000}"/>
    <cellStyle name="Percent [0] 13" xfId="21196" xr:uid="{00000000-0005-0000-0000-0000D4520000}"/>
    <cellStyle name="Percent [0] 14" xfId="21197" xr:uid="{00000000-0005-0000-0000-0000D5520000}"/>
    <cellStyle name="Percent [0] 15" xfId="21198" xr:uid="{00000000-0005-0000-0000-0000D6520000}"/>
    <cellStyle name="Percent [0] 16" xfId="21199" xr:uid="{00000000-0005-0000-0000-0000D7520000}"/>
    <cellStyle name="Percent [0] 17" xfId="21200" xr:uid="{00000000-0005-0000-0000-0000D8520000}"/>
    <cellStyle name="Percent [0] 18" xfId="21201" xr:uid="{00000000-0005-0000-0000-0000D9520000}"/>
    <cellStyle name="Percent [0] 19" xfId="21202" xr:uid="{00000000-0005-0000-0000-0000DA520000}"/>
    <cellStyle name="Percent [0] 2" xfId="21203" xr:uid="{00000000-0005-0000-0000-0000DB520000}"/>
    <cellStyle name="Percent [0] 20" xfId="21204" xr:uid="{00000000-0005-0000-0000-0000DC520000}"/>
    <cellStyle name="Percent [0] 21" xfId="21205" xr:uid="{00000000-0005-0000-0000-0000DD520000}"/>
    <cellStyle name="Percent [0] 21 2" xfId="21206" xr:uid="{00000000-0005-0000-0000-0000DE520000}"/>
    <cellStyle name="Percent [0] 3" xfId="21207" xr:uid="{00000000-0005-0000-0000-0000DF520000}"/>
    <cellStyle name="Percent [0] 4" xfId="21208" xr:uid="{00000000-0005-0000-0000-0000E0520000}"/>
    <cellStyle name="Percent [0] 5" xfId="21209" xr:uid="{00000000-0005-0000-0000-0000E1520000}"/>
    <cellStyle name="Percent [0] 6" xfId="21210" xr:uid="{00000000-0005-0000-0000-0000E2520000}"/>
    <cellStyle name="Percent [0] 7" xfId="21211" xr:uid="{00000000-0005-0000-0000-0000E3520000}"/>
    <cellStyle name="Percent [0] 8" xfId="21212" xr:uid="{00000000-0005-0000-0000-0000E4520000}"/>
    <cellStyle name="Percent [0] 9" xfId="21213" xr:uid="{00000000-0005-0000-0000-0000E5520000}"/>
    <cellStyle name="Percent [00]" xfId="21214" xr:uid="{00000000-0005-0000-0000-0000E6520000}"/>
    <cellStyle name="Percent [00] 10" xfId="21215" xr:uid="{00000000-0005-0000-0000-0000E7520000}"/>
    <cellStyle name="Percent [00] 11" xfId="21216" xr:uid="{00000000-0005-0000-0000-0000E8520000}"/>
    <cellStyle name="Percent [00] 12" xfId="21217" xr:uid="{00000000-0005-0000-0000-0000E9520000}"/>
    <cellStyle name="Percent [00] 13" xfId="21218" xr:uid="{00000000-0005-0000-0000-0000EA520000}"/>
    <cellStyle name="Percent [00] 14" xfId="21219" xr:uid="{00000000-0005-0000-0000-0000EB520000}"/>
    <cellStyle name="Percent [00] 15" xfId="21220" xr:uid="{00000000-0005-0000-0000-0000EC520000}"/>
    <cellStyle name="Percent [00] 16" xfId="21221" xr:uid="{00000000-0005-0000-0000-0000ED520000}"/>
    <cellStyle name="Percent [00] 17" xfId="21222" xr:uid="{00000000-0005-0000-0000-0000EE520000}"/>
    <cellStyle name="Percent [00] 18" xfId="21223" xr:uid="{00000000-0005-0000-0000-0000EF520000}"/>
    <cellStyle name="Percent [00] 19" xfId="21224" xr:uid="{00000000-0005-0000-0000-0000F0520000}"/>
    <cellStyle name="Percent [00] 2" xfId="21225" xr:uid="{00000000-0005-0000-0000-0000F1520000}"/>
    <cellStyle name="Percent [00] 2 2" xfId="21226" xr:uid="{00000000-0005-0000-0000-0000F2520000}"/>
    <cellStyle name="Percent [00] 20" xfId="21227" xr:uid="{00000000-0005-0000-0000-0000F3520000}"/>
    <cellStyle name="Percent [00] 21" xfId="21228" xr:uid="{00000000-0005-0000-0000-0000F4520000}"/>
    <cellStyle name="Percent [00] 22" xfId="21229" xr:uid="{00000000-0005-0000-0000-0000F5520000}"/>
    <cellStyle name="Percent [00] 23" xfId="21230" xr:uid="{00000000-0005-0000-0000-0000F6520000}"/>
    <cellStyle name="Percent [00] 3" xfId="21231" xr:uid="{00000000-0005-0000-0000-0000F7520000}"/>
    <cellStyle name="Percent [00] 3 2" xfId="21232" xr:uid="{00000000-0005-0000-0000-0000F8520000}"/>
    <cellStyle name="Percent [00] 4" xfId="21233" xr:uid="{00000000-0005-0000-0000-0000F9520000}"/>
    <cellStyle name="Percent [00] 5" xfId="21234" xr:uid="{00000000-0005-0000-0000-0000FA520000}"/>
    <cellStyle name="Percent [00] 6" xfId="21235" xr:uid="{00000000-0005-0000-0000-0000FB520000}"/>
    <cellStyle name="Percent [00] 7" xfId="21236" xr:uid="{00000000-0005-0000-0000-0000FC520000}"/>
    <cellStyle name="Percent [00] 8" xfId="21237" xr:uid="{00000000-0005-0000-0000-0000FD520000}"/>
    <cellStyle name="Percent [00] 9" xfId="21238" xr:uid="{00000000-0005-0000-0000-0000FE520000}"/>
    <cellStyle name="Percent [2]" xfId="21239" xr:uid="{00000000-0005-0000-0000-0000FF520000}"/>
    <cellStyle name="Percent [2] 10" xfId="21240" xr:uid="{00000000-0005-0000-0000-000000530000}"/>
    <cellStyle name="Percent [2] 10 2" xfId="21241" xr:uid="{00000000-0005-0000-0000-000001530000}"/>
    <cellStyle name="Percent [2] 11" xfId="21242" xr:uid="{00000000-0005-0000-0000-000002530000}"/>
    <cellStyle name="Percent [2] 12" xfId="21243" xr:uid="{00000000-0005-0000-0000-000003530000}"/>
    <cellStyle name="Percent [2] 13" xfId="21244" xr:uid="{00000000-0005-0000-0000-000004530000}"/>
    <cellStyle name="Percent [2] 14" xfId="21245" xr:uid="{00000000-0005-0000-0000-000005530000}"/>
    <cellStyle name="Percent [2] 15" xfId="21246" xr:uid="{00000000-0005-0000-0000-000006530000}"/>
    <cellStyle name="Percent [2] 16" xfId="21247" xr:uid="{00000000-0005-0000-0000-000007530000}"/>
    <cellStyle name="Percent [2] 17" xfId="21248" xr:uid="{00000000-0005-0000-0000-000008530000}"/>
    <cellStyle name="Percent [2] 18" xfId="21249" xr:uid="{00000000-0005-0000-0000-000009530000}"/>
    <cellStyle name="Percent [2] 19" xfId="21250" xr:uid="{00000000-0005-0000-0000-00000A530000}"/>
    <cellStyle name="Percent [2] 2" xfId="21251" xr:uid="{00000000-0005-0000-0000-00000B530000}"/>
    <cellStyle name="Percent [2] 20" xfId="21252" xr:uid="{00000000-0005-0000-0000-00000C530000}"/>
    <cellStyle name="Percent [2] 21" xfId="21253" xr:uid="{00000000-0005-0000-0000-00000D530000}"/>
    <cellStyle name="Percent [2] 22" xfId="21254" xr:uid="{00000000-0005-0000-0000-00000E530000}"/>
    <cellStyle name="Percent [2] 23" xfId="21255" xr:uid="{00000000-0005-0000-0000-00000F530000}"/>
    <cellStyle name="Percent [2] 24" xfId="21256" xr:uid="{00000000-0005-0000-0000-000010530000}"/>
    <cellStyle name="Percent [2] 25" xfId="21257" xr:uid="{00000000-0005-0000-0000-000011530000}"/>
    <cellStyle name="Percent [2] 25 2" xfId="21258" xr:uid="{00000000-0005-0000-0000-000012530000}"/>
    <cellStyle name="Percent [2] 26" xfId="21259" xr:uid="{00000000-0005-0000-0000-000013530000}"/>
    <cellStyle name="Percent [2] 26 2" xfId="21260" xr:uid="{00000000-0005-0000-0000-000014530000}"/>
    <cellStyle name="Percent [2] 27" xfId="21261" xr:uid="{00000000-0005-0000-0000-000015530000}"/>
    <cellStyle name="Percent [2] 28" xfId="21262" xr:uid="{00000000-0005-0000-0000-000016530000}"/>
    <cellStyle name="Percent [2] 29" xfId="21263" xr:uid="{00000000-0005-0000-0000-000017530000}"/>
    <cellStyle name="Percent [2] 3" xfId="21264" xr:uid="{00000000-0005-0000-0000-000018530000}"/>
    <cellStyle name="Percent [2] 3 2" xfId="21265" xr:uid="{00000000-0005-0000-0000-000019530000}"/>
    <cellStyle name="Percent [2] 30" xfId="21266" xr:uid="{00000000-0005-0000-0000-00001A530000}"/>
    <cellStyle name="Percent [2] 31" xfId="21267" xr:uid="{00000000-0005-0000-0000-00001B530000}"/>
    <cellStyle name="Percent [2] 32" xfId="21268" xr:uid="{00000000-0005-0000-0000-00001C530000}"/>
    <cellStyle name="Percent [2] 33" xfId="21269" xr:uid="{00000000-0005-0000-0000-00001D530000}"/>
    <cellStyle name="Percent [2] 34" xfId="21270" xr:uid="{00000000-0005-0000-0000-00001E530000}"/>
    <cellStyle name="Percent [2] 35" xfId="21271" xr:uid="{00000000-0005-0000-0000-00001F530000}"/>
    <cellStyle name="Percent [2] 36" xfId="21272" xr:uid="{00000000-0005-0000-0000-000020530000}"/>
    <cellStyle name="Percent [2] 37" xfId="21273" xr:uid="{00000000-0005-0000-0000-000021530000}"/>
    <cellStyle name="Percent [2] 38" xfId="21274" xr:uid="{00000000-0005-0000-0000-000022530000}"/>
    <cellStyle name="Percent [2] 39" xfId="21275" xr:uid="{00000000-0005-0000-0000-000023530000}"/>
    <cellStyle name="Percent [2] 4" xfId="21276" xr:uid="{00000000-0005-0000-0000-000024530000}"/>
    <cellStyle name="Percent [2] 4 2" xfId="21277" xr:uid="{00000000-0005-0000-0000-000025530000}"/>
    <cellStyle name="Percent [2] 40" xfId="21278" xr:uid="{00000000-0005-0000-0000-000026530000}"/>
    <cellStyle name="Percent [2] 41" xfId="21279" xr:uid="{00000000-0005-0000-0000-000027530000}"/>
    <cellStyle name="Percent [2] 42" xfId="21280" xr:uid="{00000000-0005-0000-0000-000028530000}"/>
    <cellStyle name="Percent [2] 43" xfId="21281" xr:uid="{00000000-0005-0000-0000-000029530000}"/>
    <cellStyle name="Percent [2] 44" xfId="21282" xr:uid="{00000000-0005-0000-0000-00002A530000}"/>
    <cellStyle name="Percent [2] 45" xfId="21283" xr:uid="{00000000-0005-0000-0000-00002B530000}"/>
    <cellStyle name="Percent [2] 46" xfId="21284" xr:uid="{00000000-0005-0000-0000-00002C530000}"/>
    <cellStyle name="Percent [2] 5" xfId="21285" xr:uid="{00000000-0005-0000-0000-00002D530000}"/>
    <cellStyle name="Percent [2] 5 2" xfId="21286" xr:uid="{00000000-0005-0000-0000-00002E530000}"/>
    <cellStyle name="Percent [2] 6" xfId="21287" xr:uid="{00000000-0005-0000-0000-00002F530000}"/>
    <cellStyle name="Percent [2] 6 2" xfId="21288" xr:uid="{00000000-0005-0000-0000-000030530000}"/>
    <cellStyle name="Percent [2] 7" xfId="21289" xr:uid="{00000000-0005-0000-0000-000031530000}"/>
    <cellStyle name="Percent [2] 7 2" xfId="21290" xr:uid="{00000000-0005-0000-0000-000032530000}"/>
    <cellStyle name="Percent [2] 8" xfId="21291" xr:uid="{00000000-0005-0000-0000-000033530000}"/>
    <cellStyle name="Percent [2] 9" xfId="21292" xr:uid="{00000000-0005-0000-0000-000034530000}"/>
    <cellStyle name="Percent [2] 9 2" xfId="21293" xr:uid="{00000000-0005-0000-0000-000035530000}"/>
    <cellStyle name="Percent 0.0%" xfId="21294" xr:uid="{00000000-0005-0000-0000-000036530000}"/>
    <cellStyle name="Percent 0.0% 10" xfId="21295" xr:uid="{00000000-0005-0000-0000-000037530000}"/>
    <cellStyle name="Percent 0.0% 11" xfId="21296" xr:uid="{00000000-0005-0000-0000-000038530000}"/>
    <cellStyle name="Percent 0.0% 12" xfId="21297" xr:uid="{00000000-0005-0000-0000-000039530000}"/>
    <cellStyle name="Percent 0.0% 13" xfId="21298" xr:uid="{00000000-0005-0000-0000-00003A530000}"/>
    <cellStyle name="Percent 0.0% 14" xfId="21299" xr:uid="{00000000-0005-0000-0000-00003B530000}"/>
    <cellStyle name="Percent 0.0% 15" xfId="21300" xr:uid="{00000000-0005-0000-0000-00003C530000}"/>
    <cellStyle name="Percent 0.0% 16" xfId="21301" xr:uid="{00000000-0005-0000-0000-00003D530000}"/>
    <cellStyle name="Percent 0.0% 17" xfId="21302" xr:uid="{00000000-0005-0000-0000-00003E530000}"/>
    <cellStyle name="Percent 0.0% 18" xfId="21303" xr:uid="{00000000-0005-0000-0000-00003F530000}"/>
    <cellStyle name="Percent 0.0% 19" xfId="21304" xr:uid="{00000000-0005-0000-0000-000040530000}"/>
    <cellStyle name="Percent 0.0% 2" xfId="21305" xr:uid="{00000000-0005-0000-0000-000041530000}"/>
    <cellStyle name="Percent 0.0% 20" xfId="21306" xr:uid="{00000000-0005-0000-0000-000042530000}"/>
    <cellStyle name="Percent 0.0% 21" xfId="21307" xr:uid="{00000000-0005-0000-0000-000043530000}"/>
    <cellStyle name="Percent 0.0% 22" xfId="21308" xr:uid="{00000000-0005-0000-0000-000044530000}"/>
    <cellStyle name="Percent 0.0% 23" xfId="21309" xr:uid="{00000000-0005-0000-0000-000045530000}"/>
    <cellStyle name="Percent 0.0% 24" xfId="21310" xr:uid="{00000000-0005-0000-0000-000046530000}"/>
    <cellStyle name="Percent 0.0% 25" xfId="21311" xr:uid="{00000000-0005-0000-0000-000047530000}"/>
    <cellStyle name="Percent 0.0% 26" xfId="21312" xr:uid="{00000000-0005-0000-0000-000048530000}"/>
    <cellStyle name="Percent 0.0% 27" xfId="21313" xr:uid="{00000000-0005-0000-0000-000049530000}"/>
    <cellStyle name="Percent 0.0% 28" xfId="21314" xr:uid="{00000000-0005-0000-0000-00004A530000}"/>
    <cellStyle name="Percent 0.0% 29" xfId="21315" xr:uid="{00000000-0005-0000-0000-00004B530000}"/>
    <cellStyle name="Percent 0.0% 29 2" xfId="21316" xr:uid="{00000000-0005-0000-0000-00004C530000}"/>
    <cellStyle name="Percent 0.0% 3" xfId="21317" xr:uid="{00000000-0005-0000-0000-00004D530000}"/>
    <cellStyle name="Percent 0.0% 30" xfId="21318" xr:uid="{00000000-0005-0000-0000-00004E530000}"/>
    <cellStyle name="Percent 0.0% 31" xfId="21319" xr:uid="{00000000-0005-0000-0000-00004F530000}"/>
    <cellStyle name="Percent 0.0% 32" xfId="21320" xr:uid="{00000000-0005-0000-0000-000050530000}"/>
    <cellStyle name="Percent 0.0% 33" xfId="21321" xr:uid="{00000000-0005-0000-0000-000051530000}"/>
    <cellStyle name="Percent 0.0% 34" xfId="21322" xr:uid="{00000000-0005-0000-0000-000052530000}"/>
    <cellStyle name="Percent 0.0% 35" xfId="21323" xr:uid="{00000000-0005-0000-0000-000053530000}"/>
    <cellStyle name="Percent 0.0% 36" xfId="21324" xr:uid="{00000000-0005-0000-0000-000054530000}"/>
    <cellStyle name="Percent 0.0% 37" xfId="21325" xr:uid="{00000000-0005-0000-0000-000055530000}"/>
    <cellStyle name="Percent 0.0% 38" xfId="21326" xr:uid="{00000000-0005-0000-0000-000056530000}"/>
    <cellStyle name="Percent 0.0% 4" xfId="21327" xr:uid="{00000000-0005-0000-0000-000057530000}"/>
    <cellStyle name="Percent 0.0% 5" xfId="21328" xr:uid="{00000000-0005-0000-0000-000058530000}"/>
    <cellStyle name="Percent 0.0% 6" xfId="21329" xr:uid="{00000000-0005-0000-0000-000059530000}"/>
    <cellStyle name="Percent 0.0% 7" xfId="21330" xr:uid="{00000000-0005-0000-0000-00005A530000}"/>
    <cellStyle name="Percent 0.0% 8" xfId="21331" xr:uid="{00000000-0005-0000-0000-00005B530000}"/>
    <cellStyle name="Percent 0.0% 9" xfId="21332" xr:uid="{00000000-0005-0000-0000-00005C530000}"/>
    <cellStyle name="Percent 0.0% Long Underline" xfId="21333" xr:uid="{00000000-0005-0000-0000-00005D530000}"/>
    <cellStyle name="Percent 0.0% Long Underline 10" xfId="21334" xr:uid="{00000000-0005-0000-0000-00005E530000}"/>
    <cellStyle name="Percent 0.0% Long Underline 11" xfId="21335" xr:uid="{00000000-0005-0000-0000-00005F530000}"/>
    <cellStyle name="Percent 0.0% Long Underline 12" xfId="21336" xr:uid="{00000000-0005-0000-0000-000060530000}"/>
    <cellStyle name="Percent 0.0% Long Underline 13" xfId="21337" xr:uid="{00000000-0005-0000-0000-000061530000}"/>
    <cellStyle name="Percent 0.0% Long Underline 14" xfId="21338" xr:uid="{00000000-0005-0000-0000-000062530000}"/>
    <cellStyle name="Percent 0.0% Long Underline 15" xfId="21339" xr:uid="{00000000-0005-0000-0000-000063530000}"/>
    <cellStyle name="Percent 0.0% Long Underline 16" xfId="21340" xr:uid="{00000000-0005-0000-0000-000064530000}"/>
    <cellStyle name="Percent 0.0% Long Underline 17" xfId="21341" xr:uid="{00000000-0005-0000-0000-000065530000}"/>
    <cellStyle name="Percent 0.0% Long Underline 18" xfId="21342" xr:uid="{00000000-0005-0000-0000-000066530000}"/>
    <cellStyle name="Percent 0.0% Long Underline 19" xfId="21343" xr:uid="{00000000-0005-0000-0000-000067530000}"/>
    <cellStyle name="Percent 0.0% Long Underline 2" xfId="21344" xr:uid="{00000000-0005-0000-0000-000068530000}"/>
    <cellStyle name="Percent 0.0% Long Underline 20" xfId="21345" xr:uid="{00000000-0005-0000-0000-000069530000}"/>
    <cellStyle name="Percent 0.0% Long Underline 21" xfId="21346" xr:uid="{00000000-0005-0000-0000-00006A530000}"/>
    <cellStyle name="Percent 0.0% Long Underline 22" xfId="21347" xr:uid="{00000000-0005-0000-0000-00006B530000}"/>
    <cellStyle name="Percent 0.0% Long Underline 23" xfId="21348" xr:uid="{00000000-0005-0000-0000-00006C530000}"/>
    <cellStyle name="Percent 0.0% Long Underline 24" xfId="21349" xr:uid="{00000000-0005-0000-0000-00006D530000}"/>
    <cellStyle name="Percent 0.0% Long Underline 25" xfId="21350" xr:uid="{00000000-0005-0000-0000-00006E530000}"/>
    <cellStyle name="Percent 0.0% Long Underline 26" xfId="21351" xr:uid="{00000000-0005-0000-0000-00006F530000}"/>
    <cellStyle name="Percent 0.0% Long Underline 27" xfId="21352" xr:uid="{00000000-0005-0000-0000-000070530000}"/>
    <cellStyle name="Percent 0.0% Long Underline 28" xfId="21353" xr:uid="{00000000-0005-0000-0000-000071530000}"/>
    <cellStyle name="Percent 0.0% Long Underline 29" xfId="21354" xr:uid="{00000000-0005-0000-0000-000072530000}"/>
    <cellStyle name="Percent 0.0% Long Underline 29 2" xfId="21355" xr:uid="{00000000-0005-0000-0000-000073530000}"/>
    <cellStyle name="Percent 0.0% Long Underline 3" xfId="21356" xr:uid="{00000000-0005-0000-0000-000074530000}"/>
    <cellStyle name="Percent 0.0% Long Underline 30" xfId="21357" xr:uid="{00000000-0005-0000-0000-000075530000}"/>
    <cellStyle name="Percent 0.0% Long Underline 31" xfId="21358" xr:uid="{00000000-0005-0000-0000-000076530000}"/>
    <cellStyle name="Percent 0.0% Long Underline 32" xfId="21359" xr:uid="{00000000-0005-0000-0000-000077530000}"/>
    <cellStyle name="Percent 0.0% Long Underline 33" xfId="21360" xr:uid="{00000000-0005-0000-0000-000078530000}"/>
    <cellStyle name="Percent 0.0% Long Underline 34" xfId="21361" xr:uid="{00000000-0005-0000-0000-000079530000}"/>
    <cellStyle name="Percent 0.0% Long Underline 35" xfId="21362" xr:uid="{00000000-0005-0000-0000-00007A530000}"/>
    <cellStyle name="Percent 0.0% Long Underline 36" xfId="21363" xr:uid="{00000000-0005-0000-0000-00007B530000}"/>
    <cellStyle name="Percent 0.0% Long Underline 37" xfId="21364" xr:uid="{00000000-0005-0000-0000-00007C530000}"/>
    <cellStyle name="Percent 0.0% Long Underline 38" xfId="21365" xr:uid="{00000000-0005-0000-0000-00007D530000}"/>
    <cellStyle name="Percent 0.0% Long Underline 4" xfId="21366" xr:uid="{00000000-0005-0000-0000-00007E530000}"/>
    <cellStyle name="Percent 0.0% Long Underline 5" xfId="21367" xr:uid="{00000000-0005-0000-0000-00007F530000}"/>
    <cellStyle name="Percent 0.0% Long Underline 6" xfId="21368" xr:uid="{00000000-0005-0000-0000-000080530000}"/>
    <cellStyle name="Percent 0.0% Long Underline 7" xfId="21369" xr:uid="{00000000-0005-0000-0000-000081530000}"/>
    <cellStyle name="Percent 0.0% Long Underline 8" xfId="21370" xr:uid="{00000000-0005-0000-0000-000082530000}"/>
    <cellStyle name="Percent 0.0% Long Underline 9" xfId="21371" xr:uid="{00000000-0005-0000-0000-000083530000}"/>
    <cellStyle name="Percent 0.0%_Accounts Receivable" xfId="21372" xr:uid="{00000000-0005-0000-0000-000084530000}"/>
    <cellStyle name="Percent 0.00%" xfId="21373" xr:uid="{00000000-0005-0000-0000-000085530000}"/>
    <cellStyle name="Percent 0.00% 10" xfId="21374" xr:uid="{00000000-0005-0000-0000-000086530000}"/>
    <cellStyle name="Percent 0.00% 11" xfId="21375" xr:uid="{00000000-0005-0000-0000-000087530000}"/>
    <cellStyle name="Percent 0.00% 12" xfId="21376" xr:uid="{00000000-0005-0000-0000-000088530000}"/>
    <cellStyle name="Percent 0.00% 13" xfId="21377" xr:uid="{00000000-0005-0000-0000-000089530000}"/>
    <cellStyle name="Percent 0.00% 14" xfId="21378" xr:uid="{00000000-0005-0000-0000-00008A530000}"/>
    <cellStyle name="Percent 0.00% 15" xfId="21379" xr:uid="{00000000-0005-0000-0000-00008B530000}"/>
    <cellStyle name="Percent 0.00% 16" xfId="21380" xr:uid="{00000000-0005-0000-0000-00008C530000}"/>
    <cellStyle name="Percent 0.00% 17" xfId="21381" xr:uid="{00000000-0005-0000-0000-00008D530000}"/>
    <cellStyle name="Percent 0.00% 18" xfId="21382" xr:uid="{00000000-0005-0000-0000-00008E530000}"/>
    <cellStyle name="Percent 0.00% 19" xfId="21383" xr:uid="{00000000-0005-0000-0000-00008F530000}"/>
    <cellStyle name="Percent 0.00% 2" xfId="21384" xr:uid="{00000000-0005-0000-0000-000090530000}"/>
    <cellStyle name="Percent 0.00% 20" xfId="21385" xr:uid="{00000000-0005-0000-0000-000091530000}"/>
    <cellStyle name="Percent 0.00% 21" xfId="21386" xr:uid="{00000000-0005-0000-0000-000092530000}"/>
    <cellStyle name="Percent 0.00% 22" xfId="21387" xr:uid="{00000000-0005-0000-0000-000093530000}"/>
    <cellStyle name="Percent 0.00% 23" xfId="21388" xr:uid="{00000000-0005-0000-0000-000094530000}"/>
    <cellStyle name="Percent 0.00% 24" xfId="21389" xr:uid="{00000000-0005-0000-0000-000095530000}"/>
    <cellStyle name="Percent 0.00% 25" xfId="21390" xr:uid="{00000000-0005-0000-0000-000096530000}"/>
    <cellStyle name="Percent 0.00% 26" xfId="21391" xr:uid="{00000000-0005-0000-0000-000097530000}"/>
    <cellStyle name="Percent 0.00% 27" xfId="21392" xr:uid="{00000000-0005-0000-0000-000098530000}"/>
    <cellStyle name="Percent 0.00% 28" xfId="21393" xr:uid="{00000000-0005-0000-0000-000099530000}"/>
    <cellStyle name="Percent 0.00% 29" xfId="21394" xr:uid="{00000000-0005-0000-0000-00009A530000}"/>
    <cellStyle name="Percent 0.00% 29 2" xfId="21395" xr:uid="{00000000-0005-0000-0000-00009B530000}"/>
    <cellStyle name="Percent 0.00% 3" xfId="21396" xr:uid="{00000000-0005-0000-0000-00009C530000}"/>
    <cellStyle name="Percent 0.00% 30" xfId="21397" xr:uid="{00000000-0005-0000-0000-00009D530000}"/>
    <cellStyle name="Percent 0.00% 31" xfId="21398" xr:uid="{00000000-0005-0000-0000-00009E530000}"/>
    <cellStyle name="Percent 0.00% 32" xfId="21399" xr:uid="{00000000-0005-0000-0000-00009F530000}"/>
    <cellStyle name="Percent 0.00% 33" xfId="21400" xr:uid="{00000000-0005-0000-0000-0000A0530000}"/>
    <cellStyle name="Percent 0.00% 34" xfId="21401" xr:uid="{00000000-0005-0000-0000-0000A1530000}"/>
    <cellStyle name="Percent 0.00% 35" xfId="21402" xr:uid="{00000000-0005-0000-0000-0000A2530000}"/>
    <cellStyle name="Percent 0.00% 36" xfId="21403" xr:uid="{00000000-0005-0000-0000-0000A3530000}"/>
    <cellStyle name="Percent 0.00% 37" xfId="21404" xr:uid="{00000000-0005-0000-0000-0000A4530000}"/>
    <cellStyle name="Percent 0.00% 38" xfId="21405" xr:uid="{00000000-0005-0000-0000-0000A5530000}"/>
    <cellStyle name="Percent 0.00% 4" xfId="21406" xr:uid="{00000000-0005-0000-0000-0000A6530000}"/>
    <cellStyle name="Percent 0.00% 5" xfId="21407" xr:uid="{00000000-0005-0000-0000-0000A7530000}"/>
    <cellStyle name="Percent 0.00% 6" xfId="21408" xr:uid="{00000000-0005-0000-0000-0000A8530000}"/>
    <cellStyle name="Percent 0.00% 7" xfId="21409" xr:uid="{00000000-0005-0000-0000-0000A9530000}"/>
    <cellStyle name="Percent 0.00% 8" xfId="21410" xr:uid="{00000000-0005-0000-0000-0000AA530000}"/>
    <cellStyle name="Percent 0.00% 9" xfId="21411" xr:uid="{00000000-0005-0000-0000-0000AB530000}"/>
    <cellStyle name="Percent 0.00% Long Underline" xfId="21412" xr:uid="{00000000-0005-0000-0000-0000AC530000}"/>
    <cellStyle name="Percent 0.00% Long Underline 10" xfId="21413" xr:uid="{00000000-0005-0000-0000-0000AD530000}"/>
    <cellStyle name="Percent 0.00% Long Underline 11" xfId="21414" xr:uid="{00000000-0005-0000-0000-0000AE530000}"/>
    <cellStyle name="Percent 0.00% Long Underline 12" xfId="21415" xr:uid="{00000000-0005-0000-0000-0000AF530000}"/>
    <cellStyle name="Percent 0.00% Long Underline 13" xfId="21416" xr:uid="{00000000-0005-0000-0000-0000B0530000}"/>
    <cellStyle name="Percent 0.00% Long Underline 14" xfId="21417" xr:uid="{00000000-0005-0000-0000-0000B1530000}"/>
    <cellStyle name="Percent 0.00% Long Underline 15" xfId="21418" xr:uid="{00000000-0005-0000-0000-0000B2530000}"/>
    <cellStyle name="Percent 0.00% Long Underline 16" xfId="21419" xr:uid="{00000000-0005-0000-0000-0000B3530000}"/>
    <cellStyle name="Percent 0.00% Long Underline 17" xfId="21420" xr:uid="{00000000-0005-0000-0000-0000B4530000}"/>
    <cellStyle name="Percent 0.00% Long Underline 18" xfId="21421" xr:uid="{00000000-0005-0000-0000-0000B5530000}"/>
    <cellStyle name="Percent 0.00% Long Underline 19" xfId="21422" xr:uid="{00000000-0005-0000-0000-0000B6530000}"/>
    <cellStyle name="Percent 0.00% Long Underline 2" xfId="21423" xr:uid="{00000000-0005-0000-0000-0000B7530000}"/>
    <cellStyle name="Percent 0.00% Long Underline 20" xfId="21424" xr:uid="{00000000-0005-0000-0000-0000B8530000}"/>
    <cellStyle name="Percent 0.00% Long Underline 21" xfId="21425" xr:uid="{00000000-0005-0000-0000-0000B9530000}"/>
    <cellStyle name="Percent 0.00% Long Underline 22" xfId="21426" xr:uid="{00000000-0005-0000-0000-0000BA530000}"/>
    <cellStyle name="Percent 0.00% Long Underline 23" xfId="21427" xr:uid="{00000000-0005-0000-0000-0000BB530000}"/>
    <cellStyle name="Percent 0.00% Long Underline 24" xfId="21428" xr:uid="{00000000-0005-0000-0000-0000BC530000}"/>
    <cellStyle name="Percent 0.00% Long Underline 25" xfId="21429" xr:uid="{00000000-0005-0000-0000-0000BD530000}"/>
    <cellStyle name="Percent 0.00% Long Underline 26" xfId="21430" xr:uid="{00000000-0005-0000-0000-0000BE530000}"/>
    <cellStyle name="Percent 0.00% Long Underline 27" xfId="21431" xr:uid="{00000000-0005-0000-0000-0000BF530000}"/>
    <cellStyle name="Percent 0.00% Long Underline 28" xfId="21432" xr:uid="{00000000-0005-0000-0000-0000C0530000}"/>
    <cellStyle name="Percent 0.00% Long Underline 29" xfId="21433" xr:uid="{00000000-0005-0000-0000-0000C1530000}"/>
    <cellStyle name="Percent 0.00% Long Underline 29 2" xfId="21434" xr:uid="{00000000-0005-0000-0000-0000C2530000}"/>
    <cellStyle name="Percent 0.00% Long Underline 3" xfId="21435" xr:uid="{00000000-0005-0000-0000-0000C3530000}"/>
    <cellStyle name="Percent 0.00% Long Underline 30" xfId="21436" xr:uid="{00000000-0005-0000-0000-0000C4530000}"/>
    <cellStyle name="Percent 0.00% Long Underline 31" xfId="21437" xr:uid="{00000000-0005-0000-0000-0000C5530000}"/>
    <cellStyle name="Percent 0.00% Long Underline 32" xfId="21438" xr:uid="{00000000-0005-0000-0000-0000C6530000}"/>
    <cellStyle name="Percent 0.00% Long Underline 33" xfId="21439" xr:uid="{00000000-0005-0000-0000-0000C7530000}"/>
    <cellStyle name="Percent 0.00% Long Underline 34" xfId="21440" xr:uid="{00000000-0005-0000-0000-0000C8530000}"/>
    <cellStyle name="Percent 0.00% Long Underline 35" xfId="21441" xr:uid="{00000000-0005-0000-0000-0000C9530000}"/>
    <cellStyle name="Percent 0.00% Long Underline 36" xfId="21442" xr:uid="{00000000-0005-0000-0000-0000CA530000}"/>
    <cellStyle name="Percent 0.00% Long Underline 37" xfId="21443" xr:uid="{00000000-0005-0000-0000-0000CB530000}"/>
    <cellStyle name="Percent 0.00% Long Underline 38" xfId="21444" xr:uid="{00000000-0005-0000-0000-0000CC530000}"/>
    <cellStyle name="Percent 0.00% Long Underline 4" xfId="21445" xr:uid="{00000000-0005-0000-0000-0000CD530000}"/>
    <cellStyle name="Percent 0.00% Long Underline 5" xfId="21446" xr:uid="{00000000-0005-0000-0000-0000CE530000}"/>
    <cellStyle name="Percent 0.00% Long Underline 6" xfId="21447" xr:uid="{00000000-0005-0000-0000-0000CF530000}"/>
    <cellStyle name="Percent 0.00% Long Underline 7" xfId="21448" xr:uid="{00000000-0005-0000-0000-0000D0530000}"/>
    <cellStyle name="Percent 0.00% Long Underline 8" xfId="21449" xr:uid="{00000000-0005-0000-0000-0000D1530000}"/>
    <cellStyle name="Percent 0.00% Long Underline 9" xfId="21450" xr:uid="{00000000-0005-0000-0000-0000D2530000}"/>
    <cellStyle name="Percent 0.00%_Accounts Receivable" xfId="21451" xr:uid="{00000000-0005-0000-0000-0000D3530000}"/>
    <cellStyle name="Percent 0.000%" xfId="21452" xr:uid="{00000000-0005-0000-0000-0000D4530000}"/>
    <cellStyle name="Percent 0.000% 10" xfId="21453" xr:uid="{00000000-0005-0000-0000-0000D5530000}"/>
    <cellStyle name="Percent 0.000% 11" xfId="21454" xr:uid="{00000000-0005-0000-0000-0000D6530000}"/>
    <cellStyle name="Percent 0.000% 12" xfId="21455" xr:uid="{00000000-0005-0000-0000-0000D7530000}"/>
    <cellStyle name="Percent 0.000% 13" xfId="21456" xr:uid="{00000000-0005-0000-0000-0000D8530000}"/>
    <cellStyle name="Percent 0.000% 14" xfId="21457" xr:uid="{00000000-0005-0000-0000-0000D9530000}"/>
    <cellStyle name="Percent 0.000% 15" xfId="21458" xr:uid="{00000000-0005-0000-0000-0000DA530000}"/>
    <cellStyle name="Percent 0.000% 16" xfId="21459" xr:uid="{00000000-0005-0000-0000-0000DB530000}"/>
    <cellStyle name="Percent 0.000% 17" xfId="21460" xr:uid="{00000000-0005-0000-0000-0000DC530000}"/>
    <cellStyle name="Percent 0.000% 18" xfId="21461" xr:uid="{00000000-0005-0000-0000-0000DD530000}"/>
    <cellStyle name="Percent 0.000% 19" xfId="21462" xr:uid="{00000000-0005-0000-0000-0000DE530000}"/>
    <cellStyle name="Percent 0.000% 2" xfId="21463" xr:uid="{00000000-0005-0000-0000-0000DF530000}"/>
    <cellStyle name="Percent 0.000% 20" xfId="21464" xr:uid="{00000000-0005-0000-0000-0000E0530000}"/>
    <cellStyle name="Percent 0.000% 21" xfId="21465" xr:uid="{00000000-0005-0000-0000-0000E1530000}"/>
    <cellStyle name="Percent 0.000% 22" xfId="21466" xr:uid="{00000000-0005-0000-0000-0000E2530000}"/>
    <cellStyle name="Percent 0.000% 23" xfId="21467" xr:uid="{00000000-0005-0000-0000-0000E3530000}"/>
    <cellStyle name="Percent 0.000% 24" xfId="21468" xr:uid="{00000000-0005-0000-0000-0000E4530000}"/>
    <cellStyle name="Percent 0.000% 25" xfId="21469" xr:uid="{00000000-0005-0000-0000-0000E5530000}"/>
    <cellStyle name="Percent 0.000% 26" xfId="21470" xr:uid="{00000000-0005-0000-0000-0000E6530000}"/>
    <cellStyle name="Percent 0.000% 27" xfId="21471" xr:uid="{00000000-0005-0000-0000-0000E7530000}"/>
    <cellStyle name="Percent 0.000% 28" xfId="21472" xr:uid="{00000000-0005-0000-0000-0000E8530000}"/>
    <cellStyle name="Percent 0.000% 29" xfId="21473" xr:uid="{00000000-0005-0000-0000-0000E9530000}"/>
    <cellStyle name="Percent 0.000% 29 2" xfId="21474" xr:uid="{00000000-0005-0000-0000-0000EA530000}"/>
    <cellStyle name="Percent 0.000% 3" xfId="21475" xr:uid="{00000000-0005-0000-0000-0000EB530000}"/>
    <cellStyle name="Percent 0.000% 30" xfId="21476" xr:uid="{00000000-0005-0000-0000-0000EC530000}"/>
    <cellStyle name="Percent 0.000% 31" xfId="21477" xr:uid="{00000000-0005-0000-0000-0000ED530000}"/>
    <cellStyle name="Percent 0.000% 32" xfId="21478" xr:uid="{00000000-0005-0000-0000-0000EE530000}"/>
    <cellStyle name="Percent 0.000% 33" xfId="21479" xr:uid="{00000000-0005-0000-0000-0000EF530000}"/>
    <cellStyle name="Percent 0.000% 34" xfId="21480" xr:uid="{00000000-0005-0000-0000-0000F0530000}"/>
    <cellStyle name="Percent 0.000% 35" xfId="21481" xr:uid="{00000000-0005-0000-0000-0000F1530000}"/>
    <cellStyle name="Percent 0.000% 36" xfId="21482" xr:uid="{00000000-0005-0000-0000-0000F2530000}"/>
    <cellStyle name="Percent 0.000% 37" xfId="21483" xr:uid="{00000000-0005-0000-0000-0000F3530000}"/>
    <cellStyle name="Percent 0.000% 38" xfId="21484" xr:uid="{00000000-0005-0000-0000-0000F4530000}"/>
    <cellStyle name="Percent 0.000% 4" xfId="21485" xr:uid="{00000000-0005-0000-0000-0000F5530000}"/>
    <cellStyle name="Percent 0.000% 5" xfId="21486" xr:uid="{00000000-0005-0000-0000-0000F6530000}"/>
    <cellStyle name="Percent 0.000% 6" xfId="21487" xr:uid="{00000000-0005-0000-0000-0000F7530000}"/>
    <cellStyle name="Percent 0.000% 7" xfId="21488" xr:uid="{00000000-0005-0000-0000-0000F8530000}"/>
    <cellStyle name="Percent 0.000% 8" xfId="21489" xr:uid="{00000000-0005-0000-0000-0000F9530000}"/>
    <cellStyle name="Percent 0.000% 9" xfId="21490" xr:uid="{00000000-0005-0000-0000-0000FA530000}"/>
    <cellStyle name="Percent 0.000% Long Underline" xfId="21491" xr:uid="{00000000-0005-0000-0000-0000FB530000}"/>
    <cellStyle name="Percent 0.000% Long Underline 10" xfId="21492" xr:uid="{00000000-0005-0000-0000-0000FC530000}"/>
    <cellStyle name="Percent 0.000% Long Underline 11" xfId="21493" xr:uid="{00000000-0005-0000-0000-0000FD530000}"/>
    <cellStyle name="Percent 0.000% Long Underline 12" xfId="21494" xr:uid="{00000000-0005-0000-0000-0000FE530000}"/>
    <cellStyle name="Percent 0.000% Long Underline 13" xfId="21495" xr:uid="{00000000-0005-0000-0000-0000FF530000}"/>
    <cellStyle name="Percent 0.000% Long Underline 14" xfId="21496" xr:uid="{00000000-0005-0000-0000-000000540000}"/>
    <cellStyle name="Percent 0.000% Long Underline 15" xfId="21497" xr:uid="{00000000-0005-0000-0000-000001540000}"/>
    <cellStyle name="Percent 0.000% Long Underline 16" xfId="21498" xr:uid="{00000000-0005-0000-0000-000002540000}"/>
    <cellStyle name="Percent 0.000% Long Underline 17" xfId="21499" xr:uid="{00000000-0005-0000-0000-000003540000}"/>
    <cellStyle name="Percent 0.000% Long Underline 18" xfId="21500" xr:uid="{00000000-0005-0000-0000-000004540000}"/>
    <cellStyle name="Percent 0.000% Long Underline 19" xfId="21501" xr:uid="{00000000-0005-0000-0000-000005540000}"/>
    <cellStyle name="Percent 0.000% Long Underline 2" xfId="21502" xr:uid="{00000000-0005-0000-0000-000006540000}"/>
    <cellStyle name="Percent 0.000% Long Underline 20" xfId="21503" xr:uid="{00000000-0005-0000-0000-000007540000}"/>
    <cellStyle name="Percent 0.000% Long Underline 21" xfId="21504" xr:uid="{00000000-0005-0000-0000-000008540000}"/>
    <cellStyle name="Percent 0.000% Long Underline 22" xfId="21505" xr:uid="{00000000-0005-0000-0000-000009540000}"/>
    <cellStyle name="Percent 0.000% Long Underline 23" xfId="21506" xr:uid="{00000000-0005-0000-0000-00000A540000}"/>
    <cellStyle name="Percent 0.000% Long Underline 24" xfId="21507" xr:uid="{00000000-0005-0000-0000-00000B540000}"/>
    <cellStyle name="Percent 0.000% Long Underline 25" xfId="21508" xr:uid="{00000000-0005-0000-0000-00000C540000}"/>
    <cellStyle name="Percent 0.000% Long Underline 26" xfId="21509" xr:uid="{00000000-0005-0000-0000-00000D540000}"/>
    <cellStyle name="Percent 0.000% Long Underline 27" xfId="21510" xr:uid="{00000000-0005-0000-0000-00000E540000}"/>
    <cellStyle name="Percent 0.000% Long Underline 28" xfId="21511" xr:uid="{00000000-0005-0000-0000-00000F540000}"/>
    <cellStyle name="Percent 0.000% Long Underline 29" xfId="21512" xr:uid="{00000000-0005-0000-0000-000010540000}"/>
    <cellStyle name="Percent 0.000% Long Underline 29 2" xfId="21513" xr:uid="{00000000-0005-0000-0000-000011540000}"/>
    <cellStyle name="Percent 0.000% Long Underline 3" xfId="21514" xr:uid="{00000000-0005-0000-0000-000012540000}"/>
    <cellStyle name="Percent 0.000% Long Underline 30" xfId="21515" xr:uid="{00000000-0005-0000-0000-000013540000}"/>
    <cellStyle name="Percent 0.000% Long Underline 31" xfId="21516" xr:uid="{00000000-0005-0000-0000-000014540000}"/>
    <cellStyle name="Percent 0.000% Long Underline 32" xfId="21517" xr:uid="{00000000-0005-0000-0000-000015540000}"/>
    <cellStyle name="Percent 0.000% Long Underline 33" xfId="21518" xr:uid="{00000000-0005-0000-0000-000016540000}"/>
    <cellStyle name="Percent 0.000% Long Underline 34" xfId="21519" xr:uid="{00000000-0005-0000-0000-000017540000}"/>
    <cellStyle name="Percent 0.000% Long Underline 35" xfId="21520" xr:uid="{00000000-0005-0000-0000-000018540000}"/>
    <cellStyle name="Percent 0.000% Long Underline 36" xfId="21521" xr:uid="{00000000-0005-0000-0000-000019540000}"/>
    <cellStyle name="Percent 0.000% Long Underline 37" xfId="21522" xr:uid="{00000000-0005-0000-0000-00001A540000}"/>
    <cellStyle name="Percent 0.000% Long Underline 38" xfId="21523" xr:uid="{00000000-0005-0000-0000-00001B540000}"/>
    <cellStyle name="Percent 0.000% Long Underline 4" xfId="21524" xr:uid="{00000000-0005-0000-0000-00001C540000}"/>
    <cellStyle name="Percent 0.000% Long Underline 5" xfId="21525" xr:uid="{00000000-0005-0000-0000-00001D540000}"/>
    <cellStyle name="Percent 0.000% Long Underline 6" xfId="21526" xr:uid="{00000000-0005-0000-0000-00001E540000}"/>
    <cellStyle name="Percent 0.000% Long Underline 7" xfId="21527" xr:uid="{00000000-0005-0000-0000-00001F540000}"/>
    <cellStyle name="Percent 0.000% Long Underline 8" xfId="21528" xr:uid="{00000000-0005-0000-0000-000020540000}"/>
    <cellStyle name="Percent 0.000% Long Underline 9" xfId="21529" xr:uid="{00000000-0005-0000-0000-000021540000}"/>
    <cellStyle name="Percent 0.000%_Accounts Receivable" xfId="21530" xr:uid="{00000000-0005-0000-0000-000022540000}"/>
    <cellStyle name="Percent 0.0000%" xfId="21531" xr:uid="{00000000-0005-0000-0000-000023540000}"/>
    <cellStyle name="Percent 0.0000% 10" xfId="21532" xr:uid="{00000000-0005-0000-0000-000024540000}"/>
    <cellStyle name="Percent 0.0000% 11" xfId="21533" xr:uid="{00000000-0005-0000-0000-000025540000}"/>
    <cellStyle name="Percent 0.0000% 12" xfId="21534" xr:uid="{00000000-0005-0000-0000-000026540000}"/>
    <cellStyle name="Percent 0.0000% 13" xfId="21535" xr:uid="{00000000-0005-0000-0000-000027540000}"/>
    <cellStyle name="Percent 0.0000% 14" xfId="21536" xr:uid="{00000000-0005-0000-0000-000028540000}"/>
    <cellStyle name="Percent 0.0000% 15" xfId="21537" xr:uid="{00000000-0005-0000-0000-000029540000}"/>
    <cellStyle name="Percent 0.0000% 16" xfId="21538" xr:uid="{00000000-0005-0000-0000-00002A540000}"/>
    <cellStyle name="Percent 0.0000% 17" xfId="21539" xr:uid="{00000000-0005-0000-0000-00002B540000}"/>
    <cellStyle name="Percent 0.0000% 18" xfId="21540" xr:uid="{00000000-0005-0000-0000-00002C540000}"/>
    <cellStyle name="Percent 0.0000% 19" xfId="21541" xr:uid="{00000000-0005-0000-0000-00002D540000}"/>
    <cellStyle name="Percent 0.0000% 2" xfId="21542" xr:uid="{00000000-0005-0000-0000-00002E540000}"/>
    <cellStyle name="Percent 0.0000% 20" xfId="21543" xr:uid="{00000000-0005-0000-0000-00002F540000}"/>
    <cellStyle name="Percent 0.0000% 21" xfId="21544" xr:uid="{00000000-0005-0000-0000-000030540000}"/>
    <cellStyle name="Percent 0.0000% 21 2" xfId="21545" xr:uid="{00000000-0005-0000-0000-000031540000}"/>
    <cellStyle name="Percent 0.0000% 3" xfId="21546" xr:uid="{00000000-0005-0000-0000-000032540000}"/>
    <cellStyle name="Percent 0.0000% 4" xfId="21547" xr:uid="{00000000-0005-0000-0000-000033540000}"/>
    <cellStyle name="Percent 0.0000% 5" xfId="21548" xr:uid="{00000000-0005-0000-0000-000034540000}"/>
    <cellStyle name="Percent 0.0000% 6" xfId="21549" xr:uid="{00000000-0005-0000-0000-000035540000}"/>
    <cellStyle name="Percent 0.0000% 7" xfId="21550" xr:uid="{00000000-0005-0000-0000-000036540000}"/>
    <cellStyle name="Percent 0.0000% 8" xfId="21551" xr:uid="{00000000-0005-0000-0000-000037540000}"/>
    <cellStyle name="Percent 0.0000% 9" xfId="21552" xr:uid="{00000000-0005-0000-0000-000038540000}"/>
    <cellStyle name="Percent 0.0000% Long Underline" xfId="21553" xr:uid="{00000000-0005-0000-0000-000039540000}"/>
    <cellStyle name="Percent 0.0000% Long Underline 10" xfId="21554" xr:uid="{00000000-0005-0000-0000-00003A540000}"/>
    <cellStyle name="Percent 0.0000% Long Underline 11" xfId="21555" xr:uid="{00000000-0005-0000-0000-00003B540000}"/>
    <cellStyle name="Percent 0.0000% Long Underline 12" xfId="21556" xr:uid="{00000000-0005-0000-0000-00003C540000}"/>
    <cellStyle name="Percent 0.0000% Long Underline 13" xfId="21557" xr:uid="{00000000-0005-0000-0000-00003D540000}"/>
    <cellStyle name="Percent 0.0000% Long Underline 14" xfId="21558" xr:uid="{00000000-0005-0000-0000-00003E540000}"/>
    <cellStyle name="Percent 0.0000% Long Underline 15" xfId="21559" xr:uid="{00000000-0005-0000-0000-00003F540000}"/>
    <cellStyle name="Percent 0.0000% Long Underline 16" xfId="21560" xr:uid="{00000000-0005-0000-0000-000040540000}"/>
    <cellStyle name="Percent 0.0000% Long Underline 17" xfId="21561" xr:uid="{00000000-0005-0000-0000-000041540000}"/>
    <cellStyle name="Percent 0.0000% Long Underline 18" xfId="21562" xr:uid="{00000000-0005-0000-0000-000042540000}"/>
    <cellStyle name="Percent 0.0000% Long Underline 19" xfId="21563" xr:uid="{00000000-0005-0000-0000-000043540000}"/>
    <cellStyle name="Percent 0.0000% Long Underline 2" xfId="21564" xr:uid="{00000000-0005-0000-0000-000044540000}"/>
    <cellStyle name="Percent 0.0000% Long Underline 20" xfId="21565" xr:uid="{00000000-0005-0000-0000-000045540000}"/>
    <cellStyle name="Percent 0.0000% Long Underline 21" xfId="21566" xr:uid="{00000000-0005-0000-0000-000046540000}"/>
    <cellStyle name="Percent 0.0000% Long Underline 21 2" xfId="21567" xr:uid="{00000000-0005-0000-0000-000047540000}"/>
    <cellStyle name="Percent 0.0000% Long Underline 3" xfId="21568" xr:uid="{00000000-0005-0000-0000-000048540000}"/>
    <cellStyle name="Percent 0.0000% Long Underline 4" xfId="21569" xr:uid="{00000000-0005-0000-0000-000049540000}"/>
    <cellStyle name="Percent 0.0000% Long Underline 5" xfId="21570" xr:uid="{00000000-0005-0000-0000-00004A540000}"/>
    <cellStyle name="Percent 0.0000% Long Underline 6" xfId="21571" xr:uid="{00000000-0005-0000-0000-00004B540000}"/>
    <cellStyle name="Percent 0.0000% Long Underline 7" xfId="21572" xr:uid="{00000000-0005-0000-0000-00004C540000}"/>
    <cellStyle name="Percent 0.0000% Long Underline 8" xfId="21573" xr:uid="{00000000-0005-0000-0000-00004D540000}"/>
    <cellStyle name="Percent 0.0000% Long Underline 9" xfId="21574" xr:uid="{00000000-0005-0000-0000-00004E540000}"/>
    <cellStyle name="Percent 10" xfId="21575" xr:uid="{00000000-0005-0000-0000-00004F540000}"/>
    <cellStyle name="Percent 11" xfId="21576" xr:uid="{00000000-0005-0000-0000-000050540000}"/>
    <cellStyle name="Percent 2" xfId="21577" xr:uid="{00000000-0005-0000-0000-000051540000}"/>
    <cellStyle name="Percent 2 2" xfId="21578" xr:uid="{00000000-0005-0000-0000-000052540000}"/>
    <cellStyle name="Percent 2 2 2" xfId="21579" xr:uid="{00000000-0005-0000-0000-000053540000}"/>
    <cellStyle name="Percent 2 3" xfId="21580" xr:uid="{00000000-0005-0000-0000-000054540000}"/>
    <cellStyle name="Percent 3" xfId="21581" xr:uid="{00000000-0005-0000-0000-000055540000}"/>
    <cellStyle name="Percent 3 2" xfId="21582" xr:uid="{00000000-0005-0000-0000-000056540000}"/>
    <cellStyle name="Percent 3 2 2" xfId="21583" xr:uid="{00000000-0005-0000-0000-000057540000}"/>
    <cellStyle name="Percent 3 3" xfId="21584" xr:uid="{00000000-0005-0000-0000-000058540000}"/>
    <cellStyle name="Percent 4" xfId="21585" xr:uid="{00000000-0005-0000-0000-000059540000}"/>
    <cellStyle name="Percent 5" xfId="21586" xr:uid="{00000000-0005-0000-0000-00005A540000}"/>
    <cellStyle name="Percent 6" xfId="21587" xr:uid="{00000000-0005-0000-0000-00005B540000}"/>
    <cellStyle name="Percent 7" xfId="21588" xr:uid="{00000000-0005-0000-0000-00005C540000}"/>
    <cellStyle name="Percent 7 2" xfId="21589" xr:uid="{00000000-0005-0000-0000-00005D540000}"/>
    <cellStyle name="Percent 8" xfId="21590" xr:uid="{00000000-0005-0000-0000-00005E540000}"/>
    <cellStyle name="Percent 9" xfId="21591" xr:uid="{00000000-0005-0000-0000-00005F540000}"/>
    <cellStyle name="Percent Hard" xfId="21592" xr:uid="{00000000-0005-0000-0000-000060540000}"/>
    <cellStyle name="Percent Hard 10" xfId="21593" xr:uid="{00000000-0005-0000-0000-000061540000}"/>
    <cellStyle name="Percent Hard 11" xfId="21594" xr:uid="{00000000-0005-0000-0000-000062540000}"/>
    <cellStyle name="Percent Hard 12" xfId="21595" xr:uid="{00000000-0005-0000-0000-000063540000}"/>
    <cellStyle name="Percent Hard 13" xfId="21596" xr:uid="{00000000-0005-0000-0000-000064540000}"/>
    <cellStyle name="Percent Hard 14" xfId="21597" xr:uid="{00000000-0005-0000-0000-000065540000}"/>
    <cellStyle name="Percent Hard 15" xfId="21598" xr:uid="{00000000-0005-0000-0000-000066540000}"/>
    <cellStyle name="Percent Hard 16" xfId="21599" xr:uid="{00000000-0005-0000-0000-000067540000}"/>
    <cellStyle name="Percent Hard 17" xfId="21600" xr:uid="{00000000-0005-0000-0000-000068540000}"/>
    <cellStyle name="Percent Hard 18" xfId="21601" xr:uid="{00000000-0005-0000-0000-000069540000}"/>
    <cellStyle name="Percent Hard 19" xfId="21602" xr:uid="{00000000-0005-0000-0000-00006A540000}"/>
    <cellStyle name="Percent Hard 2" xfId="21603" xr:uid="{00000000-0005-0000-0000-00006B540000}"/>
    <cellStyle name="Percent Hard 2 2" xfId="21604" xr:uid="{00000000-0005-0000-0000-00006C540000}"/>
    <cellStyle name="Percent Hard 20" xfId="21605" xr:uid="{00000000-0005-0000-0000-00006D540000}"/>
    <cellStyle name="Percent Hard 21" xfId="21606" xr:uid="{00000000-0005-0000-0000-00006E540000}"/>
    <cellStyle name="Percent Hard 22" xfId="21607" xr:uid="{00000000-0005-0000-0000-00006F540000}"/>
    <cellStyle name="Percent Hard 23" xfId="21608" xr:uid="{00000000-0005-0000-0000-000070540000}"/>
    <cellStyle name="Percent Hard 23 2" xfId="21609" xr:uid="{00000000-0005-0000-0000-000071540000}"/>
    <cellStyle name="Percent Hard 3" xfId="21610" xr:uid="{00000000-0005-0000-0000-000072540000}"/>
    <cellStyle name="Percent Hard 3 2" xfId="21611" xr:uid="{00000000-0005-0000-0000-000073540000}"/>
    <cellStyle name="Percent Hard 4" xfId="21612" xr:uid="{00000000-0005-0000-0000-000074540000}"/>
    <cellStyle name="Percent Hard 5" xfId="21613" xr:uid="{00000000-0005-0000-0000-000075540000}"/>
    <cellStyle name="Percent Hard 6" xfId="21614" xr:uid="{00000000-0005-0000-0000-000076540000}"/>
    <cellStyle name="Percent Hard 7" xfId="21615" xr:uid="{00000000-0005-0000-0000-000077540000}"/>
    <cellStyle name="Percent Hard 8" xfId="21616" xr:uid="{00000000-0005-0000-0000-000078540000}"/>
    <cellStyle name="Percent Hard 9" xfId="21617" xr:uid="{00000000-0005-0000-0000-000079540000}"/>
    <cellStyle name="Percent1" xfId="21618" xr:uid="{00000000-0005-0000-0000-00007A540000}"/>
    <cellStyle name="Percent1 10" xfId="21619" xr:uid="{00000000-0005-0000-0000-00007B540000}"/>
    <cellStyle name="Percent1 11" xfId="21620" xr:uid="{00000000-0005-0000-0000-00007C540000}"/>
    <cellStyle name="Percent1 12" xfId="21621" xr:uid="{00000000-0005-0000-0000-00007D540000}"/>
    <cellStyle name="Percent1 13" xfId="21622" xr:uid="{00000000-0005-0000-0000-00007E540000}"/>
    <cellStyle name="Percent1 14" xfId="21623" xr:uid="{00000000-0005-0000-0000-00007F540000}"/>
    <cellStyle name="Percent1 15" xfId="21624" xr:uid="{00000000-0005-0000-0000-000080540000}"/>
    <cellStyle name="Percent1 16" xfId="21625" xr:uid="{00000000-0005-0000-0000-000081540000}"/>
    <cellStyle name="Percent1 17" xfId="21626" xr:uid="{00000000-0005-0000-0000-000082540000}"/>
    <cellStyle name="Percent1 18" xfId="21627" xr:uid="{00000000-0005-0000-0000-000083540000}"/>
    <cellStyle name="Percent1 19" xfId="21628" xr:uid="{00000000-0005-0000-0000-000084540000}"/>
    <cellStyle name="Percent1 2" xfId="21629" xr:uid="{00000000-0005-0000-0000-000085540000}"/>
    <cellStyle name="Percent1 20" xfId="21630" xr:uid="{00000000-0005-0000-0000-000086540000}"/>
    <cellStyle name="Percent1 21" xfId="21631" xr:uid="{00000000-0005-0000-0000-000087540000}"/>
    <cellStyle name="Percent1 21 2" xfId="21632" xr:uid="{00000000-0005-0000-0000-000088540000}"/>
    <cellStyle name="Percent1 3" xfId="21633" xr:uid="{00000000-0005-0000-0000-000089540000}"/>
    <cellStyle name="Percent1 4" xfId="21634" xr:uid="{00000000-0005-0000-0000-00008A540000}"/>
    <cellStyle name="Percent1 5" xfId="21635" xr:uid="{00000000-0005-0000-0000-00008B540000}"/>
    <cellStyle name="Percent1 6" xfId="21636" xr:uid="{00000000-0005-0000-0000-00008C540000}"/>
    <cellStyle name="Percent1 7" xfId="21637" xr:uid="{00000000-0005-0000-0000-00008D540000}"/>
    <cellStyle name="Percent1 8" xfId="21638" xr:uid="{00000000-0005-0000-0000-00008E540000}"/>
    <cellStyle name="Percent1 9" xfId="21639" xr:uid="{00000000-0005-0000-0000-00008F540000}"/>
    <cellStyle name="Percent1Blue" xfId="21640" xr:uid="{00000000-0005-0000-0000-000090540000}"/>
    <cellStyle name="Percent1Blue 10" xfId="21641" xr:uid="{00000000-0005-0000-0000-000091540000}"/>
    <cellStyle name="Percent1Blue 11" xfId="21642" xr:uid="{00000000-0005-0000-0000-000092540000}"/>
    <cellStyle name="Percent1Blue 12" xfId="21643" xr:uid="{00000000-0005-0000-0000-000093540000}"/>
    <cellStyle name="Percent1Blue 13" xfId="21644" xr:uid="{00000000-0005-0000-0000-000094540000}"/>
    <cellStyle name="Percent1Blue 14" xfId="21645" xr:uid="{00000000-0005-0000-0000-000095540000}"/>
    <cellStyle name="Percent1Blue 15" xfId="21646" xr:uid="{00000000-0005-0000-0000-000096540000}"/>
    <cellStyle name="Percent1Blue 16" xfId="21647" xr:uid="{00000000-0005-0000-0000-000097540000}"/>
    <cellStyle name="Percent1Blue 17" xfId="21648" xr:uid="{00000000-0005-0000-0000-000098540000}"/>
    <cellStyle name="Percent1Blue 18" xfId="21649" xr:uid="{00000000-0005-0000-0000-000099540000}"/>
    <cellStyle name="Percent1Blue 19" xfId="21650" xr:uid="{00000000-0005-0000-0000-00009A540000}"/>
    <cellStyle name="Percent1Blue 2" xfId="21651" xr:uid="{00000000-0005-0000-0000-00009B540000}"/>
    <cellStyle name="Percent1Blue 20" xfId="21652" xr:uid="{00000000-0005-0000-0000-00009C540000}"/>
    <cellStyle name="Percent1Blue 21" xfId="21653" xr:uid="{00000000-0005-0000-0000-00009D540000}"/>
    <cellStyle name="Percent1Blue 21 2" xfId="21654" xr:uid="{00000000-0005-0000-0000-00009E540000}"/>
    <cellStyle name="Percent1Blue 3" xfId="21655" xr:uid="{00000000-0005-0000-0000-00009F540000}"/>
    <cellStyle name="Percent1Blue 4" xfId="21656" xr:uid="{00000000-0005-0000-0000-0000A0540000}"/>
    <cellStyle name="Percent1Blue 5" xfId="21657" xr:uid="{00000000-0005-0000-0000-0000A1540000}"/>
    <cellStyle name="Percent1Blue 6" xfId="21658" xr:uid="{00000000-0005-0000-0000-0000A2540000}"/>
    <cellStyle name="Percent1Blue 7" xfId="21659" xr:uid="{00000000-0005-0000-0000-0000A3540000}"/>
    <cellStyle name="Percent1Blue 8" xfId="21660" xr:uid="{00000000-0005-0000-0000-0000A4540000}"/>
    <cellStyle name="Percent1Blue 9" xfId="21661" xr:uid="{00000000-0005-0000-0000-0000A5540000}"/>
    <cellStyle name="Percent2" xfId="21662" xr:uid="{00000000-0005-0000-0000-0000A6540000}"/>
    <cellStyle name="Percent2 10" xfId="21663" xr:uid="{00000000-0005-0000-0000-0000A7540000}"/>
    <cellStyle name="Percent2 11" xfId="21664" xr:uid="{00000000-0005-0000-0000-0000A8540000}"/>
    <cellStyle name="Percent2 12" xfId="21665" xr:uid="{00000000-0005-0000-0000-0000A9540000}"/>
    <cellStyle name="Percent2 13" xfId="21666" xr:uid="{00000000-0005-0000-0000-0000AA540000}"/>
    <cellStyle name="Percent2 14" xfId="21667" xr:uid="{00000000-0005-0000-0000-0000AB540000}"/>
    <cellStyle name="Percent2 15" xfId="21668" xr:uid="{00000000-0005-0000-0000-0000AC540000}"/>
    <cellStyle name="Percent2 16" xfId="21669" xr:uid="{00000000-0005-0000-0000-0000AD540000}"/>
    <cellStyle name="Percent2 17" xfId="21670" xr:uid="{00000000-0005-0000-0000-0000AE540000}"/>
    <cellStyle name="Percent2 18" xfId="21671" xr:uid="{00000000-0005-0000-0000-0000AF540000}"/>
    <cellStyle name="Percent2 19" xfId="21672" xr:uid="{00000000-0005-0000-0000-0000B0540000}"/>
    <cellStyle name="Percent2 2" xfId="21673" xr:uid="{00000000-0005-0000-0000-0000B1540000}"/>
    <cellStyle name="Percent2 20" xfId="21674" xr:uid="{00000000-0005-0000-0000-0000B2540000}"/>
    <cellStyle name="Percent2 21" xfId="21675" xr:uid="{00000000-0005-0000-0000-0000B3540000}"/>
    <cellStyle name="Percent2 21 2" xfId="21676" xr:uid="{00000000-0005-0000-0000-0000B4540000}"/>
    <cellStyle name="Percent2 3" xfId="21677" xr:uid="{00000000-0005-0000-0000-0000B5540000}"/>
    <cellStyle name="Percent2 4" xfId="21678" xr:uid="{00000000-0005-0000-0000-0000B6540000}"/>
    <cellStyle name="Percent2 5" xfId="21679" xr:uid="{00000000-0005-0000-0000-0000B7540000}"/>
    <cellStyle name="Percent2 6" xfId="21680" xr:uid="{00000000-0005-0000-0000-0000B8540000}"/>
    <cellStyle name="Percent2 7" xfId="21681" xr:uid="{00000000-0005-0000-0000-0000B9540000}"/>
    <cellStyle name="Percent2 8" xfId="21682" xr:uid="{00000000-0005-0000-0000-0000BA540000}"/>
    <cellStyle name="Percent2 9" xfId="21683" xr:uid="{00000000-0005-0000-0000-0000BB540000}"/>
    <cellStyle name="Percent2Blue" xfId="21684" xr:uid="{00000000-0005-0000-0000-0000BC540000}"/>
    <cellStyle name="Percent2Blue 10" xfId="21685" xr:uid="{00000000-0005-0000-0000-0000BD540000}"/>
    <cellStyle name="Percent2Blue 11" xfId="21686" xr:uid="{00000000-0005-0000-0000-0000BE540000}"/>
    <cellStyle name="Percent2Blue 12" xfId="21687" xr:uid="{00000000-0005-0000-0000-0000BF540000}"/>
    <cellStyle name="Percent2Blue 13" xfId="21688" xr:uid="{00000000-0005-0000-0000-0000C0540000}"/>
    <cellStyle name="Percent2Blue 14" xfId="21689" xr:uid="{00000000-0005-0000-0000-0000C1540000}"/>
    <cellStyle name="Percent2Blue 15" xfId="21690" xr:uid="{00000000-0005-0000-0000-0000C2540000}"/>
    <cellStyle name="Percent2Blue 16" xfId="21691" xr:uid="{00000000-0005-0000-0000-0000C3540000}"/>
    <cellStyle name="Percent2Blue 17" xfId="21692" xr:uid="{00000000-0005-0000-0000-0000C4540000}"/>
    <cellStyle name="Percent2Blue 18" xfId="21693" xr:uid="{00000000-0005-0000-0000-0000C5540000}"/>
    <cellStyle name="Percent2Blue 19" xfId="21694" xr:uid="{00000000-0005-0000-0000-0000C6540000}"/>
    <cellStyle name="Percent2Blue 2" xfId="21695" xr:uid="{00000000-0005-0000-0000-0000C7540000}"/>
    <cellStyle name="Percent2Blue 20" xfId="21696" xr:uid="{00000000-0005-0000-0000-0000C8540000}"/>
    <cellStyle name="Percent2Blue 21" xfId="21697" xr:uid="{00000000-0005-0000-0000-0000C9540000}"/>
    <cellStyle name="Percent2Blue 21 2" xfId="21698" xr:uid="{00000000-0005-0000-0000-0000CA540000}"/>
    <cellStyle name="Percent2Blue 3" xfId="21699" xr:uid="{00000000-0005-0000-0000-0000CB540000}"/>
    <cellStyle name="Percent2Blue 4" xfId="21700" xr:uid="{00000000-0005-0000-0000-0000CC540000}"/>
    <cellStyle name="Percent2Blue 5" xfId="21701" xr:uid="{00000000-0005-0000-0000-0000CD540000}"/>
    <cellStyle name="Percent2Blue 6" xfId="21702" xr:uid="{00000000-0005-0000-0000-0000CE540000}"/>
    <cellStyle name="Percent2Blue 7" xfId="21703" xr:uid="{00000000-0005-0000-0000-0000CF540000}"/>
    <cellStyle name="Percent2Blue 8" xfId="21704" xr:uid="{00000000-0005-0000-0000-0000D0540000}"/>
    <cellStyle name="Percent2Blue 9" xfId="21705" xr:uid="{00000000-0005-0000-0000-0000D1540000}"/>
    <cellStyle name="Percentage" xfId="21706" xr:uid="{00000000-0005-0000-0000-0000D2540000}"/>
    <cellStyle name="Percentage 10" xfId="21707" xr:uid="{00000000-0005-0000-0000-0000D3540000}"/>
    <cellStyle name="Percentage 11" xfId="21708" xr:uid="{00000000-0005-0000-0000-0000D4540000}"/>
    <cellStyle name="Percentage 12" xfId="21709" xr:uid="{00000000-0005-0000-0000-0000D5540000}"/>
    <cellStyle name="Percentage 13" xfId="21710" xr:uid="{00000000-0005-0000-0000-0000D6540000}"/>
    <cellStyle name="Percentage 14" xfId="21711" xr:uid="{00000000-0005-0000-0000-0000D7540000}"/>
    <cellStyle name="Percentage 15" xfId="21712" xr:uid="{00000000-0005-0000-0000-0000D8540000}"/>
    <cellStyle name="Percentage 16" xfId="21713" xr:uid="{00000000-0005-0000-0000-0000D9540000}"/>
    <cellStyle name="Percentage 17" xfId="21714" xr:uid="{00000000-0005-0000-0000-0000DA540000}"/>
    <cellStyle name="Percentage 18" xfId="21715" xr:uid="{00000000-0005-0000-0000-0000DB540000}"/>
    <cellStyle name="Percentage 19" xfId="21716" xr:uid="{00000000-0005-0000-0000-0000DC540000}"/>
    <cellStyle name="Percentage 2" xfId="21717" xr:uid="{00000000-0005-0000-0000-0000DD540000}"/>
    <cellStyle name="Percentage 20" xfId="21718" xr:uid="{00000000-0005-0000-0000-0000DE540000}"/>
    <cellStyle name="Percentage 21" xfId="21719" xr:uid="{00000000-0005-0000-0000-0000DF540000}"/>
    <cellStyle name="Percentage 22" xfId="21720" xr:uid="{00000000-0005-0000-0000-0000E0540000}"/>
    <cellStyle name="Percentage 23" xfId="21721" xr:uid="{00000000-0005-0000-0000-0000E1540000}"/>
    <cellStyle name="Percentage 23 2" xfId="21722" xr:uid="{00000000-0005-0000-0000-0000E2540000}"/>
    <cellStyle name="Percentage 24" xfId="21723" xr:uid="{00000000-0005-0000-0000-0000E3540000}"/>
    <cellStyle name="Percentage 24 2" xfId="21724" xr:uid="{00000000-0005-0000-0000-0000E4540000}"/>
    <cellStyle name="Percentage 25" xfId="21725" xr:uid="{00000000-0005-0000-0000-0000E5540000}"/>
    <cellStyle name="Percentage 26" xfId="21726" xr:uid="{00000000-0005-0000-0000-0000E6540000}"/>
    <cellStyle name="Percentage 27" xfId="21727" xr:uid="{00000000-0005-0000-0000-0000E7540000}"/>
    <cellStyle name="Percentage 28" xfId="21728" xr:uid="{00000000-0005-0000-0000-0000E8540000}"/>
    <cellStyle name="Percentage 29" xfId="21729" xr:uid="{00000000-0005-0000-0000-0000E9540000}"/>
    <cellStyle name="Percentage 29 2" xfId="21730" xr:uid="{00000000-0005-0000-0000-0000EA540000}"/>
    <cellStyle name="Percentage 3" xfId="21731" xr:uid="{00000000-0005-0000-0000-0000EB540000}"/>
    <cellStyle name="Percentage 3 2" xfId="21732" xr:uid="{00000000-0005-0000-0000-0000EC540000}"/>
    <cellStyle name="Percentage 30" xfId="21733" xr:uid="{00000000-0005-0000-0000-0000ED540000}"/>
    <cellStyle name="Percentage 31" xfId="21734" xr:uid="{00000000-0005-0000-0000-0000EE540000}"/>
    <cellStyle name="Percentage 32" xfId="21735" xr:uid="{00000000-0005-0000-0000-0000EF540000}"/>
    <cellStyle name="Percentage 33" xfId="21736" xr:uid="{00000000-0005-0000-0000-0000F0540000}"/>
    <cellStyle name="Percentage 34" xfId="21737" xr:uid="{00000000-0005-0000-0000-0000F1540000}"/>
    <cellStyle name="Percentage 35" xfId="21738" xr:uid="{00000000-0005-0000-0000-0000F2540000}"/>
    <cellStyle name="Percentage 36" xfId="21739" xr:uid="{00000000-0005-0000-0000-0000F3540000}"/>
    <cellStyle name="Percentage 37" xfId="21740" xr:uid="{00000000-0005-0000-0000-0000F4540000}"/>
    <cellStyle name="Percentage 38" xfId="21741" xr:uid="{00000000-0005-0000-0000-0000F5540000}"/>
    <cellStyle name="Percentage 4" xfId="21742" xr:uid="{00000000-0005-0000-0000-0000F6540000}"/>
    <cellStyle name="Percentage 4 2" xfId="21743" xr:uid="{00000000-0005-0000-0000-0000F7540000}"/>
    <cellStyle name="Percentage 5" xfId="21744" xr:uid="{00000000-0005-0000-0000-0000F8540000}"/>
    <cellStyle name="Percentage 5 2" xfId="21745" xr:uid="{00000000-0005-0000-0000-0000F9540000}"/>
    <cellStyle name="Percentage 6" xfId="21746" xr:uid="{00000000-0005-0000-0000-0000FA540000}"/>
    <cellStyle name="Percentage 6 2" xfId="21747" xr:uid="{00000000-0005-0000-0000-0000FB540000}"/>
    <cellStyle name="Percentage 7" xfId="21748" xr:uid="{00000000-0005-0000-0000-0000FC540000}"/>
    <cellStyle name="Percentage 7 2" xfId="21749" xr:uid="{00000000-0005-0000-0000-0000FD540000}"/>
    <cellStyle name="Percentage 8" xfId="21750" xr:uid="{00000000-0005-0000-0000-0000FE540000}"/>
    <cellStyle name="Percentage 8 2" xfId="21751" xr:uid="{00000000-0005-0000-0000-0000FF540000}"/>
    <cellStyle name="Percentage 9" xfId="21752" xr:uid="{00000000-0005-0000-0000-000000550000}"/>
    <cellStyle name="PercentChange" xfId="21753" xr:uid="{00000000-0005-0000-0000-000001550000}"/>
    <cellStyle name="PercentChange 10" xfId="21754" xr:uid="{00000000-0005-0000-0000-000002550000}"/>
    <cellStyle name="PercentChange 11" xfId="21755" xr:uid="{00000000-0005-0000-0000-000003550000}"/>
    <cellStyle name="PercentChange 12" xfId="21756" xr:uid="{00000000-0005-0000-0000-000004550000}"/>
    <cellStyle name="PercentChange 13" xfId="21757" xr:uid="{00000000-0005-0000-0000-000005550000}"/>
    <cellStyle name="PercentChange 14" xfId="21758" xr:uid="{00000000-0005-0000-0000-000006550000}"/>
    <cellStyle name="PercentChange 15" xfId="21759" xr:uid="{00000000-0005-0000-0000-000007550000}"/>
    <cellStyle name="PercentChange 16" xfId="21760" xr:uid="{00000000-0005-0000-0000-000008550000}"/>
    <cellStyle name="PercentChange 17" xfId="21761" xr:uid="{00000000-0005-0000-0000-000009550000}"/>
    <cellStyle name="PercentChange 18" xfId="21762" xr:uid="{00000000-0005-0000-0000-00000A550000}"/>
    <cellStyle name="PercentChange 19" xfId="21763" xr:uid="{00000000-0005-0000-0000-00000B550000}"/>
    <cellStyle name="PercentChange 2" xfId="21764" xr:uid="{00000000-0005-0000-0000-00000C550000}"/>
    <cellStyle name="PercentChange 20" xfId="21765" xr:uid="{00000000-0005-0000-0000-00000D550000}"/>
    <cellStyle name="PercentChange 21" xfId="21766" xr:uid="{00000000-0005-0000-0000-00000E550000}"/>
    <cellStyle name="PercentChange 22" xfId="21767" xr:uid="{00000000-0005-0000-0000-00000F550000}"/>
    <cellStyle name="PercentChange 23" xfId="21768" xr:uid="{00000000-0005-0000-0000-000010550000}"/>
    <cellStyle name="PercentChange 23 2" xfId="21769" xr:uid="{00000000-0005-0000-0000-000011550000}"/>
    <cellStyle name="PercentChange 24" xfId="21770" xr:uid="{00000000-0005-0000-0000-000012550000}"/>
    <cellStyle name="PercentChange 24 2" xfId="21771" xr:uid="{00000000-0005-0000-0000-000013550000}"/>
    <cellStyle name="PercentChange 25" xfId="21772" xr:uid="{00000000-0005-0000-0000-000014550000}"/>
    <cellStyle name="PercentChange 26" xfId="21773" xr:uid="{00000000-0005-0000-0000-000015550000}"/>
    <cellStyle name="PercentChange 27" xfId="21774" xr:uid="{00000000-0005-0000-0000-000016550000}"/>
    <cellStyle name="PercentChange 28" xfId="21775" xr:uid="{00000000-0005-0000-0000-000017550000}"/>
    <cellStyle name="PercentChange 29" xfId="21776" xr:uid="{00000000-0005-0000-0000-000018550000}"/>
    <cellStyle name="PercentChange 29 2" xfId="21777" xr:uid="{00000000-0005-0000-0000-000019550000}"/>
    <cellStyle name="PercentChange 3" xfId="21778" xr:uid="{00000000-0005-0000-0000-00001A550000}"/>
    <cellStyle name="PercentChange 3 2" xfId="21779" xr:uid="{00000000-0005-0000-0000-00001B550000}"/>
    <cellStyle name="PercentChange 30" xfId="21780" xr:uid="{00000000-0005-0000-0000-00001C550000}"/>
    <cellStyle name="PercentChange 31" xfId="21781" xr:uid="{00000000-0005-0000-0000-00001D550000}"/>
    <cellStyle name="PercentChange 32" xfId="21782" xr:uid="{00000000-0005-0000-0000-00001E550000}"/>
    <cellStyle name="PercentChange 33" xfId="21783" xr:uid="{00000000-0005-0000-0000-00001F550000}"/>
    <cellStyle name="PercentChange 34" xfId="21784" xr:uid="{00000000-0005-0000-0000-000020550000}"/>
    <cellStyle name="PercentChange 35" xfId="21785" xr:uid="{00000000-0005-0000-0000-000021550000}"/>
    <cellStyle name="PercentChange 36" xfId="21786" xr:uid="{00000000-0005-0000-0000-000022550000}"/>
    <cellStyle name="PercentChange 37" xfId="21787" xr:uid="{00000000-0005-0000-0000-000023550000}"/>
    <cellStyle name="PercentChange 38" xfId="21788" xr:uid="{00000000-0005-0000-0000-000024550000}"/>
    <cellStyle name="PercentChange 4" xfId="21789" xr:uid="{00000000-0005-0000-0000-000025550000}"/>
    <cellStyle name="PercentChange 4 2" xfId="21790" xr:uid="{00000000-0005-0000-0000-000026550000}"/>
    <cellStyle name="PercentChange 5" xfId="21791" xr:uid="{00000000-0005-0000-0000-000027550000}"/>
    <cellStyle name="PercentChange 5 2" xfId="21792" xr:uid="{00000000-0005-0000-0000-000028550000}"/>
    <cellStyle name="PercentChange 6" xfId="21793" xr:uid="{00000000-0005-0000-0000-000029550000}"/>
    <cellStyle name="PercentChange 6 2" xfId="21794" xr:uid="{00000000-0005-0000-0000-00002A550000}"/>
    <cellStyle name="PercentChange 7" xfId="21795" xr:uid="{00000000-0005-0000-0000-00002B550000}"/>
    <cellStyle name="PercentChange 7 2" xfId="21796" xr:uid="{00000000-0005-0000-0000-00002C550000}"/>
    <cellStyle name="PercentChange 8" xfId="21797" xr:uid="{00000000-0005-0000-0000-00002D550000}"/>
    <cellStyle name="PercentChange 8 2" xfId="21798" xr:uid="{00000000-0005-0000-0000-00002E550000}"/>
    <cellStyle name="PercentChange 9" xfId="21799" xr:uid="{00000000-0005-0000-0000-00002F550000}"/>
    <cellStyle name="percnet" xfId="21800" xr:uid="{00000000-0005-0000-0000-000030550000}"/>
    <cellStyle name="percnet 10" xfId="21801" xr:uid="{00000000-0005-0000-0000-000031550000}"/>
    <cellStyle name="percnet 11" xfId="21802" xr:uid="{00000000-0005-0000-0000-000032550000}"/>
    <cellStyle name="percnet 12" xfId="21803" xr:uid="{00000000-0005-0000-0000-000033550000}"/>
    <cellStyle name="percnet 13" xfId="21804" xr:uid="{00000000-0005-0000-0000-000034550000}"/>
    <cellStyle name="percnet 14" xfId="21805" xr:uid="{00000000-0005-0000-0000-000035550000}"/>
    <cellStyle name="percnet 15" xfId="21806" xr:uid="{00000000-0005-0000-0000-000036550000}"/>
    <cellStyle name="percnet 16" xfId="21807" xr:uid="{00000000-0005-0000-0000-000037550000}"/>
    <cellStyle name="percnet 17" xfId="21808" xr:uid="{00000000-0005-0000-0000-000038550000}"/>
    <cellStyle name="percnet 18" xfId="21809" xr:uid="{00000000-0005-0000-0000-000039550000}"/>
    <cellStyle name="percnet 19" xfId="21810" xr:uid="{00000000-0005-0000-0000-00003A550000}"/>
    <cellStyle name="percnet 2" xfId="21811" xr:uid="{00000000-0005-0000-0000-00003B550000}"/>
    <cellStyle name="percnet 20" xfId="21812" xr:uid="{00000000-0005-0000-0000-00003C550000}"/>
    <cellStyle name="percnet 21" xfId="21813" xr:uid="{00000000-0005-0000-0000-00003D550000}"/>
    <cellStyle name="percnet 21 2" xfId="21814" xr:uid="{00000000-0005-0000-0000-00003E550000}"/>
    <cellStyle name="percnet 3" xfId="21815" xr:uid="{00000000-0005-0000-0000-00003F550000}"/>
    <cellStyle name="percnet 4" xfId="21816" xr:uid="{00000000-0005-0000-0000-000040550000}"/>
    <cellStyle name="percnet 5" xfId="21817" xr:uid="{00000000-0005-0000-0000-000041550000}"/>
    <cellStyle name="percnet 6" xfId="21818" xr:uid="{00000000-0005-0000-0000-000042550000}"/>
    <cellStyle name="percnet 7" xfId="21819" xr:uid="{00000000-0005-0000-0000-000043550000}"/>
    <cellStyle name="percnet 8" xfId="21820" xr:uid="{00000000-0005-0000-0000-000044550000}"/>
    <cellStyle name="percnet 9" xfId="21821" xr:uid="{00000000-0005-0000-0000-000045550000}"/>
    <cellStyle name="Period_Headers" xfId="21822" xr:uid="{00000000-0005-0000-0000-000046550000}"/>
    <cellStyle name="pf" xfId="21823" xr:uid="{00000000-0005-0000-0000-000047550000}"/>
    <cellStyle name="pf 10" xfId="21824" xr:uid="{00000000-0005-0000-0000-000048550000}"/>
    <cellStyle name="pf 11" xfId="21825" xr:uid="{00000000-0005-0000-0000-000049550000}"/>
    <cellStyle name="pf 12" xfId="21826" xr:uid="{00000000-0005-0000-0000-00004A550000}"/>
    <cellStyle name="pf 13" xfId="21827" xr:uid="{00000000-0005-0000-0000-00004B550000}"/>
    <cellStyle name="pf 14" xfId="21828" xr:uid="{00000000-0005-0000-0000-00004C550000}"/>
    <cellStyle name="pf 15" xfId="21829" xr:uid="{00000000-0005-0000-0000-00004D550000}"/>
    <cellStyle name="pf 16" xfId="21830" xr:uid="{00000000-0005-0000-0000-00004E550000}"/>
    <cellStyle name="pf 17" xfId="21831" xr:uid="{00000000-0005-0000-0000-00004F550000}"/>
    <cellStyle name="pf 18" xfId="21832" xr:uid="{00000000-0005-0000-0000-000050550000}"/>
    <cellStyle name="pf 19" xfId="21833" xr:uid="{00000000-0005-0000-0000-000051550000}"/>
    <cellStyle name="pf 2" xfId="21834" xr:uid="{00000000-0005-0000-0000-000052550000}"/>
    <cellStyle name="pf 20" xfId="21835" xr:uid="{00000000-0005-0000-0000-000053550000}"/>
    <cellStyle name="pf 21" xfId="21836" xr:uid="{00000000-0005-0000-0000-000054550000}"/>
    <cellStyle name="pf 21 2" xfId="21837" xr:uid="{00000000-0005-0000-0000-000055550000}"/>
    <cellStyle name="pf 3" xfId="21838" xr:uid="{00000000-0005-0000-0000-000056550000}"/>
    <cellStyle name="pf 4" xfId="21839" xr:uid="{00000000-0005-0000-0000-000057550000}"/>
    <cellStyle name="pf 5" xfId="21840" xr:uid="{00000000-0005-0000-0000-000058550000}"/>
    <cellStyle name="pf 6" xfId="21841" xr:uid="{00000000-0005-0000-0000-000059550000}"/>
    <cellStyle name="pf 7" xfId="21842" xr:uid="{00000000-0005-0000-0000-00005A550000}"/>
    <cellStyle name="pf 8" xfId="21843" xr:uid="{00000000-0005-0000-0000-00005B550000}"/>
    <cellStyle name="pf 9" xfId="21844" xr:uid="{00000000-0005-0000-0000-00005C550000}"/>
    <cellStyle name="PillarData" xfId="21845" xr:uid="{00000000-0005-0000-0000-00005D550000}"/>
    <cellStyle name="PillarData 10" xfId="21846" xr:uid="{00000000-0005-0000-0000-00005E550000}"/>
    <cellStyle name="PillarData 11" xfId="21847" xr:uid="{00000000-0005-0000-0000-00005F550000}"/>
    <cellStyle name="PillarData 12" xfId="21848" xr:uid="{00000000-0005-0000-0000-000060550000}"/>
    <cellStyle name="PillarData 13" xfId="21849" xr:uid="{00000000-0005-0000-0000-000061550000}"/>
    <cellStyle name="PillarData 14" xfId="21850" xr:uid="{00000000-0005-0000-0000-000062550000}"/>
    <cellStyle name="PillarData 15" xfId="21851" xr:uid="{00000000-0005-0000-0000-000063550000}"/>
    <cellStyle name="PillarData 16" xfId="21852" xr:uid="{00000000-0005-0000-0000-000064550000}"/>
    <cellStyle name="PillarData 17" xfId="21853" xr:uid="{00000000-0005-0000-0000-000065550000}"/>
    <cellStyle name="PillarData 18" xfId="21854" xr:uid="{00000000-0005-0000-0000-000066550000}"/>
    <cellStyle name="PillarData 19" xfId="21855" xr:uid="{00000000-0005-0000-0000-000067550000}"/>
    <cellStyle name="PillarData 2" xfId="21856" xr:uid="{00000000-0005-0000-0000-000068550000}"/>
    <cellStyle name="PillarData 2 2" xfId="21857" xr:uid="{00000000-0005-0000-0000-000069550000}"/>
    <cellStyle name="PillarData 20" xfId="21858" xr:uid="{00000000-0005-0000-0000-00006A550000}"/>
    <cellStyle name="PillarData 21" xfId="21859" xr:uid="{00000000-0005-0000-0000-00006B550000}"/>
    <cellStyle name="PillarData 22" xfId="21860" xr:uid="{00000000-0005-0000-0000-00006C550000}"/>
    <cellStyle name="PillarData 23" xfId="21861" xr:uid="{00000000-0005-0000-0000-00006D550000}"/>
    <cellStyle name="PillarData 24" xfId="21862" xr:uid="{00000000-0005-0000-0000-00006E550000}"/>
    <cellStyle name="PillarData 25" xfId="21863" xr:uid="{00000000-0005-0000-0000-00006F550000}"/>
    <cellStyle name="PillarData 26" xfId="21864" xr:uid="{00000000-0005-0000-0000-000070550000}"/>
    <cellStyle name="PillarData 27" xfId="21865" xr:uid="{00000000-0005-0000-0000-000071550000}"/>
    <cellStyle name="PillarData 28" xfId="21866" xr:uid="{00000000-0005-0000-0000-000072550000}"/>
    <cellStyle name="PillarData 29" xfId="21867" xr:uid="{00000000-0005-0000-0000-000073550000}"/>
    <cellStyle name="PillarData 3" xfId="21868" xr:uid="{00000000-0005-0000-0000-000074550000}"/>
    <cellStyle name="PillarData 3 2" xfId="21869" xr:uid="{00000000-0005-0000-0000-000075550000}"/>
    <cellStyle name="PillarData 30" xfId="21870" xr:uid="{00000000-0005-0000-0000-000076550000}"/>
    <cellStyle name="PillarData 31" xfId="21871" xr:uid="{00000000-0005-0000-0000-000077550000}"/>
    <cellStyle name="PillarData 31 2" xfId="21872" xr:uid="{00000000-0005-0000-0000-000078550000}"/>
    <cellStyle name="PillarData 32" xfId="21873" xr:uid="{00000000-0005-0000-0000-000079550000}"/>
    <cellStyle name="PillarData 33" xfId="21874" xr:uid="{00000000-0005-0000-0000-00007A550000}"/>
    <cellStyle name="PillarData 34" xfId="21875" xr:uid="{00000000-0005-0000-0000-00007B550000}"/>
    <cellStyle name="PillarData 35" xfId="21876" xr:uid="{00000000-0005-0000-0000-00007C550000}"/>
    <cellStyle name="PillarData 36" xfId="21877" xr:uid="{00000000-0005-0000-0000-00007D550000}"/>
    <cellStyle name="PillarData 37" xfId="21878" xr:uid="{00000000-0005-0000-0000-00007E550000}"/>
    <cellStyle name="PillarData 38" xfId="21879" xr:uid="{00000000-0005-0000-0000-00007F550000}"/>
    <cellStyle name="PillarData 39" xfId="21880" xr:uid="{00000000-0005-0000-0000-000080550000}"/>
    <cellStyle name="PillarData 4" xfId="21881" xr:uid="{00000000-0005-0000-0000-000081550000}"/>
    <cellStyle name="PillarData 40" xfId="21882" xr:uid="{00000000-0005-0000-0000-000082550000}"/>
    <cellStyle name="PillarData 5" xfId="21883" xr:uid="{00000000-0005-0000-0000-000083550000}"/>
    <cellStyle name="PillarData 6" xfId="21884" xr:uid="{00000000-0005-0000-0000-000084550000}"/>
    <cellStyle name="PillarData 7" xfId="21885" xr:uid="{00000000-0005-0000-0000-000085550000}"/>
    <cellStyle name="PillarData 8" xfId="21886" xr:uid="{00000000-0005-0000-0000-000086550000}"/>
    <cellStyle name="PillarData 9" xfId="21887" xr:uid="{00000000-0005-0000-0000-000087550000}"/>
    <cellStyle name="pound" xfId="21888" xr:uid="{00000000-0005-0000-0000-000088550000}"/>
    <cellStyle name="pound 10" xfId="21889" xr:uid="{00000000-0005-0000-0000-000089550000}"/>
    <cellStyle name="pound 11" xfId="21890" xr:uid="{00000000-0005-0000-0000-00008A550000}"/>
    <cellStyle name="pound 12" xfId="21891" xr:uid="{00000000-0005-0000-0000-00008B550000}"/>
    <cellStyle name="pound 13" xfId="21892" xr:uid="{00000000-0005-0000-0000-00008C550000}"/>
    <cellStyle name="pound 14" xfId="21893" xr:uid="{00000000-0005-0000-0000-00008D550000}"/>
    <cellStyle name="pound 15" xfId="21894" xr:uid="{00000000-0005-0000-0000-00008E550000}"/>
    <cellStyle name="pound 16" xfId="21895" xr:uid="{00000000-0005-0000-0000-00008F550000}"/>
    <cellStyle name="pound 17" xfId="21896" xr:uid="{00000000-0005-0000-0000-000090550000}"/>
    <cellStyle name="pound 18" xfId="21897" xr:uid="{00000000-0005-0000-0000-000091550000}"/>
    <cellStyle name="pound 19" xfId="21898" xr:uid="{00000000-0005-0000-0000-000092550000}"/>
    <cellStyle name="pound 2" xfId="21899" xr:uid="{00000000-0005-0000-0000-000093550000}"/>
    <cellStyle name="pound 20" xfId="21900" xr:uid="{00000000-0005-0000-0000-000094550000}"/>
    <cellStyle name="pound 21" xfId="21901" xr:uid="{00000000-0005-0000-0000-000095550000}"/>
    <cellStyle name="pound 21 2" xfId="21902" xr:uid="{00000000-0005-0000-0000-000096550000}"/>
    <cellStyle name="pound 3" xfId="21903" xr:uid="{00000000-0005-0000-0000-000097550000}"/>
    <cellStyle name="pound 4" xfId="21904" xr:uid="{00000000-0005-0000-0000-000098550000}"/>
    <cellStyle name="pound 5" xfId="21905" xr:uid="{00000000-0005-0000-0000-000099550000}"/>
    <cellStyle name="pound 6" xfId="21906" xr:uid="{00000000-0005-0000-0000-00009A550000}"/>
    <cellStyle name="pound 7" xfId="21907" xr:uid="{00000000-0005-0000-0000-00009B550000}"/>
    <cellStyle name="pound 8" xfId="21908" xr:uid="{00000000-0005-0000-0000-00009C550000}"/>
    <cellStyle name="pound 9" xfId="21909" xr:uid="{00000000-0005-0000-0000-00009D550000}"/>
    <cellStyle name="pp" xfId="21910" xr:uid="{00000000-0005-0000-0000-00009E550000}"/>
    <cellStyle name="pp 10" xfId="21911" xr:uid="{00000000-0005-0000-0000-00009F550000}"/>
    <cellStyle name="pp 11" xfId="21912" xr:uid="{00000000-0005-0000-0000-0000A0550000}"/>
    <cellStyle name="pp 12" xfId="21913" xr:uid="{00000000-0005-0000-0000-0000A1550000}"/>
    <cellStyle name="pp 13" xfId="21914" xr:uid="{00000000-0005-0000-0000-0000A2550000}"/>
    <cellStyle name="pp 14" xfId="21915" xr:uid="{00000000-0005-0000-0000-0000A3550000}"/>
    <cellStyle name="pp 15" xfId="21916" xr:uid="{00000000-0005-0000-0000-0000A4550000}"/>
    <cellStyle name="pp 16" xfId="21917" xr:uid="{00000000-0005-0000-0000-0000A5550000}"/>
    <cellStyle name="pp 17" xfId="21918" xr:uid="{00000000-0005-0000-0000-0000A6550000}"/>
    <cellStyle name="pp 18" xfId="21919" xr:uid="{00000000-0005-0000-0000-0000A7550000}"/>
    <cellStyle name="pp 19" xfId="21920" xr:uid="{00000000-0005-0000-0000-0000A8550000}"/>
    <cellStyle name="pp 2" xfId="21921" xr:uid="{00000000-0005-0000-0000-0000A9550000}"/>
    <cellStyle name="pp 20" xfId="21922" xr:uid="{00000000-0005-0000-0000-0000AA550000}"/>
    <cellStyle name="pp 21" xfId="21923" xr:uid="{00000000-0005-0000-0000-0000AB550000}"/>
    <cellStyle name="pp 21 2" xfId="21924" xr:uid="{00000000-0005-0000-0000-0000AC550000}"/>
    <cellStyle name="pp 3" xfId="21925" xr:uid="{00000000-0005-0000-0000-0000AD550000}"/>
    <cellStyle name="pp 4" xfId="21926" xr:uid="{00000000-0005-0000-0000-0000AE550000}"/>
    <cellStyle name="pp 5" xfId="21927" xr:uid="{00000000-0005-0000-0000-0000AF550000}"/>
    <cellStyle name="pp 6" xfId="21928" xr:uid="{00000000-0005-0000-0000-0000B0550000}"/>
    <cellStyle name="pp 7" xfId="21929" xr:uid="{00000000-0005-0000-0000-0000B1550000}"/>
    <cellStyle name="pp 8" xfId="21930" xr:uid="{00000000-0005-0000-0000-0000B2550000}"/>
    <cellStyle name="pp 9" xfId="21931" xr:uid="{00000000-0005-0000-0000-0000B3550000}"/>
    <cellStyle name="ppp" xfId="21932" xr:uid="{00000000-0005-0000-0000-0000B4550000}"/>
    <cellStyle name="ppp 10" xfId="21933" xr:uid="{00000000-0005-0000-0000-0000B5550000}"/>
    <cellStyle name="ppp 11" xfId="21934" xr:uid="{00000000-0005-0000-0000-0000B6550000}"/>
    <cellStyle name="ppp 12" xfId="21935" xr:uid="{00000000-0005-0000-0000-0000B7550000}"/>
    <cellStyle name="ppp 13" xfId="21936" xr:uid="{00000000-0005-0000-0000-0000B8550000}"/>
    <cellStyle name="ppp 14" xfId="21937" xr:uid="{00000000-0005-0000-0000-0000B9550000}"/>
    <cellStyle name="ppp 15" xfId="21938" xr:uid="{00000000-0005-0000-0000-0000BA550000}"/>
    <cellStyle name="ppp 16" xfId="21939" xr:uid="{00000000-0005-0000-0000-0000BB550000}"/>
    <cellStyle name="ppp 17" xfId="21940" xr:uid="{00000000-0005-0000-0000-0000BC550000}"/>
    <cellStyle name="ppp 18" xfId="21941" xr:uid="{00000000-0005-0000-0000-0000BD550000}"/>
    <cellStyle name="ppp 19" xfId="21942" xr:uid="{00000000-0005-0000-0000-0000BE550000}"/>
    <cellStyle name="ppp 2" xfId="21943" xr:uid="{00000000-0005-0000-0000-0000BF550000}"/>
    <cellStyle name="ppp 20" xfId="21944" xr:uid="{00000000-0005-0000-0000-0000C0550000}"/>
    <cellStyle name="ppp 21" xfId="21945" xr:uid="{00000000-0005-0000-0000-0000C1550000}"/>
    <cellStyle name="ppp 21 2" xfId="21946" xr:uid="{00000000-0005-0000-0000-0000C2550000}"/>
    <cellStyle name="ppp 3" xfId="21947" xr:uid="{00000000-0005-0000-0000-0000C3550000}"/>
    <cellStyle name="ppp 4" xfId="21948" xr:uid="{00000000-0005-0000-0000-0000C4550000}"/>
    <cellStyle name="ppp 5" xfId="21949" xr:uid="{00000000-0005-0000-0000-0000C5550000}"/>
    <cellStyle name="ppp 6" xfId="21950" xr:uid="{00000000-0005-0000-0000-0000C6550000}"/>
    <cellStyle name="ppp 7" xfId="21951" xr:uid="{00000000-0005-0000-0000-0000C7550000}"/>
    <cellStyle name="ppp 8" xfId="21952" xr:uid="{00000000-0005-0000-0000-0000C8550000}"/>
    <cellStyle name="ppp 9" xfId="21953" xr:uid="{00000000-0005-0000-0000-0000C9550000}"/>
    <cellStyle name="PrePop Currency (0)" xfId="21954" xr:uid="{00000000-0005-0000-0000-0000CA550000}"/>
    <cellStyle name="PrePop Currency (0) 10" xfId="21955" xr:uid="{00000000-0005-0000-0000-0000CB550000}"/>
    <cellStyle name="PrePop Currency (0) 11" xfId="21956" xr:uid="{00000000-0005-0000-0000-0000CC550000}"/>
    <cellStyle name="PrePop Currency (0) 12" xfId="21957" xr:uid="{00000000-0005-0000-0000-0000CD550000}"/>
    <cellStyle name="PrePop Currency (0) 13" xfId="21958" xr:uid="{00000000-0005-0000-0000-0000CE550000}"/>
    <cellStyle name="PrePop Currency (0) 14" xfId="21959" xr:uid="{00000000-0005-0000-0000-0000CF550000}"/>
    <cellStyle name="PrePop Currency (0) 15" xfId="21960" xr:uid="{00000000-0005-0000-0000-0000D0550000}"/>
    <cellStyle name="PrePop Currency (0) 16" xfId="21961" xr:uid="{00000000-0005-0000-0000-0000D1550000}"/>
    <cellStyle name="PrePop Currency (0) 17" xfId="21962" xr:uid="{00000000-0005-0000-0000-0000D2550000}"/>
    <cellStyle name="PrePop Currency (0) 18" xfId="21963" xr:uid="{00000000-0005-0000-0000-0000D3550000}"/>
    <cellStyle name="PrePop Currency (0) 19" xfId="21964" xr:uid="{00000000-0005-0000-0000-0000D4550000}"/>
    <cellStyle name="PrePop Currency (0) 2" xfId="21965" xr:uid="{00000000-0005-0000-0000-0000D5550000}"/>
    <cellStyle name="PrePop Currency (0) 20" xfId="21966" xr:uid="{00000000-0005-0000-0000-0000D6550000}"/>
    <cellStyle name="PrePop Currency (0) 21" xfId="21967" xr:uid="{00000000-0005-0000-0000-0000D7550000}"/>
    <cellStyle name="PrePop Currency (0) 21 2" xfId="21968" xr:uid="{00000000-0005-0000-0000-0000D8550000}"/>
    <cellStyle name="PrePop Currency (0) 3" xfId="21969" xr:uid="{00000000-0005-0000-0000-0000D9550000}"/>
    <cellStyle name="PrePop Currency (0) 4" xfId="21970" xr:uid="{00000000-0005-0000-0000-0000DA550000}"/>
    <cellStyle name="PrePop Currency (0) 5" xfId="21971" xr:uid="{00000000-0005-0000-0000-0000DB550000}"/>
    <cellStyle name="PrePop Currency (0) 6" xfId="21972" xr:uid="{00000000-0005-0000-0000-0000DC550000}"/>
    <cellStyle name="PrePop Currency (0) 7" xfId="21973" xr:uid="{00000000-0005-0000-0000-0000DD550000}"/>
    <cellStyle name="PrePop Currency (0) 8" xfId="21974" xr:uid="{00000000-0005-0000-0000-0000DE550000}"/>
    <cellStyle name="PrePop Currency (0) 9" xfId="21975" xr:uid="{00000000-0005-0000-0000-0000DF550000}"/>
    <cellStyle name="PrePop Currency (2)" xfId="21976" xr:uid="{00000000-0005-0000-0000-0000E0550000}"/>
    <cellStyle name="PrePop Currency (2) 10" xfId="21977" xr:uid="{00000000-0005-0000-0000-0000E1550000}"/>
    <cellStyle name="PrePop Currency (2) 11" xfId="21978" xr:uid="{00000000-0005-0000-0000-0000E2550000}"/>
    <cellStyle name="PrePop Currency (2) 12" xfId="21979" xr:uid="{00000000-0005-0000-0000-0000E3550000}"/>
    <cellStyle name="PrePop Currency (2) 13" xfId="21980" xr:uid="{00000000-0005-0000-0000-0000E4550000}"/>
    <cellStyle name="PrePop Currency (2) 14" xfId="21981" xr:uid="{00000000-0005-0000-0000-0000E5550000}"/>
    <cellStyle name="PrePop Currency (2) 15" xfId="21982" xr:uid="{00000000-0005-0000-0000-0000E6550000}"/>
    <cellStyle name="PrePop Currency (2) 16" xfId="21983" xr:uid="{00000000-0005-0000-0000-0000E7550000}"/>
    <cellStyle name="PrePop Currency (2) 17" xfId="21984" xr:uid="{00000000-0005-0000-0000-0000E8550000}"/>
    <cellStyle name="PrePop Currency (2) 18" xfId="21985" xr:uid="{00000000-0005-0000-0000-0000E9550000}"/>
    <cellStyle name="PrePop Currency (2) 19" xfId="21986" xr:uid="{00000000-0005-0000-0000-0000EA550000}"/>
    <cellStyle name="PrePop Currency (2) 2" xfId="21987" xr:uid="{00000000-0005-0000-0000-0000EB550000}"/>
    <cellStyle name="PrePop Currency (2) 20" xfId="21988" xr:uid="{00000000-0005-0000-0000-0000EC550000}"/>
    <cellStyle name="PrePop Currency (2) 21" xfId="21989" xr:uid="{00000000-0005-0000-0000-0000ED550000}"/>
    <cellStyle name="PrePop Currency (2) 21 2" xfId="21990" xr:uid="{00000000-0005-0000-0000-0000EE550000}"/>
    <cellStyle name="PrePop Currency (2) 3" xfId="21991" xr:uid="{00000000-0005-0000-0000-0000EF550000}"/>
    <cellStyle name="PrePop Currency (2) 4" xfId="21992" xr:uid="{00000000-0005-0000-0000-0000F0550000}"/>
    <cellStyle name="PrePop Currency (2) 5" xfId="21993" xr:uid="{00000000-0005-0000-0000-0000F1550000}"/>
    <cellStyle name="PrePop Currency (2) 6" xfId="21994" xr:uid="{00000000-0005-0000-0000-0000F2550000}"/>
    <cellStyle name="PrePop Currency (2) 7" xfId="21995" xr:uid="{00000000-0005-0000-0000-0000F3550000}"/>
    <cellStyle name="PrePop Currency (2) 8" xfId="21996" xr:uid="{00000000-0005-0000-0000-0000F4550000}"/>
    <cellStyle name="PrePop Currency (2) 9" xfId="21997" xr:uid="{00000000-0005-0000-0000-0000F5550000}"/>
    <cellStyle name="PrePop Currency (2)_BINV_BINV" xfId="21998" xr:uid="{00000000-0005-0000-0000-0000F6550000}"/>
    <cellStyle name="PrePop Units (0)" xfId="21999" xr:uid="{00000000-0005-0000-0000-0000F7550000}"/>
    <cellStyle name="PrePop Units (0) 10" xfId="22000" xr:uid="{00000000-0005-0000-0000-0000F8550000}"/>
    <cellStyle name="PrePop Units (0) 11" xfId="22001" xr:uid="{00000000-0005-0000-0000-0000F9550000}"/>
    <cellStyle name="PrePop Units (0) 12" xfId="22002" xr:uid="{00000000-0005-0000-0000-0000FA550000}"/>
    <cellStyle name="PrePop Units (0) 13" xfId="22003" xr:uid="{00000000-0005-0000-0000-0000FB550000}"/>
    <cellStyle name="PrePop Units (0) 14" xfId="22004" xr:uid="{00000000-0005-0000-0000-0000FC550000}"/>
    <cellStyle name="PrePop Units (0) 15" xfId="22005" xr:uid="{00000000-0005-0000-0000-0000FD550000}"/>
    <cellStyle name="PrePop Units (0) 16" xfId="22006" xr:uid="{00000000-0005-0000-0000-0000FE550000}"/>
    <cellStyle name="PrePop Units (0) 17" xfId="22007" xr:uid="{00000000-0005-0000-0000-0000FF550000}"/>
    <cellStyle name="PrePop Units (0) 18" xfId="22008" xr:uid="{00000000-0005-0000-0000-000000560000}"/>
    <cellStyle name="PrePop Units (0) 19" xfId="22009" xr:uid="{00000000-0005-0000-0000-000001560000}"/>
    <cellStyle name="PrePop Units (0) 2" xfId="22010" xr:uid="{00000000-0005-0000-0000-000002560000}"/>
    <cellStyle name="PrePop Units (0) 20" xfId="22011" xr:uid="{00000000-0005-0000-0000-000003560000}"/>
    <cellStyle name="PrePop Units (0) 21" xfId="22012" xr:uid="{00000000-0005-0000-0000-000004560000}"/>
    <cellStyle name="PrePop Units (0) 21 2" xfId="22013" xr:uid="{00000000-0005-0000-0000-000005560000}"/>
    <cellStyle name="PrePop Units (0) 3" xfId="22014" xr:uid="{00000000-0005-0000-0000-000006560000}"/>
    <cellStyle name="PrePop Units (0) 4" xfId="22015" xr:uid="{00000000-0005-0000-0000-000007560000}"/>
    <cellStyle name="PrePop Units (0) 5" xfId="22016" xr:uid="{00000000-0005-0000-0000-000008560000}"/>
    <cellStyle name="PrePop Units (0) 6" xfId="22017" xr:uid="{00000000-0005-0000-0000-000009560000}"/>
    <cellStyle name="PrePop Units (0) 7" xfId="22018" xr:uid="{00000000-0005-0000-0000-00000A560000}"/>
    <cellStyle name="PrePop Units (0) 8" xfId="22019" xr:uid="{00000000-0005-0000-0000-00000B560000}"/>
    <cellStyle name="PrePop Units (0) 9" xfId="22020" xr:uid="{00000000-0005-0000-0000-00000C560000}"/>
    <cellStyle name="PrePop Units (1)" xfId="22021" xr:uid="{00000000-0005-0000-0000-00000D560000}"/>
    <cellStyle name="PrePop Units (1) 10" xfId="22022" xr:uid="{00000000-0005-0000-0000-00000E560000}"/>
    <cellStyle name="PrePop Units (1) 11" xfId="22023" xr:uid="{00000000-0005-0000-0000-00000F560000}"/>
    <cellStyle name="PrePop Units (1) 12" xfId="22024" xr:uid="{00000000-0005-0000-0000-000010560000}"/>
    <cellStyle name="PrePop Units (1) 13" xfId="22025" xr:uid="{00000000-0005-0000-0000-000011560000}"/>
    <cellStyle name="PrePop Units (1) 14" xfId="22026" xr:uid="{00000000-0005-0000-0000-000012560000}"/>
    <cellStyle name="PrePop Units (1) 15" xfId="22027" xr:uid="{00000000-0005-0000-0000-000013560000}"/>
    <cellStyle name="PrePop Units (1) 16" xfId="22028" xr:uid="{00000000-0005-0000-0000-000014560000}"/>
    <cellStyle name="PrePop Units (1) 17" xfId="22029" xr:uid="{00000000-0005-0000-0000-000015560000}"/>
    <cellStyle name="PrePop Units (1) 18" xfId="22030" xr:uid="{00000000-0005-0000-0000-000016560000}"/>
    <cellStyle name="PrePop Units (1) 19" xfId="22031" xr:uid="{00000000-0005-0000-0000-000017560000}"/>
    <cellStyle name="PrePop Units (1) 2" xfId="22032" xr:uid="{00000000-0005-0000-0000-000018560000}"/>
    <cellStyle name="PrePop Units (1) 20" xfId="22033" xr:uid="{00000000-0005-0000-0000-000019560000}"/>
    <cellStyle name="PrePop Units (1) 21" xfId="22034" xr:uid="{00000000-0005-0000-0000-00001A560000}"/>
    <cellStyle name="PrePop Units (1) 21 2" xfId="22035" xr:uid="{00000000-0005-0000-0000-00001B560000}"/>
    <cellStyle name="PrePop Units (1) 3" xfId="22036" xr:uid="{00000000-0005-0000-0000-00001C560000}"/>
    <cellStyle name="PrePop Units (1) 4" xfId="22037" xr:uid="{00000000-0005-0000-0000-00001D560000}"/>
    <cellStyle name="PrePop Units (1) 5" xfId="22038" xr:uid="{00000000-0005-0000-0000-00001E560000}"/>
    <cellStyle name="PrePop Units (1) 6" xfId="22039" xr:uid="{00000000-0005-0000-0000-00001F560000}"/>
    <cellStyle name="PrePop Units (1) 7" xfId="22040" xr:uid="{00000000-0005-0000-0000-000020560000}"/>
    <cellStyle name="PrePop Units (1) 8" xfId="22041" xr:uid="{00000000-0005-0000-0000-000021560000}"/>
    <cellStyle name="PrePop Units (1) 9" xfId="22042" xr:uid="{00000000-0005-0000-0000-000022560000}"/>
    <cellStyle name="PrePop Units (2)" xfId="22043" xr:uid="{00000000-0005-0000-0000-000023560000}"/>
    <cellStyle name="PrePop Units (2) 10" xfId="22044" xr:uid="{00000000-0005-0000-0000-000024560000}"/>
    <cellStyle name="PrePop Units (2) 11" xfId="22045" xr:uid="{00000000-0005-0000-0000-000025560000}"/>
    <cellStyle name="PrePop Units (2) 12" xfId="22046" xr:uid="{00000000-0005-0000-0000-000026560000}"/>
    <cellStyle name="PrePop Units (2) 13" xfId="22047" xr:uid="{00000000-0005-0000-0000-000027560000}"/>
    <cellStyle name="PrePop Units (2) 14" xfId="22048" xr:uid="{00000000-0005-0000-0000-000028560000}"/>
    <cellStyle name="PrePop Units (2) 15" xfId="22049" xr:uid="{00000000-0005-0000-0000-000029560000}"/>
    <cellStyle name="PrePop Units (2) 16" xfId="22050" xr:uid="{00000000-0005-0000-0000-00002A560000}"/>
    <cellStyle name="PrePop Units (2) 17" xfId="22051" xr:uid="{00000000-0005-0000-0000-00002B560000}"/>
    <cellStyle name="PrePop Units (2) 18" xfId="22052" xr:uid="{00000000-0005-0000-0000-00002C560000}"/>
    <cellStyle name="PrePop Units (2) 19" xfId="22053" xr:uid="{00000000-0005-0000-0000-00002D560000}"/>
    <cellStyle name="PrePop Units (2) 2" xfId="22054" xr:uid="{00000000-0005-0000-0000-00002E560000}"/>
    <cellStyle name="PrePop Units (2) 20" xfId="22055" xr:uid="{00000000-0005-0000-0000-00002F560000}"/>
    <cellStyle name="PrePop Units (2) 21" xfId="22056" xr:uid="{00000000-0005-0000-0000-000030560000}"/>
    <cellStyle name="PrePop Units (2) 21 2" xfId="22057" xr:uid="{00000000-0005-0000-0000-000031560000}"/>
    <cellStyle name="PrePop Units (2) 3" xfId="22058" xr:uid="{00000000-0005-0000-0000-000032560000}"/>
    <cellStyle name="PrePop Units (2) 4" xfId="22059" xr:uid="{00000000-0005-0000-0000-000033560000}"/>
    <cellStyle name="PrePop Units (2) 5" xfId="22060" xr:uid="{00000000-0005-0000-0000-000034560000}"/>
    <cellStyle name="PrePop Units (2) 6" xfId="22061" xr:uid="{00000000-0005-0000-0000-000035560000}"/>
    <cellStyle name="PrePop Units (2) 7" xfId="22062" xr:uid="{00000000-0005-0000-0000-000036560000}"/>
    <cellStyle name="PrePop Units (2) 8" xfId="22063" xr:uid="{00000000-0005-0000-0000-000037560000}"/>
    <cellStyle name="PrePop Units (2) 9" xfId="22064" xr:uid="{00000000-0005-0000-0000-000038560000}"/>
    <cellStyle name="Price" xfId="22065" xr:uid="{00000000-0005-0000-0000-000039560000}"/>
    <cellStyle name="Price 10" xfId="22066" xr:uid="{00000000-0005-0000-0000-00003A560000}"/>
    <cellStyle name="Price 11" xfId="22067" xr:uid="{00000000-0005-0000-0000-00003B560000}"/>
    <cellStyle name="Price 12" xfId="22068" xr:uid="{00000000-0005-0000-0000-00003C560000}"/>
    <cellStyle name="Price 13" xfId="22069" xr:uid="{00000000-0005-0000-0000-00003D560000}"/>
    <cellStyle name="Price 14" xfId="22070" xr:uid="{00000000-0005-0000-0000-00003E560000}"/>
    <cellStyle name="Price 15" xfId="22071" xr:uid="{00000000-0005-0000-0000-00003F560000}"/>
    <cellStyle name="Price 16" xfId="22072" xr:uid="{00000000-0005-0000-0000-000040560000}"/>
    <cellStyle name="Price 17" xfId="22073" xr:uid="{00000000-0005-0000-0000-000041560000}"/>
    <cellStyle name="Price 18" xfId="22074" xr:uid="{00000000-0005-0000-0000-000042560000}"/>
    <cellStyle name="Price 19" xfId="22075" xr:uid="{00000000-0005-0000-0000-000043560000}"/>
    <cellStyle name="Price 2" xfId="22076" xr:uid="{00000000-0005-0000-0000-000044560000}"/>
    <cellStyle name="Price 20" xfId="22077" xr:uid="{00000000-0005-0000-0000-000045560000}"/>
    <cellStyle name="Price 21" xfId="22078" xr:uid="{00000000-0005-0000-0000-000046560000}"/>
    <cellStyle name="Price 3" xfId="22079" xr:uid="{00000000-0005-0000-0000-000047560000}"/>
    <cellStyle name="Price 4" xfId="22080" xr:uid="{00000000-0005-0000-0000-000048560000}"/>
    <cellStyle name="Price 5" xfId="22081" xr:uid="{00000000-0005-0000-0000-000049560000}"/>
    <cellStyle name="Price 6" xfId="22082" xr:uid="{00000000-0005-0000-0000-00004A560000}"/>
    <cellStyle name="Price 7" xfId="22083" xr:uid="{00000000-0005-0000-0000-00004B560000}"/>
    <cellStyle name="Price 8" xfId="22084" xr:uid="{00000000-0005-0000-0000-00004C560000}"/>
    <cellStyle name="Price 9" xfId="22085" xr:uid="{00000000-0005-0000-0000-00004D560000}"/>
    <cellStyle name="PriceUn" xfId="22086" xr:uid="{00000000-0005-0000-0000-00004E560000}"/>
    <cellStyle name="PriceUn 10" xfId="22087" xr:uid="{00000000-0005-0000-0000-00004F560000}"/>
    <cellStyle name="PriceUn 11" xfId="22088" xr:uid="{00000000-0005-0000-0000-000050560000}"/>
    <cellStyle name="PriceUn 12" xfId="22089" xr:uid="{00000000-0005-0000-0000-000051560000}"/>
    <cellStyle name="PriceUn 13" xfId="22090" xr:uid="{00000000-0005-0000-0000-000052560000}"/>
    <cellStyle name="PriceUn 14" xfId="22091" xr:uid="{00000000-0005-0000-0000-000053560000}"/>
    <cellStyle name="PriceUn 15" xfId="22092" xr:uid="{00000000-0005-0000-0000-000054560000}"/>
    <cellStyle name="PriceUn 16" xfId="22093" xr:uid="{00000000-0005-0000-0000-000055560000}"/>
    <cellStyle name="PriceUn 17" xfId="22094" xr:uid="{00000000-0005-0000-0000-000056560000}"/>
    <cellStyle name="PriceUn 18" xfId="22095" xr:uid="{00000000-0005-0000-0000-000057560000}"/>
    <cellStyle name="PriceUn 19" xfId="22096" xr:uid="{00000000-0005-0000-0000-000058560000}"/>
    <cellStyle name="PriceUn 2" xfId="22097" xr:uid="{00000000-0005-0000-0000-000059560000}"/>
    <cellStyle name="PriceUn 20" xfId="22098" xr:uid="{00000000-0005-0000-0000-00005A560000}"/>
    <cellStyle name="PriceUn 21" xfId="22099" xr:uid="{00000000-0005-0000-0000-00005B560000}"/>
    <cellStyle name="PriceUn 3" xfId="22100" xr:uid="{00000000-0005-0000-0000-00005C560000}"/>
    <cellStyle name="PriceUn 4" xfId="22101" xr:uid="{00000000-0005-0000-0000-00005D560000}"/>
    <cellStyle name="PriceUn 5" xfId="22102" xr:uid="{00000000-0005-0000-0000-00005E560000}"/>
    <cellStyle name="PriceUn 6" xfId="22103" xr:uid="{00000000-0005-0000-0000-00005F560000}"/>
    <cellStyle name="PriceUn 7" xfId="22104" xr:uid="{00000000-0005-0000-0000-000060560000}"/>
    <cellStyle name="PriceUn 8" xfId="22105" xr:uid="{00000000-0005-0000-0000-000061560000}"/>
    <cellStyle name="PriceUn 9" xfId="22106" xr:uid="{00000000-0005-0000-0000-000062560000}"/>
    <cellStyle name="pricing" xfId="22107" xr:uid="{00000000-0005-0000-0000-000063560000}"/>
    <cellStyle name="pricing 10" xfId="22108" xr:uid="{00000000-0005-0000-0000-000064560000}"/>
    <cellStyle name="pricing 11" xfId="22109" xr:uid="{00000000-0005-0000-0000-000065560000}"/>
    <cellStyle name="pricing 12" xfId="22110" xr:uid="{00000000-0005-0000-0000-000066560000}"/>
    <cellStyle name="pricing 13" xfId="22111" xr:uid="{00000000-0005-0000-0000-000067560000}"/>
    <cellStyle name="pricing 14" xfId="22112" xr:uid="{00000000-0005-0000-0000-000068560000}"/>
    <cellStyle name="pricing 15" xfId="22113" xr:uid="{00000000-0005-0000-0000-000069560000}"/>
    <cellStyle name="pricing 16" xfId="22114" xr:uid="{00000000-0005-0000-0000-00006A560000}"/>
    <cellStyle name="pricing 17" xfId="22115" xr:uid="{00000000-0005-0000-0000-00006B560000}"/>
    <cellStyle name="pricing 18" xfId="22116" xr:uid="{00000000-0005-0000-0000-00006C560000}"/>
    <cellStyle name="pricing 19" xfId="22117" xr:uid="{00000000-0005-0000-0000-00006D560000}"/>
    <cellStyle name="pricing 2" xfId="22118" xr:uid="{00000000-0005-0000-0000-00006E560000}"/>
    <cellStyle name="pricing 20" xfId="22119" xr:uid="{00000000-0005-0000-0000-00006F560000}"/>
    <cellStyle name="pricing 21" xfId="22120" xr:uid="{00000000-0005-0000-0000-000070560000}"/>
    <cellStyle name="pricing 21 2" xfId="22121" xr:uid="{00000000-0005-0000-0000-000071560000}"/>
    <cellStyle name="pricing 3" xfId="22122" xr:uid="{00000000-0005-0000-0000-000072560000}"/>
    <cellStyle name="pricing 4" xfId="22123" xr:uid="{00000000-0005-0000-0000-000073560000}"/>
    <cellStyle name="pricing 5" xfId="22124" xr:uid="{00000000-0005-0000-0000-000074560000}"/>
    <cellStyle name="pricing 6" xfId="22125" xr:uid="{00000000-0005-0000-0000-000075560000}"/>
    <cellStyle name="pricing 7" xfId="22126" xr:uid="{00000000-0005-0000-0000-000076560000}"/>
    <cellStyle name="pricing 8" xfId="22127" xr:uid="{00000000-0005-0000-0000-000077560000}"/>
    <cellStyle name="pricing 9" xfId="22128" xr:uid="{00000000-0005-0000-0000-000078560000}"/>
    <cellStyle name="prin" xfId="22129" xr:uid="{00000000-0005-0000-0000-000079560000}"/>
    <cellStyle name="prin 10" xfId="22130" xr:uid="{00000000-0005-0000-0000-00007A560000}"/>
    <cellStyle name="prin 11" xfId="22131" xr:uid="{00000000-0005-0000-0000-00007B560000}"/>
    <cellStyle name="prin 12" xfId="22132" xr:uid="{00000000-0005-0000-0000-00007C560000}"/>
    <cellStyle name="prin 13" xfId="22133" xr:uid="{00000000-0005-0000-0000-00007D560000}"/>
    <cellStyle name="prin 14" xfId="22134" xr:uid="{00000000-0005-0000-0000-00007E560000}"/>
    <cellStyle name="prin 15" xfId="22135" xr:uid="{00000000-0005-0000-0000-00007F560000}"/>
    <cellStyle name="prin 16" xfId="22136" xr:uid="{00000000-0005-0000-0000-000080560000}"/>
    <cellStyle name="prin 17" xfId="22137" xr:uid="{00000000-0005-0000-0000-000081560000}"/>
    <cellStyle name="prin 18" xfId="22138" xr:uid="{00000000-0005-0000-0000-000082560000}"/>
    <cellStyle name="prin 19" xfId="22139" xr:uid="{00000000-0005-0000-0000-000083560000}"/>
    <cellStyle name="prin 2" xfId="22140" xr:uid="{00000000-0005-0000-0000-000084560000}"/>
    <cellStyle name="prin 2 2" xfId="22141" xr:uid="{00000000-0005-0000-0000-000085560000}"/>
    <cellStyle name="prin 20" xfId="22142" xr:uid="{00000000-0005-0000-0000-000086560000}"/>
    <cellStyle name="prin 21" xfId="22143" xr:uid="{00000000-0005-0000-0000-000087560000}"/>
    <cellStyle name="prin 22" xfId="22144" xr:uid="{00000000-0005-0000-0000-000088560000}"/>
    <cellStyle name="prin 23" xfId="22145" xr:uid="{00000000-0005-0000-0000-000089560000}"/>
    <cellStyle name="prin 23 2" xfId="22146" xr:uid="{00000000-0005-0000-0000-00008A560000}"/>
    <cellStyle name="prin 3" xfId="22147" xr:uid="{00000000-0005-0000-0000-00008B560000}"/>
    <cellStyle name="prin 3 2" xfId="22148" xr:uid="{00000000-0005-0000-0000-00008C560000}"/>
    <cellStyle name="prin 4" xfId="22149" xr:uid="{00000000-0005-0000-0000-00008D560000}"/>
    <cellStyle name="prin 5" xfId="22150" xr:uid="{00000000-0005-0000-0000-00008E560000}"/>
    <cellStyle name="prin 6" xfId="22151" xr:uid="{00000000-0005-0000-0000-00008F560000}"/>
    <cellStyle name="prin 7" xfId="22152" xr:uid="{00000000-0005-0000-0000-000090560000}"/>
    <cellStyle name="prin 8" xfId="22153" xr:uid="{00000000-0005-0000-0000-000091560000}"/>
    <cellStyle name="prin 9" xfId="22154" xr:uid="{00000000-0005-0000-0000-000092560000}"/>
    <cellStyle name="Product Header" xfId="22155" xr:uid="{00000000-0005-0000-0000-000093560000}"/>
    <cellStyle name="Product Header 10" xfId="22156" xr:uid="{00000000-0005-0000-0000-000094560000}"/>
    <cellStyle name="Product Header 11" xfId="22157" xr:uid="{00000000-0005-0000-0000-000095560000}"/>
    <cellStyle name="Product Header 12" xfId="22158" xr:uid="{00000000-0005-0000-0000-000096560000}"/>
    <cellStyle name="Product Header 13" xfId="22159" xr:uid="{00000000-0005-0000-0000-000097560000}"/>
    <cellStyle name="Product Header 14" xfId="22160" xr:uid="{00000000-0005-0000-0000-000098560000}"/>
    <cellStyle name="Product Header 15" xfId="22161" xr:uid="{00000000-0005-0000-0000-000099560000}"/>
    <cellStyle name="Product Header 16" xfId="22162" xr:uid="{00000000-0005-0000-0000-00009A560000}"/>
    <cellStyle name="Product Header 17" xfId="22163" xr:uid="{00000000-0005-0000-0000-00009B560000}"/>
    <cellStyle name="Product Header 18" xfId="22164" xr:uid="{00000000-0005-0000-0000-00009C560000}"/>
    <cellStyle name="Product Header 19" xfId="22165" xr:uid="{00000000-0005-0000-0000-00009D560000}"/>
    <cellStyle name="Product Header 2" xfId="22166" xr:uid="{00000000-0005-0000-0000-00009E560000}"/>
    <cellStyle name="Product Header 20" xfId="22167" xr:uid="{00000000-0005-0000-0000-00009F560000}"/>
    <cellStyle name="Product Header 21" xfId="22168" xr:uid="{00000000-0005-0000-0000-0000A0560000}"/>
    <cellStyle name="Product Header 21 2" xfId="22169" xr:uid="{00000000-0005-0000-0000-0000A1560000}"/>
    <cellStyle name="Product Header 3" xfId="22170" xr:uid="{00000000-0005-0000-0000-0000A2560000}"/>
    <cellStyle name="Product Header 4" xfId="22171" xr:uid="{00000000-0005-0000-0000-0000A3560000}"/>
    <cellStyle name="Product Header 5" xfId="22172" xr:uid="{00000000-0005-0000-0000-0000A4560000}"/>
    <cellStyle name="Product Header 6" xfId="22173" xr:uid="{00000000-0005-0000-0000-0000A5560000}"/>
    <cellStyle name="Product Header 7" xfId="22174" xr:uid="{00000000-0005-0000-0000-0000A6560000}"/>
    <cellStyle name="Product Header 8" xfId="22175" xr:uid="{00000000-0005-0000-0000-0000A7560000}"/>
    <cellStyle name="Product Header 9" xfId="22176" xr:uid="{00000000-0005-0000-0000-0000A8560000}"/>
    <cellStyle name="PS_Deptls" xfId="22177" xr:uid="{00000000-0005-0000-0000-0000A9560000}"/>
    <cellStyle name="PSChar" xfId="22178" xr:uid="{00000000-0005-0000-0000-0000AA560000}"/>
    <cellStyle name="PSChar 10" xfId="22179" xr:uid="{00000000-0005-0000-0000-0000AB560000}"/>
    <cellStyle name="PSChar 11" xfId="22180" xr:uid="{00000000-0005-0000-0000-0000AC560000}"/>
    <cellStyle name="PSChar 12" xfId="22181" xr:uid="{00000000-0005-0000-0000-0000AD560000}"/>
    <cellStyle name="PSChar 13" xfId="22182" xr:uid="{00000000-0005-0000-0000-0000AE560000}"/>
    <cellStyle name="PSChar 14" xfId="22183" xr:uid="{00000000-0005-0000-0000-0000AF560000}"/>
    <cellStyle name="PSChar 15" xfId="22184" xr:uid="{00000000-0005-0000-0000-0000B0560000}"/>
    <cellStyle name="PSChar 16" xfId="22185" xr:uid="{00000000-0005-0000-0000-0000B1560000}"/>
    <cellStyle name="PSChar 17" xfId="22186" xr:uid="{00000000-0005-0000-0000-0000B2560000}"/>
    <cellStyle name="PSChar 18" xfId="22187" xr:uid="{00000000-0005-0000-0000-0000B3560000}"/>
    <cellStyle name="PSChar 19" xfId="22188" xr:uid="{00000000-0005-0000-0000-0000B4560000}"/>
    <cellStyle name="PSChar 2" xfId="22189" xr:uid="{00000000-0005-0000-0000-0000B5560000}"/>
    <cellStyle name="PSChar 20" xfId="22190" xr:uid="{00000000-0005-0000-0000-0000B6560000}"/>
    <cellStyle name="PSChar 21" xfId="22191" xr:uid="{00000000-0005-0000-0000-0000B7560000}"/>
    <cellStyle name="PSChar 21 2" xfId="22192" xr:uid="{00000000-0005-0000-0000-0000B8560000}"/>
    <cellStyle name="PSChar 3" xfId="22193" xr:uid="{00000000-0005-0000-0000-0000B9560000}"/>
    <cellStyle name="PSChar 4" xfId="22194" xr:uid="{00000000-0005-0000-0000-0000BA560000}"/>
    <cellStyle name="PSChar 5" xfId="22195" xr:uid="{00000000-0005-0000-0000-0000BB560000}"/>
    <cellStyle name="PSChar 6" xfId="22196" xr:uid="{00000000-0005-0000-0000-0000BC560000}"/>
    <cellStyle name="PSChar 7" xfId="22197" xr:uid="{00000000-0005-0000-0000-0000BD560000}"/>
    <cellStyle name="PSChar 8" xfId="22198" xr:uid="{00000000-0005-0000-0000-0000BE560000}"/>
    <cellStyle name="PSChar 9" xfId="22199" xr:uid="{00000000-0005-0000-0000-0000BF560000}"/>
    <cellStyle name="PSDate" xfId="22200" xr:uid="{00000000-0005-0000-0000-0000C0560000}"/>
    <cellStyle name="PSDate 10" xfId="22201" xr:uid="{00000000-0005-0000-0000-0000C1560000}"/>
    <cellStyle name="PSDate 11" xfId="22202" xr:uid="{00000000-0005-0000-0000-0000C2560000}"/>
    <cellStyle name="PSDate 12" xfId="22203" xr:uid="{00000000-0005-0000-0000-0000C3560000}"/>
    <cellStyle name="PSDate 13" xfId="22204" xr:uid="{00000000-0005-0000-0000-0000C4560000}"/>
    <cellStyle name="PSDate 14" xfId="22205" xr:uid="{00000000-0005-0000-0000-0000C5560000}"/>
    <cellStyle name="PSDate 15" xfId="22206" xr:uid="{00000000-0005-0000-0000-0000C6560000}"/>
    <cellStyle name="PSDate 16" xfId="22207" xr:uid="{00000000-0005-0000-0000-0000C7560000}"/>
    <cellStyle name="PSDate 17" xfId="22208" xr:uid="{00000000-0005-0000-0000-0000C8560000}"/>
    <cellStyle name="PSDate 18" xfId="22209" xr:uid="{00000000-0005-0000-0000-0000C9560000}"/>
    <cellStyle name="PSDate 19" xfId="22210" xr:uid="{00000000-0005-0000-0000-0000CA560000}"/>
    <cellStyle name="PSDate 2" xfId="22211" xr:uid="{00000000-0005-0000-0000-0000CB560000}"/>
    <cellStyle name="PSDate 20" xfId="22212" xr:uid="{00000000-0005-0000-0000-0000CC560000}"/>
    <cellStyle name="PSDate 21" xfId="22213" xr:uid="{00000000-0005-0000-0000-0000CD560000}"/>
    <cellStyle name="PSDate 21 2" xfId="22214" xr:uid="{00000000-0005-0000-0000-0000CE560000}"/>
    <cellStyle name="PSDate 3" xfId="22215" xr:uid="{00000000-0005-0000-0000-0000CF560000}"/>
    <cellStyle name="PSDate 4" xfId="22216" xr:uid="{00000000-0005-0000-0000-0000D0560000}"/>
    <cellStyle name="PSDate 5" xfId="22217" xr:uid="{00000000-0005-0000-0000-0000D1560000}"/>
    <cellStyle name="PSDate 6" xfId="22218" xr:uid="{00000000-0005-0000-0000-0000D2560000}"/>
    <cellStyle name="PSDate 7" xfId="22219" xr:uid="{00000000-0005-0000-0000-0000D3560000}"/>
    <cellStyle name="PSDate 8" xfId="22220" xr:uid="{00000000-0005-0000-0000-0000D4560000}"/>
    <cellStyle name="PSDate 9" xfId="22221" xr:uid="{00000000-0005-0000-0000-0000D5560000}"/>
    <cellStyle name="PSDec" xfId="22222" xr:uid="{00000000-0005-0000-0000-0000D6560000}"/>
    <cellStyle name="PSDec 10" xfId="22223" xr:uid="{00000000-0005-0000-0000-0000D7560000}"/>
    <cellStyle name="PSDec 11" xfId="22224" xr:uid="{00000000-0005-0000-0000-0000D8560000}"/>
    <cellStyle name="PSDec 12" xfId="22225" xr:uid="{00000000-0005-0000-0000-0000D9560000}"/>
    <cellStyle name="PSDec 13" xfId="22226" xr:uid="{00000000-0005-0000-0000-0000DA560000}"/>
    <cellStyle name="PSDec 14" xfId="22227" xr:uid="{00000000-0005-0000-0000-0000DB560000}"/>
    <cellStyle name="PSDec 15" xfId="22228" xr:uid="{00000000-0005-0000-0000-0000DC560000}"/>
    <cellStyle name="PSDec 16" xfId="22229" xr:uid="{00000000-0005-0000-0000-0000DD560000}"/>
    <cellStyle name="PSDec 17" xfId="22230" xr:uid="{00000000-0005-0000-0000-0000DE560000}"/>
    <cellStyle name="PSDec 18" xfId="22231" xr:uid="{00000000-0005-0000-0000-0000DF560000}"/>
    <cellStyle name="PSDec 19" xfId="22232" xr:uid="{00000000-0005-0000-0000-0000E0560000}"/>
    <cellStyle name="PSDec 2" xfId="22233" xr:uid="{00000000-0005-0000-0000-0000E1560000}"/>
    <cellStyle name="PSDec 20" xfId="22234" xr:uid="{00000000-0005-0000-0000-0000E2560000}"/>
    <cellStyle name="PSDec 21" xfId="22235" xr:uid="{00000000-0005-0000-0000-0000E3560000}"/>
    <cellStyle name="PSDec 21 2" xfId="22236" xr:uid="{00000000-0005-0000-0000-0000E4560000}"/>
    <cellStyle name="PSDec 3" xfId="22237" xr:uid="{00000000-0005-0000-0000-0000E5560000}"/>
    <cellStyle name="PSDec 4" xfId="22238" xr:uid="{00000000-0005-0000-0000-0000E6560000}"/>
    <cellStyle name="PSDec 5" xfId="22239" xr:uid="{00000000-0005-0000-0000-0000E7560000}"/>
    <cellStyle name="PSDec 6" xfId="22240" xr:uid="{00000000-0005-0000-0000-0000E8560000}"/>
    <cellStyle name="PSDec 7" xfId="22241" xr:uid="{00000000-0005-0000-0000-0000E9560000}"/>
    <cellStyle name="PSDec 8" xfId="22242" xr:uid="{00000000-0005-0000-0000-0000EA560000}"/>
    <cellStyle name="PSDec 9" xfId="22243" xr:uid="{00000000-0005-0000-0000-0000EB560000}"/>
    <cellStyle name="PSHeading" xfId="22244" xr:uid="{00000000-0005-0000-0000-0000EC560000}"/>
    <cellStyle name="PSHeading 10" xfId="22245" xr:uid="{00000000-0005-0000-0000-0000ED560000}"/>
    <cellStyle name="PSHeading 11" xfId="22246" xr:uid="{00000000-0005-0000-0000-0000EE560000}"/>
    <cellStyle name="PSHeading 12" xfId="22247" xr:uid="{00000000-0005-0000-0000-0000EF560000}"/>
    <cellStyle name="PSHeading 13" xfId="22248" xr:uid="{00000000-0005-0000-0000-0000F0560000}"/>
    <cellStyle name="PSHeading 14" xfId="22249" xr:uid="{00000000-0005-0000-0000-0000F1560000}"/>
    <cellStyle name="PSHeading 15" xfId="22250" xr:uid="{00000000-0005-0000-0000-0000F2560000}"/>
    <cellStyle name="PSHeading 16" xfId="22251" xr:uid="{00000000-0005-0000-0000-0000F3560000}"/>
    <cellStyle name="PSHeading 17" xfId="22252" xr:uid="{00000000-0005-0000-0000-0000F4560000}"/>
    <cellStyle name="PSHeading 18" xfId="22253" xr:uid="{00000000-0005-0000-0000-0000F5560000}"/>
    <cellStyle name="PSHeading 19" xfId="22254" xr:uid="{00000000-0005-0000-0000-0000F6560000}"/>
    <cellStyle name="PSHeading 2" xfId="22255" xr:uid="{00000000-0005-0000-0000-0000F7560000}"/>
    <cellStyle name="PSHeading 20" xfId="22256" xr:uid="{00000000-0005-0000-0000-0000F8560000}"/>
    <cellStyle name="PSHeading 21" xfId="22257" xr:uid="{00000000-0005-0000-0000-0000F9560000}"/>
    <cellStyle name="PSHeading 21 2" xfId="22258" xr:uid="{00000000-0005-0000-0000-0000FA560000}"/>
    <cellStyle name="PSHeading 3" xfId="22259" xr:uid="{00000000-0005-0000-0000-0000FB560000}"/>
    <cellStyle name="PSHeading 4" xfId="22260" xr:uid="{00000000-0005-0000-0000-0000FC560000}"/>
    <cellStyle name="PSHeading 5" xfId="22261" xr:uid="{00000000-0005-0000-0000-0000FD560000}"/>
    <cellStyle name="PSHeading 6" xfId="22262" xr:uid="{00000000-0005-0000-0000-0000FE560000}"/>
    <cellStyle name="PSHeading 7" xfId="22263" xr:uid="{00000000-0005-0000-0000-0000FF560000}"/>
    <cellStyle name="PSHeading 8" xfId="22264" xr:uid="{00000000-0005-0000-0000-000000570000}"/>
    <cellStyle name="PSHeading 9" xfId="22265" xr:uid="{00000000-0005-0000-0000-000001570000}"/>
    <cellStyle name="PSInt" xfId="22266" xr:uid="{00000000-0005-0000-0000-000002570000}"/>
    <cellStyle name="PSInt 10" xfId="22267" xr:uid="{00000000-0005-0000-0000-000003570000}"/>
    <cellStyle name="PSInt 11" xfId="22268" xr:uid="{00000000-0005-0000-0000-000004570000}"/>
    <cellStyle name="PSInt 12" xfId="22269" xr:uid="{00000000-0005-0000-0000-000005570000}"/>
    <cellStyle name="PSInt 13" xfId="22270" xr:uid="{00000000-0005-0000-0000-000006570000}"/>
    <cellStyle name="PSInt 14" xfId="22271" xr:uid="{00000000-0005-0000-0000-000007570000}"/>
    <cellStyle name="PSInt 15" xfId="22272" xr:uid="{00000000-0005-0000-0000-000008570000}"/>
    <cellStyle name="PSInt 16" xfId="22273" xr:uid="{00000000-0005-0000-0000-000009570000}"/>
    <cellStyle name="PSInt 17" xfId="22274" xr:uid="{00000000-0005-0000-0000-00000A570000}"/>
    <cellStyle name="PSInt 18" xfId="22275" xr:uid="{00000000-0005-0000-0000-00000B570000}"/>
    <cellStyle name="PSInt 19" xfId="22276" xr:uid="{00000000-0005-0000-0000-00000C570000}"/>
    <cellStyle name="PSInt 2" xfId="22277" xr:uid="{00000000-0005-0000-0000-00000D570000}"/>
    <cellStyle name="PSInt 20" xfId="22278" xr:uid="{00000000-0005-0000-0000-00000E570000}"/>
    <cellStyle name="PSInt 21" xfId="22279" xr:uid="{00000000-0005-0000-0000-00000F570000}"/>
    <cellStyle name="PSInt 21 2" xfId="22280" xr:uid="{00000000-0005-0000-0000-000010570000}"/>
    <cellStyle name="PSInt 3" xfId="22281" xr:uid="{00000000-0005-0000-0000-000011570000}"/>
    <cellStyle name="PSInt 4" xfId="22282" xr:uid="{00000000-0005-0000-0000-000012570000}"/>
    <cellStyle name="PSInt 5" xfId="22283" xr:uid="{00000000-0005-0000-0000-000013570000}"/>
    <cellStyle name="PSInt 6" xfId="22284" xr:uid="{00000000-0005-0000-0000-000014570000}"/>
    <cellStyle name="PSInt 7" xfId="22285" xr:uid="{00000000-0005-0000-0000-000015570000}"/>
    <cellStyle name="PSInt 8" xfId="22286" xr:uid="{00000000-0005-0000-0000-000016570000}"/>
    <cellStyle name="PSInt 9" xfId="22287" xr:uid="{00000000-0005-0000-0000-000017570000}"/>
    <cellStyle name="PSSpacer" xfId="22288" xr:uid="{00000000-0005-0000-0000-000018570000}"/>
    <cellStyle name="PSSpacer 10" xfId="22289" xr:uid="{00000000-0005-0000-0000-000019570000}"/>
    <cellStyle name="PSSpacer 11" xfId="22290" xr:uid="{00000000-0005-0000-0000-00001A570000}"/>
    <cellStyle name="PSSpacer 12" xfId="22291" xr:uid="{00000000-0005-0000-0000-00001B570000}"/>
    <cellStyle name="PSSpacer 13" xfId="22292" xr:uid="{00000000-0005-0000-0000-00001C570000}"/>
    <cellStyle name="PSSpacer 14" xfId="22293" xr:uid="{00000000-0005-0000-0000-00001D570000}"/>
    <cellStyle name="PSSpacer 15" xfId="22294" xr:uid="{00000000-0005-0000-0000-00001E570000}"/>
    <cellStyle name="PSSpacer 16" xfId="22295" xr:uid="{00000000-0005-0000-0000-00001F570000}"/>
    <cellStyle name="PSSpacer 17" xfId="22296" xr:uid="{00000000-0005-0000-0000-000020570000}"/>
    <cellStyle name="PSSpacer 18" xfId="22297" xr:uid="{00000000-0005-0000-0000-000021570000}"/>
    <cellStyle name="PSSpacer 19" xfId="22298" xr:uid="{00000000-0005-0000-0000-000022570000}"/>
    <cellStyle name="PSSpacer 2" xfId="22299" xr:uid="{00000000-0005-0000-0000-000023570000}"/>
    <cellStyle name="PSSpacer 20" xfId="22300" xr:uid="{00000000-0005-0000-0000-000024570000}"/>
    <cellStyle name="PSSpacer 21" xfId="22301" xr:uid="{00000000-0005-0000-0000-000025570000}"/>
    <cellStyle name="PSSpacer 21 2" xfId="22302" xr:uid="{00000000-0005-0000-0000-000026570000}"/>
    <cellStyle name="PSSpacer 3" xfId="22303" xr:uid="{00000000-0005-0000-0000-000027570000}"/>
    <cellStyle name="PSSpacer 4" xfId="22304" xr:uid="{00000000-0005-0000-0000-000028570000}"/>
    <cellStyle name="PSSpacer 5" xfId="22305" xr:uid="{00000000-0005-0000-0000-000029570000}"/>
    <cellStyle name="PSSpacer 6" xfId="22306" xr:uid="{00000000-0005-0000-0000-00002A570000}"/>
    <cellStyle name="PSSpacer 7" xfId="22307" xr:uid="{00000000-0005-0000-0000-00002B570000}"/>
    <cellStyle name="PSSpacer 8" xfId="22308" xr:uid="{00000000-0005-0000-0000-00002C570000}"/>
    <cellStyle name="PSSpacer 9" xfId="22309" xr:uid="{00000000-0005-0000-0000-00002D570000}"/>
    <cellStyle name="QuestionAnswerStyle" xfId="22310" xr:uid="{00000000-0005-0000-0000-00002E570000}"/>
    <cellStyle name="QuestionAnswerStyle 10" xfId="22311" xr:uid="{00000000-0005-0000-0000-00002F570000}"/>
    <cellStyle name="QuestionAnswerStyle 11" xfId="22312" xr:uid="{00000000-0005-0000-0000-000030570000}"/>
    <cellStyle name="QuestionAnswerStyle 12" xfId="22313" xr:uid="{00000000-0005-0000-0000-000031570000}"/>
    <cellStyle name="QuestionAnswerStyle 13" xfId="22314" xr:uid="{00000000-0005-0000-0000-000032570000}"/>
    <cellStyle name="QuestionAnswerStyle 14" xfId="22315" xr:uid="{00000000-0005-0000-0000-000033570000}"/>
    <cellStyle name="QuestionAnswerStyle 15" xfId="22316" xr:uid="{00000000-0005-0000-0000-000034570000}"/>
    <cellStyle name="QuestionAnswerStyle 16" xfId="22317" xr:uid="{00000000-0005-0000-0000-000035570000}"/>
    <cellStyle name="QuestionAnswerStyle 17" xfId="22318" xr:uid="{00000000-0005-0000-0000-000036570000}"/>
    <cellStyle name="QuestionAnswerStyle 18" xfId="22319" xr:uid="{00000000-0005-0000-0000-000037570000}"/>
    <cellStyle name="QuestionAnswerStyle 19" xfId="22320" xr:uid="{00000000-0005-0000-0000-000038570000}"/>
    <cellStyle name="QuestionAnswerStyle 2" xfId="22321" xr:uid="{00000000-0005-0000-0000-000039570000}"/>
    <cellStyle name="QuestionAnswerStyle 20" xfId="22322" xr:uid="{00000000-0005-0000-0000-00003A570000}"/>
    <cellStyle name="QuestionAnswerStyle 21" xfId="22323" xr:uid="{00000000-0005-0000-0000-00003B570000}"/>
    <cellStyle name="QuestionAnswerStyle 21 2" xfId="22324" xr:uid="{00000000-0005-0000-0000-00003C570000}"/>
    <cellStyle name="QuestionAnswerStyle 3" xfId="22325" xr:uid="{00000000-0005-0000-0000-00003D570000}"/>
    <cellStyle name="QuestionAnswerStyle 4" xfId="22326" xr:uid="{00000000-0005-0000-0000-00003E570000}"/>
    <cellStyle name="QuestionAnswerStyle 5" xfId="22327" xr:uid="{00000000-0005-0000-0000-00003F570000}"/>
    <cellStyle name="QuestionAnswerStyle 6" xfId="22328" xr:uid="{00000000-0005-0000-0000-000040570000}"/>
    <cellStyle name="QuestionAnswerStyle 7" xfId="22329" xr:uid="{00000000-0005-0000-0000-000041570000}"/>
    <cellStyle name="QuestionAnswerStyle 8" xfId="22330" xr:uid="{00000000-0005-0000-0000-000042570000}"/>
    <cellStyle name="QuestionAnswerStyle 9" xfId="22331" xr:uid="{00000000-0005-0000-0000-000043570000}"/>
    <cellStyle name="QuestionTextStyle" xfId="22332" xr:uid="{00000000-0005-0000-0000-000044570000}"/>
    <cellStyle name="QuestionTextStyle 10" xfId="22333" xr:uid="{00000000-0005-0000-0000-000045570000}"/>
    <cellStyle name="QuestionTextStyle 11" xfId="22334" xr:uid="{00000000-0005-0000-0000-000046570000}"/>
    <cellStyle name="QuestionTextStyle 12" xfId="22335" xr:uid="{00000000-0005-0000-0000-000047570000}"/>
    <cellStyle name="QuestionTextStyle 13" xfId="22336" xr:uid="{00000000-0005-0000-0000-000048570000}"/>
    <cellStyle name="QuestionTextStyle 14" xfId="22337" xr:uid="{00000000-0005-0000-0000-000049570000}"/>
    <cellStyle name="QuestionTextStyle 15" xfId="22338" xr:uid="{00000000-0005-0000-0000-00004A570000}"/>
    <cellStyle name="QuestionTextStyle 16" xfId="22339" xr:uid="{00000000-0005-0000-0000-00004B570000}"/>
    <cellStyle name="QuestionTextStyle 17" xfId="22340" xr:uid="{00000000-0005-0000-0000-00004C570000}"/>
    <cellStyle name="QuestionTextStyle 18" xfId="22341" xr:uid="{00000000-0005-0000-0000-00004D570000}"/>
    <cellStyle name="QuestionTextStyle 19" xfId="22342" xr:uid="{00000000-0005-0000-0000-00004E570000}"/>
    <cellStyle name="QuestionTextStyle 2" xfId="22343" xr:uid="{00000000-0005-0000-0000-00004F570000}"/>
    <cellStyle name="QuestionTextStyle 20" xfId="22344" xr:uid="{00000000-0005-0000-0000-000050570000}"/>
    <cellStyle name="QuestionTextStyle 21" xfId="22345" xr:uid="{00000000-0005-0000-0000-000051570000}"/>
    <cellStyle name="QuestionTextStyle 21 2" xfId="22346" xr:uid="{00000000-0005-0000-0000-000052570000}"/>
    <cellStyle name="QuestionTextStyle 3" xfId="22347" xr:uid="{00000000-0005-0000-0000-000053570000}"/>
    <cellStyle name="QuestionTextStyle 4" xfId="22348" xr:uid="{00000000-0005-0000-0000-000054570000}"/>
    <cellStyle name="QuestionTextStyle 5" xfId="22349" xr:uid="{00000000-0005-0000-0000-000055570000}"/>
    <cellStyle name="QuestionTextStyle 6" xfId="22350" xr:uid="{00000000-0005-0000-0000-000056570000}"/>
    <cellStyle name="QuestionTextStyle 7" xfId="22351" xr:uid="{00000000-0005-0000-0000-000057570000}"/>
    <cellStyle name="QuestionTextStyle 8" xfId="22352" xr:uid="{00000000-0005-0000-0000-000058570000}"/>
    <cellStyle name="QuestionTextStyle 9" xfId="22353" xr:uid="{00000000-0005-0000-0000-000059570000}"/>
    <cellStyle name="r" xfId="22354" xr:uid="{00000000-0005-0000-0000-00005A570000}"/>
    <cellStyle name="r 10" xfId="22355" xr:uid="{00000000-0005-0000-0000-00005B570000}"/>
    <cellStyle name="r 11" xfId="22356" xr:uid="{00000000-0005-0000-0000-00005C570000}"/>
    <cellStyle name="r 12" xfId="22357" xr:uid="{00000000-0005-0000-0000-00005D570000}"/>
    <cellStyle name="r 13" xfId="22358" xr:uid="{00000000-0005-0000-0000-00005E570000}"/>
    <cellStyle name="r 14" xfId="22359" xr:uid="{00000000-0005-0000-0000-00005F570000}"/>
    <cellStyle name="r 15" xfId="22360" xr:uid="{00000000-0005-0000-0000-000060570000}"/>
    <cellStyle name="r 16" xfId="22361" xr:uid="{00000000-0005-0000-0000-000061570000}"/>
    <cellStyle name="r 17" xfId="22362" xr:uid="{00000000-0005-0000-0000-000062570000}"/>
    <cellStyle name="r 18" xfId="22363" xr:uid="{00000000-0005-0000-0000-000063570000}"/>
    <cellStyle name="r 19" xfId="22364" xr:uid="{00000000-0005-0000-0000-000064570000}"/>
    <cellStyle name="r 2" xfId="22365" xr:uid="{00000000-0005-0000-0000-000065570000}"/>
    <cellStyle name="r 20" xfId="22366" xr:uid="{00000000-0005-0000-0000-000066570000}"/>
    <cellStyle name="r 21" xfId="22367" xr:uid="{00000000-0005-0000-0000-000067570000}"/>
    <cellStyle name="r 22" xfId="22368" xr:uid="{00000000-0005-0000-0000-000068570000}"/>
    <cellStyle name="r 23" xfId="22369" xr:uid="{00000000-0005-0000-0000-000069570000}"/>
    <cellStyle name="r 23 2" xfId="22370" xr:uid="{00000000-0005-0000-0000-00006A570000}"/>
    <cellStyle name="r 24" xfId="22371" xr:uid="{00000000-0005-0000-0000-00006B570000}"/>
    <cellStyle name="r 24 2" xfId="22372" xr:uid="{00000000-0005-0000-0000-00006C570000}"/>
    <cellStyle name="r 25" xfId="22373" xr:uid="{00000000-0005-0000-0000-00006D570000}"/>
    <cellStyle name="r 26" xfId="22374" xr:uid="{00000000-0005-0000-0000-00006E570000}"/>
    <cellStyle name="r 27" xfId="22375" xr:uid="{00000000-0005-0000-0000-00006F570000}"/>
    <cellStyle name="r 28" xfId="22376" xr:uid="{00000000-0005-0000-0000-000070570000}"/>
    <cellStyle name="r 29" xfId="22377" xr:uid="{00000000-0005-0000-0000-000071570000}"/>
    <cellStyle name="r 29 2" xfId="22378" xr:uid="{00000000-0005-0000-0000-000072570000}"/>
    <cellStyle name="r 3" xfId="22379" xr:uid="{00000000-0005-0000-0000-000073570000}"/>
    <cellStyle name="r 3 2" xfId="22380" xr:uid="{00000000-0005-0000-0000-000074570000}"/>
    <cellStyle name="r 30" xfId="22381" xr:uid="{00000000-0005-0000-0000-000075570000}"/>
    <cellStyle name="r 31" xfId="22382" xr:uid="{00000000-0005-0000-0000-000076570000}"/>
    <cellStyle name="r 32" xfId="22383" xr:uid="{00000000-0005-0000-0000-000077570000}"/>
    <cellStyle name="r 33" xfId="22384" xr:uid="{00000000-0005-0000-0000-000078570000}"/>
    <cellStyle name="r 34" xfId="22385" xr:uid="{00000000-0005-0000-0000-000079570000}"/>
    <cellStyle name="r 35" xfId="22386" xr:uid="{00000000-0005-0000-0000-00007A570000}"/>
    <cellStyle name="r 36" xfId="22387" xr:uid="{00000000-0005-0000-0000-00007B570000}"/>
    <cellStyle name="r 37" xfId="22388" xr:uid="{00000000-0005-0000-0000-00007C570000}"/>
    <cellStyle name="r 38" xfId="22389" xr:uid="{00000000-0005-0000-0000-00007D570000}"/>
    <cellStyle name="r 4" xfId="22390" xr:uid="{00000000-0005-0000-0000-00007E570000}"/>
    <cellStyle name="r 4 2" xfId="22391" xr:uid="{00000000-0005-0000-0000-00007F570000}"/>
    <cellStyle name="r 5" xfId="22392" xr:uid="{00000000-0005-0000-0000-000080570000}"/>
    <cellStyle name="r 5 2" xfId="22393" xr:uid="{00000000-0005-0000-0000-000081570000}"/>
    <cellStyle name="r 6" xfId="22394" xr:uid="{00000000-0005-0000-0000-000082570000}"/>
    <cellStyle name="r 6 2" xfId="22395" xr:uid="{00000000-0005-0000-0000-000083570000}"/>
    <cellStyle name="r 7" xfId="22396" xr:uid="{00000000-0005-0000-0000-000084570000}"/>
    <cellStyle name="r 7 2" xfId="22397" xr:uid="{00000000-0005-0000-0000-000085570000}"/>
    <cellStyle name="r 8" xfId="22398" xr:uid="{00000000-0005-0000-0000-000086570000}"/>
    <cellStyle name="r 8 2" xfId="22399" xr:uid="{00000000-0005-0000-0000-000087570000}"/>
    <cellStyle name="r 9" xfId="22400" xr:uid="{00000000-0005-0000-0000-000088570000}"/>
    <cellStyle name="r_{6} Carry" xfId="22401" xr:uid="{00000000-0005-0000-0000-000089570000}"/>
    <cellStyle name="r_{6} Clawback" xfId="22402" xr:uid="{00000000-0005-0000-0000-00008A570000}"/>
    <cellStyle name="r_AIF IV - Account Reconciliation Q2 2009 (June) CURRENT" xfId="22403" xr:uid="{00000000-0005-0000-0000-00008B570000}"/>
    <cellStyle name="r_AIF IV Cash  - CURRENT Q1" xfId="22404" xr:uid="{00000000-0005-0000-0000-00008C570000}"/>
    <cellStyle name="r_AIF IV Cash  - CURRENT Q1_Apollo Advisors IV 12-31-08 TB (Revised for Aggr PR)" xfId="22405" xr:uid="{00000000-0005-0000-0000-00008D570000}"/>
    <cellStyle name="r_AIF IV Cash  - CURRENT Q1_Apollo Advisors IV 6-30-09 GAAP TB" xfId="22406" xr:uid="{00000000-0005-0000-0000-00008E570000}"/>
    <cellStyle name="r_AIF IV Cash  - CURRENT Q1_Fund IV" xfId="22407" xr:uid="{00000000-0005-0000-0000-00008F570000}"/>
    <cellStyle name="r_AIF IV Cash  - CURRENT Q1_Funds IV Clawback Adjustment Summary" xfId="22408" xr:uid="{00000000-0005-0000-0000-000090570000}"/>
    <cellStyle name="r_AIF IV Cash  - CURRENT Q1_Funds IV Clawback Value Adjustment" xfId="22409" xr:uid="{00000000-0005-0000-0000-000091570000}"/>
    <cellStyle name="r_AIF IV Financial Highlights 12-31-08 v4" xfId="22410" xr:uid="{00000000-0005-0000-0000-000092570000}"/>
    <cellStyle name="r_AIF IV Financial Highlights 12-31-08 v4_Apollo Investment Fund IV  Q3 2009 Capital Analysis CURRENT" xfId="22411" xr:uid="{00000000-0005-0000-0000-000093570000}"/>
    <cellStyle name="r_AIF IV Financial Highlights 12-31-08 v4_Apollo Investment Fund IV  Q3 2009 Capital Analysis iPCS &amp; URI Distribution" xfId="22412" xr:uid="{00000000-0005-0000-0000-000094570000}"/>
    <cellStyle name="r_AIF IV Financial Highlights 12-31-08 v4_iPCs#1-Remaining" xfId="22413" xr:uid="{00000000-0005-0000-0000-000095570000}"/>
    <cellStyle name="r_AIF V Position Rec 3-31-09 CURRENT" xfId="22414" xr:uid="{00000000-0005-0000-0000-000096570000}"/>
    <cellStyle name="r_AIF VI CBA GAAP (version 1 - 4.19.09)" xfId="22415" xr:uid="{00000000-0005-0000-0000-000097570000}"/>
    <cellStyle name="r_Andy Affrick - Schedulev2" xfId="22416" xr:uid="{00000000-0005-0000-0000-000098570000}"/>
    <cellStyle name="r_Apollo Advisors IV 12-31-08 GAAP TB" xfId="22417" xr:uid="{00000000-0005-0000-0000-000099570000}"/>
    <cellStyle name="r_Apollo Investment Fund IV  April Priority Return" xfId="22418" xr:uid="{00000000-0005-0000-0000-00009A570000}"/>
    <cellStyle name="r_Apollo Investment Fund IV  Q4 2008 Capital Analysis 03-13-09-FINAL" xfId="22419" xr:uid="{00000000-0005-0000-0000-00009B570000}"/>
    <cellStyle name="r_Apollo Investment Fund IV  Q4 2008 Capital Analysis 03-13-09-FINAL_Apollo Advisors IV 12-31-08 TB (Revised for Aggr PR)" xfId="22420" xr:uid="{00000000-0005-0000-0000-00009C570000}"/>
    <cellStyle name="r_Apollo Investment Fund IV  Q4 2008 Capital Analysis 03-13-09-FINAL_Apollo Advisors IV 6-30-09 GAAP TB" xfId="22421" xr:uid="{00000000-0005-0000-0000-00009D570000}"/>
    <cellStyle name="r_Apollo Investment Fund IV  Q4 2008 Capital Analysis 03-13-09-FINAL_Fund IV" xfId="22422" xr:uid="{00000000-0005-0000-0000-00009E570000}"/>
    <cellStyle name="r_Apollo Investment Fund IV  Q4 2008 Capital Analysis 03-13-09-FINAL_Funds IV Clawback Adjustment Summary" xfId="22423" xr:uid="{00000000-0005-0000-0000-00009F570000}"/>
    <cellStyle name="r_Apollo Investment Fund IV  Q4 2008 Capital Analysis 03-13-09-FINAL_Funds IV Clawback Value Adjustment" xfId="22424" xr:uid="{00000000-0005-0000-0000-0000A0570000}"/>
    <cellStyle name="r_Carry Calculation" xfId="22425" xr:uid="{00000000-0005-0000-0000-0000A1570000}"/>
    <cellStyle name="r_Fund IV" xfId="22426" xr:uid="{00000000-0005-0000-0000-0000A2570000}"/>
    <cellStyle name="r_Fund IV 9.30.08" xfId="22427" xr:uid="{00000000-0005-0000-0000-0000A3570000}"/>
    <cellStyle name="r_Fund IV Tax to GAAP TB 05-30-08 - @7.10.08" xfId="22428" xr:uid="{00000000-0005-0000-0000-0000A4570000}"/>
    <cellStyle name="r_Fund IV Tax to GAAP TB 05-30-08 - @7.10.08 10" xfId="22429" xr:uid="{00000000-0005-0000-0000-0000A5570000}"/>
    <cellStyle name="r_Fund IV Tax to GAAP TB 05-30-08 - @7.10.08 11" xfId="22430" xr:uid="{00000000-0005-0000-0000-0000A6570000}"/>
    <cellStyle name="r_Fund IV Tax to GAAP TB 05-30-08 - @7.10.08 12" xfId="22431" xr:uid="{00000000-0005-0000-0000-0000A7570000}"/>
    <cellStyle name="r_Fund IV Tax to GAAP TB 05-30-08 - @7.10.08 13" xfId="22432" xr:uid="{00000000-0005-0000-0000-0000A8570000}"/>
    <cellStyle name="r_Fund IV Tax to GAAP TB 05-30-08 - @7.10.08 14" xfId="22433" xr:uid="{00000000-0005-0000-0000-0000A9570000}"/>
    <cellStyle name="r_Fund IV Tax to GAAP TB 05-30-08 - @7.10.08 15" xfId="22434" xr:uid="{00000000-0005-0000-0000-0000AA570000}"/>
    <cellStyle name="r_Fund IV Tax to GAAP TB 05-30-08 - @7.10.08 16" xfId="22435" xr:uid="{00000000-0005-0000-0000-0000AB570000}"/>
    <cellStyle name="r_Fund IV Tax to GAAP TB 05-30-08 - @7.10.08 17" xfId="22436" xr:uid="{00000000-0005-0000-0000-0000AC570000}"/>
    <cellStyle name="r_Fund IV Tax to GAAP TB 05-30-08 - @7.10.08 18" xfId="22437" xr:uid="{00000000-0005-0000-0000-0000AD570000}"/>
    <cellStyle name="r_Fund IV Tax to GAAP TB 05-30-08 - @7.10.08 19" xfId="22438" xr:uid="{00000000-0005-0000-0000-0000AE570000}"/>
    <cellStyle name="r_Fund IV Tax to GAAP TB 05-30-08 - @7.10.08 2" xfId="22439" xr:uid="{00000000-0005-0000-0000-0000AF570000}"/>
    <cellStyle name="r_Fund IV Tax to GAAP TB 05-30-08 - @7.10.08 20" xfId="22440" xr:uid="{00000000-0005-0000-0000-0000B0570000}"/>
    <cellStyle name="r_Fund IV Tax to GAAP TB 05-30-08 - @7.10.08 21" xfId="22441" xr:uid="{00000000-0005-0000-0000-0000B1570000}"/>
    <cellStyle name="r_Fund IV Tax to GAAP TB 05-30-08 - @7.10.08 3" xfId="22442" xr:uid="{00000000-0005-0000-0000-0000B2570000}"/>
    <cellStyle name="r_Fund IV Tax to GAAP TB 05-30-08 - @7.10.08 4" xfId="22443" xr:uid="{00000000-0005-0000-0000-0000B3570000}"/>
    <cellStyle name="r_Fund IV Tax to GAAP TB 05-30-08 - @7.10.08 5" xfId="22444" xr:uid="{00000000-0005-0000-0000-0000B4570000}"/>
    <cellStyle name="r_Fund IV Tax to GAAP TB 05-30-08 - @7.10.08 6" xfId="22445" xr:uid="{00000000-0005-0000-0000-0000B5570000}"/>
    <cellStyle name="r_Fund IV Tax to GAAP TB 05-30-08 - @7.10.08 7" xfId="22446" xr:uid="{00000000-0005-0000-0000-0000B6570000}"/>
    <cellStyle name="r_Fund IV Tax to GAAP TB 05-30-08 - @7.10.08 8" xfId="22447" xr:uid="{00000000-0005-0000-0000-0000B7570000}"/>
    <cellStyle name="r_Fund IV Tax to GAAP TB 05-30-08 - @7.10.08 9" xfId="22448" xr:uid="{00000000-0005-0000-0000-0000B8570000}"/>
    <cellStyle name="r_Fund IV Tax to GAAP TB 05-30-08 - @7.10.08_{6} Clawback" xfId="22449" xr:uid="{00000000-0005-0000-0000-0000B9570000}"/>
    <cellStyle name="r_Fund IV Tax to GAAP TB 05-30-08 - @7.10.08_AIF IV Financial Highlights 12-31-08 v4" xfId="22450" xr:uid="{00000000-0005-0000-0000-0000BA570000}"/>
    <cellStyle name="r_Fund IV Tax to GAAP TB 05-30-08 - @7.10.08_AIF IV Financial Highlights 12-31-08 v4_Apollo Investment Fund IV  Q3 2009 Capital Analysis CURRENT" xfId="22451" xr:uid="{00000000-0005-0000-0000-0000BB570000}"/>
    <cellStyle name="r_Fund IV Tax to GAAP TB 05-30-08 - @7.10.08_AIF IV Financial Highlights 12-31-08 v4_Apollo Investment Fund IV  Q3 2009 Capital Analysis iPCS &amp; URI Distribution" xfId="22452" xr:uid="{00000000-0005-0000-0000-0000BC570000}"/>
    <cellStyle name="r_Fund IV Tax to GAAP TB 05-30-08 - @7.10.08_AIF IV Financial Highlights 12-31-08 v4_iPCs#1-Remaining" xfId="22453" xr:uid="{00000000-0005-0000-0000-0000BD570000}"/>
    <cellStyle name="r_Fund IV Tax to GAAP TB 05-30-08 - @7.10.08_AIF VI - BondcoVI_Entities Invested Capital (CURRENT)" xfId="22454" xr:uid="{00000000-0005-0000-0000-0000BE570000}"/>
    <cellStyle name="r_Fund IV Tax to GAAP TB 05-30-08 - @7.10.08_Andy Affrick - Schedulev2" xfId="22455" xr:uid="{00000000-0005-0000-0000-0000BF570000}"/>
    <cellStyle name="r_Fund IV Tax to GAAP TB 05-30-08 - @7.10.08_Apollo Investment Fund IV  April Priority Return" xfId="22456" xr:uid="{00000000-0005-0000-0000-0000C0570000}"/>
    <cellStyle name="r_Fund IV Tax to GAAP TB 05-30-08 - @7.10.08_Carry Calculation" xfId="22457" xr:uid="{00000000-0005-0000-0000-0000C1570000}"/>
    <cellStyle name="r_Fund IV Tax to GAAP TB 05-30-08 - @7.10.08_Fund IV" xfId="22458" xr:uid="{00000000-0005-0000-0000-0000C2570000}"/>
    <cellStyle name="r_Fund IV Tax to GAAP TB 05-30-08 - @7.10.08_Fund IV 9.30.08" xfId="22459" xr:uid="{00000000-0005-0000-0000-0000C3570000}"/>
    <cellStyle name="r_Fund IV Tax to GAAP TB 05-30-08 - @7.10.08_Fund IV_1" xfId="22460" xr:uid="{00000000-0005-0000-0000-0000C4570000}"/>
    <cellStyle name="r_Fund IV Tax to GAAP TB 05-30-08 - @7.10.08_Funds IV Clawback Adjustment Summary" xfId="22461" xr:uid="{00000000-0005-0000-0000-0000C5570000}"/>
    <cellStyle name="r_Fund IV Tax to GAAP TB 05-30-08 - @7.10.08_Funds IV Clawback Value Adjustment" xfId="22462" xr:uid="{00000000-0005-0000-0000-0000C6570000}"/>
    <cellStyle name="r_Fund IV Tax to GAAP TB 05-30-08 - @7.10.08_Invested Capital Debt Worksheet" xfId="22463" xr:uid="{00000000-0005-0000-0000-0000C7570000}"/>
    <cellStyle name="r_Fund IV Tax to GAAP TB 05-30-08 - @7.10.08_MMF Income" xfId="22464" xr:uid="{00000000-0005-0000-0000-0000C8570000}"/>
    <cellStyle name="r_Fund IV Tax to GAAP TB 05-30-08 - @7.10.08_PR Calc" xfId="22465" xr:uid="{00000000-0005-0000-0000-0000C9570000}"/>
    <cellStyle name="r_Fund IV Tax to GAAP TB 07-31-08 - @8.11.08" xfId="22466" xr:uid="{00000000-0005-0000-0000-0000CA570000}"/>
    <cellStyle name="r_Fund IV Tax to GAAP TB 07-31-08 - @8.11.08_{6} Clawback" xfId="22467" xr:uid="{00000000-0005-0000-0000-0000CB570000}"/>
    <cellStyle name="r_Fund IV Tax to GAAP TB 07-31-08 - @8.11.08_AIF IV Financial Highlights 12-31-08 v4" xfId="22468" xr:uid="{00000000-0005-0000-0000-0000CC570000}"/>
    <cellStyle name="r_Fund IV Tax to GAAP TB 07-31-08 - @8.11.08_AIF IV Financial Highlights 12-31-08 v4_Apollo Investment Fund IV  Q3 2009 Capital Analysis CURRENT" xfId="22469" xr:uid="{00000000-0005-0000-0000-0000CD570000}"/>
    <cellStyle name="r_Fund IV Tax to GAAP TB 07-31-08 - @8.11.08_AIF IV Financial Highlights 12-31-08 v4_Apollo Investment Fund IV  Q3 2009 Capital Analysis iPCS &amp; URI Distribution" xfId="22470" xr:uid="{00000000-0005-0000-0000-0000CE570000}"/>
    <cellStyle name="r_Fund IV Tax to GAAP TB 07-31-08 - @8.11.08_AIF IV Financial Highlights 12-31-08 v4_iPCs#1-Remaining" xfId="22471" xr:uid="{00000000-0005-0000-0000-0000CF570000}"/>
    <cellStyle name="r_Fund IV Tax to GAAP TB 07-31-08 - @8.11.08_Andy Affrick - Schedulev2" xfId="22472" xr:uid="{00000000-0005-0000-0000-0000D0570000}"/>
    <cellStyle name="r_Fund IV Tax to GAAP TB 07-31-08 - @8.11.08_Apollo Investment Fund IV  April Priority Return" xfId="22473" xr:uid="{00000000-0005-0000-0000-0000D1570000}"/>
    <cellStyle name="r_Fund IV Tax to GAAP TB 07-31-08 - @8.11.08_Carry Calculation" xfId="22474" xr:uid="{00000000-0005-0000-0000-0000D2570000}"/>
    <cellStyle name="r_Fund IV Tax to GAAP TB 07-31-08 - @8.11.08_Fund IV" xfId="22475" xr:uid="{00000000-0005-0000-0000-0000D3570000}"/>
    <cellStyle name="r_Fund IV Tax to GAAP TB 07-31-08 - @8.11.08_Fund IV 9.30.08" xfId="22476" xr:uid="{00000000-0005-0000-0000-0000D4570000}"/>
    <cellStyle name="r_Fund IV Tax to GAAP TB 07-31-08 - @8.11.08_Fund IV_1" xfId="22477" xr:uid="{00000000-0005-0000-0000-0000D5570000}"/>
    <cellStyle name="r_Fund IV Tax to GAAP TB 07-31-08 - @8.11.08_Funds IV Clawback Adjustment Summary" xfId="22478" xr:uid="{00000000-0005-0000-0000-0000D6570000}"/>
    <cellStyle name="r_Fund IV Tax to GAAP TB 07-31-08 - @8.11.08_Funds IV Clawback Value Adjustment" xfId="22479" xr:uid="{00000000-0005-0000-0000-0000D7570000}"/>
    <cellStyle name="r_Fund IV Tax to GAAP TB 07-31-08 - @8.11.08_PR Calc" xfId="22480" xr:uid="{00000000-0005-0000-0000-0000D8570000}"/>
    <cellStyle name="r_Fund IV Tax to GAAP TB 09-30-08" xfId="22481" xr:uid="{00000000-0005-0000-0000-0000D9570000}"/>
    <cellStyle name="r_Fund IV Tax to GAAP TB 09-30-08_{6} Clawback" xfId="22482" xr:uid="{00000000-0005-0000-0000-0000DA570000}"/>
    <cellStyle name="r_Fund IV Tax to GAAP TB 09-30-08_AIF IV Financial Highlights 12-31-08 v4" xfId="22483" xr:uid="{00000000-0005-0000-0000-0000DB570000}"/>
    <cellStyle name="r_Fund IV Tax to GAAP TB 09-30-08_AIF IV Financial Highlights 12-31-08 v4_Apollo Investment Fund IV  Q3 2009 Capital Analysis CURRENT" xfId="22484" xr:uid="{00000000-0005-0000-0000-0000DC570000}"/>
    <cellStyle name="r_Fund IV Tax to GAAP TB 09-30-08_AIF IV Financial Highlights 12-31-08 v4_Apollo Investment Fund IV  Q3 2009 Capital Analysis iPCS &amp; URI Distribution" xfId="22485" xr:uid="{00000000-0005-0000-0000-0000DD570000}"/>
    <cellStyle name="r_Fund IV Tax to GAAP TB 09-30-08_AIF IV Financial Highlights 12-31-08 v4_iPCs#1-Remaining" xfId="22486" xr:uid="{00000000-0005-0000-0000-0000DE570000}"/>
    <cellStyle name="r_Fund IV Tax to GAAP TB 09-30-08_Andy Affrick - Schedulev2" xfId="22487" xr:uid="{00000000-0005-0000-0000-0000DF570000}"/>
    <cellStyle name="r_Fund IV Tax to GAAP TB 09-30-08_Apollo Investment Fund IV  April Priority Return" xfId="22488" xr:uid="{00000000-0005-0000-0000-0000E0570000}"/>
    <cellStyle name="r_Fund IV Tax to GAAP TB 09-30-08_Carry Calculation" xfId="22489" xr:uid="{00000000-0005-0000-0000-0000E1570000}"/>
    <cellStyle name="r_Fund IV Tax to GAAP TB 09-30-08_Fund IV" xfId="22490" xr:uid="{00000000-0005-0000-0000-0000E2570000}"/>
    <cellStyle name="r_Fund IV Tax to GAAP TB 09-30-08_Fund IV 9.30.08" xfId="22491" xr:uid="{00000000-0005-0000-0000-0000E3570000}"/>
    <cellStyle name="r_Fund IV Tax to GAAP TB 09-30-08_Fund IV_1" xfId="22492" xr:uid="{00000000-0005-0000-0000-0000E4570000}"/>
    <cellStyle name="r_Fund IV Tax to GAAP TB 09-30-08_Funds IV Clawback Adjustment Summary" xfId="22493" xr:uid="{00000000-0005-0000-0000-0000E5570000}"/>
    <cellStyle name="r_Fund IV Tax to GAAP TB 09-30-08_Funds IV Clawback Value Adjustment" xfId="22494" xr:uid="{00000000-0005-0000-0000-0000E6570000}"/>
    <cellStyle name="r_Fund IV Tax to GAAP TB 09-30-08_PR Calc" xfId="22495" xr:uid="{00000000-0005-0000-0000-0000E7570000}"/>
    <cellStyle name="r_Fund IV Tax to GAAP TB 10-31-08" xfId="22496" xr:uid="{00000000-0005-0000-0000-0000E8570000}"/>
    <cellStyle name="r_Fund IV Tax to GAAP TB 10-31-08_{6} Clawback" xfId="22497" xr:uid="{00000000-0005-0000-0000-0000E9570000}"/>
    <cellStyle name="r_Fund IV Tax to GAAP TB 10-31-08_AIF IV Financial Highlights 12-31-08 v4" xfId="22498" xr:uid="{00000000-0005-0000-0000-0000EA570000}"/>
    <cellStyle name="r_Fund IV Tax to GAAP TB 10-31-08_AIF IV Financial Highlights 12-31-08 v4_Apollo Investment Fund IV  Q3 2009 Capital Analysis CURRENT" xfId="22499" xr:uid="{00000000-0005-0000-0000-0000EB570000}"/>
    <cellStyle name="r_Fund IV Tax to GAAP TB 10-31-08_AIF IV Financial Highlights 12-31-08 v4_Apollo Investment Fund IV  Q3 2009 Capital Analysis iPCS &amp; URI Distribution" xfId="22500" xr:uid="{00000000-0005-0000-0000-0000EC570000}"/>
    <cellStyle name="r_Fund IV Tax to GAAP TB 10-31-08_AIF IV Financial Highlights 12-31-08 v4_iPCs#1-Remaining" xfId="22501" xr:uid="{00000000-0005-0000-0000-0000ED570000}"/>
    <cellStyle name="r_Fund IV Tax to GAAP TB 10-31-08_Andy Affrick - Schedulev2" xfId="22502" xr:uid="{00000000-0005-0000-0000-0000EE570000}"/>
    <cellStyle name="r_Fund IV Tax to GAAP TB 10-31-08_Apollo Investment Fund IV  April Priority Return" xfId="22503" xr:uid="{00000000-0005-0000-0000-0000EF570000}"/>
    <cellStyle name="r_Fund IV Tax to GAAP TB 10-31-08_Carry Calculation" xfId="22504" xr:uid="{00000000-0005-0000-0000-0000F0570000}"/>
    <cellStyle name="r_Fund IV Tax to GAAP TB 10-31-08_Fund IV" xfId="22505" xr:uid="{00000000-0005-0000-0000-0000F1570000}"/>
    <cellStyle name="r_Fund IV Tax to GAAP TB 10-31-08_Fund IV 9.30.08" xfId="22506" xr:uid="{00000000-0005-0000-0000-0000F2570000}"/>
    <cellStyle name="r_Fund IV Tax to GAAP TB 10-31-08_Fund IV_1" xfId="22507" xr:uid="{00000000-0005-0000-0000-0000F3570000}"/>
    <cellStyle name="r_Fund IV Tax to GAAP TB 10-31-08_Funds IV Clawback Adjustment Summary" xfId="22508" xr:uid="{00000000-0005-0000-0000-0000F4570000}"/>
    <cellStyle name="r_Fund IV Tax to GAAP TB 10-31-08_Funds IV Clawback Value Adjustment" xfId="22509" xr:uid="{00000000-0005-0000-0000-0000F5570000}"/>
    <cellStyle name="r_Fund IV Tax to GAAP TB 10-31-08_PR Calc" xfId="22510" xr:uid="{00000000-0005-0000-0000-0000F6570000}"/>
    <cellStyle name="r_Fund IV Tax to GAAP TB 12-31-08" xfId="22511" xr:uid="{00000000-0005-0000-0000-0000F7570000}"/>
    <cellStyle name="r_Fund IV Tax to GAAP TB 12-31-08_{6} Clawback" xfId="22512" xr:uid="{00000000-0005-0000-0000-0000F8570000}"/>
    <cellStyle name="r_Fund IV Tax to GAAP TB 12-31-08_AIF IV Financial Highlights 12-31-08 v4" xfId="22513" xr:uid="{00000000-0005-0000-0000-0000F9570000}"/>
    <cellStyle name="r_Fund IV Tax to GAAP TB 12-31-08_AIF IV Financial Highlights 12-31-08 v4_Apollo Investment Fund IV  Q3 2009 Capital Analysis CURRENT" xfId="22514" xr:uid="{00000000-0005-0000-0000-0000FA570000}"/>
    <cellStyle name="r_Fund IV Tax to GAAP TB 12-31-08_AIF IV Financial Highlights 12-31-08 v4_Apollo Investment Fund IV  Q3 2009 Capital Analysis iPCS &amp; URI Distribution" xfId="22515" xr:uid="{00000000-0005-0000-0000-0000FB570000}"/>
    <cellStyle name="r_Fund IV Tax to GAAP TB 12-31-08_AIF IV Financial Highlights 12-31-08 v4_iPCs#1-Remaining" xfId="22516" xr:uid="{00000000-0005-0000-0000-0000FC570000}"/>
    <cellStyle name="r_Fund IV Tax to GAAP TB 12-31-08_Andy Affrick - Schedulev2" xfId="22517" xr:uid="{00000000-0005-0000-0000-0000FD570000}"/>
    <cellStyle name="r_Fund IV Tax to GAAP TB 12-31-08_Apollo Investment Fund IV  April Priority Return" xfId="22518" xr:uid="{00000000-0005-0000-0000-0000FE570000}"/>
    <cellStyle name="r_Fund IV Tax to GAAP TB 12-31-08_Carry Calculation" xfId="22519" xr:uid="{00000000-0005-0000-0000-0000FF570000}"/>
    <cellStyle name="r_Fund IV Tax to GAAP TB 12-31-08_Fund IV" xfId="22520" xr:uid="{00000000-0005-0000-0000-000000580000}"/>
    <cellStyle name="r_Fund IV Tax to GAAP TB 12-31-08_Fund IV 9.30.08" xfId="22521" xr:uid="{00000000-0005-0000-0000-000001580000}"/>
    <cellStyle name="r_Fund IV Tax to GAAP TB 12-31-08_Fund IV_1" xfId="22522" xr:uid="{00000000-0005-0000-0000-000002580000}"/>
    <cellStyle name="r_Fund IV Tax to GAAP TB 12-31-08_Funds IV Clawback Adjustment Summary" xfId="22523" xr:uid="{00000000-0005-0000-0000-000003580000}"/>
    <cellStyle name="r_Fund IV Tax to GAAP TB 12-31-08_Funds IV Clawback Value Adjustment" xfId="22524" xr:uid="{00000000-0005-0000-0000-000004580000}"/>
    <cellStyle name="r_Fund IV Tax to GAAP TB 12-31-08_PR Calc" xfId="22525" xr:uid="{00000000-0005-0000-0000-000005580000}"/>
    <cellStyle name="r_Fund IV_1" xfId="22526" xr:uid="{00000000-0005-0000-0000-000006580000}"/>
    <cellStyle name="r_Fund IV_Funds IV Clawback Value Adjustment" xfId="22527" xr:uid="{00000000-0005-0000-0000-000007580000}"/>
    <cellStyle name="r_Fund VI Tax to GAAP TB 6-30-08" xfId="22528" xr:uid="{00000000-0005-0000-0000-000008580000}"/>
    <cellStyle name="r_Fund VI Tax to GAAP TB 6-30-08 2" xfId="22529" xr:uid="{00000000-0005-0000-0000-000009580000}"/>
    <cellStyle name="r_Fund VI Tax to GAAP TB 6-30-08_{6} Carry" xfId="22530" xr:uid="{00000000-0005-0000-0000-00000A580000}"/>
    <cellStyle name="r_Fund VI Tax to GAAP TB 6-30-08_AIF IV Financial Highlights 12-31-08 v4" xfId="22531" xr:uid="{00000000-0005-0000-0000-00000B580000}"/>
    <cellStyle name="r_Fund VI Tax to GAAP TB 6-30-08_AIF IV Financial Highlights 12-31-08 v4_Apollo Investment Fund IV  Q3 2009 Capital Analysis CURRENT" xfId="22532" xr:uid="{00000000-0005-0000-0000-00000C580000}"/>
    <cellStyle name="r_Fund VI Tax to GAAP TB 6-30-08_AIF IV Financial Highlights 12-31-08 v4_Apollo Investment Fund IV  Q3 2009 Capital Analysis iPCS &amp; URI Distribution" xfId="22533" xr:uid="{00000000-0005-0000-0000-00000D580000}"/>
    <cellStyle name="r_Fund VI Tax to GAAP TB 6-30-08_AIF IV Financial Highlights 12-31-08 v4_iPCs#1-Remaining" xfId="22534" xr:uid="{00000000-0005-0000-0000-00000E580000}"/>
    <cellStyle name="r_Fund VI Tax to GAAP TB 6-30-08_AIF VI - BondcoVI_Entities Invested Capital (CURRENT)" xfId="22535" xr:uid="{00000000-0005-0000-0000-00000F580000}"/>
    <cellStyle name="r_Fund VI Tax to GAAP TB 6-30-08_Invested Capital Debt Worksheet" xfId="22536" xr:uid="{00000000-0005-0000-0000-000010580000}"/>
    <cellStyle name="r_Fund VI Tax to GAAP TB 6-30-08_MMF Income" xfId="22537" xr:uid="{00000000-0005-0000-0000-000011580000}"/>
    <cellStyle name="r_Fund VI Tax to GAAP TB 6-30-08_Partners Capital Q1 2009" xfId="22538" xr:uid="{00000000-0005-0000-0000-000012580000}"/>
    <cellStyle name="r_Fund VI Tax to GAAP TB 6-30-08_Partners Capital Q1 2009 2" xfId="22539" xr:uid="{00000000-0005-0000-0000-000013580000}"/>
    <cellStyle name="r_Fund VI Tax to GAAP TB 6-30-08_Partners Capital Q1 2009_MMF Income" xfId="22540" xr:uid="{00000000-0005-0000-0000-000014580000}"/>
    <cellStyle name="r_Fund VI Tax to GAAP TB 6-30-08_PR Calc - DOMESTIC" xfId="22541" xr:uid="{00000000-0005-0000-0000-000015580000}"/>
    <cellStyle name="r_Invested Capital Debt Worksheet" xfId="22542" xr:uid="{00000000-0005-0000-0000-000016580000}"/>
    <cellStyle name="r_Investment Summary Sheet  3 19 08" xfId="22543" xr:uid="{00000000-0005-0000-0000-000017580000}"/>
    <cellStyle name="r_Investment Summary Sheet  3 19 08 10" xfId="22544" xr:uid="{00000000-0005-0000-0000-000018580000}"/>
    <cellStyle name="r_Investment Summary Sheet  3 19 08 11" xfId="22545" xr:uid="{00000000-0005-0000-0000-000019580000}"/>
    <cellStyle name="r_Investment Summary Sheet  3 19 08 12" xfId="22546" xr:uid="{00000000-0005-0000-0000-00001A580000}"/>
    <cellStyle name="r_Investment Summary Sheet  3 19 08 13" xfId="22547" xr:uid="{00000000-0005-0000-0000-00001B580000}"/>
    <cellStyle name="r_Investment Summary Sheet  3 19 08 14" xfId="22548" xr:uid="{00000000-0005-0000-0000-00001C580000}"/>
    <cellStyle name="r_Investment Summary Sheet  3 19 08 15" xfId="22549" xr:uid="{00000000-0005-0000-0000-00001D580000}"/>
    <cellStyle name="r_Investment Summary Sheet  3 19 08 16" xfId="22550" xr:uid="{00000000-0005-0000-0000-00001E580000}"/>
    <cellStyle name="r_Investment Summary Sheet  3 19 08 17" xfId="22551" xr:uid="{00000000-0005-0000-0000-00001F580000}"/>
    <cellStyle name="r_Investment Summary Sheet  3 19 08 18" xfId="22552" xr:uid="{00000000-0005-0000-0000-000020580000}"/>
    <cellStyle name="r_Investment Summary Sheet  3 19 08 19" xfId="22553" xr:uid="{00000000-0005-0000-0000-000021580000}"/>
    <cellStyle name="r_Investment Summary Sheet  3 19 08 2" xfId="22554" xr:uid="{00000000-0005-0000-0000-000022580000}"/>
    <cellStyle name="r_Investment Summary Sheet  3 19 08 20" xfId="22555" xr:uid="{00000000-0005-0000-0000-000023580000}"/>
    <cellStyle name="r_Investment Summary Sheet  3 19 08 21" xfId="22556" xr:uid="{00000000-0005-0000-0000-000024580000}"/>
    <cellStyle name="r_Investment Summary Sheet  3 19 08 21 2" xfId="22557" xr:uid="{00000000-0005-0000-0000-000025580000}"/>
    <cellStyle name="r_Investment Summary Sheet  3 19 08 3" xfId="22558" xr:uid="{00000000-0005-0000-0000-000026580000}"/>
    <cellStyle name="r_Investment Summary Sheet  3 19 08 4" xfId="22559" xr:uid="{00000000-0005-0000-0000-000027580000}"/>
    <cellStyle name="r_Investment Summary Sheet  3 19 08 5" xfId="22560" xr:uid="{00000000-0005-0000-0000-000028580000}"/>
    <cellStyle name="r_Investment Summary Sheet  3 19 08 6" xfId="22561" xr:uid="{00000000-0005-0000-0000-000029580000}"/>
    <cellStyle name="r_Investment Summary Sheet  3 19 08 7" xfId="22562" xr:uid="{00000000-0005-0000-0000-00002A580000}"/>
    <cellStyle name="r_Investment Summary Sheet  3 19 08 8" xfId="22563" xr:uid="{00000000-0005-0000-0000-00002B580000}"/>
    <cellStyle name="r_Investment Summary Sheet  3 19 08 9" xfId="22564" xr:uid="{00000000-0005-0000-0000-00002C580000}"/>
    <cellStyle name="r_Investment Summary Sheet  3 19 08_AIF VI - BondcoVI_Entities Invested Capital (CURRENT)" xfId="22565" xr:uid="{00000000-0005-0000-0000-00002D580000}"/>
    <cellStyle name="r_Investment Summary Sheet  3 19 08_Invested Capital Debt Worksheet" xfId="22566" xr:uid="{00000000-0005-0000-0000-00002E580000}"/>
    <cellStyle name="r_Investment Summary Sheet  3 19 08_MMF Income" xfId="22567" xr:uid="{00000000-0005-0000-0000-00002F580000}"/>
    <cellStyle name="r_Investment Summary Sheet  4 15 08 (Preliminary DP)" xfId="22568" xr:uid="{00000000-0005-0000-0000-000030580000}"/>
    <cellStyle name="r_Investment Summary Sheet  4 15 08 (Preliminary DP) 10" xfId="22569" xr:uid="{00000000-0005-0000-0000-000031580000}"/>
    <cellStyle name="r_Investment Summary Sheet  4 15 08 (Preliminary DP) 11" xfId="22570" xr:uid="{00000000-0005-0000-0000-000032580000}"/>
    <cellStyle name="r_Investment Summary Sheet  4 15 08 (Preliminary DP) 12" xfId="22571" xr:uid="{00000000-0005-0000-0000-000033580000}"/>
    <cellStyle name="r_Investment Summary Sheet  4 15 08 (Preliminary DP) 13" xfId="22572" xr:uid="{00000000-0005-0000-0000-000034580000}"/>
    <cellStyle name="r_Investment Summary Sheet  4 15 08 (Preliminary DP) 14" xfId="22573" xr:uid="{00000000-0005-0000-0000-000035580000}"/>
    <cellStyle name="r_Investment Summary Sheet  4 15 08 (Preliminary DP) 15" xfId="22574" xr:uid="{00000000-0005-0000-0000-000036580000}"/>
    <cellStyle name="r_Investment Summary Sheet  4 15 08 (Preliminary DP) 16" xfId="22575" xr:uid="{00000000-0005-0000-0000-000037580000}"/>
    <cellStyle name="r_Investment Summary Sheet  4 15 08 (Preliminary DP) 17" xfId="22576" xr:uid="{00000000-0005-0000-0000-000038580000}"/>
    <cellStyle name="r_Investment Summary Sheet  4 15 08 (Preliminary DP) 18" xfId="22577" xr:uid="{00000000-0005-0000-0000-000039580000}"/>
    <cellStyle name="r_Investment Summary Sheet  4 15 08 (Preliminary DP) 19" xfId="22578" xr:uid="{00000000-0005-0000-0000-00003A580000}"/>
    <cellStyle name="r_Investment Summary Sheet  4 15 08 (Preliminary DP) 2" xfId="22579" xr:uid="{00000000-0005-0000-0000-00003B580000}"/>
    <cellStyle name="r_Investment Summary Sheet  4 15 08 (Preliminary DP) 20" xfId="22580" xr:uid="{00000000-0005-0000-0000-00003C580000}"/>
    <cellStyle name="r_Investment Summary Sheet  4 15 08 (Preliminary DP) 21" xfId="22581" xr:uid="{00000000-0005-0000-0000-00003D580000}"/>
    <cellStyle name="r_Investment Summary Sheet  4 15 08 (Preliminary DP) 3" xfId="22582" xr:uid="{00000000-0005-0000-0000-00003E580000}"/>
    <cellStyle name="r_Investment Summary Sheet  4 15 08 (Preliminary DP) 4" xfId="22583" xr:uid="{00000000-0005-0000-0000-00003F580000}"/>
    <cellStyle name="r_Investment Summary Sheet  4 15 08 (Preliminary DP) 5" xfId="22584" xr:uid="{00000000-0005-0000-0000-000040580000}"/>
    <cellStyle name="r_Investment Summary Sheet  4 15 08 (Preliminary DP) 6" xfId="22585" xr:uid="{00000000-0005-0000-0000-000041580000}"/>
    <cellStyle name="r_Investment Summary Sheet  4 15 08 (Preliminary DP) 7" xfId="22586" xr:uid="{00000000-0005-0000-0000-000042580000}"/>
    <cellStyle name="r_Investment Summary Sheet  4 15 08 (Preliminary DP) 8" xfId="22587" xr:uid="{00000000-0005-0000-0000-000043580000}"/>
    <cellStyle name="r_Investment Summary Sheet  4 15 08 (Preliminary DP) 9" xfId="22588" xr:uid="{00000000-0005-0000-0000-000044580000}"/>
    <cellStyle name="r_Investment Summary Sheet  4 15 08 (Preliminary DP)_AIF VI - BondcoVI_Entities Invested Capital (CURRENT)" xfId="22589" xr:uid="{00000000-0005-0000-0000-000045580000}"/>
    <cellStyle name="r_Investment Summary Sheet  4 15 08 (Preliminary DP)_Invested Capital Debt Worksheet" xfId="22590" xr:uid="{00000000-0005-0000-0000-000046580000}"/>
    <cellStyle name="r_Investment Summary Sheet  4 15 08 (Preliminary DP)_MMF Income" xfId="22591" xr:uid="{00000000-0005-0000-0000-000047580000}"/>
    <cellStyle name="r_Investment Summary Sheet  4 18 08 (Draft)" xfId="22592" xr:uid="{00000000-0005-0000-0000-000048580000}"/>
    <cellStyle name="r_Investment Summary Sheet  4 18 08 (Draft) 10" xfId="22593" xr:uid="{00000000-0005-0000-0000-000049580000}"/>
    <cellStyle name="r_Investment Summary Sheet  4 18 08 (Draft) 11" xfId="22594" xr:uid="{00000000-0005-0000-0000-00004A580000}"/>
    <cellStyle name="r_Investment Summary Sheet  4 18 08 (Draft) 12" xfId="22595" xr:uid="{00000000-0005-0000-0000-00004B580000}"/>
    <cellStyle name="r_Investment Summary Sheet  4 18 08 (Draft) 13" xfId="22596" xr:uid="{00000000-0005-0000-0000-00004C580000}"/>
    <cellStyle name="r_Investment Summary Sheet  4 18 08 (Draft) 14" xfId="22597" xr:uid="{00000000-0005-0000-0000-00004D580000}"/>
    <cellStyle name="r_Investment Summary Sheet  4 18 08 (Draft) 15" xfId="22598" xr:uid="{00000000-0005-0000-0000-00004E580000}"/>
    <cellStyle name="r_Investment Summary Sheet  4 18 08 (Draft) 16" xfId="22599" xr:uid="{00000000-0005-0000-0000-00004F580000}"/>
    <cellStyle name="r_Investment Summary Sheet  4 18 08 (Draft) 17" xfId="22600" xr:uid="{00000000-0005-0000-0000-000050580000}"/>
    <cellStyle name="r_Investment Summary Sheet  4 18 08 (Draft) 18" xfId="22601" xr:uid="{00000000-0005-0000-0000-000051580000}"/>
    <cellStyle name="r_Investment Summary Sheet  4 18 08 (Draft) 19" xfId="22602" xr:uid="{00000000-0005-0000-0000-000052580000}"/>
    <cellStyle name="r_Investment Summary Sheet  4 18 08 (Draft) 2" xfId="22603" xr:uid="{00000000-0005-0000-0000-000053580000}"/>
    <cellStyle name="r_Investment Summary Sheet  4 18 08 (Draft) 20" xfId="22604" xr:uid="{00000000-0005-0000-0000-000054580000}"/>
    <cellStyle name="r_Investment Summary Sheet  4 18 08 (Draft) 21" xfId="22605" xr:uid="{00000000-0005-0000-0000-000055580000}"/>
    <cellStyle name="r_Investment Summary Sheet  4 18 08 (Draft) 3" xfId="22606" xr:uid="{00000000-0005-0000-0000-000056580000}"/>
    <cellStyle name="r_Investment Summary Sheet  4 18 08 (Draft) 4" xfId="22607" xr:uid="{00000000-0005-0000-0000-000057580000}"/>
    <cellStyle name="r_Investment Summary Sheet  4 18 08 (Draft) 5" xfId="22608" xr:uid="{00000000-0005-0000-0000-000058580000}"/>
    <cellStyle name="r_Investment Summary Sheet  4 18 08 (Draft) 6" xfId="22609" xr:uid="{00000000-0005-0000-0000-000059580000}"/>
    <cellStyle name="r_Investment Summary Sheet  4 18 08 (Draft) 7" xfId="22610" xr:uid="{00000000-0005-0000-0000-00005A580000}"/>
    <cellStyle name="r_Investment Summary Sheet  4 18 08 (Draft) 8" xfId="22611" xr:uid="{00000000-0005-0000-0000-00005B580000}"/>
    <cellStyle name="r_Investment Summary Sheet  4 18 08 (Draft) 9" xfId="22612" xr:uid="{00000000-0005-0000-0000-00005C580000}"/>
    <cellStyle name="r_Investment Summary Sheet  4 18 08 (Draft)_AIF VI - BondcoVI_Entities Invested Capital (CURRENT)" xfId="22613" xr:uid="{00000000-0005-0000-0000-00005D580000}"/>
    <cellStyle name="r_Investment Summary Sheet  4 18 08 (Draft)_Invested Capital Debt Worksheet" xfId="22614" xr:uid="{00000000-0005-0000-0000-00005E580000}"/>
    <cellStyle name="r_Investment Summary Sheet  4 18 08 (Draft)_MMF Income" xfId="22615" xr:uid="{00000000-0005-0000-0000-00005F580000}"/>
    <cellStyle name="r_Investment Summary Sheet  4 28 08 (Draft)" xfId="22616" xr:uid="{00000000-0005-0000-0000-000060580000}"/>
    <cellStyle name="r_Investment Summary Sheet  4 28 08 (Draft) 10" xfId="22617" xr:uid="{00000000-0005-0000-0000-000061580000}"/>
    <cellStyle name="r_Investment Summary Sheet  4 28 08 (Draft) 11" xfId="22618" xr:uid="{00000000-0005-0000-0000-000062580000}"/>
    <cellStyle name="r_Investment Summary Sheet  4 28 08 (Draft) 12" xfId="22619" xr:uid="{00000000-0005-0000-0000-000063580000}"/>
    <cellStyle name="r_Investment Summary Sheet  4 28 08 (Draft) 13" xfId="22620" xr:uid="{00000000-0005-0000-0000-000064580000}"/>
    <cellStyle name="r_Investment Summary Sheet  4 28 08 (Draft) 14" xfId="22621" xr:uid="{00000000-0005-0000-0000-000065580000}"/>
    <cellStyle name="r_Investment Summary Sheet  4 28 08 (Draft) 15" xfId="22622" xr:uid="{00000000-0005-0000-0000-000066580000}"/>
    <cellStyle name="r_Investment Summary Sheet  4 28 08 (Draft) 16" xfId="22623" xr:uid="{00000000-0005-0000-0000-000067580000}"/>
    <cellStyle name="r_Investment Summary Sheet  4 28 08 (Draft) 17" xfId="22624" xr:uid="{00000000-0005-0000-0000-000068580000}"/>
    <cellStyle name="r_Investment Summary Sheet  4 28 08 (Draft) 18" xfId="22625" xr:uid="{00000000-0005-0000-0000-000069580000}"/>
    <cellStyle name="r_Investment Summary Sheet  4 28 08 (Draft) 19" xfId="22626" xr:uid="{00000000-0005-0000-0000-00006A580000}"/>
    <cellStyle name="r_Investment Summary Sheet  4 28 08 (Draft) 2" xfId="22627" xr:uid="{00000000-0005-0000-0000-00006B580000}"/>
    <cellStyle name="r_Investment Summary Sheet  4 28 08 (Draft) 20" xfId="22628" xr:uid="{00000000-0005-0000-0000-00006C580000}"/>
    <cellStyle name="r_Investment Summary Sheet  4 28 08 (Draft) 21" xfId="22629" xr:uid="{00000000-0005-0000-0000-00006D580000}"/>
    <cellStyle name="r_Investment Summary Sheet  4 28 08 (Draft) 3" xfId="22630" xr:uid="{00000000-0005-0000-0000-00006E580000}"/>
    <cellStyle name="r_Investment Summary Sheet  4 28 08 (Draft) 4" xfId="22631" xr:uid="{00000000-0005-0000-0000-00006F580000}"/>
    <cellStyle name="r_Investment Summary Sheet  4 28 08 (Draft) 5" xfId="22632" xr:uid="{00000000-0005-0000-0000-000070580000}"/>
    <cellStyle name="r_Investment Summary Sheet  4 28 08 (Draft) 6" xfId="22633" xr:uid="{00000000-0005-0000-0000-000071580000}"/>
    <cellStyle name="r_Investment Summary Sheet  4 28 08 (Draft) 7" xfId="22634" xr:uid="{00000000-0005-0000-0000-000072580000}"/>
    <cellStyle name="r_Investment Summary Sheet  4 28 08 (Draft) 8" xfId="22635" xr:uid="{00000000-0005-0000-0000-000073580000}"/>
    <cellStyle name="r_Investment Summary Sheet  4 28 08 (Draft) 9" xfId="22636" xr:uid="{00000000-0005-0000-0000-000074580000}"/>
    <cellStyle name="r_Investment Summary Sheet  4 28 08 (Draft)_AIF VI - BondcoVI_Entities Invested Capital (CURRENT)" xfId="22637" xr:uid="{00000000-0005-0000-0000-000075580000}"/>
    <cellStyle name="r_Investment Summary Sheet  4 28 08 (Draft)_Invested Capital Debt Worksheet" xfId="22638" xr:uid="{00000000-0005-0000-0000-000076580000}"/>
    <cellStyle name="r_Investment Summary Sheet  4 28 08 (Draft)_MMF Income" xfId="22639" xr:uid="{00000000-0005-0000-0000-000077580000}"/>
    <cellStyle name="r_Investment Summary Sheet  4 4 08 (Preliminary)" xfId="22640" xr:uid="{00000000-0005-0000-0000-000078580000}"/>
    <cellStyle name="r_Investment Summary Sheet  4 4 08 (Preliminary) (2)" xfId="22641" xr:uid="{00000000-0005-0000-0000-000079580000}"/>
    <cellStyle name="r_Investment Summary Sheet  4 4 08 (Preliminary) (2) 10" xfId="22642" xr:uid="{00000000-0005-0000-0000-00007A580000}"/>
    <cellStyle name="r_Investment Summary Sheet  4 4 08 (Preliminary) (2) 11" xfId="22643" xr:uid="{00000000-0005-0000-0000-00007B580000}"/>
    <cellStyle name="r_Investment Summary Sheet  4 4 08 (Preliminary) (2) 12" xfId="22644" xr:uid="{00000000-0005-0000-0000-00007C580000}"/>
    <cellStyle name="r_Investment Summary Sheet  4 4 08 (Preliminary) (2) 13" xfId="22645" xr:uid="{00000000-0005-0000-0000-00007D580000}"/>
    <cellStyle name="r_Investment Summary Sheet  4 4 08 (Preliminary) (2) 14" xfId="22646" xr:uid="{00000000-0005-0000-0000-00007E580000}"/>
    <cellStyle name="r_Investment Summary Sheet  4 4 08 (Preliminary) (2) 15" xfId="22647" xr:uid="{00000000-0005-0000-0000-00007F580000}"/>
    <cellStyle name="r_Investment Summary Sheet  4 4 08 (Preliminary) (2) 16" xfId="22648" xr:uid="{00000000-0005-0000-0000-000080580000}"/>
    <cellStyle name="r_Investment Summary Sheet  4 4 08 (Preliminary) (2) 17" xfId="22649" xr:uid="{00000000-0005-0000-0000-000081580000}"/>
    <cellStyle name="r_Investment Summary Sheet  4 4 08 (Preliminary) (2) 18" xfId="22650" xr:uid="{00000000-0005-0000-0000-000082580000}"/>
    <cellStyle name="r_Investment Summary Sheet  4 4 08 (Preliminary) (2) 19" xfId="22651" xr:uid="{00000000-0005-0000-0000-000083580000}"/>
    <cellStyle name="r_Investment Summary Sheet  4 4 08 (Preliminary) (2) 2" xfId="22652" xr:uid="{00000000-0005-0000-0000-000084580000}"/>
    <cellStyle name="r_Investment Summary Sheet  4 4 08 (Preliminary) (2) 20" xfId="22653" xr:uid="{00000000-0005-0000-0000-000085580000}"/>
    <cellStyle name="r_Investment Summary Sheet  4 4 08 (Preliminary) (2) 21" xfId="22654" xr:uid="{00000000-0005-0000-0000-000086580000}"/>
    <cellStyle name="r_Investment Summary Sheet  4 4 08 (Preliminary) (2) 21 2" xfId="22655" xr:uid="{00000000-0005-0000-0000-000087580000}"/>
    <cellStyle name="r_Investment Summary Sheet  4 4 08 (Preliminary) (2) 3" xfId="22656" xr:uid="{00000000-0005-0000-0000-000088580000}"/>
    <cellStyle name="r_Investment Summary Sheet  4 4 08 (Preliminary) (2) 4" xfId="22657" xr:uid="{00000000-0005-0000-0000-000089580000}"/>
    <cellStyle name="r_Investment Summary Sheet  4 4 08 (Preliminary) (2) 5" xfId="22658" xr:uid="{00000000-0005-0000-0000-00008A580000}"/>
    <cellStyle name="r_Investment Summary Sheet  4 4 08 (Preliminary) (2) 6" xfId="22659" xr:uid="{00000000-0005-0000-0000-00008B580000}"/>
    <cellStyle name="r_Investment Summary Sheet  4 4 08 (Preliminary) (2) 7" xfId="22660" xr:uid="{00000000-0005-0000-0000-00008C580000}"/>
    <cellStyle name="r_Investment Summary Sheet  4 4 08 (Preliminary) (2) 8" xfId="22661" xr:uid="{00000000-0005-0000-0000-00008D580000}"/>
    <cellStyle name="r_Investment Summary Sheet  4 4 08 (Preliminary) (2) 9" xfId="22662" xr:uid="{00000000-0005-0000-0000-00008E580000}"/>
    <cellStyle name="r_Investment Summary Sheet  4 4 08 (Preliminary) (2)_AIF VI - BondcoVI_Entities Invested Capital (CURRENT)" xfId="22663" xr:uid="{00000000-0005-0000-0000-00008F580000}"/>
    <cellStyle name="r_Investment Summary Sheet  4 4 08 (Preliminary) (2)_Invested Capital Debt Worksheet" xfId="22664" xr:uid="{00000000-0005-0000-0000-000090580000}"/>
    <cellStyle name="r_Investment Summary Sheet  4 4 08 (Preliminary) (2)_MMF Income" xfId="22665" xr:uid="{00000000-0005-0000-0000-000091580000}"/>
    <cellStyle name="r_Investment Summary Sheet  4 4 08 (Preliminary) 10" xfId="22666" xr:uid="{00000000-0005-0000-0000-000092580000}"/>
    <cellStyle name="r_Investment Summary Sheet  4 4 08 (Preliminary) 11" xfId="22667" xr:uid="{00000000-0005-0000-0000-000093580000}"/>
    <cellStyle name="r_Investment Summary Sheet  4 4 08 (Preliminary) 12" xfId="22668" xr:uid="{00000000-0005-0000-0000-000094580000}"/>
    <cellStyle name="r_Investment Summary Sheet  4 4 08 (Preliminary) 13" xfId="22669" xr:uid="{00000000-0005-0000-0000-000095580000}"/>
    <cellStyle name="r_Investment Summary Sheet  4 4 08 (Preliminary) 14" xfId="22670" xr:uid="{00000000-0005-0000-0000-000096580000}"/>
    <cellStyle name="r_Investment Summary Sheet  4 4 08 (Preliminary) 15" xfId="22671" xr:uid="{00000000-0005-0000-0000-000097580000}"/>
    <cellStyle name="r_Investment Summary Sheet  4 4 08 (Preliminary) 16" xfId="22672" xr:uid="{00000000-0005-0000-0000-000098580000}"/>
    <cellStyle name="r_Investment Summary Sheet  4 4 08 (Preliminary) 17" xfId="22673" xr:uid="{00000000-0005-0000-0000-000099580000}"/>
    <cellStyle name="r_Investment Summary Sheet  4 4 08 (Preliminary) 18" xfId="22674" xr:uid="{00000000-0005-0000-0000-00009A580000}"/>
    <cellStyle name="r_Investment Summary Sheet  4 4 08 (Preliminary) 19" xfId="22675" xr:uid="{00000000-0005-0000-0000-00009B580000}"/>
    <cellStyle name="r_Investment Summary Sheet  4 4 08 (Preliminary) 2" xfId="22676" xr:uid="{00000000-0005-0000-0000-00009C580000}"/>
    <cellStyle name="r_Investment Summary Sheet  4 4 08 (Preliminary) 20" xfId="22677" xr:uid="{00000000-0005-0000-0000-00009D580000}"/>
    <cellStyle name="r_Investment Summary Sheet  4 4 08 (Preliminary) 21" xfId="22678" xr:uid="{00000000-0005-0000-0000-00009E580000}"/>
    <cellStyle name="r_Investment Summary Sheet  4 4 08 (Preliminary) 21 2" xfId="22679" xr:uid="{00000000-0005-0000-0000-00009F580000}"/>
    <cellStyle name="r_Investment Summary Sheet  4 4 08 (Preliminary) 3" xfId="22680" xr:uid="{00000000-0005-0000-0000-0000A0580000}"/>
    <cellStyle name="r_Investment Summary Sheet  4 4 08 (Preliminary) 4" xfId="22681" xr:uid="{00000000-0005-0000-0000-0000A1580000}"/>
    <cellStyle name="r_Investment Summary Sheet  4 4 08 (Preliminary) 5" xfId="22682" xr:uid="{00000000-0005-0000-0000-0000A2580000}"/>
    <cellStyle name="r_Investment Summary Sheet  4 4 08 (Preliminary) 6" xfId="22683" xr:uid="{00000000-0005-0000-0000-0000A3580000}"/>
    <cellStyle name="r_Investment Summary Sheet  4 4 08 (Preliminary) 7" xfId="22684" xr:uid="{00000000-0005-0000-0000-0000A4580000}"/>
    <cellStyle name="r_Investment Summary Sheet  4 4 08 (Preliminary) 8" xfId="22685" xr:uid="{00000000-0005-0000-0000-0000A5580000}"/>
    <cellStyle name="r_Investment Summary Sheet  4 4 08 (Preliminary) 9" xfId="22686" xr:uid="{00000000-0005-0000-0000-0000A6580000}"/>
    <cellStyle name="r_Investment Summary Sheet  4 4 08 (Preliminary)_AIF VI - BondcoVI_Entities Invested Capital (CURRENT)" xfId="22687" xr:uid="{00000000-0005-0000-0000-0000A7580000}"/>
    <cellStyle name="r_Investment Summary Sheet  4 4 08 (Preliminary)_Invested Capital Debt Worksheet" xfId="22688" xr:uid="{00000000-0005-0000-0000-0000A8580000}"/>
    <cellStyle name="r_Investment Summary Sheet  4 4 08 (Preliminary)_MMF Income" xfId="22689" xr:uid="{00000000-0005-0000-0000-0000A9580000}"/>
    <cellStyle name="r_Investment Summary Sheet  4 9 08 (Preliminary)" xfId="22690" xr:uid="{00000000-0005-0000-0000-0000AA580000}"/>
    <cellStyle name="r_Investment Summary Sheet  4 9 08 (Preliminary) 10" xfId="22691" xr:uid="{00000000-0005-0000-0000-0000AB580000}"/>
    <cellStyle name="r_Investment Summary Sheet  4 9 08 (Preliminary) 11" xfId="22692" xr:uid="{00000000-0005-0000-0000-0000AC580000}"/>
    <cellStyle name="r_Investment Summary Sheet  4 9 08 (Preliminary) 12" xfId="22693" xr:uid="{00000000-0005-0000-0000-0000AD580000}"/>
    <cellStyle name="r_Investment Summary Sheet  4 9 08 (Preliminary) 13" xfId="22694" xr:uid="{00000000-0005-0000-0000-0000AE580000}"/>
    <cellStyle name="r_Investment Summary Sheet  4 9 08 (Preliminary) 14" xfId="22695" xr:uid="{00000000-0005-0000-0000-0000AF580000}"/>
    <cellStyle name="r_Investment Summary Sheet  4 9 08 (Preliminary) 15" xfId="22696" xr:uid="{00000000-0005-0000-0000-0000B0580000}"/>
    <cellStyle name="r_Investment Summary Sheet  4 9 08 (Preliminary) 16" xfId="22697" xr:uid="{00000000-0005-0000-0000-0000B1580000}"/>
    <cellStyle name="r_Investment Summary Sheet  4 9 08 (Preliminary) 17" xfId="22698" xr:uid="{00000000-0005-0000-0000-0000B2580000}"/>
    <cellStyle name="r_Investment Summary Sheet  4 9 08 (Preliminary) 18" xfId="22699" xr:uid="{00000000-0005-0000-0000-0000B3580000}"/>
    <cellStyle name="r_Investment Summary Sheet  4 9 08 (Preliminary) 19" xfId="22700" xr:uid="{00000000-0005-0000-0000-0000B4580000}"/>
    <cellStyle name="r_Investment Summary Sheet  4 9 08 (Preliminary) 2" xfId="22701" xr:uid="{00000000-0005-0000-0000-0000B5580000}"/>
    <cellStyle name="r_Investment Summary Sheet  4 9 08 (Preliminary) 20" xfId="22702" xr:uid="{00000000-0005-0000-0000-0000B6580000}"/>
    <cellStyle name="r_Investment Summary Sheet  4 9 08 (Preliminary) 21" xfId="22703" xr:uid="{00000000-0005-0000-0000-0000B7580000}"/>
    <cellStyle name="r_Investment Summary Sheet  4 9 08 (Preliminary) 21 2" xfId="22704" xr:uid="{00000000-0005-0000-0000-0000B8580000}"/>
    <cellStyle name="r_Investment Summary Sheet  4 9 08 (Preliminary) 3" xfId="22705" xr:uid="{00000000-0005-0000-0000-0000B9580000}"/>
    <cellStyle name="r_Investment Summary Sheet  4 9 08 (Preliminary) 4" xfId="22706" xr:uid="{00000000-0005-0000-0000-0000BA580000}"/>
    <cellStyle name="r_Investment Summary Sheet  4 9 08 (Preliminary) 5" xfId="22707" xr:uid="{00000000-0005-0000-0000-0000BB580000}"/>
    <cellStyle name="r_Investment Summary Sheet  4 9 08 (Preliminary) 6" xfId="22708" xr:uid="{00000000-0005-0000-0000-0000BC580000}"/>
    <cellStyle name="r_Investment Summary Sheet  4 9 08 (Preliminary) 7" xfId="22709" xr:uid="{00000000-0005-0000-0000-0000BD580000}"/>
    <cellStyle name="r_Investment Summary Sheet  4 9 08 (Preliminary) 8" xfId="22710" xr:uid="{00000000-0005-0000-0000-0000BE580000}"/>
    <cellStyle name="r_Investment Summary Sheet  4 9 08 (Preliminary) 9" xfId="22711" xr:uid="{00000000-0005-0000-0000-0000BF580000}"/>
    <cellStyle name="r_Investment Summary Sheet  4 9 08 (Preliminary)_AIF VI - BondcoVI_Entities Invested Capital (CURRENT)" xfId="22712" xr:uid="{00000000-0005-0000-0000-0000C0580000}"/>
    <cellStyle name="r_Investment Summary Sheet  4 9 08 (Preliminary)_Invested Capital Debt Worksheet" xfId="22713" xr:uid="{00000000-0005-0000-0000-0000C1580000}"/>
    <cellStyle name="r_Investment Summary Sheet  4 9 08 (Preliminary)_MMF Income" xfId="22714" xr:uid="{00000000-0005-0000-0000-0000C2580000}"/>
    <cellStyle name="r_Investment Summary Sheet  5 1 08 (Draft) (2)" xfId="22715" xr:uid="{00000000-0005-0000-0000-0000C3580000}"/>
    <cellStyle name="r_Investment Summary Sheet  5 1 08 (Draft) (2) 10" xfId="22716" xr:uid="{00000000-0005-0000-0000-0000C4580000}"/>
    <cellStyle name="r_Investment Summary Sheet  5 1 08 (Draft) (2) 11" xfId="22717" xr:uid="{00000000-0005-0000-0000-0000C5580000}"/>
    <cellStyle name="r_Investment Summary Sheet  5 1 08 (Draft) (2) 12" xfId="22718" xr:uid="{00000000-0005-0000-0000-0000C6580000}"/>
    <cellStyle name="r_Investment Summary Sheet  5 1 08 (Draft) (2) 13" xfId="22719" xr:uid="{00000000-0005-0000-0000-0000C7580000}"/>
    <cellStyle name="r_Investment Summary Sheet  5 1 08 (Draft) (2) 14" xfId="22720" xr:uid="{00000000-0005-0000-0000-0000C8580000}"/>
    <cellStyle name="r_Investment Summary Sheet  5 1 08 (Draft) (2) 15" xfId="22721" xr:uid="{00000000-0005-0000-0000-0000C9580000}"/>
    <cellStyle name="r_Investment Summary Sheet  5 1 08 (Draft) (2) 16" xfId="22722" xr:uid="{00000000-0005-0000-0000-0000CA580000}"/>
    <cellStyle name="r_Investment Summary Sheet  5 1 08 (Draft) (2) 17" xfId="22723" xr:uid="{00000000-0005-0000-0000-0000CB580000}"/>
    <cellStyle name="r_Investment Summary Sheet  5 1 08 (Draft) (2) 18" xfId="22724" xr:uid="{00000000-0005-0000-0000-0000CC580000}"/>
    <cellStyle name="r_Investment Summary Sheet  5 1 08 (Draft) (2) 19" xfId="22725" xr:uid="{00000000-0005-0000-0000-0000CD580000}"/>
    <cellStyle name="r_Investment Summary Sheet  5 1 08 (Draft) (2) 2" xfId="22726" xr:uid="{00000000-0005-0000-0000-0000CE580000}"/>
    <cellStyle name="r_Investment Summary Sheet  5 1 08 (Draft) (2) 20" xfId="22727" xr:uid="{00000000-0005-0000-0000-0000CF580000}"/>
    <cellStyle name="r_Investment Summary Sheet  5 1 08 (Draft) (2) 21" xfId="22728" xr:uid="{00000000-0005-0000-0000-0000D0580000}"/>
    <cellStyle name="r_Investment Summary Sheet  5 1 08 (Draft) (2) 3" xfId="22729" xr:uid="{00000000-0005-0000-0000-0000D1580000}"/>
    <cellStyle name="r_Investment Summary Sheet  5 1 08 (Draft) (2) 4" xfId="22730" xr:uid="{00000000-0005-0000-0000-0000D2580000}"/>
    <cellStyle name="r_Investment Summary Sheet  5 1 08 (Draft) (2) 5" xfId="22731" xr:uid="{00000000-0005-0000-0000-0000D3580000}"/>
    <cellStyle name="r_Investment Summary Sheet  5 1 08 (Draft) (2) 6" xfId="22732" xr:uid="{00000000-0005-0000-0000-0000D4580000}"/>
    <cellStyle name="r_Investment Summary Sheet  5 1 08 (Draft) (2) 7" xfId="22733" xr:uid="{00000000-0005-0000-0000-0000D5580000}"/>
    <cellStyle name="r_Investment Summary Sheet  5 1 08 (Draft) (2) 8" xfId="22734" xr:uid="{00000000-0005-0000-0000-0000D6580000}"/>
    <cellStyle name="r_Investment Summary Sheet  5 1 08 (Draft) (2) 9" xfId="22735" xr:uid="{00000000-0005-0000-0000-0000D7580000}"/>
    <cellStyle name="r_Investment Summary Sheet  5 1 08 (Draft) (2)_AIF VI - BondcoVI_Entities Invested Capital (CURRENT)" xfId="22736" xr:uid="{00000000-0005-0000-0000-0000D8580000}"/>
    <cellStyle name="r_Investment Summary Sheet  5 1 08 (Draft) (2)_Invested Capital Debt Worksheet" xfId="22737" xr:uid="{00000000-0005-0000-0000-0000D9580000}"/>
    <cellStyle name="r_Investment Summary Sheet  5 1 08 (Draft) (2)_MMF Income" xfId="22738" xr:uid="{00000000-0005-0000-0000-0000DA580000}"/>
    <cellStyle name="r_Investment Summary Sheet  5 15 08 (Draft)" xfId="22739" xr:uid="{00000000-0005-0000-0000-0000DB580000}"/>
    <cellStyle name="r_Investment Summary Sheet  5 15 08 (Draft) 10" xfId="22740" xr:uid="{00000000-0005-0000-0000-0000DC580000}"/>
    <cellStyle name="r_Investment Summary Sheet  5 15 08 (Draft) 11" xfId="22741" xr:uid="{00000000-0005-0000-0000-0000DD580000}"/>
    <cellStyle name="r_Investment Summary Sheet  5 15 08 (Draft) 12" xfId="22742" xr:uid="{00000000-0005-0000-0000-0000DE580000}"/>
    <cellStyle name="r_Investment Summary Sheet  5 15 08 (Draft) 13" xfId="22743" xr:uid="{00000000-0005-0000-0000-0000DF580000}"/>
    <cellStyle name="r_Investment Summary Sheet  5 15 08 (Draft) 14" xfId="22744" xr:uid="{00000000-0005-0000-0000-0000E0580000}"/>
    <cellStyle name="r_Investment Summary Sheet  5 15 08 (Draft) 15" xfId="22745" xr:uid="{00000000-0005-0000-0000-0000E1580000}"/>
    <cellStyle name="r_Investment Summary Sheet  5 15 08 (Draft) 16" xfId="22746" xr:uid="{00000000-0005-0000-0000-0000E2580000}"/>
    <cellStyle name="r_Investment Summary Sheet  5 15 08 (Draft) 17" xfId="22747" xr:uid="{00000000-0005-0000-0000-0000E3580000}"/>
    <cellStyle name="r_Investment Summary Sheet  5 15 08 (Draft) 18" xfId="22748" xr:uid="{00000000-0005-0000-0000-0000E4580000}"/>
    <cellStyle name="r_Investment Summary Sheet  5 15 08 (Draft) 19" xfId="22749" xr:uid="{00000000-0005-0000-0000-0000E5580000}"/>
    <cellStyle name="r_Investment Summary Sheet  5 15 08 (Draft) 2" xfId="22750" xr:uid="{00000000-0005-0000-0000-0000E6580000}"/>
    <cellStyle name="r_Investment Summary Sheet  5 15 08 (Draft) 20" xfId="22751" xr:uid="{00000000-0005-0000-0000-0000E7580000}"/>
    <cellStyle name="r_Investment Summary Sheet  5 15 08 (Draft) 21" xfId="22752" xr:uid="{00000000-0005-0000-0000-0000E8580000}"/>
    <cellStyle name="r_Investment Summary Sheet  5 15 08 (Draft) 3" xfId="22753" xr:uid="{00000000-0005-0000-0000-0000E9580000}"/>
    <cellStyle name="r_Investment Summary Sheet  5 15 08 (Draft) 4" xfId="22754" xr:uid="{00000000-0005-0000-0000-0000EA580000}"/>
    <cellStyle name="r_Investment Summary Sheet  5 15 08 (Draft) 5" xfId="22755" xr:uid="{00000000-0005-0000-0000-0000EB580000}"/>
    <cellStyle name="r_Investment Summary Sheet  5 15 08 (Draft) 6" xfId="22756" xr:uid="{00000000-0005-0000-0000-0000EC580000}"/>
    <cellStyle name="r_Investment Summary Sheet  5 15 08 (Draft) 7" xfId="22757" xr:uid="{00000000-0005-0000-0000-0000ED580000}"/>
    <cellStyle name="r_Investment Summary Sheet  5 15 08 (Draft) 8" xfId="22758" xr:uid="{00000000-0005-0000-0000-0000EE580000}"/>
    <cellStyle name="r_Investment Summary Sheet  5 15 08 (Draft) 9" xfId="22759" xr:uid="{00000000-0005-0000-0000-0000EF580000}"/>
    <cellStyle name="r_Investment Summary Sheet  5 15 08 (Draft)_AIF VI - BondcoVI_Entities Invested Capital (CURRENT)" xfId="22760" xr:uid="{00000000-0005-0000-0000-0000F0580000}"/>
    <cellStyle name="r_Investment Summary Sheet  5 15 08 (Draft)_Invested Capital Debt Worksheet" xfId="22761" xr:uid="{00000000-0005-0000-0000-0000F1580000}"/>
    <cellStyle name="r_Investment Summary Sheet  5 15 08 (Draft)_MMF Income" xfId="22762" xr:uid="{00000000-0005-0000-0000-0000F2580000}"/>
    <cellStyle name="r_Investment Summary Sheet  6 9 08 (Draft)" xfId="22763" xr:uid="{00000000-0005-0000-0000-0000F3580000}"/>
    <cellStyle name="r_Investment Summary Sheet  6 9 08 (Draft) (3)" xfId="22764" xr:uid="{00000000-0005-0000-0000-0000F4580000}"/>
    <cellStyle name="r_Investment Summary Sheet  6 9 08 (Draft) (3) 2" xfId="22765" xr:uid="{00000000-0005-0000-0000-0000F5580000}"/>
    <cellStyle name="r_Investment Summary Sheet  6 9 08 (Draft) (3)_{6} Carry" xfId="22766" xr:uid="{00000000-0005-0000-0000-0000F6580000}"/>
    <cellStyle name="r_Investment Summary Sheet  6 9 08 (Draft) (3)_AIF IV Financial Highlights 12-31-08 v4" xfId="22767" xr:uid="{00000000-0005-0000-0000-0000F7580000}"/>
    <cellStyle name="r_Investment Summary Sheet  6 9 08 (Draft) (3)_AIF IV Financial Highlights 12-31-08 v4_Apollo Investment Fund IV  Q3 2009 Capital Analysis CURRENT" xfId="22768" xr:uid="{00000000-0005-0000-0000-0000F8580000}"/>
    <cellStyle name="r_Investment Summary Sheet  6 9 08 (Draft) (3)_AIF IV Financial Highlights 12-31-08 v4_Apollo Investment Fund IV  Q3 2009 Capital Analysis iPCS &amp; URI Distribution" xfId="22769" xr:uid="{00000000-0005-0000-0000-0000F9580000}"/>
    <cellStyle name="r_Investment Summary Sheet  6 9 08 (Draft) (3)_AIF IV Financial Highlights 12-31-08 v4_iPCs#1-Remaining" xfId="22770" xr:uid="{00000000-0005-0000-0000-0000FA580000}"/>
    <cellStyle name="r_Investment Summary Sheet  6 9 08 (Draft) (3)_AIF VI - BondcoVI_Entities Invested Capital (CURRENT)" xfId="22771" xr:uid="{00000000-0005-0000-0000-0000FB580000}"/>
    <cellStyle name="r_Investment Summary Sheet  6 9 08 (Draft) (3)_Invested Capital Debt Worksheet" xfId="22772" xr:uid="{00000000-0005-0000-0000-0000FC580000}"/>
    <cellStyle name="r_Investment Summary Sheet  6 9 08 (Draft) (3)_MMF Income" xfId="22773" xr:uid="{00000000-0005-0000-0000-0000FD580000}"/>
    <cellStyle name="r_Investment Summary Sheet  6 9 08 (Draft) (3)_Partners Capital Q1 2009" xfId="22774" xr:uid="{00000000-0005-0000-0000-0000FE580000}"/>
    <cellStyle name="r_Investment Summary Sheet  6 9 08 (Draft) (3)_Partners Capital Q1 2009 2" xfId="22775" xr:uid="{00000000-0005-0000-0000-0000FF580000}"/>
    <cellStyle name="r_Investment Summary Sheet  6 9 08 (Draft) (3)_Partners Capital Q1 2009_MMF Income" xfId="22776" xr:uid="{00000000-0005-0000-0000-000000590000}"/>
    <cellStyle name="r_Investment Summary Sheet  6 9 08 (Draft) (3)_PR Calc - DOMESTIC" xfId="22777" xr:uid="{00000000-0005-0000-0000-000001590000}"/>
    <cellStyle name="r_Investment Summary Sheet  6 9 08 (Draft) 10" xfId="22778" xr:uid="{00000000-0005-0000-0000-000002590000}"/>
    <cellStyle name="r_Investment Summary Sheet  6 9 08 (Draft) 11" xfId="22779" xr:uid="{00000000-0005-0000-0000-000003590000}"/>
    <cellStyle name="r_Investment Summary Sheet  6 9 08 (Draft) 12" xfId="22780" xr:uid="{00000000-0005-0000-0000-000004590000}"/>
    <cellStyle name="r_Investment Summary Sheet  6 9 08 (Draft) 13" xfId="22781" xr:uid="{00000000-0005-0000-0000-000005590000}"/>
    <cellStyle name="r_Investment Summary Sheet  6 9 08 (Draft) 14" xfId="22782" xr:uid="{00000000-0005-0000-0000-000006590000}"/>
    <cellStyle name="r_Investment Summary Sheet  6 9 08 (Draft) 15" xfId="22783" xr:uid="{00000000-0005-0000-0000-000007590000}"/>
    <cellStyle name="r_Investment Summary Sheet  6 9 08 (Draft) 16" xfId="22784" xr:uid="{00000000-0005-0000-0000-000008590000}"/>
    <cellStyle name="r_Investment Summary Sheet  6 9 08 (Draft) 17" xfId="22785" xr:uid="{00000000-0005-0000-0000-000009590000}"/>
    <cellStyle name="r_Investment Summary Sheet  6 9 08 (Draft) 18" xfId="22786" xr:uid="{00000000-0005-0000-0000-00000A590000}"/>
    <cellStyle name="r_Investment Summary Sheet  6 9 08 (Draft) 19" xfId="22787" xr:uid="{00000000-0005-0000-0000-00000B590000}"/>
    <cellStyle name="r_Investment Summary Sheet  6 9 08 (Draft) 2" xfId="22788" xr:uid="{00000000-0005-0000-0000-00000C590000}"/>
    <cellStyle name="r_Investment Summary Sheet  6 9 08 (Draft) 20" xfId="22789" xr:uid="{00000000-0005-0000-0000-00000D590000}"/>
    <cellStyle name="r_Investment Summary Sheet  6 9 08 (Draft) 21" xfId="22790" xr:uid="{00000000-0005-0000-0000-00000E590000}"/>
    <cellStyle name="r_Investment Summary Sheet  6 9 08 (Draft) 3" xfId="22791" xr:uid="{00000000-0005-0000-0000-00000F590000}"/>
    <cellStyle name="r_Investment Summary Sheet  6 9 08 (Draft) 4" xfId="22792" xr:uid="{00000000-0005-0000-0000-000010590000}"/>
    <cellStyle name="r_Investment Summary Sheet  6 9 08 (Draft) 5" xfId="22793" xr:uid="{00000000-0005-0000-0000-000011590000}"/>
    <cellStyle name="r_Investment Summary Sheet  6 9 08 (Draft) 6" xfId="22794" xr:uid="{00000000-0005-0000-0000-000012590000}"/>
    <cellStyle name="r_Investment Summary Sheet  6 9 08 (Draft) 7" xfId="22795" xr:uid="{00000000-0005-0000-0000-000013590000}"/>
    <cellStyle name="r_Investment Summary Sheet  6 9 08 (Draft) 8" xfId="22796" xr:uid="{00000000-0005-0000-0000-000014590000}"/>
    <cellStyle name="r_Investment Summary Sheet  6 9 08 (Draft) 9" xfId="22797" xr:uid="{00000000-0005-0000-0000-000015590000}"/>
    <cellStyle name="r_Investment Summary Sheet  6 9 08 (Draft)_{6} Clawback" xfId="22798" xr:uid="{00000000-0005-0000-0000-000016590000}"/>
    <cellStyle name="r_Investment Summary Sheet  6 9 08 (Draft)_AIF IV Financial Highlights 12-31-08 v4" xfId="22799" xr:uid="{00000000-0005-0000-0000-000017590000}"/>
    <cellStyle name="r_Investment Summary Sheet  6 9 08 (Draft)_AIF IV Financial Highlights 12-31-08 v4_Apollo Investment Fund IV  Q3 2009 Capital Analysis CURRENT" xfId="22800" xr:uid="{00000000-0005-0000-0000-000018590000}"/>
    <cellStyle name="r_Investment Summary Sheet  6 9 08 (Draft)_AIF IV Financial Highlights 12-31-08 v4_Apollo Investment Fund IV  Q3 2009 Capital Analysis iPCS &amp; URI Distribution" xfId="22801" xr:uid="{00000000-0005-0000-0000-000019590000}"/>
    <cellStyle name="r_Investment Summary Sheet  6 9 08 (Draft)_AIF IV Financial Highlights 12-31-08 v4_iPCs#1-Remaining" xfId="22802" xr:uid="{00000000-0005-0000-0000-00001A590000}"/>
    <cellStyle name="r_Investment Summary Sheet  6 9 08 (Draft)_AIF VI - BondcoVI_Entities Invested Capital (CURRENT)" xfId="22803" xr:uid="{00000000-0005-0000-0000-00001B590000}"/>
    <cellStyle name="r_Investment Summary Sheet  6 9 08 (Draft)_Andy Affrick - Schedulev2" xfId="22804" xr:uid="{00000000-0005-0000-0000-00001C590000}"/>
    <cellStyle name="r_Investment Summary Sheet  6 9 08 (Draft)_Apollo Investment Fund IV  April Priority Return" xfId="22805" xr:uid="{00000000-0005-0000-0000-00001D590000}"/>
    <cellStyle name="r_Investment Summary Sheet  6 9 08 (Draft)_Carry Calculation" xfId="22806" xr:uid="{00000000-0005-0000-0000-00001E590000}"/>
    <cellStyle name="r_Investment Summary Sheet  6 9 08 (Draft)_Fund IV" xfId="22807" xr:uid="{00000000-0005-0000-0000-00001F590000}"/>
    <cellStyle name="r_Investment Summary Sheet  6 9 08 (Draft)_Fund IV 9.30.08" xfId="22808" xr:uid="{00000000-0005-0000-0000-000020590000}"/>
    <cellStyle name="r_Investment Summary Sheet  6 9 08 (Draft)_Fund IV_1" xfId="22809" xr:uid="{00000000-0005-0000-0000-000021590000}"/>
    <cellStyle name="r_Investment Summary Sheet  6 9 08 (Draft)_Funds IV Clawback Adjustment Summary" xfId="22810" xr:uid="{00000000-0005-0000-0000-000022590000}"/>
    <cellStyle name="r_Investment Summary Sheet  6 9 08 (Draft)_Funds IV Clawback Value Adjustment" xfId="22811" xr:uid="{00000000-0005-0000-0000-000023590000}"/>
    <cellStyle name="r_Investment Summary Sheet  6 9 08 (Draft)_Invested Capital Debt Worksheet" xfId="22812" xr:uid="{00000000-0005-0000-0000-000024590000}"/>
    <cellStyle name="r_Investment Summary Sheet  6 9 08 (Draft)_MMF Income" xfId="22813" xr:uid="{00000000-0005-0000-0000-000025590000}"/>
    <cellStyle name="r_Investment Summary Sheet  6 9 08 (Draft)_PR Calc" xfId="22814" xr:uid="{00000000-0005-0000-0000-000026590000}"/>
    <cellStyle name="r_Investment Summary Sheet  7 10 08 (Q2)" xfId="22815" xr:uid="{00000000-0005-0000-0000-000027590000}"/>
    <cellStyle name="r_Investment Summary Sheet  7 10 08 (Q2) 10" xfId="22816" xr:uid="{00000000-0005-0000-0000-000028590000}"/>
    <cellStyle name="r_Investment Summary Sheet  7 10 08 (Q2) 11" xfId="22817" xr:uid="{00000000-0005-0000-0000-000029590000}"/>
    <cellStyle name="r_Investment Summary Sheet  7 10 08 (Q2) 12" xfId="22818" xr:uid="{00000000-0005-0000-0000-00002A590000}"/>
    <cellStyle name="r_Investment Summary Sheet  7 10 08 (Q2) 13" xfId="22819" xr:uid="{00000000-0005-0000-0000-00002B590000}"/>
    <cellStyle name="r_Investment Summary Sheet  7 10 08 (Q2) 14" xfId="22820" xr:uid="{00000000-0005-0000-0000-00002C590000}"/>
    <cellStyle name="r_Investment Summary Sheet  7 10 08 (Q2) 15" xfId="22821" xr:uid="{00000000-0005-0000-0000-00002D590000}"/>
    <cellStyle name="r_Investment Summary Sheet  7 10 08 (Q2) 16" xfId="22822" xr:uid="{00000000-0005-0000-0000-00002E590000}"/>
    <cellStyle name="r_Investment Summary Sheet  7 10 08 (Q2) 17" xfId="22823" xr:uid="{00000000-0005-0000-0000-00002F590000}"/>
    <cellStyle name="r_Investment Summary Sheet  7 10 08 (Q2) 18" xfId="22824" xr:uid="{00000000-0005-0000-0000-000030590000}"/>
    <cellStyle name="r_Investment Summary Sheet  7 10 08 (Q2) 19" xfId="22825" xr:uid="{00000000-0005-0000-0000-000031590000}"/>
    <cellStyle name="r_Investment Summary Sheet  7 10 08 (Q2) 2" xfId="22826" xr:uid="{00000000-0005-0000-0000-000032590000}"/>
    <cellStyle name="r_Investment Summary Sheet  7 10 08 (Q2) 20" xfId="22827" xr:uid="{00000000-0005-0000-0000-000033590000}"/>
    <cellStyle name="r_Investment Summary Sheet  7 10 08 (Q2) 21" xfId="22828" xr:uid="{00000000-0005-0000-0000-000034590000}"/>
    <cellStyle name="r_Investment Summary Sheet  7 10 08 (Q2) 3" xfId="22829" xr:uid="{00000000-0005-0000-0000-000035590000}"/>
    <cellStyle name="r_Investment Summary Sheet  7 10 08 (Q2) 4" xfId="22830" xr:uid="{00000000-0005-0000-0000-000036590000}"/>
    <cellStyle name="r_Investment Summary Sheet  7 10 08 (Q2) 5" xfId="22831" xr:uid="{00000000-0005-0000-0000-000037590000}"/>
    <cellStyle name="r_Investment Summary Sheet  7 10 08 (Q2) 6" xfId="22832" xr:uid="{00000000-0005-0000-0000-000038590000}"/>
    <cellStyle name="r_Investment Summary Sheet  7 10 08 (Q2) 7" xfId="22833" xr:uid="{00000000-0005-0000-0000-000039590000}"/>
    <cellStyle name="r_Investment Summary Sheet  7 10 08 (Q2) 8" xfId="22834" xr:uid="{00000000-0005-0000-0000-00003A590000}"/>
    <cellStyle name="r_Investment Summary Sheet  7 10 08 (Q2) 9" xfId="22835" xr:uid="{00000000-0005-0000-0000-00003B590000}"/>
    <cellStyle name="r_Investment Summary Sheet  7 10 08 (Q2)_AIF VI - BondcoVI_Entities Invested Capital (CURRENT)" xfId="22836" xr:uid="{00000000-0005-0000-0000-00003C590000}"/>
    <cellStyle name="r_Investment Summary Sheet  7 10 08 (Q2)_Invested Capital Debt Worksheet" xfId="22837" xr:uid="{00000000-0005-0000-0000-00003D590000}"/>
    <cellStyle name="r_Investment Summary Sheet  7 10 08 (Q2)_MMF Income" xfId="22838" xr:uid="{00000000-0005-0000-0000-00003E590000}"/>
    <cellStyle name="r_Investment Summary Sheet  7 11 08 (Q2- DRAFT)" xfId="22839" xr:uid="{00000000-0005-0000-0000-00003F590000}"/>
    <cellStyle name="r_Investment Summary Sheet  7 11 08 (Q2- DRAFT) (2)" xfId="22840" xr:uid="{00000000-0005-0000-0000-000040590000}"/>
    <cellStyle name="r_Investment Summary Sheet  7 11 08 (Q2- DRAFT) (2) 2" xfId="22841" xr:uid="{00000000-0005-0000-0000-000041590000}"/>
    <cellStyle name="r_Investment Summary Sheet  7 11 08 (Q2- DRAFT) (2)_{6} Carry" xfId="22842" xr:uid="{00000000-0005-0000-0000-000042590000}"/>
    <cellStyle name="r_Investment Summary Sheet  7 11 08 (Q2- DRAFT) (2)_AIF IV Financial Highlights 12-31-08 v4" xfId="22843" xr:uid="{00000000-0005-0000-0000-000043590000}"/>
    <cellStyle name="r_Investment Summary Sheet  7 11 08 (Q2- DRAFT) (2)_AIF IV Financial Highlights 12-31-08 v4_Apollo Investment Fund IV  Q3 2009 Capital Analysis CURRENT" xfId="22844" xr:uid="{00000000-0005-0000-0000-000044590000}"/>
    <cellStyle name="r_Investment Summary Sheet  7 11 08 (Q2- DRAFT) (2)_AIF IV Financial Highlights 12-31-08 v4_Apollo Investment Fund IV  Q3 2009 Capital Analysis iPCS &amp; URI Distribution" xfId="22845" xr:uid="{00000000-0005-0000-0000-000045590000}"/>
    <cellStyle name="r_Investment Summary Sheet  7 11 08 (Q2- DRAFT) (2)_AIF IV Financial Highlights 12-31-08 v4_iPCs#1-Remaining" xfId="22846" xr:uid="{00000000-0005-0000-0000-000046590000}"/>
    <cellStyle name="r_Investment Summary Sheet  7 11 08 (Q2- DRAFT) (2)_AIF VI - BondcoVI_Entities Invested Capital (CURRENT)" xfId="22847" xr:uid="{00000000-0005-0000-0000-000047590000}"/>
    <cellStyle name="r_Investment Summary Sheet  7 11 08 (Q2- DRAFT) (2)_Invested Capital Debt Worksheet" xfId="22848" xr:uid="{00000000-0005-0000-0000-000048590000}"/>
    <cellStyle name="r_Investment Summary Sheet  7 11 08 (Q2- DRAFT) (2)_MMF Income" xfId="22849" xr:uid="{00000000-0005-0000-0000-000049590000}"/>
    <cellStyle name="r_Investment Summary Sheet  7 11 08 (Q2- DRAFT) (2)_Partners Capital Q1 2009" xfId="22850" xr:uid="{00000000-0005-0000-0000-00004A590000}"/>
    <cellStyle name="r_Investment Summary Sheet  7 11 08 (Q2- DRAFT) (2)_Partners Capital Q1 2009 2" xfId="22851" xr:uid="{00000000-0005-0000-0000-00004B590000}"/>
    <cellStyle name="r_Investment Summary Sheet  7 11 08 (Q2- DRAFT) (2)_Partners Capital Q1 2009_MMF Income" xfId="22852" xr:uid="{00000000-0005-0000-0000-00004C590000}"/>
    <cellStyle name="r_Investment Summary Sheet  7 11 08 (Q2- DRAFT) (2)_PR Calc - DOMESTIC" xfId="22853" xr:uid="{00000000-0005-0000-0000-00004D590000}"/>
    <cellStyle name="r_Investment Summary Sheet  7 11 08 (Q2- DRAFT) 10" xfId="22854" xr:uid="{00000000-0005-0000-0000-00004E590000}"/>
    <cellStyle name="r_Investment Summary Sheet  7 11 08 (Q2- DRAFT) 11" xfId="22855" xr:uid="{00000000-0005-0000-0000-00004F590000}"/>
    <cellStyle name="r_Investment Summary Sheet  7 11 08 (Q2- DRAFT) 12" xfId="22856" xr:uid="{00000000-0005-0000-0000-000050590000}"/>
    <cellStyle name="r_Investment Summary Sheet  7 11 08 (Q2- DRAFT) 13" xfId="22857" xr:uid="{00000000-0005-0000-0000-000051590000}"/>
    <cellStyle name="r_Investment Summary Sheet  7 11 08 (Q2- DRAFT) 14" xfId="22858" xr:uid="{00000000-0005-0000-0000-000052590000}"/>
    <cellStyle name="r_Investment Summary Sheet  7 11 08 (Q2- DRAFT) 15" xfId="22859" xr:uid="{00000000-0005-0000-0000-000053590000}"/>
    <cellStyle name="r_Investment Summary Sheet  7 11 08 (Q2- DRAFT) 16" xfId="22860" xr:uid="{00000000-0005-0000-0000-000054590000}"/>
    <cellStyle name="r_Investment Summary Sheet  7 11 08 (Q2- DRAFT) 17" xfId="22861" xr:uid="{00000000-0005-0000-0000-000055590000}"/>
    <cellStyle name="r_Investment Summary Sheet  7 11 08 (Q2- DRAFT) 18" xfId="22862" xr:uid="{00000000-0005-0000-0000-000056590000}"/>
    <cellStyle name="r_Investment Summary Sheet  7 11 08 (Q2- DRAFT) 19" xfId="22863" xr:uid="{00000000-0005-0000-0000-000057590000}"/>
    <cellStyle name="r_Investment Summary Sheet  7 11 08 (Q2- DRAFT) 2" xfId="22864" xr:uid="{00000000-0005-0000-0000-000058590000}"/>
    <cellStyle name="r_Investment Summary Sheet  7 11 08 (Q2- DRAFT) 20" xfId="22865" xr:uid="{00000000-0005-0000-0000-000059590000}"/>
    <cellStyle name="r_Investment Summary Sheet  7 11 08 (Q2- DRAFT) 21" xfId="22866" xr:uid="{00000000-0005-0000-0000-00005A590000}"/>
    <cellStyle name="r_Investment Summary Sheet  7 11 08 (Q2- DRAFT) 3" xfId="22867" xr:uid="{00000000-0005-0000-0000-00005B590000}"/>
    <cellStyle name="r_Investment Summary Sheet  7 11 08 (Q2- DRAFT) 4" xfId="22868" xr:uid="{00000000-0005-0000-0000-00005C590000}"/>
    <cellStyle name="r_Investment Summary Sheet  7 11 08 (Q2- DRAFT) 5" xfId="22869" xr:uid="{00000000-0005-0000-0000-00005D590000}"/>
    <cellStyle name="r_Investment Summary Sheet  7 11 08 (Q2- DRAFT) 6" xfId="22870" xr:uid="{00000000-0005-0000-0000-00005E590000}"/>
    <cellStyle name="r_Investment Summary Sheet  7 11 08 (Q2- DRAFT) 7" xfId="22871" xr:uid="{00000000-0005-0000-0000-00005F590000}"/>
    <cellStyle name="r_Investment Summary Sheet  7 11 08 (Q2- DRAFT) 8" xfId="22872" xr:uid="{00000000-0005-0000-0000-000060590000}"/>
    <cellStyle name="r_Investment Summary Sheet  7 11 08 (Q2- DRAFT) 9" xfId="22873" xr:uid="{00000000-0005-0000-0000-000061590000}"/>
    <cellStyle name="r_Investment Summary Sheet  7 11 08 (Q2- DRAFT)_AIF VI - BondcoVI_Entities Invested Capital (CURRENT)" xfId="22874" xr:uid="{00000000-0005-0000-0000-000062590000}"/>
    <cellStyle name="r_Investment Summary Sheet  7 11 08 (Q2- DRAFT)_Invested Capital Debt Worksheet" xfId="22875" xr:uid="{00000000-0005-0000-0000-000063590000}"/>
    <cellStyle name="r_Investment Summary Sheet  7 11 08 (Q2- DRAFT)_MMF Income" xfId="22876" xr:uid="{00000000-0005-0000-0000-000064590000}"/>
    <cellStyle name="r_Investment Summary Sheet  7 18 08 (Q2- DRAFT)" xfId="22877" xr:uid="{00000000-0005-0000-0000-000065590000}"/>
    <cellStyle name="r_Investment Summary Sheet  7 18 08 (Q2- DRAFT) 10" xfId="22878" xr:uid="{00000000-0005-0000-0000-000066590000}"/>
    <cellStyle name="r_Investment Summary Sheet  7 18 08 (Q2- DRAFT) 11" xfId="22879" xr:uid="{00000000-0005-0000-0000-000067590000}"/>
    <cellStyle name="r_Investment Summary Sheet  7 18 08 (Q2- DRAFT) 12" xfId="22880" xr:uid="{00000000-0005-0000-0000-000068590000}"/>
    <cellStyle name="r_Investment Summary Sheet  7 18 08 (Q2- DRAFT) 13" xfId="22881" xr:uid="{00000000-0005-0000-0000-000069590000}"/>
    <cellStyle name="r_Investment Summary Sheet  7 18 08 (Q2- DRAFT) 14" xfId="22882" xr:uid="{00000000-0005-0000-0000-00006A590000}"/>
    <cellStyle name="r_Investment Summary Sheet  7 18 08 (Q2- DRAFT) 15" xfId="22883" xr:uid="{00000000-0005-0000-0000-00006B590000}"/>
    <cellStyle name="r_Investment Summary Sheet  7 18 08 (Q2- DRAFT) 16" xfId="22884" xr:uid="{00000000-0005-0000-0000-00006C590000}"/>
    <cellStyle name="r_Investment Summary Sheet  7 18 08 (Q2- DRAFT) 17" xfId="22885" xr:uid="{00000000-0005-0000-0000-00006D590000}"/>
    <cellStyle name="r_Investment Summary Sheet  7 18 08 (Q2- DRAFT) 18" xfId="22886" xr:uid="{00000000-0005-0000-0000-00006E590000}"/>
    <cellStyle name="r_Investment Summary Sheet  7 18 08 (Q2- DRAFT) 19" xfId="22887" xr:uid="{00000000-0005-0000-0000-00006F590000}"/>
    <cellStyle name="r_Investment Summary Sheet  7 18 08 (Q2- DRAFT) 2" xfId="22888" xr:uid="{00000000-0005-0000-0000-000070590000}"/>
    <cellStyle name="r_Investment Summary Sheet  7 18 08 (Q2- DRAFT) 20" xfId="22889" xr:uid="{00000000-0005-0000-0000-000071590000}"/>
    <cellStyle name="r_Investment Summary Sheet  7 18 08 (Q2- DRAFT) 21" xfId="22890" xr:uid="{00000000-0005-0000-0000-000072590000}"/>
    <cellStyle name="r_Investment Summary Sheet  7 18 08 (Q2- DRAFT) 3" xfId="22891" xr:uid="{00000000-0005-0000-0000-000073590000}"/>
    <cellStyle name="r_Investment Summary Sheet  7 18 08 (Q2- DRAFT) 4" xfId="22892" xr:uid="{00000000-0005-0000-0000-000074590000}"/>
    <cellStyle name="r_Investment Summary Sheet  7 18 08 (Q2- DRAFT) 5" xfId="22893" xr:uid="{00000000-0005-0000-0000-000075590000}"/>
    <cellStyle name="r_Investment Summary Sheet  7 18 08 (Q2- DRAFT) 6" xfId="22894" xr:uid="{00000000-0005-0000-0000-000076590000}"/>
    <cellStyle name="r_Investment Summary Sheet  7 18 08 (Q2- DRAFT) 7" xfId="22895" xr:uid="{00000000-0005-0000-0000-000077590000}"/>
    <cellStyle name="r_Investment Summary Sheet  7 18 08 (Q2- DRAFT) 8" xfId="22896" xr:uid="{00000000-0005-0000-0000-000078590000}"/>
    <cellStyle name="r_Investment Summary Sheet  7 18 08 (Q2- DRAFT) 9" xfId="22897" xr:uid="{00000000-0005-0000-0000-000079590000}"/>
    <cellStyle name="r_Investment Summary Sheet  7 18 08 (Q2- DRAFT)_AIF VI - BondcoVI_Entities Invested Capital (CURRENT)" xfId="22898" xr:uid="{00000000-0005-0000-0000-00007A590000}"/>
    <cellStyle name="r_Investment Summary Sheet  7 18 08 (Q2- DRAFT)_Invested Capital Debt Worksheet" xfId="22899" xr:uid="{00000000-0005-0000-0000-00007B590000}"/>
    <cellStyle name="r_Investment Summary Sheet  7 18 08 (Q2- DRAFT)_MMF Income" xfId="22900" xr:uid="{00000000-0005-0000-0000-00007C590000}"/>
    <cellStyle name="r_Investment Summary Sheet  7 29 08 (Q2- DRAFT)" xfId="22901" xr:uid="{00000000-0005-0000-0000-00007D590000}"/>
    <cellStyle name="r_Investment Summary Sheet  7 29 08 (Q2- DRAFT) 10" xfId="22902" xr:uid="{00000000-0005-0000-0000-00007E590000}"/>
    <cellStyle name="r_Investment Summary Sheet  7 29 08 (Q2- DRAFT) 11" xfId="22903" xr:uid="{00000000-0005-0000-0000-00007F590000}"/>
    <cellStyle name="r_Investment Summary Sheet  7 29 08 (Q2- DRAFT) 12" xfId="22904" xr:uid="{00000000-0005-0000-0000-000080590000}"/>
    <cellStyle name="r_Investment Summary Sheet  7 29 08 (Q2- DRAFT) 13" xfId="22905" xr:uid="{00000000-0005-0000-0000-000081590000}"/>
    <cellStyle name="r_Investment Summary Sheet  7 29 08 (Q2- DRAFT) 14" xfId="22906" xr:uid="{00000000-0005-0000-0000-000082590000}"/>
    <cellStyle name="r_Investment Summary Sheet  7 29 08 (Q2- DRAFT) 15" xfId="22907" xr:uid="{00000000-0005-0000-0000-000083590000}"/>
    <cellStyle name="r_Investment Summary Sheet  7 29 08 (Q2- DRAFT) 16" xfId="22908" xr:uid="{00000000-0005-0000-0000-000084590000}"/>
    <cellStyle name="r_Investment Summary Sheet  7 29 08 (Q2- DRAFT) 17" xfId="22909" xr:uid="{00000000-0005-0000-0000-000085590000}"/>
    <cellStyle name="r_Investment Summary Sheet  7 29 08 (Q2- DRAFT) 18" xfId="22910" xr:uid="{00000000-0005-0000-0000-000086590000}"/>
    <cellStyle name="r_Investment Summary Sheet  7 29 08 (Q2- DRAFT) 19" xfId="22911" xr:uid="{00000000-0005-0000-0000-000087590000}"/>
    <cellStyle name="r_Investment Summary Sheet  7 29 08 (Q2- DRAFT) 2" xfId="22912" xr:uid="{00000000-0005-0000-0000-000088590000}"/>
    <cellStyle name="r_Investment Summary Sheet  7 29 08 (Q2- DRAFT) 20" xfId="22913" xr:uid="{00000000-0005-0000-0000-000089590000}"/>
    <cellStyle name="r_Investment Summary Sheet  7 29 08 (Q2- DRAFT) 21" xfId="22914" xr:uid="{00000000-0005-0000-0000-00008A590000}"/>
    <cellStyle name="r_Investment Summary Sheet  7 29 08 (Q2- DRAFT) 3" xfId="22915" xr:uid="{00000000-0005-0000-0000-00008B590000}"/>
    <cellStyle name="r_Investment Summary Sheet  7 29 08 (Q2- DRAFT) 4" xfId="22916" xr:uid="{00000000-0005-0000-0000-00008C590000}"/>
    <cellStyle name="r_Investment Summary Sheet  7 29 08 (Q2- DRAFT) 5" xfId="22917" xr:uid="{00000000-0005-0000-0000-00008D590000}"/>
    <cellStyle name="r_Investment Summary Sheet  7 29 08 (Q2- DRAFT) 6" xfId="22918" xr:uid="{00000000-0005-0000-0000-00008E590000}"/>
    <cellStyle name="r_Investment Summary Sheet  7 29 08 (Q2- DRAFT) 7" xfId="22919" xr:uid="{00000000-0005-0000-0000-00008F590000}"/>
    <cellStyle name="r_Investment Summary Sheet  7 29 08 (Q2- DRAFT) 8" xfId="22920" xr:uid="{00000000-0005-0000-0000-000090590000}"/>
    <cellStyle name="r_Investment Summary Sheet  7 29 08 (Q2- DRAFT) 9" xfId="22921" xr:uid="{00000000-0005-0000-0000-000091590000}"/>
    <cellStyle name="r_Investment Summary Sheet  7 29 08 (Q2- DRAFT)_AIF VI - BondcoVI_Entities Invested Capital (CURRENT)" xfId="22922" xr:uid="{00000000-0005-0000-0000-000092590000}"/>
    <cellStyle name="r_Investment Summary Sheet  7 29 08 (Q2- DRAFT)_Invested Capital Debt Worksheet" xfId="22923" xr:uid="{00000000-0005-0000-0000-000093590000}"/>
    <cellStyle name="r_Investment Summary Sheet  7 29 08 (Q2- DRAFT)_MMF Income" xfId="22924" xr:uid="{00000000-0005-0000-0000-000094590000}"/>
    <cellStyle name="r_Investment Summary Sheet  8 26 08 (July-2008)" xfId="22925" xr:uid="{00000000-0005-0000-0000-000095590000}"/>
    <cellStyle name="r_Investment Summary Sheet  8 26 08 (July-2008) 2" xfId="22926" xr:uid="{00000000-0005-0000-0000-000096590000}"/>
    <cellStyle name="r_Investment Summary Sheet  8 26 08 (July-2008)_{6} Carry" xfId="22927" xr:uid="{00000000-0005-0000-0000-000097590000}"/>
    <cellStyle name="r_Investment Summary Sheet  8 26 08 (July-2008)_AIF IV Financial Highlights 12-31-08 v4" xfId="22928" xr:uid="{00000000-0005-0000-0000-000098590000}"/>
    <cellStyle name="r_Investment Summary Sheet  8 26 08 (July-2008)_AIF IV Financial Highlights 12-31-08 v4_Apollo Investment Fund IV  Q3 2009 Capital Analysis CURRENT" xfId="22929" xr:uid="{00000000-0005-0000-0000-000099590000}"/>
    <cellStyle name="r_Investment Summary Sheet  8 26 08 (July-2008)_AIF IV Financial Highlights 12-31-08 v4_Apollo Investment Fund IV  Q3 2009 Capital Analysis iPCS &amp; URI Distribution" xfId="22930" xr:uid="{00000000-0005-0000-0000-00009A590000}"/>
    <cellStyle name="r_Investment Summary Sheet  8 26 08 (July-2008)_AIF IV Financial Highlights 12-31-08 v4_iPCs#1-Remaining" xfId="22931" xr:uid="{00000000-0005-0000-0000-00009B590000}"/>
    <cellStyle name="r_Investment Summary Sheet  8 26 08 (July-2008)_AIF VI - BondcoVI_Entities Invested Capital (CURRENT)" xfId="22932" xr:uid="{00000000-0005-0000-0000-00009C590000}"/>
    <cellStyle name="r_Investment Summary Sheet  8 26 08 (July-2008)_Invested Capital Debt Worksheet" xfId="22933" xr:uid="{00000000-0005-0000-0000-00009D590000}"/>
    <cellStyle name="r_Investment Summary Sheet  8 26 08 (July-2008)_MMF Income" xfId="22934" xr:uid="{00000000-0005-0000-0000-00009E590000}"/>
    <cellStyle name="r_Investment Summary Sheet  8 26 08 (July-2008)_Partners Capital Q1 2009" xfId="22935" xr:uid="{00000000-0005-0000-0000-00009F590000}"/>
    <cellStyle name="r_Investment Summary Sheet  8 26 08 (July-2008)_Partners Capital Q1 2009 2" xfId="22936" xr:uid="{00000000-0005-0000-0000-0000A0590000}"/>
    <cellStyle name="r_Investment Summary Sheet  8 26 08 (July-2008)_Partners Capital Q1 2009_MMF Income" xfId="22937" xr:uid="{00000000-0005-0000-0000-0000A1590000}"/>
    <cellStyle name="r_Investment Summary Sheet  8 26 08 (July-2008)_PR Calc - DOMESTIC" xfId="22938" xr:uid="{00000000-0005-0000-0000-0000A2590000}"/>
    <cellStyle name="r_Investment Summary Sheet  8 9 08 (July-2008)" xfId="22939" xr:uid="{00000000-0005-0000-0000-0000A3590000}"/>
    <cellStyle name="r_Investment Summary Sheet  9 05 08 (August-2008)" xfId="22940" xr:uid="{00000000-0005-0000-0000-0000A4590000}"/>
    <cellStyle name="r_Investment Summary Sheet  9 05 08 (August-2008)_{6} Clawback" xfId="22941" xr:uid="{00000000-0005-0000-0000-0000A5590000}"/>
    <cellStyle name="r_Investment Summary Sheet  9 05 08 (August-2008)_AIF IV Financial Highlights 12-31-08 v4" xfId="22942" xr:uid="{00000000-0005-0000-0000-0000A6590000}"/>
    <cellStyle name="r_Investment Summary Sheet  9 05 08 (August-2008)_AIF IV Financial Highlights 12-31-08 v4_Apollo Investment Fund IV  Q3 2009 Capital Analysis CURRENT" xfId="22943" xr:uid="{00000000-0005-0000-0000-0000A7590000}"/>
    <cellStyle name="r_Investment Summary Sheet  9 05 08 (August-2008)_AIF IV Financial Highlights 12-31-08 v4_Apollo Investment Fund IV  Q3 2009 Capital Analysis iPCS &amp; URI Distribution" xfId="22944" xr:uid="{00000000-0005-0000-0000-0000A8590000}"/>
    <cellStyle name="r_Investment Summary Sheet  9 05 08 (August-2008)_AIF IV Financial Highlights 12-31-08 v4_iPCs#1-Remaining" xfId="22945" xr:uid="{00000000-0005-0000-0000-0000A9590000}"/>
    <cellStyle name="r_Investment Summary Sheet  9 05 08 (August-2008)_Andy Affrick - Schedulev2" xfId="22946" xr:uid="{00000000-0005-0000-0000-0000AA590000}"/>
    <cellStyle name="r_Investment Summary Sheet  9 05 08 (August-2008)_Apollo Investment Fund IV  April Priority Return" xfId="22947" xr:uid="{00000000-0005-0000-0000-0000AB590000}"/>
    <cellStyle name="r_Investment Summary Sheet  9 05 08 (August-2008)_Carry Calculation" xfId="22948" xr:uid="{00000000-0005-0000-0000-0000AC590000}"/>
    <cellStyle name="r_Investment Summary Sheet  9 05 08 (August-2008)_Fund IV" xfId="22949" xr:uid="{00000000-0005-0000-0000-0000AD590000}"/>
    <cellStyle name="r_Investment Summary Sheet  9 05 08 (August-2008)_Fund IV 9.30.08" xfId="22950" xr:uid="{00000000-0005-0000-0000-0000AE590000}"/>
    <cellStyle name="r_Investment Summary Sheet  9 05 08 (August-2008)_Fund IV_1" xfId="22951" xr:uid="{00000000-0005-0000-0000-0000AF590000}"/>
    <cellStyle name="r_Investment Summary Sheet  9 05 08 (August-2008)_Funds IV Clawback Adjustment Summary" xfId="22952" xr:uid="{00000000-0005-0000-0000-0000B0590000}"/>
    <cellStyle name="r_Investment Summary Sheet  9 05 08 (August-2008)_Funds IV Clawback Value Adjustment" xfId="22953" xr:uid="{00000000-0005-0000-0000-0000B1590000}"/>
    <cellStyle name="r_Investment Summary Sheet  9 05 08 (August-2008)_PR Calc" xfId="22954" xr:uid="{00000000-0005-0000-0000-0000B2590000}"/>
    <cellStyle name="r_Investment Summary Sheet 7 09 08 (Q2) PE" xfId="22955" xr:uid="{00000000-0005-0000-0000-0000B3590000}"/>
    <cellStyle name="r_Investment Summary Sheet 7 09 08 (Q2) PE 10" xfId="22956" xr:uid="{00000000-0005-0000-0000-0000B4590000}"/>
    <cellStyle name="r_Investment Summary Sheet 7 09 08 (Q2) PE 11" xfId="22957" xr:uid="{00000000-0005-0000-0000-0000B5590000}"/>
    <cellStyle name="r_Investment Summary Sheet 7 09 08 (Q2) PE 12" xfId="22958" xr:uid="{00000000-0005-0000-0000-0000B6590000}"/>
    <cellStyle name="r_Investment Summary Sheet 7 09 08 (Q2) PE 13" xfId="22959" xr:uid="{00000000-0005-0000-0000-0000B7590000}"/>
    <cellStyle name="r_Investment Summary Sheet 7 09 08 (Q2) PE 14" xfId="22960" xr:uid="{00000000-0005-0000-0000-0000B8590000}"/>
    <cellStyle name="r_Investment Summary Sheet 7 09 08 (Q2) PE 15" xfId="22961" xr:uid="{00000000-0005-0000-0000-0000B9590000}"/>
    <cellStyle name="r_Investment Summary Sheet 7 09 08 (Q2) PE 16" xfId="22962" xr:uid="{00000000-0005-0000-0000-0000BA590000}"/>
    <cellStyle name="r_Investment Summary Sheet 7 09 08 (Q2) PE 17" xfId="22963" xr:uid="{00000000-0005-0000-0000-0000BB590000}"/>
    <cellStyle name="r_Investment Summary Sheet 7 09 08 (Q2) PE 18" xfId="22964" xr:uid="{00000000-0005-0000-0000-0000BC590000}"/>
    <cellStyle name="r_Investment Summary Sheet 7 09 08 (Q2) PE 19" xfId="22965" xr:uid="{00000000-0005-0000-0000-0000BD590000}"/>
    <cellStyle name="r_Investment Summary Sheet 7 09 08 (Q2) PE 2" xfId="22966" xr:uid="{00000000-0005-0000-0000-0000BE590000}"/>
    <cellStyle name="r_Investment Summary Sheet 7 09 08 (Q2) PE 20" xfId="22967" xr:uid="{00000000-0005-0000-0000-0000BF590000}"/>
    <cellStyle name="r_Investment Summary Sheet 7 09 08 (Q2) PE 21" xfId="22968" xr:uid="{00000000-0005-0000-0000-0000C0590000}"/>
    <cellStyle name="r_Investment Summary Sheet 7 09 08 (Q2) PE 3" xfId="22969" xr:uid="{00000000-0005-0000-0000-0000C1590000}"/>
    <cellStyle name="r_Investment Summary Sheet 7 09 08 (Q2) PE 4" xfId="22970" xr:uid="{00000000-0005-0000-0000-0000C2590000}"/>
    <cellStyle name="r_Investment Summary Sheet 7 09 08 (Q2) PE 5" xfId="22971" xr:uid="{00000000-0005-0000-0000-0000C3590000}"/>
    <cellStyle name="r_Investment Summary Sheet 7 09 08 (Q2) PE 6" xfId="22972" xr:uid="{00000000-0005-0000-0000-0000C4590000}"/>
    <cellStyle name="r_Investment Summary Sheet 7 09 08 (Q2) PE 7" xfId="22973" xr:uid="{00000000-0005-0000-0000-0000C5590000}"/>
    <cellStyle name="r_Investment Summary Sheet 7 09 08 (Q2) PE 8" xfId="22974" xr:uid="{00000000-0005-0000-0000-0000C6590000}"/>
    <cellStyle name="r_Investment Summary Sheet 7 09 08 (Q2) PE 9" xfId="22975" xr:uid="{00000000-0005-0000-0000-0000C7590000}"/>
    <cellStyle name="r_Investment Summary Sheet 7 09 08 (Q2) PE_AIF VI - BondcoVI_Entities Invested Capital (CURRENT)" xfId="22976" xr:uid="{00000000-0005-0000-0000-0000C8590000}"/>
    <cellStyle name="r_Investment Summary Sheet 7 09 08 (Q2) PE_Invested Capital Debt Worksheet" xfId="22977" xr:uid="{00000000-0005-0000-0000-0000C9590000}"/>
    <cellStyle name="r_Investment Summary Sheet 7 09 08 (Q2) PE_MMF Income" xfId="22978" xr:uid="{00000000-0005-0000-0000-0000CA590000}"/>
    <cellStyle name="r_Master Valuations Summary 2.25.01" xfId="22979" xr:uid="{00000000-0005-0000-0000-0000CB590000}"/>
    <cellStyle name="r_PR Calc" xfId="22980" xr:uid="{00000000-0005-0000-0000-0000CC590000}"/>
    <cellStyle name="r_PR Calc - DOMESTIC" xfId="22981" xr:uid="{00000000-0005-0000-0000-0000CD590000}"/>
    <cellStyle name="r_Sheet1" xfId="22982" xr:uid="{00000000-0005-0000-0000-0000CE590000}"/>
    <cellStyle name="r_Val" xfId="22983" xr:uid="{00000000-0005-0000-0000-0000CF590000}"/>
    <cellStyle name="r_Val 2" xfId="22984" xr:uid="{00000000-0005-0000-0000-0000D0590000}"/>
    <cellStyle name="r_Val 8-31-08" xfId="22985" xr:uid="{00000000-0005-0000-0000-0000D1590000}"/>
    <cellStyle name="r_Val 8-31-08 10" xfId="22986" xr:uid="{00000000-0005-0000-0000-0000D2590000}"/>
    <cellStyle name="r_Val 8-31-08 11" xfId="22987" xr:uid="{00000000-0005-0000-0000-0000D3590000}"/>
    <cellStyle name="r_Val 8-31-08 12" xfId="22988" xr:uid="{00000000-0005-0000-0000-0000D4590000}"/>
    <cellStyle name="r_Val 8-31-08 13" xfId="22989" xr:uid="{00000000-0005-0000-0000-0000D5590000}"/>
    <cellStyle name="r_Val 8-31-08 14" xfId="22990" xr:uid="{00000000-0005-0000-0000-0000D6590000}"/>
    <cellStyle name="r_Val 8-31-08 15" xfId="22991" xr:uid="{00000000-0005-0000-0000-0000D7590000}"/>
    <cellStyle name="r_Val 8-31-08 16" xfId="22992" xr:uid="{00000000-0005-0000-0000-0000D8590000}"/>
    <cellStyle name="r_Val 8-31-08 17" xfId="22993" xr:uid="{00000000-0005-0000-0000-0000D9590000}"/>
    <cellStyle name="r_Val 8-31-08 18" xfId="22994" xr:uid="{00000000-0005-0000-0000-0000DA590000}"/>
    <cellStyle name="r_Val 8-31-08 19" xfId="22995" xr:uid="{00000000-0005-0000-0000-0000DB590000}"/>
    <cellStyle name="r_Val 8-31-08 2" xfId="22996" xr:uid="{00000000-0005-0000-0000-0000DC590000}"/>
    <cellStyle name="r_Val 8-31-08 20" xfId="22997" xr:uid="{00000000-0005-0000-0000-0000DD590000}"/>
    <cellStyle name="r_Val 8-31-08 21" xfId="22998" xr:uid="{00000000-0005-0000-0000-0000DE590000}"/>
    <cellStyle name="r_Val 8-31-08 21 2" xfId="22999" xr:uid="{00000000-0005-0000-0000-0000DF590000}"/>
    <cellStyle name="r_Val 8-31-08 3" xfId="23000" xr:uid="{00000000-0005-0000-0000-0000E0590000}"/>
    <cellStyle name="r_Val 8-31-08 4" xfId="23001" xr:uid="{00000000-0005-0000-0000-0000E1590000}"/>
    <cellStyle name="r_Val 8-31-08 5" xfId="23002" xr:uid="{00000000-0005-0000-0000-0000E2590000}"/>
    <cellStyle name="r_Val 8-31-08 6" xfId="23003" xr:uid="{00000000-0005-0000-0000-0000E3590000}"/>
    <cellStyle name="r_Val 8-31-08 7" xfId="23004" xr:uid="{00000000-0005-0000-0000-0000E4590000}"/>
    <cellStyle name="r_Val 8-31-08 8" xfId="23005" xr:uid="{00000000-0005-0000-0000-0000E5590000}"/>
    <cellStyle name="r_Val 8-31-08 9" xfId="23006" xr:uid="{00000000-0005-0000-0000-0000E6590000}"/>
    <cellStyle name="r_Val 8-31-08_AIF VI - BondcoVI_Entities Invested Capital (CURRENT)" xfId="23007" xr:uid="{00000000-0005-0000-0000-0000E7590000}"/>
    <cellStyle name="r_Val 8-31-08_Invested Capital Debt Worksheet" xfId="23008" xr:uid="{00000000-0005-0000-0000-0000E8590000}"/>
    <cellStyle name="r_Val 8-31-08_MMF Income" xfId="23009" xr:uid="{00000000-0005-0000-0000-0000E9590000}"/>
    <cellStyle name="r_Val_AIF VI - BondcoVI_Entities Invested Capital (CURRENT)" xfId="23010" xr:uid="{00000000-0005-0000-0000-0000EA590000}"/>
    <cellStyle name="r_Val_MMF Income" xfId="23011" xr:uid="{00000000-0005-0000-0000-0000EB590000}"/>
    <cellStyle name="r_Valuations Summary 2008-09-05" xfId="23012" xr:uid="{00000000-0005-0000-0000-0000EC590000}"/>
    <cellStyle name="r_Valuations Summary 2008-09-05 2" xfId="23013" xr:uid="{00000000-0005-0000-0000-0000ED590000}"/>
    <cellStyle name="r_Valuations Summary 2008-09-05_{6} Carry" xfId="23014" xr:uid="{00000000-0005-0000-0000-0000EE590000}"/>
    <cellStyle name="r_Valuations Summary 2008-09-05_AIF IV Financial Highlights 12-31-08 v4" xfId="23015" xr:uid="{00000000-0005-0000-0000-0000EF590000}"/>
    <cellStyle name="r_Valuations Summary 2008-09-05_AIF IV Financial Highlights 12-31-08 v4_Apollo Investment Fund IV  Q3 2009 Capital Analysis CURRENT" xfId="23016" xr:uid="{00000000-0005-0000-0000-0000F0590000}"/>
    <cellStyle name="r_Valuations Summary 2008-09-05_AIF IV Financial Highlights 12-31-08 v4_Apollo Investment Fund IV  Q3 2009 Capital Analysis iPCS &amp; URI Distribution" xfId="23017" xr:uid="{00000000-0005-0000-0000-0000F1590000}"/>
    <cellStyle name="r_Valuations Summary 2008-09-05_AIF IV Financial Highlights 12-31-08 v4_iPCs#1-Remaining" xfId="23018" xr:uid="{00000000-0005-0000-0000-0000F2590000}"/>
    <cellStyle name="r_Valuations Summary 2008-09-05_AIF VI - BondcoVI_Entities Invested Capital (CURRENT)" xfId="23019" xr:uid="{00000000-0005-0000-0000-0000F3590000}"/>
    <cellStyle name="r_Valuations Summary 2008-09-05_Invested Capital Debt Worksheet" xfId="23020" xr:uid="{00000000-0005-0000-0000-0000F4590000}"/>
    <cellStyle name="r_Valuations Summary 2008-09-05_MMF Income" xfId="23021" xr:uid="{00000000-0005-0000-0000-0000F5590000}"/>
    <cellStyle name="r_Valuations Summary 2008-09-05_Partners Capital Q1 2009" xfId="23022" xr:uid="{00000000-0005-0000-0000-0000F6590000}"/>
    <cellStyle name="r_Valuations Summary 2008-09-05_Partners Capital Q1 2009 2" xfId="23023" xr:uid="{00000000-0005-0000-0000-0000F7590000}"/>
    <cellStyle name="r_Valuations Summary 2008-09-05_Partners Capital Q1 2009_MMF Income" xfId="23024" xr:uid="{00000000-0005-0000-0000-0000F8590000}"/>
    <cellStyle name="r_Valuations Summary 2008-09-05_PR Calc - DOMESTIC" xfId="23025" xr:uid="{00000000-0005-0000-0000-0000F9590000}"/>
    <cellStyle name="r_Valuations Summary 2008-12-19" xfId="23026" xr:uid="{00000000-0005-0000-0000-0000FA590000}"/>
    <cellStyle name="r_Valuations Summary 2008-12-19_{6} Clawback" xfId="23027" xr:uid="{00000000-0005-0000-0000-0000FB590000}"/>
    <cellStyle name="r_Valuations Summary 2008-12-19_AIF IV Financial Highlights 12-31-08 v4" xfId="23028" xr:uid="{00000000-0005-0000-0000-0000FC590000}"/>
    <cellStyle name="r_Valuations Summary 2008-12-19_AIF IV Financial Highlights 12-31-08 v4_Apollo Investment Fund IV  Q3 2009 Capital Analysis CURRENT" xfId="23029" xr:uid="{00000000-0005-0000-0000-0000FD590000}"/>
    <cellStyle name="r_Valuations Summary 2008-12-19_AIF IV Financial Highlights 12-31-08 v4_Apollo Investment Fund IV  Q3 2009 Capital Analysis iPCS &amp; URI Distribution" xfId="23030" xr:uid="{00000000-0005-0000-0000-0000FE590000}"/>
    <cellStyle name="r_Valuations Summary 2008-12-19_AIF IV Financial Highlights 12-31-08 v4_iPCs#1-Remaining" xfId="23031" xr:uid="{00000000-0005-0000-0000-0000FF590000}"/>
    <cellStyle name="r_Valuations Summary 2008-12-19_Andy Affrick - Schedulev2" xfId="23032" xr:uid="{00000000-0005-0000-0000-0000005A0000}"/>
    <cellStyle name="r_Valuations Summary 2008-12-19_Apollo Investment Fund IV  April Priority Return" xfId="23033" xr:uid="{00000000-0005-0000-0000-0000015A0000}"/>
    <cellStyle name="r_Valuations Summary 2008-12-19_Carry Calculation" xfId="23034" xr:uid="{00000000-0005-0000-0000-0000025A0000}"/>
    <cellStyle name="r_Valuations Summary 2008-12-19_Fund IV" xfId="23035" xr:uid="{00000000-0005-0000-0000-0000035A0000}"/>
    <cellStyle name="r_Valuations Summary 2008-12-19_Fund IV 9.30.08" xfId="23036" xr:uid="{00000000-0005-0000-0000-0000045A0000}"/>
    <cellStyle name="r_Valuations Summary 2008-12-19_Fund IV_1" xfId="23037" xr:uid="{00000000-0005-0000-0000-0000055A0000}"/>
    <cellStyle name="r_Valuations Summary 2008-12-19_Funds IV Clawback Adjustment Summary" xfId="23038" xr:uid="{00000000-0005-0000-0000-0000065A0000}"/>
    <cellStyle name="r_Valuations Summary 2008-12-19_Funds IV Clawback Value Adjustment" xfId="23039" xr:uid="{00000000-0005-0000-0000-0000075A0000}"/>
    <cellStyle name="r_Valuations Summary 2008-12-19_PR Calc" xfId="23040" xr:uid="{00000000-0005-0000-0000-0000085A0000}"/>
    <cellStyle name="r_Valuations Summary 2009-05-07" xfId="23041" xr:uid="{00000000-0005-0000-0000-0000095A0000}"/>
    <cellStyle name="r_Valuations Summary 2009-05-07_Apollo Advisors IV 12-31-08 TB (Revised for Aggr PR)" xfId="23042" xr:uid="{00000000-0005-0000-0000-00000A5A0000}"/>
    <cellStyle name="r_Valuations Summary 2009-05-07_Apollo Advisors IV 6-30-09 GAAP TB" xfId="23043" xr:uid="{00000000-0005-0000-0000-00000B5A0000}"/>
    <cellStyle name="r_Valuations Summary 2009-05-07_Fund IV" xfId="23044" xr:uid="{00000000-0005-0000-0000-00000C5A0000}"/>
    <cellStyle name="r_Valuations Summary 2009-05-07_Funds IV Clawback Adjustment Summary" xfId="23045" xr:uid="{00000000-0005-0000-0000-00000D5A0000}"/>
    <cellStyle name="r_Valuations Summary 2009-05-07_Funds IV Clawback Value Adjustment" xfId="23046" xr:uid="{00000000-0005-0000-0000-00000E5A0000}"/>
    <cellStyle name="r_Valuations Summary 2009-06-26" xfId="23047" xr:uid="{00000000-0005-0000-0000-00000F5A0000}"/>
    <cellStyle name="r_Valuations Summary 2009-07-02" xfId="23048" xr:uid="{00000000-0005-0000-0000-0000105A0000}"/>
    <cellStyle name="R00A" xfId="23049" xr:uid="{00000000-0005-0000-0000-0000115A0000}"/>
    <cellStyle name="R00A 10" xfId="23050" xr:uid="{00000000-0005-0000-0000-0000125A0000}"/>
    <cellStyle name="R00A 11" xfId="23051" xr:uid="{00000000-0005-0000-0000-0000135A0000}"/>
    <cellStyle name="R00A 12" xfId="23052" xr:uid="{00000000-0005-0000-0000-0000145A0000}"/>
    <cellStyle name="R00A 13" xfId="23053" xr:uid="{00000000-0005-0000-0000-0000155A0000}"/>
    <cellStyle name="R00A 14" xfId="23054" xr:uid="{00000000-0005-0000-0000-0000165A0000}"/>
    <cellStyle name="R00A 15" xfId="23055" xr:uid="{00000000-0005-0000-0000-0000175A0000}"/>
    <cellStyle name="R00A 16" xfId="23056" xr:uid="{00000000-0005-0000-0000-0000185A0000}"/>
    <cellStyle name="R00A 17" xfId="23057" xr:uid="{00000000-0005-0000-0000-0000195A0000}"/>
    <cellStyle name="R00A 18" xfId="23058" xr:uid="{00000000-0005-0000-0000-00001A5A0000}"/>
    <cellStyle name="R00A 19" xfId="23059" xr:uid="{00000000-0005-0000-0000-00001B5A0000}"/>
    <cellStyle name="R00A 2" xfId="23060" xr:uid="{00000000-0005-0000-0000-00001C5A0000}"/>
    <cellStyle name="R00A 20" xfId="23061" xr:uid="{00000000-0005-0000-0000-00001D5A0000}"/>
    <cellStyle name="R00A 21" xfId="23062" xr:uid="{00000000-0005-0000-0000-00001E5A0000}"/>
    <cellStyle name="R00A 21 2" xfId="23063" xr:uid="{00000000-0005-0000-0000-00001F5A0000}"/>
    <cellStyle name="R00A 3" xfId="23064" xr:uid="{00000000-0005-0000-0000-0000205A0000}"/>
    <cellStyle name="R00A 4" xfId="23065" xr:uid="{00000000-0005-0000-0000-0000215A0000}"/>
    <cellStyle name="R00A 5" xfId="23066" xr:uid="{00000000-0005-0000-0000-0000225A0000}"/>
    <cellStyle name="R00A 6" xfId="23067" xr:uid="{00000000-0005-0000-0000-0000235A0000}"/>
    <cellStyle name="R00A 7" xfId="23068" xr:uid="{00000000-0005-0000-0000-0000245A0000}"/>
    <cellStyle name="R00A 8" xfId="23069" xr:uid="{00000000-0005-0000-0000-0000255A0000}"/>
    <cellStyle name="R00A 9" xfId="23070" xr:uid="{00000000-0005-0000-0000-0000265A0000}"/>
    <cellStyle name="R00B" xfId="23071" xr:uid="{00000000-0005-0000-0000-0000275A0000}"/>
    <cellStyle name="R00B 10" xfId="23072" xr:uid="{00000000-0005-0000-0000-0000285A0000}"/>
    <cellStyle name="R00B 11" xfId="23073" xr:uid="{00000000-0005-0000-0000-0000295A0000}"/>
    <cellStyle name="R00B 12" xfId="23074" xr:uid="{00000000-0005-0000-0000-00002A5A0000}"/>
    <cellStyle name="R00B 13" xfId="23075" xr:uid="{00000000-0005-0000-0000-00002B5A0000}"/>
    <cellStyle name="R00B 14" xfId="23076" xr:uid="{00000000-0005-0000-0000-00002C5A0000}"/>
    <cellStyle name="R00B 15" xfId="23077" xr:uid="{00000000-0005-0000-0000-00002D5A0000}"/>
    <cellStyle name="R00B 16" xfId="23078" xr:uid="{00000000-0005-0000-0000-00002E5A0000}"/>
    <cellStyle name="R00B 17" xfId="23079" xr:uid="{00000000-0005-0000-0000-00002F5A0000}"/>
    <cellStyle name="R00B 18" xfId="23080" xr:uid="{00000000-0005-0000-0000-0000305A0000}"/>
    <cellStyle name="R00B 19" xfId="23081" xr:uid="{00000000-0005-0000-0000-0000315A0000}"/>
    <cellStyle name="R00B 2" xfId="23082" xr:uid="{00000000-0005-0000-0000-0000325A0000}"/>
    <cellStyle name="R00B 20" xfId="23083" xr:uid="{00000000-0005-0000-0000-0000335A0000}"/>
    <cellStyle name="R00B 21" xfId="23084" xr:uid="{00000000-0005-0000-0000-0000345A0000}"/>
    <cellStyle name="R00B 21 2" xfId="23085" xr:uid="{00000000-0005-0000-0000-0000355A0000}"/>
    <cellStyle name="R00B 3" xfId="23086" xr:uid="{00000000-0005-0000-0000-0000365A0000}"/>
    <cellStyle name="R00B 4" xfId="23087" xr:uid="{00000000-0005-0000-0000-0000375A0000}"/>
    <cellStyle name="R00B 5" xfId="23088" xr:uid="{00000000-0005-0000-0000-0000385A0000}"/>
    <cellStyle name="R00B 6" xfId="23089" xr:uid="{00000000-0005-0000-0000-0000395A0000}"/>
    <cellStyle name="R00B 7" xfId="23090" xr:uid="{00000000-0005-0000-0000-00003A5A0000}"/>
    <cellStyle name="R00B 8" xfId="23091" xr:uid="{00000000-0005-0000-0000-00003B5A0000}"/>
    <cellStyle name="R00B 9" xfId="23092" xr:uid="{00000000-0005-0000-0000-00003C5A0000}"/>
    <cellStyle name="R00L" xfId="23093" xr:uid="{00000000-0005-0000-0000-00003D5A0000}"/>
    <cellStyle name="R00L 10" xfId="23094" xr:uid="{00000000-0005-0000-0000-00003E5A0000}"/>
    <cellStyle name="R00L 11" xfId="23095" xr:uid="{00000000-0005-0000-0000-00003F5A0000}"/>
    <cellStyle name="R00L 12" xfId="23096" xr:uid="{00000000-0005-0000-0000-0000405A0000}"/>
    <cellStyle name="R00L 13" xfId="23097" xr:uid="{00000000-0005-0000-0000-0000415A0000}"/>
    <cellStyle name="R00L 14" xfId="23098" xr:uid="{00000000-0005-0000-0000-0000425A0000}"/>
    <cellStyle name="R00L 15" xfId="23099" xr:uid="{00000000-0005-0000-0000-0000435A0000}"/>
    <cellStyle name="R00L 16" xfId="23100" xr:uid="{00000000-0005-0000-0000-0000445A0000}"/>
    <cellStyle name="R00L 17" xfId="23101" xr:uid="{00000000-0005-0000-0000-0000455A0000}"/>
    <cellStyle name="R00L 18" xfId="23102" xr:uid="{00000000-0005-0000-0000-0000465A0000}"/>
    <cellStyle name="R00L 19" xfId="23103" xr:uid="{00000000-0005-0000-0000-0000475A0000}"/>
    <cellStyle name="R00L 2" xfId="23104" xr:uid="{00000000-0005-0000-0000-0000485A0000}"/>
    <cellStyle name="R00L 20" xfId="23105" xr:uid="{00000000-0005-0000-0000-0000495A0000}"/>
    <cellStyle name="R00L 21" xfId="23106" xr:uid="{00000000-0005-0000-0000-00004A5A0000}"/>
    <cellStyle name="R00L 21 2" xfId="23107" xr:uid="{00000000-0005-0000-0000-00004B5A0000}"/>
    <cellStyle name="R00L 3" xfId="23108" xr:uid="{00000000-0005-0000-0000-00004C5A0000}"/>
    <cellStyle name="R00L 4" xfId="23109" xr:uid="{00000000-0005-0000-0000-00004D5A0000}"/>
    <cellStyle name="R00L 5" xfId="23110" xr:uid="{00000000-0005-0000-0000-00004E5A0000}"/>
    <cellStyle name="R00L 6" xfId="23111" xr:uid="{00000000-0005-0000-0000-00004F5A0000}"/>
    <cellStyle name="R00L 7" xfId="23112" xr:uid="{00000000-0005-0000-0000-0000505A0000}"/>
    <cellStyle name="R00L 8" xfId="23113" xr:uid="{00000000-0005-0000-0000-0000515A0000}"/>
    <cellStyle name="R00L 9" xfId="23114" xr:uid="{00000000-0005-0000-0000-0000525A0000}"/>
    <cellStyle name="R01A" xfId="23115" xr:uid="{00000000-0005-0000-0000-0000535A0000}"/>
    <cellStyle name="R01A 10" xfId="23116" xr:uid="{00000000-0005-0000-0000-0000545A0000}"/>
    <cellStyle name="R01A 11" xfId="23117" xr:uid="{00000000-0005-0000-0000-0000555A0000}"/>
    <cellStyle name="R01A 12" xfId="23118" xr:uid="{00000000-0005-0000-0000-0000565A0000}"/>
    <cellStyle name="R01A 13" xfId="23119" xr:uid="{00000000-0005-0000-0000-0000575A0000}"/>
    <cellStyle name="R01A 14" xfId="23120" xr:uid="{00000000-0005-0000-0000-0000585A0000}"/>
    <cellStyle name="R01A 15" xfId="23121" xr:uid="{00000000-0005-0000-0000-0000595A0000}"/>
    <cellStyle name="R01A 16" xfId="23122" xr:uid="{00000000-0005-0000-0000-00005A5A0000}"/>
    <cellStyle name="R01A 17" xfId="23123" xr:uid="{00000000-0005-0000-0000-00005B5A0000}"/>
    <cellStyle name="R01A 18" xfId="23124" xr:uid="{00000000-0005-0000-0000-00005C5A0000}"/>
    <cellStyle name="R01A 19" xfId="23125" xr:uid="{00000000-0005-0000-0000-00005D5A0000}"/>
    <cellStyle name="R01A 2" xfId="23126" xr:uid="{00000000-0005-0000-0000-00005E5A0000}"/>
    <cellStyle name="R01A 20" xfId="23127" xr:uid="{00000000-0005-0000-0000-00005F5A0000}"/>
    <cellStyle name="R01A 21" xfId="23128" xr:uid="{00000000-0005-0000-0000-0000605A0000}"/>
    <cellStyle name="R01A 21 2" xfId="23129" xr:uid="{00000000-0005-0000-0000-0000615A0000}"/>
    <cellStyle name="R01A 3" xfId="23130" xr:uid="{00000000-0005-0000-0000-0000625A0000}"/>
    <cellStyle name="R01A 4" xfId="23131" xr:uid="{00000000-0005-0000-0000-0000635A0000}"/>
    <cellStyle name="R01A 5" xfId="23132" xr:uid="{00000000-0005-0000-0000-0000645A0000}"/>
    <cellStyle name="R01A 6" xfId="23133" xr:uid="{00000000-0005-0000-0000-0000655A0000}"/>
    <cellStyle name="R01A 7" xfId="23134" xr:uid="{00000000-0005-0000-0000-0000665A0000}"/>
    <cellStyle name="R01A 8" xfId="23135" xr:uid="{00000000-0005-0000-0000-0000675A0000}"/>
    <cellStyle name="R01A 9" xfId="23136" xr:uid="{00000000-0005-0000-0000-0000685A0000}"/>
    <cellStyle name="R01B" xfId="23137" xr:uid="{00000000-0005-0000-0000-0000695A0000}"/>
    <cellStyle name="R01B 10" xfId="23138" xr:uid="{00000000-0005-0000-0000-00006A5A0000}"/>
    <cellStyle name="R01B 11" xfId="23139" xr:uid="{00000000-0005-0000-0000-00006B5A0000}"/>
    <cellStyle name="R01B 12" xfId="23140" xr:uid="{00000000-0005-0000-0000-00006C5A0000}"/>
    <cellStyle name="R01B 13" xfId="23141" xr:uid="{00000000-0005-0000-0000-00006D5A0000}"/>
    <cellStyle name="R01B 14" xfId="23142" xr:uid="{00000000-0005-0000-0000-00006E5A0000}"/>
    <cellStyle name="R01B 15" xfId="23143" xr:uid="{00000000-0005-0000-0000-00006F5A0000}"/>
    <cellStyle name="R01B 16" xfId="23144" xr:uid="{00000000-0005-0000-0000-0000705A0000}"/>
    <cellStyle name="R01B 17" xfId="23145" xr:uid="{00000000-0005-0000-0000-0000715A0000}"/>
    <cellStyle name="R01B 18" xfId="23146" xr:uid="{00000000-0005-0000-0000-0000725A0000}"/>
    <cellStyle name="R01B 19" xfId="23147" xr:uid="{00000000-0005-0000-0000-0000735A0000}"/>
    <cellStyle name="R01B 2" xfId="23148" xr:uid="{00000000-0005-0000-0000-0000745A0000}"/>
    <cellStyle name="R01B 20" xfId="23149" xr:uid="{00000000-0005-0000-0000-0000755A0000}"/>
    <cellStyle name="R01B 21" xfId="23150" xr:uid="{00000000-0005-0000-0000-0000765A0000}"/>
    <cellStyle name="R01B 21 2" xfId="23151" xr:uid="{00000000-0005-0000-0000-0000775A0000}"/>
    <cellStyle name="R01B 3" xfId="23152" xr:uid="{00000000-0005-0000-0000-0000785A0000}"/>
    <cellStyle name="R01B 4" xfId="23153" xr:uid="{00000000-0005-0000-0000-0000795A0000}"/>
    <cellStyle name="R01B 5" xfId="23154" xr:uid="{00000000-0005-0000-0000-00007A5A0000}"/>
    <cellStyle name="R01B 6" xfId="23155" xr:uid="{00000000-0005-0000-0000-00007B5A0000}"/>
    <cellStyle name="R01B 7" xfId="23156" xr:uid="{00000000-0005-0000-0000-00007C5A0000}"/>
    <cellStyle name="R01B 8" xfId="23157" xr:uid="{00000000-0005-0000-0000-00007D5A0000}"/>
    <cellStyle name="R01B 9" xfId="23158" xr:uid="{00000000-0005-0000-0000-00007E5A0000}"/>
    <cellStyle name="R01H" xfId="23159" xr:uid="{00000000-0005-0000-0000-00007F5A0000}"/>
    <cellStyle name="R01H 10" xfId="23160" xr:uid="{00000000-0005-0000-0000-0000805A0000}"/>
    <cellStyle name="R01H 11" xfId="23161" xr:uid="{00000000-0005-0000-0000-0000815A0000}"/>
    <cellStyle name="R01H 12" xfId="23162" xr:uid="{00000000-0005-0000-0000-0000825A0000}"/>
    <cellStyle name="R01H 13" xfId="23163" xr:uid="{00000000-0005-0000-0000-0000835A0000}"/>
    <cellStyle name="R01H 14" xfId="23164" xr:uid="{00000000-0005-0000-0000-0000845A0000}"/>
    <cellStyle name="R01H 15" xfId="23165" xr:uid="{00000000-0005-0000-0000-0000855A0000}"/>
    <cellStyle name="R01H 16" xfId="23166" xr:uid="{00000000-0005-0000-0000-0000865A0000}"/>
    <cellStyle name="R01H 17" xfId="23167" xr:uid="{00000000-0005-0000-0000-0000875A0000}"/>
    <cellStyle name="R01H 18" xfId="23168" xr:uid="{00000000-0005-0000-0000-0000885A0000}"/>
    <cellStyle name="R01H 19" xfId="23169" xr:uid="{00000000-0005-0000-0000-0000895A0000}"/>
    <cellStyle name="R01H 2" xfId="23170" xr:uid="{00000000-0005-0000-0000-00008A5A0000}"/>
    <cellStyle name="R01H 20" xfId="23171" xr:uid="{00000000-0005-0000-0000-00008B5A0000}"/>
    <cellStyle name="R01H 21" xfId="23172" xr:uid="{00000000-0005-0000-0000-00008C5A0000}"/>
    <cellStyle name="R01H 21 2" xfId="23173" xr:uid="{00000000-0005-0000-0000-00008D5A0000}"/>
    <cellStyle name="R01H 3" xfId="23174" xr:uid="{00000000-0005-0000-0000-00008E5A0000}"/>
    <cellStyle name="R01H 4" xfId="23175" xr:uid="{00000000-0005-0000-0000-00008F5A0000}"/>
    <cellStyle name="R01H 5" xfId="23176" xr:uid="{00000000-0005-0000-0000-0000905A0000}"/>
    <cellStyle name="R01H 6" xfId="23177" xr:uid="{00000000-0005-0000-0000-0000915A0000}"/>
    <cellStyle name="R01H 7" xfId="23178" xr:uid="{00000000-0005-0000-0000-0000925A0000}"/>
    <cellStyle name="R01H 8" xfId="23179" xr:uid="{00000000-0005-0000-0000-0000935A0000}"/>
    <cellStyle name="R01H 9" xfId="23180" xr:uid="{00000000-0005-0000-0000-0000945A0000}"/>
    <cellStyle name="R01L" xfId="23181" xr:uid="{00000000-0005-0000-0000-0000955A0000}"/>
    <cellStyle name="R01L 10" xfId="23182" xr:uid="{00000000-0005-0000-0000-0000965A0000}"/>
    <cellStyle name="R01L 11" xfId="23183" xr:uid="{00000000-0005-0000-0000-0000975A0000}"/>
    <cellStyle name="R01L 12" xfId="23184" xr:uid="{00000000-0005-0000-0000-0000985A0000}"/>
    <cellStyle name="R01L 13" xfId="23185" xr:uid="{00000000-0005-0000-0000-0000995A0000}"/>
    <cellStyle name="R01L 14" xfId="23186" xr:uid="{00000000-0005-0000-0000-00009A5A0000}"/>
    <cellStyle name="R01L 15" xfId="23187" xr:uid="{00000000-0005-0000-0000-00009B5A0000}"/>
    <cellStyle name="R01L 16" xfId="23188" xr:uid="{00000000-0005-0000-0000-00009C5A0000}"/>
    <cellStyle name="R01L 17" xfId="23189" xr:uid="{00000000-0005-0000-0000-00009D5A0000}"/>
    <cellStyle name="R01L 18" xfId="23190" xr:uid="{00000000-0005-0000-0000-00009E5A0000}"/>
    <cellStyle name="R01L 19" xfId="23191" xr:uid="{00000000-0005-0000-0000-00009F5A0000}"/>
    <cellStyle name="R01L 2" xfId="23192" xr:uid="{00000000-0005-0000-0000-0000A05A0000}"/>
    <cellStyle name="R01L 20" xfId="23193" xr:uid="{00000000-0005-0000-0000-0000A15A0000}"/>
    <cellStyle name="R01L 21" xfId="23194" xr:uid="{00000000-0005-0000-0000-0000A25A0000}"/>
    <cellStyle name="R01L 21 2" xfId="23195" xr:uid="{00000000-0005-0000-0000-0000A35A0000}"/>
    <cellStyle name="R01L 3" xfId="23196" xr:uid="{00000000-0005-0000-0000-0000A45A0000}"/>
    <cellStyle name="R01L 4" xfId="23197" xr:uid="{00000000-0005-0000-0000-0000A55A0000}"/>
    <cellStyle name="R01L 5" xfId="23198" xr:uid="{00000000-0005-0000-0000-0000A65A0000}"/>
    <cellStyle name="R01L 6" xfId="23199" xr:uid="{00000000-0005-0000-0000-0000A75A0000}"/>
    <cellStyle name="R01L 7" xfId="23200" xr:uid="{00000000-0005-0000-0000-0000A85A0000}"/>
    <cellStyle name="R01L 8" xfId="23201" xr:uid="{00000000-0005-0000-0000-0000A95A0000}"/>
    <cellStyle name="R01L 9" xfId="23202" xr:uid="{00000000-0005-0000-0000-0000AA5A0000}"/>
    <cellStyle name="R02A" xfId="23203" xr:uid="{00000000-0005-0000-0000-0000AB5A0000}"/>
    <cellStyle name="R02A 10" xfId="23204" xr:uid="{00000000-0005-0000-0000-0000AC5A0000}"/>
    <cellStyle name="R02A 11" xfId="23205" xr:uid="{00000000-0005-0000-0000-0000AD5A0000}"/>
    <cellStyle name="R02A 12" xfId="23206" xr:uid="{00000000-0005-0000-0000-0000AE5A0000}"/>
    <cellStyle name="R02A 13" xfId="23207" xr:uid="{00000000-0005-0000-0000-0000AF5A0000}"/>
    <cellStyle name="R02A 14" xfId="23208" xr:uid="{00000000-0005-0000-0000-0000B05A0000}"/>
    <cellStyle name="R02A 15" xfId="23209" xr:uid="{00000000-0005-0000-0000-0000B15A0000}"/>
    <cellStyle name="R02A 16" xfId="23210" xr:uid="{00000000-0005-0000-0000-0000B25A0000}"/>
    <cellStyle name="R02A 17" xfId="23211" xr:uid="{00000000-0005-0000-0000-0000B35A0000}"/>
    <cellStyle name="R02A 18" xfId="23212" xr:uid="{00000000-0005-0000-0000-0000B45A0000}"/>
    <cellStyle name="R02A 19" xfId="23213" xr:uid="{00000000-0005-0000-0000-0000B55A0000}"/>
    <cellStyle name="R02A 2" xfId="23214" xr:uid="{00000000-0005-0000-0000-0000B65A0000}"/>
    <cellStyle name="R02A 2 2" xfId="23215" xr:uid="{00000000-0005-0000-0000-0000B75A0000}"/>
    <cellStyle name="R02A 20" xfId="23216" xr:uid="{00000000-0005-0000-0000-0000B85A0000}"/>
    <cellStyle name="R02A 21" xfId="23217" xr:uid="{00000000-0005-0000-0000-0000B95A0000}"/>
    <cellStyle name="R02A 22" xfId="23218" xr:uid="{00000000-0005-0000-0000-0000BA5A0000}"/>
    <cellStyle name="R02A 23" xfId="23219" xr:uid="{00000000-0005-0000-0000-0000BB5A0000}"/>
    <cellStyle name="R02A 23 2" xfId="23220" xr:uid="{00000000-0005-0000-0000-0000BC5A0000}"/>
    <cellStyle name="R02A 3" xfId="23221" xr:uid="{00000000-0005-0000-0000-0000BD5A0000}"/>
    <cellStyle name="R02A 3 2" xfId="23222" xr:uid="{00000000-0005-0000-0000-0000BE5A0000}"/>
    <cellStyle name="R02A 4" xfId="23223" xr:uid="{00000000-0005-0000-0000-0000BF5A0000}"/>
    <cellStyle name="R02A 5" xfId="23224" xr:uid="{00000000-0005-0000-0000-0000C05A0000}"/>
    <cellStyle name="R02A 6" xfId="23225" xr:uid="{00000000-0005-0000-0000-0000C15A0000}"/>
    <cellStyle name="R02A 7" xfId="23226" xr:uid="{00000000-0005-0000-0000-0000C25A0000}"/>
    <cellStyle name="R02A 8" xfId="23227" xr:uid="{00000000-0005-0000-0000-0000C35A0000}"/>
    <cellStyle name="R02A 9" xfId="23228" xr:uid="{00000000-0005-0000-0000-0000C45A0000}"/>
    <cellStyle name="R02B" xfId="23229" xr:uid="{00000000-0005-0000-0000-0000C55A0000}"/>
    <cellStyle name="R02B 10" xfId="23230" xr:uid="{00000000-0005-0000-0000-0000C65A0000}"/>
    <cellStyle name="R02B 11" xfId="23231" xr:uid="{00000000-0005-0000-0000-0000C75A0000}"/>
    <cellStyle name="R02B 12" xfId="23232" xr:uid="{00000000-0005-0000-0000-0000C85A0000}"/>
    <cellStyle name="R02B 13" xfId="23233" xr:uid="{00000000-0005-0000-0000-0000C95A0000}"/>
    <cellStyle name="R02B 14" xfId="23234" xr:uid="{00000000-0005-0000-0000-0000CA5A0000}"/>
    <cellStyle name="R02B 15" xfId="23235" xr:uid="{00000000-0005-0000-0000-0000CB5A0000}"/>
    <cellStyle name="R02B 16" xfId="23236" xr:uid="{00000000-0005-0000-0000-0000CC5A0000}"/>
    <cellStyle name="R02B 17" xfId="23237" xr:uid="{00000000-0005-0000-0000-0000CD5A0000}"/>
    <cellStyle name="R02B 18" xfId="23238" xr:uid="{00000000-0005-0000-0000-0000CE5A0000}"/>
    <cellStyle name="R02B 19" xfId="23239" xr:uid="{00000000-0005-0000-0000-0000CF5A0000}"/>
    <cellStyle name="R02B 2" xfId="23240" xr:uid="{00000000-0005-0000-0000-0000D05A0000}"/>
    <cellStyle name="R02B 20" xfId="23241" xr:uid="{00000000-0005-0000-0000-0000D15A0000}"/>
    <cellStyle name="R02B 21" xfId="23242" xr:uid="{00000000-0005-0000-0000-0000D25A0000}"/>
    <cellStyle name="R02B 21 2" xfId="23243" xr:uid="{00000000-0005-0000-0000-0000D35A0000}"/>
    <cellStyle name="R02B 3" xfId="23244" xr:uid="{00000000-0005-0000-0000-0000D45A0000}"/>
    <cellStyle name="R02B 4" xfId="23245" xr:uid="{00000000-0005-0000-0000-0000D55A0000}"/>
    <cellStyle name="R02B 5" xfId="23246" xr:uid="{00000000-0005-0000-0000-0000D65A0000}"/>
    <cellStyle name="R02B 6" xfId="23247" xr:uid="{00000000-0005-0000-0000-0000D75A0000}"/>
    <cellStyle name="R02B 7" xfId="23248" xr:uid="{00000000-0005-0000-0000-0000D85A0000}"/>
    <cellStyle name="R02B 8" xfId="23249" xr:uid="{00000000-0005-0000-0000-0000D95A0000}"/>
    <cellStyle name="R02B 9" xfId="23250" xr:uid="{00000000-0005-0000-0000-0000DA5A0000}"/>
    <cellStyle name="R02H" xfId="23251" xr:uid="{00000000-0005-0000-0000-0000DB5A0000}"/>
    <cellStyle name="R02H 10" xfId="23252" xr:uid="{00000000-0005-0000-0000-0000DC5A0000}"/>
    <cellStyle name="R02H 11" xfId="23253" xr:uid="{00000000-0005-0000-0000-0000DD5A0000}"/>
    <cellStyle name="R02H 12" xfId="23254" xr:uid="{00000000-0005-0000-0000-0000DE5A0000}"/>
    <cellStyle name="R02H 13" xfId="23255" xr:uid="{00000000-0005-0000-0000-0000DF5A0000}"/>
    <cellStyle name="R02H 14" xfId="23256" xr:uid="{00000000-0005-0000-0000-0000E05A0000}"/>
    <cellStyle name="R02H 15" xfId="23257" xr:uid="{00000000-0005-0000-0000-0000E15A0000}"/>
    <cellStyle name="R02H 16" xfId="23258" xr:uid="{00000000-0005-0000-0000-0000E25A0000}"/>
    <cellStyle name="R02H 17" xfId="23259" xr:uid="{00000000-0005-0000-0000-0000E35A0000}"/>
    <cellStyle name="R02H 18" xfId="23260" xr:uid="{00000000-0005-0000-0000-0000E45A0000}"/>
    <cellStyle name="R02H 19" xfId="23261" xr:uid="{00000000-0005-0000-0000-0000E55A0000}"/>
    <cellStyle name="R02H 2" xfId="23262" xr:uid="{00000000-0005-0000-0000-0000E65A0000}"/>
    <cellStyle name="R02H 20" xfId="23263" xr:uid="{00000000-0005-0000-0000-0000E75A0000}"/>
    <cellStyle name="R02H 21" xfId="23264" xr:uid="{00000000-0005-0000-0000-0000E85A0000}"/>
    <cellStyle name="R02H 21 2" xfId="23265" xr:uid="{00000000-0005-0000-0000-0000E95A0000}"/>
    <cellStyle name="R02H 3" xfId="23266" xr:uid="{00000000-0005-0000-0000-0000EA5A0000}"/>
    <cellStyle name="R02H 4" xfId="23267" xr:uid="{00000000-0005-0000-0000-0000EB5A0000}"/>
    <cellStyle name="R02H 5" xfId="23268" xr:uid="{00000000-0005-0000-0000-0000EC5A0000}"/>
    <cellStyle name="R02H 6" xfId="23269" xr:uid="{00000000-0005-0000-0000-0000ED5A0000}"/>
    <cellStyle name="R02H 7" xfId="23270" xr:uid="{00000000-0005-0000-0000-0000EE5A0000}"/>
    <cellStyle name="R02H 8" xfId="23271" xr:uid="{00000000-0005-0000-0000-0000EF5A0000}"/>
    <cellStyle name="R02H 9" xfId="23272" xr:uid="{00000000-0005-0000-0000-0000F05A0000}"/>
    <cellStyle name="R02L" xfId="23273" xr:uid="{00000000-0005-0000-0000-0000F15A0000}"/>
    <cellStyle name="R02L 10" xfId="23274" xr:uid="{00000000-0005-0000-0000-0000F25A0000}"/>
    <cellStyle name="R02L 11" xfId="23275" xr:uid="{00000000-0005-0000-0000-0000F35A0000}"/>
    <cellStyle name="R02L 12" xfId="23276" xr:uid="{00000000-0005-0000-0000-0000F45A0000}"/>
    <cellStyle name="R02L 13" xfId="23277" xr:uid="{00000000-0005-0000-0000-0000F55A0000}"/>
    <cellStyle name="R02L 14" xfId="23278" xr:uid="{00000000-0005-0000-0000-0000F65A0000}"/>
    <cellStyle name="R02L 15" xfId="23279" xr:uid="{00000000-0005-0000-0000-0000F75A0000}"/>
    <cellStyle name="R02L 16" xfId="23280" xr:uid="{00000000-0005-0000-0000-0000F85A0000}"/>
    <cellStyle name="R02L 17" xfId="23281" xr:uid="{00000000-0005-0000-0000-0000F95A0000}"/>
    <cellStyle name="R02L 18" xfId="23282" xr:uid="{00000000-0005-0000-0000-0000FA5A0000}"/>
    <cellStyle name="R02L 19" xfId="23283" xr:uid="{00000000-0005-0000-0000-0000FB5A0000}"/>
    <cellStyle name="R02L 2" xfId="23284" xr:uid="{00000000-0005-0000-0000-0000FC5A0000}"/>
    <cellStyle name="R02L 20" xfId="23285" xr:uid="{00000000-0005-0000-0000-0000FD5A0000}"/>
    <cellStyle name="R02L 21" xfId="23286" xr:uid="{00000000-0005-0000-0000-0000FE5A0000}"/>
    <cellStyle name="R02L 21 2" xfId="23287" xr:uid="{00000000-0005-0000-0000-0000FF5A0000}"/>
    <cellStyle name="R02L 3" xfId="23288" xr:uid="{00000000-0005-0000-0000-0000005B0000}"/>
    <cellStyle name="R02L 4" xfId="23289" xr:uid="{00000000-0005-0000-0000-0000015B0000}"/>
    <cellStyle name="R02L 5" xfId="23290" xr:uid="{00000000-0005-0000-0000-0000025B0000}"/>
    <cellStyle name="R02L 6" xfId="23291" xr:uid="{00000000-0005-0000-0000-0000035B0000}"/>
    <cellStyle name="R02L 7" xfId="23292" xr:uid="{00000000-0005-0000-0000-0000045B0000}"/>
    <cellStyle name="R02L 8" xfId="23293" xr:uid="{00000000-0005-0000-0000-0000055B0000}"/>
    <cellStyle name="R02L 9" xfId="23294" xr:uid="{00000000-0005-0000-0000-0000065B0000}"/>
    <cellStyle name="R03A" xfId="23295" xr:uid="{00000000-0005-0000-0000-0000075B0000}"/>
    <cellStyle name="R03A 10" xfId="23296" xr:uid="{00000000-0005-0000-0000-0000085B0000}"/>
    <cellStyle name="R03A 11" xfId="23297" xr:uid="{00000000-0005-0000-0000-0000095B0000}"/>
    <cellStyle name="R03A 12" xfId="23298" xr:uid="{00000000-0005-0000-0000-00000A5B0000}"/>
    <cellStyle name="R03A 13" xfId="23299" xr:uid="{00000000-0005-0000-0000-00000B5B0000}"/>
    <cellStyle name="R03A 14" xfId="23300" xr:uid="{00000000-0005-0000-0000-00000C5B0000}"/>
    <cellStyle name="R03A 15" xfId="23301" xr:uid="{00000000-0005-0000-0000-00000D5B0000}"/>
    <cellStyle name="R03A 16" xfId="23302" xr:uid="{00000000-0005-0000-0000-00000E5B0000}"/>
    <cellStyle name="R03A 17" xfId="23303" xr:uid="{00000000-0005-0000-0000-00000F5B0000}"/>
    <cellStyle name="R03A 18" xfId="23304" xr:uid="{00000000-0005-0000-0000-0000105B0000}"/>
    <cellStyle name="R03A 19" xfId="23305" xr:uid="{00000000-0005-0000-0000-0000115B0000}"/>
    <cellStyle name="R03A 2" xfId="23306" xr:uid="{00000000-0005-0000-0000-0000125B0000}"/>
    <cellStyle name="R03A 20" xfId="23307" xr:uid="{00000000-0005-0000-0000-0000135B0000}"/>
    <cellStyle name="R03A 21" xfId="23308" xr:uid="{00000000-0005-0000-0000-0000145B0000}"/>
    <cellStyle name="R03A 21 2" xfId="23309" xr:uid="{00000000-0005-0000-0000-0000155B0000}"/>
    <cellStyle name="R03A 3" xfId="23310" xr:uid="{00000000-0005-0000-0000-0000165B0000}"/>
    <cellStyle name="R03A 4" xfId="23311" xr:uid="{00000000-0005-0000-0000-0000175B0000}"/>
    <cellStyle name="R03A 5" xfId="23312" xr:uid="{00000000-0005-0000-0000-0000185B0000}"/>
    <cellStyle name="R03A 6" xfId="23313" xr:uid="{00000000-0005-0000-0000-0000195B0000}"/>
    <cellStyle name="R03A 7" xfId="23314" xr:uid="{00000000-0005-0000-0000-00001A5B0000}"/>
    <cellStyle name="R03A 8" xfId="23315" xr:uid="{00000000-0005-0000-0000-00001B5B0000}"/>
    <cellStyle name="R03A 9" xfId="23316" xr:uid="{00000000-0005-0000-0000-00001C5B0000}"/>
    <cellStyle name="R03B" xfId="23317" xr:uid="{00000000-0005-0000-0000-00001D5B0000}"/>
    <cellStyle name="R03B 10" xfId="23318" xr:uid="{00000000-0005-0000-0000-00001E5B0000}"/>
    <cellStyle name="R03B 11" xfId="23319" xr:uid="{00000000-0005-0000-0000-00001F5B0000}"/>
    <cellStyle name="R03B 12" xfId="23320" xr:uid="{00000000-0005-0000-0000-0000205B0000}"/>
    <cellStyle name="R03B 13" xfId="23321" xr:uid="{00000000-0005-0000-0000-0000215B0000}"/>
    <cellStyle name="R03B 14" xfId="23322" xr:uid="{00000000-0005-0000-0000-0000225B0000}"/>
    <cellStyle name="R03B 15" xfId="23323" xr:uid="{00000000-0005-0000-0000-0000235B0000}"/>
    <cellStyle name="R03B 16" xfId="23324" xr:uid="{00000000-0005-0000-0000-0000245B0000}"/>
    <cellStyle name="R03B 17" xfId="23325" xr:uid="{00000000-0005-0000-0000-0000255B0000}"/>
    <cellStyle name="R03B 18" xfId="23326" xr:uid="{00000000-0005-0000-0000-0000265B0000}"/>
    <cellStyle name="R03B 19" xfId="23327" xr:uid="{00000000-0005-0000-0000-0000275B0000}"/>
    <cellStyle name="R03B 2" xfId="23328" xr:uid="{00000000-0005-0000-0000-0000285B0000}"/>
    <cellStyle name="R03B 20" xfId="23329" xr:uid="{00000000-0005-0000-0000-0000295B0000}"/>
    <cellStyle name="R03B 21" xfId="23330" xr:uid="{00000000-0005-0000-0000-00002A5B0000}"/>
    <cellStyle name="R03B 21 2" xfId="23331" xr:uid="{00000000-0005-0000-0000-00002B5B0000}"/>
    <cellStyle name="R03B 3" xfId="23332" xr:uid="{00000000-0005-0000-0000-00002C5B0000}"/>
    <cellStyle name="R03B 4" xfId="23333" xr:uid="{00000000-0005-0000-0000-00002D5B0000}"/>
    <cellStyle name="R03B 5" xfId="23334" xr:uid="{00000000-0005-0000-0000-00002E5B0000}"/>
    <cellStyle name="R03B 6" xfId="23335" xr:uid="{00000000-0005-0000-0000-00002F5B0000}"/>
    <cellStyle name="R03B 7" xfId="23336" xr:uid="{00000000-0005-0000-0000-0000305B0000}"/>
    <cellStyle name="R03B 8" xfId="23337" xr:uid="{00000000-0005-0000-0000-0000315B0000}"/>
    <cellStyle name="R03B 9" xfId="23338" xr:uid="{00000000-0005-0000-0000-0000325B0000}"/>
    <cellStyle name="R03H" xfId="23339" xr:uid="{00000000-0005-0000-0000-0000335B0000}"/>
    <cellStyle name="R03H 10" xfId="23340" xr:uid="{00000000-0005-0000-0000-0000345B0000}"/>
    <cellStyle name="R03H 11" xfId="23341" xr:uid="{00000000-0005-0000-0000-0000355B0000}"/>
    <cellStyle name="R03H 12" xfId="23342" xr:uid="{00000000-0005-0000-0000-0000365B0000}"/>
    <cellStyle name="R03H 13" xfId="23343" xr:uid="{00000000-0005-0000-0000-0000375B0000}"/>
    <cellStyle name="R03H 14" xfId="23344" xr:uid="{00000000-0005-0000-0000-0000385B0000}"/>
    <cellStyle name="R03H 15" xfId="23345" xr:uid="{00000000-0005-0000-0000-0000395B0000}"/>
    <cellStyle name="R03H 16" xfId="23346" xr:uid="{00000000-0005-0000-0000-00003A5B0000}"/>
    <cellStyle name="R03H 17" xfId="23347" xr:uid="{00000000-0005-0000-0000-00003B5B0000}"/>
    <cellStyle name="R03H 18" xfId="23348" xr:uid="{00000000-0005-0000-0000-00003C5B0000}"/>
    <cellStyle name="R03H 19" xfId="23349" xr:uid="{00000000-0005-0000-0000-00003D5B0000}"/>
    <cellStyle name="R03H 2" xfId="23350" xr:uid="{00000000-0005-0000-0000-00003E5B0000}"/>
    <cellStyle name="R03H 20" xfId="23351" xr:uid="{00000000-0005-0000-0000-00003F5B0000}"/>
    <cellStyle name="R03H 21" xfId="23352" xr:uid="{00000000-0005-0000-0000-0000405B0000}"/>
    <cellStyle name="R03H 21 2" xfId="23353" xr:uid="{00000000-0005-0000-0000-0000415B0000}"/>
    <cellStyle name="R03H 3" xfId="23354" xr:uid="{00000000-0005-0000-0000-0000425B0000}"/>
    <cellStyle name="R03H 4" xfId="23355" xr:uid="{00000000-0005-0000-0000-0000435B0000}"/>
    <cellStyle name="R03H 5" xfId="23356" xr:uid="{00000000-0005-0000-0000-0000445B0000}"/>
    <cellStyle name="R03H 6" xfId="23357" xr:uid="{00000000-0005-0000-0000-0000455B0000}"/>
    <cellStyle name="R03H 7" xfId="23358" xr:uid="{00000000-0005-0000-0000-0000465B0000}"/>
    <cellStyle name="R03H 8" xfId="23359" xr:uid="{00000000-0005-0000-0000-0000475B0000}"/>
    <cellStyle name="R03H 9" xfId="23360" xr:uid="{00000000-0005-0000-0000-0000485B0000}"/>
    <cellStyle name="R03L" xfId="23361" xr:uid="{00000000-0005-0000-0000-0000495B0000}"/>
    <cellStyle name="R03L 10" xfId="23362" xr:uid="{00000000-0005-0000-0000-00004A5B0000}"/>
    <cellStyle name="R03L 11" xfId="23363" xr:uid="{00000000-0005-0000-0000-00004B5B0000}"/>
    <cellStyle name="R03L 12" xfId="23364" xr:uid="{00000000-0005-0000-0000-00004C5B0000}"/>
    <cellStyle name="R03L 13" xfId="23365" xr:uid="{00000000-0005-0000-0000-00004D5B0000}"/>
    <cellStyle name="R03L 14" xfId="23366" xr:uid="{00000000-0005-0000-0000-00004E5B0000}"/>
    <cellStyle name="R03L 15" xfId="23367" xr:uid="{00000000-0005-0000-0000-00004F5B0000}"/>
    <cellStyle name="R03L 16" xfId="23368" xr:uid="{00000000-0005-0000-0000-0000505B0000}"/>
    <cellStyle name="R03L 17" xfId="23369" xr:uid="{00000000-0005-0000-0000-0000515B0000}"/>
    <cellStyle name="R03L 18" xfId="23370" xr:uid="{00000000-0005-0000-0000-0000525B0000}"/>
    <cellStyle name="R03L 19" xfId="23371" xr:uid="{00000000-0005-0000-0000-0000535B0000}"/>
    <cellStyle name="R03L 2" xfId="23372" xr:uid="{00000000-0005-0000-0000-0000545B0000}"/>
    <cellStyle name="R03L 20" xfId="23373" xr:uid="{00000000-0005-0000-0000-0000555B0000}"/>
    <cellStyle name="R03L 21" xfId="23374" xr:uid="{00000000-0005-0000-0000-0000565B0000}"/>
    <cellStyle name="R03L 21 2" xfId="23375" xr:uid="{00000000-0005-0000-0000-0000575B0000}"/>
    <cellStyle name="R03L 3" xfId="23376" xr:uid="{00000000-0005-0000-0000-0000585B0000}"/>
    <cellStyle name="R03L 4" xfId="23377" xr:uid="{00000000-0005-0000-0000-0000595B0000}"/>
    <cellStyle name="R03L 5" xfId="23378" xr:uid="{00000000-0005-0000-0000-00005A5B0000}"/>
    <cellStyle name="R03L 6" xfId="23379" xr:uid="{00000000-0005-0000-0000-00005B5B0000}"/>
    <cellStyle name="R03L 7" xfId="23380" xr:uid="{00000000-0005-0000-0000-00005C5B0000}"/>
    <cellStyle name="R03L 8" xfId="23381" xr:uid="{00000000-0005-0000-0000-00005D5B0000}"/>
    <cellStyle name="R03L 9" xfId="23382" xr:uid="{00000000-0005-0000-0000-00005E5B0000}"/>
    <cellStyle name="R04A" xfId="23383" xr:uid="{00000000-0005-0000-0000-00005F5B0000}"/>
    <cellStyle name="R04A 10" xfId="23384" xr:uid="{00000000-0005-0000-0000-0000605B0000}"/>
    <cellStyle name="R04A 11" xfId="23385" xr:uid="{00000000-0005-0000-0000-0000615B0000}"/>
    <cellStyle name="R04A 12" xfId="23386" xr:uid="{00000000-0005-0000-0000-0000625B0000}"/>
    <cellStyle name="R04A 13" xfId="23387" xr:uid="{00000000-0005-0000-0000-0000635B0000}"/>
    <cellStyle name="R04A 14" xfId="23388" xr:uid="{00000000-0005-0000-0000-0000645B0000}"/>
    <cellStyle name="R04A 15" xfId="23389" xr:uid="{00000000-0005-0000-0000-0000655B0000}"/>
    <cellStyle name="R04A 16" xfId="23390" xr:uid="{00000000-0005-0000-0000-0000665B0000}"/>
    <cellStyle name="R04A 17" xfId="23391" xr:uid="{00000000-0005-0000-0000-0000675B0000}"/>
    <cellStyle name="R04A 18" xfId="23392" xr:uid="{00000000-0005-0000-0000-0000685B0000}"/>
    <cellStyle name="R04A 19" xfId="23393" xr:uid="{00000000-0005-0000-0000-0000695B0000}"/>
    <cellStyle name="R04A 2" xfId="23394" xr:uid="{00000000-0005-0000-0000-00006A5B0000}"/>
    <cellStyle name="R04A 20" xfId="23395" xr:uid="{00000000-0005-0000-0000-00006B5B0000}"/>
    <cellStyle name="R04A 21" xfId="23396" xr:uid="{00000000-0005-0000-0000-00006C5B0000}"/>
    <cellStyle name="R04A 21 2" xfId="23397" xr:uid="{00000000-0005-0000-0000-00006D5B0000}"/>
    <cellStyle name="R04A 3" xfId="23398" xr:uid="{00000000-0005-0000-0000-00006E5B0000}"/>
    <cellStyle name="R04A 4" xfId="23399" xr:uid="{00000000-0005-0000-0000-00006F5B0000}"/>
    <cellStyle name="R04A 5" xfId="23400" xr:uid="{00000000-0005-0000-0000-0000705B0000}"/>
    <cellStyle name="R04A 6" xfId="23401" xr:uid="{00000000-0005-0000-0000-0000715B0000}"/>
    <cellStyle name="R04A 7" xfId="23402" xr:uid="{00000000-0005-0000-0000-0000725B0000}"/>
    <cellStyle name="R04A 8" xfId="23403" xr:uid="{00000000-0005-0000-0000-0000735B0000}"/>
    <cellStyle name="R04A 9" xfId="23404" xr:uid="{00000000-0005-0000-0000-0000745B0000}"/>
    <cellStyle name="R04B" xfId="23405" xr:uid="{00000000-0005-0000-0000-0000755B0000}"/>
    <cellStyle name="R04B 10" xfId="23406" xr:uid="{00000000-0005-0000-0000-0000765B0000}"/>
    <cellStyle name="R04B 11" xfId="23407" xr:uid="{00000000-0005-0000-0000-0000775B0000}"/>
    <cellStyle name="R04B 12" xfId="23408" xr:uid="{00000000-0005-0000-0000-0000785B0000}"/>
    <cellStyle name="R04B 13" xfId="23409" xr:uid="{00000000-0005-0000-0000-0000795B0000}"/>
    <cellStyle name="R04B 14" xfId="23410" xr:uid="{00000000-0005-0000-0000-00007A5B0000}"/>
    <cellStyle name="R04B 15" xfId="23411" xr:uid="{00000000-0005-0000-0000-00007B5B0000}"/>
    <cellStyle name="R04B 16" xfId="23412" xr:uid="{00000000-0005-0000-0000-00007C5B0000}"/>
    <cellStyle name="R04B 17" xfId="23413" xr:uid="{00000000-0005-0000-0000-00007D5B0000}"/>
    <cellStyle name="R04B 18" xfId="23414" xr:uid="{00000000-0005-0000-0000-00007E5B0000}"/>
    <cellStyle name="R04B 19" xfId="23415" xr:uid="{00000000-0005-0000-0000-00007F5B0000}"/>
    <cellStyle name="R04B 2" xfId="23416" xr:uid="{00000000-0005-0000-0000-0000805B0000}"/>
    <cellStyle name="R04B 20" xfId="23417" xr:uid="{00000000-0005-0000-0000-0000815B0000}"/>
    <cellStyle name="R04B 21" xfId="23418" xr:uid="{00000000-0005-0000-0000-0000825B0000}"/>
    <cellStyle name="R04B 21 2" xfId="23419" xr:uid="{00000000-0005-0000-0000-0000835B0000}"/>
    <cellStyle name="R04B 3" xfId="23420" xr:uid="{00000000-0005-0000-0000-0000845B0000}"/>
    <cellStyle name="R04B 4" xfId="23421" xr:uid="{00000000-0005-0000-0000-0000855B0000}"/>
    <cellStyle name="R04B 5" xfId="23422" xr:uid="{00000000-0005-0000-0000-0000865B0000}"/>
    <cellStyle name="R04B 6" xfId="23423" xr:uid="{00000000-0005-0000-0000-0000875B0000}"/>
    <cellStyle name="R04B 7" xfId="23424" xr:uid="{00000000-0005-0000-0000-0000885B0000}"/>
    <cellStyle name="R04B 8" xfId="23425" xr:uid="{00000000-0005-0000-0000-0000895B0000}"/>
    <cellStyle name="R04B 9" xfId="23426" xr:uid="{00000000-0005-0000-0000-00008A5B0000}"/>
    <cellStyle name="R04H" xfId="23427" xr:uid="{00000000-0005-0000-0000-00008B5B0000}"/>
    <cellStyle name="R04H 10" xfId="23428" xr:uid="{00000000-0005-0000-0000-00008C5B0000}"/>
    <cellStyle name="R04H 11" xfId="23429" xr:uid="{00000000-0005-0000-0000-00008D5B0000}"/>
    <cellStyle name="R04H 12" xfId="23430" xr:uid="{00000000-0005-0000-0000-00008E5B0000}"/>
    <cellStyle name="R04H 13" xfId="23431" xr:uid="{00000000-0005-0000-0000-00008F5B0000}"/>
    <cellStyle name="R04H 14" xfId="23432" xr:uid="{00000000-0005-0000-0000-0000905B0000}"/>
    <cellStyle name="R04H 15" xfId="23433" xr:uid="{00000000-0005-0000-0000-0000915B0000}"/>
    <cellStyle name="R04H 16" xfId="23434" xr:uid="{00000000-0005-0000-0000-0000925B0000}"/>
    <cellStyle name="R04H 17" xfId="23435" xr:uid="{00000000-0005-0000-0000-0000935B0000}"/>
    <cellStyle name="R04H 18" xfId="23436" xr:uid="{00000000-0005-0000-0000-0000945B0000}"/>
    <cellStyle name="R04H 19" xfId="23437" xr:uid="{00000000-0005-0000-0000-0000955B0000}"/>
    <cellStyle name="R04H 2" xfId="23438" xr:uid="{00000000-0005-0000-0000-0000965B0000}"/>
    <cellStyle name="R04H 20" xfId="23439" xr:uid="{00000000-0005-0000-0000-0000975B0000}"/>
    <cellStyle name="R04H 21" xfId="23440" xr:uid="{00000000-0005-0000-0000-0000985B0000}"/>
    <cellStyle name="R04H 21 2" xfId="23441" xr:uid="{00000000-0005-0000-0000-0000995B0000}"/>
    <cellStyle name="R04H 3" xfId="23442" xr:uid="{00000000-0005-0000-0000-00009A5B0000}"/>
    <cellStyle name="R04H 4" xfId="23443" xr:uid="{00000000-0005-0000-0000-00009B5B0000}"/>
    <cellStyle name="R04H 5" xfId="23444" xr:uid="{00000000-0005-0000-0000-00009C5B0000}"/>
    <cellStyle name="R04H 6" xfId="23445" xr:uid="{00000000-0005-0000-0000-00009D5B0000}"/>
    <cellStyle name="R04H 7" xfId="23446" xr:uid="{00000000-0005-0000-0000-00009E5B0000}"/>
    <cellStyle name="R04H 8" xfId="23447" xr:uid="{00000000-0005-0000-0000-00009F5B0000}"/>
    <cellStyle name="R04H 9" xfId="23448" xr:uid="{00000000-0005-0000-0000-0000A05B0000}"/>
    <cellStyle name="R04L" xfId="23449" xr:uid="{00000000-0005-0000-0000-0000A15B0000}"/>
    <cellStyle name="R04L 10" xfId="23450" xr:uid="{00000000-0005-0000-0000-0000A25B0000}"/>
    <cellStyle name="R04L 11" xfId="23451" xr:uid="{00000000-0005-0000-0000-0000A35B0000}"/>
    <cellStyle name="R04L 12" xfId="23452" xr:uid="{00000000-0005-0000-0000-0000A45B0000}"/>
    <cellStyle name="R04L 13" xfId="23453" xr:uid="{00000000-0005-0000-0000-0000A55B0000}"/>
    <cellStyle name="R04L 14" xfId="23454" xr:uid="{00000000-0005-0000-0000-0000A65B0000}"/>
    <cellStyle name="R04L 15" xfId="23455" xr:uid="{00000000-0005-0000-0000-0000A75B0000}"/>
    <cellStyle name="R04L 16" xfId="23456" xr:uid="{00000000-0005-0000-0000-0000A85B0000}"/>
    <cellStyle name="R04L 17" xfId="23457" xr:uid="{00000000-0005-0000-0000-0000A95B0000}"/>
    <cellStyle name="R04L 18" xfId="23458" xr:uid="{00000000-0005-0000-0000-0000AA5B0000}"/>
    <cellStyle name="R04L 19" xfId="23459" xr:uid="{00000000-0005-0000-0000-0000AB5B0000}"/>
    <cellStyle name="R04L 2" xfId="23460" xr:uid="{00000000-0005-0000-0000-0000AC5B0000}"/>
    <cellStyle name="R04L 20" xfId="23461" xr:uid="{00000000-0005-0000-0000-0000AD5B0000}"/>
    <cellStyle name="R04L 21" xfId="23462" xr:uid="{00000000-0005-0000-0000-0000AE5B0000}"/>
    <cellStyle name="R04L 21 2" xfId="23463" xr:uid="{00000000-0005-0000-0000-0000AF5B0000}"/>
    <cellStyle name="R04L 3" xfId="23464" xr:uid="{00000000-0005-0000-0000-0000B05B0000}"/>
    <cellStyle name="R04L 4" xfId="23465" xr:uid="{00000000-0005-0000-0000-0000B15B0000}"/>
    <cellStyle name="R04L 5" xfId="23466" xr:uid="{00000000-0005-0000-0000-0000B25B0000}"/>
    <cellStyle name="R04L 6" xfId="23467" xr:uid="{00000000-0005-0000-0000-0000B35B0000}"/>
    <cellStyle name="R04L 7" xfId="23468" xr:uid="{00000000-0005-0000-0000-0000B45B0000}"/>
    <cellStyle name="R04L 8" xfId="23469" xr:uid="{00000000-0005-0000-0000-0000B55B0000}"/>
    <cellStyle name="R04L 9" xfId="23470" xr:uid="{00000000-0005-0000-0000-0000B65B0000}"/>
    <cellStyle name="R05A" xfId="23471" xr:uid="{00000000-0005-0000-0000-0000B75B0000}"/>
    <cellStyle name="R05A 10" xfId="23472" xr:uid="{00000000-0005-0000-0000-0000B85B0000}"/>
    <cellStyle name="R05A 11" xfId="23473" xr:uid="{00000000-0005-0000-0000-0000B95B0000}"/>
    <cellStyle name="R05A 12" xfId="23474" xr:uid="{00000000-0005-0000-0000-0000BA5B0000}"/>
    <cellStyle name="R05A 13" xfId="23475" xr:uid="{00000000-0005-0000-0000-0000BB5B0000}"/>
    <cellStyle name="R05A 14" xfId="23476" xr:uid="{00000000-0005-0000-0000-0000BC5B0000}"/>
    <cellStyle name="R05A 15" xfId="23477" xr:uid="{00000000-0005-0000-0000-0000BD5B0000}"/>
    <cellStyle name="R05A 16" xfId="23478" xr:uid="{00000000-0005-0000-0000-0000BE5B0000}"/>
    <cellStyle name="R05A 17" xfId="23479" xr:uid="{00000000-0005-0000-0000-0000BF5B0000}"/>
    <cellStyle name="R05A 18" xfId="23480" xr:uid="{00000000-0005-0000-0000-0000C05B0000}"/>
    <cellStyle name="R05A 19" xfId="23481" xr:uid="{00000000-0005-0000-0000-0000C15B0000}"/>
    <cellStyle name="R05A 2" xfId="23482" xr:uid="{00000000-0005-0000-0000-0000C25B0000}"/>
    <cellStyle name="R05A 20" xfId="23483" xr:uid="{00000000-0005-0000-0000-0000C35B0000}"/>
    <cellStyle name="R05A 21" xfId="23484" xr:uid="{00000000-0005-0000-0000-0000C45B0000}"/>
    <cellStyle name="R05A 21 2" xfId="23485" xr:uid="{00000000-0005-0000-0000-0000C55B0000}"/>
    <cellStyle name="R05A 3" xfId="23486" xr:uid="{00000000-0005-0000-0000-0000C65B0000}"/>
    <cellStyle name="R05A 4" xfId="23487" xr:uid="{00000000-0005-0000-0000-0000C75B0000}"/>
    <cellStyle name="R05A 5" xfId="23488" xr:uid="{00000000-0005-0000-0000-0000C85B0000}"/>
    <cellStyle name="R05A 6" xfId="23489" xr:uid="{00000000-0005-0000-0000-0000C95B0000}"/>
    <cellStyle name="R05A 7" xfId="23490" xr:uid="{00000000-0005-0000-0000-0000CA5B0000}"/>
    <cellStyle name="R05A 8" xfId="23491" xr:uid="{00000000-0005-0000-0000-0000CB5B0000}"/>
    <cellStyle name="R05A 9" xfId="23492" xr:uid="{00000000-0005-0000-0000-0000CC5B0000}"/>
    <cellStyle name="R05B" xfId="23493" xr:uid="{00000000-0005-0000-0000-0000CD5B0000}"/>
    <cellStyle name="R05B 10" xfId="23494" xr:uid="{00000000-0005-0000-0000-0000CE5B0000}"/>
    <cellStyle name="R05B 11" xfId="23495" xr:uid="{00000000-0005-0000-0000-0000CF5B0000}"/>
    <cellStyle name="R05B 12" xfId="23496" xr:uid="{00000000-0005-0000-0000-0000D05B0000}"/>
    <cellStyle name="R05B 13" xfId="23497" xr:uid="{00000000-0005-0000-0000-0000D15B0000}"/>
    <cellStyle name="R05B 14" xfId="23498" xr:uid="{00000000-0005-0000-0000-0000D25B0000}"/>
    <cellStyle name="R05B 15" xfId="23499" xr:uid="{00000000-0005-0000-0000-0000D35B0000}"/>
    <cellStyle name="R05B 16" xfId="23500" xr:uid="{00000000-0005-0000-0000-0000D45B0000}"/>
    <cellStyle name="R05B 17" xfId="23501" xr:uid="{00000000-0005-0000-0000-0000D55B0000}"/>
    <cellStyle name="R05B 18" xfId="23502" xr:uid="{00000000-0005-0000-0000-0000D65B0000}"/>
    <cellStyle name="R05B 19" xfId="23503" xr:uid="{00000000-0005-0000-0000-0000D75B0000}"/>
    <cellStyle name="R05B 2" xfId="23504" xr:uid="{00000000-0005-0000-0000-0000D85B0000}"/>
    <cellStyle name="R05B 20" xfId="23505" xr:uid="{00000000-0005-0000-0000-0000D95B0000}"/>
    <cellStyle name="R05B 21" xfId="23506" xr:uid="{00000000-0005-0000-0000-0000DA5B0000}"/>
    <cellStyle name="R05B 21 2" xfId="23507" xr:uid="{00000000-0005-0000-0000-0000DB5B0000}"/>
    <cellStyle name="R05B 3" xfId="23508" xr:uid="{00000000-0005-0000-0000-0000DC5B0000}"/>
    <cellStyle name="R05B 4" xfId="23509" xr:uid="{00000000-0005-0000-0000-0000DD5B0000}"/>
    <cellStyle name="R05B 5" xfId="23510" xr:uid="{00000000-0005-0000-0000-0000DE5B0000}"/>
    <cellStyle name="R05B 6" xfId="23511" xr:uid="{00000000-0005-0000-0000-0000DF5B0000}"/>
    <cellStyle name="R05B 7" xfId="23512" xr:uid="{00000000-0005-0000-0000-0000E05B0000}"/>
    <cellStyle name="R05B 8" xfId="23513" xr:uid="{00000000-0005-0000-0000-0000E15B0000}"/>
    <cellStyle name="R05B 9" xfId="23514" xr:uid="{00000000-0005-0000-0000-0000E25B0000}"/>
    <cellStyle name="R05H" xfId="23515" xr:uid="{00000000-0005-0000-0000-0000E35B0000}"/>
    <cellStyle name="R05H 10" xfId="23516" xr:uid="{00000000-0005-0000-0000-0000E45B0000}"/>
    <cellStyle name="R05H 11" xfId="23517" xr:uid="{00000000-0005-0000-0000-0000E55B0000}"/>
    <cellStyle name="R05H 12" xfId="23518" xr:uid="{00000000-0005-0000-0000-0000E65B0000}"/>
    <cellStyle name="R05H 13" xfId="23519" xr:uid="{00000000-0005-0000-0000-0000E75B0000}"/>
    <cellStyle name="R05H 14" xfId="23520" xr:uid="{00000000-0005-0000-0000-0000E85B0000}"/>
    <cellStyle name="R05H 15" xfId="23521" xr:uid="{00000000-0005-0000-0000-0000E95B0000}"/>
    <cellStyle name="R05H 16" xfId="23522" xr:uid="{00000000-0005-0000-0000-0000EA5B0000}"/>
    <cellStyle name="R05H 17" xfId="23523" xr:uid="{00000000-0005-0000-0000-0000EB5B0000}"/>
    <cellStyle name="R05H 18" xfId="23524" xr:uid="{00000000-0005-0000-0000-0000EC5B0000}"/>
    <cellStyle name="R05H 19" xfId="23525" xr:uid="{00000000-0005-0000-0000-0000ED5B0000}"/>
    <cellStyle name="R05H 2" xfId="23526" xr:uid="{00000000-0005-0000-0000-0000EE5B0000}"/>
    <cellStyle name="R05H 20" xfId="23527" xr:uid="{00000000-0005-0000-0000-0000EF5B0000}"/>
    <cellStyle name="R05H 21" xfId="23528" xr:uid="{00000000-0005-0000-0000-0000F05B0000}"/>
    <cellStyle name="R05H 21 2" xfId="23529" xr:uid="{00000000-0005-0000-0000-0000F15B0000}"/>
    <cellStyle name="R05H 3" xfId="23530" xr:uid="{00000000-0005-0000-0000-0000F25B0000}"/>
    <cellStyle name="R05H 4" xfId="23531" xr:uid="{00000000-0005-0000-0000-0000F35B0000}"/>
    <cellStyle name="R05H 5" xfId="23532" xr:uid="{00000000-0005-0000-0000-0000F45B0000}"/>
    <cellStyle name="R05H 6" xfId="23533" xr:uid="{00000000-0005-0000-0000-0000F55B0000}"/>
    <cellStyle name="R05H 7" xfId="23534" xr:uid="{00000000-0005-0000-0000-0000F65B0000}"/>
    <cellStyle name="R05H 8" xfId="23535" xr:uid="{00000000-0005-0000-0000-0000F75B0000}"/>
    <cellStyle name="R05H 9" xfId="23536" xr:uid="{00000000-0005-0000-0000-0000F85B0000}"/>
    <cellStyle name="R05L" xfId="23537" xr:uid="{00000000-0005-0000-0000-0000F95B0000}"/>
    <cellStyle name="R05L 10" xfId="23538" xr:uid="{00000000-0005-0000-0000-0000FA5B0000}"/>
    <cellStyle name="R05L 11" xfId="23539" xr:uid="{00000000-0005-0000-0000-0000FB5B0000}"/>
    <cellStyle name="R05L 12" xfId="23540" xr:uid="{00000000-0005-0000-0000-0000FC5B0000}"/>
    <cellStyle name="R05L 13" xfId="23541" xr:uid="{00000000-0005-0000-0000-0000FD5B0000}"/>
    <cellStyle name="R05L 14" xfId="23542" xr:uid="{00000000-0005-0000-0000-0000FE5B0000}"/>
    <cellStyle name="R05L 15" xfId="23543" xr:uid="{00000000-0005-0000-0000-0000FF5B0000}"/>
    <cellStyle name="R05L 16" xfId="23544" xr:uid="{00000000-0005-0000-0000-0000005C0000}"/>
    <cellStyle name="R05L 17" xfId="23545" xr:uid="{00000000-0005-0000-0000-0000015C0000}"/>
    <cellStyle name="R05L 18" xfId="23546" xr:uid="{00000000-0005-0000-0000-0000025C0000}"/>
    <cellStyle name="R05L 19" xfId="23547" xr:uid="{00000000-0005-0000-0000-0000035C0000}"/>
    <cellStyle name="R05L 2" xfId="23548" xr:uid="{00000000-0005-0000-0000-0000045C0000}"/>
    <cellStyle name="R05L 2 2" xfId="23549" xr:uid="{00000000-0005-0000-0000-0000055C0000}"/>
    <cellStyle name="R05L 20" xfId="23550" xr:uid="{00000000-0005-0000-0000-0000065C0000}"/>
    <cellStyle name="R05L 21" xfId="23551" xr:uid="{00000000-0005-0000-0000-0000075C0000}"/>
    <cellStyle name="R05L 22" xfId="23552" xr:uid="{00000000-0005-0000-0000-0000085C0000}"/>
    <cellStyle name="R05L 23" xfId="23553" xr:uid="{00000000-0005-0000-0000-0000095C0000}"/>
    <cellStyle name="R05L 23 2" xfId="23554" xr:uid="{00000000-0005-0000-0000-00000A5C0000}"/>
    <cellStyle name="R05L 3" xfId="23555" xr:uid="{00000000-0005-0000-0000-00000B5C0000}"/>
    <cellStyle name="R05L 3 2" xfId="23556" xr:uid="{00000000-0005-0000-0000-00000C5C0000}"/>
    <cellStyle name="R05L 4" xfId="23557" xr:uid="{00000000-0005-0000-0000-00000D5C0000}"/>
    <cellStyle name="R05L 5" xfId="23558" xr:uid="{00000000-0005-0000-0000-00000E5C0000}"/>
    <cellStyle name="R05L 6" xfId="23559" xr:uid="{00000000-0005-0000-0000-00000F5C0000}"/>
    <cellStyle name="R05L 7" xfId="23560" xr:uid="{00000000-0005-0000-0000-0000105C0000}"/>
    <cellStyle name="R05L 8" xfId="23561" xr:uid="{00000000-0005-0000-0000-0000115C0000}"/>
    <cellStyle name="R05L 9" xfId="23562" xr:uid="{00000000-0005-0000-0000-0000125C0000}"/>
    <cellStyle name="R06A" xfId="23563" xr:uid="{00000000-0005-0000-0000-0000135C0000}"/>
    <cellStyle name="R06A 10" xfId="23564" xr:uid="{00000000-0005-0000-0000-0000145C0000}"/>
    <cellStyle name="R06A 11" xfId="23565" xr:uid="{00000000-0005-0000-0000-0000155C0000}"/>
    <cellStyle name="R06A 12" xfId="23566" xr:uid="{00000000-0005-0000-0000-0000165C0000}"/>
    <cellStyle name="R06A 13" xfId="23567" xr:uid="{00000000-0005-0000-0000-0000175C0000}"/>
    <cellStyle name="R06A 14" xfId="23568" xr:uid="{00000000-0005-0000-0000-0000185C0000}"/>
    <cellStyle name="R06A 15" xfId="23569" xr:uid="{00000000-0005-0000-0000-0000195C0000}"/>
    <cellStyle name="R06A 16" xfId="23570" xr:uid="{00000000-0005-0000-0000-00001A5C0000}"/>
    <cellStyle name="R06A 17" xfId="23571" xr:uid="{00000000-0005-0000-0000-00001B5C0000}"/>
    <cellStyle name="R06A 18" xfId="23572" xr:uid="{00000000-0005-0000-0000-00001C5C0000}"/>
    <cellStyle name="R06A 19" xfId="23573" xr:uid="{00000000-0005-0000-0000-00001D5C0000}"/>
    <cellStyle name="R06A 2" xfId="23574" xr:uid="{00000000-0005-0000-0000-00001E5C0000}"/>
    <cellStyle name="R06A 20" xfId="23575" xr:uid="{00000000-0005-0000-0000-00001F5C0000}"/>
    <cellStyle name="R06A 21" xfId="23576" xr:uid="{00000000-0005-0000-0000-0000205C0000}"/>
    <cellStyle name="R06A 21 2" xfId="23577" xr:uid="{00000000-0005-0000-0000-0000215C0000}"/>
    <cellStyle name="R06A 3" xfId="23578" xr:uid="{00000000-0005-0000-0000-0000225C0000}"/>
    <cellStyle name="R06A 4" xfId="23579" xr:uid="{00000000-0005-0000-0000-0000235C0000}"/>
    <cellStyle name="R06A 5" xfId="23580" xr:uid="{00000000-0005-0000-0000-0000245C0000}"/>
    <cellStyle name="R06A 6" xfId="23581" xr:uid="{00000000-0005-0000-0000-0000255C0000}"/>
    <cellStyle name="R06A 7" xfId="23582" xr:uid="{00000000-0005-0000-0000-0000265C0000}"/>
    <cellStyle name="R06A 8" xfId="23583" xr:uid="{00000000-0005-0000-0000-0000275C0000}"/>
    <cellStyle name="R06A 9" xfId="23584" xr:uid="{00000000-0005-0000-0000-0000285C0000}"/>
    <cellStyle name="R06B" xfId="23585" xr:uid="{00000000-0005-0000-0000-0000295C0000}"/>
    <cellStyle name="R06B 10" xfId="23586" xr:uid="{00000000-0005-0000-0000-00002A5C0000}"/>
    <cellStyle name="R06B 11" xfId="23587" xr:uid="{00000000-0005-0000-0000-00002B5C0000}"/>
    <cellStyle name="R06B 12" xfId="23588" xr:uid="{00000000-0005-0000-0000-00002C5C0000}"/>
    <cellStyle name="R06B 13" xfId="23589" xr:uid="{00000000-0005-0000-0000-00002D5C0000}"/>
    <cellStyle name="R06B 14" xfId="23590" xr:uid="{00000000-0005-0000-0000-00002E5C0000}"/>
    <cellStyle name="R06B 15" xfId="23591" xr:uid="{00000000-0005-0000-0000-00002F5C0000}"/>
    <cellStyle name="R06B 16" xfId="23592" xr:uid="{00000000-0005-0000-0000-0000305C0000}"/>
    <cellStyle name="R06B 17" xfId="23593" xr:uid="{00000000-0005-0000-0000-0000315C0000}"/>
    <cellStyle name="R06B 18" xfId="23594" xr:uid="{00000000-0005-0000-0000-0000325C0000}"/>
    <cellStyle name="R06B 19" xfId="23595" xr:uid="{00000000-0005-0000-0000-0000335C0000}"/>
    <cellStyle name="R06B 2" xfId="23596" xr:uid="{00000000-0005-0000-0000-0000345C0000}"/>
    <cellStyle name="R06B 20" xfId="23597" xr:uid="{00000000-0005-0000-0000-0000355C0000}"/>
    <cellStyle name="R06B 21" xfId="23598" xr:uid="{00000000-0005-0000-0000-0000365C0000}"/>
    <cellStyle name="R06B 21 2" xfId="23599" xr:uid="{00000000-0005-0000-0000-0000375C0000}"/>
    <cellStyle name="R06B 3" xfId="23600" xr:uid="{00000000-0005-0000-0000-0000385C0000}"/>
    <cellStyle name="R06B 4" xfId="23601" xr:uid="{00000000-0005-0000-0000-0000395C0000}"/>
    <cellStyle name="R06B 5" xfId="23602" xr:uid="{00000000-0005-0000-0000-00003A5C0000}"/>
    <cellStyle name="R06B 6" xfId="23603" xr:uid="{00000000-0005-0000-0000-00003B5C0000}"/>
    <cellStyle name="R06B 7" xfId="23604" xr:uid="{00000000-0005-0000-0000-00003C5C0000}"/>
    <cellStyle name="R06B 8" xfId="23605" xr:uid="{00000000-0005-0000-0000-00003D5C0000}"/>
    <cellStyle name="R06B 9" xfId="23606" xr:uid="{00000000-0005-0000-0000-00003E5C0000}"/>
    <cellStyle name="R06H" xfId="23607" xr:uid="{00000000-0005-0000-0000-00003F5C0000}"/>
    <cellStyle name="R06H 10" xfId="23608" xr:uid="{00000000-0005-0000-0000-0000405C0000}"/>
    <cellStyle name="R06H 11" xfId="23609" xr:uid="{00000000-0005-0000-0000-0000415C0000}"/>
    <cellStyle name="R06H 12" xfId="23610" xr:uid="{00000000-0005-0000-0000-0000425C0000}"/>
    <cellStyle name="R06H 13" xfId="23611" xr:uid="{00000000-0005-0000-0000-0000435C0000}"/>
    <cellStyle name="R06H 14" xfId="23612" xr:uid="{00000000-0005-0000-0000-0000445C0000}"/>
    <cellStyle name="R06H 15" xfId="23613" xr:uid="{00000000-0005-0000-0000-0000455C0000}"/>
    <cellStyle name="R06H 16" xfId="23614" xr:uid="{00000000-0005-0000-0000-0000465C0000}"/>
    <cellStyle name="R06H 17" xfId="23615" xr:uid="{00000000-0005-0000-0000-0000475C0000}"/>
    <cellStyle name="R06H 18" xfId="23616" xr:uid="{00000000-0005-0000-0000-0000485C0000}"/>
    <cellStyle name="R06H 19" xfId="23617" xr:uid="{00000000-0005-0000-0000-0000495C0000}"/>
    <cellStyle name="R06H 2" xfId="23618" xr:uid="{00000000-0005-0000-0000-00004A5C0000}"/>
    <cellStyle name="R06H 20" xfId="23619" xr:uid="{00000000-0005-0000-0000-00004B5C0000}"/>
    <cellStyle name="R06H 21" xfId="23620" xr:uid="{00000000-0005-0000-0000-00004C5C0000}"/>
    <cellStyle name="R06H 21 2" xfId="23621" xr:uid="{00000000-0005-0000-0000-00004D5C0000}"/>
    <cellStyle name="R06H 3" xfId="23622" xr:uid="{00000000-0005-0000-0000-00004E5C0000}"/>
    <cellStyle name="R06H 4" xfId="23623" xr:uid="{00000000-0005-0000-0000-00004F5C0000}"/>
    <cellStyle name="R06H 5" xfId="23624" xr:uid="{00000000-0005-0000-0000-0000505C0000}"/>
    <cellStyle name="R06H 6" xfId="23625" xr:uid="{00000000-0005-0000-0000-0000515C0000}"/>
    <cellStyle name="R06H 7" xfId="23626" xr:uid="{00000000-0005-0000-0000-0000525C0000}"/>
    <cellStyle name="R06H 8" xfId="23627" xr:uid="{00000000-0005-0000-0000-0000535C0000}"/>
    <cellStyle name="R06H 9" xfId="23628" xr:uid="{00000000-0005-0000-0000-0000545C0000}"/>
    <cellStyle name="R06L" xfId="23629" xr:uid="{00000000-0005-0000-0000-0000555C0000}"/>
    <cellStyle name="R06L 10" xfId="23630" xr:uid="{00000000-0005-0000-0000-0000565C0000}"/>
    <cellStyle name="R06L 11" xfId="23631" xr:uid="{00000000-0005-0000-0000-0000575C0000}"/>
    <cellStyle name="R06L 12" xfId="23632" xr:uid="{00000000-0005-0000-0000-0000585C0000}"/>
    <cellStyle name="R06L 13" xfId="23633" xr:uid="{00000000-0005-0000-0000-0000595C0000}"/>
    <cellStyle name="R06L 14" xfId="23634" xr:uid="{00000000-0005-0000-0000-00005A5C0000}"/>
    <cellStyle name="R06L 15" xfId="23635" xr:uid="{00000000-0005-0000-0000-00005B5C0000}"/>
    <cellStyle name="R06L 16" xfId="23636" xr:uid="{00000000-0005-0000-0000-00005C5C0000}"/>
    <cellStyle name="R06L 17" xfId="23637" xr:uid="{00000000-0005-0000-0000-00005D5C0000}"/>
    <cellStyle name="R06L 18" xfId="23638" xr:uid="{00000000-0005-0000-0000-00005E5C0000}"/>
    <cellStyle name="R06L 19" xfId="23639" xr:uid="{00000000-0005-0000-0000-00005F5C0000}"/>
    <cellStyle name="R06L 2" xfId="23640" xr:uid="{00000000-0005-0000-0000-0000605C0000}"/>
    <cellStyle name="R06L 20" xfId="23641" xr:uid="{00000000-0005-0000-0000-0000615C0000}"/>
    <cellStyle name="R06L 21" xfId="23642" xr:uid="{00000000-0005-0000-0000-0000625C0000}"/>
    <cellStyle name="R06L 21 2" xfId="23643" xr:uid="{00000000-0005-0000-0000-0000635C0000}"/>
    <cellStyle name="R06L 3" xfId="23644" xr:uid="{00000000-0005-0000-0000-0000645C0000}"/>
    <cellStyle name="R06L 4" xfId="23645" xr:uid="{00000000-0005-0000-0000-0000655C0000}"/>
    <cellStyle name="R06L 5" xfId="23646" xr:uid="{00000000-0005-0000-0000-0000665C0000}"/>
    <cellStyle name="R06L 6" xfId="23647" xr:uid="{00000000-0005-0000-0000-0000675C0000}"/>
    <cellStyle name="R06L 7" xfId="23648" xr:uid="{00000000-0005-0000-0000-0000685C0000}"/>
    <cellStyle name="R06L 8" xfId="23649" xr:uid="{00000000-0005-0000-0000-0000695C0000}"/>
    <cellStyle name="R06L 9" xfId="23650" xr:uid="{00000000-0005-0000-0000-00006A5C0000}"/>
    <cellStyle name="R07A" xfId="23651" xr:uid="{00000000-0005-0000-0000-00006B5C0000}"/>
    <cellStyle name="R07A 10" xfId="23652" xr:uid="{00000000-0005-0000-0000-00006C5C0000}"/>
    <cellStyle name="R07A 11" xfId="23653" xr:uid="{00000000-0005-0000-0000-00006D5C0000}"/>
    <cellStyle name="R07A 12" xfId="23654" xr:uid="{00000000-0005-0000-0000-00006E5C0000}"/>
    <cellStyle name="R07A 13" xfId="23655" xr:uid="{00000000-0005-0000-0000-00006F5C0000}"/>
    <cellStyle name="R07A 14" xfId="23656" xr:uid="{00000000-0005-0000-0000-0000705C0000}"/>
    <cellStyle name="R07A 15" xfId="23657" xr:uid="{00000000-0005-0000-0000-0000715C0000}"/>
    <cellStyle name="R07A 16" xfId="23658" xr:uid="{00000000-0005-0000-0000-0000725C0000}"/>
    <cellStyle name="R07A 17" xfId="23659" xr:uid="{00000000-0005-0000-0000-0000735C0000}"/>
    <cellStyle name="R07A 18" xfId="23660" xr:uid="{00000000-0005-0000-0000-0000745C0000}"/>
    <cellStyle name="R07A 19" xfId="23661" xr:uid="{00000000-0005-0000-0000-0000755C0000}"/>
    <cellStyle name="R07A 2" xfId="23662" xr:uid="{00000000-0005-0000-0000-0000765C0000}"/>
    <cellStyle name="R07A 20" xfId="23663" xr:uid="{00000000-0005-0000-0000-0000775C0000}"/>
    <cellStyle name="R07A 21" xfId="23664" xr:uid="{00000000-0005-0000-0000-0000785C0000}"/>
    <cellStyle name="R07A 21 2" xfId="23665" xr:uid="{00000000-0005-0000-0000-0000795C0000}"/>
    <cellStyle name="R07A 3" xfId="23666" xr:uid="{00000000-0005-0000-0000-00007A5C0000}"/>
    <cellStyle name="R07A 4" xfId="23667" xr:uid="{00000000-0005-0000-0000-00007B5C0000}"/>
    <cellStyle name="R07A 5" xfId="23668" xr:uid="{00000000-0005-0000-0000-00007C5C0000}"/>
    <cellStyle name="R07A 6" xfId="23669" xr:uid="{00000000-0005-0000-0000-00007D5C0000}"/>
    <cellStyle name="R07A 7" xfId="23670" xr:uid="{00000000-0005-0000-0000-00007E5C0000}"/>
    <cellStyle name="R07A 8" xfId="23671" xr:uid="{00000000-0005-0000-0000-00007F5C0000}"/>
    <cellStyle name="R07A 9" xfId="23672" xr:uid="{00000000-0005-0000-0000-0000805C0000}"/>
    <cellStyle name="R07B" xfId="23673" xr:uid="{00000000-0005-0000-0000-0000815C0000}"/>
    <cellStyle name="R07B 10" xfId="23674" xr:uid="{00000000-0005-0000-0000-0000825C0000}"/>
    <cellStyle name="R07B 11" xfId="23675" xr:uid="{00000000-0005-0000-0000-0000835C0000}"/>
    <cellStyle name="R07B 12" xfId="23676" xr:uid="{00000000-0005-0000-0000-0000845C0000}"/>
    <cellStyle name="R07B 13" xfId="23677" xr:uid="{00000000-0005-0000-0000-0000855C0000}"/>
    <cellStyle name="R07B 14" xfId="23678" xr:uid="{00000000-0005-0000-0000-0000865C0000}"/>
    <cellStyle name="R07B 15" xfId="23679" xr:uid="{00000000-0005-0000-0000-0000875C0000}"/>
    <cellStyle name="R07B 16" xfId="23680" xr:uid="{00000000-0005-0000-0000-0000885C0000}"/>
    <cellStyle name="R07B 17" xfId="23681" xr:uid="{00000000-0005-0000-0000-0000895C0000}"/>
    <cellStyle name="R07B 18" xfId="23682" xr:uid="{00000000-0005-0000-0000-00008A5C0000}"/>
    <cellStyle name="R07B 19" xfId="23683" xr:uid="{00000000-0005-0000-0000-00008B5C0000}"/>
    <cellStyle name="R07B 2" xfId="23684" xr:uid="{00000000-0005-0000-0000-00008C5C0000}"/>
    <cellStyle name="R07B 20" xfId="23685" xr:uid="{00000000-0005-0000-0000-00008D5C0000}"/>
    <cellStyle name="R07B 21" xfId="23686" xr:uid="{00000000-0005-0000-0000-00008E5C0000}"/>
    <cellStyle name="R07B 21 2" xfId="23687" xr:uid="{00000000-0005-0000-0000-00008F5C0000}"/>
    <cellStyle name="R07B 3" xfId="23688" xr:uid="{00000000-0005-0000-0000-0000905C0000}"/>
    <cellStyle name="R07B 4" xfId="23689" xr:uid="{00000000-0005-0000-0000-0000915C0000}"/>
    <cellStyle name="R07B 5" xfId="23690" xr:uid="{00000000-0005-0000-0000-0000925C0000}"/>
    <cellStyle name="R07B 6" xfId="23691" xr:uid="{00000000-0005-0000-0000-0000935C0000}"/>
    <cellStyle name="R07B 7" xfId="23692" xr:uid="{00000000-0005-0000-0000-0000945C0000}"/>
    <cellStyle name="R07B 8" xfId="23693" xr:uid="{00000000-0005-0000-0000-0000955C0000}"/>
    <cellStyle name="R07B 9" xfId="23694" xr:uid="{00000000-0005-0000-0000-0000965C0000}"/>
    <cellStyle name="R07H" xfId="23695" xr:uid="{00000000-0005-0000-0000-0000975C0000}"/>
    <cellStyle name="R07H 10" xfId="23696" xr:uid="{00000000-0005-0000-0000-0000985C0000}"/>
    <cellStyle name="R07H 11" xfId="23697" xr:uid="{00000000-0005-0000-0000-0000995C0000}"/>
    <cellStyle name="R07H 12" xfId="23698" xr:uid="{00000000-0005-0000-0000-00009A5C0000}"/>
    <cellStyle name="R07H 13" xfId="23699" xr:uid="{00000000-0005-0000-0000-00009B5C0000}"/>
    <cellStyle name="R07H 14" xfId="23700" xr:uid="{00000000-0005-0000-0000-00009C5C0000}"/>
    <cellStyle name="R07H 15" xfId="23701" xr:uid="{00000000-0005-0000-0000-00009D5C0000}"/>
    <cellStyle name="R07H 16" xfId="23702" xr:uid="{00000000-0005-0000-0000-00009E5C0000}"/>
    <cellStyle name="R07H 17" xfId="23703" xr:uid="{00000000-0005-0000-0000-00009F5C0000}"/>
    <cellStyle name="R07H 18" xfId="23704" xr:uid="{00000000-0005-0000-0000-0000A05C0000}"/>
    <cellStyle name="R07H 19" xfId="23705" xr:uid="{00000000-0005-0000-0000-0000A15C0000}"/>
    <cellStyle name="R07H 2" xfId="23706" xr:uid="{00000000-0005-0000-0000-0000A25C0000}"/>
    <cellStyle name="R07H 20" xfId="23707" xr:uid="{00000000-0005-0000-0000-0000A35C0000}"/>
    <cellStyle name="R07H 21" xfId="23708" xr:uid="{00000000-0005-0000-0000-0000A45C0000}"/>
    <cellStyle name="R07H 21 2" xfId="23709" xr:uid="{00000000-0005-0000-0000-0000A55C0000}"/>
    <cellStyle name="R07H 3" xfId="23710" xr:uid="{00000000-0005-0000-0000-0000A65C0000}"/>
    <cellStyle name="R07H 4" xfId="23711" xr:uid="{00000000-0005-0000-0000-0000A75C0000}"/>
    <cellStyle name="R07H 5" xfId="23712" xr:uid="{00000000-0005-0000-0000-0000A85C0000}"/>
    <cellStyle name="R07H 6" xfId="23713" xr:uid="{00000000-0005-0000-0000-0000A95C0000}"/>
    <cellStyle name="R07H 7" xfId="23714" xr:uid="{00000000-0005-0000-0000-0000AA5C0000}"/>
    <cellStyle name="R07H 8" xfId="23715" xr:uid="{00000000-0005-0000-0000-0000AB5C0000}"/>
    <cellStyle name="R07H 9" xfId="23716" xr:uid="{00000000-0005-0000-0000-0000AC5C0000}"/>
    <cellStyle name="R07L" xfId="23717" xr:uid="{00000000-0005-0000-0000-0000AD5C0000}"/>
    <cellStyle name="R07L 10" xfId="23718" xr:uid="{00000000-0005-0000-0000-0000AE5C0000}"/>
    <cellStyle name="R07L 11" xfId="23719" xr:uid="{00000000-0005-0000-0000-0000AF5C0000}"/>
    <cellStyle name="R07L 12" xfId="23720" xr:uid="{00000000-0005-0000-0000-0000B05C0000}"/>
    <cellStyle name="R07L 13" xfId="23721" xr:uid="{00000000-0005-0000-0000-0000B15C0000}"/>
    <cellStyle name="R07L 14" xfId="23722" xr:uid="{00000000-0005-0000-0000-0000B25C0000}"/>
    <cellStyle name="R07L 15" xfId="23723" xr:uid="{00000000-0005-0000-0000-0000B35C0000}"/>
    <cellStyle name="R07L 16" xfId="23724" xr:uid="{00000000-0005-0000-0000-0000B45C0000}"/>
    <cellStyle name="R07L 17" xfId="23725" xr:uid="{00000000-0005-0000-0000-0000B55C0000}"/>
    <cellStyle name="R07L 18" xfId="23726" xr:uid="{00000000-0005-0000-0000-0000B65C0000}"/>
    <cellStyle name="R07L 19" xfId="23727" xr:uid="{00000000-0005-0000-0000-0000B75C0000}"/>
    <cellStyle name="R07L 2" xfId="23728" xr:uid="{00000000-0005-0000-0000-0000B85C0000}"/>
    <cellStyle name="R07L 20" xfId="23729" xr:uid="{00000000-0005-0000-0000-0000B95C0000}"/>
    <cellStyle name="R07L 21" xfId="23730" xr:uid="{00000000-0005-0000-0000-0000BA5C0000}"/>
    <cellStyle name="R07L 21 2" xfId="23731" xr:uid="{00000000-0005-0000-0000-0000BB5C0000}"/>
    <cellStyle name="R07L 3" xfId="23732" xr:uid="{00000000-0005-0000-0000-0000BC5C0000}"/>
    <cellStyle name="R07L 4" xfId="23733" xr:uid="{00000000-0005-0000-0000-0000BD5C0000}"/>
    <cellStyle name="R07L 5" xfId="23734" xr:uid="{00000000-0005-0000-0000-0000BE5C0000}"/>
    <cellStyle name="R07L 6" xfId="23735" xr:uid="{00000000-0005-0000-0000-0000BF5C0000}"/>
    <cellStyle name="R07L 7" xfId="23736" xr:uid="{00000000-0005-0000-0000-0000C05C0000}"/>
    <cellStyle name="R07L 8" xfId="23737" xr:uid="{00000000-0005-0000-0000-0000C15C0000}"/>
    <cellStyle name="R07L 9" xfId="23738" xr:uid="{00000000-0005-0000-0000-0000C25C0000}"/>
    <cellStyle name="Rate" xfId="23739" xr:uid="{00000000-0005-0000-0000-0000C35C0000}"/>
    <cellStyle name="Rate 10" xfId="23740" xr:uid="{00000000-0005-0000-0000-0000C45C0000}"/>
    <cellStyle name="Rate 11" xfId="23741" xr:uid="{00000000-0005-0000-0000-0000C55C0000}"/>
    <cellStyle name="Rate 12" xfId="23742" xr:uid="{00000000-0005-0000-0000-0000C65C0000}"/>
    <cellStyle name="Rate 13" xfId="23743" xr:uid="{00000000-0005-0000-0000-0000C75C0000}"/>
    <cellStyle name="Rate 14" xfId="23744" xr:uid="{00000000-0005-0000-0000-0000C85C0000}"/>
    <cellStyle name="Rate 15" xfId="23745" xr:uid="{00000000-0005-0000-0000-0000C95C0000}"/>
    <cellStyle name="Rate 16" xfId="23746" xr:uid="{00000000-0005-0000-0000-0000CA5C0000}"/>
    <cellStyle name="Rate 17" xfId="23747" xr:uid="{00000000-0005-0000-0000-0000CB5C0000}"/>
    <cellStyle name="Rate 18" xfId="23748" xr:uid="{00000000-0005-0000-0000-0000CC5C0000}"/>
    <cellStyle name="Rate 19" xfId="23749" xr:uid="{00000000-0005-0000-0000-0000CD5C0000}"/>
    <cellStyle name="Rate 2" xfId="23750" xr:uid="{00000000-0005-0000-0000-0000CE5C0000}"/>
    <cellStyle name="Rate 20" xfId="23751" xr:uid="{00000000-0005-0000-0000-0000CF5C0000}"/>
    <cellStyle name="Rate 21" xfId="23752" xr:uid="{00000000-0005-0000-0000-0000D05C0000}"/>
    <cellStyle name="Rate 3" xfId="23753" xr:uid="{00000000-0005-0000-0000-0000D15C0000}"/>
    <cellStyle name="Rate 4" xfId="23754" xr:uid="{00000000-0005-0000-0000-0000D25C0000}"/>
    <cellStyle name="Rate 5" xfId="23755" xr:uid="{00000000-0005-0000-0000-0000D35C0000}"/>
    <cellStyle name="Rate 6" xfId="23756" xr:uid="{00000000-0005-0000-0000-0000D45C0000}"/>
    <cellStyle name="Rate 7" xfId="23757" xr:uid="{00000000-0005-0000-0000-0000D55C0000}"/>
    <cellStyle name="Rate 8" xfId="23758" xr:uid="{00000000-0005-0000-0000-0000D65C0000}"/>
    <cellStyle name="Rate 9" xfId="23759" xr:uid="{00000000-0005-0000-0000-0000D75C0000}"/>
    <cellStyle name="RatioX" xfId="23760" xr:uid="{00000000-0005-0000-0000-0000D85C0000}"/>
    <cellStyle name="RatioX 10" xfId="23761" xr:uid="{00000000-0005-0000-0000-0000D95C0000}"/>
    <cellStyle name="RatioX 11" xfId="23762" xr:uid="{00000000-0005-0000-0000-0000DA5C0000}"/>
    <cellStyle name="RatioX 12" xfId="23763" xr:uid="{00000000-0005-0000-0000-0000DB5C0000}"/>
    <cellStyle name="RatioX 13" xfId="23764" xr:uid="{00000000-0005-0000-0000-0000DC5C0000}"/>
    <cellStyle name="RatioX 14" xfId="23765" xr:uid="{00000000-0005-0000-0000-0000DD5C0000}"/>
    <cellStyle name="RatioX 15" xfId="23766" xr:uid="{00000000-0005-0000-0000-0000DE5C0000}"/>
    <cellStyle name="RatioX 16" xfId="23767" xr:uid="{00000000-0005-0000-0000-0000DF5C0000}"/>
    <cellStyle name="RatioX 17" xfId="23768" xr:uid="{00000000-0005-0000-0000-0000E05C0000}"/>
    <cellStyle name="RatioX 18" xfId="23769" xr:uid="{00000000-0005-0000-0000-0000E15C0000}"/>
    <cellStyle name="RatioX 19" xfId="23770" xr:uid="{00000000-0005-0000-0000-0000E25C0000}"/>
    <cellStyle name="RatioX 2" xfId="23771" xr:uid="{00000000-0005-0000-0000-0000E35C0000}"/>
    <cellStyle name="RatioX 20" xfId="23772" xr:uid="{00000000-0005-0000-0000-0000E45C0000}"/>
    <cellStyle name="RatioX 21" xfId="23773" xr:uid="{00000000-0005-0000-0000-0000E55C0000}"/>
    <cellStyle name="RatioX 22" xfId="23774" xr:uid="{00000000-0005-0000-0000-0000E65C0000}"/>
    <cellStyle name="RatioX 23" xfId="23775" xr:uid="{00000000-0005-0000-0000-0000E75C0000}"/>
    <cellStyle name="RatioX 23 2" xfId="23776" xr:uid="{00000000-0005-0000-0000-0000E85C0000}"/>
    <cellStyle name="RatioX 24" xfId="23777" xr:uid="{00000000-0005-0000-0000-0000E95C0000}"/>
    <cellStyle name="RatioX 24 2" xfId="23778" xr:uid="{00000000-0005-0000-0000-0000EA5C0000}"/>
    <cellStyle name="RatioX 25" xfId="23779" xr:uid="{00000000-0005-0000-0000-0000EB5C0000}"/>
    <cellStyle name="RatioX 26" xfId="23780" xr:uid="{00000000-0005-0000-0000-0000EC5C0000}"/>
    <cellStyle name="RatioX 27" xfId="23781" xr:uid="{00000000-0005-0000-0000-0000ED5C0000}"/>
    <cellStyle name="RatioX 28" xfId="23782" xr:uid="{00000000-0005-0000-0000-0000EE5C0000}"/>
    <cellStyle name="RatioX 29" xfId="23783" xr:uid="{00000000-0005-0000-0000-0000EF5C0000}"/>
    <cellStyle name="RatioX 29 2" xfId="23784" xr:uid="{00000000-0005-0000-0000-0000F05C0000}"/>
    <cellStyle name="RatioX 3" xfId="23785" xr:uid="{00000000-0005-0000-0000-0000F15C0000}"/>
    <cellStyle name="RatioX 3 2" xfId="23786" xr:uid="{00000000-0005-0000-0000-0000F25C0000}"/>
    <cellStyle name="RatioX 30" xfId="23787" xr:uid="{00000000-0005-0000-0000-0000F35C0000}"/>
    <cellStyle name="RatioX 31" xfId="23788" xr:uid="{00000000-0005-0000-0000-0000F45C0000}"/>
    <cellStyle name="RatioX 32" xfId="23789" xr:uid="{00000000-0005-0000-0000-0000F55C0000}"/>
    <cellStyle name="RatioX 33" xfId="23790" xr:uid="{00000000-0005-0000-0000-0000F65C0000}"/>
    <cellStyle name="RatioX 34" xfId="23791" xr:uid="{00000000-0005-0000-0000-0000F75C0000}"/>
    <cellStyle name="RatioX 35" xfId="23792" xr:uid="{00000000-0005-0000-0000-0000F85C0000}"/>
    <cellStyle name="RatioX 36" xfId="23793" xr:uid="{00000000-0005-0000-0000-0000F95C0000}"/>
    <cellStyle name="RatioX 37" xfId="23794" xr:uid="{00000000-0005-0000-0000-0000FA5C0000}"/>
    <cellStyle name="RatioX 38" xfId="23795" xr:uid="{00000000-0005-0000-0000-0000FB5C0000}"/>
    <cellStyle name="RatioX 4" xfId="23796" xr:uid="{00000000-0005-0000-0000-0000FC5C0000}"/>
    <cellStyle name="RatioX 4 2" xfId="23797" xr:uid="{00000000-0005-0000-0000-0000FD5C0000}"/>
    <cellStyle name="RatioX 5" xfId="23798" xr:uid="{00000000-0005-0000-0000-0000FE5C0000}"/>
    <cellStyle name="RatioX 5 2" xfId="23799" xr:uid="{00000000-0005-0000-0000-0000FF5C0000}"/>
    <cellStyle name="RatioX 6" xfId="23800" xr:uid="{00000000-0005-0000-0000-0000005D0000}"/>
    <cellStyle name="RatioX 6 2" xfId="23801" xr:uid="{00000000-0005-0000-0000-0000015D0000}"/>
    <cellStyle name="RatioX 7" xfId="23802" xr:uid="{00000000-0005-0000-0000-0000025D0000}"/>
    <cellStyle name="RatioX 7 2" xfId="23803" xr:uid="{00000000-0005-0000-0000-0000035D0000}"/>
    <cellStyle name="RatioX 8" xfId="23804" xr:uid="{00000000-0005-0000-0000-0000045D0000}"/>
    <cellStyle name="RatioX 8 2" xfId="23805" xr:uid="{00000000-0005-0000-0000-0000055D0000}"/>
    <cellStyle name="RatioX 9" xfId="23806" xr:uid="{00000000-0005-0000-0000-0000065D0000}"/>
    <cellStyle name="red" xfId="23807" xr:uid="{00000000-0005-0000-0000-0000075D0000}"/>
    <cellStyle name="red 10" xfId="23808" xr:uid="{00000000-0005-0000-0000-0000085D0000}"/>
    <cellStyle name="red 11" xfId="23809" xr:uid="{00000000-0005-0000-0000-0000095D0000}"/>
    <cellStyle name="red 12" xfId="23810" xr:uid="{00000000-0005-0000-0000-00000A5D0000}"/>
    <cellStyle name="red 13" xfId="23811" xr:uid="{00000000-0005-0000-0000-00000B5D0000}"/>
    <cellStyle name="red 14" xfId="23812" xr:uid="{00000000-0005-0000-0000-00000C5D0000}"/>
    <cellStyle name="red 15" xfId="23813" xr:uid="{00000000-0005-0000-0000-00000D5D0000}"/>
    <cellStyle name="red 16" xfId="23814" xr:uid="{00000000-0005-0000-0000-00000E5D0000}"/>
    <cellStyle name="red 17" xfId="23815" xr:uid="{00000000-0005-0000-0000-00000F5D0000}"/>
    <cellStyle name="red 18" xfId="23816" xr:uid="{00000000-0005-0000-0000-0000105D0000}"/>
    <cellStyle name="red 19" xfId="23817" xr:uid="{00000000-0005-0000-0000-0000115D0000}"/>
    <cellStyle name="red 2" xfId="23818" xr:uid="{00000000-0005-0000-0000-0000125D0000}"/>
    <cellStyle name="red 20" xfId="23819" xr:uid="{00000000-0005-0000-0000-0000135D0000}"/>
    <cellStyle name="red 21" xfId="23820" xr:uid="{00000000-0005-0000-0000-0000145D0000}"/>
    <cellStyle name="red 21 2" xfId="23821" xr:uid="{00000000-0005-0000-0000-0000155D0000}"/>
    <cellStyle name="red 3" xfId="23822" xr:uid="{00000000-0005-0000-0000-0000165D0000}"/>
    <cellStyle name="red 4" xfId="23823" xr:uid="{00000000-0005-0000-0000-0000175D0000}"/>
    <cellStyle name="red 5" xfId="23824" xr:uid="{00000000-0005-0000-0000-0000185D0000}"/>
    <cellStyle name="red 6" xfId="23825" xr:uid="{00000000-0005-0000-0000-0000195D0000}"/>
    <cellStyle name="red 7" xfId="23826" xr:uid="{00000000-0005-0000-0000-00001A5D0000}"/>
    <cellStyle name="red 8" xfId="23827" xr:uid="{00000000-0005-0000-0000-00001B5D0000}"/>
    <cellStyle name="red 9" xfId="23828" xr:uid="{00000000-0005-0000-0000-00001C5D0000}"/>
    <cellStyle name="regstoresfromspecstores" xfId="23829" xr:uid="{00000000-0005-0000-0000-00001D5D0000}"/>
    <cellStyle name="regstoresfromspecstores 10" xfId="23830" xr:uid="{00000000-0005-0000-0000-00001E5D0000}"/>
    <cellStyle name="regstoresfromspecstores 11" xfId="23831" xr:uid="{00000000-0005-0000-0000-00001F5D0000}"/>
    <cellStyle name="regstoresfromspecstores 12" xfId="23832" xr:uid="{00000000-0005-0000-0000-0000205D0000}"/>
    <cellStyle name="regstoresfromspecstores 13" xfId="23833" xr:uid="{00000000-0005-0000-0000-0000215D0000}"/>
    <cellStyle name="regstoresfromspecstores 14" xfId="23834" xr:uid="{00000000-0005-0000-0000-0000225D0000}"/>
    <cellStyle name="regstoresfromspecstores 15" xfId="23835" xr:uid="{00000000-0005-0000-0000-0000235D0000}"/>
    <cellStyle name="regstoresfromspecstores 16" xfId="23836" xr:uid="{00000000-0005-0000-0000-0000245D0000}"/>
    <cellStyle name="regstoresfromspecstores 17" xfId="23837" xr:uid="{00000000-0005-0000-0000-0000255D0000}"/>
    <cellStyle name="regstoresfromspecstores 18" xfId="23838" xr:uid="{00000000-0005-0000-0000-0000265D0000}"/>
    <cellStyle name="regstoresfromspecstores 19" xfId="23839" xr:uid="{00000000-0005-0000-0000-0000275D0000}"/>
    <cellStyle name="regstoresfromspecstores 2" xfId="23840" xr:uid="{00000000-0005-0000-0000-0000285D0000}"/>
    <cellStyle name="regstoresfromspecstores 20" xfId="23841" xr:uid="{00000000-0005-0000-0000-0000295D0000}"/>
    <cellStyle name="regstoresfromspecstores 21" xfId="23842" xr:uid="{00000000-0005-0000-0000-00002A5D0000}"/>
    <cellStyle name="regstoresfromspecstores 21 2" xfId="23843" xr:uid="{00000000-0005-0000-0000-00002B5D0000}"/>
    <cellStyle name="regstoresfromspecstores 3" xfId="23844" xr:uid="{00000000-0005-0000-0000-00002C5D0000}"/>
    <cellStyle name="regstoresfromspecstores 4" xfId="23845" xr:uid="{00000000-0005-0000-0000-00002D5D0000}"/>
    <cellStyle name="regstoresfromspecstores 5" xfId="23846" xr:uid="{00000000-0005-0000-0000-00002E5D0000}"/>
    <cellStyle name="regstoresfromspecstores 6" xfId="23847" xr:uid="{00000000-0005-0000-0000-00002F5D0000}"/>
    <cellStyle name="regstoresfromspecstores 7" xfId="23848" xr:uid="{00000000-0005-0000-0000-0000305D0000}"/>
    <cellStyle name="regstoresfromspecstores 8" xfId="23849" xr:uid="{00000000-0005-0000-0000-0000315D0000}"/>
    <cellStyle name="regstoresfromspecstores 9" xfId="23850" xr:uid="{00000000-0005-0000-0000-0000325D0000}"/>
    <cellStyle name="RevList" xfId="23851" xr:uid="{00000000-0005-0000-0000-0000335D0000}"/>
    <cellStyle name="RevList 10" xfId="23852" xr:uid="{00000000-0005-0000-0000-0000345D0000}"/>
    <cellStyle name="RevList 11" xfId="23853" xr:uid="{00000000-0005-0000-0000-0000355D0000}"/>
    <cellStyle name="RevList 12" xfId="23854" xr:uid="{00000000-0005-0000-0000-0000365D0000}"/>
    <cellStyle name="RevList 13" xfId="23855" xr:uid="{00000000-0005-0000-0000-0000375D0000}"/>
    <cellStyle name="RevList 14" xfId="23856" xr:uid="{00000000-0005-0000-0000-0000385D0000}"/>
    <cellStyle name="RevList 15" xfId="23857" xr:uid="{00000000-0005-0000-0000-0000395D0000}"/>
    <cellStyle name="RevList 16" xfId="23858" xr:uid="{00000000-0005-0000-0000-00003A5D0000}"/>
    <cellStyle name="RevList 17" xfId="23859" xr:uid="{00000000-0005-0000-0000-00003B5D0000}"/>
    <cellStyle name="RevList 18" xfId="23860" xr:uid="{00000000-0005-0000-0000-00003C5D0000}"/>
    <cellStyle name="RevList 19" xfId="23861" xr:uid="{00000000-0005-0000-0000-00003D5D0000}"/>
    <cellStyle name="RevList 2" xfId="23862" xr:uid="{00000000-0005-0000-0000-00003E5D0000}"/>
    <cellStyle name="RevList 20" xfId="23863" xr:uid="{00000000-0005-0000-0000-00003F5D0000}"/>
    <cellStyle name="RevList 21" xfId="23864" xr:uid="{00000000-0005-0000-0000-0000405D0000}"/>
    <cellStyle name="RevList 21 2" xfId="23865" xr:uid="{00000000-0005-0000-0000-0000415D0000}"/>
    <cellStyle name="RevList 3" xfId="23866" xr:uid="{00000000-0005-0000-0000-0000425D0000}"/>
    <cellStyle name="RevList 4" xfId="23867" xr:uid="{00000000-0005-0000-0000-0000435D0000}"/>
    <cellStyle name="RevList 5" xfId="23868" xr:uid="{00000000-0005-0000-0000-0000445D0000}"/>
    <cellStyle name="RevList 6" xfId="23869" xr:uid="{00000000-0005-0000-0000-0000455D0000}"/>
    <cellStyle name="RevList 7" xfId="23870" xr:uid="{00000000-0005-0000-0000-0000465D0000}"/>
    <cellStyle name="RevList 8" xfId="23871" xr:uid="{00000000-0005-0000-0000-0000475D0000}"/>
    <cellStyle name="RevList 9" xfId="23872" xr:uid="{00000000-0005-0000-0000-0000485D0000}"/>
    <cellStyle name="Right" xfId="23873" xr:uid="{00000000-0005-0000-0000-0000495D0000}"/>
    <cellStyle name="Right 10" xfId="23874" xr:uid="{00000000-0005-0000-0000-00004A5D0000}"/>
    <cellStyle name="Right 11" xfId="23875" xr:uid="{00000000-0005-0000-0000-00004B5D0000}"/>
    <cellStyle name="Right 12" xfId="23876" xr:uid="{00000000-0005-0000-0000-00004C5D0000}"/>
    <cellStyle name="Right 13" xfId="23877" xr:uid="{00000000-0005-0000-0000-00004D5D0000}"/>
    <cellStyle name="Right 14" xfId="23878" xr:uid="{00000000-0005-0000-0000-00004E5D0000}"/>
    <cellStyle name="Right 15" xfId="23879" xr:uid="{00000000-0005-0000-0000-00004F5D0000}"/>
    <cellStyle name="Right 16" xfId="23880" xr:uid="{00000000-0005-0000-0000-0000505D0000}"/>
    <cellStyle name="Right 17" xfId="23881" xr:uid="{00000000-0005-0000-0000-0000515D0000}"/>
    <cellStyle name="Right 18" xfId="23882" xr:uid="{00000000-0005-0000-0000-0000525D0000}"/>
    <cellStyle name="Right 19" xfId="23883" xr:uid="{00000000-0005-0000-0000-0000535D0000}"/>
    <cellStyle name="Right 2" xfId="23884" xr:uid="{00000000-0005-0000-0000-0000545D0000}"/>
    <cellStyle name="Right 20" xfId="23885" xr:uid="{00000000-0005-0000-0000-0000555D0000}"/>
    <cellStyle name="Right 21" xfId="23886" xr:uid="{00000000-0005-0000-0000-0000565D0000}"/>
    <cellStyle name="Right 21 2" xfId="23887" xr:uid="{00000000-0005-0000-0000-0000575D0000}"/>
    <cellStyle name="Right 3" xfId="23888" xr:uid="{00000000-0005-0000-0000-0000585D0000}"/>
    <cellStyle name="Right 4" xfId="23889" xr:uid="{00000000-0005-0000-0000-0000595D0000}"/>
    <cellStyle name="Right 5" xfId="23890" xr:uid="{00000000-0005-0000-0000-00005A5D0000}"/>
    <cellStyle name="Right 6" xfId="23891" xr:uid="{00000000-0005-0000-0000-00005B5D0000}"/>
    <cellStyle name="Right 7" xfId="23892" xr:uid="{00000000-0005-0000-0000-00005C5D0000}"/>
    <cellStyle name="Right 8" xfId="23893" xr:uid="{00000000-0005-0000-0000-00005D5D0000}"/>
    <cellStyle name="Right 9" xfId="23894" xr:uid="{00000000-0005-0000-0000-00005E5D0000}"/>
    <cellStyle name="RM" xfId="23895" xr:uid="{00000000-0005-0000-0000-00005F5D0000}"/>
    <cellStyle name="RM 10" xfId="23896" xr:uid="{00000000-0005-0000-0000-0000605D0000}"/>
    <cellStyle name="RM 11" xfId="23897" xr:uid="{00000000-0005-0000-0000-0000615D0000}"/>
    <cellStyle name="RM 12" xfId="23898" xr:uid="{00000000-0005-0000-0000-0000625D0000}"/>
    <cellStyle name="RM 13" xfId="23899" xr:uid="{00000000-0005-0000-0000-0000635D0000}"/>
    <cellStyle name="RM 14" xfId="23900" xr:uid="{00000000-0005-0000-0000-0000645D0000}"/>
    <cellStyle name="RM 15" xfId="23901" xr:uid="{00000000-0005-0000-0000-0000655D0000}"/>
    <cellStyle name="RM 16" xfId="23902" xr:uid="{00000000-0005-0000-0000-0000665D0000}"/>
    <cellStyle name="RM 17" xfId="23903" xr:uid="{00000000-0005-0000-0000-0000675D0000}"/>
    <cellStyle name="RM 18" xfId="23904" xr:uid="{00000000-0005-0000-0000-0000685D0000}"/>
    <cellStyle name="RM 19" xfId="23905" xr:uid="{00000000-0005-0000-0000-0000695D0000}"/>
    <cellStyle name="RM 2" xfId="23906" xr:uid="{00000000-0005-0000-0000-00006A5D0000}"/>
    <cellStyle name="RM 20" xfId="23907" xr:uid="{00000000-0005-0000-0000-00006B5D0000}"/>
    <cellStyle name="RM 21" xfId="23908" xr:uid="{00000000-0005-0000-0000-00006C5D0000}"/>
    <cellStyle name="RM 22" xfId="23909" xr:uid="{00000000-0005-0000-0000-00006D5D0000}"/>
    <cellStyle name="RM 23" xfId="23910" xr:uid="{00000000-0005-0000-0000-00006E5D0000}"/>
    <cellStyle name="RM 24" xfId="23911" xr:uid="{00000000-0005-0000-0000-00006F5D0000}"/>
    <cellStyle name="RM 25" xfId="23912" xr:uid="{00000000-0005-0000-0000-0000705D0000}"/>
    <cellStyle name="RM 26" xfId="23913" xr:uid="{00000000-0005-0000-0000-0000715D0000}"/>
    <cellStyle name="RM 27" xfId="23914" xr:uid="{00000000-0005-0000-0000-0000725D0000}"/>
    <cellStyle name="RM 28" xfId="23915" xr:uid="{00000000-0005-0000-0000-0000735D0000}"/>
    <cellStyle name="RM 29" xfId="23916" xr:uid="{00000000-0005-0000-0000-0000745D0000}"/>
    <cellStyle name="RM 29 2" xfId="23917" xr:uid="{00000000-0005-0000-0000-0000755D0000}"/>
    <cellStyle name="RM 3" xfId="23918" xr:uid="{00000000-0005-0000-0000-0000765D0000}"/>
    <cellStyle name="RM 30" xfId="23919" xr:uid="{00000000-0005-0000-0000-0000775D0000}"/>
    <cellStyle name="RM 31" xfId="23920" xr:uid="{00000000-0005-0000-0000-0000785D0000}"/>
    <cellStyle name="RM 32" xfId="23921" xr:uid="{00000000-0005-0000-0000-0000795D0000}"/>
    <cellStyle name="RM 33" xfId="23922" xr:uid="{00000000-0005-0000-0000-00007A5D0000}"/>
    <cellStyle name="RM 34" xfId="23923" xr:uid="{00000000-0005-0000-0000-00007B5D0000}"/>
    <cellStyle name="RM 35" xfId="23924" xr:uid="{00000000-0005-0000-0000-00007C5D0000}"/>
    <cellStyle name="RM 36" xfId="23925" xr:uid="{00000000-0005-0000-0000-00007D5D0000}"/>
    <cellStyle name="RM 37" xfId="23926" xr:uid="{00000000-0005-0000-0000-00007E5D0000}"/>
    <cellStyle name="RM 38" xfId="23927" xr:uid="{00000000-0005-0000-0000-00007F5D0000}"/>
    <cellStyle name="RM 4" xfId="23928" xr:uid="{00000000-0005-0000-0000-0000805D0000}"/>
    <cellStyle name="RM 5" xfId="23929" xr:uid="{00000000-0005-0000-0000-0000815D0000}"/>
    <cellStyle name="RM 6" xfId="23930" xr:uid="{00000000-0005-0000-0000-0000825D0000}"/>
    <cellStyle name="RM 7" xfId="23931" xr:uid="{00000000-0005-0000-0000-0000835D0000}"/>
    <cellStyle name="RM 8" xfId="23932" xr:uid="{00000000-0005-0000-0000-0000845D0000}"/>
    <cellStyle name="RM 9" xfId="23933" xr:uid="{00000000-0005-0000-0000-0000855D0000}"/>
    <cellStyle name="Row Headings" xfId="23934" xr:uid="{00000000-0005-0000-0000-0000865D0000}"/>
    <cellStyle name="Row Headings 10" xfId="23935" xr:uid="{00000000-0005-0000-0000-0000875D0000}"/>
    <cellStyle name="Row Headings 11" xfId="23936" xr:uid="{00000000-0005-0000-0000-0000885D0000}"/>
    <cellStyle name="Row Headings 12" xfId="23937" xr:uid="{00000000-0005-0000-0000-0000895D0000}"/>
    <cellStyle name="Row Headings 13" xfId="23938" xr:uid="{00000000-0005-0000-0000-00008A5D0000}"/>
    <cellStyle name="Row Headings 14" xfId="23939" xr:uid="{00000000-0005-0000-0000-00008B5D0000}"/>
    <cellStyle name="Row Headings 15" xfId="23940" xr:uid="{00000000-0005-0000-0000-00008C5D0000}"/>
    <cellStyle name="Row Headings 16" xfId="23941" xr:uid="{00000000-0005-0000-0000-00008D5D0000}"/>
    <cellStyle name="Row Headings 17" xfId="23942" xr:uid="{00000000-0005-0000-0000-00008E5D0000}"/>
    <cellStyle name="Row Headings 18" xfId="23943" xr:uid="{00000000-0005-0000-0000-00008F5D0000}"/>
    <cellStyle name="Row Headings 19" xfId="23944" xr:uid="{00000000-0005-0000-0000-0000905D0000}"/>
    <cellStyle name="Row Headings 2" xfId="23945" xr:uid="{00000000-0005-0000-0000-0000915D0000}"/>
    <cellStyle name="Row Headings 2 2" xfId="23946" xr:uid="{00000000-0005-0000-0000-0000925D0000}"/>
    <cellStyle name="Row Headings 20" xfId="23947" xr:uid="{00000000-0005-0000-0000-0000935D0000}"/>
    <cellStyle name="Row Headings 21" xfId="23948" xr:uid="{00000000-0005-0000-0000-0000945D0000}"/>
    <cellStyle name="Row Headings 22" xfId="23949" xr:uid="{00000000-0005-0000-0000-0000955D0000}"/>
    <cellStyle name="Row Headings 23" xfId="23950" xr:uid="{00000000-0005-0000-0000-0000965D0000}"/>
    <cellStyle name="Row Headings 23 2" xfId="23951" xr:uid="{00000000-0005-0000-0000-0000975D0000}"/>
    <cellStyle name="Row Headings 3" xfId="23952" xr:uid="{00000000-0005-0000-0000-0000985D0000}"/>
    <cellStyle name="Row Headings 3 2" xfId="23953" xr:uid="{00000000-0005-0000-0000-0000995D0000}"/>
    <cellStyle name="Row Headings 4" xfId="23954" xr:uid="{00000000-0005-0000-0000-00009A5D0000}"/>
    <cellStyle name="Row Headings 5" xfId="23955" xr:uid="{00000000-0005-0000-0000-00009B5D0000}"/>
    <cellStyle name="Row Headings 6" xfId="23956" xr:uid="{00000000-0005-0000-0000-00009C5D0000}"/>
    <cellStyle name="Row Headings 7" xfId="23957" xr:uid="{00000000-0005-0000-0000-00009D5D0000}"/>
    <cellStyle name="Row Headings 8" xfId="23958" xr:uid="{00000000-0005-0000-0000-00009E5D0000}"/>
    <cellStyle name="Row Headings 9" xfId="23959" xr:uid="{00000000-0005-0000-0000-00009F5D0000}"/>
    <cellStyle name="RowHeaderStyle" xfId="23960" xr:uid="{00000000-0005-0000-0000-0000A05D0000}"/>
    <cellStyle name="RowHeaderStyle 10" xfId="23961" xr:uid="{00000000-0005-0000-0000-0000A15D0000}"/>
    <cellStyle name="RowHeaderStyle 11" xfId="23962" xr:uid="{00000000-0005-0000-0000-0000A25D0000}"/>
    <cellStyle name="RowHeaderStyle 12" xfId="23963" xr:uid="{00000000-0005-0000-0000-0000A35D0000}"/>
    <cellStyle name="RowHeaderStyle 13" xfId="23964" xr:uid="{00000000-0005-0000-0000-0000A45D0000}"/>
    <cellStyle name="RowHeaderStyle 14" xfId="23965" xr:uid="{00000000-0005-0000-0000-0000A55D0000}"/>
    <cellStyle name="RowHeaderStyle 15" xfId="23966" xr:uid="{00000000-0005-0000-0000-0000A65D0000}"/>
    <cellStyle name="RowHeaderStyle 16" xfId="23967" xr:uid="{00000000-0005-0000-0000-0000A75D0000}"/>
    <cellStyle name="RowHeaderStyle 17" xfId="23968" xr:uid="{00000000-0005-0000-0000-0000A85D0000}"/>
    <cellStyle name="RowHeaderStyle 18" xfId="23969" xr:uid="{00000000-0005-0000-0000-0000A95D0000}"/>
    <cellStyle name="RowHeaderStyle 19" xfId="23970" xr:uid="{00000000-0005-0000-0000-0000AA5D0000}"/>
    <cellStyle name="RowHeaderStyle 2" xfId="23971" xr:uid="{00000000-0005-0000-0000-0000AB5D0000}"/>
    <cellStyle name="RowHeaderStyle 20" xfId="23972" xr:uid="{00000000-0005-0000-0000-0000AC5D0000}"/>
    <cellStyle name="RowHeaderStyle 21" xfId="23973" xr:uid="{00000000-0005-0000-0000-0000AD5D0000}"/>
    <cellStyle name="RowHeaderStyle 21 2" xfId="23974" xr:uid="{00000000-0005-0000-0000-0000AE5D0000}"/>
    <cellStyle name="RowHeaderStyle 3" xfId="23975" xr:uid="{00000000-0005-0000-0000-0000AF5D0000}"/>
    <cellStyle name="RowHeaderStyle 4" xfId="23976" xr:uid="{00000000-0005-0000-0000-0000B05D0000}"/>
    <cellStyle name="RowHeaderStyle 5" xfId="23977" xr:uid="{00000000-0005-0000-0000-0000B15D0000}"/>
    <cellStyle name="RowHeaderStyle 6" xfId="23978" xr:uid="{00000000-0005-0000-0000-0000B25D0000}"/>
    <cellStyle name="RowHeaderStyle 7" xfId="23979" xr:uid="{00000000-0005-0000-0000-0000B35D0000}"/>
    <cellStyle name="RowHeaderStyle 8" xfId="23980" xr:uid="{00000000-0005-0000-0000-0000B45D0000}"/>
    <cellStyle name="RowHeaderStyle 9" xfId="23981" xr:uid="{00000000-0005-0000-0000-0000B55D0000}"/>
    <cellStyle name="s" xfId="23982" xr:uid="{00000000-0005-0000-0000-0000B65D0000}"/>
    <cellStyle name="s 10" xfId="23983" xr:uid="{00000000-0005-0000-0000-0000B75D0000}"/>
    <cellStyle name="s 11" xfId="23984" xr:uid="{00000000-0005-0000-0000-0000B85D0000}"/>
    <cellStyle name="s 12" xfId="23985" xr:uid="{00000000-0005-0000-0000-0000B95D0000}"/>
    <cellStyle name="s 13" xfId="23986" xr:uid="{00000000-0005-0000-0000-0000BA5D0000}"/>
    <cellStyle name="s 14" xfId="23987" xr:uid="{00000000-0005-0000-0000-0000BB5D0000}"/>
    <cellStyle name="s 15" xfId="23988" xr:uid="{00000000-0005-0000-0000-0000BC5D0000}"/>
    <cellStyle name="s 16" xfId="23989" xr:uid="{00000000-0005-0000-0000-0000BD5D0000}"/>
    <cellStyle name="s 17" xfId="23990" xr:uid="{00000000-0005-0000-0000-0000BE5D0000}"/>
    <cellStyle name="s 18" xfId="23991" xr:uid="{00000000-0005-0000-0000-0000BF5D0000}"/>
    <cellStyle name="s 19" xfId="23992" xr:uid="{00000000-0005-0000-0000-0000C05D0000}"/>
    <cellStyle name="s 2" xfId="23993" xr:uid="{00000000-0005-0000-0000-0000C15D0000}"/>
    <cellStyle name="s 2 2" xfId="23994" xr:uid="{00000000-0005-0000-0000-0000C25D0000}"/>
    <cellStyle name="s 20" xfId="23995" xr:uid="{00000000-0005-0000-0000-0000C35D0000}"/>
    <cellStyle name="s 21" xfId="23996" xr:uid="{00000000-0005-0000-0000-0000C45D0000}"/>
    <cellStyle name="s 22" xfId="23997" xr:uid="{00000000-0005-0000-0000-0000C55D0000}"/>
    <cellStyle name="s 23" xfId="23998" xr:uid="{00000000-0005-0000-0000-0000C65D0000}"/>
    <cellStyle name="s 23 2" xfId="23999" xr:uid="{00000000-0005-0000-0000-0000C75D0000}"/>
    <cellStyle name="s 3" xfId="24000" xr:uid="{00000000-0005-0000-0000-0000C85D0000}"/>
    <cellStyle name="s 3 2" xfId="24001" xr:uid="{00000000-0005-0000-0000-0000C95D0000}"/>
    <cellStyle name="s 4" xfId="24002" xr:uid="{00000000-0005-0000-0000-0000CA5D0000}"/>
    <cellStyle name="s 5" xfId="24003" xr:uid="{00000000-0005-0000-0000-0000CB5D0000}"/>
    <cellStyle name="s 6" xfId="24004" xr:uid="{00000000-0005-0000-0000-0000CC5D0000}"/>
    <cellStyle name="s 7" xfId="24005" xr:uid="{00000000-0005-0000-0000-0000CD5D0000}"/>
    <cellStyle name="s 8" xfId="24006" xr:uid="{00000000-0005-0000-0000-0000CE5D0000}"/>
    <cellStyle name="s 9" xfId="24007" xr:uid="{00000000-0005-0000-0000-0000CF5D0000}"/>
    <cellStyle name="s_{6} Carry" xfId="24008" xr:uid="{00000000-0005-0000-0000-0000D05D0000}"/>
    <cellStyle name="s_{6} Clawback" xfId="24009" xr:uid="{00000000-0005-0000-0000-0000D15D0000}"/>
    <cellStyle name="s_AdditionalPrint Code" xfId="24010" xr:uid="{00000000-0005-0000-0000-0000D25D0000}"/>
    <cellStyle name="s_AdditionalPrint Code 10" xfId="24011" xr:uid="{00000000-0005-0000-0000-0000D35D0000}"/>
    <cellStyle name="s_AdditionalPrint Code 11" xfId="24012" xr:uid="{00000000-0005-0000-0000-0000D45D0000}"/>
    <cellStyle name="s_AdditionalPrint Code 12" xfId="24013" xr:uid="{00000000-0005-0000-0000-0000D55D0000}"/>
    <cellStyle name="s_AdditionalPrint Code 13" xfId="24014" xr:uid="{00000000-0005-0000-0000-0000D65D0000}"/>
    <cellStyle name="s_AdditionalPrint Code 14" xfId="24015" xr:uid="{00000000-0005-0000-0000-0000D75D0000}"/>
    <cellStyle name="s_AdditionalPrint Code 15" xfId="24016" xr:uid="{00000000-0005-0000-0000-0000D85D0000}"/>
    <cellStyle name="s_AdditionalPrint Code 16" xfId="24017" xr:uid="{00000000-0005-0000-0000-0000D95D0000}"/>
    <cellStyle name="s_AdditionalPrint Code 17" xfId="24018" xr:uid="{00000000-0005-0000-0000-0000DA5D0000}"/>
    <cellStyle name="s_AdditionalPrint Code 18" xfId="24019" xr:uid="{00000000-0005-0000-0000-0000DB5D0000}"/>
    <cellStyle name="s_AdditionalPrint Code 19" xfId="24020" xr:uid="{00000000-0005-0000-0000-0000DC5D0000}"/>
    <cellStyle name="s_AdditionalPrint Code 2" xfId="24021" xr:uid="{00000000-0005-0000-0000-0000DD5D0000}"/>
    <cellStyle name="s_AdditionalPrint Code 2 2" xfId="24022" xr:uid="{00000000-0005-0000-0000-0000DE5D0000}"/>
    <cellStyle name="s_AdditionalPrint Code 20" xfId="24023" xr:uid="{00000000-0005-0000-0000-0000DF5D0000}"/>
    <cellStyle name="s_AdditionalPrint Code 21" xfId="24024" xr:uid="{00000000-0005-0000-0000-0000E05D0000}"/>
    <cellStyle name="s_AdditionalPrint Code 22" xfId="24025" xr:uid="{00000000-0005-0000-0000-0000E15D0000}"/>
    <cellStyle name="s_AdditionalPrint Code 23" xfId="24026" xr:uid="{00000000-0005-0000-0000-0000E25D0000}"/>
    <cellStyle name="s_AdditionalPrint Code 23 2" xfId="24027" xr:uid="{00000000-0005-0000-0000-0000E35D0000}"/>
    <cellStyle name="s_AdditionalPrint Code 3" xfId="24028" xr:uid="{00000000-0005-0000-0000-0000E45D0000}"/>
    <cellStyle name="s_AdditionalPrint Code 3 2" xfId="24029" xr:uid="{00000000-0005-0000-0000-0000E55D0000}"/>
    <cellStyle name="s_AdditionalPrint Code 4" xfId="24030" xr:uid="{00000000-0005-0000-0000-0000E65D0000}"/>
    <cellStyle name="s_AdditionalPrint Code 5" xfId="24031" xr:uid="{00000000-0005-0000-0000-0000E75D0000}"/>
    <cellStyle name="s_AdditionalPrint Code 6" xfId="24032" xr:uid="{00000000-0005-0000-0000-0000E85D0000}"/>
    <cellStyle name="s_AdditionalPrint Code 7" xfId="24033" xr:uid="{00000000-0005-0000-0000-0000E95D0000}"/>
    <cellStyle name="s_AdditionalPrint Code 8" xfId="24034" xr:uid="{00000000-0005-0000-0000-0000EA5D0000}"/>
    <cellStyle name="s_AdditionalPrint Code 9" xfId="24035" xr:uid="{00000000-0005-0000-0000-0000EB5D0000}"/>
    <cellStyle name="s_AdditionalPrint Code_{6} Carry" xfId="24036" xr:uid="{00000000-0005-0000-0000-0000EC5D0000}"/>
    <cellStyle name="s_AdditionalPrint Code_{6} Clawback" xfId="24037" xr:uid="{00000000-0005-0000-0000-0000ED5D0000}"/>
    <cellStyle name="s_AdditionalPrint Code_1" xfId="24038" xr:uid="{00000000-0005-0000-0000-0000EE5D0000}"/>
    <cellStyle name="s_AdditionalPrint Code_1 10" xfId="24039" xr:uid="{00000000-0005-0000-0000-0000EF5D0000}"/>
    <cellStyle name="s_AdditionalPrint Code_1 11" xfId="24040" xr:uid="{00000000-0005-0000-0000-0000F05D0000}"/>
    <cellStyle name="s_AdditionalPrint Code_1 12" xfId="24041" xr:uid="{00000000-0005-0000-0000-0000F15D0000}"/>
    <cellStyle name="s_AdditionalPrint Code_1 13" xfId="24042" xr:uid="{00000000-0005-0000-0000-0000F25D0000}"/>
    <cellStyle name="s_AdditionalPrint Code_1 14" xfId="24043" xr:uid="{00000000-0005-0000-0000-0000F35D0000}"/>
    <cellStyle name="s_AdditionalPrint Code_1 15" xfId="24044" xr:uid="{00000000-0005-0000-0000-0000F45D0000}"/>
    <cellStyle name="s_AdditionalPrint Code_1 16" xfId="24045" xr:uid="{00000000-0005-0000-0000-0000F55D0000}"/>
    <cellStyle name="s_AdditionalPrint Code_1 17" xfId="24046" xr:uid="{00000000-0005-0000-0000-0000F65D0000}"/>
    <cellStyle name="s_AdditionalPrint Code_1 18" xfId="24047" xr:uid="{00000000-0005-0000-0000-0000F75D0000}"/>
    <cellStyle name="s_AdditionalPrint Code_1 19" xfId="24048" xr:uid="{00000000-0005-0000-0000-0000F85D0000}"/>
    <cellStyle name="s_AdditionalPrint Code_1 2" xfId="24049" xr:uid="{00000000-0005-0000-0000-0000F95D0000}"/>
    <cellStyle name="s_AdditionalPrint Code_1 2 2" xfId="24050" xr:uid="{00000000-0005-0000-0000-0000FA5D0000}"/>
    <cellStyle name="s_AdditionalPrint Code_1 20" xfId="24051" xr:uid="{00000000-0005-0000-0000-0000FB5D0000}"/>
    <cellStyle name="s_AdditionalPrint Code_1 21" xfId="24052" xr:uid="{00000000-0005-0000-0000-0000FC5D0000}"/>
    <cellStyle name="s_AdditionalPrint Code_1 22" xfId="24053" xr:uid="{00000000-0005-0000-0000-0000FD5D0000}"/>
    <cellStyle name="s_AdditionalPrint Code_1 23" xfId="24054" xr:uid="{00000000-0005-0000-0000-0000FE5D0000}"/>
    <cellStyle name="s_AdditionalPrint Code_1 23 2" xfId="24055" xr:uid="{00000000-0005-0000-0000-0000FF5D0000}"/>
    <cellStyle name="s_AdditionalPrint Code_1 3" xfId="24056" xr:uid="{00000000-0005-0000-0000-0000005E0000}"/>
    <cellStyle name="s_AdditionalPrint Code_1 3 2" xfId="24057" xr:uid="{00000000-0005-0000-0000-0000015E0000}"/>
    <cellStyle name="s_AdditionalPrint Code_1 4" xfId="24058" xr:uid="{00000000-0005-0000-0000-0000025E0000}"/>
    <cellStyle name="s_AdditionalPrint Code_1 5" xfId="24059" xr:uid="{00000000-0005-0000-0000-0000035E0000}"/>
    <cellStyle name="s_AdditionalPrint Code_1 6" xfId="24060" xr:uid="{00000000-0005-0000-0000-0000045E0000}"/>
    <cellStyle name="s_AdditionalPrint Code_1 7" xfId="24061" xr:uid="{00000000-0005-0000-0000-0000055E0000}"/>
    <cellStyle name="s_AdditionalPrint Code_1 8" xfId="24062" xr:uid="{00000000-0005-0000-0000-0000065E0000}"/>
    <cellStyle name="s_AdditionalPrint Code_1 9" xfId="24063" xr:uid="{00000000-0005-0000-0000-0000075E0000}"/>
    <cellStyle name="s_AdditionalPrint Code_1_{6} Carry" xfId="24064" xr:uid="{00000000-0005-0000-0000-0000085E0000}"/>
    <cellStyle name="s_AdditionalPrint Code_1_{6} Clawback" xfId="24065" xr:uid="{00000000-0005-0000-0000-0000095E0000}"/>
    <cellStyle name="s_AdditionalPrint Code_1_AIF IV Financial Highlights 12-31-08 v4" xfId="24066" xr:uid="{00000000-0005-0000-0000-00000A5E0000}"/>
    <cellStyle name="s_AdditionalPrint Code_1_AIF IV Financial Highlights 12-31-08 v4_Apollo Investment Fund IV  Q3 2009 Capital Analysis CURRENT" xfId="24067" xr:uid="{00000000-0005-0000-0000-00000B5E0000}"/>
    <cellStyle name="s_AdditionalPrint Code_1_AIF IV Financial Highlights 12-31-08 v4_Apollo Investment Fund IV  Q3 2009 Capital Analysis iPCS &amp; URI Distribution" xfId="24068" xr:uid="{00000000-0005-0000-0000-00000C5E0000}"/>
    <cellStyle name="s_AdditionalPrint Code_1_AIF IV Financial Highlights 12-31-08 v4_iPCs#1-Remaining" xfId="24069" xr:uid="{00000000-0005-0000-0000-00000D5E0000}"/>
    <cellStyle name="s_AdditionalPrint Code_1_AIF VI - BondcoVI_Entities Invested Capital (CURRENT)" xfId="24070" xr:uid="{00000000-0005-0000-0000-00000E5E0000}"/>
    <cellStyle name="s_AdditionalPrint Code_1_AIF VI Broadleaf Watefall Summary as of 6-30-09 FINAL" xfId="24071" xr:uid="{00000000-0005-0000-0000-00000F5E0000}"/>
    <cellStyle name="s_AdditionalPrint Code_1_AIF VI Broadleaf Watefall Summary as of 9-30-09" xfId="24072" xr:uid="{00000000-0005-0000-0000-0000105E0000}"/>
    <cellStyle name="s_AdditionalPrint Code_1_Andy Affrick - Schedulev2" xfId="24073" xr:uid="{00000000-0005-0000-0000-0000115E0000}"/>
    <cellStyle name="s_AdditionalPrint Code_1_Apollo Advisors IV 12-31-08 GAAP TB Final" xfId="24074" xr:uid="{00000000-0005-0000-0000-0000125E0000}"/>
    <cellStyle name="s_AdditionalPrint Code_1_Apollo Advisors IV 12-31-08 TB (Revised for Aggr PR)" xfId="24075" xr:uid="{00000000-0005-0000-0000-0000135E0000}"/>
    <cellStyle name="s_AdditionalPrint Code_1_Apollo Advisors IV 6-30-09 GAAP TB" xfId="24076" xr:uid="{00000000-0005-0000-0000-0000145E0000}"/>
    <cellStyle name="s_AdditionalPrint Code_1_Apollo Investment Fund IV  April Priority Return" xfId="24077" xr:uid="{00000000-0005-0000-0000-0000155E0000}"/>
    <cellStyle name="s_AdditionalPrint Code_1_Apollo Investment Fund IV  Q1 2009 Capital Analysis 5-22-09 with GAAP" xfId="24078" xr:uid="{00000000-0005-0000-0000-0000165E0000}"/>
    <cellStyle name="s_AdditionalPrint Code_1_Apollo Investment Fund IV  Q1 2009 Capital Analysis GAAP" xfId="24079" xr:uid="{00000000-0005-0000-0000-0000175E0000}"/>
    <cellStyle name="s_AdditionalPrint Code_1_Apollo Investment Fund IV  Q2 2009 Capital Analysis CURRENT" xfId="24080" xr:uid="{00000000-0005-0000-0000-0000185E0000}"/>
    <cellStyle name="s_AdditionalPrint Code_1_Apollo Investment Fund IV  Q3 2009 Capital Analysis CURRENT" xfId="24081" xr:uid="{00000000-0005-0000-0000-0000195E0000}"/>
    <cellStyle name="s_AdditionalPrint Code_1_Apollo Investment Fund IV  Q3 2009 Capital Analysis iPCS &amp; URI Distribution" xfId="24082" xr:uid="{00000000-0005-0000-0000-00001A5E0000}"/>
    <cellStyle name="s_AdditionalPrint Code_1_Apollo Investment Fund IV Priority Return 6-30-09" xfId="24083" xr:uid="{00000000-0005-0000-0000-00001B5E0000}"/>
    <cellStyle name="s_AdditionalPrint Code_1_Apollo Investment Fund IV Q1 2009 Capital Analysis PR CORRECTED 6-30-09" xfId="24084" xr:uid="{00000000-0005-0000-0000-00001C5E0000}"/>
    <cellStyle name="s_AdditionalPrint Code_1_Broadleaf Watefall 12-31-09" xfId="24085" xr:uid="{00000000-0005-0000-0000-00001D5E0000}"/>
    <cellStyle name="s_AdditionalPrint Code_1_Broadleaf Watefall 6-30-09" xfId="24086" xr:uid="{00000000-0005-0000-0000-00001E5E0000}"/>
    <cellStyle name="s_AdditionalPrint Code_1_Broadleaf Watefall 9-30-09" xfId="24087" xr:uid="{00000000-0005-0000-0000-00001F5E0000}"/>
    <cellStyle name="s_AdditionalPrint Code_1_Carry Calculation" xfId="24088" xr:uid="{00000000-0005-0000-0000-0000205E0000}"/>
    <cellStyle name="s_AdditionalPrint Code_1_Fund IV" xfId="24089" xr:uid="{00000000-0005-0000-0000-0000215E0000}"/>
    <cellStyle name="s_AdditionalPrint Code_1_Fund IV 9.30.08" xfId="24090" xr:uid="{00000000-0005-0000-0000-0000225E0000}"/>
    <cellStyle name="s_AdditionalPrint Code_1_Fund IV_1" xfId="24091" xr:uid="{00000000-0005-0000-0000-0000235E0000}"/>
    <cellStyle name="s_AdditionalPrint Code_1_Funds IV Clawback Adjustment Summary" xfId="24092" xr:uid="{00000000-0005-0000-0000-0000245E0000}"/>
    <cellStyle name="s_AdditionalPrint Code_1_Funds IV Clawback Value Adjustment" xfId="24093" xr:uid="{00000000-0005-0000-0000-0000255E0000}"/>
    <cellStyle name="s_AdditionalPrint Code_1_IC Balance" xfId="24094" xr:uid="{00000000-0005-0000-0000-0000265E0000}"/>
    <cellStyle name="s_AdditionalPrint Code_1_Invested Capital Debt Worksheet" xfId="24095" xr:uid="{00000000-0005-0000-0000-0000275E0000}"/>
    <cellStyle name="s_AdditionalPrint Code_1_Invested Capital Debt Worksheet_1" xfId="24096" xr:uid="{00000000-0005-0000-0000-0000285E0000}"/>
    <cellStyle name="s_AdditionalPrint Code_1_iPCs#1-Remaining" xfId="24097" xr:uid="{00000000-0005-0000-0000-0000295E0000}"/>
    <cellStyle name="s_AdditionalPrint Code_1_MMF Income" xfId="24098" xr:uid="{00000000-0005-0000-0000-00002A5E0000}"/>
    <cellStyle name="s_AdditionalPrint Code_1_Partners Capital Q1 2009" xfId="24099" xr:uid="{00000000-0005-0000-0000-00002B5E0000}"/>
    <cellStyle name="s_AdditionalPrint Code_1_Placement Fee Summary 05-14-09 - Current (2)" xfId="24100" xr:uid="{00000000-0005-0000-0000-00002C5E0000}"/>
    <cellStyle name="s_AdditionalPrint Code_1_PR Calc" xfId="24101" xr:uid="{00000000-0005-0000-0000-00002D5E0000}"/>
    <cellStyle name="s_AdditionalPrint Code_1_PR Calc - DOMESTIC" xfId="24102" xr:uid="{00000000-0005-0000-0000-00002E5E0000}"/>
    <cellStyle name="s_AdditionalPrint Code_1_RCIV Q3 2009 Capital Analysis CURRENT" xfId="24103" xr:uid="{00000000-0005-0000-0000-00002F5E0000}"/>
    <cellStyle name="s_AdditionalPrint Code_1_Sheet1" xfId="24104" xr:uid="{00000000-0005-0000-0000-0000305E0000}"/>
    <cellStyle name="s_AdditionalPrint Code_2" xfId="24105" xr:uid="{00000000-0005-0000-0000-0000315E0000}"/>
    <cellStyle name="s_AdditionalPrint Code_2 10" xfId="24106" xr:uid="{00000000-0005-0000-0000-0000325E0000}"/>
    <cellStyle name="s_AdditionalPrint Code_2 11" xfId="24107" xr:uid="{00000000-0005-0000-0000-0000335E0000}"/>
    <cellStyle name="s_AdditionalPrint Code_2 12" xfId="24108" xr:uid="{00000000-0005-0000-0000-0000345E0000}"/>
    <cellStyle name="s_AdditionalPrint Code_2 13" xfId="24109" xr:uid="{00000000-0005-0000-0000-0000355E0000}"/>
    <cellStyle name="s_AdditionalPrint Code_2 14" xfId="24110" xr:uid="{00000000-0005-0000-0000-0000365E0000}"/>
    <cellStyle name="s_AdditionalPrint Code_2 15" xfId="24111" xr:uid="{00000000-0005-0000-0000-0000375E0000}"/>
    <cellStyle name="s_AdditionalPrint Code_2 16" xfId="24112" xr:uid="{00000000-0005-0000-0000-0000385E0000}"/>
    <cellStyle name="s_AdditionalPrint Code_2 17" xfId="24113" xr:uid="{00000000-0005-0000-0000-0000395E0000}"/>
    <cellStyle name="s_AdditionalPrint Code_2 18" xfId="24114" xr:uid="{00000000-0005-0000-0000-00003A5E0000}"/>
    <cellStyle name="s_AdditionalPrint Code_2 19" xfId="24115" xr:uid="{00000000-0005-0000-0000-00003B5E0000}"/>
    <cellStyle name="s_AdditionalPrint Code_2 2" xfId="24116" xr:uid="{00000000-0005-0000-0000-00003C5E0000}"/>
    <cellStyle name="s_AdditionalPrint Code_2 2 2" xfId="24117" xr:uid="{00000000-0005-0000-0000-00003D5E0000}"/>
    <cellStyle name="s_AdditionalPrint Code_2 20" xfId="24118" xr:uid="{00000000-0005-0000-0000-00003E5E0000}"/>
    <cellStyle name="s_AdditionalPrint Code_2 21" xfId="24119" xr:uid="{00000000-0005-0000-0000-00003F5E0000}"/>
    <cellStyle name="s_AdditionalPrint Code_2 22" xfId="24120" xr:uid="{00000000-0005-0000-0000-0000405E0000}"/>
    <cellStyle name="s_AdditionalPrint Code_2 23" xfId="24121" xr:uid="{00000000-0005-0000-0000-0000415E0000}"/>
    <cellStyle name="s_AdditionalPrint Code_2 23 2" xfId="24122" xr:uid="{00000000-0005-0000-0000-0000425E0000}"/>
    <cellStyle name="s_AdditionalPrint Code_2 3" xfId="24123" xr:uid="{00000000-0005-0000-0000-0000435E0000}"/>
    <cellStyle name="s_AdditionalPrint Code_2 3 2" xfId="24124" xr:uid="{00000000-0005-0000-0000-0000445E0000}"/>
    <cellStyle name="s_AdditionalPrint Code_2 4" xfId="24125" xr:uid="{00000000-0005-0000-0000-0000455E0000}"/>
    <cellStyle name="s_AdditionalPrint Code_2 5" xfId="24126" xr:uid="{00000000-0005-0000-0000-0000465E0000}"/>
    <cellStyle name="s_AdditionalPrint Code_2 6" xfId="24127" xr:uid="{00000000-0005-0000-0000-0000475E0000}"/>
    <cellStyle name="s_AdditionalPrint Code_2 7" xfId="24128" xr:uid="{00000000-0005-0000-0000-0000485E0000}"/>
    <cellStyle name="s_AdditionalPrint Code_2 8" xfId="24129" xr:uid="{00000000-0005-0000-0000-0000495E0000}"/>
    <cellStyle name="s_AdditionalPrint Code_2 9" xfId="24130" xr:uid="{00000000-0005-0000-0000-00004A5E0000}"/>
    <cellStyle name="s_AdditionalPrint Code_2_{6} Carry" xfId="24131" xr:uid="{00000000-0005-0000-0000-00004B5E0000}"/>
    <cellStyle name="s_AdditionalPrint Code_2_{6} Clawback" xfId="24132" xr:uid="{00000000-0005-0000-0000-00004C5E0000}"/>
    <cellStyle name="s_AdditionalPrint Code_2_AIF IV Financial Highlights 12-31-08 v4" xfId="24133" xr:uid="{00000000-0005-0000-0000-00004D5E0000}"/>
    <cellStyle name="s_AdditionalPrint Code_2_AIF IV Financial Highlights 12-31-08 v4_Apollo Investment Fund IV  Q3 2009 Capital Analysis CURRENT" xfId="24134" xr:uid="{00000000-0005-0000-0000-00004E5E0000}"/>
    <cellStyle name="s_AdditionalPrint Code_2_AIF IV Financial Highlights 12-31-08 v4_Apollo Investment Fund IV  Q3 2009 Capital Analysis iPCS &amp; URI Distribution" xfId="24135" xr:uid="{00000000-0005-0000-0000-00004F5E0000}"/>
    <cellStyle name="s_AdditionalPrint Code_2_AIF IV Financial Highlights 12-31-08 v4_iPCs#1-Remaining" xfId="24136" xr:uid="{00000000-0005-0000-0000-0000505E0000}"/>
    <cellStyle name="s_AdditionalPrint Code_2_AIF VI - BondcoVI_Entities Invested Capital (CURRENT)" xfId="24137" xr:uid="{00000000-0005-0000-0000-0000515E0000}"/>
    <cellStyle name="s_AdditionalPrint Code_2_AIF VI Broadleaf Watefall Summary as of 6-30-09 FINAL" xfId="24138" xr:uid="{00000000-0005-0000-0000-0000525E0000}"/>
    <cellStyle name="s_AdditionalPrint Code_2_AIF VI Broadleaf Watefall Summary as of 9-30-09" xfId="24139" xr:uid="{00000000-0005-0000-0000-0000535E0000}"/>
    <cellStyle name="s_AdditionalPrint Code_2_Andy Affrick - Schedulev2" xfId="24140" xr:uid="{00000000-0005-0000-0000-0000545E0000}"/>
    <cellStyle name="s_AdditionalPrint Code_2_Apollo Investment Fund IV  April Priority Return" xfId="24141" xr:uid="{00000000-0005-0000-0000-0000555E0000}"/>
    <cellStyle name="s_AdditionalPrint Code_2_Apollo Investment Fund IV  Q1 2009 Capital Analysis 5-22-09 with GAAP" xfId="24142" xr:uid="{00000000-0005-0000-0000-0000565E0000}"/>
    <cellStyle name="s_AdditionalPrint Code_2_Apollo Investment Fund IV  Q1 2009 Capital Analysis GAAP" xfId="24143" xr:uid="{00000000-0005-0000-0000-0000575E0000}"/>
    <cellStyle name="s_AdditionalPrint Code_2_Apollo Investment Fund IV  Q2 2009 Capital Analysis CURRENT" xfId="24144" xr:uid="{00000000-0005-0000-0000-0000585E0000}"/>
    <cellStyle name="s_AdditionalPrint Code_2_Apollo Investment Fund IV  Q3 2009 Capital Analysis CURRENT" xfId="24145" xr:uid="{00000000-0005-0000-0000-0000595E0000}"/>
    <cellStyle name="s_AdditionalPrint Code_2_Apollo Investment Fund IV  Q3 2009 Capital Analysis iPCS &amp; URI Distribution" xfId="24146" xr:uid="{00000000-0005-0000-0000-00005A5E0000}"/>
    <cellStyle name="s_AdditionalPrint Code_2_Apollo Investment Fund IV Priority Return 6-30-09" xfId="24147" xr:uid="{00000000-0005-0000-0000-00005B5E0000}"/>
    <cellStyle name="s_AdditionalPrint Code_2_Apollo Investment Fund IV Q1 2009 Capital Analysis PR CORRECTED 6-30-09" xfId="24148" xr:uid="{00000000-0005-0000-0000-00005C5E0000}"/>
    <cellStyle name="s_AdditionalPrint Code_2_Broadleaf Watefall 12-31-09" xfId="24149" xr:uid="{00000000-0005-0000-0000-00005D5E0000}"/>
    <cellStyle name="s_AdditionalPrint Code_2_Broadleaf Watefall 6-30-09" xfId="24150" xr:uid="{00000000-0005-0000-0000-00005E5E0000}"/>
    <cellStyle name="s_AdditionalPrint Code_2_Broadleaf Watefall 9-30-09" xfId="24151" xr:uid="{00000000-0005-0000-0000-00005F5E0000}"/>
    <cellStyle name="s_AdditionalPrint Code_2_Carry Calculation" xfId="24152" xr:uid="{00000000-0005-0000-0000-0000605E0000}"/>
    <cellStyle name="s_AdditionalPrint Code_2_Fund IV" xfId="24153" xr:uid="{00000000-0005-0000-0000-0000615E0000}"/>
    <cellStyle name="s_AdditionalPrint Code_2_Fund IV 9.30.08" xfId="24154" xr:uid="{00000000-0005-0000-0000-0000625E0000}"/>
    <cellStyle name="s_AdditionalPrint Code_2_Fund IV_1" xfId="24155" xr:uid="{00000000-0005-0000-0000-0000635E0000}"/>
    <cellStyle name="s_AdditionalPrint Code_2_Funds IV Clawback Adjustment Summary" xfId="24156" xr:uid="{00000000-0005-0000-0000-0000645E0000}"/>
    <cellStyle name="s_AdditionalPrint Code_2_Funds IV Clawback Value Adjustment" xfId="24157" xr:uid="{00000000-0005-0000-0000-0000655E0000}"/>
    <cellStyle name="s_AdditionalPrint Code_2_IC Balance" xfId="24158" xr:uid="{00000000-0005-0000-0000-0000665E0000}"/>
    <cellStyle name="s_AdditionalPrint Code_2_Invested Capital Debt Worksheet" xfId="24159" xr:uid="{00000000-0005-0000-0000-0000675E0000}"/>
    <cellStyle name="s_AdditionalPrint Code_2_iPCs#1-Remaining" xfId="24160" xr:uid="{00000000-0005-0000-0000-0000685E0000}"/>
    <cellStyle name="s_AdditionalPrint Code_2_MMF Income" xfId="24161" xr:uid="{00000000-0005-0000-0000-0000695E0000}"/>
    <cellStyle name="s_AdditionalPrint Code_2_Partners Capital Q1 2009" xfId="24162" xr:uid="{00000000-0005-0000-0000-00006A5E0000}"/>
    <cellStyle name="s_AdditionalPrint Code_2_Placement Fee Summary 05-14-09 - Current (2)" xfId="24163" xr:uid="{00000000-0005-0000-0000-00006B5E0000}"/>
    <cellStyle name="s_AdditionalPrint Code_2_PR Calc" xfId="24164" xr:uid="{00000000-0005-0000-0000-00006C5E0000}"/>
    <cellStyle name="s_AdditionalPrint Code_2_PR Calc - DOMESTIC" xfId="24165" xr:uid="{00000000-0005-0000-0000-00006D5E0000}"/>
    <cellStyle name="s_AdditionalPrint Code_2_RCIV Q3 2009 Capital Analysis CURRENT" xfId="24166" xr:uid="{00000000-0005-0000-0000-00006E5E0000}"/>
    <cellStyle name="s_AdditionalPrint Code_AIF IV Financial Highlights 12-31-08 v4" xfId="24167" xr:uid="{00000000-0005-0000-0000-00006F5E0000}"/>
    <cellStyle name="s_AdditionalPrint Code_AIF IV Financial Highlights 12-31-08 v4_Apollo Investment Fund IV  Q3 2009 Capital Analysis CURRENT" xfId="24168" xr:uid="{00000000-0005-0000-0000-0000705E0000}"/>
    <cellStyle name="s_AdditionalPrint Code_AIF IV Financial Highlights 12-31-08 v4_Apollo Investment Fund IV  Q3 2009 Capital Analysis iPCS &amp; URI Distribution" xfId="24169" xr:uid="{00000000-0005-0000-0000-0000715E0000}"/>
    <cellStyle name="s_AdditionalPrint Code_AIF IV Financial Highlights 12-31-08 v4_iPCs#1-Remaining" xfId="24170" xr:uid="{00000000-0005-0000-0000-0000725E0000}"/>
    <cellStyle name="s_AdditionalPrint Code_AIF VI - BondcoVI_Entities Invested Capital (CURRENT)" xfId="24171" xr:uid="{00000000-0005-0000-0000-0000735E0000}"/>
    <cellStyle name="s_AdditionalPrint Code_AIF VI Broadleaf Watefall Summary as of 6-30-09 FINAL" xfId="24172" xr:uid="{00000000-0005-0000-0000-0000745E0000}"/>
    <cellStyle name="s_AdditionalPrint Code_AIF VI Broadleaf Watefall Summary as of 9-30-09" xfId="24173" xr:uid="{00000000-0005-0000-0000-0000755E0000}"/>
    <cellStyle name="s_AdditionalPrint Code_Andy Affrick - Schedulev2" xfId="24174" xr:uid="{00000000-0005-0000-0000-0000765E0000}"/>
    <cellStyle name="s_AdditionalPrint Code_Apollo Advisors IV 12-31-08 GAAP TB Final" xfId="24175" xr:uid="{00000000-0005-0000-0000-0000775E0000}"/>
    <cellStyle name="s_AdditionalPrint Code_Apollo Advisors IV 12-31-08 TB (Revised for Aggr PR)" xfId="24176" xr:uid="{00000000-0005-0000-0000-0000785E0000}"/>
    <cellStyle name="s_AdditionalPrint Code_Apollo Advisors IV 6-30-09 GAAP TB" xfId="24177" xr:uid="{00000000-0005-0000-0000-0000795E0000}"/>
    <cellStyle name="s_AdditionalPrint Code_Apollo Investment Fund IV  April Priority Return" xfId="24178" xr:uid="{00000000-0005-0000-0000-00007A5E0000}"/>
    <cellStyle name="s_AdditionalPrint Code_Apollo Investment Fund IV  Q1 2009 Capital Analysis 5-22-09 with GAAP" xfId="24179" xr:uid="{00000000-0005-0000-0000-00007B5E0000}"/>
    <cellStyle name="s_AdditionalPrint Code_Apollo Investment Fund IV  Q1 2009 Capital Analysis GAAP" xfId="24180" xr:uid="{00000000-0005-0000-0000-00007C5E0000}"/>
    <cellStyle name="s_AdditionalPrint Code_Apollo Investment Fund IV  Q2 2009 Capital Analysis CURRENT" xfId="24181" xr:uid="{00000000-0005-0000-0000-00007D5E0000}"/>
    <cellStyle name="s_AdditionalPrint Code_Apollo Investment Fund IV  Q3 2009 Capital Analysis CURRENT" xfId="24182" xr:uid="{00000000-0005-0000-0000-00007E5E0000}"/>
    <cellStyle name="s_AdditionalPrint Code_Apollo Investment Fund IV  Q3 2009 Capital Analysis iPCS &amp; URI Distribution" xfId="24183" xr:uid="{00000000-0005-0000-0000-00007F5E0000}"/>
    <cellStyle name="s_AdditionalPrint Code_Apollo Investment Fund IV Priority Return 6-30-09" xfId="24184" xr:uid="{00000000-0005-0000-0000-0000805E0000}"/>
    <cellStyle name="s_AdditionalPrint Code_Apollo Investment Fund IV Q1 2009 Capital Analysis PR CORRECTED 6-30-09" xfId="24185" xr:uid="{00000000-0005-0000-0000-0000815E0000}"/>
    <cellStyle name="s_AdditionalPrint Code_Broadleaf Watefall 12-31-09" xfId="24186" xr:uid="{00000000-0005-0000-0000-0000825E0000}"/>
    <cellStyle name="s_AdditionalPrint Code_Broadleaf Watefall 6-30-09" xfId="24187" xr:uid="{00000000-0005-0000-0000-0000835E0000}"/>
    <cellStyle name="s_AdditionalPrint Code_Broadleaf Watefall 9-30-09" xfId="24188" xr:uid="{00000000-0005-0000-0000-0000845E0000}"/>
    <cellStyle name="s_AdditionalPrint Code_Carry Calculation" xfId="24189" xr:uid="{00000000-0005-0000-0000-0000855E0000}"/>
    <cellStyle name="s_AdditionalPrint Code_Fund IV" xfId="24190" xr:uid="{00000000-0005-0000-0000-0000865E0000}"/>
    <cellStyle name="s_AdditionalPrint Code_Fund IV 9.30.08" xfId="24191" xr:uid="{00000000-0005-0000-0000-0000875E0000}"/>
    <cellStyle name="s_AdditionalPrint Code_Fund IV_1" xfId="24192" xr:uid="{00000000-0005-0000-0000-0000885E0000}"/>
    <cellStyle name="s_AdditionalPrint Code_Funds IV Clawback Adjustment Summary" xfId="24193" xr:uid="{00000000-0005-0000-0000-0000895E0000}"/>
    <cellStyle name="s_AdditionalPrint Code_Funds IV Clawback Value Adjustment" xfId="24194" xr:uid="{00000000-0005-0000-0000-00008A5E0000}"/>
    <cellStyle name="s_AdditionalPrint Code_IC Balance" xfId="24195" xr:uid="{00000000-0005-0000-0000-00008B5E0000}"/>
    <cellStyle name="s_AdditionalPrint Code_Invested Capital Debt Worksheet" xfId="24196" xr:uid="{00000000-0005-0000-0000-00008C5E0000}"/>
    <cellStyle name="s_AdditionalPrint Code_Invested Capital Debt Worksheet_1" xfId="24197" xr:uid="{00000000-0005-0000-0000-00008D5E0000}"/>
    <cellStyle name="s_AdditionalPrint Code_iPCs#1-Remaining" xfId="24198" xr:uid="{00000000-0005-0000-0000-00008E5E0000}"/>
    <cellStyle name="s_AdditionalPrint Code_MMF Income" xfId="24199" xr:uid="{00000000-0005-0000-0000-00008F5E0000}"/>
    <cellStyle name="s_AdditionalPrint Code_Partners Capital Q1 2009" xfId="24200" xr:uid="{00000000-0005-0000-0000-0000905E0000}"/>
    <cellStyle name="s_AdditionalPrint Code_Placement Fee Summary 05-14-09 - Current (2)" xfId="24201" xr:uid="{00000000-0005-0000-0000-0000915E0000}"/>
    <cellStyle name="s_AdditionalPrint Code_PR Calc" xfId="24202" xr:uid="{00000000-0005-0000-0000-0000925E0000}"/>
    <cellStyle name="s_AdditionalPrint Code_PR Calc - DOMESTIC" xfId="24203" xr:uid="{00000000-0005-0000-0000-0000935E0000}"/>
    <cellStyle name="s_AdditionalPrint Code_RCIV Q3 2009 Capital Analysis CURRENT" xfId="24204" xr:uid="{00000000-0005-0000-0000-0000945E0000}"/>
    <cellStyle name="s_AdditionalPrint Code_Sheet1" xfId="24205" xr:uid="{00000000-0005-0000-0000-0000955E0000}"/>
    <cellStyle name="s_Agnesi (2)" xfId="24206" xr:uid="{00000000-0005-0000-0000-0000965E0000}"/>
    <cellStyle name="s_Agnesi (2) 10" xfId="24207" xr:uid="{00000000-0005-0000-0000-0000975E0000}"/>
    <cellStyle name="s_Agnesi (2) 11" xfId="24208" xr:uid="{00000000-0005-0000-0000-0000985E0000}"/>
    <cellStyle name="s_Agnesi (2) 12" xfId="24209" xr:uid="{00000000-0005-0000-0000-0000995E0000}"/>
    <cellStyle name="s_Agnesi (2) 13" xfId="24210" xr:uid="{00000000-0005-0000-0000-00009A5E0000}"/>
    <cellStyle name="s_Agnesi (2) 14" xfId="24211" xr:uid="{00000000-0005-0000-0000-00009B5E0000}"/>
    <cellStyle name="s_Agnesi (2) 15" xfId="24212" xr:uid="{00000000-0005-0000-0000-00009C5E0000}"/>
    <cellStyle name="s_Agnesi (2) 16" xfId="24213" xr:uid="{00000000-0005-0000-0000-00009D5E0000}"/>
    <cellStyle name="s_Agnesi (2) 17" xfId="24214" xr:uid="{00000000-0005-0000-0000-00009E5E0000}"/>
    <cellStyle name="s_Agnesi (2) 18" xfId="24215" xr:uid="{00000000-0005-0000-0000-00009F5E0000}"/>
    <cellStyle name="s_Agnesi (2) 19" xfId="24216" xr:uid="{00000000-0005-0000-0000-0000A05E0000}"/>
    <cellStyle name="s_Agnesi (2) 2" xfId="24217" xr:uid="{00000000-0005-0000-0000-0000A15E0000}"/>
    <cellStyle name="s_Agnesi (2) 2 2" xfId="24218" xr:uid="{00000000-0005-0000-0000-0000A25E0000}"/>
    <cellStyle name="s_Agnesi (2) 20" xfId="24219" xr:uid="{00000000-0005-0000-0000-0000A35E0000}"/>
    <cellStyle name="s_Agnesi (2) 21" xfId="24220" xr:uid="{00000000-0005-0000-0000-0000A45E0000}"/>
    <cellStyle name="s_Agnesi (2) 22" xfId="24221" xr:uid="{00000000-0005-0000-0000-0000A55E0000}"/>
    <cellStyle name="s_Agnesi (2) 23" xfId="24222" xr:uid="{00000000-0005-0000-0000-0000A65E0000}"/>
    <cellStyle name="s_Agnesi (2) 23 2" xfId="24223" xr:uid="{00000000-0005-0000-0000-0000A75E0000}"/>
    <cellStyle name="s_Agnesi (2) 3" xfId="24224" xr:uid="{00000000-0005-0000-0000-0000A85E0000}"/>
    <cellStyle name="s_Agnesi (2) 3 2" xfId="24225" xr:uid="{00000000-0005-0000-0000-0000A95E0000}"/>
    <cellStyle name="s_Agnesi (2) 4" xfId="24226" xr:uid="{00000000-0005-0000-0000-0000AA5E0000}"/>
    <cellStyle name="s_Agnesi (2) 5" xfId="24227" xr:uid="{00000000-0005-0000-0000-0000AB5E0000}"/>
    <cellStyle name="s_Agnesi (2) 6" xfId="24228" xr:uid="{00000000-0005-0000-0000-0000AC5E0000}"/>
    <cellStyle name="s_Agnesi (2) 7" xfId="24229" xr:uid="{00000000-0005-0000-0000-0000AD5E0000}"/>
    <cellStyle name="s_Agnesi (2) 8" xfId="24230" xr:uid="{00000000-0005-0000-0000-0000AE5E0000}"/>
    <cellStyle name="s_Agnesi (2) 9" xfId="24231" xr:uid="{00000000-0005-0000-0000-0000AF5E0000}"/>
    <cellStyle name="s_Agnesi (2)_{6} Carry" xfId="24232" xr:uid="{00000000-0005-0000-0000-0000B05E0000}"/>
    <cellStyle name="s_Agnesi (2)_{6} Clawback" xfId="24233" xr:uid="{00000000-0005-0000-0000-0000B15E0000}"/>
    <cellStyle name="s_Agnesi (2)_1" xfId="24234" xr:uid="{00000000-0005-0000-0000-0000B25E0000}"/>
    <cellStyle name="s_Agnesi (2)_1 10" xfId="24235" xr:uid="{00000000-0005-0000-0000-0000B35E0000}"/>
    <cellStyle name="s_Agnesi (2)_1 11" xfId="24236" xr:uid="{00000000-0005-0000-0000-0000B45E0000}"/>
    <cellStyle name="s_Agnesi (2)_1 12" xfId="24237" xr:uid="{00000000-0005-0000-0000-0000B55E0000}"/>
    <cellStyle name="s_Agnesi (2)_1 13" xfId="24238" xr:uid="{00000000-0005-0000-0000-0000B65E0000}"/>
    <cellStyle name="s_Agnesi (2)_1 14" xfId="24239" xr:uid="{00000000-0005-0000-0000-0000B75E0000}"/>
    <cellStyle name="s_Agnesi (2)_1 15" xfId="24240" xr:uid="{00000000-0005-0000-0000-0000B85E0000}"/>
    <cellStyle name="s_Agnesi (2)_1 16" xfId="24241" xr:uid="{00000000-0005-0000-0000-0000B95E0000}"/>
    <cellStyle name="s_Agnesi (2)_1 17" xfId="24242" xr:uid="{00000000-0005-0000-0000-0000BA5E0000}"/>
    <cellStyle name="s_Agnesi (2)_1 18" xfId="24243" xr:uid="{00000000-0005-0000-0000-0000BB5E0000}"/>
    <cellStyle name="s_Agnesi (2)_1 19" xfId="24244" xr:uid="{00000000-0005-0000-0000-0000BC5E0000}"/>
    <cellStyle name="s_Agnesi (2)_1 2" xfId="24245" xr:uid="{00000000-0005-0000-0000-0000BD5E0000}"/>
    <cellStyle name="s_Agnesi (2)_1 2 2" xfId="24246" xr:uid="{00000000-0005-0000-0000-0000BE5E0000}"/>
    <cellStyle name="s_Agnesi (2)_1 20" xfId="24247" xr:uid="{00000000-0005-0000-0000-0000BF5E0000}"/>
    <cellStyle name="s_Agnesi (2)_1 21" xfId="24248" xr:uid="{00000000-0005-0000-0000-0000C05E0000}"/>
    <cellStyle name="s_Agnesi (2)_1 22" xfId="24249" xr:uid="{00000000-0005-0000-0000-0000C15E0000}"/>
    <cellStyle name="s_Agnesi (2)_1 23" xfId="24250" xr:uid="{00000000-0005-0000-0000-0000C25E0000}"/>
    <cellStyle name="s_Agnesi (2)_1 23 2" xfId="24251" xr:uid="{00000000-0005-0000-0000-0000C35E0000}"/>
    <cellStyle name="s_Agnesi (2)_1 3" xfId="24252" xr:uid="{00000000-0005-0000-0000-0000C45E0000}"/>
    <cellStyle name="s_Agnesi (2)_1 3 2" xfId="24253" xr:uid="{00000000-0005-0000-0000-0000C55E0000}"/>
    <cellStyle name="s_Agnesi (2)_1 4" xfId="24254" xr:uid="{00000000-0005-0000-0000-0000C65E0000}"/>
    <cellStyle name="s_Agnesi (2)_1 5" xfId="24255" xr:uid="{00000000-0005-0000-0000-0000C75E0000}"/>
    <cellStyle name="s_Agnesi (2)_1 6" xfId="24256" xr:uid="{00000000-0005-0000-0000-0000C85E0000}"/>
    <cellStyle name="s_Agnesi (2)_1 7" xfId="24257" xr:uid="{00000000-0005-0000-0000-0000C95E0000}"/>
    <cellStyle name="s_Agnesi (2)_1 8" xfId="24258" xr:uid="{00000000-0005-0000-0000-0000CA5E0000}"/>
    <cellStyle name="s_Agnesi (2)_1 9" xfId="24259" xr:uid="{00000000-0005-0000-0000-0000CB5E0000}"/>
    <cellStyle name="s_Agnesi (2)_1_{6} Carry" xfId="24260" xr:uid="{00000000-0005-0000-0000-0000CC5E0000}"/>
    <cellStyle name="s_Agnesi (2)_1_{6} Clawback" xfId="24261" xr:uid="{00000000-0005-0000-0000-0000CD5E0000}"/>
    <cellStyle name="s_Agnesi (2)_1_AIF IV Financial Highlights 12-31-08 v4" xfId="24262" xr:uid="{00000000-0005-0000-0000-0000CE5E0000}"/>
    <cellStyle name="s_Agnesi (2)_1_AIF IV Financial Highlights 12-31-08 v4_Apollo Investment Fund IV  Q3 2009 Capital Analysis CURRENT" xfId="24263" xr:uid="{00000000-0005-0000-0000-0000CF5E0000}"/>
    <cellStyle name="s_Agnesi (2)_1_AIF IV Financial Highlights 12-31-08 v4_Apollo Investment Fund IV  Q3 2009 Capital Analysis iPCS &amp; URI Distribution" xfId="24264" xr:uid="{00000000-0005-0000-0000-0000D05E0000}"/>
    <cellStyle name="s_Agnesi (2)_1_AIF IV Financial Highlights 12-31-08 v4_iPCs#1-Remaining" xfId="24265" xr:uid="{00000000-0005-0000-0000-0000D15E0000}"/>
    <cellStyle name="s_Agnesi (2)_1_AIF VI - BondcoVI_Entities Invested Capital (CURRENT)" xfId="24266" xr:uid="{00000000-0005-0000-0000-0000D25E0000}"/>
    <cellStyle name="s_Agnesi (2)_1_AIF VI Broadleaf Watefall Summary as of 6-30-09 FINAL" xfId="24267" xr:uid="{00000000-0005-0000-0000-0000D35E0000}"/>
    <cellStyle name="s_Agnesi (2)_1_AIF VI Broadleaf Watefall Summary as of 9-30-09" xfId="24268" xr:uid="{00000000-0005-0000-0000-0000D45E0000}"/>
    <cellStyle name="s_Agnesi (2)_1_Andy Affrick - Schedulev2" xfId="24269" xr:uid="{00000000-0005-0000-0000-0000D55E0000}"/>
    <cellStyle name="s_Agnesi (2)_1_Apollo Investment Fund IV  April Priority Return" xfId="24270" xr:uid="{00000000-0005-0000-0000-0000D65E0000}"/>
    <cellStyle name="s_Agnesi (2)_1_Apollo Investment Fund IV  Q1 2009 Capital Analysis 5-22-09 with GAAP" xfId="24271" xr:uid="{00000000-0005-0000-0000-0000D75E0000}"/>
    <cellStyle name="s_Agnesi (2)_1_Apollo Investment Fund IV  Q1 2009 Capital Analysis GAAP" xfId="24272" xr:uid="{00000000-0005-0000-0000-0000D85E0000}"/>
    <cellStyle name="s_Agnesi (2)_1_Apollo Investment Fund IV  Q2 2009 Capital Analysis CURRENT" xfId="24273" xr:uid="{00000000-0005-0000-0000-0000D95E0000}"/>
    <cellStyle name="s_Agnesi (2)_1_Apollo Investment Fund IV  Q3 2009 Capital Analysis CURRENT" xfId="24274" xr:uid="{00000000-0005-0000-0000-0000DA5E0000}"/>
    <cellStyle name="s_Agnesi (2)_1_Apollo Investment Fund IV  Q3 2009 Capital Analysis iPCS &amp; URI Distribution" xfId="24275" xr:uid="{00000000-0005-0000-0000-0000DB5E0000}"/>
    <cellStyle name="s_Agnesi (2)_1_Apollo Investment Fund IV Priority Return 6-30-09" xfId="24276" xr:uid="{00000000-0005-0000-0000-0000DC5E0000}"/>
    <cellStyle name="s_Agnesi (2)_1_Apollo Investment Fund IV Q1 2009 Capital Analysis PR CORRECTED 6-30-09" xfId="24277" xr:uid="{00000000-0005-0000-0000-0000DD5E0000}"/>
    <cellStyle name="s_Agnesi (2)_1_Broadleaf Watefall 12-31-09" xfId="24278" xr:uid="{00000000-0005-0000-0000-0000DE5E0000}"/>
    <cellStyle name="s_Agnesi (2)_1_Broadleaf Watefall 6-30-09" xfId="24279" xr:uid="{00000000-0005-0000-0000-0000DF5E0000}"/>
    <cellStyle name="s_Agnesi (2)_1_Broadleaf Watefall 9-30-09" xfId="24280" xr:uid="{00000000-0005-0000-0000-0000E05E0000}"/>
    <cellStyle name="s_Agnesi (2)_1_Carry Calculation" xfId="24281" xr:uid="{00000000-0005-0000-0000-0000E15E0000}"/>
    <cellStyle name="s_Agnesi (2)_1_Fund IV" xfId="24282" xr:uid="{00000000-0005-0000-0000-0000E25E0000}"/>
    <cellStyle name="s_Agnesi (2)_1_Fund IV 9.30.08" xfId="24283" xr:uid="{00000000-0005-0000-0000-0000E35E0000}"/>
    <cellStyle name="s_Agnesi (2)_1_Fund IV_1" xfId="24284" xr:uid="{00000000-0005-0000-0000-0000E45E0000}"/>
    <cellStyle name="s_Agnesi (2)_1_Funds IV Clawback Adjustment Summary" xfId="24285" xr:uid="{00000000-0005-0000-0000-0000E55E0000}"/>
    <cellStyle name="s_Agnesi (2)_1_Funds IV Clawback Value Adjustment" xfId="24286" xr:uid="{00000000-0005-0000-0000-0000E65E0000}"/>
    <cellStyle name="s_Agnesi (2)_1_IC Balance" xfId="24287" xr:uid="{00000000-0005-0000-0000-0000E75E0000}"/>
    <cellStyle name="s_Agnesi (2)_1_Invested Capital Debt Worksheet" xfId="24288" xr:uid="{00000000-0005-0000-0000-0000E85E0000}"/>
    <cellStyle name="s_Agnesi (2)_1_iPCs#1-Remaining" xfId="24289" xr:uid="{00000000-0005-0000-0000-0000E95E0000}"/>
    <cellStyle name="s_Agnesi (2)_1_MMF Income" xfId="24290" xr:uid="{00000000-0005-0000-0000-0000EA5E0000}"/>
    <cellStyle name="s_Agnesi (2)_1_Partners Capital Q1 2009" xfId="24291" xr:uid="{00000000-0005-0000-0000-0000EB5E0000}"/>
    <cellStyle name="s_Agnesi (2)_1_Placement Fee Summary 05-14-09 - Current (2)" xfId="24292" xr:uid="{00000000-0005-0000-0000-0000EC5E0000}"/>
    <cellStyle name="s_Agnesi (2)_1_PR Calc" xfId="24293" xr:uid="{00000000-0005-0000-0000-0000ED5E0000}"/>
    <cellStyle name="s_Agnesi (2)_1_PR Calc - DOMESTIC" xfId="24294" xr:uid="{00000000-0005-0000-0000-0000EE5E0000}"/>
    <cellStyle name="s_Agnesi (2)_1_RCIV Q3 2009 Capital Analysis CURRENT" xfId="24295" xr:uid="{00000000-0005-0000-0000-0000EF5E0000}"/>
    <cellStyle name="s_Agnesi (2)_AIF IV Financial Highlights 12-31-08 v4" xfId="24296" xr:uid="{00000000-0005-0000-0000-0000F05E0000}"/>
    <cellStyle name="s_Agnesi (2)_AIF IV Financial Highlights 12-31-08 v4_Apollo Investment Fund IV  Q3 2009 Capital Analysis CURRENT" xfId="24297" xr:uid="{00000000-0005-0000-0000-0000F15E0000}"/>
    <cellStyle name="s_Agnesi (2)_AIF IV Financial Highlights 12-31-08 v4_Apollo Investment Fund IV  Q3 2009 Capital Analysis iPCS &amp; URI Distribution" xfId="24298" xr:uid="{00000000-0005-0000-0000-0000F25E0000}"/>
    <cellStyle name="s_Agnesi (2)_AIF IV Financial Highlights 12-31-08 v4_iPCs#1-Remaining" xfId="24299" xr:uid="{00000000-0005-0000-0000-0000F35E0000}"/>
    <cellStyle name="s_Agnesi (2)_AIF VI - BondcoVI_Entities Invested Capital (CURRENT)" xfId="24300" xr:uid="{00000000-0005-0000-0000-0000F45E0000}"/>
    <cellStyle name="s_Agnesi (2)_AIF VI Broadleaf Watefall Summary as of 6-30-09 FINAL" xfId="24301" xr:uid="{00000000-0005-0000-0000-0000F55E0000}"/>
    <cellStyle name="s_Agnesi (2)_AIF VI Broadleaf Watefall Summary as of 9-30-09" xfId="24302" xr:uid="{00000000-0005-0000-0000-0000F65E0000}"/>
    <cellStyle name="s_Agnesi (2)_Andy Affrick - Schedulev2" xfId="24303" xr:uid="{00000000-0005-0000-0000-0000F75E0000}"/>
    <cellStyle name="s_Agnesi (2)_Apollo Advisors IV 12-31-08 GAAP TB Final" xfId="24304" xr:uid="{00000000-0005-0000-0000-0000F85E0000}"/>
    <cellStyle name="s_Agnesi (2)_Apollo Advisors IV 12-31-08 TB (Revised for Aggr PR)" xfId="24305" xr:uid="{00000000-0005-0000-0000-0000F95E0000}"/>
    <cellStyle name="s_Agnesi (2)_Apollo Advisors IV 6-30-09 GAAP TB" xfId="24306" xr:uid="{00000000-0005-0000-0000-0000FA5E0000}"/>
    <cellStyle name="s_Agnesi (2)_Apollo Investment Fund IV  April Priority Return" xfId="24307" xr:uid="{00000000-0005-0000-0000-0000FB5E0000}"/>
    <cellStyle name="s_Agnesi (2)_Apollo Investment Fund IV  Q1 2009 Capital Analysis 5-22-09 with GAAP" xfId="24308" xr:uid="{00000000-0005-0000-0000-0000FC5E0000}"/>
    <cellStyle name="s_Agnesi (2)_Apollo Investment Fund IV  Q1 2009 Capital Analysis GAAP" xfId="24309" xr:uid="{00000000-0005-0000-0000-0000FD5E0000}"/>
    <cellStyle name="s_Agnesi (2)_Apollo Investment Fund IV  Q2 2009 Capital Analysis CURRENT" xfId="24310" xr:uid="{00000000-0005-0000-0000-0000FE5E0000}"/>
    <cellStyle name="s_Agnesi (2)_Apollo Investment Fund IV  Q3 2009 Capital Analysis CURRENT" xfId="24311" xr:uid="{00000000-0005-0000-0000-0000FF5E0000}"/>
    <cellStyle name="s_Agnesi (2)_Apollo Investment Fund IV  Q3 2009 Capital Analysis iPCS &amp; URI Distribution" xfId="24312" xr:uid="{00000000-0005-0000-0000-0000005F0000}"/>
    <cellStyle name="s_Agnesi (2)_Apollo Investment Fund IV Priority Return 6-30-09" xfId="24313" xr:uid="{00000000-0005-0000-0000-0000015F0000}"/>
    <cellStyle name="s_Agnesi (2)_Apollo Investment Fund IV Q1 2009 Capital Analysis PR CORRECTED 6-30-09" xfId="24314" xr:uid="{00000000-0005-0000-0000-0000025F0000}"/>
    <cellStyle name="s_Agnesi (2)_Broadleaf Watefall 12-31-09" xfId="24315" xr:uid="{00000000-0005-0000-0000-0000035F0000}"/>
    <cellStyle name="s_Agnesi (2)_Broadleaf Watefall 6-30-09" xfId="24316" xr:uid="{00000000-0005-0000-0000-0000045F0000}"/>
    <cellStyle name="s_Agnesi (2)_Broadleaf Watefall 9-30-09" xfId="24317" xr:uid="{00000000-0005-0000-0000-0000055F0000}"/>
    <cellStyle name="s_Agnesi (2)_Carry Calculation" xfId="24318" xr:uid="{00000000-0005-0000-0000-0000065F0000}"/>
    <cellStyle name="s_Agnesi (2)_Fund IV" xfId="24319" xr:uid="{00000000-0005-0000-0000-0000075F0000}"/>
    <cellStyle name="s_Agnesi (2)_Fund IV 9.30.08" xfId="24320" xr:uid="{00000000-0005-0000-0000-0000085F0000}"/>
    <cellStyle name="s_Agnesi (2)_Fund IV_1" xfId="24321" xr:uid="{00000000-0005-0000-0000-0000095F0000}"/>
    <cellStyle name="s_Agnesi (2)_Funds IV Clawback Adjustment Summary" xfId="24322" xr:uid="{00000000-0005-0000-0000-00000A5F0000}"/>
    <cellStyle name="s_Agnesi (2)_Funds IV Clawback Value Adjustment" xfId="24323" xr:uid="{00000000-0005-0000-0000-00000B5F0000}"/>
    <cellStyle name="s_Agnesi (2)_IC Balance" xfId="24324" xr:uid="{00000000-0005-0000-0000-00000C5F0000}"/>
    <cellStyle name="s_Agnesi (2)_Invested Capital Debt Worksheet" xfId="24325" xr:uid="{00000000-0005-0000-0000-00000D5F0000}"/>
    <cellStyle name="s_Agnesi (2)_Invested Capital Debt Worksheet_1" xfId="24326" xr:uid="{00000000-0005-0000-0000-00000E5F0000}"/>
    <cellStyle name="s_Agnesi (2)_iPCs#1-Remaining" xfId="24327" xr:uid="{00000000-0005-0000-0000-00000F5F0000}"/>
    <cellStyle name="s_Agnesi (2)_MMF Income" xfId="24328" xr:uid="{00000000-0005-0000-0000-0000105F0000}"/>
    <cellStyle name="s_Agnesi (2)_Partners Capital Q1 2009" xfId="24329" xr:uid="{00000000-0005-0000-0000-0000115F0000}"/>
    <cellStyle name="s_Agnesi (2)_Placement Fee Summary 05-14-09 - Current (2)" xfId="24330" xr:uid="{00000000-0005-0000-0000-0000125F0000}"/>
    <cellStyle name="s_Agnesi (2)_PR Calc" xfId="24331" xr:uid="{00000000-0005-0000-0000-0000135F0000}"/>
    <cellStyle name="s_Agnesi (2)_PR Calc - DOMESTIC" xfId="24332" xr:uid="{00000000-0005-0000-0000-0000145F0000}"/>
    <cellStyle name="s_Agnesi (2)_RCIV Q3 2009 Capital Analysis CURRENT" xfId="24333" xr:uid="{00000000-0005-0000-0000-0000155F0000}"/>
    <cellStyle name="s_Agnesi (2)_Sheet1" xfId="24334" xr:uid="{00000000-0005-0000-0000-0000165F0000}"/>
    <cellStyle name="s_AIF IV Financial Highlights 12-31-08 v4" xfId="24335" xr:uid="{00000000-0005-0000-0000-0000175F0000}"/>
    <cellStyle name="s_AIF IV Financial Highlights 12-31-08 v4_Apollo Investment Fund IV  Q3 2009 Capital Analysis CURRENT" xfId="24336" xr:uid="{00000000-0005-0000-0000-0000185F0000}"/>
    <cellStyle name="s_AIF IV Financial Highlights 12-31-08 v4_Apollo Investment Fund IV  Q3 2009 Capital Analysis iPCS &amp; URI Distribution" xfId="24337" xr:uid="{00000000-0005-0000-0000-0000195F0000}"/>
    <cellStyle name="s_AIF IV Financial Highlights 12-31-08 v4_iPCs#1-Remaining" xfId="24338" xr:uid="{00000000-0005-0000-0000-00001A5F0000}"/>
    <cellStyle name="s_AIF VI - BondcoVI_Entities Invested Capital (CURRENT)" xfId="24339" xr:uid="{00000000-0005-0000-0000-00001B5F0000}"/>
    <cellStyle name="s_AIF VI Broadleaf Watefall Summary as of 6-30-09 FINAL" xfId="24340" xr:uid="{00000000-0005-0000-0000-00001C5F0000}"/>
    <cellStyle name="s_AIF VI Broadleaf Watefall Summary as of 9-30-09" xfId="24341" xr:uid="{00000000-0005-0000-0000-00001D5F0000}"/>
    <cellStyle name="s_Andy Affrick - Schedulev2" xfId="24342" xr:uid="{00000000-0005-0000-0000-00001E5F0000}"/>
    <cellStyle name="s_Apollo Investment Fund IV  April Priority Return" xfId="24343" xr:uid="{00000000-0005-0000-0000-00001F5F0000}"/>
    <cellStyle name="s_Apollo Investment Fund IV  Q1 2009 Capital Analysis 5-22-09 with GAAP" xfId="24344" xr:uid="{00000000-0005-0000-0000-0000205F0000}"/>
    <cellStyle name="s_Apollo Investment Fund IV  Q1 2009 Capital Analysis GAAP" xfId="24345" xr:uid="{00000000-0005-0000-0000-0000215F0000}"/>
    <cellStyle name="s_Apollo Investment Fund IV  Q2 2009 Capital Analysis CURRENT" xfId="24346" xr:uid="{00000000-0005-0000-0000-0000225F0000}"/>
    <cellStyle name="s_Apollo Investment Fund IV  Q3 2009 Capital Analysis CURRENT" xfId="24347" xr:uid="{00000000-0005-0000-0000-0000235F0000}"/>
    <cellStyle name="s_Apollo Investment Fund IV  Q3 2009 Capital Analysis iPCS &amp; URI Distribution" xfId="24348" xr:uid="{00000000-0005-0000-0000-0000245F0000}"/>
    <cellStyle name="s_Apollo Investment Fund IV Priority Return 6-30-09" xfId="24349" xr:uid="{00000000-0005-0000-0000-0000255F0000}"/>
    <cellStyle name="s_Apollo Investment Fund IV Q1 2009 Capital Analysis PR CORRECTED 6-30-09" xfId="24350" xr:uid="{00000000-0005-0000-0000-0000265F0000}"/>
    <cellStyle name="s_Broadleaf Watefall 12-31-09" xfId="24351" xr:uid="{00000000-0005-0000-0000-0000275F0000}"/>
    <cellStyle name="s_Broadleaf Watefall 6-30-09" xfId="24352" xr:uid="{00000000-0005-0000-0000-0000285F0000}"/>
    <cellStyle name="s_Broadleaf Watefall 9-30-09" xfId="24353" xr:uid="{00000000-0005-0000-0000-0000295F0000}"/>
    <cellStyle name="s_Carry Calculation" xfId="24354" xr:uid="{00000000-0005-0000-0000-00002A5F0000}"/>
    <cellStyle name="s_Cases" xfId="24355" xr:uid="{00000000-0005-0000-0000-00002B5F0000}"/>
    <cellStyle name="s_Cases (2)" xfId="24356" xr:uid="{00000000-0005-0000-0000-00002C5F0000}"/>
    <cellStyle name="s_Cases (2) 10" xfId="24357" xr:uid="{00000000-0005-0000-0000-00002D5F0000}"/>
    <cellStyle name="s_Cases (2) 11" xfId="24358" xr:uid="{00000000-0005-0000-0000-00002E5F0000}"/>
    <cellStyle name="s_Cases (2) 12" xfId="24359" xr:uid="{00000000-0005-0000-0000-00002F5F0000}"/>
    <cellStyle name="s_Cases (2) 13" xfId="24360" xr:uid="{00000000-0005-0000-0000-0000305F0000}"/>
    <cellStyle name="s_Cases (2) 14" xfId="24361" xr:uid="{00000000-0005-0000-0000-0000315F0000}"/>
    <cellStyle name="s_Cases (2) 15" xfId="24362" xr:uid="{00000000-0005-0000-0000-0000325F0000}"/>
    <cellStyle name="s_Cases (2) 16" xfId="24363" xr:uid="{00000000-0005-0000-0000-0000335F0000}"/>
    <cellStyle name="s_Cases (2) 17" xfId="24364" xr:uid="{00000000-0005-0000-0000-0000345F0000}"/>
    <cellStyle name="s_Cases (2) 18" xfId="24365" xr:uid="{00000000-0005-0000-0000-0000355F0000}"/>
    <cellStyle name="s_Cases (2) 19" xfId="24366" xr:uid="{00000000-0005-0000-0000-0000365F0000}"/>
    <cellStyle name="s_Cases (2) 2" xfId="24367" xr:uid="{00000000-0005-0000-0000-0000375F0000}"/>
    <cellStyle name="s_Cases (2) 2 2" xfId="24368" xr:uid="{00000000-0005-0000-0000-0000385F0000}"/>
    <cellStyle name="s_Cases (2) 20" xfId="24369" xr:uid="{00000000-0005-0000-0000-0000395F0000}"/>
    <cellStyle name="s_Cases (2) 21" xfId="24370" xr:uid="{00000000-0005-0000-0000-00003A5F0000}"/>
    <cellStyle name="s_Cases (2) 22" xfId="24371" xr:uid="{00000000-0005-0000-0000-00003B5F0000}"/>
    <cellStyle name="s_Cases (2) 23" xfId="24372" xr:uid="{00000000-0005-0000-0000-00003C5F0000}"/>
    <cellStyle name="s_Cases (2) 23 2" xfId="24373" xr:uid="{00000000-0005-0000-0000-00003D5F0000}"/>
    <cellStyle name="s_Cases (2) 3" xfId="24374" xr:uid="{00000000-0005-0000-0000-00003E5F0000}"/>
    <cellStyle name="s_Cases (2) 3 2" xfId="24375" xr:uid="{00000000-0005-0000-0000-00003F5F0000}"/>
    <cellStyle name="s_Cases (2) 4" xfId="24376" xr:uid="{00000000-0005-0000-0000-0000405F0000}"/>
    <cellStyle name="s_Cases (2) 5" xfId="24377" xr:uid="{00000000-0005-0000-0000-0000415F0000}"/>
    <cellStyle name="s_Cases (2) 6" xfId="24378" xr:uid="{00000000-0005-0000-0000-0000425F0000}"/>
    <cellStyle name="s_Cases (2) 7" xfId="24379" xr:uid="{00000000-0005-0000-0000-0000435F0000}"/>
    <cellStyle name="s_Cases (2) 8" xfId="24380" xr:uid="{00000000-0005-0000-0000-0000445F0000}"/>
    <cellStyle name="s_Cases (2) 9" xfId="24381" xr:uid="{00000000-0005-0000-0000-0000455F0000}"/>
    <cellStyle name="s_Cases (2)_{6} Carry" xfId="24382" xr:uid="{00000000-0005-0000-0000-0000465F0000}"/>
    <cellStyle name="s_Cases (2)_{6} Clawback" xfId="24383" xr:uid="{00000000-0005-0000-0000-0000475F0000}"/>
    <cellStyle name="s_Cases (2)_1" xfId="24384" xr:uid="{00000000-0005-0000-0000-0000485F0000}"/>
    <cellStyle name="s_Cases (2)_1 10" xfId="24385" xr:uid="{00000000-0005-0000-0000-0000495F0000}"/>
    <cellStyle name="s_Cases (2)_1 11" xfId="24386" xr:uid="{00000000-0005-0000-0000-00004A5F0000}"/>
    <cellStyle name="s_Cases (2)_1 12" xfId="24387" xr:uid="{00000000-0005-0000-0000-00004B5F0000}"/>
    <cellStyle name="s_Cases (2)_1 13" xfId="24388" xr:uid="{00000000-0005-0000-0000-00004C5F0000}"/>
    <cellStyle name="s_Cases (2)_1 14" xfId="24389" xr:uid="{00000000-0005-0000-0000-00004D5F0000}"/>
    <cellStyle name="s_Cases (2)_1 15" xfId="24390" xr:uid="{00000000-0005-0000-0000-00004E5F0000}"/>
    <cellStyle name="s_Cases (2)_1 16" xfId="24391" xr:uid="{00000000-0005-0000-0000-00004F5F0000}"/>
    <cellStyle name="s_Cases (2)_1 17" xfId="24392" xr:uid="{00000000-0005-0000-0000-0000505F0000}"/>
    <cellStyle name="s_Cases (2)_1 18" xfId="24393" xr:uid="{00000000-0005-0000-0000-0000515F0000}"/>
    <cellStyle name="s_Cases (2)_1 19" xfId="24394" xr:uid="{00000000-0005-0000-0000-0000525F0000}"/>
    <cellStyle name="s_Cases (2)_1 2" xfId="24395" xr:uid="{00000000-0005-0000-0000-0000535F0000}"/>
    <cellStyle name="s_Cases (2)_1 2 2" xfId="24396" xr:uid="{00000000-0005-0000-0000-0000545F0000}"/>
    <cellStyle name="s_Cases (2)_1 20" xfId="24397" xr:uid="{00000000-0005-0000-0000-0000555F0000}"/>
    <cellStyle name="s_Cases (2)_1 21" xfId="24398" xr:uid="{00000000-0005-0000-0000-0000565F0000}"/>
    <cellStyle name="s_Cases (2)_1 22" xfId="24399" xr:uid="{00000000-0005-0000-0000-0000575F0000}"/>
    <cellStyle name="s_Cases (2)_1 23" xfId="24400" xr:uid="{00000000-0005-0000-0000-0000585F0000}"/>
    <cellStyle name="s_Cases (2)_1 23 2" xfId="24401" xr:uid="{00000000-0005-0000-0000-0000595F0000}"/>
    <cellStyle name="s_Cases (2)_1 3" xfId="24402" xr:uid="{00000000-0005-0000-0000-00005A5F0000}"/>
    <cellStyle name="s_Cases (2)_1 3 2" xfId="24403" xr:uid="{00000000-0005-0000-0000-00005B5F0000}"/>
    <cellStyle name="s_Cases (2)_1 4" xfId="24404" xr:uid="{00000000-0005-0000-0000-00005C5F0000}"/>
    <cellStyle name="s_Cases (2)_1 5" xfId="24405" xr:uid="{00000000-0005-0000-0000-00005D5F0000}"/>
    <cellStyle name="s_Cases (2)_1 6" xfId="24406" xr:uid="{00000000-0005-0000-0000-00005E5F0000}"/>
    <cellStyle name="s_Cases (2)_1 7" xfId="24407" xr:uid="{00000000-0005-0000-0000-00005F5F0000}"/>
    <cellStyle name="s_Cases (2)_1 8" xfId="24408" xr:uid="{00000000-0005-0000-0000-0000605F0000}"/>
    <cellStyle name="s_Cases (2)_1 9" xfId="24409" xr:uid="{00000000-0005-0000-0000-0000615F0000}"/>
    <cellStyle name="s_Cases (2)_1_{6} Carry" xfId="24410" xr:uid="{00000000-0005-0000-0000-0000625F0000}"/>
    <cellStyle name="s_Cases (2)_1_{6} Clawback" xfId="24411" xr:uid="{00000000-0005-0000-0000-0000635F0000}"/>
    <cellStyle name="s_Cases (2)_1_AIF IV Financial Highlights 12-31-08 v4" xfId="24412" xr:uid="{00000000-0005-0000-0000-0000645F0000}"/>
    <cellStyle name="s_Cases (2)_1_AIF IV Financial Highlights 12-31-08 v4_Apollo Investment Fund IV  Q3 2009 Capital Analysis CURRENT" xfId="24413" xr:uid="{00000000-0005-0000-0000-0000655F0000}"/>
    <cellStyle name="s_Cases (2)_1_AIF IV Financial Highlights 12-31-08 v4_Apollo Investment Fund IV  Q3 2009 Capital Analysis iPCS &amp; URI Distribution" xfId="24414" xr:uid="{00000000-0005-0000-0000-0000665F0000}"/>
    <cellStyle name="s_Cases (2)_1_AIF IV Financial Highlights 12-31-08 v4_iPCs#1-Remaining" xfId="24415" xr:uid="{00000000-0005-0000-0000-0000675F0000}"/>
    <cellStyle name="s_Cases (2)_1_AIF VI - BondcoVI_Entities Invested Capital (CURRENT)" xfId="24416" xr:uid="{00000000-0005-0000-0000-0000685F0000}"/>
    <cellStyle name="s_Cases (2)_1_AIF VI Broadleaf Watefall Summary as of 6-30-09 FINAL" xfId="24417" xr:uid="{00000000-0005-0000-0000-0000695F0000}"/>
    <cellStyle name="s_Cases (2)_1_AIF VI Broadleaf Watefall Summary as of 9-30-09" xfId="24418" xr:uid="{00000000-0005-0000-0000-00006A5F0000}"/>
    <cellStyle name="s_Cases (2)_1_Andy Affrick - Schedulev2" xfId="24419" xr:uid="{00000000-0005-0000-0000-00006B5F0000}"/>
    <cellStyle name="s_Cases (2)_1_Apollo Investment Fund IV  April Priority Return" xfId="24420" xr:uid="{00000000-0005-0000-0000-00006C5F0000}"/>
    <cellStyle name="s_Cases (2)_1_Apollo Investment Fund IV  Q1 2009 Capital Analysis 5-22-09 with GAAP" xfId="24421" xr:uid="{00000000-0005-0000-0000-00006D5F0000}"/>
    <cellStyle name="s_Cases (2)_1_Apollo Investment Fund IV  Q1 2009 Capital Analysis GAAP" xfId="24422" xr:uid="{00000000-0005-0000-0000-00006E5F0000}"/>
    <cellStyle name="s_Cases (2)_1_Apollo Investment Fund IV  Q2 2009 Capital Analysis CURRENT" xfId="24423" xr:uid="{00000000-0005-0000-0000-00006F5F0000}"/>
    <cellStyle name="s_Cases (2)_1_Apollo Investment Fund IV  Q3 2009 Capital Analysis CURRENT" xfId="24424" xr:uid="{00000000-0005-0000-0000-0000705F0000}"/>
    <cellStyle name="s_Cases (2)_1_Apollo Investment Fund IV  Q3 2009 Capital Analysis iPCS &amp; URI Distribution" xfId="24425" xr:uid="{00000000-0005-0000-0000-0000715F0000}"/>
    <cellStyle name="s_Cases (2)_1_Apollo Investment Fund IV Priority Return 6-30-09" xfId="24426" xr:uid="{00000000-0005-0000-0000-0000725F0000}"/>
    <cellStyle name="s_Cases (2)_1_Apollo Investment Fund IV Q1 2009 Capital Analysis PR CORRECTED 6-30-09" xfId="24427" xr:uid="{00000000-0005-0000-0000-0000735F0000}"/>
    <cellStyle name="s_Cases (2)_1_Broadleaf Watefall 12-31-09" xfId="24428" xr:uid="{00000000-0005-0000-0000-0000745F0000}"/>
    <cellStyle name="s_Cases (2)_1_Broadleaf Watefall 6-30-09" xfId="24429" xr:uid="{00000000-0005-0000-0000-0000755F0000}"/>
    <cellStyle name="s_Cases (2)_1_Broadleaf Watefall 9-30-09" xfId="24430" xr:uid="{00000000-0005-0000-0000-0000765F0000}"/>
    <cellStyle name="s_Cases (2)_1_Carry Calculation" xfId="24431" xr:uid="{00000000-0005-0000-0000-0000775F0000}"/>
    <cellStyle name="s_Cases (2)_1_Fund IV" xfId="24432" xr:uid="{00000000-0005-0000-0000-0000785F0000}"/>
    <cellStyle name="s_Cases (2)_1_Fund IV 9.30.08" xfId="24433" xr:uid="{00000000-0005-0000-0000-0000795F0000}"/>
    <cellStyle name="s_Cases (2)_1_Fund IV_1" xfId="24434" xr:uid="{00000000-0005-0000-0000-00007A5F0000}"/>
    <cellStyle name="s_Cases (2)_1_Funds IV Clawback Adjustment Summary" xfId="24435" xr:uid="{00000000-0005-0000-0000-00007B5F0000}"/>
    <cellStyle name="s_Cases (2)_1_Funds IV Clawback Value Adjustment" xfId="24436" xr:uid="{00000000-0005-0000-0000-00007C5F0000}"/>
    <cellStyle name="s_Cases (2)_1_IC Balance" xfId="24437" xr:uid="{00000000-0005-0000-0000-00007D5F0000}"/>
    <cellStyle name="s_Cases (2)_1_Invested Capital Debt Worksheet" xfId="24438" xr:uid="{00000000-0005-0000-0000-00007E5F0000}"/>
    <cellStyle name="s_Cases (2)_1_iPCs#1-Remaining" xfId="24439" xr:uid="{00000000-0005-0000-0000-00007F5F0000}"/>
    <cellStyle name="s_Cases (2)_1_MMF Income" xfId="24440" xr:uid="{00000000-0005-0000-0000-0000805F0000}"/>
    <cellStyle name="s_Cases (2)_1_Partners Capital Q1 2009" xfId="24441" xr:uid="{00000000-0005-0000-0000-0000815F0000}"/>
    <cellStyle name="s_Cases (2)_1_Placement Fee Summary 05-14-09 - Current (2)" xfId="24442" xr:uid="{00000000-0005-0000-0000-0000825F0000}"/>
    <cellStyle name="s_Cases (2)_1_PR Calc" xfId="24443" xr:uid="{00000000-0005-0000-0000-0000835F0000}"/>
    <cellStyle name="s_Cases (2)_1_PR Calc - DOMESTIC" xfId="24444" xr:uid="{00000000-0005-0000-0000-0000845F0000}"/>
    <cellStyle name="s_Cases (2)_1_RCIV Q3 2009 Capital Analysis CURRENT" xfId="24445" xr:uid="{00000000-0005-0000-0000-0000855F0000}"/>
    <cellStyle name="s_Cases (2)_AIF IV Financial Highlights 12-31-08 v4" xfId="24446" xr:uid="{00000000-0005-0000-0000-0000865F0000}"/>
    <cellStyle name="s_Cases (2)_AIF IV Financial Highlights 12-31-08 v4_Apollo Investment Fund IV  Q3 2009 Capital Analysis CURRENT" xfId="24447" xr:uid="{00000000-0005-0000-0000-0000875F0000}"/>
    <cellStyle name="s_Cases (2)_AIF IV Financial Highlights 12-31-08 v4_Apollo Investment Fund IV  Q3 2009 Capital Analysis iPCS &amp; URI Distribution" xfId="24448" xr:uid="{00000000-0005-0000-0000-0000885F0000}"/>
    <cellStyle name="s_Cases (2)_AIF IV Financial Highlights 12-31-08 v4_iPCs#1-Remaining" xfId="24449" xr:uid="{00000000-0005-0000-0000-0000895F0000}"/>
    <cellStyle name="s_Cases (2)_AIF VI - BondcoVI_Entities Invested Capital (CURRENT)" xfId="24450" xr:uid="{00000000-0005-0000-0000-00008A5F0000}"/>
    <cellStyle name="s_Cases (2)_AIF VI Broadleaf Watefall Summary as of 6-30-09 FINAL" xfId="24451" xr:uid="{00000000-0005-0000-0000-00008B5F0000}"/>
    <cellStyle name="s_Cases (2)_AIF VI Broadleaf Watefall Summary as of 9-30-09" xfId="24452" xr:uid="{00000000-0005-0000-0000-00008C5F0000}"/>
    <cellStyle name="s_Cases (2)_Andy Affrick - Schedulev2" xfId="24453" xr:uid="{00000000-0005-0000-0000-00008D5F0000}"/>
    <cellStyle name="s_Cases (2)_Apollo Advisors IV 12-31-08 GAAP TB Final" xfId="24454" xr:uid="{00000000-0005-0000-0000-00008E5F0000}"/>
    <cellStyle name="s_Cases (2)_Apollo Advisors IV 12-31-08 TB (Revised for Aggr PR)" xfId="24455" xr:uid="{00000000-0005-0000-0000-00008F5F0000}"/>
    <cellStyle name="s_Cases (2)_Apollo Advisors IV 6-30-09 GAAP TB" xfId="24456" xr:uid="{00000000-0005-0000-0000-0000905F0000}"/>
    <cellStyle name="s_Cases (2)_Apollo Investment Fund IV  April Priority Return" xfId="24457" xr:uid="{00000000-0005-0000-0000-0000915F0000}"/>
    <cellStyle name="s_Cases (2)_Apollo Investment Fund IV  Q1 2009 Capital Analysis 5-22-09 with GAAP" xfId="24458" xr:uid="{00000000-0005-0000-0000-0000925F0000}"/>
    <cellStyle name="s_Cases (2)_Apollo Investment Fund IV  Q1 2009 Capital Analysis GAAP" xfId="24459" xr:uid="{00000000-0005-0000-0000-0000935F0000}"/>
    <cellStyle name="s_Cases (2)_Apollo Investment Fund IV  Q2 2009 Capital Analysis CURRENT" xfId="24460" xr:uid="{00000000-0005-0000-0000-0000945F0000}"/>
    <cellStyle name="s_Cases (2)_Apollo Investment Fund IV  Q3 2009 Capital Analysis CURRENT" xfId="24461" xr:uid="{00000000-0005-0000-0000-0000955F0000}"/>
    <cellStyle name="s_Cases (2)_Apollo Investment Fund IV  Q3 2009 Capital Analysis iPCS &amp; URI Distribution" xfId="24462" xr:uid="{00000000-0005-0000-0000-0000965F0000}"/>
    <cellStyle name="s_Cases (2)_Apollo Investment Fund IV Priority Return 6-30-09" xfId="24463" xr:uid="{00000000-0005-0000-0000-0000975F0000}"/>
    <cellStyle name="s_Cases (2)_Apollo Investment Fund IV Q1 2009 Capital Analysis PR CORRECTED 6-30-09" xfId="24464" xr:uid="{00000000-0005-0000-0000-0000985F0000}"/>
    <cellStyle name="s_Cases (2)_Broadleaf Watefall 12-31-09" xfId="24465" xr:uid="{00000000-0005-0000-0000-0000995F0000}"/>
    <cellStyle name="s_Cases (2)_Broadleaf Watefall 6-30-09" xfId="24466" xr:uid="{00000000-0005-0000-0000-00009A5F0000}"/>
    <cellStyle name="s_Cases (2)_Broadleaf Watefall 9-30-09" xfId="24467" xr:uid="{00000000-0005-0000-0000-00009B5F0000}"/>
    <cellStyle name="s_Cases (2)_Carry Calculation" xfId="24468" xr:uid="{00000000-0005-0000-0000-00009C5F0000}"/>
    <cellStyle name="s_Cases (2)_Fund IV" xfId="24469" xr:uid="{00000000-0005-0000-0000-00009D5F0000}"/>
    <cellStyle name="s_Cases (2)_Fund IV 9.30.08" xfId="24470" xr:uid="{00000000-0005-0000-0000-00009E5F0000}"/>
    <cellStyle name="s_Cases (2)_Fund IV_1" xfId="24471" xr:uid="{00000000-0005-0000-0000-00009F5F0000}"/>
    <cellStyle name="s_Cases (2)_Funds IV Clawback Adjustment Summary" xfId="24472" xr:uid="{00000000-0005-0000-0000-0000A05F0000}"/>
    <cellStyle name="s_Cases (2)_Funds IV Clawback Value Adjustment" xfId="24473" xr:uid="{00000000-0005-0000-0000-0000A15F0000}"/>
    <cellStyle name="s_Cases (2)_IC Balance" xfId="24474" xr:uid="{00000000-0005-0000-0000-0000A25F0000}"/>
    <cellStyle name="s_Cases (2)_Invested Capital Debt Worksheet" xfId="24475" xr:uid="{00000000-0005-0000-0000-0000A35F0000}"/>
    <cellStyle name="s_Cases (2)_Invested Capital Debt Worksheet_1" xfId="24476" xr:uid="{00000000-0005-0000-0000-0000A45F0000}"/>
    <cellStyle name="s_Cases (2)_iPCs#1-Remaining" xfId="24477" xr:uid="{00000000-0005-0000-0000-0000A55F0000}"/>
    <cellStyle name="s_Cases (2)_MMF Income" xfId="24478" xr:uid="{00000000-0005-0000-0000-0000A65F0000}"/>
    <cellStyle name="s_Cases (2)_Partners Capital Q1 2009" xfId="24479" xr:uid="{00000000-0005-0000-0000-0000A75F0000}"/>
    <cellStyle name="s_Cases (2)_Placement Fee Summary 05-14-09 - Current (2)" xfId="24480" xr:uid="{00000000-0005-0000-0000-0000A85F0000}"/>
    <cellStyle name="s_Cases (2)_PR Calc" xfId="24481" xr:uid="{00000000-0005-0000-0000-0000A95F0000}"/>
    <cellStyle name="s_Cases (2)_PR Calc - DOMESTIC" xfId="24482" xr:uid="{00000000-0005-0000-0000-0000AA5F0000}"/>
    <cellStyle name="s_Cases (2)_RCIV Q3 2009 Capital Analysis CURRENT" xfId="24483" xr:uid="{00000000-0005-0000-0000-0000AB5F0000}"/>
    <cellStyle name="s_Cases (2)_Sheet1" xfId="24484" xr:uid="{00000000-0005-0000-0000-0000AC5F0000}"/>
    <cellStyle name="s_Cases 10" xfId="24485" xr:uid="{00000000-0005-0000-0000-0000AD5F0000}"/>
    <cellStyle name="s_Cases 11" xfId="24486" xr:uid="{00000000-0005-0000-0000-0000AE5F0000}"/>
    <cellStyle name="s_Cases 12" xfId="24487" xr:uid="{00000000-0005-0000-0000-0000AF5F0000}"/>
    <cellStyle name="s_Cases 13" xfId="24488" xr:uid="{00000000-0005-0000-0000-0000B05F0000}"/>
    <cellStyle name="s_Cases 14" xfId="24489" xr:uid="{00000000-0005-0000-0000-0000B15F0000}"/>
    <cellStyle name="s_Cases 15" xfId="24490" xr:uid="{00000000-0005-0000-0000-0000B25F0000}"/>
    <cellStyle name="s_Cases 16" xfId="24491" xr:uid="{00000000-0005-0000-0000-0000B35F0000}"/>
    <cellStyle name="s_Cases 17" xfId="24492" xr:uid="{00000000-0005-0000-0000-0000B45F0000}"/>
    <cellStyle name="s_Cases 18" xfId="24493" xr:uid="{00000000-0005-0000-0000-0000B55F0000}"/>
    <cellStyle name="s_Cases 19" xfId="24494" xr:uid="{00000000-0005-0000-0000-0000B65F0000}"/>
    <cellStyle name="s_Cases 2" xfId="24495" xr:uid="{00000000-0005-0000-0000-0000B75F0000}"/>
    <cellStyle name="s_Cases 2 2" xfId="24496" xr:uid="{00000000-0005-0000-0000-0000B85F0000}"/>
    <cellStyle name="s_Cases 20" xfId="24497" xr:uid="{00000000-0005-0000-0000-0000B95F0000}"/>
    <cellStyle name="s_Cases 21" xfId="24498" xr:uid="{00000000-0005-0000-0000-0000BA5F0000}"/>
    <cellStyle name="s_Cases 22" xfId="24499" xr:uid="{00000000-0005-0000-0000-0000BB5F0000}"/>
    <cellStyle name="s_Cases 23" xfId="24500" xr:uid="{00000000-0005-0000-0000-0000BC5F0000}"/>
    <cellStyle name="s_Cases 23 2" xfId="24501" xr:uid="{00000000-0005-0000-0000-0000BD5F0000}"/>
    <cellStyle name="s_Cases 3" xfId="24502" xr:uid="{00000000-0005-0000-0000-0000BE5F0000}"/>
    <cellStyle name="s_Cases 3 2" xfId="24503" xr:uid="{00000000-0005-0000-0000-0000BF5F0000}"/>
    <cellStyle name="s_Cases 4" xfId="24504" xr:uid="{00000000-0005-0000-0000-0000C05F0000}"/>
    <cellStyle name="s_Cases 5" xfId="24505" xr:uid="{00000000-0005-0000-0000-0000C15F0000}"/>
    <cellStyle name="s_Cases 6" xfId="24506" xr:uid="{00000000-0005-0000-0000-0000C25F0000}"/>
    <cellStyle name="s_Cases 7" xfId="24507" xr:uid="{00000000-0005-0000-0000-0000C35F0000}"/>
    <cellStyle name="s_Cases 8" xfId="24508" xr:uid="{00000000-0005-0000-0000-0000C45F0000}"/>
    <cellStyle name="s_Cases 9" xfId="24509" xr:uid="{00000000-0005-0000-0000-0000C55F0000}"/>
    <cellStyle name="s_Cases_{6} Carry" xfId="24510" xr:uid="{00000000-0005-0000-0000-0000C65F0000}"/>
    <cellStyle name="s_Cases_{6} Clawback" xfId="24511" xr:uid="{00000000-0005-0000-0000-0000C75F0000}"/>
    <cellStyle name="s_Cases_1" xfId="24512" xr:uid="{00000000-0005-0000-0000-0000C85F0000}"/>
    <cellStyle name="s_Cases_1 10" xfId="24513" xr:uid="{00000000-0005-0000-0000-0000C95F0000}"/>
    <cellStyle name="s_Cases_1 11" xfId="24514" xr:uid="{00000000-0005-0000-0000-0000CA5F0000}"/>
    <cellStyle name="s_Cases_1 12" xfId="24515" xr:uid="{00000000-0005-0000-0000-0000CB5F0000}"/>
    <cellStyle name="s_Cases_1 13" xfId="24516" xr:uid="{00000000-0005-0000-0000-0000CC5F0000}"/>
    <cellStyle name="s_Cases_1 14" xfId="24517" xr:uid="{00000000-0005-0000-0000-0000CD5F0000}"/>
    <cellStyle name="s_Cases_1 15" xfId="24518" xr:uid="{00000000-0005-0000-0000-0000CE5F0000}"/>
    <cellStyle name="s_Cases_1 16" xfId="24519" xr:uid="{00000000-0005-0000-0000-0000CF5F0000}"/>
    <cellStyle name="s_Cases_1 17" xfId="24520" xr:uid="{00000000-0005-0000-0000-0000D05F0000}"/>
    <cellStyle name="s_Cases_1 18" xfId="24521" xr:uid="{00000000-0005-0000-0000-0000D15F0000}"/>
    <cellStyle name="s_Cases_1 19" xfId="24522" xr:uid="{00000000-0005-0000-0000-0000D25F0000}"/>
    <cellStyle name="s_Cases_1 2" xfId="24523" xr:uid="{00000000-0005-0000-0000-0000D35F0000}"/>
    <cellStyle name="s_Cases_1 2 2" xfId="24524" xr:uid="{00000000-0005-0000-0000-0000D45F0000}"/>
    <cellStyle name="s_Cases_1 20" xfId="24525" xr:uid="{00000000-0005-0000-0000-0000D55F0000}"/>
    <cellStyle name="s_Cases_1 21" xfId="24526" xr:uid="{00000000-0005-0000-0000-0000D65F0000}"/>
    <cellStyle name="s_Cases_1 22" xfId="24527" xr:uid="{00000000-0005-0000-0000-0000D75F0000}"/>
    <cellStyle name="s_Cases_1 23" xfId="24528" xr:uid="{00000000-0005-0000-0000-0000D85F0000}"/>
    <cellStyle name="s_Cases_1 23 2" xfId="24529" xr:uid="{00000000-0005-0000-0000-0000D95F0000}"/>
    <cellStyle name="s_Cases_1 3" xfId="24530" xr:uid="{00000000-0005-0000-0000-0000DA5F0000}"/>
    <cellStyle name="s_Cases_1 3 2" xfId="24531" xr:uid="{00000000-0005-0000-0000-0000DB5F0000}"/>
    <cellStyle name="s_Cases_1 4" xfId="24532" xr:uid="{00000000-0005-0000-0000-0000DC5F0000}"/>
    <cellStyle name="s_Cases_1 5" xfId="24533" xr:uid="{00000000-0005-0000-0000-0000DD5F0000}"/>
    <cellStyle name="s_Cases_1 6" xfId="24534" xr:uid="{00000000-0005-0000-0000-0000DE5F0000}"/>
    <cellStyle name="s_Cases_1 7" xfId="24535" xr:uid="{00000000-0005-0000-0000-0000DF5F0000}"/>
    <cellStyle name="s_Cases_1 8" xfId="24536" xr:uid="{00000000-0005-0000-0000-0000E05F0000}"/>
    <cellStyle name="s_Cases_1 9" xfId="24537" xr:uid="{00000000-0005-0000-0000-0000E15F0000}"/>
    <cellStyle name="s_Cases_1_{6} Carry" xfId="24538" xr:uid="{00000000-0005-0000-0000-0000E25F0000}"/>
    <cellStyle name="s_Cases_1_{6} Clawback" xfId="24539" xr:uid="{00000000-0005-0000-0000-0000E35F0000}"/>
    <cellStyle name="s_Cases_1_AIF IV Financial Highlights 12-31-08 v4" xfId="24540" xr:uid="{00000000-0005-0000-0000-0000E45F0000}"/>
    <cellStyle name="s_Cases_1_AIF IV Financial Highlights 12-31-08 v4_Apollo Investment Fund IV  Q3 2009 Capital Analysis CURRENT" xfId="24541" xr:uid="{00000000-0005-0000-0000-0000E55F0000}"/>
    <cellStyle name="s_Cases_1_AIF IV Financial Highlights 12-31-08 v4_Apollo Investment Fund IV  Q3 2009 Capital Analysis iPCS &amp; URI Distribution" xfId="24542" xr:uid="{00000000-0005-0000-0000-0000E65F0000}"/>
    <cellStyle name="s_Cases_1_AIF IV Financial Highlights 12-31-08 v4_iPCs#1-Remaining" xfId="24543" xr:uid="{00000000-0005-0000-0000-0000E75F0000}"/>
    <cellStyle name="s_Cases_1_AIF VI - BondcoVI_Entities Invested Capital (CURRENT)" xfId="24544" xr:uid="{00000000-0005-0000-0000-0000E85F0000}"/>
    <cellStyle name="s_Cases_1_AIF VI Broadleaf Watefall Summary as of 6-30-09 FINAL" xfId="24545" xr:uid="{00000000-0005-0000-0000-0000E95F0000}"/>
    <cellStyle name="s_Cases_1_AIF VI Broadleaf Watefall Summary as of 9-30-09" xfId="24546" xr:uid="{00000000-0005-0000-0000-0000EA5F0000}"/>
    <cellStyle name="s_Cases_1_Andy Affrick - Schedulev2" xfId="24547" xr:uid="{00000000-0005-0000-0000-0000EB5F0000}"/>
    <cellStyle name="s_Cases_1_Apollo Advisors IV 12-31-08 GAAP TB Final" xfId="24548" xr:uid="{00000000-0005-0000-0000-0000EC5F0000}"/>
    <cellStyle name="s_Cases_1_Apollo Advisors IV 12-31-08 TB (Revised for Aggr PR)" xfId="24549" xr:uid="{00000000-0005-0000-0000-0000ED5F0000}"/>
    <cellStyle name="s_Cases_1_Apollo Advisors IV 6-30-09 GAAP TB" xfId="24550" xr:uid="{00000000-0005-0000-0000-0000EE5F0000}"/>
    <cellStyle name="s_Cases_1_Apollo Investment Fund IV  April Priority Return" xfId="24551" xr:uid="{00000000-0005-0000-0000-0000EF5F0000}"/>
    <cellStyle name="s_Cases_1_Apollo Investment Fund IV  Q1 2009 Capital Analysis 5-22-09 with GAAP" xfId="24552" xr:uid="{00000000-0005-0000-0000-0000F05F0000}"/>
    <cellStyle name="s_Cases_1_Apollo Investment Fund IV  Q1 2009 Capital Analysis GAAP" xfId="24553" xr:uid="{00000000-0005-0000-0000-0000F15F0000}"/>
    <cellStyle name="s_Cases_1_Apollo Investment Fund IV  Q2 2009 Capital Analysis CURRENT" xfId="24554" xr:uid="{00000000-0005-0000-0000-0000F25F0000}"/>
    <cellStyle name="s_Cases_1_Apollo Investment Fund IV  Q3 2009 Capital Analysis CURRENT" xfId="24555" xr:uid="{00000000-0005-0000-0000-0000F35F0000}"/>
    <cellStyle name="s_Cases_1_Apollo Investment Fund IV  Q3 2009 Capital Analysis iPCS &amp; URI Distribution" xfId="24556" xr:uid="{00000000-0005-0000-0000-0000F45F0000}"/>
    <cellStyle name="s_Cases_1_Apollo Investment Fund IV Priority Return 6-30-09" xfId="24557" xr:uid="{00000000-0005-0000-0000-0000F55F0000}"/>
    <cellStyle name="s_Cases_1_Apollo Investment Fund IV Q1 2009 Capital Analysis PR CORRECTED 6-30-09" xfId="24558" xr:uid="{00000000-0005-0000-0000-0000F65F0000}"/>
    <cellStyle name="s_Cases_1_Broadleaf Watefall 12-31-09" xfId="24559" xr:uid="{00000000-0005-0000-0000-0000F75F0000}"/>
    <cellStyle name="s_Cases_1_Broadleaf Watefall 6-30-09" xfId="24560" xr:uid="{00000000-0005-0000-0000-0000F85F0000}"/>
    <cellStyle name="s_Cases_1_Broadleaf Watefall 9-30-09" xfId="24561" xr:uid="{00000000-0005-0000-0000-0000F95F0000}"/>
    <cellStyle name="s_Cases_1_Carry Calculation" xfId="24562" xr:uid="{00000000-0005-0000-0000-0000FA5F0000}"/>
    <cellStyle name="s_Cases_1_Fund IV" xfId="24563" xr:uid="{00000000-0005-0000-0000-0000FB5F0000}"/>
    <cellStyle name="s_Cases_1_Fund IV 9.30.08" xfId="24564" xr:uid="{00000000-0005-0000-0000-0000FC5F0000}"/>
    <cellStyle name="s_Cases_1_Fund IV_1" xfId="24565" xr:uid="{00000000-0005-0000-0000-0000FD5F0000}"/>
    <cellStyle name="s_Cases_1_Funds IV Clawback Adjustment Summary" xfId="24566" xr:uid="{00000000-0005-0000-0000-0000FE5F0000}"/>
    <cellStyle name="s_Cases_1_Funds IV Clawback Value Adjustment" xfId="24567" xr:uid="{00000000-0005-0000-0000-0000FF5F0000}"/>
    <cellStyle name="s_Cases_1_IC Balance" xfId="24568" xr:uid="{00000000-0005-0000-0000-000000600000}"/>
    <cellStyle name="s_Cases_1_Invested Capital Debt Worksheet" xfId="24569" xr:uid="{00000000-0005-0000-0000-000001600000}"/>
    <cellStyle name="s_Cases_1_Invested Capital Debt Worksheet_1" xfId="24570" xr:uid="{00000000-0005-0000-0000-000002600000}"/>
    <cellStyle name="s_Cases_1_iPCs#1-Remaining" xfId="24571" xr:uid="{00000000-0005-0000-0000-000003600000}"/>
    <cellStyle name="s_Cases_1_MMF Income" xfId="24572" xr:uid="{00000000-0005-0000-0000-000004600000}"/>
    <cellStyle name="s_Cases_1_Partners Capital Q1 2009" xfId="24573" xr:uid="{00000000-0005-0000-0000-000005600000}"/>
    <cellStyle name="s_Cases_1_Placement Fee Summary 05-14-09 - Current (2)" xfId="24574" xr:uid="{00000000-0005-0000-0000-000006600000}"/>
    <cellStyle name="s_Cases_1_PR Calc" xfId="24575" xr:uid="{00000000-0005-0000-0000-000007600000}"/>
    <cellStyle name="s_Cases_1_PR Calc - DOMESTIC" xfId="24576" xr:uid="{00000000-0005-0000-0000-000008600000}"/>
    <cellStyle name="s_Cases_1_RCIV Q3 2009 Capital Analysis CURRENT" xfId="24577" xr:uid="{00000000-0005-0000-0000-000009600000}"/>
    <cellStyle name="s_Cases_1_Sheet1" xfId="24578" xr:uid="{00000000-0005-0000-0000-00000A600000}"/>
    <cellStyle name="s_Cases_2" xfId="24579" xr:uid="{00000000-0005-0000-0000-00000B600000}"/>
    <cellStyle name="s_Cases_2 10" xfId="24580" xr:uid="{00000000-0005-0000-0000-00000C600000}"/>
    <cellStyle name="s_Cases_2 11" xfId="24581" xr:uid="{00000000-0005-0000-0000-00000D600000}"/>
    <cellStyle name="s_Cases_2 12" xfId="24582" xr:uid="{00000000-0005-0000-0000-00000E600000}"/>
    <cellStyle name="s_Cases_2 13" xfId="24583" xr:uid="{00000000-0005-0000-0000-00000F600000}"/>
    <cellStyle name="s_Cases_2 14" xfId="24584" xr:uid="{00000000-0005-0000-0000-000010600000}"/>
    <cellStyle name="s_Cases_2 15" xfId="24585" xr:uid="{00000000-0005-0000-0000-000011600000}"/>
    <cellStyle name="s_Cases_2 16" xfId="24586" xr:uid="{00000000-0005-0000-0000-000012600000}"/>
    <cellStyle name="s_Cases_2 17" xfId="24587" xr:uid="{00000000-0005-0000-0000-000013600000}"/>
    <cellStyle name="s_Cases_2 18" xfId="24588" xr:uid="{00000000-0005-0000-0000-000014600000}"/>
    <cellStyle name="s_Cases_2 19" xfId="24589" xr:uid="{00000000-0005-0000-0000-000015600000}"/>
    <cellStyle name="s_Cases_2 2" xfId="24590" xr:uid="{00000000-0005-0000-0000-000016600000}"/>
    <cellStyle name="s_Cases_2 2 2" xfId="24591" xr:uid="{00000000-0005-0000-0000-000017600000}"/>
    <cellStyle name="s_Cases_2 20" xfId="24592" xr:uid="{00000000-0005-0000-0000-000018600000}"/>
    <cellStyle name="s_Cases_2 21" xfId="24593" xr:uid="{00000000-0005-0000-0000-000019600000}"/>
    <cellStyle name="s_Cases_2 22" xfId="24594" xr:uid="{00000000-0005-0000-0000-00001A600000}"/>
    <cellStyle name="s_Cases_2 23" xfId="24595" xr:uid="{00000000-0005-0000-0000-00001B600000}"/>
    <cellStyle name="s_Cases_2 23 2" xfId="24596" xr:uid="{00000000-0005-0000-0000-00001C600000}"/>
    <cellStyle name="s_Cases_2 3" xfId="24597" xr:uid="{00000000-0005-0000-0000-00001D600000}"/>
    <cellStyle name="s_Cases_2 3 2" xfId="24598" xr:uid="{00000000-0005-0000-0000-00001E600000}"/>
    <cellStyle name="s_Cases_2 4" xfId="24599" xr:uid="{00000000-0005-0000-0000-00001F600000}"/>
    <cellStyle name="s_Cases_2 5" xfId="24600" xr:uid="{00000000-0005-0000-0000-000020600000}"/>
    <cellStyle name="s_Cases_2 6" xfId="24601" xr:uid="{00000000-0005-0000-0000-000021600000}"/>
    <cellStyle name="s_Cases_2 7" xfId="24602" xr:uid="{00000000-0005-0000-0000-000022600000}"/>
    <cellStyle name="s_Cases_2 8" xfId="24603" xr:uid="{00000000-0005-0000-0000-000023600000}"/>
    <cellStyle name="s_Cases_2 9" xfId="24604" xr:uid="{00000000-0005-0000-0000-000024600000}"/>
    <cellStyle name="s_Cases_2_{6} Carry" xfId="24605" xr:uid="{00000000-0005-0000-0000-000025600000}"/>
    <cellStyle name="s_Cases_2_{6} Clawback" xfId="24606" xr:uid="{00000000-0005-0000-0000-000026600000}"/>
    <cellStyle name="s_Cases_2_AIF IV Financial Highlights 12-31-08 v4" xfId="24607" xr:uid="{00000000-0005-0000-0000-000027600000}"/>
    <cellStyle name="s_Cases_2_AIF IV Financial Highlights 12-31-08 v4_Apollo Investment Fund IV  Q3 2009 Capital Analysis CURRENT" xfId="24608" xr:uid="{00000000-0005-0000-0000-000028600000}"/>
    <cellStyle name="s_Cases_2_AIF IV Financial Highlights 12-31-08 v4_Apollo Investment Fund IV  Q3 2009 Capital Analysis iPCS &amp; URI Distribution" xfId="24609" xr:uid="{00000000-0005-0000-0000-000029600000}"/>
    <cellStyle name="s_Cases_2_AIF IV Financial Highlights 12-31-08 v4_iPCs#1-Remaining" xfId="24610" xr:uid="{00000000-0005-0000-0000-00002A600000}"/>
    <cellStyle name="s_Cases_2_AIF VI - BondcoVI_Entities Invested Capital (CURRENT)" xfId="24611" xr:uid="{00000000-0005-0000-0000-00002B600000}"/>
    <cellStyle name="s_Cases_2_AIF VI Broadleaf Watefall Summary as of 6-30-09 FINAL" xfId="24612" xr:uid="{00000000-0005-0000-0000-00002C600000}"/>
    <cellStyle name="s_Cases_2_AIF VI Broadleaf Watefall Summary as of 9-30-09" xfId="24613" xr:uid="{00000000-0005-0000-0000-00002D600000}"/>
    <cellStyle name="s_Cases_2_Andy Affrick - Schedulev2" xfId="24614" xr:uid="{00000000-0005-0000-0000-00002E600000}"/>
    <cellStyle name="s_Cases_2_Apollo Advisors IV 12-31-08 GAAP TB Final" xfId="24615" xr:uid="{00000000-0005-0000-0000-00002F600000}"/>
    <cellStyle name="s_Cases_2_Apollo Advisors IV 12-31-08 TB (Revised for Aggr PR)" xfId="24616" xr:uid="{00000000-0005-0000-0000-000030600000}"/>
    <cellStyle name="s_Cases_2_Apollo Advisors IV 6-30-09 GAAP TB" xfId="24617" xr:uid="{00000000-0005-0000-0000-000031600000}"/>
    <cellStyle name="s_Cases_2_Apollo Investment Fund IV  April Priority Return" xfId="24618" xr:uid="{00000000-0005-0000-0000-000032600000}"/>
    <cellStyle name="s_Cases_2_Apollo Investment Fund IV  Q1 2009 Capital Analysis 5-22-09 with GAAP" xfId="24619" xr:uid="{00000000-0005-0000-0000-000033600000}"/>
    <cellStyle name="s_Cases_2_Apollo Investment Fund IV  Q1 2009 Capital Analysis GAAP" xfId="24620" xr:uid="{00000000-0005-0000-0000-000034600000}"/>
    <cellStyle name="s_Cases_2_Apollo Investment Fund IV  Q2 2009 Capital Analysis CURRENT" xfId="24621" xr:uid="{00000000-0005-0000-0000-000035600000}"/>
    <cellStyle name="s_Cases_2_Apollo Investment Fund IV  Q3 2009 Capital Analysis CURRENT" xfId="24622" xr:uid="{00000000-0005-0000-0000-000036600000}"/>
    <cellStyle name="s_Cases_2_Apollo Investment Fund IV  Q3 2009 Capital Analysis iPCS &amp; URI Distribution" xfId="24623" xr:uid="{00000000-0005-0000-0000-000037600000}"/>
    <cellStyle name="s_Cases_2_Apollo Investment Fund IV Priority Return 6-30-09" xfId="24624" xr:uid="{00000000-0005-0000-0000-000038600000}"/>
    <cellStyle name="s_Cases_2_Apollo Investment Fund IV Q1 2009 Capital Analysis PR CORRECTED 6-30-09" xfId="24625" xr:uid="{00000000-0005-0000-0000-000039600000}"/>
    <cellStyle name="s_Cases_2_Broadleaf Watefall 12-31-09" xfId="24626" xr:uid="{00000000-0005-0000-0000-00003A600000}"/>
    <cellStyle name="s_Cases_2_Broadleaf Watefall 6-30-09" xfId="24627" xr:uid="{00000000-0005-0000-0000-00003B600000}"/>
    <cellStyle name="s_Cases_2_Broadleaf Watefall 9-30-09" xfId="24628" xr:uid="{00000000-0005-0000-0000-00003C600000}"/>
    <cellStyle name="s_Cases_2_Carry Calculation" xfId="24629" xr:uid="{00000000-0005-0000-0000-00003D600000}"/>
    <cellStyle name="s_Cases_2_Fund IV" xfId="24630" xr:uid="{00000000-0005-0000-0000-00003E600000}"/>
    <cellStyle name="s_Cases_2_Fund IV 9.30.08" xfId="24631" xr:uid="{00000000-0005-0000-0000-00003F600000}"/>
    <cellStyle name="s_Cases_2_Fund IV_1" xfId="24632" xr:uid="{00000000-0005-0000-0000-000040600000}"/>
    <cellStyle name="s_Cases_2_Funds IV Clawback Adjustment Summary" xfId="24633" xr:uid="{00000000-0005-0000-0000-000041600000}"/>
    <cellStyle name="s_Cases_2_Funds IV Clawback Value Adjustment" xfId="24634" xr:uid="{00000000-0005-0000-0000-000042600000}"/>
    <cellStyle name="s_Cases_2_IC Balance" xfId="24635" xr:uid="{00000000-0005-0000-0000-000043600000}"/>
    <cellStyle name="s_Cases_2_Invested Capital Debt Worksheet" xfId="24636" xr:uid="{00000000-0005-0000-0000-000044600000}"/>
    <cellStyle name="s_Cases_2_Invested Capital Debt Worksheet_1" xfId="24637" xr:uid="{00000000-0005-0000-0000-000045600000}"/>
    <cellStyle name="s_Cases_2_iPCs#1-Remaining" xfId="24638" xr:uid="{00000000-0005-0000-0000-000046600000}"/>
    <cellStyle name="s_Cases_2_MMF Income" xfId="24639" xr:uid="{00000000-0005-0000-0000-000047600000}"/>
    <cellStyle name="s_Cases_2_Partners Capital Q1 2009" xfId="24640" xr:uid="{00000000-0005-0000-0000-000048600000}"/>
    <cellStyle name="s_Cases_2_Placement Fee Summary 05-14-09 - Current (2)" xfId="24641" xr:uid="{00000000-0005-0000-0000-000049600000}"/>
    <cellStyle name="s_Cases_2_PR Calc" xfId="24642" xr:uid="{00000000-0005-0000-0000-00004A600000}"/>
    <cellStyle name="s_Cases_2_PR Calc - DOMESTIC" xfId="24643" xr:uid="{00000000-0005-0000-0000-00004B600000}"/>
    <cellStyle name="s_Cases_2_RCIV Q3 2009 Capital Analysis CURRENT" xfId="24644" xr:uid="{00000000-0005-0000-0000-00004C600000}"/>
    <cellStyle name="s_Cases_2_Sheet1" xfId="24645" xr:uid="{00000000-0005-0000-0000-00004D600000}"/>
    <cellStyle name="s_Cases_AIF IV Financial Highlights 12-31-08 v4" xfId="24646" xr:uid="{00000000-0005-0000-0000-00004E600000}"/>
    <cellStyle name="s_Cases_AIF IV Financial Highlights 12-31-08 v4_Apollo Investment Fund IV  Q3 2009 Capital Analysis CURRENT" xfId="24647" xr:uid="{00000000-0005-0000-0000-00004F600000}"/>
    <cellStyle name="s_Cases_AIF IV Financial Highlights 12-31-08 v4_Apollo Investment Fund IV  Q3 2009 Capital Analysis iPCS &amp; URI Distribution" xfId="24648" xr:uid="{00000000-0005-0000-0000-000050600000}"/>
    <cellStyle name="s_Cases_AIF IV Financial Highlights 12-31-08 v4_iPCs#1-Remaining" xfId="24649" xr:uid="{00000000-0005-0000-0000-000051600000}"/>
    <cellStyle name="s_Cases_AIF VI - BondcoVI_Entities Invested Capital (CURRENT)" xfId="24650" xr:uid="{00000000-0005-0000-0000-000052600000}"/>
    <cellStyle name="s_Cases_AIF VI Broadleaf Watefall Summary as of 6-30-09 FINAL" xfId="24651" xr:uid="{00000000-0005-0000-0000-000053600000}"/>
    <cellStyle name="s_Cases_AIF VI Broadleaf Watefall Summary as of 9-30-09" xfId="24652" xr:uid="{00000000-0005-0000-0000-000054600000}"/>
    <cellStyle name="s_Cases_Andy Affrick - Schedulev2" xfId="24653" xr:uid="{00000000-0005-0000-0000-000055600000}"/>
    <cellStyle name="s_Cases_Apollo Investment Fund IV  April Priority Return" xfId="24654" xr:uid="{00000000-0005-0000-0000-000056600000}"/>
    <cellStyle name="s_Cases_Apollo Investment Fund IV  Q1 2009 Capital Analysis 5-22-09 with GAAP" xfId="24655" xr:uid="{00000000-0005-0000-0000-000057600000}"/>
    <cellStyle name="s_Cases_Apollo Investment Fund IV  Q1 2009 Capital Analysis GAAP" xfId="24656" xr:uid="{00000000-0005-0000-0000-000058600000}"/>
    <cellStyle name="s_Cases_Apollo Investment Fund IV  Q2 2009 Capital Analysis CURRENT" xfId="24657" xr:uid="{00000000-0005-0000-0000-000059600000}"/>
    <cellStyle name="s_Cases_Apollo Investment Fund IV  Q3 2009 Capital Analysis CURRENT" xfId="24658" xr:uid="{00000000-0005-0000-0000-00005A600000}"/>
    <cellStyle name="s_Cases_Apollo Investment Fund IV  Q3 2009 Capital Analysis iPCS &amp; URI Distribution" xfId="24659" xr:uid="{00000000-0005-0000-0000-00005B600000}"/>
    <cellStyle name="s_Cases_Apollo Investment Fund IV Priority Return 6-30-09" xfId="24660" xr:uid="{00000000-0005-0000-0000-00005C600000}"/>
    <cellStyle name="s_Cases_Apollo Investment Fund IV Q1 2009 Capital Analysis PR CORRECTED 6-30-09" xfId="24661" xr:uid="{00000000-0005-0000-0000-00005D600000}"/>
    <cellStyle name="s_Cases_Broadleaf Watefall 12-31-09" xfId="24662" xr:uid="{00000000-0005-0000-0000-00005E600000}"/>
    <cellStyle name="s_Cases_Broadleaf Watefall 6-30-09" xfId="24663" xr:uid="{00000000-0005-0000-0000-00005F600000}"/>
    <cellStyle name="s_Cases_Broadleaf Watefall 9-30-09" xfId="24664" xr:uid="{00000000-0005-0000-0000-000060600000}"/>
    <cellStyle name="s_Cases_Carry Calculation" xfId="24665" xr:uid="{00000000-0005-0000-0000-000061600000}"/>
    <cellStyle name="s_Cases_Fund IV" xfId="24666" xr:uid="{00000000-0005-0000-0000-000062600000}"/>
    <cellStyle name="s_Cases_Fund IV 9.30.08" xfId="24667" xr:uid="{00000000-0005-0000-0000-000063600000}"/>
    <cellStyle name="s_Cases_Fund IV_1" xfId="24668" xr:uid="{00000000-0005-0000-0000-000064600000}"/>
    <cellStyle name="s_Cases_Funds IV Clawback Adjustment Summary" xfId="24669" xr:uid="{00000000-0005-0000-0000-000065600000}"/>
    <cellStyle name="s_Cases_Funds IV Clawback Value Adjustment" xfId="24670" xr:uid="{00000000-0005-0000-0000-000066600000}"/>
    <cellStyle name="s_Cases_IC Balance" xfId="24671" xr:uid="{00000000-0005-0000-0000-000067600000}"/>
    <cellStyle name="s_Cases_Invested Capital Debt Worksheet" xfId="24672" xr:uid="{00000000-0005-0000-0000-000068600000}"/>
    <cellStyle name="s_Cases_iPCs#1-Remaining" xfId="24673" xr:uid="{00000000-0005-0000-0000-000069600000}"/>
    <cellStyle name="s_Cases_MMF Income" xfId="24674" xr:uid="{00000000-0005-0000-0000-00006A600000}"/>
    <cellStyle name="s_Cases_Partners Capital Q1 2009" xfId="24675" xr:uid="{00000000-0005-0000-0000-00006B600000}"/>
    <cellStyle name="s_Cases_Placement Fee Summary 05-14-09 - Current (2)" xfId="24676" xr:uid="{00000000-0005-0000-0000-00006C600000}"/>
    <cellStyle name="s_Cases_PR Calc" xfId="24677" xr:uid="{00000000-0005-0000-0000-00006D600000}"/>
    <cellStyle name="s_Cases_PR Calc - DOMESTIC" xfId="24678" xr:uid="{00000000-0005-0000-0000-00006E600000}"/>
    <cellStyle name="s_Cases_RCIV Q3 2009 Capital Analysis CURRENT" xfId="24679" xr:uid="{00000000-0005-0000-0000-00006F600000}"/>
    <cellStyle name="s_Consolidated_Bal Sheets" xfId="24680" xr:uid="{00000000-0005-0000-0000-000070600000}"/>
    <cellStyle name="s_Consolidated_Bal Sheets (2)" xfId="24681" xr:uid="{00000000-0005-0000-0000-000071600000}"/>
    <cellStyle name="s_Consolidated_Bal Sheets (2) 10" xfId="24682" xr:uid="{00000000-0005-0000-0000-000072600000}"/>
    <cellStyle name="s_Consolidated_Bal Sheets (2) 11" xfId="24683" xr:uid="{00000000-0005-0000-0000-000073600000}"/>
    <cellStyle name="s_Consolidated_Bal Sheets (2) 12" xfId="24684" xr:uid="{00000000-0005-0000-0000-000074600000}"/>
    <cellStyle name="s_Consolidated_Bal Sheets (2) 13" xfId="24685" xr:uid="{00000000-0005-0000-0000-000075600000}"/>
    <cellStyle name="s_Consolidated_Bal Sheets (2) 14" xfId="24686" xr:uid="{00000000-0005-0000-0000-000076600000}"/>
    <cellStyle name="s_Consolidated_Bal Sheets (2) 15" xfId="24687" xr:uid="{00000000-0005-0000-0000-000077600000}"/>
    <cellStyle name="s_Consolidated_Bal Sheets (2) 16" xfId="24688" xr:uid="{00000000-0005-0000-0000-000078600000}"/>
    <cellStyle name="s_Consolidated_Bal Sheets (2) 17" xfId="24689" xr:uid="{00000000-0005-0000-0000-000079600000}"/>
    <cellStyle name="s_Consolidated_Bal Sheets (2) 18" xfId="24690" xr:uid="{00000000-0005-0000-0000-00007A600000}"/>
    <cellStyle name="s_Consolidated_Bal Sheets (2) 19" xfId="24691" xr:uid="{00000000-0005-0000-0000-00007B600000}"/>
    <cellStyle name="s_Consolidated_Bal Sheets (2) 2" xfId="24692" xr:uid="{00000000-0005-0000-0000-00007C600000}"/>
    <cellStyle name="s_Consolidated_Bal Sheets (2) 2 2" xfId="24693" xr:uid="{00000000-0005-0000-0000-00007D600000}"/>
    <cellStyle name="s_Consolidated_Bal Sheets (2) 20" xfId="24694" xr:uid="{00000000-0005-0000-0000-00007E600000}"/>
    <cellStyle name="s_Consolidated_Bal Sheets (2) 21" xfId="24695" xr:uid="{00000000-0005-0000-0000-00007F600000}"/>
    <cellStyle name="s_Consolidated_Bal Sheets (2) 22" xfId="24696" xr:uid="{00000000-0005-0000-0000-000080600000}"/>
    <cellStyle name="s_Consolidated_Bal Sheets (2) 23" xfId="24697" xr:uid="{00000000-0005-0000-0000-000081600000}"/>
    <cellStyle name="s_Consolidated_Bal Sheets (2) 23 2" xfId="24698" xr:uid="{00000000-0005-0000-0000-000082600000}"/>
    <cellStyle name="s_Consolidated_Bal Sheets (2) 3" xfId="24699" xr:uid="{00000000-0005-0000-0000-000083600000}"/>
    <cellStyle name="s_Consolidated_Bal Sheets (2) 3 2" xfId="24700" xr:uid="{00000000-0005-0000-0000-000084600000}"/>
    <cellStyle name="s_Consolidated_Bal Sheets (2) 4" xfId="24701" xr:uid="{00000000-0005-0000-0000-000085600000}"/>
    <cellStyle name="s_Consolidated_Bal Sheets (2) 5" xfId="24702" xr:uid="{00000000-0005-0000-0000-000086600000}"/>
    <cellStyle name="s_Consolidated_Bal Sheets (2) 6" xfId="24703" xr:uid="{00000000-0005-0000-0000-000087600000}"/>
    <cellStyle name="s_Consolidated_Bal Sheets (2) 7" xfId="24704" xr:uid="{00000000-0005-0000-0000-000088600000}"/>
    <cellStyle name="s_Consolidated_Bal Sheets (2) 8" xfId="24705" xr:uid="{00000000-0005-0000-0000-000089600000}"/>
    <cellStyle name="s_Consolidated_Bal Sheets (2) 9" xfId="24706" xr:uid="{00000000-0005-0000-0000-00008A600000}"/>
    <cellStyle name="s_Consolidated_Bal Sheets (2)_{6} Carry" xfId="24707" xr:uid="{00000000-0005-0000-0000-00008B600000}"/>
    <cellStyle name="s_Consolidated_Bal Sheets (2)_{6} Clawback" xfId="24708" xr:uid="{00000000-0005-0000-0000-00008C600000}"/>
    <cellStyle name="s_Consolidated_Bal Sheets (2)_1" xfId="24709" xr:uid="{00000000-0005-0000-0000-00008D600000}"/>
    <cellStyle name="s_Consolidated_Bal Sheets (2)_1 10" xfId="24710" xr:uid="{00000000-0005-0000-0000-00008E600000}"/>
    <cellStyle name="s_Consolidated_Bal Sheets (2)_1 11" xfId="24711" xr:uid="{00000000-0005-0000-0000-00008F600000}"/>
    <cellStyle name="s_Consolidated_Bal Sheets (2)_1 12" xfId="24712" xr:uid="{00000000-0005-0000-0000-000090600000}"/>
    <cellStyle name="s_Consolidated_Bal Sheets (2)_1 13" xfId="24713" xr:uid="{00000000-0005-0000-0000-000091600000}"/>
    <cellStyle name="s_Consolidated_Bal Sheets (2)_1 14" xfId="24714" xr:uid="{00000000-0005-0000-0000-000092600000}"/>
    <cellStyle name="s_Consolidated_Bal Sheets (2)_1 15" xfId="24715" xr:uid="{00000000-0005-0000-0000-000093600000}"/>
    <cellStyle name="s_Consolidated_Bal Sheets (2)_1 16" xfId="24716" xr:uid="{00000000-0005-0000-0000-000094600000}"/>
    <cellStyle name="s_Consolidated_Bal Sheets (2)_1 17" xfId="24717" xr:uid="{00000000-0005-0000-0000-000095600000}"/>
    <cellStyle name="s_Consolidated_Bal Sheets (2)_1 18" xfId="24718" xr:uid="{00000000-0005-0000-0000-000096600000}"/>
    <cellStyle name="s_Consolidated_Bal Sheets (2)_1 19" xfId="24719" xr:uid="{00000000-0005-0000-0000-000097600000}"/>
    <cellStyle name="s_Consolidated_Bal Sheets (2)_1 2" xfId="24720" xr:uid="{00000000-0005-0000-0000-000098600000}"/>
    <cellStyle name="s_Consolidated_Bal Sheets (2)_1 2 2" xfId="24721" xr:uid="{00000000-0005-0000-0000-000099600000}"/>
    <cellStyle name="s_Consolidated_Bal Sheets (2)_1 20" xfId="24722" xr:uid="{00000000-0005-0000-0000-00009A600000}"/>
    <cellStyle name="s_Consolidated_Bal Sheets (2)_1 21" xfId="24723" xr:uid="{00000000-0005-0000-0000-00009B600000}"/>
    <cellStyle name="s_Consolidated_Bal Sheets (2)_1 22" xfId="24724" xr:uid="{00000000-0005-0000-0000-00009C600000}"/>
    <cellStyle name="s_Consolidated_Bal Sheets (2)_1 23" xfId="24725" xr:uid="{00000000-0005-0000-0000-00009D600000}"/>
    <cellStyle name="s_Consolidated_Bal Sheets (2)_1 23 2" xfId="24726" xr:uid="{00000000-0005-0000-0000-00009E600000}"/>
    <cellStyle name="s_Consolidated_Bal Sheets (2)_1 3" xfId="24727" xr:uid="{00000000-0005-0000-0000-00009F600000}"/>
    <cellStyle name="s_Consolidated_Bal Sheets (2)_1 3 2" xfId="24728" xr:uid="{00000000-0005-0000-0000-0000A0600000}"/>
    <cellStyle name="s_Consolidated_Bal Sheets (2)_1 4" xfId="24729" xr:uid="{00000000-0005-0000-0000-0000A1600000}"/>
    <cellStyle name="s_Consolidated_Bal Sheets (2)_1 5" xfId="24730" xr:uid="{00000000-0005-0000-0000-0000A2600000}"/>
    <cellStyle name="s_Consolidated_Bal Sheets (2)_1 6" xfId="24731" xr:uid="{00000000-0005-0000-0000-0000A3600000}"/>
    <cellStyle name="s_Consolidated_Bal Sheets (2)_1 7" xfId="24732" xr:uid="{00000000-0005-0000-0000-0000A4600000}"/>
    <cellStyle name="s_Consolidated_Bal Sheets (2)_1 8" xfId="24733" xr:uid="{00000000-0005-0000-0000-0000A5600000}"/>
    <cellStyle name="s_Consolidated_Bal Sheets (2)_1 9" xfId="24734" xr:uid="{00000000-0005-0000-0000-0000A6600000}"/>
    <cellStyle name="s_Consolidated_Bal Sheets (2)_1_{6} Carry" xfId="24735" xr:uid="{00000000-0005-0000-0000-0000A7600000}"/>
    <cellStyle name="s_Consolidated_Bal Sheets (2)_1_{6} Clawback" xfId="24736" xr:uid="{00000000-0005-0000-0000-0000A8600000}"/>
    <cellStyle name="s_Consolidated_Bal Sheets (2)_1_AIF IV Financial Highlights 12-31-08 v4" xfId="24737" xr:uid="{00000000-0005-0000-0000-0000A9600000}"/>
    <cellStyle name="s_Consolidated_Bal Sheets (2)_1_AIF IV Financial Highlights 12-31-08 v4_Apollo Investment Fund IV  Q3 2009 Capital Analysis CURRENT" xfId="24738" xr:uid="{00000000-0005-0000-0000-0000AA600000}"/>
    <cellStyle name="s_Consolidated_Bal Sheets (2)_1_AIF IV Financial Highlights 12-31-08 v4_Apollo Investment Fund IV  Q3 2009 Capital Analysis iPCS &amp; URI Distribution" xfId="24739" xr:uid="{00000000-0005-0000-0000-0000AB600000}"/>
    <cellStyle name="s_Consolidated_Bal Sheets (2)_1_AIF IV Financial Highlights 12-31-08 v4_iPCs#1-Remaining" xfId="24740" xr:uid="{00000000-0005-0000-0000-0000AC600000}"/>
    <cellStyle name="s_Consolidated_Bal Sheets (2)_1_AIF VI - BondcoVI_Entities Invested Capital (CURRENT)" xfId="24741" xr:uid="{00000000-0005-0000-0000-0000AD600000}"/>
    <cellStyle name="s_Consolidated_Bal Sheets (2)_1_AIF VI Broadleaf Watefall Summary as of 6-30-09 FINAL" xfId="24742" xr:uid="{00000000-0005-0000-0000-0000AE600000}"/>
    <cellStyle name="s_Consolidated_Bal Sheets (2)_1_AIF VI Broadleaf Watefall Summary as of 9-30-09" xfId="24743" xr:uid="{00000000-0005-0000-0000-0000AF600000}"/>
    <cellStyle name="s_Consolidated_Bal Sheets (2)_1_Andy Affrick - Schedulev2" xfId="24744" xr:uid="{00000000-0005-0000-0000-0000B0600000}"/>
    <cellStyle name="s_Consolidated_Bal Sheets (2)_1_Apollo Advisors IV 12-31-08 GAAP TB Final" xfId="24745" xr:uid="{00000000-0005-0000-0000-0000B1600000}"/>
    <cellStyle name="s_Consolidated_Bal Sheets (2)_1_Apollo Advisors IV 12-31-08 TB (Revised for Aggr PR)" xfId="24746" xr:uid="{00000000-0005-0000-0000-0000B2600000}"/>
    <cellStyle name="s_Consolidated_Bal Sheets (2)_1_Apollo Advisors IV 6-30-09 GAAP TB" xfId="24747" xr:uid="{00000000-0005-0000-0000-0000B3600000}"/>
    <cellStyle name="s_Consolidated_Bal Sheets (2)_1_Apollo Investment Fund IV  April Priority Return" xfId="24748" xr:uid="{00000000-0005-0000-0000-0000B4600000}"/>
    <cellStyle name="s_Consolidated_Bal Sheets (2)_1_Apollo Investment Fund IV  Q1 2009 Capital Analysis 5-22-09 with GAAP" xfId="24749" xr:uid="{00000000-0005-0000-0000-0000B5600000}"/>
    <cellStyle name="s_Consolidated_Bal Sheets (2)_1_Apollo Investment Fund IV  Q1 2009 Capital Analysis GAAP" xfId="24750" xr:uid="{00000000-0005-0000-0000-0000B6600000}"/>
    <cellStyle name="s_Consolidated_Bal Sheets (2)_1_Apollo Investment Fund IV  Q2 2009 Capital Analysis CURRENT" xfId="24751" xr:uid="{00000000-0005-0000-0000-0000B7600000}"/>
    <cellStyle name="s_Consolidated_Bal Sheets (2)_1_Apollo Investment Fund IV  Q3 2009 Capital Analysis CURRENT" xfId="24752" xr:uid="{00000000-0005-0000-0000-0000B8600000}"/>
    <cellStyle name="s_Consolidated_Bal Sheets (2)_1_Apollo Investment Fund IV  Q3 2009 Capital Analysis iPCS &amp; URI Distribution" xfId="24753" xr:uid="{00000000-0005-0000-0000-0000B9600000}"/>
    <cellStyle name="s_Consolidated_Bal Sheets (2)_1_Apollo Investment Fund IV Priority Return 6-30-09" xfId="24754" xr:uid="{00000000-0005-0000-0000-0000BA600000}"/>
    <cellStyle name="s_Consolidated_Bal Sheets (2)_1_Apollo Investment Fund IV Q1 2009 Capital Analysis PR CORRECTED 6-30-09" xfId="24755" xr:uid="{00000000-0005-0000-0000-0000BB600000}"/>
    <cellStyle name="s_Consolidated_Bal Sheets (2)_1_Broadleaf Watefall 12-31-09" xfId="24756" xr:uid="{00000000-0005-0000-0000-0000BC600000}"/>
    <cellStyle name="s_Consolidated_Bal Sheets (2)_1_Broadleaf Watefall 6-30-09" xfId="24757" xr:uid="{00000000-0005-0000-0000-0000BD600000}"/>
    <cellStyle name="s_Consolidated_Bal Sheets (2)_1_Broadleaf Watefall 9-30-09" xfId="24758" xr:uid="{00000000-0005-0000-0000-0000BE600000}"/>
    <cellStyle name="s_Consolidated_Bal Sheets (2)_1_Carry Calculation" xfId="24759" xr:uid="{00000000-0005-0000-0000-0000BF600000}"/>
    <cellStyle name="s_Consolidated_Bal Sheets (2)_1_Fund IV" xfId="24760" xr:uid="{00000000-0005-0000-0000-0000C0600000}"/>
    <cellStyle name="s_Consolidated_Bal Sheets (2)_1_Fund IV 9.30.08" xfId="24761" xr:uid="{00000000-0005-0000-0000-0000C1600000}"/>
    <cellStyle name="s_Consolidated_Bal Sheets (2)_1_Fund IV_1" xfId="24762" xr:uid="{00000000-0005-0000-0000-0000C2600000}"/>
    <cellStyle name="s_Consolidated_Bal Sheets (2)_1_Funds IV Clawback Adjustment Summary" xfId="24763" xr:uid="{00000000-0005-0000-0000-0000C3600000}"/>
    <cellStyle name="s_Consolidated_Bal Sheets (2)_1_Funds IV Clawback Value Adjustment" xfId="24764" xr:uid="{00000000-0005-0000-0000-0000C4600000}"/>
    <cellStyle name="s_Consolidated_Bal Sheets (2)_1_IC Balance" xfId="24765" xr:uid="{00000000-0005-0000-0000-0000C5600000}"/>
    <cellStyle name="s_Consolidated_Bal Sheets (2)_1_Invested Capital Debt Worksheet" xfId="24766" xr:uid="{00000000-0005-0000-0000-0000C6600000}"/>
    <cellStyle name="s_Consolidated_Bal Sheets (2)_1_Invested Capital Debt Worksheet_1" xfId="24767" xr:uid="{00000000-0005-0000-0000-0000C7600000}"/>
    <cellStyle name="s_Consolidated_Bal Sheets (2)_1_iPCs#1-Remaining" xfId="24768" xr:uid="{00000000-0005-0000-0000-0000C8600000}"/>
    <cellStyle name="s_Consolidated_Bal Sheets (2)_1_MMF Income" xfId="24769" xr:uid="{00000000-0005-0000-0000-0000C9600000}"/>
    <cellStyle name="s_Consolidated_Bal Sheets (2)_1_Partners Capital Q1 2009" xfId="24770" xr:uid="{00000000-0005-0000-0000-0000CA600000}"/>
    <cellStyle name="s_Consolidated_Bal Sheets (2)_1_Placement Fee Summary 05-14-09 - Current (2)" xfId="24771" xr:uid="{00000000-0005-0000-0000-0000CB600000}"/>
    <cellStyle name="s_Consolidated_Bal Sheets (2)_1_PR Calc" xfId="24772" xr:uid="{00000000-0005-0000-0000-0000CC600000}"/>
    <cellStyle name="s_Consolidated_Bal Sheets (2)_1_PR Calc - DOMESTIC" xfId="24773" xr:uid="{00000000-0005-0000-0000-0000CD600000}"/>
    <cellStyle name="s_Consolidated_Bal Sheets (2)_1_RCIV Q3 2009 Capital Analysis CURRENT" xfId="24774" xr:uid="{00000000-0005-0000-0000-0000CE600000}"/>
    <cellStyle name="s_Consolidated_Bal Sheets (2)_1_Sheet1" xfId="24775" xr:uid="{00000000-0005-0000-0000-0000CF600000}"/>
    <cellStyle name="s_Consolidated_Bal Sheets (2)_2" xfId="24776" xr:uid="{00000000-0005-0000-0000-0000D0600000}"/>
    <cellStyle name="s_Consolidated_Bal Sheets (2)_2 10" xfId="24777" xr:uid="{00000000-0005-0000-0000-0000D1600000}"/>
    <cellStyle name="s_Consolidated_Bal Sheets (2)_2 11" xfId="24778" xr:uid="{00000000-0005-0000-0000-0000D2600000}"/>
    <cellStyle name="s_Consolidated_Bal Sheets (2)_2 12" xfId="24779" xr:uid="{00000000-0005-0000-0000-0000D3600000}"/>
    <cellStyle name="s_Consolidated_Bal Sheets (2)_2 13" xfId="24780" xr:uid="{00000000-0005-0000-0000-0000D4600000}"/>
    <cellStyle name="s_Consolidated_Bal Sheets (2)_2 14" xfId="24781" xr:uid="{00000000-0005-0000-0000-0000D5600000}"/>
    <cellStyle name="s_Consolidated_Bal Sheets (2)_2 15" xfId="24782" xr:uid="{00000000-0005-0000-0000-0000D6600000}"/>
    <cellStyle name="s_Consolidated_Bal Sheets (2)_2 16" xfId="24783" xr:uid="{00000000-0005-0000-0000-0000D7600000}"/>
    <cellStyle name="s_Consolidated_Bal Sheets (2)_2 17" xfId="24784" xr:uid="{00000000-0005-0000-0000-0000D8600000}"/>
    <cellStyle name="s_Consolidated_Bal Sheets (2)_2 18" xfId="24785" xr:uid="{00000000-0005-0000-0000-0000D9600000}"/>
    <cellStyle name="s_Consolidated_Bal Sheets (2)_2 19" xfId="24786" xr:uid="{00000000-0005-0000-0000-0000DA600000}"/>
    <cellStyle name="s_Consolidated_Bal Sheets (2)_2 2" xfId="24787" xr:uid="{00000000-0005-0000-0000-0000DB600000}"/>
    <cellStyle name="s_Consolidated_Bal Sheets (2)_2 2 2" xfId="24788" xr:uid="{00000000-0005-0000-0000-0000DC600000}"/>
    <cellStyle name="s_Consolidated_Bal Sheets (2)_2 20" xfId="24789" xr:uid="{00000000-0005-0000-0000-0000DD600000}"/>
    <cellStyle name="s_Consolidated_Bal Sheets (2)_2 21" xfId="24790" xr:uid="{00000000-0005-0000-0000-0000DE600000}"/>
    <cellStyle name="s_Consolidated_Bal Sheets (2)_2 22" xfId="24791" xr:uid="{00000000-0005-0000-0000-0000DF600000}"/>
    <cellStyle name="s_Consolidated_Bal Sheets (2)_2 23" xfId="24792" xr:uid="{00000000-0005-0000-0000-0000E0600000}"/>
    <cellStyle name="s_Consolidated_Bal Sheets (2)_2 23 2" xfId="24793" xr:uid="{00000000-0005-0000-0000-0000E1600000}"/>
    <cellStyle name="s_Consolidated_Bal Sheets (2)_2 3" xfId="24794" xr:uid="{00000000-0005-0000-0000-0000E2600000}"/>
    <cellStyle name="s_Consolidated_Bal Sheets (2)_2 3 2" xfId="24795" xr:uid="{00000000-0005-0000-0000-0000E3600000}"/>
    <cellStyle name="s_Consolidated_Bal Sheets (2)_2 4" xfId="24796" xr:uid="{00000000-0005-0000-0000-0000E4600000}"/>
    <cellStyle name="s_Consolidated_Bal Sheets (2)_2 5" xfId="24797" xr:uid="{00000000-0005-0000-0000-0000E5600000}"/>
    <cellStyle name="s_Consolidated_Bal Sheets (2)_2 6" xfId="24798" xr:uid="{00000000-0005-0000-0000-0000E6600000}"/>
    <cellStyle name="s_Consolidated_Bal Sheets (2)_2 7" xfId="24799" xr:uid="{00000000-0005-0000-0000-0000E7600000}"/>
    <cellStyle name="s_Consolidated_Bal Sheets (2)_2 8" xfId="24800" xr:uid="{00000000-0005-0000-0000-0000E8600000}"/>
    <cellStyle name="s_Consolidated_Bal Sheets (2)_2 9" xfId="24801" xr:uid="{00000000-0005-0000-0000-0000E9600000}"/>
    <cellStyle name="s_Consolidated_Bal Sheets (2)_2_{6} Carry" xfId="24802" xr:uid="{00000000-0005-0000-0000-0000EA600000}"/>
    <cellStyle name="s_Consolidated_Bal Sheets (2)_2_{6} Clawback" xfId="24803" xr:uid="{00000000-0005-0000-0000-0000EB600000}"/>
    <cellStyle name="s_Consolidated_Bal Sheets (2)_2_AIF IV Financial Highlights 12-31-08 v4" xfId="24804" xr:uid="{00000000-0005-0000-0000-0000EC600000}"/>
    <cellStyle name="s_Consolidated_Bal Sheets (2)_2_AIF IV Financial Highlights 12-31-08 v4_Apollo Investment Fund IV  Q3 2009 Capital Analysis CURRENT" xfId="24805" xr:uid="{00000000-0005-0000-0000-0000ED600000}"/>
    <cellStyle name="s_Consolidated_Bal Sheets (2)_2_AIF IV Financial Highlights 12-31-08 v4_Apollo Investment Fund IV  Q3 2009 Capital Analysis iPCS &amp; URI Distribution" xfId="24806" xr:uid="{00000000-0005-0000-0000-0000EE600000}"/>
    <cellStyle name="s_Consolidated_Bal Sheets (2)_2_AIF IV Financial Highlights 12-31-08 v4_iPCs#1-Remaining" xfId="24807" xr:uid="{00000000-0005-0000-0000-0000EF600000}"/>
    <cellStyle name="s_Consolidated_Bal Sheets (2)_2_AIF VI - BondcoVI_Entities Invested Capital (CURRENT)" xfId="24808" xr:uid="{00000000-0005-0000-0000-0000F0600000}"/>
    <cellStyle name="s_Consolidated_Bal Sheets (2)_2_AIF VI Broadleaf Watefall Summary as of 6-30-09 FINAL" xfId="24809" xr:uid="{00000000-0005-0000-0000-0000F1600000}"/>
    <cellStyle name="s_Consolidated_Bal Sheets (2)_2_AIF VI Broadleaf Watefall Summary as of 9-30-09" xfId="24810" xr:uid="{00000000-0005-0000-0000-0000F2600000}"/>
    <cellStyle name="s_Consolidated_Bal Sheets (2)_2_Andy Affrick - Schedulev2" xfId="24811" xr:uid="{00000000-0005-0000-0000-0000F3600000}"/>
    <cellStyle name="s_Consolidated_Bal Sheets (2)_2_Apollo Investment Fund IV  April Priority Return" xfId="24812" xr:uid="{00000000-0005-0000-0000-0000F4600000}"/>
    <cellStyle name="s_Consolidated_Bal Sheets (2)_2_Apollo Investment Fund IV  Q1 2009 Capital Analysis 5-22-09 with GAAP" xfId="24813" xr:uid="{00000000-0005-0000-0000-0000F5600000}"/>
    <cellStyle name="s_Consolidated_Bal Sheets (2)_2_Apollo Investment Fund IV  Q1 2009 Capital Analysis GAAP" xfId="24814" xr:uid="{00000000-0005-0000-0000-0000F6600000}"/>
    <cellStyle name="s_Consolidated_Bal Sheets (2)_2_Apollo Investment Fund IV  Q2 2009 Capital Analysis CURRENT" xfId="24815" xr:uid="{00000000-0005-0000-0000-0000F7600000}"/>
    <cellStyle name="s_Consolidated_Bal Sheets (2)_2_Apollo Investment Fund IV  Q3 2009 Capital Analysis CURRENT" xfId="24816" xr:uid="{00000000-0005-0000-0000-0000F8600000}"/>
    <cellStyle name="s_Consolidated_Bal Sheets (2)_2_Apollo Investment Fund IV  Q3 2009 Capital Analysis iPCS &amp; URI Distribution" xfId="24817" xr:uid="{00000000-0005-0000-0000-0000F9600000}"/>
    <cellStyle name="s_Consolidated_Bal Sheets (2)_2_Apollo Investment Fund IV Priority Return 6-30-09" xfId="24818" xr:uid="{00000000-0005-0000-0000-0000FA600000}"/>
    <cellStyle name="s_Consolidated_Bal Sheets (2)_2_Apollo Investment Fund IV Q1 2009 Capital Analysis PR CORRECTED 6-30-09" xfId="24819" xr:uid="{00000000-0005-0000-0000-0000FB600000}"/>
    <cellStyle name="s_Consolidated_Bal Sheets (2)_2_Broadleaf Watefall 12-31-09" xfId="24820" xr:uid="{00000000-0005-0000-0000-0000FC600000}"/>
    <cellStyle name="s_Consolidated_Bal Sheets (2)_2_Broadleaf Watefall 6-30-09" xfId="24821" xr:uid="{00000000-0005-0000-0000-0000FD600000}"/>
    <cellStyle name="s_Consolidated_Bal Sheets (2)_2_Broadleaf Watefall 9-30-09" xfId="24822" xr:uid="{00000000-0005-0000-0000-0000FE600000}"/>
    <cellStyle name="s_Consolidated_Bal Sheets (2)_2_Carry Calculation" xfId="24823" xr:uid="{00000000-0005-0000-0000-0000FF600000}"/>
    <cellStyle name="s_Consolidated_Bal Sheets (2)_2_Fund IV" xfId="24824" xr:uid="{00000000-0005-0000-0000-000000610000}"/>
    <cellStyle name="s_Consolidated_Bal Sheets (2)_2_Fund IV 9.30.08" xfId="24825" xr:uid="{00000000-0005-0000-0000-000001610000}"/>
    <cellStyle name="s_Consolidated_Bal Sheets (2)_2_Fund IV_1" xfId="24826" xr:uid="{00000000-0005-0000-0000-000002610000}"/>
    <cellStyle name="s_Consolidated_Bal Sheets (2)_2_Funds IV Clawback Adjustment Summary" xfId="24827" xr:uid="{00000000-0005-0000-0000-000003610000}"/>
    <cellStyle name="s_Consolidated_Bal Sheets (2)_2_Funds IV Clawback Value Adjustment" xfId="24828" xr:uid="{00000000-0005-0000-0000-000004610000}"/>
    <cellStyle name="s_Consolidated_Bal Sheets (2)_2_IC Balance" xfId="24829" xr:uid="{00000000-0005-0000-0000-000005610000}"/>
    <cellStyle name="s_Consolidated_Bal Sheets (2)_2_Invested Capital Debt Worksheet" xfId="24830" xr:uid="{00000000-0005-0000-0000-000006610000}"/>
    <cellStyle name="s_Consolidated_Bal Sheets (2)_2_iPCs#1-Remaining" xfId="24831" xr:uid="{00000000-0005-0000-0000-000007610000}"/>
    <cellStyle name="s_Consolidated_Bal Sheets (2)_2_MMF Income" xfId="24832" xr:uid="{00000000-0005-0000-0000-000008610000}"/>
    <cellStyle name="s_Consolidated_Bal Sheets (2)_2_Partners Capital Q1 2009" xfId="24833" xr:uid="{00000000-0005-0000-0000-000009610000}"/>
    <cellStyle name="s_Consolidated_Bal Sheets (2)_2_Placement Fee Summary 05-14-09 - Current (2)" xfId="24834" xr:uid="{00000000-0005-0000-0000-00000A610000}"/>
    <cellStyle name="s_Consolidated_Bal Sheets (2)_2_PR Calc" xfId="24835" xr:uid="{00000000-0005-0000-0000-00000B610000}"/>
    <cellStyle name="s_Consolidated_Bal Sheets (2)_2_PR Calc - DOMESTIC" xfId="24836" xr:uid="{00000000-0005-0000-0000-00000C610000}"/>
    <cellStyle name="s_Consolidated_Bal Sheets (2)_2_RCIV Q3 2009 Capital Analysis CURRENT" xfId="24837" xr:uid="{00000000-0005-0000-0000-00000D610000}"/>
    <cellStyle name="s_Consolidated_Bal Sheets (2)_AIF IV Financial Highlights 12-31-08 v4" xfId="24838" xr:uid="{00000000-0005-0000-0000-00000E610000}"/>
    <cellStyle name="s_Consolidated_Bal Sheets (2)_AIF IV Financial Highlights 12-31-08 v4_Apollo Investment Fund IV  Q3 2009 Capital Analysis CURRENT" xfId="24839" xr:uid="{00000000-0005-0000-0000-00000F610000}"/>
    <cellStyle name="s_Consolidated_Bal Sheets (2)_AIF IV Financial Highlights 12-31-08 v4_Apollo Investment Fund IV  Q3 2009 Capital Analysis iPCS &amp; URI Distribution" xfId="24840" xr:uid="{00000000-0005-0000-0000-000010610000}"/>
    <cellStyle name="s_Consolidated_Bal Sheets (2)_AIF IV Financial Highlights 12-31-08 v4_iPCs#1-Remaining" xfId="24841" xr:uid="{00000000-0005-0000-0000-000011610000}"/>
    <cellStyle name="s_Consolidated_Bal Sheets (2)_AIF VI - BondcoVI_Entities Invested Capital (CURRENT)" xfId="24842" xr:uid="{00000000-0005-0000-0000-000012610000}"/>
    <cellStyle name="s_Consolidated_Bal Sheets (2)_AIF VI Broadleaf Watefall Summary as of 6-30-09 FINAL" xfId="24843" xr:uid="{00000000-0005-0000-0000-000013610000}"/>
    <cellStyle name="s_Consolidated_Bal Sheets (2)_AIF VI Broadleaf Watefall Summary as of 9-30-09" xfId="24844" xr:uid="{00000000-0005-0000-0000-000014610000}"/>
    <cellStyle name="s_Consolidated_Bal Sheets (2)_Andy Affrick - Schedulev2" xfId="24845" xr:uid="{00000000-0005-0000-0000-000015610000}"/>
    <cellStyle name="s_Consolidated_Bal Sheets (2)_Apollo Advisors IV 12-31-08 GAAP TB Final" xfId="24846" xr:uid="{00000000-0005-0000-0000-000016610000}"/>
    <cellStyle name="s_Consolidated_Bal Sheets (2)_Apollo Advisors IV 12-31-08 TB (Revised for Aggr PR)" xfId="24847" xr:uid="{00000000-0005-0000-0000-000017610000}"/>
    <cellStyle name="s_Consolidated_Bal Sheets (2)_Apollo Advisors IV 6-30-09 GAAP TB" xfId="24848" xr:uid="{00000000-0005-0000-0000-000018610000}"/>
    <cellStyle name="s_Consolidated_Bal Sheets (2)_Apollo Investment Fund IV  April Priority Return" xfId="24849" xr:uid="{00000000-0005-0000-0000-000019610000}"/>
    <cellStyle name="s_Consolidated_Bal Sheets (2)_Apollo Investment Fund IV  Q1 2009 Capital Analysis 5-22-09 with GAAP" xfId="24850" xr:uid="{00000000-0005-0000-0000-00001A610000}"/>
    <cellStyle name="s_Consolidated_Bal Sheets (2)_Apollo Investment Fund IV  Q1 2009 Capital Analysis GAAP" xfId="24851" xr:uid="{00000000-0005-0000-0000-00001B610000}"/>
    <cellStyle name="s_Consolidated_Bal Sheets (2)_Apollo Investment Fund IV  Q2 2009 Capital Analysis CURRENT" xfId="24852" xr:uid="{00000000-0005-0000-0000-00001C610000}"/>
    <cellStyle name="s_Consolidated_Bal Sheets (2)_Apollo Investment Fund IV  Q3 2009 Capital Analysis CURRENT" xfId="24853" xr:uid="{00000000-0005-0000-0000-00001D610000}"/>
    <cellStyle name="s_Consolidated_Bal Sheets (2)_Apollo Investment Fund IV  Q3 2009 Capital Analysis iPCS &amp; URI Distribution" xfId="24854" xr:uid="{00000000-0005-0000-0000-00001E610000}"/>
    <cellStyle name="s_Consolidated_Bal Sheets (2)_Apollo Investment Fund IV Priority Return 6-30-09" xfId="24855" xr:uid="{00000000-0005-0000-0000-00001F610000}"/>
    <cellStyle name="s_Consolidated_Bal Sheets (2)_Apollo Investment Fund IV Q1 2009 Capital Analysis PR CORRECTED 6-30-09" xfId="24856" xr:uid="{00000000-0005-0000-0000-000020610000}"/>
    <cellStyle name="s_Consolidated_Bal Sheets (2)_Broadleaf Watefall 12-31-09" xfId="24857" xr:uid="{00000000-0005-0000-0000-000021610000}"/>
    <cellStyle name="s_Consolidated_Bal Sheets (2)_Broadleaf Watefall 6-30-09" xfId="24858" xr:uid="{00000000-0005-0000-0000-000022610000}"/>
    <cellStyle name="s_Consolidated_Bal Sheets (2)_Broadleaf Watefall 9-30-09" xfId="24859" xr:uid="{00000000-0005-0000-0000-000023610000}"/>
    <cellStyle name="s_Consolidated_Bal Sheets (2)_Carry Calculation" xfId="24860" xr:uid="{00000000-0005-0000-0000-000024610000}"/>
    <cellStyle name="s_Consolidated_Bal Sheets (2)_Fund IV" xfId="24861" xr:uid="{00000000-0005-0000-0000-000025610000}"/>
    <cellStyle name="s_Consolidated_Bal Sheets (2)_Fund IV 9.30.08" xfId="24862" xr:uid="{00000000-0005-0000-0000-000026610000}"/>
    <cellStyle name="s_Consolidated_Bal Sheets (2)_Fund IV_1" xfId="24863" xr:uid="{00000000-0005-0000-0000-000027610000}"/>
    <cellStyle name="s_Consolidated_Bal Sheets (2)_Funds IV Clawback Adjustment Summary" xfId="24864" xr:uid="{00000000-0005-0000-0000-000028610000}"/>
    <cellStyle name="s_Consolidated_Bal Sheets (2)_Funds IV Clawback Value Adjustment" xfId="24865" xr:uid="{00000000-0005-0000-0000-000029610000}"/>
    <cellStyle name="s_Consolidated_Bal Sheets (2)_IC Balance" xfId="24866" xr:uid="{00000000-0005-0000-0000-00002A610000}"/>
    <cellStyle name="s_Consolidated_Bal Sheets (2)_Invested Capital Debt Worksheet" xfId="24867" xr:uid="{00000000-0005-0000-0000-00002B610000}"/>
    <cellStyle name="s_Consolidated_Bal Sheets (2)_Invested Capital Debt Worksheet_1" xfId="24868" xr:uid="{00000000-0005-0000-0000-00002C610000}"/>
    <cellStyle name="s_Consolidated_Bal Sheets (2)_iPCs#1-Remaining" xfId="24869" xr:uid="{00000000-0005-0000-0000-00002D610000}"/>
    <cellStyle name="s_Consolidated_Bal Sheets (2)_MMF Income" xfId="24870" xr:uid="{00000000-0005-0000-0000-00002E610000}"/>
    <cellStyle name="s_Consolidated_Bal Sheets (2)_Partners Capital Q1 2009" xfId="24871" xr:uid="{00000000-0005-0000-0000-00002F610000}"/>
    <cellStyle name="s_Consolidated_Bal Sheets (2)_Placement Fee Summary 05-14-09 - Current (2)" xfId="24872" xr:uid="{00000000-0005-0000-0000-000030610000}"/>
    <cellStyle name="s_Consolidated_Bal Sheets (2)_PR Calc" xfId="24873" xr:uid="{00000000-0005-0000-0000-000031610000}"/>
    <cellStyle name="s_Consolidated_Bal Sheets (2)_PR Calc - DOMESTIC" xfId="24874" xr:uid="{00000000-0005-0000-0000-000032610000}"/>
    <cellStyle name="s_Consolidated_Bal Sheets (2)_RCIV Q3 2009 Capital Analysis CURRENT" xfId="24875" xr:uid="{00000000-0005-0000-0000-000033610000}"/>
    <cellStyle name="s_Consolidated_Bal Sheets (2)_Sheet1" xfId="24876" xr:uid="{00000000-0005-0000-0000-000034610000}"/>
    <cellStyle name="s_Consolidated_Bal Sheets 10" xfId="24877" xr:uid="{00000000-0005-0000-0000-000035610000}"/>
    <cellStyle name="s_Consolidated_Bal Sheets 11" xfId="24878" xr:uid="{00000000-0005-0000-0000-000036610000}"/>
    <cellStyle name="s_Consolidated_Bal Sheets 12" xfId="24879" xr:uid="{00000000-0005-0000-0000-000037610000}"/>
    <cellStyle name="s_Consolidated_Bal Sheets 13" xfId="24880" xr:uid="{00000000-0005-0000-0000-000038610000}"/>
    <cellStyle name="s_Consolidated_Bal Sheets 14" xfId="24881" xr:uid="{00000000-0005-0000-0000-000039610000}"/>
    <cellStyle name="s_Consolidated_Bal Sheets 15" xfId="24882" xr:uid="{00000000-0005-0000-0000-00003A610000}"/>
    <cellStyle name="s_Consolidated_Bal Sheets 16" xfId="24883" xr:uid="{00000000-0005-0000-0000-00003B610000}"/>
    <cellStyle name="s_Consolidated_Bal Sheets 17" xfId="24884" xr:uid="{00000000-0005-0000-0000-00003C610000}"/>
    <cellStyle name="s_Consolidated_Bal Sheets 18" xfId="24885" xr:uid="{00000000-0005-0000-0000-00003D610000}"/>
    <cellStyle name="s_Consolidated_Bal Sheets 19" xfId="24886" xr:uid="{00000000-0005-0000-0000-00003E610000}"/>
    <cellStyle name="s_Consolidated_Bal Sheets 2" xfId="24887" xr:uid="{00000000-0005-0000-0000-00003F610000}"/>
    <cellStyle name="s_Consolidated_Bal Sheets 2 2" xfId="24888" xr:uid="{00000000-0005-0000-0000-000040610000}"/>
    <cellStyle name="s_Consolidated_Bal Sheets 20" xfId="24889" xr:uid="{00000000-0005-0000-0000-000041610000}"/>
    <cellStyle name="s_Consolidated_Bal Sheets 21" xfId="24890" xr:uid="{00000000-0005-0000-0000-000042610000}"/>
    <cellStyle name="s_Consolidated_Bal Sheets 22" xfId="24891" xr:uid="{00000000-0005-0000-0000-000043610000}"/>
    <cellStyle name="s_Consolidated_Bal Sheets 23" xfId="24892" xr:uid="{00000000-0005-0000-0000-000044610000}"/>
    <cellStyle name="s_Consolidated_Bal Sheets 23 2" xfId="24893" xr:uid="{00000000-0005-0000-0000-000045610000}"/>
    <cellStyle name="s_Consolidated_Bal Sheets 3" xfId="24894" xr:uid="{00000000-0005-0000-0000-000046610000}"/>
    <cellStyle name="s_Consolidated_Bal Sheets 3 2" xfId="24895" xr:uid="{00000000-0005-0000-0000-000047610000}"/>
    <cellStyle name="s_Consolidated_Bal Sheets 4" xfId="24896" xr:uid="{00000000-0005-0000-0000-000048610000}"/>
    <cellStyle name="s_Consolidated_Bal Sheets 5" xfId="24897" xr:uid="{00000000-0005-0000-0000-000049610000}"/>
    <cellStyle name="s_Consolidated_Bal Sheets 6" xfId="24898" xr:uid="{00000000-0005-0000-0000-00004A610000}"/>
    <cellStyle name="s_Consolidated_Bal Sheets 7" xfId="24899" xr:uid="{00000000-0005-0000-0000-00004B610000}"/>
    <cellStyle name="s_Consolidated_Bal Sheets 8" xfId="24900" xr:uid="{00000000-0005-0000-0000-00004C610000}"/>
    <cellStyle name="s_Consolidated_Bal Sheets 9" xfId="24901" xr:uid="{00000000-0005-0000-0000-00004D610000}"/>
    <cellStyle name="s_Consolidated_Bal Sheets_{6} Carry" xfId="24902" xr:uid="{00000000-0005-0000-0000-00004E610000}"/>
    <cellStyle name="s_Consolidated_Bal Sheets_{6} Clawback" xfId="24903" xr:uid="{00000000-0005-0000-0000-00004F610000}"/>
    <cellStyle name="s_Consolidated_Bal Sheets_1" xfId="24904" xr:uid="{00000000-0005-0000-0000-000050610000}"/>
    <cellStyle name="s_Consolidated_Bal Sheets_1 10" xfId="24905" xr:uid="{00000000-0005-0000-0000-000051610000}"/>
    <cellStyle name="s_Consolidated_Bal Sheets_1 11" xfId="24906" xr:uid="{00000000-0005-0000-0000-000052610000}"/>
    <cellStyle name="s_Consolidated_Bal Sheets_1 12" xfId="24907" xr:uid="{00000000-0005-0000-0000-000053610000}"/>
    <cellStyle name="s_Consolidated_Bal Sheets_1 13" xfId="24908" xr:uid="{00000000-0005-0000-0000-000054610000}"/>
    <cellStyle name="s_Consolidated_Bal Sheets_1 14" xfId="24909" xr:uid="{00000000-0005-0000-0000-000055610000}"/>
    <cellStyle name="s_Consolidated_Bal Sheets_1 15" xfId="24910" xr:uid="{00000000-0005-0000-0000-000056610000}"/>
    <cellStyle name="s_Consolidated_Bal Sheets_1 16" xfId="24911" xr:uid="{00000000-0005-0000-0000-000057610000}"/>
    <cellStyle name="s_Consolidated_Bal Sheets_1 17" xfId="24912" xr:uid="{00000000-0005-0000-0000-000058610000}"/>
    <cellStyle name="s_Consolidated_Bal Sheets_1 18" xfId="24913" xr:uid="{00000000-0005-0000-0000-000059610000}"/>
    <cellStyle name="s_Consolidated_Bal Sheets_1 19" xfId="24914" xr:uid="{00000000-0005-0000-0000-00005A610000}"/>
    <cellStyle name="s_Consolidated_Bal Sheets_1 2" xfId="24915" xr:uid="{00000000-0005-0000-0000-00005B610000}"/>
    <cellStyle name="s_Consolidated_Bal Sheets_1 2 2" xfId="24916" xr:uid="{00000000-0005-0000-0000-00005C610000}"/>
    <cellStyle name="s_Consolidated_Bal Sheets_1 20" xfId="24917" xr:uid="{00000000-0005-0000-0000-00005D610000}"/>
    <cellStyle name="s_Consolidated_Bal Sheets_1 21" xfId="24918" xr:uid="{00000000-0005-0000-0000-00005E610000}"/>
    <cellStyle name="s_Consolidated_Bal Sheets_1 22" xfId="24919" xr:uid="{00000000-0005-0000-0000-00005F610000}"/>
    <cellStyle name="s_Consolidated_Bal Sheets_1 23" xfId="24920" xr:uid="{00000000-0005-0000-0000-000060610000}"/>
    <cellStyle name="s_Consolidated_Bal Sheets_1 23 2" xfId="24921" xr:uid="{00000000-0005-0000-0000-000061610000}"/>
    <cellStyle name="s_Consolidated_Bal Sheets_1 3" xfId="24922" xr:uid="{00000000-0005-0000-0000-000062610000}"/>
    <cellStyle name="s_Consolidated_Bal Sheets_1 3 2" xfId="24923" xr:uid="{00000000-0005-0000-0000-000063610000}"/>
    <cellStyle name="s_Consolidated_Bal Sheets_1 4" xfId="24924" xr:uid="{00000000-0005-0000-0000-000064610000}"/>
    <cellStyle name="s_Consolidated_Bal Sheets_1 5" xfId="24925" xr:uid="{00000000-0005-0000-0000-000065610000}"/>
    <cellStyle name="s_Consolidated_Bal Sheets_1 6" xfId="24926" xr:uid="{00000000-0005-0000-0000-000066610000}"/>
    <cellStyle name="s_Consolidated_Bal Sheets_1 7" xfId="24927" xr:uid="{00000000-0005-0000-0000-000067610000}"/>
    <cellStyle name="s_Consolidated_Bal Sheets_1 8" xfId="24928" xr:uid="{00000000-0005-0000-0000-000068610000}"/>
    <cellStyle name="s_Consolidated_Bal Sheets_1 9" xfId="24929" xr:uid="{00000000-0005-0000-0000-000069610000}"/>
    <cellStyle name="s_Consolidated_Bal Sheets_1_{6} Carry" xfId="24930" xr:uid="{00000000-0005-0000-0000-00006A610000}"/>
    <cellStyle name="s_Consolidated_Bal Sheets_1_{6} Clawback" xfId="24931" xr:uid="{00000000-0005-0000-0000-00006B610000}"/>
    <cellStyle name="s_Consolidated_Bal Sheets_1_AIF IV Financial Highlights 12-31-08 v4" xfId="24932" xr:uid="{00000000-0005-0000-0000-00006C610000}"/>
    <cellStyle name="s_Consolidated_Bal Sheets_1_AIF IV Financial Highlights 12-31-08 v4_Apollo Investment Fund IV  Q3 2009 Capital Analysis CURRENT" xfId="24933" xr:uid="{00000000-0005-0000-0000-00006D610000}"/>
    <cellStyle name="s_Consolidated_Bal Sheets_1_AIF IV Financial Highlights 12-31-08 v4_Apollo Investment Fund IV  Q3 2009 Capital Analysis iPCS &amp; URI Distribution" xfId="24934" xr:uid="{00000000-0005-0000-0000-00006E610000}"/>
    <cellStyle name="s_Consolidated_Bal Sheets_1_AIF IV Financial Highlights 12-31-08 v4_iPCs#1-Remaining" xfId="24935" xr:uid="{00000000-0005-0000-0000-00006F610000}"/>
    <cellStyle name="s_Consolidated_Bal Sheets_1_AIF VI - BondcoVI_Entities Invested Capital (CURRENT)" xfId="24936" xr:uid="{00000000-0005-0000-0000-000070610000}"/>
    <cellStyle name="s_Consolidated_Bal Sheets_1_AIF VI Broadleaf Watefall Summary as of 6-30-09 FINAL" xfId="24937" xr:uid="{00000000-0005-0000-0000-000071610000}"/>
    <cellStyle name="s_Consolidated_Bal Sheets_1_AIF VI Broadleaf Watefall Summary as of 9-30-09" xfId="24938" xr:uid="{00000000-0005-0000-0000-000072610000}"/>
    <cellStyle name="s_Consolidated_Bal Sheets_1_Andy Affrick - Schedulev2" xfId="24939" xr:uid="{00000000-0005-0000-0000-000073610000}"/>
    <cellStyle name="s_Consolidated_Bal Sheets_1_Apollo Advisors IV 12-31-08 GAAP TB Final" xfId="24940" xr:uid="{00000000-0005-0000-0000-000074610000}"/>
    <cellStyle name="s_Consolidated_Bal Sheets_1_Apollo Advisors IV 12-31-08 TB (Revised for Aggr PR)" xfId="24941" xr:uid="{00000000-0005-0000-0000-000075610000}"/>
    <cellStyle name="s_Consolidated_Bal Sheets_1_Apollo Advisors IV 6-30-09 GAAP TB" xfId="24942" xr:uid="{00000000-0005-0000-0000-000076610000}"/>
    <cellStyle name="s_Consolidated_Bal Sheets_1_Apollo Investment Fund IV  April Priority Return" xfId="24943" xr:uid="{00000000-0005-0000-0000-000077610000}"/>
    <cellStyle name="s_Consolidated_Bal Sheets_1_Apollo Investment Fund IV  Q1 2009 Capital Analysis 5-22-09 with GAAP" xfId="24944" xr:uid="{00000000-0005-0000-0000-000078610000}"/>
    <cellStyle name="s_Consolidated_Bal Sheets_1_Apollo Investment Fund IV  Q1 2009 Capital Analysis GAAP" xfId="24945" xr:uid="{00000000-0005-0000-0000-000079610000}"/>
    <cellStyle name="s_Consolidated_Bal Sheets_1_Apollo Investment Fund IV  Q2 2009 Capital Analysis CURRENT" xfId="24946" xr:uid="{00000000-0005-0000-0000-00007A610000}"/>
    <cellStyle name="s_Consolidated_Bal Sheets_1_Apollo Investment Fund IV  Q3 2009 Capital Analysis CURRENT" xfId="24947" xr:uid="{00000000-0005-0000-0000-00007B610000}"/>
    <cellStyle name="s_Consolidated_Bal Sheets_1_Apollo Investment Fund IV  Q3 2009 Capital Analysis iPCS &amp; URI Distribution" xfId="24948" xr:uid="{00000000-0005-0000-0000-00007C610000}"/>
    <cellStyle name="s_Consolidated_Bal Sheets_1_Apollo Investment Fund IV Priority Return 6-30-09" xfId="24949" xr:uid="{00000000-0005-0000-0000-00007D610000}"/>
    <cellStyle name="s_Consolidated_Bal Sheets_1_Apollo Investment Fund IV Q1 2009 Capital Analysis PR CORRECTED 6-30-09" xfId="24950" xr:uid="{00000000-0005-0000-0000-00007E610000}"/>
    <cellStyle name="s_Consolidated_Bal Sheets_1_Broadleaf Watefall 12-31-09" xfId="24951" xr:uid="{00000000-0005-0000-0000-00007F610000}"/>
    <cellStyle name="s_Consolidated_Bal Sheets_1_Broadleaf Watefall 6-30-09" xfId="24952" xr:uid="{00000000-0005-0000-0000-000080610000}"/>
    <cellStyle name="s_Consolidated_Bal Sheets_1_Broadleaf Watefall 9-30-09" xfId="24953" xr:uid="{00000000-0005-0000-0000-000081610000}"/>
    <cellStyle name="s_Consolidated_Bal Sheets_1_Carry Calculation" xfId="24954" xr:uid="{00000000-0005-0000-0000-000082610000}"/>
    <cellStyle name="s_Consolidated_Bal Sheets_1_Fund IV" xfId="24955" xr:uid="{00000000-0005-0000-0000-000083610000}"/>
    <cellStyle name="s_Consolidated_Bal Sheets_1_Fund IV 9.30.08" xfId="24956" xr:uid="{00000000-0005-0000-0000-000084610000}"/>
    <cellStyle name="s_Consolidated_Bal Sheets_1_Fund IV_1" xfId="24957" xr:uid="{00000000-0005-0000-0000-000085610000}"/>
    <cellStyle name="s_Consolidated_Bal Sheets_1_Funds IV Clawback Adjustment Summary" xfId="24958" xr:uid="{00000000-0005-0000-0000-000086610000}"/>
    <cellStyle name="s_Consolidated_Bal Sheets_1_Funds IV Clawback Value Adjustment" xfId="24959" xr:uid="{00000000-0005-0000-0000-000087610000}"/>
    <cellStyle name="s_Consolidated_Bal Sheets_1_IC Balance" xfId="24960" xr:uid="{00000000-0005-0000-0000-000088610000}"/>
    <cellStyle name="s_Consolidated_Bal Sheets_1_Invested Capital Debt Worksheet" xfId="24961" xr:uid="{00000000-0005-0000-0000-000089610000}"/>
    <cellStyle name="s_Consolidated_Bal Sheets_1_Invested Capital Debt Worksheet_1" xfId="24962" xr:uid="{00000000-0005-0000-0000-00008A610000}"/>
    <cellStyle name="s_Consolidated_Bal Sheets_1_iPCs#1-Remaining" xfId="24963" xr:uid="{00000000-0005-0000-0000-00008B610000}"/>
    <cellStyle name="s_Consolidated_Bal Sheets_1_MMF Income" xfId="24964" xr:uid="{00000000-0005-0000-0000-00008C610000}"/>
    <cellStyle name="s_Consolidated_Bal Sheets_1_Partners Capital Q1 2009" xfId="24965" xr:uid="{00000000-0005-0000-0000-00008D610000}"/>
    <cellStyle name="s_Consolidated_Bal Sheets_1_Placement Fee Summary 05-14-09 - Current (2)" xfId="24966" xr:uid="{00000000-0005-0000-0000-00008E610000}"/>
    <cellStyle name="s_Consolidated_Bal Sheets_1_PR Calc" xfId="24967" xr:uid="{00000000-0005-0000-0000-00008F610000}"/>
    <cellStyle name="s_Consolidated_Bal Sheets_1_PR Calc - DOMESTIC" xfId="24968" xr:uid="{00000000-0005-0000-0000-000090610000}"/>
    <cellStyle name="s_Consolidated_Bal Sheets_1_RCIV Q3 2009 Capital Analysis CURRENT" xfId="24969" xr:uid="{00000000-0005-0000-0000-000091610000}"/>
    <cellStyle name="s_Consolidated_Bal Sheets_1_Sheet1" xfId="24970" xr:uid="{00000000-0005-0000-0000-000092610000}"/>
    <cellStyle name="s_Consolidated_Bal Sheets_2" xfId="24971" xr:uid="{00000000-0005-0000-0000-000093610000}"/>
    <cellStyle name="s_Consolidated_Bal Sheets_2 10" xfId="24972" xr:uid="{00000000-0005-0000-0000-000094610000}"/>
    <cellStyle name="s_Consolidated_Bal Sheets_2 11" xfId="24973" xr:uid="{00000000-0005-0000-0000-000095610000}"/>
    <cellStyle name="s_Consolidated_Bal Sheets_2 12" xfId="24974" xr:uid="{00000000-0005-0000-0000-000096610000}"/>
    <cellStyle name="s_Consolidated_Bal Sheets_2 13" xfId="24975" xr:uid="{00000000-0005-0000-0000-000097610000}"/>
    <cellStyle name="s_Consolidated_Bal Sheets_2 14" xfId="24976" xr:uid="{00000000-0005-0000-0000-000098610000}"/>
    <cellStyle name="s_Consolidated_Bal Sheets_2 15" xfId="24977" xr:uid="{00000000-0005-0000-0000-000099610000}"/>
    <cellStyle name="s_Consolidated_Bal Sheets_2 16" xfId="24978" xr:uid="{00000000-0005-0000-0000-00009A610000}"/>
    <cellStyle name="s_Consolidated_Bal Sheets_2 17" xfId="24979" xr:uid="{00000000-0005-0000-0000-00009B610000}"/>
    <cellStyle name="s_Consolidated_Bal Sheets_2 18" xfId="24980" xr:uid="{00000000-0005-0000-0000-00009C610000}"/>
    <cellStyle name="s_Consolidated_Bal Sheets_2 19" xfId="24981" xr:uid="{00000000-0005-0000-0000-00009D610000}"/>
    <cellStyle name="s_Consolidated_Bal Sheets_2 2" xfId="24982" xr:uid="{00000000-0005-0000-0000-00009E610000}"/>
    <cellStyle name="s_Consolidated_Bal Sheets_2 2 2" xfId="24983" xr:uid="{00000000-0005-0000-0000-00009F610000}"/>
    <cellStyle name="s_Consolidated_Bal Sheets_2 20" xfId="24984" xr:uid="{00000000-0005-0000-0000-0000A0610000}"/>
    <cellStyle name="s_Consolidated_Bal Sheets_2 21" xfId="24985" xr:uid="{00000000-0005-0000-0000-0000A1610000}"/>
    <cellStyle name="s_Consolidated_Bal Sheets_2 22" xfId="24986" xr:uid="{00000000-0005-0000-0000-0000A2610000}"/>
    <cellStyle name="s_Consolidated_Bal Sheets_2 23" xfId="24987" xr:uid="{00000000-0005-0000-0000-0000A3610000}"/>
    <cellStyle name="s_Consolidated_Bal Sheets_2 23 2" xfId="24988" xr:uid="{00000000-0005-0000-0000-0000A4610000}"/>
    <cellStyle name="s_Consolidated_Bal Sheets_2 3" xfId="24989" xr:uid="{00000000-0005-0000-0000-0000A5610000}"/>
    <cellStyle name="s_Consolidated_Bal Sheets_2 3 2" xfId="24990" xr:uid="{00000000-0005-0000-0000-0000A6610000}"/>
    <cellStyle name="s_Consolidated_Bal Sheets_2 4" xfId="24991" xr:uid="{00000000-0005-0000-0000-0000A7610000}"/>
    <cellStyle name="s_Consolidated_Bal Sheets_2 5" xfId="24992" xr:uid="{00000000-0005-0000-0000-0000A8610000}"/>
    <cellStyle name="s_Consolidated_Bal Sheets_2 6" xfId="24993" xr:uid="{00000000-0005-0000-0000-0000A9610000}"/>
    <cellStyle name="s_Consolidated_Bal Sheets_2 7" xfId="24994" xr:uid="{00000000-0005-0000-0000-0000AA610000}"/>
    <cellStyle name="s_Consolidated_Bal Sheets_2 8" xfId="24995" xr:uid="{00000000-0005-0000-0000-0000AB610000}"/>
    <cellStyle name="s_Consolidated_Bal Sheets_2 9" xfId="24996" xr:uid="{00000000-0005-0000-0000-0000AC610000}"/>
    <cellStyle name="s_Consolidated_Bal Sheets_2_{6} Carry" xfId="24997" xr:uid="{00000000-0005-0000-0000-0000AD610000}"/>
    <cellStyle name="s_Consolidated_Bal Sheets_2_{6} Clawback" xfId="24998" xr:uid="{00000000-0005-0000-0000-0000AE610000}"/>
    <cellStyle name="s_Consolidated_Bal Sheets_2_AIF IV Financial Highlights 12-31-08 v4" xfId="24999" xr:uid="{00000000-0005-0000-0000-0000AF610000}"/>
    <cellStyle name="s_Consolidated_Bal Sheets_2_AIF IV Financial Highlights 12-31-08 v4_Apollo Investment Fund IV  Q3 2009 Capital Analysis CURRENT" xfId="25000" xr:uid="{00000000-0005-0000-0000-0000B0610000}"/>
    <cellStyle name="s_Consolidated_Bal Sheets_2_AIF IV Financial Highlights 12-31-08 v4_Apollo Investment Fund IV  Q3 2009 Capital Analysis iPCS &amp; URI Distribution" xfId="25001" xr:uid="{00000000-0005-0000-0000-0000B1610000}"/>
    <cellStyle name="s_Consolidated_Bal Sheets_2_AIF IV Financial Highlights 12-31-08 v4_iPCs#1-Remaining" xfId="25002" xr:uid="{00000000-0005-0000-0000-0000B2610000}"/>
    <cellStyle name="s_Consolidated_Bal Sheets_2_AIF VI - BondcoVI_Entities Invested Capital (CURRENT)" xfId="25003" xr:uid="{00000000-0005-0000-0000-0000B3610000}"/>
    <cellStyle name="s_Consolidated_Bal Sheets_2_AIF VI Broadleaf Watefall Summary as of 6-30-09 FINAL" xfId="25004" xr:uid="{00000000-0005-0000-0000-0000B4610000}"/>
    <cellStyle name="s_Consolidated_Bal Sheets_2_AIF VI Broadleaf Watefall Summary as of 9-30-09" xfId="25005" xr:uid="{00000000-0005-0000-0000-0000B5610000}"/>
    <cellStyle name="s_Consolidated_Bal Sheets_2_Andy Affrick - Schedulev2" xfId="25006" xr:uid="{00000000-0005-0000-0000-0000B6610000}"/>
    <cellStyle name="s_Consolidated_Bal Sheets_2_Apollo Advisors IV 12-31-08 GAAP TB Final" xfId="25007" xr:uid="{00000000-0005-0000-0000-0000B7610000}"/>
    <cellStyle name="s_Consolidated_Bal Sheets_2_Apollo Advisors IV 12-31-08 TB (Revised for Aggr PR)" xfId="25008" xr:uid="{00000000-0005-0000-0000-0000B8610000}"/>
    <cellStyle name="s_Consolidated_Bal Sheets_2_Apollo Advisors IV 6-30-09 GAAP TB" xfId="25009" xr:uid="{00000000-0005-0000-0000-0000B9610000}"/>
    <cellStyle name="s_Consolidated_Bal Sheets_2_Apollo Investment Fund IV  April Priority Return" xfId="25010" xr:uid="{00000000-0005-0000-0000-0000BA610000}"/>
    <cellStyle name="s_Consolidated_Bal Sheets_2_Apollo Investment Fund IV  Q1 2009 Capital Analysis 5-22-09 with GAAP" xfId="25011" xr:uid="{00000000-0005-0000-0000-0000BB610000}"/>
    <cellStyle name="s_Consolidated_Bal Sheets_2_Apollo Investment Fund IV  Q1 2009 Capital Analysis GAAP" xfId="25012" xr:uid="{00000000-0005-0000-0000-0000BC610000}"/>
    <cellStyle name="s_Consolidated_Bal Sheets_2_Apollo Investment Fund IV  Q2 2009 Capital Analysis CURRENT" xfId="25013" xr:uid="{00000000-0005-0000-0000-0000BD610000}"/>
    <cellStyle name="s_Consolidated_Bal Sheets_2_Apollo Investment Fund IV  Q3 2009 Capital Analysis CURRENT" xfId="25014" xr:uid="{00000000-0005-0000-0000-0000BE610000}"/>
    <cellStyle name="s_Consolidated_Bal Sheets_2_Apollo Investment Fund IV  Q3 2009 Capital Analysis iPCS &amp; URI Distribution" xfId="25015" xr:uid="{00000000-0005-0000-0000-0000BF610000}"/>
    <cellStyle name="s_Consolidated_Bal Sheets_2_Apollo Investment Fund IV Priority Return 6-30-09" xfId="25016" xr:uid="{00000000-0005-0000-0000-0000C0610000}"/>
    <cellStyle name="s_Consolidated_Bal Sheets_2_Apollo Investment Fund IV Q1 2009 Capital Analysis PR CORRECTED 6-30-09" xfId="25017" xr:uid="{00000000-0005-0000-0000-0000C1610000}"/>
    <cellStyle name="s_Consolidated_Bal Sheets_2_Broadleaf Watefall 12-31-09" xfId="25018" xr:uid="{00000000-0005-0000-0000-0000C2610000}"/>
    <cellStyle name="s_Consolidated_Bal Sheets_2_Broadleaf Watefall 6-30-09" xfId="25019" xr:uid="{00000000-0005-0000-0000-0000C3610000}"/>
    <cellStyle name="s_Consolidated_Bal Sheets_2_Broadleaf Watefall 9-30-09" xfId="25020" xr:uid="{00000000-0005-0000-0000-0000C4610000}"/>
    <cellStyle name="s_Consolidated_Bal Sheets_2_Carry Calculation" xfId="25021" xr:uid="{00000000-0005-0000-0000-0000C5610000}"/>
    <cellStyle name="s_Consolidated_Bal Sheets_2_Fund IV" xfId="25022" xr:uid="{00000000-0005-0000-0000-0000C6610000}"/>
    <cellStyle name="s_Consolidated_Bal Sheets_2_Fund IV 9.30.08" xfId="25023" xr:uid="{00000000-0005-0000-0000-0000C7610000}"/>
    <cellStyle name="s_Consolidated_Bal Sheets_2_Fund IV_1" xfId="25024" xr:uid="{00000000-0005-0000-0000-0000C8610000}"/>
    <cellStyle name="s_Consolidated_Bal Sheets_2_Funds IV Clawback Adjustment Summary" xfId="25025" xr:uid="{00000000-0005-0000-0000-0000C9610000}"/>
    <cellStyle name="s_Consolidated_Bal Sheets_2_Funds IV Clawback Value Adjustment" xfId="25026" xr:uid="{00000000-0005-0000-0000-0000CA610000}"/>
    <cellStyle name="s_Consolidated_Bal Sheets_2_IC Balance" xfId="25027" xr:uid="{00000000-0005-0000-0000-0000CB610000}"/>
    <cellStyle name="s_Consolidated_Bal Sheets_2_Invested Capital Debt Worksheet" xfId="25028" xr:uid="{00000000-0005-0000-0000-0000CC610000}"/>
    <cellStyle name="s_Consolidated_Bal Sheets_2_Invested Capital Debt Worksheet_1" xfId="25029" xr:uid="{00000000-0005-0000-0000-0000CD610000}"/>
    <cellStyle name="s_Consolidated_Bal Sheets_2_iPCs#1-Remaining" xfId="25030" xr:uid="{00000000-0005-0000-0000-0000CE610000}"/>
    <cellStyle name="s_Consolidated_Bal Sheets_2_MMF Income" xfId="25031" xr:uid="{00000000-0005-0000-0000-0000CF610000}"/>
    <cellStyle name="s_Consolidated_Bal Sheets_2_Partners Capital Q1 2009" xfId="25032" xr:uid="{00000000-0005-0000-0000-0000D0610000}"/>
    <cellStyle name="s_Consolidated_Bal Sheets_2_Placement Fee Summary 05-14-09 - Current (2)" xfId="25033" xr:uid="{00000000-0005-0000-0000-0000D1610000}"/>
    <cellStyle name="s_Consolidated_Bal Sheets_2_PR Calc" xfId="25034" xr:uid="{00000000-0005-0000-0000-0000D2610000}"/>
    <cellStyle name="s_Consolidated_Bal Sheets_2_PR Calc - DOMESTIC" xfId="25035" xr:uid="{00000000-0005-0000-0000-0000D3610000}"/>
    <cellStyle name="s_Consolidated_Bal Sheets_2_RCIV Q3 2009 Capital Analysis CURRENT" xfId="25036" xr:uid="{00000000-0005-0000-0000-0000D4610000}"/>
    <cellStyle name="s_Consolidated_Bal Sheets_2_Sheet1" xfId="25037" xr:uid="{00000000-0005-0000-0000-0000D5610000}"/>
    <cellStyle name="s_Consolidated_Bal Sheets_AIF IV Financial Highlights 12-31-08 v4" xfId="25038" xr:uid="{00000000-0005-0000-0000-0000D6610000}"/>
    <cellStyle name="s_Consolidated_Bal Sheets_AIF IV Financial Highlights 12-31-08 v4_Apollo Investment Fund IV  Q3 2009 Capital Analysis CURRENT" xfId="25039" xr:uid="{00000000-0005-0000-0000-0000D7610000}"/>
    <cellStyle name="s_Consolidated_Bal Sheets_AIF IV Financial Highlights 12-31-08 v4_Apollo Investment Fund IV  Q3 2009 Capital Analysis iPCS &amp; URI Distribution" xfId="25040" xr:uid="{00000000-0005-0000-0000-0000D8610000}"/>
    <cellStyle name="s_Consolidated_Bal Sheets_AIF IV Financial Highlights 12-31-08 v4_iPCs#1-Remaining" xfId="25041" xr:uid="{00000000-0005-0000-0000-0000D9610000}"/>
    <cellStyle name="s_Consolidated_Bal Sheets_AIF VI - BondcoVI_Entities Invested Capital (CURRENT)" xfId="25042" xr:uid="{00000000-0005-0000-0000-0000DA610000}"/>
    <cellStyle name="s_Consolidated_Bal Sheets_AIF VI Broadleaf Watefall Summary as of 6-30-09 FINAL" xfId="25043" xr:uid="{00000000-0005-0000-0000-0000DB610000}"/>
    <cellStyle name="s_Consolidated_Bal Sheets_AIF VI Broadleaf Watefall Summary as of 9-30-09" xfId="25044" xr:uid="{00000000-0005-0000-0000-0000DC610000}"/>
    <cellStyle name="s_Consolidated_Bal Sheets_Andy Affrick - Schedulev2" xfId="25045" xr:uid="{00000000-0005-0000-0000-0000DD610000}"/>
    <cellStyle name="s_Consolidated_Bal Sheets_Apollo Investment Fund IV  April Priority Return" xfId="25046" xr:uid="{00000000-0005-0000-0000-0000DE610000}"/>
    <cellStyle name="s_Consolidated_Bal Sheets_Apollo Investment Fund IV  Q1 2009 Capital Analysis 5-22-09 with GAAP" xfId="25047" xr:uid="{00000000-0005-0000-0000-0000DF610000}"/>
    <cellStyle name="s_Consolidated_Bal Sheets_Apollo Investment Fund IV  Q1 2009 Capital Analysis GAAP" xfId="25048" xr:uid="{00000000-0005-0000-0000-0000E0610000}"/>
    <cellStyle name="s_Consolidated_Bal Sheets_Apollo Investment Fund IV  Q2 2009 Capital Analysis CURRENT" xfId="25049" xr:uid="{00000000-0005-0000-0000-0000E1610000}"/>
    <cellStyle name="s_Consolidated_Bal Sheets_Apollo Investment Fund IV  Q3 2009 Capital Analysis CURRENT" xfId="25050" xr:uid="{00000000-0005-0000-0000-0000E2610000}"/>
    <cellStyle name="s_Consolidated_Bal Sheets_Apollo Investment Fund IV  Q3 2009 Capital Analysis iPCS &amp; URI Distribution" xfId="25051" xr:uid="{00000000-0005-0000-0000-0000E3610000}"/>
    <cellStyle name="s_Consolidated_Bal Sheets_Apollo Investment Fund IV Priority Return 6-30-09" xfId="25052" xr:uid="{00000000-0005-0000-0000-0000E4610000}"/>
    <cellStyle name="s_Consolidated_Bal Sheets_Apollo Investment Fund IV Q1 2009 Capital Analysis PR CORRECTED 6-30-09" xfId="25053" xr:uid="{00000000-0005-0000-0000-0000E5610000}"/>
    <cellStyle name="s_Consolidated_Bal Sheets_Broadleaf Watefall 12-31-09" xfId="25054" xr:uid="{00000000-0005-0000-0000-0000E6610000}"/>
    <cellStyle name="s_Consolidated_Bal Sheets_Broadleaf Watefall 6-30-09" xfId="25055" xr:uid="{00000000-0005-0000-0000-0000E7610000}"/>
    <cellStyle name="s_Consolidated_Bal Sheets_Broadleaf Watefall 9-30-09" xfId="25056" xr:uid="{00000000-0005-0000-0000-0000E8610000}"/>
    <cellStyle name="s_Consolidated_Bal Sheets_Carry Calculation" xfId="25057" xr:uid="{00000000-0005-0000-0000-0000E9610000}"/>
    <cellStyle name="s_Consolidated_Bal Sheets_Fund IV" xfId="25058" xr:uid="{00000000-0005-0000-0000-0000EA610000}"/>
    <cellStyle name="s_Consolidated_Bal Sheets_Fund IV 9.30.08" xfId="25059" xr:uid="{00000000-0005-0000-0000-0000EB610000}"/>
    <cellStyle name="s_Consolidated_Bal Sheets_Fund IV_1" xfId="25060" xr:uid="{00000000-0005-0000-0000-0000EC610000}"/>
    <cellStyle name="s_Consolidated_Bal Sheets_Funds IV Clawback Adjustment Summary" xfId="25061" xr:uid="{00000000-0005-0000-0000-0000ED610000}"/>
    <cellStyle name="s_Consolidated_Bal Sheets_Funds IV Clawback Value Adjustment" xfId="25062" xr:uid="{00000000-0005-0000-0000-0000EE610000}"/>
    <cellStyle name="s_Consolidated_Bal Sheets_IC Balance" xfId="25063" xr:uid="{00000000-0005-0000-0000-0000EF610000}"/>
    <cellStyle name="s_Consolidated_Bal Sheets_Invested Capital Debt Worksheet" xfId="25064" xr:uid="{00000000-0005-0000-0000-0000F0610000}"/>
    <cellStyle name="s_Consolidated_Bal Sheets_iPCs#1-Remaining" xfId="25065" xr:uid="{00000000-0005-0000-0000-0000F1610000}"/>
    <cellStyle name="s_Consolidated_Bal Sheets_MMF Income" xfId="25066" xr:uid="{00000000-0005-0000-0000-0000F2610000}"/>
    <cellStyle name="s_Consolidated_Bal Sheets_Partners Capital Q1 2009" xfId="25067" xr:uid="{00000000-0005-0000-0000-0000F3610000}"/>
    <cellStyle name="s_Consolidated_Bal Sheets_Placement Fee Summary 05-14-09 - Current (2)" xfId="25068" xr:uid="{00000000-0005-0000-0000-0000F4610000}"/>
    <cellStyle name="s_Consolidated_Bal Sheets_PR Calc" xfId="25069" xr:uid="{00000000-0005-0000-0000-0000F5610000}"/>
    <cellStyle name="s_Consolidated_Bal Sheets_PR Calc - DOMESTIC" xfId="25070" xr:uid="{00000000-0005-0000-0000-0000F6610000}"/>
    <cellStyle name="s_Consolidated_Bal Sheets_RCIV Q3 2009 Capital Analysis CURRENT" xfId="25071" xr:uid="{00000000-0005-0000-0000-0000F7610000}"/>
    <cellStyle name="s_Consolidated_Earnings" xfId="25072" xr:uid="{00000000-0005-0000-0000-0000F8610000}"/>
    <cellStyle name="s_Consolidated_Earnings (2)" xfId="25073" xr:uid="{00000000-0005-0000-0000-0000F9610000}"/>
    <cellStyle name="s_Consolidated_Earnings (2) 10" xfId="25074" xr:uid="{00000000-0005-0000-0000-0000FA610000}"/>
    <cellStyle name="s_Consolidated_Earnings (2) 11" xfId="25075" xr:uid="{00000000-0005-0000-0000-0000FB610000}"/>
    <cellStyle name="s_Consolidated_Earnings (2) 12" xfId="25076" xr:uid="{00000000-0005-0000-0000-0000FC610000}"/>
    <cellStyle name="s_Consolidated_Earnings (2) 13" xfId="25077" xr:uid="{00000000-0005-0000-0000-0000FD610000}"/>
    <cellStyle name="s_Consolidated_Earnings (2) 14" xfId="25078" xr:uid="{00000000-0005-0000-0000-0000FE610000}"/>
    <cellStyle name="s_Consolidated_Earnings (2) 15" xfId="25079" xr:uid="{00000000-0005-0000-0000-0000FF610000}"/>
    <cellStyle name="s_Consolidated_Earnings (2) 16" xfId="25080" xr:uid="{00000000-0005-0000-0000-000000620000}"/>
    <cellStyle name="s_Consolidated_Earnings (2) 17" xfId="25081" xr:uid="{00000000-0005-0000-0000-000001620000}"/>
    <cellStyle name="s_Consolidated_Earnings (2) 18" xfId="25082" xr:uid="{00000000-0005-0000-0000-000002620000}"/>
    <cellStyle name="s_Consolidated_Earnings (2) 19" xfId="25083" xr:uid="{00000000-0005-0000-0000-000003620000}"/>
    <cellStyle name="s_Consolidated_Earnings (2) 2" xfId="25084" xr:uid="{00000000-0005-0000-0000-000004620000}"/>
    <cellStyle name="s_Consolidated_Earnings (2) 2 2" xfId="25085" xr:uid="{00000000-0005-0000-0000-000005620000}"/>
    <cellStyle name="s_Consolidated_Earnings (2) 20" xfId="25086" xr:uid="{00000000-0005-0000-0000-000006620000}"/>
    <cellStyle name="s_Consolidated_Earnings (2) 21" xfId="25087" xr:uid="{00000000-0005-0000-0000-000007620000}"/>
    <cellStyle name="s_Consolidated_Earnings (2) 22" xfId="25088" xr:uid="{00000000-0005-0000-0000-000008620000}"/>
    <cellStyle name="s_Consolidated_Earnings (2) 23" xfId="25089" xr:uid="{00000000-0005-0000-0000-000009620000}"/>
    <cellStyle name="s_Consolidated_Earnings (2) 23 2" xfId="25090" xr:uid="{00000000-0005-0000-0000-00000A620000}"/>
    <cellStyle name="s_Consolidated_Earnings (2) 3" xfId="25091" xr:uid="{00000000-0005-0000-0000-00000B620000}"/>
    <cellStyle name="s_Consolidated_Earnings (2) 3 2" xfId="25092" xr:uid="{00000000-0005-0000-0000-00000C620000}"/>
    <cellStyle name="s_Consolidated_Earnings (2) 4" xfId="25093" xr:uid="{00000000-0005-0000-0000-00000D620000}"/>
    <cellStyle name="s_Consolidated_Earnings (2) 5" xfId="25094" xr:uid="{00000000-0005-0000-0000-00000E620000}"/>
    <cellStyle name="s_Consolidated_Earnings (2) 6" xfId="25095" xr:uid="{00000000-0005-0000-0000-00000F620000}"/>
    <cellStyle name="s_Consolidated_Earnings (2) 7" xfId="25096" xr:uid="{00000000-0005-0000-0000-000010620000}"/>
    <cellStyle name="s_Consolidated_Earnings (2) 8" xfId="25097" xr:uid="{00000000-0005-0000-0000-000011620000}"/>
    <cellStyle name="s_Consolidated_Earnings (2) 9" xfId="25098" xr:uid="{00000000-0005-0000-0000-000012620000}"/>
    <cellStyle name="s_Consolidated_Earnings (2)_{6} Carry" xfId="25099" xr:uid="{00000000-0005-0000-0000-000013620000}"/>
    <cellStyle name="s_Consolidated_Earnings (2)_{6} Clawback" xfId="25100" xr:uid="{00000000-0005-0000-0000-000014620000}"/>
    <cellStyle name="s_Consolidated_Earnings (2)_1" xfId="25101" xr:uid="{00000000-0005-0000-0000-000015620000}"/>
    <cellStyle name="s_Consolidated_Earnings (2)_1 10" xfId="25102" xr:uid="{00000000-0005-0000-0000-000016620000}"/>
    <cellStyle name="s_Consolidated_Earnings (2)_1 11" xfId="25103" xr:uid="{00000000-0005-0000-0000-000017620000}"/>
    <cellStyle name="s_Consolidated_Earnings (2)_1 12" xfId="25104" xr:uid="{00000000-0005-0000-0000-000018620000}"/>
    <cellStyle name="s_Consolidated_Earnings (2)_1 13" xfId="25105" xr:uid="{00000000-0005-0000-0000-000019620000}"/>
    <cellStyle name="s_Consolidated_Earnings (2)_1 14" xfId="25106" xr:uid="{00000000-0005-0000-0000-00001A620000}"/>
    <cellStyle name="s_Consolidated_Earnings (2)_1 15" xfId="25107" xr:uid="{00000000-0005-0000-0000-00001B620000}"/>
    <cellStyle name="s_Consolidated_Earnings (2)_1 16" xfId="25108" xr:uid="{00000000-0005-0000-0000-00001C620000}"/>
    <cellStyle name="s_Consolidated_Earnings (2)_1 17" xfId="25109" xr:uid="{00000000-0005-0000-0000-00001D620000}"/>
    <cellStyle name="s_Consolidated_Earnings (2)_1 18" xfId="25110" xr:uid="{00000000-0005-0000-0000-00001E620000}"/>
    <cellStyle name="s_Consolidated_Earnings (2)_1 19" xfId="25111" xr:uid="{00000000-0005-0000-0000-00001F620000}"/>
    <cellStyle name="s_Consolidated_Earnings (2)_1 2" xfId="25112" xr:uid="{00000000-0005-0000-0000-000020620000}"/>
    <cellStyle name="s_Consolidated_Earnings (2)_1 2 2" xfId="25113" xr:uid="{00000000-0005-0000-0000-000021620000}"/>
    <cellStyle name="s_Consolidated_Earnings (2)_1 20" xfId="25114" xr:uid="{00000000-0005-0000-0000-000022620000}"/>
    <cellStyle name="s_Consolidated_Earnings (2)_1 21" xfId="25115" xr:uid="{00000000-0005-0000-0000-000023620000}"/>
    <cellStyle name="s_Consolidated_Earnings (2)_1 22" xfId="25116" xr:uid="{00000000-0005-0000-0000-000024620000}"/>
    <cellStyle name="s_Consolidated_Earnings (2)_1 23" xfId="25117" xr:uid="{00000000-0005-0000-0000-000025620000}"/>
    <cellStyle name="s_Consolidated_Earnings (2)_1 23 2" xfId="25118" xr:uid="{00000000-0005-0000-0000-000026620000}"/>
    <cellStyle name="s_Consolidated_Earnings (2)_1 3" xfId="25119" xr:uid="{00000000-0005-0000-0000-000027620000}"/>
    <cellStyle name="s_Consolidated_Earnings (2)_1 3 2" xfId="25120" xr:uid="{00000000-0005-0000-0000-000028620000}"/>
    <cellStyle name="s_Consolidated_Earnings (2)_1 4" xfId="25121" xr:uid="{00000000-0005-0000-0000-000029620000}"/>
    <cellStyle name="s_Consolidated_Earnings (2)_1 5" xfId="25122" xr:uid="{00000000-0005-0000-0000-00002A620000}"/>
    <cellStyle name="s_Consolidated_Earnings (2)_1 6" xfId="25123" xr:uid="{00000000-0005-0000-0000-00002B620000}"/>
    <cellStyle name="s_Consolidated_Earnings (2)_1 7" xfId="25124" xr:uid="{00000000-0005-0000-0000-00002C620000}"/>
    <cellStyle name="s_Consolidated_Earnings (2)_1 8" xfId="25125" xr:uid="{00000000-0005-0000-0000-00002D620000}"/>
    <cellStyle name="s_Consolidated_Earnings (2)_1 9" xfId="25126" xr:uid="{00000000-0005-0000-0000-00002E620000}"/>
    <cellStyle name="s_Consolidated_Earnings (2)_1_{6} Carry" xfId="25127" xr:uid="{00000000-0005-0000-0000-00002F620000}"/>
    <cellStyle name="s_Consolidated_Earnings (2)_1_{6} Clawback" xfId="25128" xr:uid="{00000000-0005-0000-0000-000030620000}"/>
    <cellStyle name="s_Consolidated_Earnings (2)_1_AIF IV Financial Highlights 12-31-08 v4" xfId="25129" xr:uid="{00000000-0005-0000-0000-000031620000}"/>
    <cellStyle name="s_Consolidated_Earnings (2)_1_AIF IV Financial Highlights 12-31-08 v4_Apollo Investment Fund IV  Q3 2009 Capital Analysis CURRENT" xfId="25130" xr:uid="{00000000-0005-0000-0000-000032620000}"/>
    <cellStyle name="s_Consolidated_Earnings (2)_1_AIF IV Financial Highlights 12-31-08 v4_Apollo Investment Fund IV  Q3 2009 Capital Analysis iPCS &amp; URI Distribution" xfId="25131" xr:uid="{00000000-0005-0000-0000-000033620000}"/>
    <cellStyle name="s_Consolidated_Earnings (2)_1_AIF IV Financial Highlights 12-31-08 v4_iPCs#1-Remaining" xfId="25132" xr:uid="{00000000-0005-0000-0000-000034620000}"/>
    <cellStyle name="s_Consolidated_Earnings (2)_1_AIF VI - BondcoVI_Entities Invested Capital (CURRENT)" xfId="25133" xr:uid="{00000000-0005-0000-0000-000035620000}"/>
    <cellStyle name="s_Consolidated_Earnings (2)_1_AIF VI Broadleaf Watefall Summary as of 6-30-09 FINAL" xfId="25134" xr:uid="{00000000-0005-0000-0000-000036620000}"/>
    <cellStyle name="s_Consolidated_Earnings (2)_1_AIF VI Broadleaf Watefall Summary as of 9-30-09" xfId="25135" xr:uid="{00000000-0005-0000-0000-000037620000}"/>
    <cellStyle name="s_Consolidated_Earnings (2)_1_Andy Affrick - Schedulev2" xfId="25136" xr:uid="{00000000-0005-0000-0000-000038620000}"/>
    <cellStyle name="s_Consolidated_Earnings (2)_1_Apollo Investment Fund IV  April Priority Return" xfId="25137" xr:uid="{00000000-0005-0000-0000-000039620000}"/>
    <cellStyle name="s_Consolidated_Earnings (2)_1_Apollo Investment Fund IV  Q1 2009 Capital Analysis 5-22-09 with GAAP" xfId="25138" xr:uid="{00000000-0005-0000-0000-00003A620000}"/>
    <cellStyle name="s_Consolidated_Earnings (2)_1_Apollo Investment Fund IV  Q1 2009 Capital Analysis GAAP" xfId="25139" xr:uid="{00000000-0005-0000-0000-00003B620000}"/>
    <cellStyle name="s_Consolidated_Earnings (2)_1_Apollo Investment Fund IV  Q2 2009 Capital Analysis CURRENT" xfId="25140" xr:uid="{00000000-0005-0000-0000-00003C620000}"/>
    <cellStyle name="s_Consolidated_Earnings (2)_1_Apollo Investment Fund IV  Q3 2009 Capital Analysis CURRENT" xfId="25141" xr:uid="{00000000-0005-0000-0000-00003D620000}"/>
    <cellStyle name="s_Consolidated_Earnings (2)_1_Apollo Investment Fund IV  Q3 2009 Capital Analysis iPCS &amp; URI Distribution" xfId="25142" xr:uid="{00000000-0005-0000-0000-00003E620000}"/>
    <cellStyle name="s_Consolidated_Earnings (2)_1_Apollo Investment Fund IV Priority Return 6-30-09" xfId="25143" xr:uid="{00000000-0005-0000-0000-00003F620000}"/>
    <cellStyle name="s_Consolidated_Earnings (2)_1_Apollo Investment Fund IV Q1 2009 Capital Analysis PR CORRECTED 6-30-09" xfId="25144" xr:uid="{00000000-0005-0000-0000-000040620000}"/>
    <cellStyle name="s_Consolidated_Earnings (2)_1_Broadleaf Watefall 12-31-09" xfId="25145" xr:uid="{00000000-0005-0000-0000-000041620000}"/>
    <cellStyle name="s_Consolidated_Earnings (2)_1_Broadleaf Watefall 6-30-09" xfId="25146" xr:uid="{00000000-0005-0000-0000-000042620000}"/>
    <cellStyle name="s_Consolidated_Earnings (2)_1_Broadleaf Watefall 9-30-09" xfId="25147" xr:uid="{00000000-0005-0000-0000-000043620000}"/>
    <cellStyle name="s_Consolidated_Earnings (2)_1_Carry Calculation" xfId="25148" xr:uid="{00000000-0005-0000-0000-000044620000}"/>
    <cellStyle name="s_Consolidated_Earnings (2)_1_Fund IV" xfId="25149" xr:uid="{00000000-0005-0000-0000-000045620000}"/>
    <cellStyle name="s_Consolidated_Earnings (2)_1_Fund IV 9.30.08" xfId="25150" xr:uid="{00000000-0005-0000-0000-000046620000}"/>
    <cellStyle name="s_Consolidated_Earnings (2)_1_Fund IV_1" xfId="25151" xr:uid="{00000000-0005-0000-0000-000047620000}"/>
    <cellStyle name="s_Consolidated_Earnings (2)_1_Funds IV Clawback Adjustment Summary" xfId="25152" xr:uid="{00000000-0005-0000-0000-000048620000}"/>
    <cellStyle name="s_Consolidated_Earnings (2)_1_Funds IV Clawback Value Adjustment" xfId="25153" xr:uid="{00000000-0005-0000-0000-000049620000}"/>
    <cellStyle name="s_Consolidated_Earnings (2)_1_IC Balance" xfId="25154" xr:uid="{00000000-0005-0000-0000-00004A620000}"/>
    <cellStyle name="s_Consolidated_Earnings (2)_1_Invested Capital Debt Worksheet" xfId="25155" xr:uid="{00000000-0005-0000-0000-00004B620000}"/>
    <cellStyle name="s_Consolidated_Earnings (2)_1_iPCs#1-Remaining" xfId="25156" xr:uid="{00000000-0005-0000-0000-00004C620000}"/>
    <cellStyle name="s_Consolidated_Earnings (2)_1_MMF Income" xfId="25157" xr:uid="{00000000-0005-0000-0000-00004D620000}"/>
    <cellStyle name="s_Consolidated_Earnings (2)_1_Partners Capital Q1 2009" xfId="25158" xr:uid="{00000000-0005-0000-0000-00004E620000}"/>
    <cellStyle name="s_Consolidated_Earnings (2)_1_Placement Fee Summary 05-14-09 - Current (2)" xfId="25159" xr:uid="{00000000-0005-0000-0000-00004F620000}"/>
    <cellStyle name="s_Consolidated_Earnings (2)_1_PR Calc" xfId="25160" xr:uid="{00000000-0005-0000-0000-000050620000}"/>
    <cellStyle name="s_Consolidated_Earnings (2)_1_PR Calc - DOMESTIC" xfId="25161" xr:uid="{00000000-0005-0000-0000-000051620000}"/>
    <cellStyle name="s_Consolidated_Earnings (2)_1_RCIV Q3 2009 Capital Analysis CURRENT" xfId="25162" xr:uid="{00000000-0005-0000-0000-000052620000}"/>
    <cellStyle name="s_Consolidated_Earnings (2)_2" xfId="25163" xr:uid="{00000000-0005-0000-0000-000053620000}"/>
    <cellStyle name="s_Consolidated_Earnings (2)_2 10" xfId="25164" xr:uid="{00000000-0005-0000-0000-000054620000}"/>
    <cellStyle name="s_Consolidated_Earnings (2)_2 11" xfId="25165" xr:uid="{00000000-0005-0000-0000-000055620000}"/>
    <cellStyle name="s_Consolidated_Earnings (2)_2 12" xfId="25166" xr:uid="{00000000-0005-0000-0000-000056620000}"/>
    <cellStyle name="s_Consolidated_Earnings (2)_2 13" xfId="25167" xr:uid="{00000000-0005-0000-0000-000057620000}"/>
    <cellStyle name="s_Consolidated_Earnings (2)_2 14" xfId="25168" xr:uid="{00000000-0005-0000-0000-000058620000}"/>
    <cellStyle name="s_Consolidated_Earnings (2)_2 15" xfId="25169" xr:uid="{00000000-0005-0000-0000-000059620000}"/>
    <cellStyle name="s_Consolidated_Earnings (2)_2 16" xfId="25170" xr:uid="{00000000-0005-0000-0000-00005A620000}"/>
    <cellStyle name="s_Consolidated_Earnings (2)_2 17" xfId="25171" xr:uid="{00000000-0005-0000-0000-00005B620000}"/>
    <cellStyle name="s_Consolidated_Earnings (2)_2 18" xfId="25172" xr:uid="{00000000-0005-0000-0000-00005C620000}"/>
    <cellStyle name="s_Consolidated_Earnings (2)_2 19" xfId="25173" xr:uid="{00000000-0005-0000-0000-00005D620000}"/>
    <cellStyle name="s_Consolidated_Earnings (2)_2 2" xfId="25174" xr:uid="{00000000-0005-0000-0000-00005E620000}"/>
    <cellStyle name="s_Consolidated_Earnings (2)_2 2 2" xfId="25175" xr:uid="{00000000-0005-0000-0000-00005F620000}"/>
    <cellStyle name="s_Consolidated_Earnings (2)_2 20" xfId="25176" xr:uid="{00000000-0005-0000-0000-000060620000}"/>
    <cellStyle name="s_Consolidated_Earnings (2)_2 21" xfId="25177" xr:uid="{00000000-0005-0000-0000-000061620000}"/>
    <cellStyle name="s_Consolidated_Earnings (2)_2 22" xfId="25178" xr:uid="{00000000-0005-0000-0000-000062620000}"/>
    <cellStyle name="s_Consolidated_Earnings (2)_2 23" xfId="25179" xr:uid="{00000000-0005-0000-0000-000063620000}"/>
    <cellStyle name="s_Consolidated_Earnings (2)_2 23 2" xfId="25180" xr:uid="{00000000-0005-0000-0000-000064620000}"/>
    <cellStyle name="s_Consolidated_Earnings (2)_2 3" xfId="25181" xr:uid="{00000000-0005-0000-0000-000065620000}"/>
    <cellStyle name="s_Consolidated_Earnings (2)_2 3 2" xfId="25182" xr:uid="{00000000-0005-0000-0000-000066620000}"/>
    <cellStyle name="s_Consolidated_Earnings (2)_2 4" xfId="25183" xr:uid="{00000000-0005-0000-0000-000067620000}"/>
    <cellStyle name="s_Consolidated_Earnings (2)_2 5" xfId="25184" xr:uid="{00000000-0005-0000-0000-000068620000}"/>
    <cellStyle name="s_Consolidated_Earnings (2)_2 6" xfId="25185" xr:uid="{00000000-0005-0000-0000-000069620000}"/>
    <cellStyle name="s_Consolidated_Earnings (2)_2 7" xfId="25186" xr:uid="{00000000-0005-0000-0000-00006A620000}"/>
    <cellStyle name="s_Consolidated_Earnings (2)_2 8" xfId="25187" xr:uid="{00000000-0005-0000-0000-00006B620000}"/>
    <cellStyle name="s_Consolidated_Earnings (2)_2 9" xfId="25188" xr:uid="{00000000-0005-0000-0000-00006C620000}"/>
    <cellStyle name="s_Consolidated_Earnings (2)_2_{6} Carry" xfId="25189" xr:uid="{00000000-0005-0000-0000-00006D620000}"/>
    <cellStyle name="s_Consolidated_Earnings (2)_2_{6} Clawback" xfId="25190" xr:uid="{00000000-0005-0000-0000-00006E620000}"/>
    <cellStyle name="s_Consolidated_Earnings (2)_2_AIF IV Financial Highlights 12-31-08 v4" xfId="25191" xr:uid="{00000000-0005-0000-0000-00006F620000}"/>
    <cellStyle name="s_Consolidated_Earnings (2)_2_AIF IV Financial Highlights 12-31-08 v4_Apollo Investment Fund IV  Q3 2009 Capital Analysis CURRENT" xfId="25192" xr:uid="{00000000-0005-0000-0000-000070620000}"/>
    <cellStyle name="s_Consolidated_Earnings (2)_2_AIF IV Financial Highlights 12-31-08 v4_Apollo Investment Fund IV  Q3 2009 Capital Analysis iPCS &amp; URI Distribution" xfId="25193" xr:uid="{00000000-0005-0000-0000-000071620000}"/>
    <cellStyle name="s_Consolidated_Earnings (2)_2_AIF IV Financial Highlights 12-31-08 v4_iPCs#1-Remaining" xfId="25194" xr:uid="{00000000-0005-0000-0000-000072620000}"/>
    <cellStyle name="s_Consolidated_Earnings (2)_2_AIF VI - BondcoVI_Entities Invested Capital (CURRENT)" xfId="25195" xr:uid="{00000000-0005-0000-0000-000073620000}"/>
    <cellStyle name="s_Consolidated_Earnings (2)_2_AIF VI Broadleaf Watefall Summary as of 6-30-09 FINAL" xfId="25196" xr:uid="{00000000-0005-0000-0000-000074620000}"/>
    <cellStyle name="s_Consolidated_Earnings (2)_2_AIF VI Broadleaf Watefall Summary as of 9-30-09" xfId="25197" xr:uid="{00000000-0005-0000-0000-000075620000}"/>
    <cellStyle name="s_Consolidated_Earnings (2)_2_Andy Affrick - Schedulev2" xfId="25198" xr:uid="{00000000-0005-0000-0000-000076620000}"/>
    <cellStyle name="s_Consolidated_Earnings (2)_2_Apollo Advisors IV 12-31-08 GAAP TB Final" xfId="25199" xr:uid="{00000000-0005-0000-0000-000077620000}"/>
    <cellStyle name="s_Consolidated_Earnings (2)_2_Apollo Advisors IV 12-31-08 TB (Revised for Aggr PR)" xfId="25200" xr:uid="{00000000-0005-0000-0000-000078620000}"/>
    <cellStyle name="s_Consolidated_Earnings (2)_2_Apollo Advisors IV 6-30-09 GAAP TB" xfId="25201" xr:uid="{00000000-0005-0000-0000-000079620000}"/>
    <cellStyle name="s_Consolidated_Earnings (2)_2_Apollo Investment Fund IV  April Priority Return" xfId="25202" xr:uid="{00000000-0005-0000-0000-00007A620000}"/>
    <cellStyle name="s_Consolidated_Earnings (2)_2_Apollo Investment Fund IV  Q1 2009 Capital Analysis 5-22-09 with GAAP" xfId="25203" xr:uid="{00000000-0005-0000-0000-00007B620000}"/>
    <cellStyle name="s_Consolidated_Earnings (2)_2_Apollo Investment Fund IV  Q1 2009 Capital Analysis GAAP" xfId="25204" xr:uid="{00000000-0005-0000-0000-00007C620000}"/>
    <cellStyle name="s_Consolidated_Earnings (2)_2_Apollo Investment Fund IV  Q2 2009 Capital Analysis CURRENT" xfId="25205" xr:uid="{00000000-0005-0000-0000-00007D620000}"/>
    <cellStyle name="s_Consolidated_Earnings (2)_2_Apollo Investment Fund IV  Q3 2009 Capital Analysis CURRENT" xfId="25206" xr:uid="{00000000-0005-0000-0000-00007E620000}"/>
    <cellStyle name="s_Consolidated_Earnings (2)_2_Apollo Investment Fund IV  Q3 2009 Capital Analysis iPCS &amp; URI Distribution" xfId="25207" xr:uid="{00000000-0005-0000-0000-00007F620000}"/>
    <cellStyle name="s_Consolidated_Earnings (2)_2_Apollo Investment Fund IV Priority Return 6-30-09" xfId="25208" xr:uid="{00000000-0005-0000-0000-000080620000}"/>
    <cellStyle name="s_Consolidated_Earnings (2)_2_Apollo Investment Fund IV Q1 2009 Capital Analysis PR CORRECTED 6-30-09" xfId="25209" xr:uid="{00000000-0005-0000-0000-000081620000}"/>
    <cellStyle name="s_Consolidated_Earnings (2)_2_Broadleaf Watefall 12-31-09" xfId="25210" xr:uid="{00000000-0005-0000-0000-000082620000}"/>
    <cellStyle name="s_Consolidated_Earnings (2)_2_Broadleaf Watefall 6-30-09" xfId="25211" xr:uid="{00000000-0005-0000-0000-000083620000}"/>
    <cellStyle name="s_Consolidated_Earnings (2)_2_Broadleaf Watefall 9-30-09" xfId="25212" xr:uid="{00000000-0005-0000-0000-000084620000}"/>
    <cellStyle name="s_Consolidated_Earnings (2)_2_Carry Calculation" xfId="25213" xr:uid="{00000000-0005-0000-0000-000085620000}"/>
    <cellStyle name="s_Consolidated_Earnings (2)_2_Fund IV" xfId="25214" xr:uid="{00000000-0005-0000-0000-000086620000}"/>
    <cellStyle name="s_Consolidated_Earnings (2)_2_Fund IV 9.30.08" xfId="25215" xr:uid="{00000000-0005-0000-0000-000087620000}"/>
    <cellStyle name="s_Consolidated_Earnings (2)_2_Fund IV_1" xfId="25216" xr:uid="{00000000-0005-0000-0000-000088620000}"/>
    <cellStyle name="s_Consolidated_Earnings (2)_2_Funds IV Clawback Adjustment Summary" xfId="25217" xr:uid="{00000000-0005-0000-0000-000089620000}"/>
    <cellStyle name="s_Consolidated_Earnings (2)_2_Funds IV Clawback Value Adjustment" xfId="25218" xr:uid="{00000000-0005-0000-0000-00008A620000}"/>
    <cellStyle name="s_Consolidated_Earnings (2)_2_IC Balance" xfId="25219" xr:uid="{00000000-0005-0000-0000-00008B620000}"/>
    <cellStyle name="s_Consolidated_Earnings (2)_2_Invested Capital Debt Worksheet" xfId="25220" xr:uid="{00000000-0005-0000-0000-00008C620000}"/>
    <cellStyle name="s_Consolidated_Earnings (2)_2_Invested Capital Debt Worksheet_1" xfId="25221" xr:uid="{00000000-0005-0000-0000-00008D620000}"/>
    <cellStyle name="s_Consolidated_Earnings (2)_2_iPCs#1-Remaining" xfId="25222" xr:uid="{00000000-0005-0000-0000-00008E620000}"/>
    <cellStyle name="s_Consolidated_Earnings (2)_2_MMF Income" xfId="25223" xr:uid="{00000000-0005-0000-0000-00008F620000}"/>
    <cellStyle name="s_Consolidated_Earnings (2)_2_Partners Capital Q1 2009" xfId="25224" xr:uid="{00000000-0005-0000-0000-000090620000}"/>
    <cellStyle name="s_Consolidated_Earnings (2)_2_Placement Fee Summary 05-14-09 - Current (2)" xfId="25225" xr:uid="{00000000-0005-0000-0000-000091620000}"/>
    <cellStyle name="s_Consolidated_Earnings (2)_2_PR Calc" xfId="25226" xr:uid="{00000000-0005-0000-0000-000092620000}"/>
    <cellStyle name="s_Consolidated_Earnings (2)_2_PR Calc - DOMESTIC" xfId="25227" xr:uid="{00000000-0005-0000-0000-000093620000}"/>
    <cellStyle name="s_Consolidated_Earnings (2)_2_RCIV Q3 2009 Capital Analysis CURRENT" xfId="25228" xr:uid="{00000000-0005-0000-0000-000094620000}"/>
    <cellStyle name="s_Consolidated_Earnings (2)_2_Sheet1" xfId="25229" xr:uid="{00000000-0005-0000-0000-000095620000}"/>
    <cellStyle name="s_Consolidated_Earnings (2)_AIF IV Financial Highlights 12-31-08 v4" xfId="25230" xr:uid="{00000000-0005-0000-0000-000096620000}"/>
    <cellStyle name="s_Consolidated_Earnings (2)_AIF IV Financial Highlights 12-31-08 v4_Apollo Investment Fund IV  Q3 2009 Capital Analysis CURRENT" xfId="25231" xr:uid="{00000000-0005-0000-0000-000097620000}"/>
    <cellStyle name="s_Consolidated_Earnings (2)_AIF IV Financial Highlights 12-31-08 v4_Apollo Investment Fund IV  Q3 2009 Capital Analysis iPCS &amp; URI Distribution" xfId="25232" xr:uid="{00000000-0005-0000-0000-000098620000}"/>
    <cellStyle name="s_Consolidated_Earnings (2)_AIF IV Financial Highlights 12-31-08 v4_iPCs#1-Remaining" xfId="25233" xr:uid="{00000000-0005-0000-0000-000099620000}"/>
    <cellStyle name="s_Consolidated_Earnings (2)_AIF VI - BondcoVI_Entities Invested Capital (CURRENT)" xfId="25234" xr:uid="{00000000-0005-0000-0000-00009A620000}"/>
    <cellStyle name="s_Consolidated_Earnings (2)_AIF VI Broadleaf Watefall Summary as of 6-30-09 FINAL" xfId="25235" xr:uid="{00000000-0005-0000-0000-00009B620000}"/>
    <cellStyle name="s_Consolidated_Earnings (2)_AIF VI Broadleaf Watefall Summary as of 9-30-09" xfId="25236" xr:uid="{00000000-0005-0000-0000-00009C620000}"/>
    <cellStyle name="s_Consolidated_Earnings (2)_Andy Affrick - Schedulev2" xfId="25237" xr:uid="{00000000-0005-0000-0000-00009D620000}"/>
    <cellStyle name="s_Consolidated_Earnings (2)_Apollo Advisors IV 12-31-08 GAAP TB Final" xfId="25238" xr:uid="{00000000-0005-0000-0000-00009E620000}"/>
    <cellStyle name="s_Consolidated_Earnings (2)_Apollo Advisors IV 12-31-08 TB (Revised for Aggr PR)" xfId="25239" xr:uid="{00000000-0005-0000-0000-00009F620000}"/>
    <cellStyle name="s_Consolidated_Earnings (2)_Apollo Advisors IV 6-30-09 GAAP TB" xfId="25240" xr:uid="{00000000-0005-0000-0000-0000A0620000}"/>
    <cellStyle name="s_Consolidated_Earnings (2)_Apollo Investment Fund IV  April Priority Return" xfId="25241" xr:uid="{00000000-0005-0000-0000-0000A1620000}"/>
    <cellStyle name="s_Consolidated_Earnings (2)_Apollo Investment Fund IV  Q1 2009 Capital Analysis 5-22-09 with GAAP" xfId="25242" xr:uid="{00000000-0005-0000-0000-0000A2620000}"/>
    <cellStyle name="s_Consolidated_Earnings (2)_Apollo Investment Fund IV  Q1 2009 Capital Analysis GAAP" xfId="25243" xr:uid="{00000000-0005-0000-0000-0000A3620000}"/>
    <cellStyle name="s_Consolidated_Earnings (2)_Apollo Investment Fund IV  Q2 2009 Capital Analysis CURRENT" xfId="25244" xr:uid="{00000000-0005-0000-0000-0000A4620000}"/>
    <cellStyle name="s_Consolidated_Earnings (2)_Apollo Investment Fund IV  Q3 2009 Capital Analysis CURRENT" xfId="25245" xr:uid="{00000000-0005-0000-0000-0000A5620000}"/>
    <cellStyle name="s_Consolidated_Earnings (2)_Apollo Investment Fund IV  Q3 2009 Capital Analysis iPCS &amp; URI Distribution" xfId="25246" xr:uid="{00000000-0005-0000-0000-0000A6620000}"/>
    <cellStyle name="s_Consolidated_Earnings (2)_Apollo Investment Fund IV Priority Return 6-30-09" xfId="25247" xr:uid="{00000000-0005-0000-0000-0000A7620000}"/>
    <cellStyle name="s_Consolidated_Earnings (2)_Apollo Investment Fund IV Q1 2009 Capital Analysis PR CORRECTED 6-30-09" xfId="25248" xr:uid="{00000000-0005-0000-0000-0000A8620000}"/>
    <cellStyle name="s_Consolidated_Earnings (2)_Broadleaf Watefall 12-31-09" xfId="25249" xr:uid="{00000000-0005-0000-0000-0000A9620000}"/>
    <cellStyle name="s_Consolidated_Earnings (2)_Broadleaf Watefall 6-30-09" xfId="25250" xr:uid="{00000000-0005-0000-0000-0000AA620000}"/>
    <cellStyle name="s_Consolidated_Earnings (2)_Broadleaf Watefall 9-30-09" xfId="25251" xr:uid="{00000000-0005-0000-0000-0000AB620000}"/>
    <cellStyle name="s_Consolidated_Earnings (2)_Carry Calculation" xfId="25252" xr:uid="{00000000-0005-0000-0000-0000AC620000}"/>
    <cellStyle name="s_Consolidated_Earnings (2)_Fund IV" xfId="25253" xr:uid="{00000000-0005-0000-0000-0000AD620000}"/>
    <cellStyle name="s_Consolidated_Earnings (2)_Fund IV 9.30.08" xfId="25254" xr:uid="{00000000-0005-0000-0000-0000AE620000}"/>
    <cellStyle name="s_Consolidated_Earnings (2)_Fund IV_1" xfId="25255" xr:uid="{00000000-0005-0000-0000-0000AF620000}"/>
    <cellStyle name="s_Consolidated_Earnings (2)_Funds IV Clawback Adjustment Summary" xfId="25256" xr:uid="{00000000-0005-0000-0000-0000B0620000}"/>
    <cellStyle name="s_Consolidated_Earnings (2)_Funds IV Clawback Value Adjustment" xfId="25257" xr:uid="{00000000-0005-0000-0000-0000B1620000}"/>
    <cellStyle name="s_Consolidated_Earnings (2)_IC Balance" xfId="25258" xr:uid="{00000000-0005-0000-0000-0000B2620000}"/>
    <cellStyle name="s_Consolidated_Earnings (2)_Invested Capital Debt Worksheet" xfId="25259" xr:uid="{00000000-0005-0000-0000-0000B3620000}"/>
    <cellStyle name="s_Consolidated_Earnings (2)_Invested Capital Debt Worksheet_1" xfId="25260" xr:uid="{00000000-0005-0000-0000-0000B4620000}"/>
    <cellStyle name="s_Consolidated_Earnings (2)_iPCs#1-Remaining" xfId="25261" xr:uid="{00000000-0005-0000-0000-0000B5620000}"/>
    <cellStyle name="s_Consolidated_Earnings (2)_MMF Income" xfId="25262" xr:uid="{00000000-0005-0000-0000-0000B6620000}"/>
    <cellStyle name="s_Consolidated_Earnings (2)_Partners Capital Q1 2009" xfId="25263" xr:uid="{00000000-0005-0000-0000-0000B7620000}"/>
    <cellStyle name="s_Consolidated_Earnings (2)_Placement Fee Summary 05-14-09 - Current (2)" xfId="25264" xr:uid="{00000000-0005-0000-0000-0000B8620000}"/>
    <cellStyle name="s_Consolidated_Earnings (2)_PR Calc" xfId="25265" xr:uid="{00000000-0005-0000-0000-0000B9620000}"/>
    <cellStyle name="s_Consolidated_Earnings (2)_PR Calc - DOMESTIC" xfId="25266" xr:uid="{00000000-0005-0000-0000-0000BA620000}"/>
    <cellStyle name="s_Consolidated_Earnings (2)_RCIV Q3 2009 Capital Analysis CURRENT" xfId="25267" xr:uid="{00000000-0005-0000-0000-0000BB620000}"/>
    <cellStyle name="s_Consolidated_Earnings (2)_Sheet1" xfId="25268" xr:uid="{00000000-0005-0000-0000-0000BC620000}"/>
    <cellStyle name="s_Consolidated_Earnings 10" xfId="25269" xr:uid="{00000000-0005-0000-0000-0000BD620000}"/>
    <cellStyle name="s_Consolidated_Earnings 11" xfId="25270" xr:uid="{00000000-0005-0000-0000-0000BE620000}"/>
    <cellStyle name="s_Consolidated_Earnings 12" xfId="25271" xr:uid="{00000000-0005-0000-0000-0000BF620000}"/>
    <cellStyle name="s_Consolidated_Earnings 13" xfId="25272" xr:uid="{00000000-0005-0000-0000-0000C0620000}"/>
    <cellStyle name="s_Consolidated_Earnings 14" xfId="25273" xr:uid="{00000000-0005-0000-0000-0000C1620000}"/>
    <cellStyle name="s_Consolidated_Earnings 15" xfId="25274" xr:uid="{00000000-0005-0000-0000-0000C2620000}"/>
    <cellStyle name="s_Consolidated_Earnings 16" xfId="25275" xr:uid="{00000000-0005-0000-0000-0000C3620000}"/>
    <cellStyle name="s_Consolidated_Earnings 17" xfId="25276" xr:uid="{00000000-0005-0000-0000-0000C4620000}"/>
    <cellStyle name="s_Consolidated_Earnings 18" xfId="25277" xr:uid="{00000000-0005-0000-0000-0000C5620000}"/>
    <cellStyle name="s_Consolidated_Earnings 19" xfId="25278" xr:uid="{00000000-0005-0000-0000-0000C6620000}"/>
    <cellStyle name="s_Consolidated_Earnings 2" xfId="25279" xr:uid="{00000000-0005-0000-0000-0000C7620000}"/>
    <cellStyle name="s_Consolidated_Earnings 2 2" xfId="25280" xr:uid="{00000000-0005-0000-0000-0000C8620000}"/>
    <cellStyle name="s_Consolidated_Earnings 20" xfId="25281" xr:uid="{00000000-0005-0000-0000-0000C9620000}"/>
    <cellStyle name="s_Consolidated_Earnings 21" xfId="25282" xr:uid="{00000000-0005-0000-0000-0000CA620000}"/>
    <cellStyle name="s_Consolidated_Earnings 22" xfId="25283" xr:uid="{00000000-0005-0000-0000-0000CB620000}"/>
    <cellStyle name="s_Consolidated_Earnings 23" xfId="25284" xr:uid="{00000000-0005-0000-0000-0000CC620000}"/>
    <cellStyle name="s_Consolidated_Earnings 23 2" xfId="25285" xr:uid="{00000000-0005-0000-0000-0000CD620000}"/>
    <cellStyle name="s_Consolidated_Earnings 3" xfId="25286" xr:uid="{00000000-0005-0000-0000-0000CE620000}"/>
    <cellStyle name="s_Consolidated_Earnings 3 2" xfId="25287" xr:uid="{00000000-0005-0000-0000-0000CF620000}"/>
    <cellStyle name="s_Consolidated_Earnings 4" xfId="25288" xr:uid="{00000000-0005-0000-0000-0000D0620000}"/>
    <cellStyle name="s_Consolidated_Earnings 5" xfId="25289" xr:uid="{00000000-0005-0000-0000-0000D1620000}"/>
    <cellStyle name="s_Consolidated_Earnings 6" xfId="25290" xr:uid="{00000000-0005-0000-0000-0000D2620000}"/>
    <cellStyle name="s_Consolidated_Earnings 7" xfId="25291" xr:uid="{00000000-0005-0000-0000-0000D3620000}"/>
    <cellStyle name="s_Consolidated_Earnings 8" xfId="25292" xr:uid="{00000000-0005-0000-0000-0000D4620000}"/>
    <cellStyle name="s_Consolidated_Earnings 9" xfId="25293" xr:uid="{00000000-0005-0000-0000-0000D5620000}"/>
    <cellStyle name="s_Consolidated_Earnings_{6} Carry" xfId="25294" xr:uid="{00000000-0005-0000-0000-0000D6620000}"/>
    <cellStyle name="s_Consolidated_Earnings_{6} Clawback" xfId="25295" xr:uid="{00000000-0005-0000-0000-0000D7620000}"/>
    <cellStyle name="s_Consolidated_Earnings_1" xfId="25296" xr:uid="{00000000-0005-0000-0000-0000D8620000}"/>
    <cellStyle name="s_Consolidated_Earnings_1 10" xfId="25297" xr:uid="{00000000-0005-0000-0000-0000D9620000}"/>
    <cellStyle name="s_Consolidated_Earnings_1 11" xfId="25298" xr:uid="{00000000-0005-0000-0000-0000DA620000}"/>
    <cellStyle name="s_Consolidated_Earnings_1 12" xfId="25299" xr:uid="{00000000-0005-0000-0000-0000DB620000}"/>
    <cellStyle name="s_Consolidated_Earnings_1 13" xfId="25300" xr:uid="{00000000-0005-0000-0000-0000DC620000}"/>
    <cellStyle name="s_Consolidated_Earnings_1 14" xfId="25301" xr:uid="{00000000-0005-0000-0000-0000DD620000}"/>
    <cellStyle name="s_Consolidated_Earnings_1 15" xfId="25302" xr:uid="{00000000-0005-0000-0000-0000DE620000}"/>
    <cellStyle name="s_Consolidated_Earnings_1 16" xfId="25303" xr:uid="{00000000-0005-0000-0000-0000DF620000}"/>
    <cellStyle name="s_Consolidated_Earnings_1 17" xfId="25304" xr:uid="{00000000-0005-0000-0000-0000E0620000}"/>
    <cellStyle name="s_Consolidated_Earnings_1 18" xfId="25305" xr:uid="{00000000-0005-0000-0000-0000E1620000}"/>
    <cellStyle name="s_Consolidated_Earnings_1 19" xfId="25306" xr:uid="{00000000-0005-0000-0000-0000E2620000}"/>
    <cellStyle name="s_Consolidated_Earnings_1 2" xfId="25307" xr:uid="{00000000-0005-0000-0000-0000E3620000}"/>
    <cellStyle name="s_Consolidated_Earnings_1 2 2" xfId="25308" xr:uid="{00000000-0005-0000-0000-0000E4620000}"/>
    <cellStyle name="s_Consolidated_Earnings_1 20" xfId="25309" xr:uid="{00000000-0005-0000-0000-0000E5620000}"/>
    <cellStyle name="s_Consolidated_Earnings_1 21" xfId="25310" xr:uid="{00000000-0005-0000-0000-0000E6620000}"/>
    <cellStyle name="s_Consolidated_Earnings_1 22" xfId="25311" xr:uid="{00000000-0005-0000-0000-0000E7620000}"/>
    <cellStyle name="s_Consolidated_Earnings_1 23" xfId="25312" xr:uid="{00000000-0005-0000-0000-0000E8620000}"/>
    <cellStyle name="s_Consolidated_Earnings_1 23 2" xfId="25313" xr:uid="{00000000-0005-0000-0000-0000E9620000}"/>
    <cellStyle name="s_Consolidated_Earnings_1 3" xfId="25314" xr:uid="{00000000-0005-0000-0000-0000EA620000}"/>
    <cellStyle name="s_Consolidated_Earnings_1 3 2" xfId="25315" xr:uid="{00000000-0005-0000-0000-0000EB620000}"/>
    <cellStyle name="s_Consolidated_Earnings_1 4" xfId="25316" xr:uid="{00000000-0005-0000-0000-0000EC620000}"/>
    <cellStyle name="s_Consolidated_Earnings_1 5" xfId="25317" xr:uid="{00000000-0005-0000-0000-0000ED620000}"/>
    <cellStyle name="s_Consolidated_Earnings_1 6" xfId="25318" xr:uid="{00000000-0005-0000-0000-0000EE620000}"/>
    <cellStyle name="s_Consolidated_Earnings_1 7" xfId="25319" xr:uid="{00000000-0005-0000-0000-0000EF620000}"/>
    <cellStyle name="s_Consolidated_Earnings_1 8" xfId="25320" xr:uid="{00000000-0005-0000-0000-0000F0620000}"/>
    <cellStyle name="s_Consolidated_Earnings_1 9" xfId="25321" xr:uid="{00000000-0005-0000-0000-0000F1620000}"/>
    <cellStyle name="s_Consolidated_Earnings_1_{6} Carry" xfId="25322" xr:uid="{00000000-0005-0000-0000-0000F2620000}"/>
    <cellStyle name="s_Consolidated_Earnings_1_{6} Clawback" xfId="25323" xr:uid="{00000000-0005-0000-0000-0000F3620000}"/>
    <cellStyle name="s_Consolidated_Earnings_1_AIF IV Financial Highlights 12-31-08 v4" xfId="25324" xr:uid="{00000000-0005-0000-0000-0000F4620000}"/>
    <cellStyle name="s_Consolidated_Earnings_1_AIF IV Financial Highlights 12-31-08 v4_Apollo Investment Fund IV  Q3 2009 Capital Analysis CURRENT" xfId="25325" xr:uid="{00000000-0005-0000-0000-0000F5620000}"/>
    <cellStyle name="s_Consolidated_Earnings_1_AIF IV Financial Highlights 12-31-08 v4_Apollo Investment Fund IV  Q3 2009 Capital Analysis iPCS &amp; URI Distribution" xfId="25326" xr:uid="{00000000-0005-0000-0000-0000F6620000}"/>
    <cellStyle name="s_Consolidated_Earnings_1_AIF IV Financial Highlights 12-31-08 v4_iPCs#1-Remaining" xfId="25327" xr:uid="{00000000-0005-0000-0000-0000F7620000}"/>
    <cellStyle name="s_Consolidated_Earnings_1_AIF VI - BondcoVI_Entities Invested Capital (CURRENT)" xfId="25328" xr:uid="{00000000-0005-0000-0000-0000F8620000}"/>
    <cellStyle name="s_Consolidated_Earnings_1_AIF VI Broadleaf Watefall Summary as of 6-30-09 FINAL" xfId="25329" xr:uid="{00000000-0005-0000-0000-0000F9620000}"/>
    <cellStyle name="s_Consolidated_Earnings_1_AIF VI Broadleaf Watefall Summary as of 9-30-09" xfId="25330" xr:uid="{00000000-0005-0000-0000-0000FA620000}"/>
    <cellStyle name="s_Consolidated_Earnings_1_Andy Affrick - Schedulev2" xfId="25331" xr:uid="{00000000-0005-0000-0000-0000FB620000}"/>
    <cellStyle name="s_Consolidated_Earnings_1_Apollo Advisors IV 12-31-08 GAAP TB Final" xfId="25332" xr:uid="{00000000-0005-0000-0000-0000FC620000}"/>
    <cellStyle name="s_Consolidated_Earnings_1_Apollo Advisors IV 12-31-08 TB (Revised for Aggr PR)" xfId="25333" xr:uid="{00000000-0005-0000-0000-0000FD620000}"/>
    <cellStyle name="s_Consolidated_Earnings_1_Apollo Advisors IV 6-30-09 GAAP TB" xfId="25334" xr:uid="{00000000-0005-0000-0000-0000FE620000}"/>
    <cellStyle name="s_Consolidated_Earnings_1_Apollo Investment Fund IV  April Priority Return" xfId="25335" xr:uid="{00000000-0005-0000-0000-0000FF620000}"/>
    <cellStyle name="s_Consolidated_Earnings_1_Apollo Investment Fund IV  Q1 2009 Capital Analysis 5-22-09 with GAAP" xfId="25336" xr:uid="{00000000-0005-0000-0000-000000630000}"/>
    <cellStyle name="s_Consolidated_Earnings_1_Apollo Investment Fund IV  Q1 2009 Capital Analysis GAAP" xfId="25337" xr:uid="{00000000-0005-0000-0000-000001630000}"/>
    <cellStyle name="s_Consolidated_Earnings_1_Apollo Investment Fund IV  Q2 2009 Capital Analysis CURRENT" xfId="25338" xr:uid="{00000000-0005-0000-0000-000002630000}"/>
    <cellStyle name="s_Consolidated_Earnings_1_Apollo Investment Fund IV  Q3 2009 Capital Analysis CURRENT" xfId="25339" xr:uid="{00000000-0005-0000-0000-000003630000}"/>
    <cellStyle name="s_Consolidated_Earnings_1_Apollo Investment Fund IV  Q3 2009 Capital Analysis iPCS &amp; URI Distribution" xfId="25340" xr:uid="{00000000-0005-0000-0000-000004630000}"/>
    <cellStyle name="s_Consolidated_Earnings_1_Apollo Investment Fund IV Priority Return 6-30-09" xfId="25341" xr:uid="{00000000-0005-0000-0000-000005630000}"/>
    <cellStyle name="s_Consolidated_Earnings_1_Apollo Investment Fund IV Q1 2009 Capital Analysis PR CORRECTED 6-30-09" xfId="25342" xr:uid="{00000000-0005-0000-0000-000006630000}"/>
    <cellStyle name="s_Consolidated_Earnings_1_Broadleaf Watefall 12-31-09" xfId="25343" xr:uid="{00000000-0005-0000-0000-000007630000}"/>
    <cellStyle name="s_Consolidated_Earnings_1_Broadleaf Watefall 6-30-09" xfId="25344" xr:uid="{00000000-0005-0000-0000-000008630000}"/>
    <cellStyle name="s_Consolidated_Earnings_1_Broadleaf Watefall 9-30-09" xfId="25345" xr:uid="{00000000-0005-0000-0000-000009630000}"/>
    <cellStyle name="s_Consolidated_Earnings_1_Carry Calculation" xfId="25346" xr:uid="{00000000-0005-0000-0000-00000A630000}"/>
    <cellStyle name="s_Consolidated_Earnings_1_Fund IV" xfId="25347" xr:uid="{00000000-0005-0000-0000-00000B630000}"/>
    <cellStyle name="s_Consolidated_Earnings_1_Fund IV 9.30.08" xfId="25348" xr:uid="{00000000-0005-0000-0000-00000C630000}"/>
    <cellStyle name="s_Consolidated_Earnings_1_Fund IV_1" xfId="25349" xr:uid="{00000000-0005-0000-0000-00000D630000}"/>
    <cellStyle name="s_Consolidated_Earnings_1_Funds IV Clawback Adjustment Summary" xfId="25350" xr:uid="{00000000-0005-0000-0000-00000E630000}"/>
    <cellStyle name="s_Consolidated_Earnings_1_Funds IV Clawback Value Adjustment" xfId="25351" xr:uid="{00000000-0005-0000-0000-00000F630000}"/>
    <cellStyle name="s_Consolidated_Earnings_1_IC Balance" xfId="25352" xr:uid="{00000000-0005-0000-0000-000010630000}"/>
    <cellStyle name="s_Consolidated_Earnings_1_Invested Capital Debt Worksheet" xfId="25353" xr:uid="{00000000-0005-0000-0000-000011630000}"/>
    <cellStyle name="s_Consolidated_Earnings_1_Invested Capital Debt Worksheet_1" xfId="25354" xr:uid="{00000000-0005-0000-0000-000012630000}"/>
    <cellStyle name="s_Consolidated_Earnings_1_iPCs#1-Remaining" xfId="25355" xr:uid="{00000000-0005-0000-0000-000013630000}"/>
    <cellStyle name="s_Consolidated_Earnings_1_MMF Income" xfId="25356" xr:uid="{00000000-0005-0000-0000-000014630000}"/>
    <cellStyle name="s_Consolidated_Earnings_1_Partners Capital Q1 2009" xfId="25357" xr:uid="{00000000-0005-0000-0000-000015630000}"/>
    <cellStyle name="s_Consolidated_Earnings_1_Placement Fee Summary 05-14-09 - Current (2)" xfId="25358" xr:uid="{00000000-0005-0000-0000-000016630000}"/>
    <cellStyle name="s_Consolidated_Earnings_1_PR Calc" xfId="25359" xr:uid="{00000000-0005-0000-0000-000017630000}"/>
    <cellStyle name="s_Consolidated_Earnings_1_PR Calc - DOMESTIC" xfId="25360" xr:uid="{00000000-0005-0000-0000-000018630000}"/>
    <cellStyle name="s_Consolidated_Earnings_1_RCIV Q3 2009 Capital Analysis CURRENT" xfId="25361" xr:uid="{00000000-0005-0000-0000-000019630000}"/>
    <cellStyle name="s_Consolidated_Earnings_1_Sheet1" xfId="25362" xr:uid="{00000000-0005-0000-0000-00001A630000}"/>
    <cellStyle name="s_Consolidated_Earnings_2" xfId="25363" xr:uid="{00000000-0005-0000-0000-00001B630000}"/>
    <cellStyle name="s_Consolidated_Earnings_2 10" xfId="25364" xr:uid="{00000000-0005-0000-0000-00001C630000}"/>
    <cellStyle name="s_Consolidated_Earnings_2 11" xfId="25365" xr:uid="{00000000-0005-0000-0000-00001D630000}"/>
    <cellStyle name="s_Consolidated_Earnings_2 12" xfId="25366" xr:uid="{00000000-0005-0000-0000-00001E630000}"/>
    <cellStyle name="s_Consolidated_Earnings_2 13" xfId="25367" xr:uid="{00000000-0005-0000-0000-00001F630000}"/>
    <cellStyle name="s_Consolidated_Earnings_2 14" xfId="25368" xr:uid="{00000000-0005-0000-0000-000020630000}"/>
    <cellStyle name="s_Consolidated_Earnings_2 15" xfId="25369" xr:uid="{00000000-0005-0000-0000-000021630000}"/>
    <cellStyle name="s_Consolidated_Earnings_2 16" xfId="25370" xr:uid="{00000000-0005-0000-0000-000022630000}"/>
    <cellStyle name="s_Consolidated_Earnings_2 17" xfId="25371" xr:uid="{00000000-0005-0000-0000-000023630000}"/>
    <cellStyle name="s_Consolidated_Earnings_2 18" xfId="25372" xr:uid="{00000000-0005-0000-0000-000024630000}"/>
    <cellStyle name="s_Consolidated_Earnings_2 19" xfId="25373" xr:uid="{00000000-0005-0000-0000-000025630000}"/>
    <cellStyle name="s_Consolidated_Earnings_2 2" xfId="25374" xr:uid="{00000000-0005-0000-0000-000026630000}"/>
    <cellStyle name="s_Consolidated_Earnings_2 2 2" xfId="25375" xr:uid="{00000000-0005-0000-0000-000027630000}"/>
    <cellStyle name="s_Consolidated_Earnings_2 20" xfId="25376" xr:uid="{00000000-0005-0000-0000-000028630000}"/>
    <cellStyle name="s_Consolidated_Earnings_2 21" xfId="25377" xr:uid="{00000000-0005-0000-0000-000029630000}"/>
    <cellStyle name="s_Consolidated_Earnings_2 22" xfId="25378" xr:uid="{00000000-0005-0000-0000-00002A630000}"/>
    <cellStyle name="s_Consolidated_Earnings_2 23" xfId="25379" xr:uid="{00000000-0005-0000-0000-00002B630000}"/>
    <cellStyle name="s_Consolidated_Earnings_2 23 2" xfId="25380" xr:uid="{00000000-0005-0000-0000-00002C630000}"/>
    <cellStyle name="s_Consolidated_Earnings_2 3" xfId="25381" xr:uid="{00000000-0005-0000-0000-00002D630000}"/>
    <cellStyle name="s_Consolidated_Earnings_2 3 2" xfId="25382" xr:uid="{00000000-0005-0000-0000-00002E630000}"/>
    <cellStyle name="s_Consolidated_Earnings_2 4" xfId="25383" xr:uid="{00000000-0005-0000-0000-00002F630000}"/>
    <cellStyle name="s_Consolidated_Earnings_2 5" xfId="25384" xr:uid="{00000000-0005-0000-0000-000030630000}"/>
    <cellStyle name="s_Consolidated_Earnings_2 6" xfId="25385" xr:uid="{00000000-0005-0000-0000-000031630000}"/>
    <cellStyle name="s_Consolidated_Earnings_2 7" xfId="25386" xr:uid="{00000000-0005-0000-0000-000032630000}"/>
    <cellStyle name="s_Consolidated_Earnings_2 8" xfId="25387" xr:uid="{00000000-0005-0000-0000-000033630000}"/>
    <cellStyle name="s_Consolidated_Earnings_2 9" xfId="25388" xr:uid="{00000000-0005-0000-0000-000034630000}"/>
    <cellStyle name="s_Consolidated_Earnings_2_{6} Carry" xfId="25389" xr:uid="{00000000-0005-0000-0000-000035630000}"/>
    <cellStyle name="s_Consolidated_Earnings_2_{6} Clawback" xfId="25390" xr:uid="{00000000-0005-0000-0000-000036630000}"/>
    <cellStyle name="s_Consolidated_Earnings_2_AIF IV Financial Highlights 12-31-08 v4" xfId="25391" xr:uid="{00000000-0005-0000-0000-000037630000}"/>
    <cellStyle name="s_Consolidated_Earnings_2_AIF IV Financial Highlights 12-31-08 v4_Apollo Investment Fund IV  Q3 2009 Capital Analysis CURRENT" xfId="25392" xr:uid="{00000000-0005-0000-0000-000038630000}"/>
    <cellStyle name="s_Consolidated_Earnings_2_AIF IV Financial Highlights 12-31-08 v4_Apollo Investment Fund IV  Q3 2009 Capital Analysis iPCS &amp; URI Distribution" xfId="25393" xr:uid="{00000000-0005-0000-0000-000039630000}"/>
    <cellStyle name="s_Consolidated_Earnings_2_AIF IV Financial Highlights 12-31-08 v4_iPCs#1-Remaining" xfId="25394" xr:uid="{00000000-0005-0000-0000-00003A630000}"/>
    <cellStyle name="s_Consolidated_Earnings_2_AIF VI - BondcoVI_Entities Invested Capital (CURRENT)" xfId="25395" xr:uid="{00000000-0005-0000-0000-00003B630000}"/>
    <cellStyle name="s_Consolidated_Earnings_2_AIF VI Broadleaf Watefall Summary as of 6-30-09 FINAL" xfId="25396" xr:uid="{00000000-0005-0000-0000-00003C630000}"/>
    <cellStyle name="s_Consolidated_Earnings_2_AIF VI Broadleaf Watefall Summary as of 9-30-09" xfId="25397" xr:uid="{00000000-0005-0000-0000-00003D630000}"/>
    <cellStyle name="s_Consolidated_Earnings_2_Andy Affrick - Schedulev2" xfId="25398" xr:uid="{00000000-0005-0000-0000-00003E630000}"/>
    <cellStyle name="s_Consolidated_Earnings_2_Apollo Advisors IV 12-31-08 GAAP TB Final" xfId="25399" xr:uid="{00000000-0005-0000-0000-00003F630000}"/>
    <cellStyle name="s_Consolidated_Earnings_2_Apollo Advisors IV 12-31-08 TB (Revised for Aggr PR)" xfId="25400" xr:uid="{00000000-0005-0000-0000-000040630000}"/>
    <cellStyle name="s_Consolidated_Earnings_2_Apollo Advisors IV 6-30-09 GAAP TB" xfId="25401" xr:uid="{00000000-0005-0000-0000-000041630000}"/>
    <cellStyle name="s_Consolidated_Earnings_2_Apollo Investment Fund IV  April Priority Return" xfId="25402" xr:uid="{00000000-0005-0000-0000-000042630000}"/>
    <cellStyle name="s_Consolidated_Earnings_2_Apollo Investment Fund IV  Q1 2009 Capital Analysis 5-22-09 with GAAP" xfId="25403" xr:uid="{00000000-0005-0000-0000-000043630000}"/>
    <cellStyle name="s_Consolidated_Earnings_2_Apollo Investment Fund IV  Q1 2009 Capital Analysis GAAP" xfId="25404" xr:uid="{00000000-0005-0000-0000-000044630000}"/>
    <cellStyle name="s_Consolidated_Earnings_2_Apollo Investment Fund IV  Q2 2009 Capital Analysis CURRENT" xfId="25405" xr:uid="{00000000-0005-0000-0000-000045630000}"/>
    <cellStyle name="s_Consolidated_Earnings_2_Apollo Investment Fund IV  Q3 2009 Capital Analysis CURRENT" xfId="25406" xr:uid="{00000000-0005-0000-0000-000046630000}"/>
    <cellStyle name="s_Consolidated_Earnings_2_Apollo Investment Fund IV  Q3 2009 Capital Analysis iPCS &amp; URI Distribution" xfId="25407" xr:uid="{00000000-0005-0000-0000-000047630000}"/>
    <cellStyle name="s_Consolidated_Earnings_2_Apollo Investment Fund IV Priority Return 6-30-09" xfId="25408" xr:uid="{00000000-0005-0000-0000-000048630000}"/>
    <cellStyle name="s_Consolidated_Earnings_2_Apollo Investment Fund IV Q1 2009 Capital Analysis PR CORRECTED 6-30-09" xfId="25409" xr:uid="{00000000-0005-0000-0000-000049630000}"/>
    <cellStyle name="s_Consolidated_Earnings_2_Broadleaf Watefall 12-31-09" xfId="25410" xr:uid="{00000000-0005-0000-0000-00004A630000}"/>
    <cellStyle name="s_Consolidated_Earnings_2_Broadleaf Watefall 6-30-09" xfId="25411" xr:uid="{00000000-0005-0000-0000-00004B630000}"/>
    <cellStyle name="s_Consolidated_Earnings_2_Broadleaf Watefall 9-30-09" xfId="25412" xr:uid="{00000000-0005-0000-0000-00004C630000}"/>
    <cellStyle name="s_Consolidated_Earnings_2_Carry Calculation" xfId="25413" xr:uid="{00000000-0005-0000-0000-00004D630000}"/>
    <cellStyle name="s_Consolidated_Earnings_2_Fund IV" xfId="25414" xr:uid="{00000000-0005-0000-0000-00004E630000}"/>
    <cellStyle name="s_Consolidated_Earnings_2_Fund IV 9.30.08" xfId="25415" xr:uid="{00000000-0005-0000-0000-00004F630000}"/>
    <cellStyle name="s_Consolidated_Earnings_2_Fund IV_1" xfId="25416" xr:uid="{00000000-0005-0000-0000-000050630000}"/>
    <cellStyle name="s_Consolidated_Earnings_2_Funds IV Clawback Adjustment Summary" xfId="25417" xr:uid="{00000000-0005-0000-0000-000051630000}"/>
    <cellStyle name="s_Consolidated_Earnings_2_Funds IV Clawback Value Adjustment" xfId="25418" xr:uid="{00000000-0005-0000-0000-000052630000}"/>
    <cellStyle name="s_Consolidated_Earnings_2_IC Balance" xfId="25419" xr:uid="{00000000-0005-0000-0000-000053630000}"/>
    <cellStyle name="s_Consolidated_Earnings_2_Invested Capital Debt Worksheet" xfId="25420" xr:uid="{00000000-0005-0000-0000-000054630000}"/>
    <cellStyle name="s_Consolidated_Earnings_2_Invested Capital Debt Worksheet_1" xfId="25421" xr:uid="{00000000-0005-0000-0000-000055630000}"/>
    <cellStyle name="s_Consolidated_Earnings_2_iPCs#1-Remaining" xfId="25422" xr:uid="{00000000-0005-0000-0000-000056630000}"/>
    <cellStyle name="s_Consolidated_Earnings_2_MMF Income" xfId="25423" xr:uid="{00000000-0005-0000-0000-000057630000}"/>
    <cellStyle name="s_Consolidated_Earnings_2_Partners Capital Q1 2009" xfId="25424" xr:uid="{00000000-0005-0000-0000-000058630000}"/>
    <cellStyle name="s_Consolidated_Earnings_2_Placement Fee Summary 05-14-09 - Current (2)" xfId="25425" xr:uid="{00000000-0005-0000-0000-000059630000}"/>
    <cellStyle name="s_Consolidated_Earnings_2_PR Calc" xfId="25426" xr:uid="{00000000-0005-0000-0000-00005A630000}"/>
    <cellStyle name="s_Consolidated_Earnings_2_PR Calc - DOMESTIC" xfId="25427" xr:uid="{00000000-0005-0000-0000-00005B630000}"/>
    <cellStyle name="s_Consolidated_Earnings_2_RCIV Q3 2009 Capital Analysis CURRENT" xfId="25428" xr:uid="{00000000-0005-0000-0000-00005C630000}"/>
    <cellStyle name="s_Consolidated_Earnings_2_Sheet1" xfId="25429" xr:uid="{00000000-0005-0000-0000-00005D630000}"/>
    <cellStyle name="s_Consolidated_Earnings_AIF IV Financial Highlights 12-31-08 v4" xfId="25430" xr:uid="{00000000-0005-0000-0000-00005E630000}"/>
    <cellStyle name="s_Consolidated_Earnings_AIF IV Financial Highlights 12-31-08 v4_Apollo Investment Fund IV  Q3 2009 Capital Analysis CURRENT" xfId="25431" xr:uid="{00000000-0005-0000-0000-00005F630000}"/>
    <cellStyle name="s_Consolidated_Earnings_AIF IV Financial Highlights 12-31-08 v4_Apollo Investment Fund IV  Q3 2009 Capital Analysis iPCS &amp; URI Distribution" xfId="25432" xr:uid="{00000000-0005-0000-0000-000060630000}"/>
    <cellStyle name="s_Consolidated_Earnings_AIF IV Financial Highlights 12-31-08 v4_iPCs#1-Remaining" xfId="25433" xr:uid="{00000000-0005-0000-0000-000061630000}"/>
    <cellStyle name="s_Consolidated_Earnings_AIF VI - BondcoVI_Entities Invested Capital (CURRENT)" xfId="25434" xr:uid="{00000000-0005-0000-0000-000062630000}"/>
    <cellStyle name="s_Consolidated_Earnings_AIF VI Broadleaf Watefall Summary as of 6-30-09 FINAL" xfId="25435" xr:uid="{00000000-0005-0000-0000-000063630000}"/>
    <cellStyle name="s_Consolidated_Earnings_AIF VI Broadleaf Watefall Summary as of 9-30-09" xfId="25436" xr:uid="{00000000-0005-0000-0000-000064630000}"/>
    <cellStyle name="s_Consolidated_Earnings_Andy Affrick - Schedulev2" xfId="25437" xr:uid="{00000000-0005-0000-0000-000065630000}"/>
    <cellStyle name="s_Consolidated_Earnings_Apollo Investment Fund IV  April Priority Return" xfId="25438" xr:uid="{00000000-0005-0000-0000-000066630000}"/>
    <cellStyle name="s_Consolidated_Earnings_Apollo Investment Fund IV  Q1 2009 Capital Analysis 5-22-09 with GAAP" xfId="25439" xr:uid="{00000000-0005-0000-0000-000067630000}"/>
    <cellStyle name="s_Consolidated_Earnings_Apollo Investment Fund IV  Q1 2009 Capital Analysis GAAP" xfId="25440" xr:uid="{00000000-0005-0000-0000-000068630000}"/>
    <cellStyle name="s_Consolidated_Earnings_Apollo Investment Fund IV  Q2 2009 Capital Analysis CURRENT" xfId="25441" xr:uid="{00000000-0005-0000-0000-000069630000}"/>
    <cellStyle name="s_Consolidated_Earnings_Apollo Investment Fund IV  Q3 2009 Capital Analysis CURRENT" xfId="25442" xr:uid="{00000000-0005-0000-0000-00006A630000}"/>
    <cellStyle name="s_Consolidated_Earnings_Apollo Investment Fund IV  Q3 2009 Capital Analysis iPCS &amp; URI Distribution" xfId="25443" xr:uid="{00000000-0005-0000-0000-00006B630000}"/>
    <cellStyle name="s_Consolidated_Earnings_Apollo Investment Fund IV Priority Return 6-30-09" xfId="25444" xr:uid="{00000000-0005-0000-0000-00006C630000}"/>
    <cellStyle name="s_Consolidated_Earnings_Apollo Investment Fund IV Q1 2009 Capital Analysis PR CORRECTED 6-30-09" xfId="25445" xr:uid="{00000000-0005-0000-0000-00006D630000}"/>
    <cellStyle name="s_Consolidated_Earnings_Broadleaf Watefall 12-31-09" xfId="25446" xr:uid="{00000000-0005-0000-0000-00006E630000}"/>
    <cellStyle name="s_Consolidated_Earnings_Broadleaf Watefall 6-30-09" xfId="25447" xr:uid="{00000000-0005-0000-0000-00006F630000}"/>
    <cellStyle name="s_Consolidated_Earnings_Broadleaf Watefall 9-30-09" xfId="25448" xr:uid="{00000000-0005-0000-0000-000070630000}"/>
    <cellStyle name="s_Consolidated_Earnings_Carry Calculation" xfId="25449" xr:uid="{00000000-0005-0000-0000-000071630000}"/>
    <cellStyle name="s_Consolidated_Earnings_Fund IV" xfId="25450" xr:uid="{00000000-0005-0000-0000-000072630000}"/>
    <cellStyle name="s_Consolidated_Earnings_Fund IV 9.30.08" xfId="25451" xr:uid="{00000000-0005-0000-0000-000073630000}"/>
    <cellStyle name="s_Consolidated_Earnings_Fund IV_1" xfId="25452" xr:uid="{00000000-0005-0000-0000-000074630000}"/>
    <cellStyle name="s_Consolidated_Earnings_Funds IV Clawback Adjustment Summary" xfId="25453" xr:uid="{00000000-0005-0000-0000-000075630000}"/>
    <cellStyle name="s_Consolidated_Earnings_Funds IV Clawback Value Adjustment" xfId="25454" xr:uid="{00000000-0005-0000-0000-000076630000}"/>
    <cellStyle name="s_Consolidated_Earnings_IC Balance" xfId="25455" xr:uid="{00000000-0005-0000-0000-000077630000}"/>
    <cellStyle name="s_Consolidated_Earnings_Invested Capital Debt Worksheet" xfId="25456" xr:uid="{00000000-0005-0000-0000-000078630000}"/>
    <cellStyle name="s_Consolidated_Earnings_iPCs#1-Remaining" xfId="25457" xr:uid="{00000000-0005-0000-0000-000079630000}"/>
    <cellStyle name="s_Consolidated_Earnings_MMF Income" xfId="25458" xr:uid="{00000000-0005-0000-0000-00007A630000}"/>
    <cellStyle name="s_Consolidated_Earnings_Partners Capital Q1 2009" xfId="25459" xr:uid="{00000000-0005-0000-0000-00007B630000}"/>
    <cellStyle name="s_Consolidated_Earnings_Placement Fee Summary 05-14-09 - Current (2)" xfId="25460" xr:uid="{00000000-0005-0000-0000-00007C630000}"/>
    <cellStyle name="s_Consolidated_Earnings_PR Calc" xfId="25461" xr:uid="{00000000-0005-0000-0000-00007D630000}"/>
    <cellStyle name="s_Consolidated_Earnings_PR Calc - DOMESTIC" xfId="25462" xr:uid="{00000000-0005-0000-0000-00007E630000}"/>
    <cellStyle name="s_Consolidated_Earnings_RCIV Q3 2009 Capital Analysis CURRENT" xfId="25463" xr:uid="{00000000-0005-0000-0000-00007F630000}"/>
    <cellStyle name="s_Consolidated_Schedules" xfId="25464" xr:uid="{00000000-0005-0000-0000-000080630000}"/>
    <cellStyle name="s_Consolidated_Schedules (2)" xfId="25465" xr:uid="{00000000-0005-0000-0000-000081630000}"/>
    <cellStyle name="s_Consolidated_Schedules (2) 10" xfId="25466" xr:uid="{00000000-0005-0000-0000-000082630000}"/>
    <cellStyle name="s_Consolidated_Schedules (2) 11" xfId="25467" xr:uid="{00000000-0005-0000-0000-000083630000}"/>
    <cellStyle name="s_Consolidated_Schedules (2) 12" xfId="25468" xr:uid="{00000000-0005-0000-0000-000084630000}"/>
    <cellStyle name="s_Consolidated_Schedules (2) 13" xfId="25469" xr:uid="{00000000-0005-0000-0000-000085630000}"/>
    <cellStyle name="s_Consolidated_Schedules (2) 14" xfId="25470" xr:uid="{00000000-0005-0000-0000-000086630000}"/>
    <cellStyle name="s_Consolidated_Schedules (2) 15" xfId="25471" xr:uid="{00000000-0005-0000-0000-000087630000}"/>
    <cellStyle name="s_Consolidated_Schedules (2) 16" xfId="25472" xr:uid="{00000000-0005-0000-0000-000088630000}"/>
    <cellStyle name="s_Consolidated_Schedules (2) 17" xfId="25473" xr:uid="{00000000-0005-0000-0000-000089630000}"/>
    <cellStyle name="s_Consolidated_Schedules (2) 18" xfId="25474" xr:uid="{00000000-0005-0000-0000-00008A630000}"/>
    <cellStyle name="s_Consolidated_Schedules (2) 19" xfId="25475" xr:uid="{00000000-0005-0000-0000-00008B630000}"/>
    <cellStyle name="s_Consolidated_Schedules (2) 2" xfId="25476" xr:uid="{00000000-0005-0000-0000-00008C630000}"/>
    <cellStyle name="s_Consolidated_Schedules (2) 2 2" xfId="25477" xr:uid="{00000000-0005-0000-0000-00008D630000}"/>
    <cellStyle name="s_Consolidated_Schedules (2) 20" xfId="25478" xr:uid="{00000000-0005-0000-0000-00008E630000}"/>
    <cellStyle name="s_Consolidated_Schedules (2) 21" xfId="25479" xr:uid="{00000000-0005-0000-0000-00008F630000}"/>
    <cellStyle name="s_Consolidated_Schedules (2) 22" xfId="25480" xr:uid="{00000000-0005-0000-0000-000090630000}"/>
    <cellStyle name="s_Consolidated_Schedules (2) 23" xfId="25481" xr:uid="{00000000-0005-0000-0000-000091630000}"/>
    <cellStyle name="s_Consolidated_Schedules (2) 23 2" xfId="25482" xr:uid="{00000000-0005-0000-0000-000092630000}"/>
    <cellStyle name="s_Consolidated_Schedules (2) 3" xfId="25483" xr:uid="{00000000-0005-0000-0000-000093630000}"/>
    <cellStyle name="s_Consolidated_Schedules (2) 3 2" xfId="25484" xr:uid="{00000000-0005-0000-0000-000094630000}"/>
    <cellStyle name="s_Consolidated_Schedules (2) 4" xfId="25485" xr:uid="{00000000-0005-0000-0000-000095630000}"/>
    <cellStyle name="s_Consolidated_Schedules (2) 5" xfId="25486" xr:uid="{00000000-0005-0000-0000-000096630000}"/>
    <cellStyle name="s_Consolidated_Schedules (2) 6" xfId="25487" xr:uid="{00000000-0005-0000-0000-000097630000}"/>
    <cellStyle name="s_Consolidated_Schedules (2) 7" xfId="25488" xr:uid="{00000000-0005-0000-0000-000098630000}"/>
    <cellStyle name="s_Consolidated_Schedules (2) 8" xfId="25489" xr:uid="{00000000-0005-0000-0000-000099630000}"/>
    <cellStyle name="s_Consolidated_Schedules (2) 9" xfId="25490" xr:uid="{00000000-0005-0000-0000-00009A630000}"/>
    <cellStyle name="s_Consolidated_Schedules (2)_{6} Carry" xfId="25491" xr:uid="{00000000-0005-0000-0000-00009B630000}"/>
    <cellStyle name="s_Consolidated_Schedules (2)_{6} Clawback" xfId="25492" xr:uid="{00000000-0005-0000-0000-00009C630000}"/>
    <cellStyle name="s_Consolidated_Schedules (2)_1" xfId="25493" xr:uid="{00000000-0005-0000-0000-00009D630000}"/>
    <cellStyle name="s_Consolidated_Schedules (2)_1 10" xfId="25494" xr:uid="{00000000-0005-0000-0000-00009E630000}"/>
    <cellStyle name="s_Consolidated_Schedules (2)_1 11" xfId="25495" xr:uid="{00000000-0005-0000-0000-00009F630000}"/>
    <cellStyle name="s_Consolidated_Schedules (2)_1 12" xfId="25496" xr:uid="{00000000-0005-0000-0000-0000A0630000}"/>
    <cellStyle name="s_Consolidated_Schedules (2)_1 13" xfId="25497" xr:uid="{00000000-0005-0000-0000-0000A1630000}"/>
    <cellStyle name="s_Consolidated_Schedules (2)_1 14" xfId="25498" xr:uid="{00000000-0005-0000-0000-0000A2630000}"/>
    <cellStyle name="s_Consolidated_Schedules (2)_1 15" xfId="25499" xr:uid="{00000000-0005-0000-0000-0000A3630000}"/>
    <cellStyle name="s_Consolidated_Schedules (2)_1 16" xfId="25500" xr:uid="{00000000-0005-0000-0000-0000A4630000}"/>
    <cellStyle name="s_Consolidated_Schedules (2)_1 17" xfId="25501" xr:uid="{00000000-0005-0000-0000-0000A5630000}"/>
    <cellStyle name="s_Consolidated_Schedules (2)_1 18" xfId="25502" xr:uid="{00000000-0005-0000-0000-0000A6630000}"/>
    <cellStyle name="s_Consolidated_Schedules (2)_1 19" xfId="25503" xr:uid="{00000000-0005-0000-0000-0000A7630000}"/>
    <cellStyle name="s_Consolidated_Schedules (2)_1 2" xfId="25504" xr:uid="{00000000-0005-0000-0000-0000A8630000}"/>
    <cellStyle name="s_Consolidated_Schedules (2)_1 2 2" xfId="25505" xr:uid="{00000000-0005-0000-0000-0000A9630000}"/>
    <cellStyle name="s_Consolidated_Schedules (2)_1 20" xfId="25506" xr:uid="{00000000-0005-0000-0000-0000AA630000}"/>
    <cellStyle name="s_Consolidated_Schedules (2)_1 21" xfId="25507" xr:uid="{00000000-0005-0000-0000-0000AB630000}"/>
    <cellStyle name="s_Consolidated_Schedules (2)_1 22" xfId="25508" xr:uid="{00000000-0005-0000-0000-0000AC630000}"/>
    <cellStyle name="s_Consolidated_Schedules (2)_1 23" xfId="25509" xr:uid="{00000000-0005-0000-0000-0000AD630000}"/>
    <cellStyle name="s_Consolidated_Schedules (2)_1 23 2" xfId="25510" xr:uid="{00000000-0005-0000-0000-0000AE630000}"/>
    <cellStyle name="s_Consolidated_Schedules (2)_1 3" xfId="25511" xr:uid="{00000000-0005-0000-0000-0000AF630000}"/>
    <cellStyle name="s_Consolidated_Schedules (2)_1 3 2" xfId="25512" xr:uid="{00000000-0005-0000-0000-0000B0630000}"/>
    <cellStyle name="s_Consolidated_Schedules (2)_1 4" xfId="25513" xr:uid="{00000000-0005-0000-0000-0000B1630000}"/>
    <cellStyle name="s_Consolidated_Schedules (2)_1 5" xfId="25514" xr:uid="{00000000-0005-0000-0000-0000B2630000}"/>
    <cellStyle name="s_Consolidated_Schedules (2)_1 6" xfId="25515" xr:uid="{00000000-0005-0000-0000-0000B3630000}"/>
    <cellStyle name="s_Consolidated_Schedules (2)_1 7" xfId="25516" xr:uid="{00000000-0005-0000-0000-0000B4630000}"/>
    <cellStyle name="s_Consolidated_Schedules (2)_1 8" xfId="25517" xr:uid="{00000000-0005-0000-0000-0000B5630000}"/>
    <cellStyle name="s_Consolidated_Schedules (2)_1 9" xfId="25518" xr:uid="{00000000-0005-0000-0000-0000B6630000}"/>
    <cellStyle name="s_Consolidated_Schedules (2)_1_{6} Carry" xfId="25519" xr:uid="{00000000-0005-0000-0000-0000B7630000}"/>
    <cellStyle name="s_Consolidated_Schedules (2)_1_{6} Clawback" xfId="25520" xr:uid="{00000000-0005-0000-0000-0000B8630000}"/>
    <cellStyle name="s_Consolidated_Schedules (2)_1_AIF IV Financial Highlights 12-31-08 v4" xfId="25521" xr:uid="{00000000-0005-0000-0000-0000B9630000}"/>
    <cellStyle name="s_Consolidated_Schedules (2)_1_AIF IV Financial Highlights 12-31-08 v4_Apollo Investment Fund IV  Q3 2009 Capital Analysis CURRENT" xfId="25522" xr:uid="{00000000-0005-0000-0000-0000BA630000}"/>
    <cellStyle name="s_Consolidated_Schedules (2)_1_AIF IV Financial Highlights 12-31-08 v4_Apollo Investment Fund IV  Q3 2009 Capital Analysis iPCS &amp; URI Distribution" xfId="25523" xr:uid="{00000000-0005-0000-0000-0000BB630000}"/>
    <cellStyle name="s_Consolidated_Schedules (2)_1_AIF IV Financial Highlights 12-31-08 v4_iPCs#1-Remaining" xfId="25524" xr:uid="{00000000-0005-0000-0000-0000BC630000}"/>
    <cellStyle name="s_Consolidated_Schedules (2)_1_AIF VI - BondcoVI_Entities Invested Capital (CURRENT)" xfId="25525" xr:uid="{00000000-0005-0000-0000-0000BD630000}"/>
    <cellStyle name="s_Consolidated_Schedules (2)_1_AIF VI Broadleaf Watefall Summary as of 6-30-09 FINAL" xfId="25526" xr:uid="{00000000-0005-0000-0000-0000BE630000}"/>
    <cellStyle name="s_Consolidated_Schedules (2)_1_AIF VI Broadleaf Watefall Summary as of 9-30-09" xfId="25527" xr:uid="{00000000-0005-0000-0000-0000BF630000}"/>
    <cellStyle name="s_Consolidated_Schedules (2)_1_Andy Affrick - Schedulev2" xfId="25528" xr:uid="{00000000-0005-0000-0000-0000C0630000}"/>
    <cellStyle name="s_Consolidated_Schedules (2)_1_Apollo Advisors IV 12-31-08 GAAP TB Final" xfId="25529" xr:uid="{00000000-0005-0000-0000-0000C1630000}"/>
    <cellStyle name="s_Consolidated_Schedules (2)_1_Apollo Advisors IV 12-31-08 TB (Revised for Aggr PR)" xfId="25530" xr:uid="{00000000-0005-0000-0000-0000C2630000}"/>
    <cellStyle name="s_Consolidated_Schedules (2)_1_Apollo Advisors IV 6-30-09 GAAP TB" xfId="25531" xr:uid="{00000000-0005-0000-0000-0000C3630000}"/>
    <cellStyle name="s_Consolidated_Schedules (2)_1_Apollo Investment Fund IV  April Priority Return" xfId="25532" xr:uid="{00000000-0005-0000-0000-0000C4630000}"/>
    <cellStyle name="s_Consolidated_Schedules (2)_1_Apollo Investment Fund IV  Q1 2009 Capital Analysis 5-22-09 with GAAP" xfId="25533" xr:uid="{00000000-0005-0000-0000-0000C5630000}"/>
    <cellStyle name="s_Consolidated_Schedules (2)_1_Apollo Investment Fund IV  Q1 2009 Capital Analysis GAAP" xfId="25534" xr:uid="{00000000-0005-0000-0000-0000C6630000}"/>
    <cellStyle name="s_Consolidated_Schedules (2)_1_Apollo Investment Fund IV  Q2 2009 Capital Analysis CURRENT" xfId="25535" xr:uid="{00000000-0005-0000-0000-0000C7630000}"/>
    <cellStyle name="s_Consolidated_Schedules (2)_1_Apollo Investment Fund IV  Q3 2009 Capital Analysis CURRENT" xfId="25536" xr:uid="{00000000-0005-0000-0000-0000C8630000}"/>
    <cellStyle name="s_Consolidated_Schedules (2)_1_Apollo Investment Fund IV  Q3 2009 Capital Analysis iPCS &amp; URI Distribution" xfId="25537" xr:uid="{00000000-0005-0000-0000-0000C9630000}"/>
    <cellStyle name="s_Consolidated_Schedules (2)_1_Apollo Investment Fund IV Priority Return 6-30-09" xfId="25538" xr:uid="{00000000-0005-0000-0000-0000CA630000}"/>
    <cellStyle name="s_Consolidated_Schedules (2)_1_Apollo Investment Fund IV Q1 2009 Capital Analysis PR CORRECTED 6-30-09" xfId="25539" xr:uid="{00000000-0005-0000-0000-0000CB630000}"/>
    <cellStyle name="s_Consolidated_Schedules (2)_1_Broadleaf Watefall 12-31-09" xfId="25540" xr:uid="{00000000-0005-0000-0000-0000CC630000}"/>
    <cellStyle name="s_Consolidated_Schedules (2)_1_Broadleaf Watefall 6-30-09" xfId="25541" xr:uid="{00000000-0005-0000-0000-0000CD630000}"/>
    <cellStyle name="s_Consolidated_Schedules (2)_1_Broadleaf Watefall 9-30-09" xfId="25542" xr:uid="{00000000-0005-0000-0000-0000CE630000}"/>
    <cellStyle name="s_Consolidated_Schedules (2)_1_Carry Calculation" xfId="25543" xr:uid="{00000000-0005-0000-0000-0000CF630000}"/>
    <cellStyle name="s_Consolidated_Schedules (2)_1_Fund IV" xfId="25544" xr:uid="{00000000-0005-0000-0000-0000D0630000}"/>
    <cellStyle name="s_Consolidated_Schedules (2)_1_Fund IV 9.30.08" xfId="25545" xr:uid="{00000000-0005-0000-0000-0000D1630000}"/>
    <cellStyle name="s_Consolidated_Schedules (2)_1_Fund IV_1" xfId="25546" xr:uid="{00000000-0005-0000-0000-0000D2630000}"/>
    <cellStyle name="s_Consolidated_Schedules (2)_1_Funds IV Clawback Adjustment Summary" xfId="25547" xr:uid="{00000000-0005-0000-0000-0000D3630000}"/>
    <cellStyle name="s_Consolidated_Schedules (2)_1_Funds IV Clawback Value Adjustment" xfId="25548" xr:uid="{00000000-0005-0000-0000-0000D4630000}"/>
    <cellStyle name="s_Consolidated_Schedules (2)_1_IC Balance" xfId="25549" xr:uid="{00000000-0005-0000-0000-0000D5630000}"/>
    <cellStyle name="s_Consolidated_Schedules (2)_1_Invested Capital Debt Worksheet" xfId="25550" xr:uid="{00000000-0005-0000-0000-0000D6630000}"/>
    <cellStyle name="s_Consolidated_Schedules (2)_1_Invested Capital Debt Worksheet_1" xfId="25551" xr:uid="{00000000-0005-0000-0000-0000D7630000}"/>
    <cellStyle name="s_Consolidated_Schedules (2)_1_iPCs#1-Remaining" xfId="25552" xr:uid="{00000000-0005-0000-0000-0000D8630000}"/>
    <cellStyle name="s_Consolidated_Schedules (2)_1_MMF Income" xfId="25553" xr:uid="{00000000-0005-0000-0000-0000D9630000}"/>
    <cellStyle name="s_Consolidated_Schedules (2)_1_Partners Capital Q1 2009" xfId="25554" xr:uid="{00000000-0005-0000-0000-0000DA630000}"/>
    <cellStyle name="s_Consolidated_Schedules (2)_1_Placement Fee Summary 05-14-09 - Current (2)" xfId="25555" xr:uid="{00000000-0005-0000-0000-0000DB630000}"/>
    <cellStyle name="s_Consolidated_Schedules (2)_1_PR Calc" xfId="25556" xr:uid="{00000000-0005-0000-0000-0000DC630000}"/>
    <cellStyle name="s_Consolidated_Schedules (2)_1_PR Calc - DOMESTIC" xfId="25557" xr:uid="{00000000-0005-0000-0000-0000DD630000}"/>
    <cellStyle name="s_Consolidated_Schedules (2)_1_RCIV Q3 2009 Capital Analysis CURRENT" xfId="25558" xr:uid="{00000000-0005-0000-0000-0000DE630000}"/>
    <cellStyle name="s_Consolidated_Schedules (2)_1_Sheet1" xfId="25559" xr:uid="{00000000-0005-0000-0000-0000DF630000}"/>
    <cellStyle name="s_Consolidated_Schedules (2)_2" xfId="25560" xr:uid="{00000000-0005-0000-0000-0000E0630000}"/>
    <cellStyle name="s_Consolidated_Schedules (2)_2 10" xfId="25561" xr:uid="{00000000-0005-0000-0000-0000E1630000}"/>
    <cellStyle name="s_Consolidated_Schedules (2)_2 11" xfId="25562" xr:uid="{00000000-0005-0000-0000-0000E2630000}"/>
    <cellStyle name="s_Consolidated_Schedules (2)_2 12" xfId="25563" xr:uid="{00000000-0005-0000-0000-0000E3630000}"/>
    <cellStyle name="s_Consolidated_Schedules (2)_2 13" xfId="25564" xr:uid="{00000000-0005-0000-0000-0000E4630000}"/>
    <cellStyle name="s_Consolidated_Schedules (2)_2 14" xfId="25565" xr:uid="{00000000-0005-0000-0000-0000E5630000}"/>
    <cellStyle name="s_Consolidated_Schedules (2)_2 15" xfId="25566" xr:uid="{00000000-0005-0000-0000-0000E6630000}"/>
    <cellStyle name="s_Consolidated_Schedules (2)_2 16" xfId="25567" xr:uid="{00000000-0005-0000-0000-0000E7630000}"/>
    <cellStyle name="s_Consolidated_Schedules (2)_2 17" xfId="25568" xr:uid="{00000000-0005-0000-0000-0000E8630000}"/>
    <cellStyle name="s_Consolidated_Schedules (2)_2 18" xfId="25569" xr:uid="{00000000-0005-0000-0000-0000E9630000}"/>
    <cellStyle name="s_Consolidated_Schedules (2)_2 19" xfId="25570" xr:uid="{00000000-0005-0000-0000-0000EA630000}"/>
    <cellStyle name="s_Consolidated_Schedules (2)_2 2" xfId="25571" xr:uid="{00000000-0005-0000-0000-0000EB630000}"/>
    <cellStyle name="s_Consolidated_Schedules (2)_2 2 2" xfId="25572" xr:uid="{00000000-0005-0000-0000-0000EC630000}"/>
    <cellStyle name="s_Consolidated_Schedules (2)_2 20" xfId="25573" xr:uid="{00000000-0005-0000-0000-0000ED630000}"/>
    <cellStyle name="s_Consolidated_Schedules (2)_2 21" xfId="25574" xr:uid="{00000000-0005-0000-0000-0000EE630000}"/>
    <cellStyle name="s_Consolidated_Schedules (2)_2 22" xfId="25575" xr:uid="{00000000-0005-0000-0000-0000EF630000}"/>
    <cellStyle name="s_Consolidated_Schedules (2)_2 23" xfId="25576" xr:uid="{00000000-0005-0000-0000-0000F0630000}"/>
    <cellStyle name="s_Consolidated_Schedules (2)_2 23 2" xfId="25577" xr:uid="{00000000-0005-0000-0000-0000F1630000}"/>
    <cellStyle name="s_Consolidated_Schedules (2)_2 3" xfId="25578" xr:uid="{00000000-0005-0000-0000-0000F2630000}"/>
    <cellStyle name="s_Consolidated_Schedules (2)_2 3 2" xfId="25579" xr:uid="{00000000-0005-0000-0000-0000F3630000}"/>
    <cellStyle name="s_Consolidated_Schedules (2)_2 4" xfId="25580" xr:uid="{00000000-0005-0000-0000-0000F4630000}"/>
    <cellStyle name="s_Consolidated_Schedules (2)_2 5" xfId="25581" xr:uid="{00000000-0005-0000-0000-0000F5630000}"/>
    <cellStyle name="s_Consolidated_Schedules (2)_2 6" xfId="25582" xr:uid="{00000000-0005-0000-0000-0000F6630000}"/>
    <cellStyle name="s_Consolidated_Schedules (2)_2 7" xfId="25583" xr:uid="{00000000-0005-0000-0000-0000F7630000}"/>
    <cellStyle name="s_Consolidated_Schedules (2)_2 8" xfId="25584" xr:uid="{00000000-0005-0000-0000-0000F8630000}"/>
    <cellStyle name="s_Consolidated_Schedules (2)_2 9" xfId="25585" xr:uid="{00000000-0005-0000-0000-0000F9630000}"/>
    <cellStyle name="s_Consolidated_Schedules (2)_2_{6} Carry" xfId="25586" xr:uid="{00000000-0005-0000-0000-0000FA630000}"/>
    <cellStyle name="s_Consolidated_Schedules (2)_2_{6} Clawback" xfId="25587" xr:uid="{00000000-0005-0000-0000-0000FB630000}"/>
    <cellStyle name="s_Consolidated_Schedules (2)_2_AIF IV Financial Highlights 12-31-08 v4" xfId="25588" xr:uid="{00000000-0005-0000-0000-0000FC630000}"/>
    <cellStyle name="s_Consolidated_Schedules (2)_2_AIF IV Financial Highlights 12-31-08 v4_Apollo Investment Fund IV  Q3 2009 Capital Analysis CURRENT" xfId="25589" xr:uid="{00000000-0005-0000-0000-0000FD630000}"/>
    <cellStyle name="s_Consolidated_Schedules (2)_2_AIF IV Financial Highlights 12-31-08 v4_Apollo Investment Fund IV  Q3 2009 Capital Analysis iPCS &amp; URI Distribution" xfId="25590" xr:uid="{00000000-0005-0000-0000-0000FE630000}"/>
    <cellStyle name="s_Consolidated_Schedules (2)_2_AIF IV Financial Highlights 12-31-08 v4_iPCs#1-Remaining" xfId="25591" xr:uid="{00000000-0005-0000-0000-0000FF630000}"/>
    <cellStyle name="s_Consolidated_Schedules (2)_2_AIF VI - BondcoVI_Entities Invested Capital (CURRENT)" xfId="25592" xr:uid="{00000000-0005-0000-0000-000000640000}"/>
    <cellStyle name="s_Consolidated_Schedules (2)_2_AIF VI Broadleaf Watefall Summary as of 6-30-09 FINAL" xfId="25593" xr:uid="{00000000-0005-0000-0000-000001640000}"/>
    <cellStyle name="s_Consolidated_Schedules (2)_2_AIF VI Broadleaf Watefall Summary as of 9-30-09" xfId="25594" xr:uid="{00000000-0005-0000-0000-000002640000}"/>
    <cellStyle name="s_Consolidated_Schedules (2)_2_Andy Affrick - Schedulev2" xfId="25595" xr:uid="{00000000-0005-0000-0000-000003640000}"/>
    <cellStyle name="s_Consolidated_Schedules (2)_2_Apollo Advisors IV 12-31-08 GAAP TB Final" xfId="25596" xr:uid="{00000000-0005-0000-0000-000004640000}"/>
    <cellStyle name="s_Consolidated_Schedules (2)_2_Apollo Advisors IV 12-31-08 TB (Revised for Aggr PR)" xfId="25597" xr:uid="{00000000-0005-0000-0000-000005640000}"/>
    <cellStyle name="s_Consolidated_Schedules (2)_2_Apollo Advisors IV 6-30-09 GAAP TB" xfId="25598" xr:uid="{00000000-0005-0000-0000-000006640000}"/>
    <cellStyle name="s_Consolidated_Schedules (2)_2_Apollo Investment Fund IV  April Priority Return" xfId="25599" xr:uid="{00000000-0005-0000-0000-000007640000}"/>
    <cellStyle name="s_Consolidated_Schedules (2)_2_Apollo Investment Fund IV  Q1 2009 Capital Analysis 5-22-09 with GAAP" xfId="25600" xr:uid="{00000000-0005-0000-0000-000008640000}"/>
    <cellStyle name="s_Consolidated_Schedules (2)_2_Apollo Investment Fund IV  Q1 2009 Capital Analysis GAAP" xfId="25601" xr:uid="{00000000-0005-0000-0000-000009640000}"/>
    <cellStyle name="s_Consolidated_Schedules (2)_2_Apollo Investment Fund IV  Q2 2009 Capital Analysis CURRENT" xfId="25602" xr:uid="{00000000-0005-0000-0000-00000A640000}"/>
    <cellStyle name="s_Consolidated_Schedules (2)_2_Apollo Investment Fund IV  Q3 2009 Capital Analysis CURRENT" xfId="25603" xr:uid="{00000000-0005-0000-0000-00000B640000}"/>
    <cellStyle name="s_Consolidated_Schedules (2)_2_Apollo Investment Fund IV  Q3 2009 Capital Analysis iPCS &amp; URI Distribution" xfId="25604" xr:uid="{00000000-0005-0000-0000-00000C640000}"/>
    <cellStyle name="s_Consolidated_Schedules (2)_2_Apollo Investment Fund IV Priority Return 6-30-09" xfId="25605" xr:uid="{00000000-0005-0000-0000-00000D640000}"/>
    <cellStyle name="s_Consolidated_Schedules (2)_2_Apollo Investment Fund IV Q1 2009 Capital Analysis PR CORRECTED 6-30-09" xfId="25606" xr:uid="{00000000-0005-0000-0000-00000E640000}"/>
    <cellStyle name="s_Consolidated_Schedules (2)_2_Broadleaf Watefall 12-31-09" xfId="25607" xr:uid="{00000000-0005-0000-0000-00000F640000}"/>
    <cellStyle name="s_Consolidated_Schedules (2)_2_Broadleaf Watefall 6-30-09" xfId="25608" xr:uid="{00000000-0005-0000-0000-000010640000}"/>
    <cellStyle name="s_Consolidated_Schedules (2)_2_Broadleaf Watefall 9-30-09" xfId="25609" xr:uid="{00000000-0005-0000-0000-000011640000}"/>
    <cellStyle name="s_Consolidated_Schedules (2)_2_Carry Calculation" xfId="25610" xr:uid="{00000000-0005-0000-0000-000012640000}"/>
    <cellStyle name="s_Consolidated_Schedules (2)_2_Fund IV" xfId="25611" xr:uid="{00000000-0005-0000-0000-000013640000}"/>
    <cellStyle name="s_Consolidated_Schedules (2)_2_Fund IV 9.30.08" xfId="25612" xr:uid="{00000000-0005-0000-0000-000014640000}"/>
    <cellStyle name="s_Consolidated_Schedules (2)_2_Fund IV_1" xfId="25613" xr:uid="{00000000-0005-0000-0000-000015640000}"/>
    <cellStyle name="s_Consolidated_Schedules (2)_2_Funds IV Clawback Adjustment Summary" xfId="25614" xr:uid="{00000000-0005-0000-0000-000016640000}"/>
    <cellStyle name="s_Consolidated_Schedules (2)_2_Funds IV Clawback Value Adjustment" xfId="25615" xr:uid="{00000000-0005-0000-0000-000017640000}"/>
    <cellStyle name="s_Consolidated_Schedules (2)_2_IC Balance" xfId="25616" xr:uid="{00000000-0005-0000-0000-000018640000}"/>
    <cellStyle name="s_Consolidated_Schedules (2)_2_Invested Capital Debt Worksheet" xfId="25617" xr:uid="{00000000-0005-0000-0000-000019640000}"/>
    <cellStyle name="s_Consolidated_Schedules (2)_2_Invested Capital Debt Worksheet_1" xfId="25618" xr:uid="{00000000-0005-0000-0000-00001A640000}"/>
    <cellStyle name="s_Consolidated_Schedules (2)_2_iPCs#1-Remaining" xfId="25619" xr:uid="{00000000-0005-0000-0000-00001B640000}"/>
    <cellStyle name="s_Consolidated_Schedules (2)_2_MMF Income" xfId="25620" xr:uid="{00000000-0005-0000-0000-00001C640000}"/>
    <cellStyle name="s_Consolidated_Schedules (2)_2_Partners Capital Q1 2009" xfId="25621" xr:uid="{00000000-0005-0000-0000-00001D640000}"/>
    <cellStyle name="s_Consolidated_Schedules (2)_2_Placement Fee Summary 05-14-09 - Current (2)" xfId="25622" xr:uid="{00000000-0005-0000-0000-00001E640000}"/>
    <cellStyle name="s_Consolidated_Schedules (2)_2_PR Calc" xfId="25623" xr:uid="{00000000-0005-0000-0000-00001F640000}"/>
    <cellStyle name="s_Consolidated_Schedules (2)_2_PR Calc - DOMESTIC" xfId="25624" xr:uid="{00000000-0005-0000-0000-000020640000}"/>
    <cellStyle name="s_Consolidated_Schedules (2)_2_RCIV Q3 2009 Capital Analysis CURRENT" xfId="25625" xr:uid="{00000000-0005-0000-0000-000021640000}"/>
    <cellStyle name="s_Consolidated_Schedules (2)_2_Sheet1" xfId="25626" xr:uid="{00000000-0005-0000-0000-000022640000}"/>
    <cellStyle name="s_Consolidated_Schedules (2)_AIF IV Financial Highlights 12-31-08 v4" xfId="25627" xr:uid="{00000000-0005-0000-0000-000023640000}"/>
    <cellStyle name="s_Consolidated_Schedules (2)_AIF IV Financial Highlights 12-31-08 v4_Apollo Investment Fund IV  Q3 2009 Capital Analysis CURRENT" xfId="25628" xr:uid="{00000000-0005-0000-0000-000024640000}"/>
    <cellStyle name="s_Consolidated_Schedules (2)_AIF IV Financial Highlights 12-31-08 v4_Apollo Investment Fund IV  Q3 2009 Capital Analysis iPCS &amp; URI Distribution" xfId="25629" xr:uid="{00000000-0005-0000-0000-000025640000}"/>
    <cellStyle name="s_Consolidated_Schedules (2)_AIF IV Financial Highlights 12-31-08 v4_iPCs#1-Remaining" xfId="25630" xr:uid="{00000000-0005-0000-0000-000026640000}"/>
    <cellStyle name="s_Consolidated_Schedules (2)_AIF VI - BondcoVI_Entities Invested Capital (CURRENT)" xfId="25631" xr:uid="{00000000-0005-0000-0000-000027640000}"/>
    <cellStyle name="s_Consolidated_Schedules (2)_AIF VI Broadleaf Watefall Summary as of 6-30-09 FINAL" xfId="25632" xr:uid="{00000000-0005-0000-0000-000028640000}"/>
    <cellStyle name="s_Consolidated_Schedules (2)_AIF VI Broadleaf Watefall Summary as of 9-30-09" xfId="25633" xr:uid="{00000000-0005-0000-0000-000029640000}"/>
    <cellStyle name="s_Consolidated_Schedules (2)_Andy Affrick - Schedulev2" xfId="25634" xr:uid="{00000000-0005-0000-0000-00002A640000}"/>
    <cellStyle name="s_Consolidated_Schedules (2)_Apollo Investment Fund IV  April Priority Return" xfId="25635" xr:uid="{00000000-0005-0000-0000-00002B640000}"/>
    <cellStyle name="s_Consolidated_Schedules (2)_Apollo Investment Fund IV  Q1 2009 Capital Analysis 5-22-09 with GAAP" xfId="25636" xr:uid="{00000000-0005-0000-0000-00002C640000}"/>
    <cellStyle name="s_Consolidated_Schedules (2)_Apollo Investment Fund IV  Q1 2009 Capital Analysis GAAP" xfId="25637" xr:uid="{00000000-0005-0000-0000-00002D640000}"/>
    <cellStyle name="s_Consolidated_Schedules (2)_Apollo Investment Fund IV  Q2 2009 Capital Analysis CURRENT" xfId="25638" xr:uid="{00000000-0005-0000-0000-00002E640000}"/>
    <cellStyle name="s_Consolidated_Schedules (2)_Apollo Investment Fund IV  Q3 2009 Capital Analysis CURRENT" xfId="25639" xr:uid="{00000000-0005-0000-0000-00002F640000}"/>
    <cellStyle name="s_Consolidated_Schedules (2)_Apollo Investment Fund IV  Q3 2009 Capital Analysis iPCS &amp; URI Distribution" xfId="25640" xr:uid="{00000000-0005-0000-0000-000030640000}"/>
    <cellStyle name="s_Consolidated_Schedules (2)_Apollo Investment Fund IV Priority Return 6-30-09" xfId="25641" xr:uid="{00000000-0005-0000-0000-000031640000}"/>
    <cellStyle name="s_Consolidated_Schedules (2)_Apollo Investment Fund IV Q1 2009 Capital Analysis PR CORRECTED 6-30-09" xfId="25642" xr:uid="{00000000-0005-0000-0000-000032640000}"/>
    <cellStyle name="s_Consolidated_Schedules (2)_Broadleaf Watefall 12-31-09" xfId="25643" xr:uid="{00000000-0005-0000-0000-000033640000}"/>
    <cellStyle name="s_Consolidated_Schedules (2)_Broadleaf Watefall 6-30-09" xfId="25644" xr:uid="{00000000-0005-0000-0000-000034640000}"/>
    <cellStyle name="s_Consolidated_Schedules (2)_Broadleaf Watefall 9-30-09" xfId="25645" xr:uid="{00000000-0005-0000-0000-000035640000}"/>
    <cellStyle name="s_Consolidated_Schedules (2)_Carry Calculation" xfId="25646" xr:uid="{00000000-0005-0000-0000-000036640000}"/>
    <cellStyle name="s_Consolidated_Schedules (2)_Fund IV" xfId="25647" xr:uid="{00000000-0005-0000-0000-000037640000}"/>
    <cellStyle name="s_Consolidated_Schedules (2)_Fund IV 9.30.08" xfId="25648" xr:uid="{00000000-0005-0000-0000-000038640000}"/>
    <cellStyle name="s_Consolidated_Schedules (2)_Fund IV_1" xfId="25649" xr:uid="{00000000-0005-0000-0000-000039640000}"/>
    <cellStyle name="s_Consolidated_Schedules (2)_Funds IV Clawback Adjustment Summary" xfId="25650" xr:uid="{00000000-0005-0000-0000-00003A640000}"/>
    <cellStyle name="s_Consolidated_Schedules (2)_Funds IV Clawback Value Adjustment" xfId="25651" xr:uid="{00000000-0005-0000-0000-00003B640000}"/>
    <cellStyle name="s_Consolidated_Schedules (2)_IC Balance" xfId="25652" xr:uid="{00000000-0005-0000-0000-00003C640000}"/>
    <cellStyle name="s_Consolidated_Schedules (2)_Invested Capital Debt Worksheet" xfId="25653" xr:uid="{00000000-0005-0000-0000-00003D640000}"/>
    <cellStyle name="s_Consolidated_Schedules (2)_iPCs#1-Remaining" xfId="25654" xr:uid="{00000000-0005-0000-0000-00003E640000}"/>
    <cellStyle name="s_Consolidated_Schedules (2)_MMF Income" xfId="25655" xr:uid="{00000000-0005-0000-0000-00003F640000}"/>
    <cellStyle name="s_Consolidated_Schedules (2)_Partners Capital Q1 2009" xfId="25656" xr:uid="{00000000-0005-0000-0000-000040640000}"/>
    <cellStyle name="s_Consolidated_Schedules (2)_Placement Fee Summary 05-14-09 - Current (2)" xfId="25657" xr:uid="{00000000-0005-0000-0000-000041640000}"/>
    <cellStyle name="s_Consolidated_Schedules (2)_PR Calc" xfId="25658" xr:uid="{00000000-0005-0000-0000-000042640000}"/>
    <cellStyle name="s_Consolidated_Schedules (2)_PR Calc - DOMESTIC" xfId="25659" xr:uid="{00000000-0005-0000-0000-000043640000}"/>
    <cellStyle name="s_Consolidated_Schedules (2)_RCIV Q3 2009 Capital Analysis CURRENT" xfId="25660" xr:uid="{00000000-0005-0000-0000-000044640000}"/>
    <cellStyle name="s_Consolidated_Schedules 10" xfId="25661" xr:uid="{00000000-0005-0000-0000-000045640000}"/>
    <cellStyle name="s_Consolidated_Schedules 11" xfId="25662" xr:uid="{00000000-0005-0000-0000-000046640000}"/>
    <cellStyle name="s_Consolidated_Schedules 12" xfId="25663" xr:uid="{00000000-0005-0000-0000-000047640000}"/>
    <cellStyle name="s_Consolidated_Schedules 13" xfId="25664" xr:uid="{00000000-0005-0000-0000-000048640000}"/>
    <cellStyle name="s_Consolidated_Schedules 14" xfId="25665" xr:uid="{00000000-0005-0000-0000-000049640000}"/>
    <cellStyle name="s_Consolidated_Schedules 15" xfId="25666" xr:uid="{00000000-0005-0000-0000-00004A640000}"/>
    <cellStyle name="s_Consolidated_Schedules 16" xfId="25667" xr:uid="{00000000-0005-0000-0000-00004B640000}"/>
    <cellStyle name="s_Consolidated_Schedules 17" xfId="25668" xr:uid="{00000000-0005-0000-0000-00004C640000}"/>
    <cellStyle name="s_Consolidated_Schedules 18" xfId="25669" xr:uid="{00000000-0005-0000-0000-00004D640000}"/>
    <cellStyle name="s_Consolidated_Schedules 19" xfId="25670" xr:uid="{00000000-0005-0000-0000-00004E640000}"/>
    <cellStyle name="s_Consolidated_Schedules 2" xfId="25671" xr:uid="{00000000-0005-0000-0000-00004F640000}"/>
    <cellStyle name="s_Consolidated_Schedules 2 2" xfId="25672" xr:uid="{00000000-0005-0000-0000-000050640000}"/>
    <cellStyle name="s_Consolidated_Schedules 20" xfId="25673" xr:uid="{00000000-0005-0000-0000-000051640000}"/>
    <cellStyle name="s_Consolidated_Schedules 21" xfId="25674" xr:uid="{00000000-0005-0000-0000-000052640000}"/>
    <cellStyle name="s_Consolidated_Schedules 22" xfId="25675" xr:uid="{00000000-0005-0000-0000-000053640000}"/>
    <cellStyle name="s_Consolidated_Schedules 23" xfId="25676" xr:uid="{00000000-0005-0000-0000-000054640000}"/>
    <cellStyle name="s_Consolidated_Schedules 23 2" xfId="25677" xr:uid="{00000000-0005-0000-0000-000055640000}"/>
    <cellStyle name="s_Consolidated_Schedules 3" xfId="25678" xr:uid="{00000000-0005-0000-0000-000056640000}"/>
    <cellStyle name="s_Consolidated_Schedules 3 2" xfId="25679" xr:uid="{00000000-0005-0000-0000-000057640000}"/>
    <cellStyle name="s_Consolidated_Schedules 4" xfId="25680" xr:uid="{00000000-0005-0000-0000-000058640000}"/>
    <cellStyle name="s_Consolidated_Schedules 5" xfId="25681" xr:uid="{00000000-0005-0000-0000-000059640000}"/>
    <cellStyle name="s_Consolidated_Schedules 6" xfId="25682" xr:uid="{00000000-0005-0000-0000-00005A640000}"/>
    <cellStyle name="s_Consolidated_Schedules 7" xfId="25683" xr:uid="{00000000-0005-0000-0000-00005B640000}"/>
    <cellStyle name="s_Consolidated_Schedules 8" xfId="25684" xr:uid="{00000000-0005-0000-0000-00005C640000}"/>
    <cellStyle name="s_Consolidated_Schedules 9" xfId="25685" xr:uid="{00000000-0005-0000-0000-00005D640000}"/>
    <cellStyle name="s_Consolidated_Schedules_{6} Carry" xfId="25686" xr:uid="{00000000-0005-0000-0000-00005E640000}"/>
    <cellStyle name="s_Consolidated_Schedules_{6} Clawback" xfId="25687" xr:uid="{00000000-0005-0000-0000-00005F640000}"/>
    <cellStyle name="s_Consolidated_Schedules_1" xfId="25688" xr:uid="{00000000-0005-0000-0000-000060640000}"/>
    <cellStyle name="s_Consolidated_Schedules_1 10" xfId="25689" xr:uid="{00000000-0005-0000-0000-000061640000}"/>
    <cellStyle name="s_Consolidated_Schedules_1 11" xfId="25690" xr:uid="{00000000-0005-0000-0000-000062640000}"/>
    <cellStyle name="s_Consolidated_Schedules_1 12" xfId="25691" xr:uid="{00000000-0005-0000-0000-000063640000}"/>
    <cellStyle name="s_Consolidated_Schedules_1 13" xfId="25692" xr:uid="{00000000-0005-0000-0000-000064640000}"/>
    <cellStyle name="s_Consolidated_Schedules_1 14" xfId="25693" xr:uid="{00000000-0005-0000-0000-000065640000}"/>
    <cellStyle name="s_Consolidated_Schedules_1 15" xfId="25694" xr:uid="{00000000-0005-0000-0000-000066640000}"/>
    <cellStyle name="s_Consolidated_Schedules_1 16" xfId="25695" xr:uid="{00000000-0005-0000-0000-000067640000}"/>
    <cellStyle name="s_Consolidated_Schedules_1 17" xfId="25696" xr:uid="{00000000-0005-0000-0000-000068640000}"/>
    <cellStyle name="s_Consolidated_Schedules_1 18" xfId="25697" xr:uid="{00000000-0005-0000-0000-000069640000}"/>
    <cellStyle name="s_Consolidated_Schedules_1 19" xfId="25698" xr:uid="{00000000-0005-0000-0000-00006A640000}"/>
    <cellStyle name="s_Consolidated_Schedules_1 2" xfId="25699" xr:uid="{00000000-0005-0000-0000-00006B640000}"/>
    <cellStyle name="s_Consolidated_Schedules_1 2 2" xfId="25700" xr:uid="{00000000-0005-0000-0000-00006C640000}"/>
    <cellStyle name="s_Consolidated_Schedules_1 20" xfId="25701" xr:uid="{00000000-0005-0000-0000-00006D640000}"/>
    <cellStyle name="s_Consolidated_Schedules_1 21" xfId="25702" xr:uid="{00000000-0005-0000-0000-00006E640000}"/>
    <cellStyle name="s_Consolidated_Schedules_1 22" xfId="25703" xr:uid="{00000000-0005-0000-0000-00006F640000}"/>
    <cellStyle name="s_Consolidated_Schedules_1 23" xfId="25704" xr:uid="{00000000-0005-0000-0000-000070640000}"/>
    <cellStyle name="s_Consolidated_Schedules_1 23 2" xfId="25705" xr:uid="{00000000-0005-0000-0000-000071640000}"/>
    <cellStyle name="s_Consolidated_Schedules_1 3" xfId="25706" xr:uid="{00000000-0005-0000-0000-000072640000}"/>
    <cellStyle name="s_Consolidated_Schedules_1 3 2" xfId="25707" xr:uid="{00000000-0005-0000-0000-000073640000}"/>
    <cellStyle name="s_Consolidated_Schedules_1 4" xfId="25708" xr:uid="{00000000-0005-0000-0000-000074640000}"/>
    <cellStyle name="s_Consolidated_Schedules_1 5" xfId="25709" xr:uid="{00000000-0005-0000-0000-000075640000}"/>
    <cellStyle name="s_Consolidated_Schedules_1 6" xfId="25710" xr:uid="{00000000-0005-0000-0000-000076640000}"/>
    <cellStyle name="s_Consolidated_Schedules_1 7" xfId="25711" xr:uid="{00000000-0005-0000-0000-000077640000}"/>
    <cellStyle name="s_Consolidated_Schedules_1 8" xfId="25712" xr:uid="{00000000-0005-0000-0000-000078640000}"/>
    <cellStyle name="s_Consolidated_Schedules_1 9" xfId="25713" xr:uid="{00000000-0005-0000-0000-000079640000}"/>
    <cellStyle name="s_Consolidated_Schedules_1_{6} Carry" xfId="25714" xr:uid="{00000000-0005-0000-0000-00007A640000}"/>
    <cellStyle name="s_Consolidated_Schedules_1_{6} Clawback" xfId="25715" xr:uid="{00000000-0005-0000-0000-00007B640000}"/>
    <cellStyle name="s_Consolidated_Schedules_1_AIF IV Financial Highlights 12-31-08 v4" xfId="25716" xr:uid="{00000000-0005-0000-0000-00007C640000}"/>
    <cellStyle name="s_Consolidated_Schedules_1_AIF IV Financial Highlights 12-31-08 v4_Apollo Investment Fund IV  Q3 2009 Capital Analysis CURRENT" xfId="25717" xr:uid="{00000000-0005-0000-0000-00007D640000}"/>
    <cellStyle name="s_Consolidated_Schedules_1_AIF IV Financial Highlights 12-31-08 v4_Apollo Investment Fund IV  Q3 2009 Capital Analysis iPCS &amp; URI Distribution" xfId="25718" xr:uid="{00000000-0005-0000-0000-00007E640000}"/>
    <cellStyle name="s_Consolidated_Schedules_1_AIF IV Financial Highlights 12-31-08 v4_iPCs#1-Remaining" xfId="25719" xr:uid="{00000000-0005-0000-0000-00007F640000}"/>
    <cellStyle name="s_Consolidated_Schedules_1_AIF VI - BondcoVI_Entities Invested Capital (CURRENT)" xfId="25720" xr:uid="{00000000-0005-0000-0000-000080640000}"/>
    <cellStyle name="s_Consolidated_Schedules_1_AIF VI Broadleaf Watefall Summary as of 6-30-09 FINAL" xfId="25721" xr:uid="{00000000-0005-0000-0000-000081640000}"/>
    <cellStyle name="s_Consolidated_Schedules_1_AIF VI Broadleaf Watefall Summary as of 9-30-09" xfId="25722" xr:uid="{00000000-0005-0000-0000-000082640000}"/>
    <cellStyle name="s_Consolidated_Schedules_1_Andy Affrick - Schedulev2" xfId="25723" xr:uid="{00000000-0005-0000-0000-000083640000}"/>
    <cellStyle name="s_Consolidated_Schedules_1_Apollo Advisors IV 12-31-08 GAAP TB Final" xfId="25724" xr:uid="{00000000-0005-0000-0000-000084640000}"/>
    <cellStyle name="s_Consolidated_Schedules_1_Apollo Advisors IV 12-31-08 TB (Revised for Aggr PR)" xfId="25725" xr:uid="{00000000-0005-0000-0000-000085640000}"/>
    <cellStyle name="s_Consolidated_Schedules_1_Apollo Advisors IV 6-30-09 GAAP TB" xfId="25726" xr:uid="{00000000-0005-0000-0000-000086640000}"/>
    <cellStyle name="s_Consolidated_Schedules_1_Apollo Investment Fund IV  April Priority Return" xfId="25727" xr:uid="{00000000-0005-0000-0000-000087640000}"/>
    <cellStyle name="s_Consolidated_Schedules_1_Apollo Investment Fund IV  Q1 2009 Capital Analysis 5-22-09 with GAAP" xfId="25728" xr:uid="{00000000-0005-0000-0000-000088640000}"/>
    <cellStyle name="s_Consolidated_Schedules_1_Apollo Investment Fund IV  Q1 2009 Capital Analysis GAAP" xfId="25729" xr:uid="{00000000-0005-0000-0000-000089640000}"/>
    <cellStyle name="s_Consolidated_Schedules_1_Apollo Investment Fund IV  Q2 2009 Capital Analysis CURRENT" xfId="25730" xr:uid="{00000000-0005-0000-0000-00008A640000}"/>
    <cellStyle name="s_Consolidated_Schedules_1_Apollo Investment Fund IV  Q3 2009 Capital Analysis CURRENT" xfId="25731" xr:uid="{00000000-0005-0000-0000-00008B640000}"/>
    <cellStyle name="s_Consolidated_Schedules_1_Apollo Investment Fund IV  Q3 2009 Capital Analysis iPCS &amp; URI Distribution" xfId="25732" xr:uid="{00000000-0005-0000-0000-00008C640000}"/>
    <cellStyle name="s_Consolidated_Schedules_1_Apollo Investment Fund IV Priority Return 6-30-09" xfId="25733" xr:uid="{00000000-0005-0000-0000-00008D640000}"/>
    <cellStyle name="s_Consolidated_Schedules_1_Apollo Investment Fund IV Q1 2009 Capital Analysis PR CORRECTED 6-30-09" xfId="25734" xr:uid="{00000000-0005-0000-0000-00008E640000}"/>
    <cellStyle name="s_Consolidated_Schedules_1_Broadleaf Watefall 12-31-09" xfId="25735" xr:uid="{00000000-0005-0000-0000-00008F640000}"/>
    <cellStyle name="s_Consolidated_Schedules_1_Broadleaf Watefall 6-30-09" xfId="25736" xr:uid="{00000000-0005-0000-0000-000090640000}"/>
    <cellStyle name="s_Consolidated_Schedules_1_Broadleaf Watefall 9-30-09" xfId="25737" xr:uid="{00000000-0005-0000-0000-000091640000}"/>
    <cellStyle name="s_Consolidated_Schedules_1_Carry Calculation" xfId="25738" xr:uid="{00000000-0005-0000-0000-000092640000}"/>
    <cellStyle name="s_Consolidated_Schedules_1_Fund IV" xfId="25739" xr:uid="{00000000-0005-0000-0000-000093640000}"/>
    <cellStyle name="s_Consolidated_Schedules_1_Fund IV 9.30.08" xfId="25740" xr:uid="{00000000-0005-0000-0000-000094640000}"/>
    <cellStyle name="s_Consolidated_Schedules_1_Fund IV_1" xfId="25741" xr:uid="{00000000-0005-0000-0000-000095640000}"/>
    <cellStyle name="s_Consolidated_Schedules_1_Funds IV Clawback Adjustment Summary" xfId="25742" xr:uid="{00000000-0005-0000-0000-000096640000}"/>
    <cellStyle name="s_Consolidated_Schedules_1_Funds IV Clawback Value Adjustment" xfId="25743" xr:uid="{00000000-0005-0000-0000-000097640000}"/>
    <cellStyle name="s_Consolidated_Schedules_1_IC Balance" xfId="25744" xr:uid="{00000000-0005-0000-0000-000098640000}"/>
    <cellStyle name="s_Consolidated_Schedules_1_Invested Capital Debt Worksheet" xfId="25745" xr:uid="{00000000-0005-0000-0000-000099640000}"/>
    <cellStyle name="s_Consolidated_Schedules_1_Invested Capital Debt Worksheet_1" xfId="25746" xr:uid="{00000000-0005-0000-0000-00009A640000}"/>
    <cellStyle name="s_Consolidated_Schedules_1_iPCs#1-Remaining" xfId="25747" xr:uid="{00000000-0005-0000-0000-00009B640000}"/>
    <cellStyle name="s_Consolidated_Schedules_1_MMF Income" xfId="25748" xr:uid="{00000000-0005-0000-0000-00009C640000}"/>
    <cellStyle name="s_Consolidated_Schedules_1_Partners Capital Q1 2009" xfId="25749" xr:uid="{00000000-0005-0000-0000-00009D640000}"/>
    <cellStyle name="s_Consolidated_Schedules_1_Placement Fee Summary 05-14-09 - Current (2)" xfId="25750" xr:uid="{00000000-0005-0000-0000-00009E640000}"/>
    <cellStyle name="s_Consolidated_Schedules_1_PR Calc" xfId="25751" xr:uid="{00000000-0005-0000-0000-00009F640000}"/>
    <cellStyle name="s_Consolidated_Schedules_1_PR Calc - DOMESTIC" xfId="25752" xr:uid="{00000000-0005-0000-0000-0000A0640000}"/>
    <cellStyle name="s_Consolidated_Schedules_1_RCIV Q3 2009 Capital Analysis CURRENT" xfId="25753" xr:uid="{00000000-0005-0000-0000-0000A1640000}"/>
    <cellStyle name="s_Consolidated_Schedules_1_Sheet1" xfId="25754" xr:uid="{00000000-0005-0000-0000-0000A2640000}"/>
    <cellStyle name="s_Consolidated_Schedules_2" xfId="25755" xr:uid="{00000000-0005-0000-0000-0000A3640000}"/>
    <cellStyle name="s_Consolidated_Schedules_2 10" xfId="25756" xr:uid="{00000000-0005-0000-0000-0000A4640000}"/>
    <cellStyle name="s_Consolidated_Schedules_2 11" xfId="25757" xr:uid="{00000000-0005-0000-0000-0000A5640000}"/>
    <cellStyle name="s_Consolidated_Schedules_2 12" xfId="25758" xr:uid="{00000000-0005-0000-0000-0000A6640000}"/>
    <cellStyle name="s_Consolidated_Schedules_2 13" xfId="25759" xr:uid="{00000000-0005-0000-0000-0000A7640000}"/>
    <cellStyle name="s_Consolidated_Schedules_2 14" xfId="25760" xr:uid="{00000000-0005-0000-0000-0000A8640000}"/>
    <cellStyle name="s_Consolidated_Schedules_2 15" xfId="25761" xr:uid="{00000000-0005-0000-0000-0000A9640000}"/>
    <cellStyle name="s_Consolidated_Schedules_2 16" xfId="25762" xr:uid="{00000000-0005-0000-0000-0000AA640000}"/>
    <cellStyle name="s_Consolidated_Schedules_2 17" xfId="25763" xr:uid="{00000000-0005-0000-0000-0000AB640000}"/>
    <cellStyle name="s_Consolidated_Schedules_2 18" xfId="25764" xr:uid="{00000000-0005-0000-0000-0000AC640000}"/>
    <cellStyle name="s_Consolidated_Schedules_2 19" xfId="25765" xr:uid="{00000000-0005-0000-0000-0000AD640000}"/>
    <cellStyle name="s_Consolidated_Schedules_2 2" xfId="25766" xr:uid="{00000000-0005-0000-0000-0000AE640000}"/>
    <cellStyle name="s_Consolidated_Schedules_2 2 2" xfId="25767" xr:uid="{00000000-0005-0000-0000-0000AF640000}"/>
    <cellStyle name="s_Consolidated_Schedules_2 20" xfId="25768" xr:uid="{00000000-0005-0000-0000-0000B0640000}"/>
    <cellStyle name="s_Consolidated_Schedules_2 21" xfId="25769" xr:uid="{00000000-0005-0000-0000-0000B1640000}"/>
    <cellStyle name="s_Consolidated_Schedules_2 22" xfId="25770" xr:uid="{00000000-0005-0000-0000-0000B2640000}"/>
    <cellStyle name="s_Consolidated_Schedules_2 23" xfId="25771" xr:uid="{00000000-0005-0000-0000-0000B3640000}"/>
    <cellStyle name="s_Consolidated_Schedules_2 23 2" xfId="25772" xr:uid="{00000000-0005-0000-0000-0000B4640000}"/>
    <cellStyle name="s_Consolidated_Schedules_2 3" xfId="25773" xr:uid="{00000000-0005-0000-0000-0000B5640000}"/>
    <cellStyle name="s_Consolidated_Schedules_2 3 2" xfId="25774" xr:uid="{00000000-0005-0000-0000-0000B6640000}"/>
    <cellStyle name="s_Consolidated_Schedules_2 4" xfId="25775" xr:uid="{00000000-0005-0000-0000-0000B7640000}"/>
    <cellStyle name="s_Consolidated_Schedules_2 5" xfId="25776" xr:uid="{00000000-0005-0000-0000-0000B8640000}"/>
    <cellStyle name="s_Consolidated_Schedules_2 6" xfId="25777" xr:uid="{00000000-0005-0000-0000-0000B9640000}"/>
    <cellStyle name="s_Consolidated_Schedules_2 7" xfId="25778" xr:uid="{00000000-0005-0000-0000-0000BA640000}"/>
    <cellStyle name="s_Consolidated_Schedules_2 8" xfId="25779" xr:uid="{00000000-0005-0000-0000-0000BB640000}"/>
    <cellStyle name="s_Consolidated_Schedules_2 9" xfId="25780" xr:uid="{00000000-0005-0000-0000-0000BC640000}"/>
    <cellStyle name="s_Consolidated_Schedules_2_{6} Clawback" xfId="25781" xr:uid="{00000000-0005-0000-0000-0000BD640000}"/>
    <cellStyle name="s_Consolidated_Schedules_2_AIF IV Financial Highlights 12-31-08 v4" xfId="25782" xr:uid="{00000000-0005-0000-0000-0000BE640000}"/>
    <cellStyle name="s_Consolidated_Schedules_2_AIF IV Financial Highlights 12-31-08 v4_Apollo Investment Fund IV  Q3 2009 Capital Analysis CURRENT" xfId="25783" xr:uid="{00000000-0005-0000-0000-0000BF640000}"/>
    <cellStyle name="s_Consolidated_Schedules_2_AIF IV Financial Highlights 12-31-08 v4_Apollo Investment Fund IV  Q3 2009 Capital Analysis iPCS &amp; URI Distribution" xfId="25784" xr:uid="{00000000-0005-0000-0000-0000C0640000}"/>
    <cellStyle name="s_Consolidated_Schedules_2_AIF IV Financial Highlights 12-31-08 v4_iPCs#1-Remaining" xfId="25785" xr:uid="{00000000-0005-0000-0000-0000C1640000}"/>
    <cellStyle name="s_Consolidated_Schedules_2_AIF VI - BondcoVI_Entities Invested Capital (CURRENT)" xfId="25786" xr:uid="{00000000-0005-0000-0000-0000C2640000}"/>
    <cellStyle name="s_Consolidated_Schedules_2_AIF VI Broadleaf Watefall Summary as of 6-30-09 FINAL" xfId="25787" xr:uid="{00000000-0005-0000-0000-0000C3640000}"/>
    <cellStyle name="s_Consolidated_Schedules_2_AIF VI Broadleaf Watefall Summary as of 9-30-09" xfId="25788" xr:uid="{00000000-0005-0000-0000-0000C4640000}"/>
    <cellStyle name="s_Consolidated_Schedules_2_Andy Affrick - Schedulev2" xfId="25789" xr:uid="{00000000-0005-0000-0000-0000C5640000}"/>
    <cellStyle name="s_Consolidated_Schedules_2_Apollo Advisors IV 12-31-08 GAAP TB Final" xfId="25790" xr:uid="{00000000-0005-0000-0000-0000C6640000}"/>
    <cellStyle name="s_Consolidated_Schedules_2_Apollo Advisors IV 12-31-08 TB (Revised for Aggr PR)" xfId="25791" xr:uid="{00000000-0005-0000-0000-0000C7640000}"/>
    <cellStyle name="s_Consolidated_Schedules_2_Apollo Advisors IV 6-30-09 GAAP TB" xfId="25792" xr:uid="{00000000-0005-0000-0000-0000C8640000}"/>
    <cellStyle name="s_Consolidated_Schedules_2_Apollo Investment Fund IV  April Priority Return" xfId="25793" xr:uid="{00000000-0005-0000-0000-0000C9640000}"/>
    <cellStyle name="s_Consolidated_Schedules_2_Apollo Investment Fund IV  Q1 2009 Capital Analysis 5-22-09 with GAAP" xfId="25794" xr:uid="{00000000-0005-0000-0000-0000CA640000}"/>
    <cellStyle name="s_Consolidated_Schedules_2_Apollo Investment Fund IV  Q1 2009 Capital Analysis GAAP" xfId="25795" xr:uid="{00000000-0005-0000-0000-0000CB640000}"/>
    <cellStyle name="s_Consolidated_Schedules_2_Apollo Investment Fund IV  Q2 2009 Capital Analysis CURRENT" xfId="25796" xr:uid="{00000000-0005-0000-0000-0000CC640000}"/>
    <cellStyle name="s_Consolidated_Schedules_2_Apollo Investment Fund IV  Q3 2009 Capital Analysis CURRENT" xfId="25797" xr:uid="{00000000-0005-0000-0000-0000CD640000}"/>
    <cellStyle name="s_Consolidated_Schedules_2_Apollo Investment Fund IV  Q3 2009 Capital Analysis iPCS &amp; URI Distribution" xfId="25798" xr:uid="{00000000-0005-0000-0000-0000CE640000}"/>
    <cellStyle name="s_Consolidated_Schedules_2_Apollo Investment Fund IV Priority Return 6-30-09" xfId="25799" xr:uid="{00000000-0005-0000-0000-0000CF640000}"/>
    <cellStyle name="s_Consolidated_Schedules_2_Apollo Investment Fund IV Q1 2009 Capital Analysis PR CORRECTED 6-30-09" xfId="25800" xr:uid="{00000000-0005-0000-0000-0000D0640000}"/>
    <cellStyle name="s_Consolidated_Schedules_2_Broadleaf Watefall 12-31-09" xfId="25801" xr:uid="{00000000-0005-0000-0000-0000D1640000}"/>
    <cellStyle name="s_Consolidated_Schedules_2_Broadleaf Watefall 6-30-09" xfId="25802" xr:uid="{00000000-0005-0000-0000-0000D2640000}"/>
    <cellStyle name="s_Consolidated_Schedules_2_Broadleaf Watefall 9-30-09" xfId="25803" xr:uid="{00000000-0005-0000-0000-0000D3640000}"/>
    <cellStyle name="s_Consolidated_Schedules_2_Carry Calculation" xfId="25804" xr:uid="{00000000-0005-0000-0000-0000D4640000}"/>
    <cellStyle name="s_Consolidated_Schedules_2_Fund IV" xfId="25805" xr:uid="{00000000-0005-0000-0000-0000D5640000}"/>
    <cellStyle name="s_Consolidated_Schedules_2_Fund IV 9.30.08" xfId="25806" xr:uid="{00000000-0005-0000-0000-0000D6640000}"/>
    <cellStyle name="s_Consolidated_Schedules_2_Fund IV_1" xfId="25807" xr:uid="{00000000-0005-0000-0000-0000D7640000}"/>
    <cellStyle name="s_Consolidated_Schedules_2_Funds IV Clawback Adjustment Summary" xfId="25808" xr:uid="{00000000-0005-0000-0000-0000D8640000}"/>
    <cellStyle name="s_Consolidated_Schedules_2_Funds IV Clawback Value Adjustment" xfId="25809" xr:uid="{00000000-0005-0000-0000-0000D9640000}"/>
    <cellStyle name="s_Consolidated_Schedules_2_IC Balance" xfId="25810" xr:uid="{00000000-0005-0000-0000-0000DA640000}"/>
    <cellStyle name="s_Consolidated_Schedules_2_Invested Capital Debt Worksheet" xfId="25811" xr:uid="{00000000-0005-0000-0000-0000DB640000}"/>
    <cellStyle name="s_Consolidated_Schedules_2_Invested Capital Debt Worksheet_1" xfId="25812" xr:uid="{00000000-0005-0000-0000-0000DC640000}"/>
    <cellStyle name="s_Consolidated_Schedules_2_iPCs#1-Remaining" xfId="25813" xr:uid="{00000000-0005-0000-0000-0000DD640000}"/>
    <cellStyle name="s_Consolidated_Schedules_2_MMF Income" xfId="25814" xr:uid="{00000000-0005-0000-0000-0000DE640000}"/>
    <cellStyle name="s_Consolidated_Schedules_2_Partners Capital Q1 2009" xfId="25815" xr:uid="{00000000-0005-0000-0000-0000DF640000}"/>
    <cellStyle name="s_Consolidated_Schedules_2_Placement Fee Summary 05-14-09 - Current (2)" xfId="25816" xr:uid="{00000000-0005-0000-0000-0000E0640000}"/>
    <cellStyle name="s_Consolidated_Schedules_2_PR Calc" xfId="25817" xr:uid="{00000000-0005-0000-0000-0000E1640000}"/>
    <cellStyle name="s_Consolidated_Schedules_2_PR Calc - DOMESTIC" xfId="25818" xr:uid="{00000000-0005-0000-0000-0000E2640000}"/>
    <cellStyle name="s_Consolidated_Schedules_2_RCIV Q3 2009 Capital Analysis CURRENT" xfId="25819" xr:uid="{00000000-0005-0000-0000-0000E3640000}"/>
    <cellStyle name="s_Consolidated_Schedules_2_Sheet1" xfId="25820" xr:uid="{00000000-0005-0000-0000-0000E4640000}"/>
    <cellStyle name="s_Consolidated_Schedules_AIF IV Financial Highlights 12-31-08 v4" xfId="25821" xr:uid="{00000000-0005-0000-0000-0000E5640000}"/>
    <cellStyle name="s_Consolidated_Schedules_AIF IV Financial Highlights 12-31-08 v4_Apollo Investment Fund IV  Q3 2009 Capital Analysis CURRENT" xfId="25822" xr:uid="{00000000-0005-0000-0000-0000E6640000}"/>
    <cellStyle name="s_Consolidated_Schedules_AIF IV Financial Highlights 12-31-08 v4_Apollo Investment Fund IV  Q3 2009 Capital Analysis iPCS &amp; URI Distribution" xfId="25823" xr:uid="{00000000-0005-0000-0000-0000E7640000}"/>
    <cellStyle name="s_Consolidated_Schedules_AIF IV Financial Highlights 12-31-08 v4_iPCs#1-Remaining" xfId="25824" xr:uid="{00000000-0005-0000-0000-0000E8640000}"/>
    <cellStyle name="s_Consolidated_Schedules_AIF VI - BondcoVI_Entities Invested Capital (CURRENT)" xfId="25825" xr:uid="{00000000-0005-0000-0000-0000E9640000}"/>
    <cellStyle name="s_Consolidated_Schedules_AIF VI Broadleaf Watefall Summary as of 6-30-09 FINAL" xfId="25826" xr:uid="{00000000-0005-0000-0000-0000EA640000}"/>
    <cellStyle name="s_Consolidated_Schedules_AIF VI Broadleaf Watefall Summary as of 9-30-09" xfId="25827" xr:uid="{00000000-0005-0000-0000-0000EB640000}"/>
    <cellStyle name="s_Consolidated_Schedules_Andy Affrick - Schedulev2" xfId="25828" xr:uid="{00000000-0005-0000-0000-0000EC640000}"/>
    <cellStyle name="s_Consolidated_Schedules_Apollo Investment Fund IV  April Priority Return" xfId="25829" xr:uid="{00000000-0005-0000-0000-0000ED640000}"/>
    <cellStyle name="s_Consolidated_Schedules_Apollo Investment Fund IV  Q1 2009 Capital Analysis 5-22-09 with GAAP" xfId="25830" xr:uid="{00000000-0005-0000-0000-0000EE640000}"/>
    <cellStyle name="s_Consolidated_Schedules_Apollo Investment Fund IV  Q1 2009 Capital Analysis GAAP" xfId="25831" xr:uid="{00000000-0005-0000-0000-0000EF640000}"/>
    <cellStyle name="s_Consolidated_Schedules_Apollo Investment Fund IV  Q2 2009 Capital Analysis CURRENT" xfId="25832" xr:uid="{00000000-0005-0000-0000-0000F0640000}"/>
    <cellStyle name="s_Consolidated_Schedules_Apollo Investment Fund IV  Q3 2009 Capital Analysis CURRENT" xfId="25833" xr:uid="{00000000-0005-0000-0000-0000F1640000}"/>
    <cellStyle name="s_Consolidated_Schedules_Apollo Investment Fund IV  Q3 2009 Capital Analysis iPCS &amp; URI Distribution" xfId="25834" xr:uid="{00000000-0005-0000-0000-0000F2640000}"/>
    <cellStyle name="s_Consolidated_Schedules_Apollo Investment Fund IV Priority Return 6-30-09" xfId="25835" xr:uid="{00000000-0005-0000-0000-0000F3640000}"/>
    <cellStyle name="s_Consolidated_Schedules_Apollo Investment Fund IV Q1 2009 Capital Analysis PR CORRECTED 6-30-09" xfId="25836" xr:uid="{00000000-0005-0000-0000-0000F4640000}"/>
    <cellStyle name="s_Consolidated_Schedules_Broadleaf Watefall 12-31-09" xfId="25837" xr:uid="{00000000-0005-0000-0000-0000F5640000}"/>
    <cellStyle name="s_Consolidated_Schedules_Broadleaf Watefall 6-30-09" xfId="25838" xr:uid="{00000000-0005-0000-0000-0000F6640000}"/>
    <cellStyle name="s_Consolidated_Schedules_Broadleaf Watefall 9-30-09" xfId="25839" xr:uid="{00000000-0005-0000-0000-0000F7640000}"/>
    <cellStyle name="s_Consolidated_Schedules_Carry Calculation" xfId="25840" xr:uid="{00000000-0005-0000-0000-0000F8640000}"/>
    <cellStyle name="s_Consolidated_Schedules_Fund IV" xfId="25841" xr:uid="{00000000-0005-0000-0000-0000F9640000}"/>
    <cellStyle name="s_Consolidated_Schedules_Fund IV 9.30.08" xfId="25842" xr:uid="{00000000-0005-0000-0000-0000FA640000}"/>
    <cellStyle name="s_Consolidated_Schedules_Fund IV_1" xfId="25843" xr:uid="{00000000-0005-0000-0000-0000FB640000}"/>
    <cellStyle name="s_Consolidated_Schedules_Funds IV Clawback Adjustment Summary" xfId="25844" xr:uid="{00000000-0005-0000-0000-0000FC640000}"/>
    <cellStyle name="s_Consolidated_Schedules_Funds IV Clawback Value Adjustment" xfId="25845" xr:uid="{00000000-0005-0000-0000-0000FD640000}"/>
    <cellStyle name="s_Consolidated_Schedules_IC Balance" xfId="25846" xr:uid="{00000000-0005-0000-0000-0000FE640000}"/>
    <cellStyle name="s_Consolidated_Schedules_Invested Capital Debt Worksheet" xfId="25847" xr:uid="{00000000-0005-0000-0000-0000FF640000}"/>
    <cellStyle name="s_Consolidated_Schedules_iPCs#1-Remaining" xfId="25848" xr:uid="{00000000-0005-0000-0000-000000650000}"/>
    <cellStyle name="s_Consolidated_Schedules_MMF Income" xfId="25849" xr:uid="{00000000-0005-0000-0000-000001650000}"/>
    <cellStyle name="s_Consolidated_Schedules_Partners Capital Q1 2009" xfId="25850" xr:uid="{00000000-0005-0000-0000-000002650000}"/>
    <cellStyle name="s_Consolidated_Schedules_Placement Fee Summary 05-14-09 - Current (2)" xfId="25851" xr:uid="{00000000-0005-0000-0000-000003650000}"/>
    <cellStyle name="s_Consolidated_Schedules_PR Calc" xfId="25852" xr:uid="{00000000-0005-0000-0000-000004650000}"/>
    <cellStyle name="s_Consolidated_Schedules_PR Calc - DOMESTIC" xfId="25853" xr:uid="{00000000-0005-0000-0000-000005650000}"/>
    <cellStyle name="s_Consolidated_Schedules_RCIV Q3 2009 Capital Analysis CURRENT" xfId="25854" xr:uid="{00000000-0005-0000-0000-000006650000}"/>
    <cellStyle name="s_Cost_Benefit" xfId="25855" xr:uid="{00000000-0005-0000-0000-000007650000}"/>
    <cellStyle name="s_Cost_Benefit 10" xfId="25856" xr:uid="{00000000-0005-0000-0000-000008650000}"/>
    <cellStyle name="s_Cost_Benefit 11" xfId="25857" xr:uid="{00000000-0005-0000-0000-000009650000}"/>
    <cellStyle name="s_Cost_Benefit 12" xfId="25858" xr:uid="{00000000-0005-0000-0000-00000A650000}"/>
    <cellStyle name="s_Cost_Benefit 13" xfId="25859" xr:uid="{00000000-0005-0000-0000-00000B650000}"/>
    <cellStyle name="s_Cost_Benefit 14" xfId="25860" xr:uid="{00000000-0005-0000-0000-00000C650000}"/>
    <cellStyle name="s_Cost_Benefit 15" xfId="25861" xr:uid="{00000000-0005-0000-0000-00000D650000}"/>
    <cellStyle name="s_Cost_Benefit 16" xfId="25862" xr:uid="{00000000-0005-0000-0000-00000E650000}"/>
    <cellStyle name="s_Cost_Benefit 17" xfId="25863" xr:uid="{00000000-0005-0000-0000-00000F650000}"/>
    <cellStyle name="s_Cost_Benefit 18" xfId="25864" xr:uid="{00000000-0005-0000-0000-000010650000}"/>
    <cellStyle name="s_Cost_Benefit 19" xfId="25865" xr:uid="{00000000-0005-0000-0000-000011650000}"/>
    <cellStyle name="s_Cost_Benefit 2" xfId="25866" xr:uid="{00000000-0005-0000-0000-000012650000}"/>
    <cellStyle name="s_Cost_Benefit 2 2" xfId="25867" xr:uid="{00000000-0005-0000-0000-000013650000}"/>
    <cellStyle name="s_Cost_Benefit 20" xfId="25868" xr:uid="{00000000-0005-0000-0000-000014650000}"/>
    <cellStyle name="s_Cost_Benefit 21" xfId="25869" xr:uid="{00000000-0005-0000-0000-000015650000}"/>
    <cellStyle name="s_Cost_Benefit 22" xfId="25870" xr:uid="{00000000-0005-0000-0000-000016650000}"/>
    <cellStyle name="s_Cost_Benefit 23" xfId="25871" xr:uid="{00000000-0005-0000-0000-000017650000}"/>
    <cellStyle name="s_Cost_Benefit 23 2" xfId="25872" xr:uid="{00000000-0005-0000-0000-000018650000}"/>
    <cellStyle name="s_Cost_Benefit 3" xfId="25873" xr:uid="{00000000-0005-0000-0000-000019650000}"/>
    <cellStyle name="s_Cost_Benefit 3 2" xfId="25874" xr:uid="{00000000-0005-0000-0000-00001A650000}"/>
    <cellStyle name="s_Cost_Benefit 4" xfId="25875" xr:uid="{00000000-0005-0000-0000-00001B650000}"/>
    <cellStyle name="s_Cost_Benefit 5" xfId="25876" xr:uid="{00000000-0005-0000-0000-00001C650000}"/>
    <cellStyle name="s_Cost_Benefit 6" xfId="25877" xr:uid="{00000000-0005-0000-0000-00001D650000}"/>
    <cellStyle name="s_Cost_Benefit 7" xfId="25878" xr:uid="{00000000-0005-0000-0000-00001E650000}"/>
    <cellStyle name="s_Cost_Benefit 8" xfId="25879" xr:uid="{00000000-0005-0000-0000-00001F650000}"/>
    <cellStyle name="s_Cost_Benefit 9" xfId="25880" xr:uid="{00000000-0005-0000-0000-000020650000}"/>
    <cellStyle name="s_Cost_Benefit_{6} Clawback" xfId="25881" xr:uid="{00000000-0005-0000-0000-000021650000}"/>
    <cellStyle name="s_Cost_Benefit_1" xfId="25882" xr:uid="{00000000-0005-0000-0000-000022650000}"/>
    <cellStyle name="s_Cost_Benefit_1 10" xfId="25883" xr:uid="{00000000-0005-0000-0000-000023650000}"/>
    <cellStyle name="s_Cost_Benefit_1 11" xfId="25884" xr:uid="{00000000-0005-0000-0000-000024650000}"/>
    <cellStyle name="s_Cost_Benefit_1 12" xfId="25885" xr:uid="{00000000-0005-0000-0000-000025650000}"/>
    <cellStyle name="s_Cost_Benefit_1 13" xfId="25886" xr:uid="{00000000-0005-0000-0000-000026650000}"/>
    <cellStyle name="s_Cost_Benefit_1 14" xfId="25887" xr:uid="{00000000-0005-0000-0000-000027650000}"/>
    <cellStyle name="s_Cost_Benefit_1 15" xfId="25888" xr:uid="{00000000-0005-0000-0000-000028650000}"/>
    <cellStyle name="s_Cost_Benefit_1 16" xfId="25889" xr:uid="{00000000-0005-0000-0000-000029650000}"/>
    <cellStyle name="s_Cost_Benefit_1 17" xfId="25890" xr:uid="{00000000-0005-0000-0000-00002A650000}"/>
    <cellStyle name="s_Cost_Benefit_1 18" xfId="25891" xr:uid="{00000000-0005-0000-0000-00002B650000}"/>
    <cellStyle name="s_Cost_Benefit_1 19" xfId="25892" xr:uid="{00000000-0005-0000-0000-00002C650000}"/>
    <cellStyle name="s_Cost_Benefit_1 2" xfId="25893" xr:uid="{00000000-0005-0000-0000-00002D650000}"/>
    <cellStyle name="s_Cost_Benefit_1 2 2" xfId="25894" xr:uid="{00000000-0005-0000-0000-00002E650000}"/>
    <cellStyle name="s_Cost_Benefit_1 20" xfId="25895" xr:uid="{00000000-0005-0000-0000-00002F650000}"/>
    <cellStyle name="s_Cost_Benefit_1 21" xfId="25896" xr:uid="{00000000-0005-0000-0000-000030650000}"/>
    <cellStyle name="s_Cost_Benefit_1 22" xfId="25897" xr:uid="{00000000-0005-0000-0000-000031650000}"/>
    <cellStyle name="s_Cost_Benefit_1 23" xfId="25898" xr:uid="{00000000-0005-0000-0000-000032650000}"/>
    <cellStyle name="s_Cost_Benefit_1 23 2" xfId="25899" xr:uid="{00000000-0005-0000-0000-000033650000}"/>
    <cellStyle name="s_Cost_Benefit_1 3" xfId="25900" xr:uid="{00000000-0005-0000-0000-000034650000}"/>
    <cellStyle name="s_Cost_Benefit_1 3 2" xfId="25901" xr:uid="{00000000-0005-0000-0000-000035650000}"/>
    <cellStyle name="s_Cost_Benefit_1 4" xfId="25902" xr:uid="{00000000-0005-0000-0000-000036650000}"/>
    <cellStyle name="s_Cost_Benefit_1 5" xfId="25903" xr:uid="{00000000-0005-0000-0000-000037650000}"/>
    <cellStyle name="s_Cost_Benefit_1 6" xfId="25904" xr:uid="{00000000-0005-0000-0000-000038650000}"/>
    <cellStyle name="s_Cost_Benefit_1 7" xfId="25905" xr:uid="{00000000-0005-0000-0000-000039650000}"/>
    <cellStyle name="s_Cost_Benefit_1 8" xfId="25906" xr:uid="{00000000-0005-0000-0000-00003A650000}"/>
    <cellStyle name="s_Cost_Benefit_1 9" xfId="25907" xr:uid="{00000000-0005-0000-0000-00003B650000}"/>
    <cellStyle name="s_Cost_Benefit_1_{6} Clawback" xfId="25908" xr:uid="{00000000-0005-0000-0000-00003C650000}"/>
    <cellStyle name="s_Cost_Benefit_1_AIF IV Financial Highlights 12-31-08 v4" xfId="25909" xr:uid="{00000000-0005-0000-0000-00003D650000}"/>
    <cellStyle name="s_Cost_Benefit_1_AIF IV Financial Highlights 12-31-08 v4_Apollo Investment Fund IV  Q3 2009 Capital Analysis CURRENT" xfId="25910" xr:uid="{00000000-0005-0000-0000-00003E650000}"/>
    <cellStyle name="s_Cost_Benefit_1_AIF IV Financial Highlights 12-31-08 v4_Apollo Investment Fund IV  Q3 2009 Capital Analysis iPCS &amp; URI Distribution" xfId="25911" xr:uid="{00000000-0005-0000-0000-00003F650000}"/>
    <cellStyle name="s_Cost_Benefit_1_AIF IV Financial Highlights 12-31-08 v4_iPCs#1-Remaining" xfId="25912" xr:uid="{00000000-0005-0000-0000-000040650000}"/>
    <cellStyle name="s_Cost_Benefit_1_AIF VI - BondcoVI_Entities Invested Capital (CURRENT)" xfId="25913" xr:uid="{00000000-0005-0000-0000-000041650000}"/>
    <cellStyle name="s_Cost_Benefit_1_AIF VI Broadleaf Watefall Summary as of 6-30-09 FINAL" xfId="25914" xr:uid="{00000000-0005-0000-0000-000042650000}"/>
    <cellStyle name="s_Cost_Benefit_1_AIF VI Broadleaf Watefall Summary as of 9-30-09" xfId="25915" xr:uid="{00000000-0005-0000-0000-000043650000}"/>
    <cellStyle name="s_Cost_Benefit_1_Andy Affrick - Schedulev2" xfId="25916" xr:uid="{00000000-0005-0000-0000-000044650000}"/>
    <cellStyle name="s_Cost_Benefit_1_Apollo Advisors IV 12-31-08 GAAP TB Final" xfId="25917" xr:uid="{00000000-0005-0000-0000-000045650000}"/>
    <cellStyle name="s_Cost_Benefit_1_Apollo Advisors IV 12-31-08 TB (Revised for Aggr PR)" xfId="25918" xr:uid="{00000000-0005-0000-0000-000046650000}"/>
    <cellStyle name="s_Cost_Benefit_1_Apollo Advisors IV 6-30-09 GAAP TB" xfId="25919" xr:uid="{00000000-0005-0000-0000-000047650000}"/>
    <cellStyle name="s_Cost_Benefit_1_Apollo Investment Fund IV  April Priority Return" xfId="25920" xr:uid="{00000000-0005-0000-0000-000048650000}"/>
    <cellStyle name="s_Cost_Benefit_1_Apollo Investment Fund IV  Q1 2009 Capital Analysis 5-22-09 with GAAP" xfId="25921" xr:uid="{00000000-0005-0000-0000-000049650000}"/>
    <cellStyle name="s_Cost_Benefit_1_Apollo Investment Fund IV  Q1 2009 Capital Analysis GAAP" xfId="25922" xr:uid="{00000000-0005-0000-0000-00004A650000}"/>
    <cellStyle name="s_Cost_Benefit_1_Apollo Investment Fund IV  Q2 2009 Capital Analysis CURRENT" xfId="25923" xr:uid="{00000000-0005-0000-0000-00004B650000}"/>
    <cellStyle name="s_Cost_Benefit_1_Apollo Investment Fund IV  Q3 2009 Capital Analysis CURRENT" xfId="25924" xr:uid="{00000000-0005-0000-0000-00004C650000}"/>
    <cellStyle name="s_Cost_Benefit_1_Apollo Investment Fund IV  Q3 2009 Capital Analysis iPCS &amp; URI Distribution" xfId="25925" xr:uid="{00000000-0005-0000-0000-00004D650000}"/>
    <cellStyle name="s_Cost_Benefit_1_Apollo Investment Fund IV Q1 2009 Capital Analysis PR CORRECTED 6-30-09" xfId="25926" xr:uid="{00000000-0005-0000-0000-00004E650000}"/>
    <cellStyle name="s_Cost_Benefit_1_Broadleaf Watefall 12-31-09" xfId="25927" xr:uid="{00000000-0005-0000-0000-00004F650000}"/>
    <cellStyle name="s_Cost_Benefit_1_Broadleaf Watefall 6-30-09" xfId="25928" xr:uid="{00000000-0005-0000-0000-000050650000}"/>
    <cellStyle name="s_Cost_Benefit_1_Broadleaf Watefall 9-30-09" xfId="25929" xr:uid="{00000000-0005-0000-0000-000051650000}"/>
    <cellStyle name="s_Cost_Benefit_1_Carry Calculation" xfId="25930" xr:uid="{00000000-0005-0000-0000-000052650000}"/>
    <cellStyle name="s_Cost_Benefit_1_Fund IV" xfId="25931" xr:uid="{00000000-0005-0000-0000-000053650000}"/>
    <cellStyle name="s_Cost_Benefit_1_Fund IV 9.30.08" xfId="25932" xr:uid="{00000000-0005-0000-0000-000054650000}"/>
    <cellStyle name="s_Cost_Benefit_1_Fund IV_1" xfId="25933" xr:uid="{00000000-0005-0000-0000-000055650000}"/>
    <cellStyle name="s_Cost_Benefit_1_Funds IV Clawback Adjustment Summary" xfId="25934" xr:uid="{00000000-0005-0000-0000-000056650000}"/>
    <cellStyle name="s_Cost_Benefit_1_Funds IV Clawback Value Adjustment" xfId="25935" xr:uid="{00000000-0005-0000-0000-000057650000}"/>
    <cellStyle name="s_Cost_Benefit_1_IC Balance" xfId="25936" xr:uid="{00000000-0005-0000-0000-000058650000}"/>
    <cellStyle name="s_Cost_Benefit_1_Invested Capital Debt Worksheet" xfId="25937" xr:uid="{00000000-0005-0000-0000-000059650000}"/>
    <cellStyle name="s_Cost_Benefit_1_Invested Capital Debt Worksheet_1" xfId="25938" xr:uid="{00000000-0005-0000-0000-00005A650000}"/>
    <cellStyle name="s_Cost_Benefit_1_iPCs#1-Remaining" xfId="25939" xr:uid="{00000000-0005-0000-0000-00005B650000}"/>
    <cellStyle name="s_Cost_Benefit_1_MMF Income" xfId="25940" xr:uid="{00000000-0005-0000-0000-00005C650000}"/>
    <cellStyle name="s_Cost_Benefit_1_Partners Capital Q1 2009" xfId="25941" xr:uid="{00000000-0005-0000-0000-00005D650000}"/>
    <cellStyle name="s_Cost_Benefit_1_Placement Fee Summary 05-14-09 - Current (2)" xfId="25942" xr:uid="{00000000-0005-0000-0000-00005E650000}"/>
    <cellStyle name="s_Cost_Benefit_1_PR Calc" xfId="25943" xr:uid="{00000000-0005-0000-0000-00005F650000}"/>
    <cellStyle name="s_Cost_Benefit_1_PR Calc - DOMESTIC" xfId="25944" xr:uid="{00000000-0005-0000-0000-000060650000}"/>
    <cellStyle name="s_Cost_Benefit_1_RCIV Q3 2009 Capital Analysis CURRENT" xfId="25945" xr:uid="{00000000-0005-0000-0000-000061650000}"/>
    <cellStyle name="s_Cost_Benefit_1_Sheet1" xfId="25946" xr:uid="{00000000-0005-0000-0000-000062650000}"/>
    <cellStyle name="s_Cost_Benefit_2" xfId="25947" xr:uid="{00000000-0005-0000-0000-000063650000}"/>
    <cellStyle name="s_Cost_Benefit_2 10" xfId="25948" xr:uid="{00000000-0005-0000-0000-000064650000}"/>
    <cellStyle name="s_Cost_Benefit_2 11" xfId="25949" xr:uid="{00000000-0005-0000-0000-000065650000}"/>
    <cellStyle name="s_Cost_Benefit_2 12" xfId="25950" xr:uid="{00000000-0005-0000-0000-000066650000}"/>
    <cellStyle name="s_Cost_Benefit_2 13" xfId="25951" xr:uid="{00000000-0005-0000-0000-000067650000}"/>
    <cellStyle name="s_Cost_Benefit_2 14" xfId="25952" xr:uid="{00000000-0005-0000-0000-000068650000}"/>
    <cellStyle name="s_Cost_Benefit_2 15" xfId="25953" xr:uid="{00000000-0005-0000-0000-000069650000}"/>
    <cellStyle name="s_Cost_Benefit_2 16" xfId="25954" xr:uid="{00000000-0005-0000-0000-00006A650000}"/>
    <cellStyle name="s_Cost_Benefit_2 17" xfId="25955" xr:uid="{00000000-0005-0000-0000-00006B650000}"/>
    <cellStyle name="s_Cost_Benefit_2 18" xfId="25956" xr:uid="{00000000-0005-0000-0000-00006C650000}"/>
    <cellStyle name="s_Cost_Benefit_2 19" xfId="25957" xr:uid="{00000000-0005-0000-0000-00006D650000}"/>
    <cellStyle name="s_Cost_Benefit_2 2" xfId="25958" xr:uid="{00000000-0005-0000-0000-00006E650000}"/>
    <cellStyle name="s_Cost_Benefit_2 2 2" xfId="25959" xr:uid="{00000000-0005-0000-0000-00006F650000}"/>
    <cellStyle name="s_Cost_Benefit_2 20" xfId="25960" xr:uid="{00000000-0005-0000-0000-000070650000}"/>
    <cellStyle name="s_Cost_Benefit_2 21" xfId="25961" xr:uid="{00000000-0005-0000-0000-000071650000}"/>
    <cellStyle name="s_Cost_Benefit_2 22" xfId="25962" xr:uid="{00000000-0005-0000-0000-000072650000}"/>
    <cellStyle name="s_Cost_Benefit_2 23" xfId="25963" xr:uid="{00000000-0005-0000-0000-000073650000}"/>
    <cellStyle name="s_Cost_Benefit_2 23 2" xfId="25964" xr:uid="{00000000-0005-0000-0000-000074650000}"/>
    <cellStyle name="s_Cost_Benefit_2 3" xfId="25965" xr:uid="{00000000-0005-0000-0000-000075650000}"/>
    <cellStyle name="s_Cost_Benefit_2 3 2" xfId="25966" xr:uid="{00000000-0005-0000-0000-000076650000}"/>
    <cellStyle name="s_Cost_Benefit_2 4" xfId="25967" xr:uid="{00000000-0005-0000-0000-000077650000}"/>
    <cellStyle name="s_Cost_Benefit_2 5" xfId="25968" xr:uid="{00000000-0005-0000-0000-000078650000}"/>
    <cellStyle name="s_Cost_Benefit_2 6" xfId="25969" xr:uid="{00000000-0005-0000-0000-000079650000}"/>
    <cellStyle name="s_Cost_Benefit_2 7" xfId="25970" xr:uid="{00000000-0005-0000-0000-00007A650000}"/>
    <cellStyle name="s_Cost_Benefit_2 8" xfId="25971" xr:uid="{00000000-0005-0000-0000-00007B650000}"/>
    <cellStyle name="s_Cost_Benefit_2 9" xfId="25972" xr:uid="{00000000-0005-0000-0000-00007C650000}"/>
    <cellStyle name="s_Cost_Benefit_2_{6} Clawback" xfId="25973" xr:uid="{00000000-0005-0000-0000-00007D650000}"/>
    <cellStyle name="s_Cost_Benefit_2_AIF IV Financial Highlights 12-31-08 v4" xfId="25974" xr:uid="{00000000-0005-0000-0000-00007E650000}"/>
    <cellStyle name="s_Cost_Benefit_2_AIF IV Financial Highlights 12-31-08 v4_Apollo Investment Fund IV  Q3 2009 Capital Analysis CURRENT" xfId="25975" xr:uid="{00000000-0005-0000-0000-00007F650000}"/>
    <cellStyle name="s_Cost_Benefit_2_AIF IV Financial Highlights 12-31-08 v4_Apollo Investment Fund IV  Q3 2009 Capital Analysis iPCS &amp; URI Distribution" xfId="25976" xr:uid="{00000000-0005-0000-0000-000080650000}"/>
    <cellStyle name="s_Cost_Benefit_2_AIF IV Financial Highlights 12-31-08 v4_iPCs#1-Remaining" xfId="25977" xr:uid="{00000000-0005-0000-0000-000081650000}"/>
    <cellStyle name="s_Cost_Benefit_2_AIF VI - BondcoVI_Entities Invested Capital (CURRENT)" xfId="25978" xr:uid="{00000000-0005-0000-0000-000082650000}"/>
    <cellStyle name="s_Cost_Benefit_2_AIF VI Broadleaf Watefall Summary as of 6-30-09 FINAL" xfId="25979" xr:uid="{00000000-0005-0000-0000-000083650000}"/>
    <cellStyle name="s_Cost_Benefit_2_AIF VI Broadleaf Watefall Summary as of 9-30-09" xfId="25980" xr:uid="{00000000-0005-0000-0000-000084650000}"/>
    <cellStyle name="s_Cost_Benefit_2_Andy Affrick - Schedulev2" xfId="25981" xr:uid="{00000000-0005-0000-0000-000085650000}"/>
    <cellStyle name="s_Cost_Benefit_2_Apollo Advisors IV 12-31-08 GAAP TB Final" xfId="25982" xr:uid="{00000000-0005-0000-0000-000086650000}"/>
    <cellStyle name="s_Cost_Benefit_2_Apollo Advisors IV 12-31-08 TB (Revised for Aggr PR)" xfId="25983" xr:uid="{00000000-0005-0000-0000-000087650000}"/>
    <cellStyle name="s_Cost_Benefit_2_Apollo Advisors IV 6-30-09 GAAP TB" xfId="25984" xr:uid="{00000000-0005-0000-0000-000088650000}"/>
    <cellStyle name="s_Cost_Benefit_2_Apollo Investment Fund IV  April Priority Return" xfId="25985" xr:uid="{00000000-0005-0000-0000-000089650000}"/>
    <cellStyle name="s_Cost_Benefit_2_Apollo Investment Fund IV  Q1 2009 Capital Analysis 5-22-09 with GAAP" xfId="25986" xr:uid="{00000000-0005-0000-0000-00008A650000}"/>
    <cellStyle name="s_Cost_Benefit_2_Apollo Investment Fund IV  Q1 2009 Capital Analysis GAAP" xfId="25987" xr:uid="{00000000-0005-0000-0000-00008B650000}"/>
    <cellStyle name="s_Cost_Benefit_2_Apollo Investment Fund IV  Q2 2009 Capital Analysis CURRENT" xfId="25988" xr:uid="{00000000-0005-0000-0000-00008C650000}"/>
    <cellStyle name="s_Cost_Benefit_2_Apollo Investment Fund IV  Q3 2009 Capital Analysis CURRENT" xfId="25989" xr:uid="{00000000-0005-0000-0000-00008D650000}"/>
    <cellStyle name="s_Cost_Benefit_2_Apollo Investment Fund IV  Q3 2009 Capital Analysis iPCS &amp; URI Distribution" xfId="25990" xr:uid="{00000000-0005-0000-0000-00008E650000}"/>
    <cellStyle name="s_Cost_Benefit_2_Apollo Investment Fund IV Q1 2009 Capital Analysis PR CORRECTED 6-30-09" xfId="25991" xr:uid="{00000000-0005-0000-0000-00008F650000}"/>
    <cellStyle name="s_Cost_Benefit_2_Broadleaf Watefall 12-31-09" xfId="25992" xr:uid="{00000000-0005-0000-0000-000090650000}"/>
    <cellStyle name="s_Cost_Benefit_2_Broadleaf Watefall 6-30-09" xfId="25993" xr:uid="{00000000-0005-0000-0000-000091650000}"/>
    <cellStyle name="s_Cost_Benefit_2_Broadleaf Watefall 9-30-09" xfId="25994" xr:uid="{00000000-0005-0000-0000-000092650000}"/>
    <cellStyle name="s_Cost_Benefit_2_Carry Calculation" xfId="25995" xr:uid="{00000000-0005-0000-0000-000093650000}"/>
    <cellStyle name="s_Cost_Benefit_2_Fund IV" xfId="25996" xr:uid="{00000000-0005-0000-0000-000094650000}"/>
    <cellStyle name="s_Cost_Benefit_2_Fund IV 9.30.08" xfId="25997" xr:uid="{00000000-0005-0000-0000-000095650000}"/>
    <cellStyle name="s_Cost_Benefit_2_Fund IV_1" xfId="25998" xr:uid="{00000000-0005-0000-0000-000096650000}"/>
    <cellStyle name="s_Cost_Benefit_2_Funds IV Clawback Adjustment Summary" xfId="25999" xr:uid="{00000000-0005-0000-0000-000097650000}"/>
    <cellStyle name="s_Cost_Benefit_2_Funds IV Clawback Value Adjustment" xfId="26000" xr:uid="{00000000-0005-0000-0000-000098650000}"/>
    <cellStyle name="s_Cost_Benefit_2_IC Balance" xfId="26001" xr:uid="{00000000-0005-0000-0000-000099650000}"/>
    <cellStyle name="s_Cost_Benefit_2_Invested Capital Debt Worksheet" xfId="26002" xr:uid="{00000000-0005-0000-0000-00009A650000}"/>
    <cellStyle name="s_Cost_Benefit_2_Invested Capital Debt Worksheet_1" xfId="26003" xr:uid="{00000000-0005-0000-0000-00009B650000}"/>
    <cellStyle name="s_Cost_Benefit_2_iPCs#1-Remaining" xfId="26004" xr:uid="{00000000-0005-0000-0000-00009C650000}"/>
    <cellStyle name="s_Cost_Benefit_2_MMF Income" xfId="26005" xr:uid="{00000000-0005-0000-0000-00009D650000}"/>
    <cellStyle name="s_Cost_Benefit_2_Partners Capital Q1 2009" xfId="26006" xr:uid="{00000000-0005-0000-0000-00009E650000}"/>
    <cellStyle name="s_Cost_Benefit_2_Placement Fee Summary 05-14-09 - Current (2)" xfId="26007" xr:uid="{00000000-0005-0000-0000-00009F650000}"/>
    <cellStyle name="s_Cost_Benefit_2_PR Calc" xfId="26008" xr:uid="{00000000-0005-0000-0000-0000A0650000}"/>
    <cellStyle name="s_Cost_Benefit_2_PR Calc - DOMESTIC" xfId="26009" xr:uid="{00000000-0005-0000-0000-0000A1650000}"/>
    <cellStyle name="s_Cost_Benefit_2_RCIV Q3 2009 Capital Analysis CURRENT" xfId="26010" xr:uid="{00000000-0005-0000-0000-0000A2650000}"/>
    <cellStyle name="s_Cost_Benefit_2_Sheet1" xfId="26011" xr:uid="{00000000-0005-0000-0000-0000A3650000}"/>
    <cellStyle name="s_Cost_Benefit_AIF IV Financial Highlights 12-31-08 v4" xfId="26012" xr:uid="{00000000-0005-0000-0000-0000A4650000}"/>
    <cellStyle name="s_Cost_Benefit_AIF IV Financial Highlights 12-31-08 v4_Apollo Investment Fund IV  Q3 2009 Capital Analysis CURRENT" xfId="26013" xr:uid="{00000000-0005-0000-0000-0000A5650000}"/>
    <cellStyle name="s_Cost_Benefit_AIF IV Financial Highlights 12-31-08 v4_Apollo Investment Fund IV  Q3 2009 Capital Analysis iPCS &amp; URI Distribution" xfId="26014" xr:uid="{00000000-0005-0000-0000-0000A6650000}"/>
    <cellStyle name="s_Cost_Benefit_AIF IV Financial Highlights 12-31-08 v4_iPCs#1-Remaining" xfId="26015" xr:uid="{00000000-0005-0000-0000-0000A7650000}"/>
    <cellStyle name="s_Cost_Benefit_AIF VI - BondcoVI_Entities Invested Capital (CURRENT)" xfId="26016" xr:uid="{00000000-0005-0000-0000-0000A8650000}"/>
    <cellStyle name="s_Cost_Benefit_AIF VI Broadleaf Watefall Summary as of 6-30-09 FINAL" xfId="26017" xr:uid="{00000000-0005-0000-0000-0000A9650000}"/>
    <cellStyle name="s_Cost_Benefit_AIF VI Broadleaf Watefall Summary as of 9-30-09" xfId="26018" xr:uid="{00000000-0005-0000-0000-0000AA650000}"/>
    <cellStyle name="s_Cost_Benefit_Andy Affrick - Schedulev2" xfId="26019" xr:uid="{00000000-0005-0000-0000-0000AB650000}"/>
    <cellStyle name="s_Cost_Benefit_Apollo Investment Fund IV  April Priority Return" xfId="26020" xr:uid="{00000000-0005-0000-0000-0000AC650000}"/>
    <cellStyle name="s_Cost_Benefit_Apollo Investment Fund IV  Q1 2009 Capital Analysis 5-22-09 with GAAP" xfId="26021" xr:uid="{00000000-0005-0000-0000-0000AD650000}"/>
    <cellStyle name="s_Cost_Benefit_Apollo Investment Fund IV  Q1 2009 Capital Analysis GAAP" xfId="26022" xr:uid="{00000000-0005-0000-0000-0000AE650000}"/>
    <cellStyle name="s_Cost_Benefit_Apollo Investment Fund IV  Q2 2009 Capital Analysis CURRENT" xfId="26023" xr:uid="{00000000-0005-0000-0000-0000AF650000}"/>
    <cellStyle name="s_Cost_Benefit_Apollo Investment Fund IV  Q3 2009 Capital Analysis CURRENT" xfId="26024" xr:uid="{00000000-0005-0000-0000-0000B0650000}"/>
    <cellStyle name="s_Cost_Benefit_Apollo Investment Fund IV  Q3 2009 Capital Analysis iPCS &amp; URI Distribution" xfId="26025" xr:uid="{00000000-0005-0000-0000-0000B1650000}"/>
    <cellStyle name="s_Cost_Benefit_Apollo Investment Fund IV Priority Return 6-30-09" xfId="26026" xr:uid="{00000000-0005-0000-0000-0000B2650000}"/>
    <cellStyle name="s_Cost_Benefit_Apollo Investment Fund IV Q1 2009 Capital Analysis PR CORRECTED 6-30-09" xfId="26027" xr:uid="{00000000-0005-0000-0000-0000B3650000}"/>
    <cellStyle name="s_Cost_Benefit_Broadleaf Watefall 12-31-09" xfId="26028" xr:uid="{00000000-0005-0000-0000-0000B4650000}"/>
    <cellStyle name="s_Cost_Benefit_Broadleaf Watefall 6-30-09" xfId="26029" xr:uid="{00000000-0005-0000-0000-0000B5650000}"/>
    <cellStyle name="s_Cost_Benefit_Broadleaf Watefall 9-30-09" xfId="26030" xr:uid="{00000000-0005-0000-0000-0000B6650000}"/>
    <cellStyle name="s_Cost_Benefit_Carry Calculation" xfId="26031" xr:uid="{00000000-0005-0000-0000-0000B7650000}"/>
    <cellStyle name="s_Cost_Benefit_Fund IV" xfId="26032" xr:uid="{00000000-0005-0000-0000-0000B8650000}"/>
    <cellStyle name="s_Cost_Benefit_Fund IV 9.30.08" xfId="26033" xr:uid="{00000000-0005-0000-0000-0000B9650000}"/>
    <cellStyle name="s_Cost_Benefit_Fund IV_1" xfId="26034" xr:uid="{00000000-0005-0000-0000-0000BA650000}"/>
    <cellStyle name="s_Cost_Benefit_Funds IV Clawback Adjustment Summary" xfId="26035" xr:uid="{00000000-0005-0000-0000-0000BB650000}"/>
    <cellStyle name="s_Cost_Benefit_Funds IV Clawback Value Adjustment" xfId="26036" xr:uid="{00000000-0005-0000-0000-0000BC650000}"/>
    <cellStyle name="s_Cost_Benefit_IC Balance" xfId="26037" xr:uid="{00000000-0005-0000-0000-0000BD650000}"/>
    <cellStyle name="s_Cost_Benefit_Invested Capital Debt Worksheet" xfId="26038" xr:uid="{00000000-0005-0000-0000-0000BE650000}"/>
    <cellStyle name="s_Cost_Benefit_iPCs#1-Remaining" xfId="26039" xr:uid="{00000000-0005-0000-0000-0000BF650000}"/>
    <cellStyle name="s_Cost_Benefit_MMF Income" xfId="26040" xr:uid="{00000000-0005-0000-0000-0000C0650000}"/>
    <cellStyle name="s_Cost_Benefit_Partners Capital Q1 2009" xfId="26041" xr:uid="{00000000-0005-0000-0000-0000C1650000}"/>
    <cellStyle name="s_Cost_Benefit_Placement Fee Summary 05-14-09 - Current (2)" xfId="26042" xr:uid="{00000000-0005-0000-0000-0000C2650000}"/>
    <cellStyle name="s_Cost_Benefit_PR Calc" xfId="26043" xr:uid="{00000000-0005-0000-0000-0000C3650000}"/>
    <cellStyle name="s_Cost_Benefit_PR Calc - DOMESTIC" xfId="26044" xr:uid="{00000000-0005-0000-0000-0000C4650000}"/>
    <cellStyle name="s_Cost_Benefit_RCIV Q3 2009 Capital Analysis CURRENT" xfId="26045" xr:uid="{00000000-0005-0000-0000-0000C5650000}"/>
    <cellStyle name="s_DCF Inputs" xfId="26046" xr:uid="{00000000-0005-0000-0000-0000C6650000}"/>
    <cellStyle name="s_DCF Inputs 10" xfId="26047" xr:uid="{00000000-0005-0000-0000-0000C7650000}"/>
    <cellStyle name="s_DCF Inputs 11" xfId="26048" xr:uid="{00000000-0005-0000-0000-0000C8650000}"/>
    <cellStyle name="s_DCF Inputs 12" xfId="26049" xr:uid="{00000000-0005-0000-0000-0000C9650000}"/>
    <cellStyle name="s_DCF Inputs 13" xfId="26050" xr:uid="{00000000-0005-0000-0000-0000CA650000}"/>
    <cellStyle name="s_DCF Inputs 14" xfId="26051" xr:uid="{00000000-0005-0000-0000-0000CB650000}"/>
    <cellStyle name="s_DCF Inputs 15" xfId="26052" xr:uid="{00000000-0005-0000-0000-0000CC650000}"/>
    <cellStyle name="s_DCF Inputs 16" xfId="26053" xr:uid="{00000000-0005-0000-0000-0000CD650000}"/>
    <cellStyle name="s_DCF Inputs 17" xfId="26054" xr:uid="{00000000-0005-0000-0000-0000CE650000}"/>
    <cellStyle name="s_DCF Inputs 18" xfId="26055" xr:uid="{00000000-0005-0000-0000-0000CF650000}"/>
    <cellStyle name="s_DCF Inputs 19" xfId="26056" xr:uid="{00000000-0005-0000-0000-0000D0650000}"/>
    <cellStyle name="s_DCF Inputs 2" xfId="26057" xr:uid="{00000000-0005-0000-0000-0000D1650000}"/>
    <cellStyle name="s_DCF Inputs 2 2" xfId="26058" xr:uid="{00000000-0005-0000-0000-0000D2650000}"/>
    <cellStyle name="s_DCF Inputs 20" xfId="26059" xr:uid="{00000000-0005-0000-0000-0000D3650000}"/>
    <cellStyle name="s_DCF Inputs 21" xfId="26060" xr:uid="{00000000-0005-0000-0000-0000D4650000}"/>
    <cellStyle name="s_DCF Inputs 22" xfId="26061" xr:uid="{00000000-0005-0000-0000-0000D5650000}"/>
    <cellStyle name="s_DCF Inputs 23" xfId="26062" xr:uid="{00000000-0005-0000-0000-0000D6650000}"/>
    <cellStyle name="s_DCF Inputs 23 2" xfId="26063" xr:uid="{00000000-0005-0000-0000-0000D7650000}"/>
    <cellStyle name="s_DCF Inputs 3" xfId="26064" xr:uid="{00000000-0005-0000-0000-0000D8650000}"/>
    <cellStyle name="s_DCF Inputs 3 2" xfId="26065" xr:uid="{00000000-0005-0000-0000-0000D9650000}"/>
    <cellStyle name="s_DCF Inputs 4" xfId="26066" xr:uid="{00000000-0005-0000-0000-0000DA650000}"/>
    <cellStyle name="s_DCF Inputs 5" xfId="26067" xr:uid="{00000000-0005-0000-0000-0000DB650000}"/>
    <cellStyle name="s_DCF Inputs 6" xfId="26068" xr:uid="{00000000-0005-0000-0000-0000DC650000}"/>
    <cellStyle name="s_DCF Inputs 7" xfId="26069" xr:uid="{00000000-0005-0000-0000-0000DD650000}"/>
    <cellStyle name="s_DCF Inputs 8" xfId="26070" xr:uid="{00000000-0005-0000-0000-0000DE650000}"/>
    <cellStyle name="s_DCF Inputs 9" xfId="26071" xr:uid="{00000000-0005-0000-0000-0000DF650000}"/>
    <cellStyle name="s_DCF Inputs_{6} Clawback" xfId="26072" xr:uid="{00000000-0005-0000-0000-0000E0650000}"/>
    <cellStyle name="s_DCF Inputs_1" xfId="26073" xr:uid="{00000000-0005-0000-0000-0000E1650000}"/>
    <cellStyle name="s_DCF Inputs_1 10" xfId="26074" xr:uid="{00000000-0005-0000-0000-0000E2650000}"/>
    <cellStyle name="s_DCF Inputs_1 11" xfId="26075" xr:uid="{00000000-0005-0000-0000-0000E3650000}"/>
    <cellStyle name="s_DCF Inputs_1 12" xfId="26076" xr:uid="{00000000-0005-0000-0000-0000E4650000}"/>
    <cellStyle name="s_DCF Inputs_1 13" xfId="26077" xr:uid="{00000000-0005-0000-0000-0000E5650000}"/>
    <cellStyle name="s_DCF Inputs_1 14" xfId="26078" xr:uid="{00000000-0005-0000-0000-0000E6650000}"/>
    <cellStyle name="s_DCF Inputs_1 15" xfId="26079" xr:uid="{00000000-0005-0000-0000-0000E7650000}"/>
    <cellStyle name="s_DCF Inputs_1 16" xfId="26080" xr:uid="{00000000-0005-0000-0000-0000E8650000}"/>
    <cellStyle name="s_DCF Inputs_1 17" xfId="26081" xr:uid="{00000000-0005-0000-0000-0000E9650000}"/>
    <cellStyle name="s_DCF Inputs_1 18" xfId="26082" xr:uid="{00000000-0005-0000-0000-0000EA650000}"/>
    <cellStyle name="s_DCF Inputs_1 19" xfId="26083" xr:uid="{00000000-0005-0000-0000-0000EB650000}"/>
    <cellStyle name="s_DCF Inputs_1 2" xfId="26084" xr:uid="{00000000-0005-0000-0000-0000EC650000}"/>
    <cellStyle name="s_DCF Inputs_1 2 2" xfId="26085" xr:uid="{00000000-0005-0000-0000-0000ED650000}"/>
    <cellStyle name="s_DCF Inputs_1 20" xfId="26086" xr:uid="{00000000-0005-0000-0000-0000EE650000}"/>
    <cellStyle name="s_DCF Inputs_1 21" xfId="26087" xr:uid="{00000000-0005-0000-0000-0000EF650000}"/>
    <cellStyle name="s_DCF Inputs_1 22" xfId="26088" xr:uid="{00000000-0005-0000-0000-0000F0650000}"/>
    <cellStyle name="s_DCF Inputs_1 23" xfId="26089" xr:uid="{00000000-0005-0000-0000-0000F1650000}"/>
    <cellStyle name="s_DCF Inputs_1 23 2" xfId="26090" xr:uid="{00000000-0005-0000-0000-0000F2650000}"/>
    <cellStyle name="s_DCF Inputs_1 3" xfId="26091" xr:uid="{00000000-0005-0000-0000-0000F3650000}"/>
    <cellStyle name="s_DCF Inputs_1 3 2" xfId="26092" xr:uid="{00000000-0005-0000-0000-0000F4650000}"/>
    <cellStyle name="s_DCF Inputs_1 4" xfId="26093" xr:uid="{00000000-0005-0000-0000-0000F5650000}"/>
    <cellStyle name="s_DCF Inputs_1 5" xfId="26094" xr:uid="{00000000-0005-0000-0000-0000F6650000}"/>
    <cellStyle name="s_DCF Inputs_1 6" xfId="26095" xr:uid="{00000000-0005-0000-0000-0000F7650000}"/>
    <cellStyle name="s_DCF Inputs_1 7" xfId="26096" xr:uid="{00000000-0005-0000-0000-0000F8650000}"/>
    <cellStyle name="s_DCF Inputs_1 8" xfId="26097" xr:uid="{00000000-0005-0000-0000-0000F9650000}"/>
    <cellStyle name="s_DCF Inputs_1 9" xfId="26098" xr:uid="{00000000-0005-0000-0000-0000FA650000}"/>
    <cellStyle name="s_DCF Inputs_1_{6} Clawback" xfId="26099" xr:uid="{00000000-0005-0000-0000-0000FB650000}"/>
    <cellStyle name="s_DCF Inputs_1_AIF IV Financial Highlights 12-31-08 v4" xfId="26100" xr:uid="{00000000-0005-0000-0000-0000FC650000}"/>
    <cellStyle name="s_DCF Inputs_1_AIF IV Financial Highlights 12-31-08 v4_Apollo Investment Fund IV  Q3 2009 Capital Analysis CURRENT" xfId="26101" xr:uid="{00000000-0005-0000-0000-0000FD650000}"/>
    <cellStyle name="s_DCF Inputs_1_AIF IV Financial Highlights 12-31-08 v4_Apollo Investment Fund IV  Q3 2009 Capital Analysis iPCS &amp; URI Distribution" xfId="26102" xr:uid="{00000000-0005-0000-0000-0000FE650000}"/>
    <cellStyle name="s_DCF Inputs_1_AIF IV Financial Highlights 12-31-08 v4_iPCs#1-Remaining" xfId="26103" xr:uid="{00000000-0005-0000-0000-0000FF650000}"/>
    <cellStyle name="s_DCF Inputs_1_AIF VI - BondcoVI_Entities Invested Capital (CURRENT)" xfId="26104" xr:uid="{00000000-0005-0000-0000-000000660000}"/>
    <cellStyle name="s_DCF Inputs_1_AIF VI Broadleaf Watefall Summary as of 6-30-09 FINAL" xfId="26105" xr:uid="{00000000-0005-0000-0000-000001660000}"/>
    <cellStyle name="s_DCF Inputs_1_AIF VI Broadleaf Watefall Summary as of 9-30-09" xfId="26106" xr:uid="{00000000-0005-0000-0000-000002660000}"/>
    <cellStyle name="s_DCF Inputs_1_Andy Affrick - Schedulev2" xfId="26107" xr:uid="{00000000-0005-0000-0000-000003660000}"/>
    <cellStyle name="s_DCF Inputs_1_Apollo Advisors IV 12-31-08 GAAP TB Final" xfId="26108" xr:uid="{00000000-0005-0000-0000-000004660000}"/>
    <cellStyle name="s_DCF Inputs_1_Apollo Advisors IV 12-31-08 TB (Revised for Aggr PR)" xfId="26109" xr:uid="{00000000-0005-0000-0000-000005660000}"/>
    <cellStyle name="s_DCF Inputs_1_Apollo Advisors IV 6-30-09 GAAP TB" xfId="26110" xr:uid="{00000000-0005-0000-0000-000006660000}"/>
    <cellStyle name="s_DCF Inputs_1_Apollo Investment Fund IV  April Priority Return" xfId="26111" xr:uid="{00000000-0005-0000-0000-000007660000}"/>
    <cellStyle name="s_DCF Inputs_1_Apollo Investment Fund IV  Q1 2009 Capital Analysis 5-22-09 with GAAP" xfId="26112" xr:uid="{00000000-0005-0000-0000-000008660000}"/>
    <cellStyle name="s_DCF Inputs_1_Apollo Investment Fund IV  Q1 2009 Capital Analysis GAAP" xfId="26113" xr:uid="{00000000-0005-0000-0000-000009660000}"/>
    <cellStyle name="s_DCF Inputs_1_Apollo Investment Fund IV  Q2 2009 Capital Analysis CURRENT" xfId="26114" xr:uid="{00000000-0005-0000-0000-00000A660000}"/>
    <cellStyle name="s_DCF Inputs_1_Apollo Investment Fund IV  Q3 2009 Capital Analysis CURRENT" xfId="26115" xr:uid="{00000000-0005-0000-0000-00000B660000}"/>
    <cellStyle name="s_DCF Inputs_1_Apollo Investment Fund IV  Q3 2009 Capital Analysis iPCS &amp; URI Distribution" xfId="26116" xr:uid="{00000000-0005-0000-0000-00000C660000}"/>
    <cellStyle name="s_DCF Inputs_1_Apollo Investment Fund IV Q1 2009 Capital Analysis PR CORRECTED 6-30-09" xfId="26117" xr:uid="{00000000-0005-0000-0000-00000D660000}"/>
    <cellStyle name="s_DCF Inputs_1_Broadleaf Watefall 12-31-09" xfId="26118" xr:uid="{00000000-0005-0000-0000-00000E660000}"/>
    <cellStyle name="s_DCF Inputs_1_Broadleaf Watefall 6-30-09" xfId="26119" xr:uid="{00000000-0005-0000-0000-00000F660000}"/>
    <cellStyle name="s_DCF Inputs_1_Broadleaf Watefall 9-30-09" xfId="26120" xr:uid="{00000000-0005-0000-0000-000010660000}"/>
    <cellStyle name="s_DCF Inputs_1_Carry Calculation" xfId="26121" xr:uid="{00000000-0005-0000-0000-000011660000}"/>
    <cellStyle name="s_DCF Inputs_1_Fund IV" xfId="26122" xr:uid="{00000000-0005-0000-0000-000012660000}"/>
    <cellStyle name="s_DCF Inputs_1_Fund IV 9.30.08" xfId="26123" xr:uid="{00000000-0005-0000-0000-000013660000}"/>
    <cellStyle name="s_DCF Inputs_1_Fund IV_1" xfId="26124" xr:uid="{00000000-0005-0000-0000-000014660000}"/>
    <cellStyle name="s_DCF Inputs_1_Funds IV Clawback Adjustment Summary" xfId="26125" xr:uid="{00000000-0005-0000-0000-000015660000}"/>
    <cellStyle name="s_DCF Inputs_1_Funds IV Clawback Value Adjustment" xfId="26126" xr:uid="{00000000-0005-0000-0000-000016660000}"/>
    <cellStyle name="s_DCF Inputs_1_IC Balance" xfId="26127" xr:uid="{00000000-0005-0000-0000-000017660000}"/>
    <cellStyle name="s_DCF Inputs_1_Invested Capital Debt Worksheet" xfId="26128" xr:uid="{00000000-0005-0000-0000-000018660000}"/>
    <cellStyle name="s_DCF Inputs_1_Invested Capital Debt Worksheet_1" xfId="26129" xr:uid="{00000000-0005-0000-0000-000019660000}"/>
    <cellStyle name="s_DCF Inputs_1_iPCs#1-Remaining" xfId="26130" xr:uid="{00000000-0005-0000-0000-00001A660000}"/>
    <cellStyle name="s_DCF Inputs_1_MMF Income" xfId="26131" xr:uid="{00000000-0005-0000-0000-00001B660000}"/>
    <cellStyle name="s_DCF Inputs_1_Partners Capital Q1 2009" xfId="26132" xr:uid="{00000000-0005-0000-0000-00001C660000}"/>
    <cellStyle name="s_DCF Inputs_1_Placement Fee Summary 05-14-09 - Current (2)" xfId="26133" xr:uid="{00000000-0005-0000-0000-00001D660000}"/>
    <cellStyle name="s_DCF Inputs_1_PR Calc" xfId="26134" xr:uid="{00000000-0005-0000-0000-00001E660000}"/>
    <cellStyle name="s_DCF Inputs_1_PR Calc - DOMESTIC" xfId="26135" xr:uid="{00000000-0005-0000-0000-00001F660000}"/>
    <cellStyle name="s_DCF Inputs_1_RCIV Q3 2009 Capital Analysis CURRENT" xfId="26136" xr:uid="{00000000-0005-0000-0000-000020660000}"/>
    <cellStyle name="s_DCF Inputs_1_Sheet1" xfId="26137" xr:uid="{00000000-0005-0000-0000-000021660000}"/>
    <cellStyle name="s_DCF Inputs_2" xfId="26138" xr:uid="{00000000-0005-0000-0000-000022660000}"/>
    <cellStyle name="s_DCF Inputs_2 10" xfId="26139" xr:uid="{00000000-0005-0000-0000-000023660000}"/>
    <cellStyle name="s_DCF Inputs_2 11" xfId="26140" xr:uid="{00000000-0005-0000-0000-000024660000}"/>
    <cellStyle name="s_DCF Inputs_2 12" xfId="26141" xr:uid="{00000000-0005-0000-0000-000025660000}"/>
    <cellStyle name="s_DCF Inputs_2 13" xfId="26142" xr:uid="{00000000-0005-0000-0000-000026660000}"/>
    <cellStyle name="s_DCF Inputs_2 14" xfId="26143" xr:uid="{00000000-0005-0000-0000-000027660000}"/>
    <cellStyle name="s_DCF Inputs_2 15" xfId="26144" xr:uid="{00000000-0005-0000-0000-000028660000}"/>
    <cellStyle name="s_DCF Inputs_2 16" xfId="26145" xr:uid="{00000000-0005-0000-0000-000029660000}"/>
    <cellStyle name="s_DCF Inputs_2 17" xfId="26146" xr:uid="{00000000-0005-0000-0000-00002A660000}"/>
    <cellStyle name="s_DCF Inputs_2 18" xfId="26147" xr:uid="{00000000-0005-0000-0000-00002B660000}"/>
    <cellStyle name="s_DCF Inputs_2 19" xfId="26148" xr:uid="{00000000-0005-0000-0000-00002C660000}"/>
    <cellStyle name="s_DCF Inputs_2 2" xfId="26149" xr:uid="{00000000-0005-0000-0000-00002D660000}"/>
    <cellStyle name="s_DCF Inputs_2 2 2" xfId="26150" xr:uid="{00000000-0005-0000-0000-00002E660000}"/>
    <cellStyle name="s_DCF Inputs_2 20" xfId="26151" xr:uid="{00000000-0005-0000-0000-00002F660000}"/>
    <cellStyle name="s_DCF Inputs_2 21" xfId="26152" xr:uid="{00000000-0005-0000-0000-000030660000}"/>
    <cellStyle name="s_DCF Inputs_2 22" xfId="26153" xr:uid="{00000000-0005-0000-0000-000031660000}"/>
    <cellStyle name="s_DCF Inputs_2 23" xfId="26154" xr:uid="{00000000-0005-0000-0000-000032660000}"/>
    <cellStyle name="s_DCF Inputs_2 23 2" xfId="26155" xr:uid="{00000000-0005-0000-0000-000033660000}"/>
    <cellStyle name="s_DCF Inputs_2 3" xfId="26156" xr:uid="{00000000-0005-0000-0000-000034660000}"/>
    <cellStyle name="s_DCF Inputs_2 3 2" xfId="26157" xr:uid="{00000000-0005-0000-0000-000035660000}"/>
    <cellStyle name="s_DCF Inputs_2 4" xfId="26158" xr:uid="{00000000-0005-0000-0000-000036660000}"/>
    <cellStyle name="s_DCF Inputs_2 5" xfId="26159" xr:uid="{00000000-0005-0000-0000-000037660000}"/>
    <cellStyle name="s_DCF Inputs_2 6" xfId="26160" xr:uid="{00000000-0005-0000-0000-000038660000}"/>
    <cellStyle name="s_DCF Inputs_2 7" xfId="26161" xr:uid="{00000000-0005-0000-0000-000039660000}"/>
    <cellStyle name="s_DCF Inputs_2 8" xfId="26162" xr:uid="{00000000-0005-0000-0000-00003A660000}"/>
    <cellStyle name="s_DCF Inputs_2 9" xfId="26163" xr:uid="{00000000-0005-0000-0000-00003B660000}"/>
    <cellStyle name="s_DCF Inputs_2_{6} Clawback" xfId="26164" xr:uid="{00000000-0005-0000-0000-00003C660000}"/>
    <cellStyle name="s_DCF Inputs_2_AIF IV Financial Highlights 12-31-08 v4" xfId="26165" xr:uid="{00000000-0005-0000-0000-00003D660000}"/>
    <cellStyle name="s_DCF Inputs_2_AIF IV Financial Highlights 12-31-08 v4_Apollo Investment Fund IV  Q3 2009 Capital Analysis CURRENT" xfId="26166" xr:uid="{00000000-0005-0000-0000-00003E660000}"/>
    <cellStyle name="s_DCF Inputs_2_AIF IV Financial Highlights 12-31-08 v4_Apollo Investment Fund IV  Q3 2009 Capital Analysis iPCS &amp; URI Distribution" xfId="26167" xr:uid="{00000000-0005-0000-0000-00003F660000}"/>
    <cellStyle name="s_DCF Inputs_2_AIF IV Financial Highlights 12-31-08 v4_iPCs#1-Remaining" xfId="26168" xr:uid="{00000000-0005-0000-0000-000040660000}"/>
    <cellStyle name="s_DCF Inputs_2_AIF VI - BondcoVI_Entities Invested Capital (CURRENT)" xfId="26169" xr:uid="{00000000-0005-0000-0000-000041660000}"/>
    <cellStyle name="s_DCF Inputs_2_AIF VI Broadleaf Watefall Summary as of 6-30-09 FINAL" xfId="26170" xr:uid="{00000000-0005-0000-0000-000042660000}"/>
    <cellStyle name="s_DCF Inputs_2_AIF VI Broadleaf Watefall Summary as of 9-30-09" xfId="26171" xr:uid="{00000000-0005-0000-0000-000043660000}"/>
    <cellStyle name="s_DCF Inputs_2_Andy Affrick - Schedulev2" xfId="26172" xr:uid="{00000000-0005-0000-0000-000044660000}"/>
    <cellStyle name="s_DCF Inputs_2_Apollo Investment Fund IV  April Priority Return" xfId="26173" xr:uid="{00000000-0005-0000-0000-000045660000}"/>
    <cellStyle name="s_DCF Inputs_2_Apollo Investment Fund IV  Q1 2009 Capital Analysis 5-22-09 with GAAP" xfId="26174" xr:uid="{00000000-0005-0000-0000-000046660000}"/>
    <cellStyle name="s_DCF Inputs_2_Apollo Investment Fund IV  Q1 2009 Capital Analysis GAAP" xfId="26175" xr:uid="{00000000-0005-0000-0000-000047660000}"/>
    <cellStyle name="s_DCF Inputs_2_Apollo Investment Fund IV  Q2 2009 Capital Analysis CURRENT" xfId="26176" xr:uid="{00000000-0005-0000-0000-000048660000}"/>
    <cellStyle name="s_DCF Inputs_2_Apollo Investment Fund IV  Q3 2009 Capital Analysis CURRENT" xfId="26177" xr:uid="{00000000-0005-0000-0000-000049660000}"/>
    <cellStyle name="s_DCF Inputs_2_Apollo Investment Fund IV  Q3 2009 Capital Analysis iPCS &amp; URI Distribution" xfId="26178" xr:uid="{00000000-0005-0000-0000-00004A660000}"/>
    <cellStyle name="s_DCF Inputs_2_Apollo Investment Fund IV Q1 2009 Capital Analysis PR CORRECTED 6-30-09" xfId="26179" xr:uid="{00000000-0005-0000-0000-00004B660000}"/>
    <cellStyle name="s_DCF Inputs_2_Broadleaf Watefall 12-31-09" xfId="26180" xr:uid="{00000000-0005-0000-0000-00004C660000}"/>
    <cellStyle name="s_DCF Inputs_2_Broadleaf Watefall 6-30-09" xfId="26181" xr:uid="{00000000-0005-0000-0000-00004D660000}"/>
    <cellStyle name="s_DCF Inputs_2_Broadleaf Watefall 9-30-09" xfId="26182" xr:uid="{00000000-0005-0000-0000-00004E660000}"/>
    <cellStyle name="s_DCF Inputs_2_Carry Calculation" xfId="26183" xr:uid="{00000000-0005-0000-0000-00004F660000}"/>
    <cellStyle name="s_DCF Inputs_2_Fund IV" xfId="26184" xr:uid="{00000000-0005-0000-0000-000050660000}"/>
    <cellStyle name="s_DCF Inputs_2_Fund IV 9.30.08" xfId="26185" xr:uid="{00000000-0005-0000-0000-000051660000}"/>
    <cellStyle name="s_DCF Inputs_2_Fund IV_1" xfId="26186" xr:uid="{00000000-0005-0000-0000-000052660000}"/>
    <cellStyle name="s_DCF Inputs_2_Funds IV Clawback Adjustment Summary" xfId="26187" xr:uid="{00000000-0005-0000-0000-000053660000}"/>
    <cellStyle name="s_DCF Inputs_2_Funds IV Clawback Value Adjustment" xfId="26188" xr:uid="{00000000-0005-0000-0000-000054660000}"/>
    <cellStyle name="s_DCF Inputs_2_IC Balance" xfId="26189" xr:uid="{00000000-0005-0000-0000-000055660000}"/>
    <cellStyle name="s_DCF Inputs_2_Invested Capital Debt Worksheet" xfId="26190" xr:uid="{00000000-0005-0000-0000-000056660000}"/>
    <cellStyle name="s_DCF Inputs_2_iPCs#1-Remaining" xfId="26191" xr:uid="{00000000-0005-0000-0000-000057660000}"/>
    <cellStyle name="s_DCF Inputs_2_MMF Income" xfId="26192" xr:uid="{00000000-0005-0000-0000-000058660000}"/>
    <cellStyle name="s_DCF Inputs_2_Partners Capital Q1 2009" xfId="26193" xr:uid="{00000000-0005-0000-0000-000059660000}"/>
    <cellStyle name="s_DCF Inputs_2_Placement Fee Summary 05-14-09 - Current (2)" xfId="26194" xr:uid="{00000000-0005-0000-0000-00005A660000}"/>
    <cellStyle name="s_DCF Inputs_2_PR Calc" xfId="26195" xr:uid="{00000000-0005-0000-0000-00005B660000}"/>
    <cellStyle name="s_DCF Inputs_2_PR Calc - DOMESTIC" xfId="26196" xr:uid="{00000000-0005-0000-0000-00005C660000}"/>
    <cellStyle name="s_DCF Inputs_2_RCIV Q3 2009 Capital Analysis CURRENT" xfId="26197" xr:uid="{00000000-0005-0000-0000-00005D660000}"/>
    <cellStyle name="s_DCF Inputs_AIF IV Financial Highlights 12-31-08 v4" xfId="26198" xr:uid="{00000000-0005-0000-0000-00005E660000}"/>
    <cellStyle name="s_DCF Inputs_AIF IV Financial Highlights 12-31-08 v4_Apollo Investment Fund IV  Q3 2009 Capital Analysis CURRENT" xfId="26199" xr:uid="{00000000-0005-0000-0000-00005F660000}"/>
    <cellStyle name="s_DCF Inputs_AIF IV Financial Highlights 12-31-08 v4_Apollo Investment Fund IV  Q3 2009 Capital Analysis iPCS &amp; URI Distribution" xfId="26200" xr:uid="{00000000-0005-0000-0000-000060660000}"/>
    <cellStyle name="s_DCF Inputs_AIF IV Financial Highlights 12-31-08 v4_iPCs#1-Remaining" xfId="26201" xr:uid="{00000000-0005-0000-0000-000061660000}"/>
    <cellStyle name="s_DCF Inputs_AIF VI - BondcoVI_Entities Invested Capital (CURRENT)" xfId="26202" xr:uid="{00000000-0005-0000-0000-000062660000}"/>
    <cellStyle name="s_DCF Inputs_AIF VI Broadleaf Watefall Summary as of 6-30-09 FINAL" xfId="26203" xr:uid="{00000000-0005-0000-0000-000063660000}"/>
    <cellStyle name="s_DCF Inputs_AIF VI Broadleaf Watefall Summary as of 9-30-09" xfId="26204" xr:uid="{00000000-0005-0000-0000-000064660000}"/>
    <cellStyle name="s_DCF Inputs_Andy Affrick - Schedulev2" xfId="26205" xr:uid="{00000000-0005-0000-0000-000065660000}"/>
    <cellStyle name="s_DCF Inputs_Apollo Advisors IV 12-31-08 GAAP TB Final" xfId="26206" xr:uid="{00000000-0005-0000-0000-000066660000}"/>
    <cellStyle name="s_DCF Inputs_Apollo Advisors IV 12-31-08 TB (Revised for Aggr PR)" xfId="26207" xr:uid="{00000000-0005-0000-0000-000067660000}"/>
    <cellStyle name="s_DCF Inputs_Apollo Advisors IV 6-30-09 GAAP TB" xfId="26208" xr:uid="{00000000-0005-0000-0000-000068660000}"/>
    <cellStyle name="s_DCF Inputs_Apollo Investment Fund IV  April Priority Return" xfId="26209" xr:uid="{00000000-0005-0000-0000-000069660000}"/>
    <cellStyle name="s_DCF Inputs_Apollo Investment Fund IV  Q1 2009 Capital Analysis 5-22-09 with GAAP" xfId="26210" xr:uid="{00000000-0005-0000-0000-00006A660000}"/>
    <cellStyle name="s_DCF Inputs_Apollo Investment Fund IV  Q1 2009 Capital Analysis GAAP" xfId="26211" xr:uid="{00000000-0005-0000-0000-00006B660000}"/>
    <cellStyle name="s_DCF Inputs_Apollo Investment Fund IV  Q2 2009 Capital Analysis CURRENT" xfId="26212" xr:uid="{00000000-0005-0000-0000-00006C660000}"/>
    <cellStyle name="s_DCF Inputs_Apollo Investment Fund IV  Q3 2009 Capital Analysis CURRENT" xfId="26213" xr:uid="{00000000-0005-0000-0000-00006D660000}"/>
    <cellStyle name="s_DCF Inputs_Apollo Investment Fund IV  Q3 2009 Capital Analysis iPCS &amp; URI Distribution" xfId="26214" xr:uid="{00000000-0005-0000-0000-00006E660000}"/>
    <cellStyle name="s_DCF Inputs_Apollo Investment Fund IV Q1 2009 Capital Analysis PR CORRECTED 6-30-09" xfId="26215" xr:uid="{00000000-0005-0000-0000-00006F660000}"/>
    <cellStyle name="s_DCF Inputs_Broadleaf Watefall 12-31-09" xfId="26216" xr:uid="{00000000-0005-0000-0000-000070660000}"/>
    <cellStyle name="s_DCF Inputs_Broadleaf Watefall 6-30-09" xfId="26217" xr:uid="{00000000-0005-0000-0000-000071660000}"/>
    <cellStyle name="s_DCF Inputs_Broadleaf Watefall 9-30-09" xfId="26218" xr:uid="{00000000-0005-0000-0000-000072660000}"/>
    <cellStyle name="s_DCF Inputs_Carry Calculation" xfId="26219" xr:uid="{00000000-0005-0000-0000-000073660000}"/>
    <cellStyle name="s_DCF Inputs_Fund IV" xfId="26220" xr:uid="{00000000-0005-0000-0000-000074660000}"/>
    <cellStyle name="s_DCF Inputs_Fund IV 9.30.08" xfId="26221" xr:uid="{00000000-0005-0000-0000-000075660000}"/>
    <cellStyle name="s_DCF Inputs_Fund IV_1" xfId="26222" xr:uid="{00000000-0005-0000-0000-000076660000}"/>
    <cellStyle name="s_DCF Inputs_Funds IV Clawback Adjustment Summary" xfId="26223" xr:uid="{00000000-0005-0000-0000-000077660000}"/>
    <cellStyle name="s_DCF Inputs_Funds IV Clawback Value Adjustment" xfId="26224" xr:uid="{00000000-0005-0000-0000-000078660000}"/>
    <cellStyle name="s_DCF Inputs_IC Balance" xfId="26225" xr:uid="{00000000-0005-0000-0000-000079660000}"/>
    <cellStyle name="s_DCF Inputs_Invested Capital Debt Worksheet" xfId="26226" xr:uid="{00000000-0005-0000-0000-00007A660000}"/>
    <cellStyle name="s_DCF Inputs_Invested Capital Debt Worksheet_1" xfId="26227" xr:uid="{00000000-0005-0000-0000-00007B660000}"/>
    <cellStyle name="s_DCF Inputs_iPCs#1-Remaining" xfId="26228" xr:uid="{00000000-0005-0000-0000-00007C660000}"/>
    <cellStyle name="s_DCF Inputs_MMF Income" xfId="26229" xr:uid="{00000000-0005-0000-0000-00007D660000}"/>
    <cellStyle name="s_DCF Inputs_Partners Capital Q1 2009" xfId="26230" xr:uid="{00000000-0005-0000-0000-00007E660000}"/>
    <cellStyle name="s_DCF Inputs_Placement Fee Summary 05-14-09 - Current (2)" xfId="26231" xr:uid="{00000000-0005-0000-0000-00007F660000}"/>
    <cellStyle name="s_DCF Inputs_PR Calc" xfId="26232" xr:uid="{00000000-0005-0000-0000-000080660000}"/>
    <cellStyle name="s_DCF Inputs_PR Calc - DOMESTIC" xfId="26233" xr:uid="{00000000-0005-0000-0000-000081660000}"/>
    <cellStyle name="s_DCF Inputs_RCIV Q3 2009 Capital Analysis CURRENT" xfId="26234" xr:uid="{00000000-0005-0000-0000-000082660000}"/>
    <cellStyle name="s_DCF Inputs_Sheet1" xfId="26235" xr:uid="{00000000-0005-0000-0000-000083660000}"/>
    <cellStyle name="s_DCF Matrix" xfId="26236" xr:uid="{00000000-0005-0000-0000-000084660000}"/>
    <cellStyle name="s_DCF Matrix 10" xfId="26237" xr:uid="{00000000-0005-0000-0000-000085660000}"/>
    <cellStyle name="s_DCF Matrix 11" xfId="26238" xr:uid="{00000000-0005-0000-0000-000086660000}"/>
    <cellStyle name="s_DCF Matrix 12" xfId="26239" xr:uid="{00000000-0005-0000-0000-000087660000}"/>
    <cellStyle name="s_DCF Matrix 13" xfId="26240" xr:uid="{00000000-0005-0000-0000-000088660000}"/>
    <cellStyle name="s_DCF Matrix 14" xfId="26241" xr:uid="{00000000-0005-0000-0000-000089660000}"/>
    <cellStyle name="s_DCF Matrix 15" xfId="26242" xr:uid="{00000000-0005-0000-0000-00008A660000}"/>
    <cellStyle name="s_DCF Matrix 16" xfId="26243" xr:uid="{00000000-0005-0000-0000-00008B660000}"/>
    <cellStyle name="s_DCF Matrix 17" xfId="26244" xr:uid="{00000000-0005-0000-0000-00008C660000}"/>
    <cellStyle name="s_DCF Matrix 18" xfId="26245" xr:uid="{00000000-0005-0000-0000-00008D660000}"/>
    <cellStyle name="s_DCF Matrix 19" xfId="26246" xr:uid="{00000000-0005-0000-0000-00008E660000}"/>
    <cellStyle name="s_DCF Matrix 2" xfId="26247" xr:uid="{00000000-0005-0000-0000-00008F660000}"/>
    <cellStyle name="s_DCF Matrix 2 2" xfId="26248" xr:uid="{00000000-0005-0000-0000-000090660000}"/>
    <cellStyle name="s_DCF Matrix 20" xfId="26249" xr:uid="{00000000-0005-0000-0000-000091660000}"/>
    <cellStyle name="s_DCF Matrix 21" xfId="26250" xr:uid="{00000000-0005-0000-0000-000092660000}"/>
    <cellStyle name="s_DCF Matrix 22" xfId="26251" xr:uid="{00000000-0005-0000-0000-000093660000}"/>
    <cellStyle name="s_DCF Matrix 23" xfId="26252" xr:uid="{00000000-0005-0000-0000-000094660000}"/>
    <cellStyle name="s_DCF Matrix 23 2" xfId="26253" xr:uid="{00000000-0005-0000-0000-000095660000}"/>
    <cellStyle name="s_DCF Matrix 3" xfId="26254" xr:uid="{00000000-0005-0000-0000-000096660000}"/>
    <cellStyle name="s_DCF Matrix 3 2" xfId="26255" xr:uid="{00000000-0005-0000-0000-000097660000}"/>
    <cellStyle name="s_DCF Matrix 4" xfId="26256" xr:uid="{00000000-0005-0000-0000-000098660000}"/>
    <cellStyle name="s_DCF Matrix 5" xfId="26257" xr:uid="{00000000-0005-0000-0000-000099660000}"/>
    <cellStyle name="s_DCF Matrix 6" xfId="26258" xr:uid="{00000000-0005-0000-0000-00009A660000}"/>
    <cellStyle name="s_DCF Matrix 7" xfId="26259" xr:uid="{00000000-0005-0000-0000-00009B660000}"/>
    <cellStyle name="s_DCF Matrix 8" xfId="26260" xr:uid="{00000000-0005-0000-0000-00009C660000}"/>
    <cellStyle name="s_DCF Matrix 9" xfId="26261" xr:uid="{00000000-0005-0000-0000-00009D660000}"/>
    <cellStyle name="s_DCF Matrix_{6} Clawback" xfId="26262" xr:uid="{00000000-0005-0000-0000-00009E660000}"/>
    <cellStyle name="s_DCF Matrix_1" xfId="26263" xr:uid="{00000000-0005-0000-0000-00009F660000}"/>
    <cellStyle name="s_DCF Matrix_1 10" xfId="26264" xr:uid="{00000000-0005-0000-0000-0000A0660000}"/>
    <cellStyle name="s_DCF Matrix_1 11" xfId="26265" xr:uid="{00000000-0005-0000-0000-0000A1660000}"/>
    <cellStyle name="s_DCF Matrix_1 12" xfId="26266" xr:uid="{00000000-0005-0000-0000-0000A2660000}"/>
    <cellStyle name="s_DCF Matrix_1 13" xfId="26267" xr:uid="{00000000-0005-0000-0000-0000A3660000}"/>
    <cellStyle name="s_DCF Matrix_1 14" xfId="26268" xr:uid="{00000000-0005-0000-0000-0000A4660000}"/>
    <cellStyle name="s_DCF Matrix_1 15" xfId="26269" xr:uid="{00000000-0005-0000-0000-0000A5660000}"/>
    <cellStyle name="s_DCF Matrix_1 16" xfId="26270" xr:uid="{00000000-0005-0000-0000-0000A6660000}"/>
    <cellStyle name="s_DCF Matrix_1 17" xfId="26271" xr:uid="{00000000-0005-0000-0000-0000A7660000}"/>
    <cellStyle name="s_DCF Matrix_1 18" xfId="26272" xr:uid="{00000000-0005-0000-0000-0000A8660000}"/>
    <cellStyle name="s_DCF Matrix_1 19" xfId="26273" xr:uid="{00000000-0005-0000-0000-0000A9660000}"/>
    <cellStyle name="s_DCF Matrix_1 2" xfId="26274" xr:uid="{00000000-0005-0000-0000-0000AA660000}"/>
    <cellStyle name="s_DCF Matrix_1 2 2" xfId="26275" xr:uid="{00000000-0005-0000-0000-0000AB660000}"/>
    <cellStyle name="s_DCF Matrix_1 20" xfId="26276" xr:uid="{00000000-0005-0000-0000-0000AC660000}"/>
    <cellStyle name="s_DCF Matrix_1 21" xfId="26277" xr:uid="{00000000-0005-0000-0000-0000AD660000}"/>
    <cellStyle name="s_DCF Matrix_1 22" xfId="26278" xr:uid="{00000000-0005-0000-0000-0000AE660000}"/>
    <cellStyle name="s_DCF Matrix_1 23" xfId="26279" xr:uid="{00000000-0005-0000-0000-0000AF660000}"/>
    <cellStyle name="s_DCF Matrix_1 23 2" xfId="26280" xr:uid="{00000000-0005-0000-0000-0000B0660000}"/>
    <cellStyle name="s_DCF Matrix_1 3" xfId="26281" xr:uid="{00000000-0005-0000-0000-0000B1660000}"/>
    <cellStyle name="s_DCF Matrix_1 3 2" xfId="26282" xr:uid="{00000000-0005-0000-0000-0000B2660000}"/>
    <cellStyle name="s_DCF Matrix_1 4" xfId="26283" xr:uid="{00000000-0005-0000-0000-0000B3660000}"/>
    <cellStyle name="s_DCF Matrix_1 5" xfId="26284" xr:uid="{00000000-0005-0000-0000-0000B4660000}"/>
    <cellStyle name="s_DCF Matrix_1 6" xfId="26285" xr:uid="{00000000-0005-0000-0000-0000B5660000}"/>
    <cellStyle name="s_DCF Matrix_1 7" xfId="26286" xr:uid="{00000000-0005-0000-0000-0000B6660000}"/>
    <cellStyle name="s_DCF Matrix_1 8" xfId="26287" xr:uid="{00000000-0005-0000-0000-0000B7660000}"/>
    <cellStyle name="s_DCF Matrix_1 9" xfId="26288" xr:uid="{00000000-0005-0000-0000-0000B8660000}"/>
    <cellStyle name="s_DCF Matrix_1_{6} Clawback" xfId="26289" xr:uid="{00000000-0005-0000-0000-0000B9660000}"/>
    <cellStyle name="s_DCF Matrix_1_AIF IV Financial Highlights 12-31-08 v4" xfId="26290" xr:uid="{00000000-0005-0000-0000-0000BA660000}"/>
    <cellStyle name="s_DCF Matrix_1_AIF IV Financial Highlights 12-31-08 v4_Apollo Investment Fund IV  Q3 2009 Capital Analysis CURRENT" xfId="26291" xr:uid="{00000000-0005-0000-0000-0000BB660000}"/>
    <cellStyle name="s_DCF Matrix_1_AIF IV Financial Highlights 12-31-08 v4_Apollo Investment Fund IV  Q3 2009 Capital Analysis iPCS &amp; URI Distribution" xfId="26292" xr:uid="{00000000-0005-0000-0000-0000BC660000}"/>
    <cellStyle name="s_DCF Matrix_1_AIF IV Financial Highlights 12-31-08 v4_iPCs#1-Remaining" xfId="26293" xr:uid="{00000000-0005-0000-0000-0000BD660000}"/>
    <cellStyle name="s_DCF Matrix_1_AIF VI - BondcoVI_Entities Invested Capital (CURRENT)" xfId="26294" xr:uid="{00000000-0005-0000-0000-0000BE660000}"/>
    <cellStyle name="s_DCF Matrix_1_AIF VI Broadleaf Watefall Summary as of 6-30-09 FINAL" xfId="26295" xr:uid="{00000000-0005-0000-0000-0000BF660000}"/>
    <cellStyle name="s_DCF Matrix_1_AIF VI Broadleaf Watefall Summary as of 9-30-09" xfId="26296" xr:uid="{00000000-0005-0000-0000-0000C0660000}"/>
    <cellStyle name="s_DCF Matrix_1_Andy Affrick - Schedulev2" xfId="26297" xr:uid="{00000000-0005-0000-0000-0000C1660000}"/>
    <cellStyle name="s_DCF Matrix_1_Apollo Advisors IV 12-31-08 GAAP TB Final" xfId="26298" xr:uid="{00000000-0005-0000-0000-0000C2660000}"/>
    <cellStyle name="s_DCF Matrix_1_Apollo Advisors IV 12-31-08 TB (Revised for Aggr PR)" xfId="26299" xr:uid="{00000000-0005-0000-0000-0000C3660000}"/>
    <cellStyle name="s_DCF Matrix_1_Apollo Advisors IV 6-30-09 GAAP TB" xfId="26300" xr:uid="{00000000-0005-0000-0000-0000C4660000}"/>
    <cellStyle name="s_DCF Matrix_1_Apollo Investment Fund IV  April Priority Return" xfId="26301" xr:uid="{00000000-0005-0000-0000-0000C5660000}"/>
    <cellStyle name="s_DCF Matrix_1_Apollo Investment Fund IV  Q1 2009 Capital Analysis 5-22-09 with GAAP" xfId="26302" xr:uid="{00000000-0005-0000-0000-0000C6660000}"/>
    <cellStyle name="s_DCF Matrix_1_Apollo Investment Fund IV  Q1 2009 Capital Analysis GAAP" xfId="26303" xr:uid="{00000000-0005-0000-0000-0000C7660000}"/>
    <cellStyle name="s_DCF Matrix_1_Apollo Investment Fund IV  Q2 2009 Capital Analysis CURRENT" xfId="26304" xr:uid="{00000000-0005-0000-0000-0000C8660000}"/>
    <cellStyle name="s_DCF Matrix_1_Apollo Investment Fund IV  Q3 2009 Capital Analysis CURRENT" xfId="26305" xr:uid="{00000000-0005-0000-0000-0000C9660000}"/>
    <cellStyle name="s_DCF Matrix_1_Apollo Investment Fund IV  Q3 2009 Capital Analysis iPCS &amp; URI Distribution" xfId="26306" xr:uid="{00000000-0005-0000-0000-0000CA660000}"/>
    <cellStyle name="s_DCF Matrix_1_Apollo Investment Fund IV Q1 2009 Capital Analysis PR CORRECTED 6-30-09" xfId="26307" xr:uid="{00000000-0005-0000-0000-0000CB660000}"/>
    <cellStyle name="s_DCF Matrix_1_Broadleaf Watefall 12-31-09" xfId="26308" xr:uid="{00000000-0005-0000-0000-0000CC660000}"/>
    <cellStyle name="s_DCF Matrix_1_Broadleaf Watefall 6-30-09" xfId="26309" xr:uid="{00000000-0005-0000-0000-0000CD660000}"/>
    <cellStyle name="s_DCF Matrix_1_Broadleaf Watefall 9-30-09" xfId="26310" xr:uid="{00000000-0005-0000-0000-0000CE660000}"/>
    <cellStyle name="s_DCF Matrix_1_Carry Calculation" xfId="26311" xr:uid="{00000000-0005-0000-0000-0000CF660000}"/>
    <cellStyle name="s_DCF Matrix_1_Fund IV" xfId="26312" xr:uid="{00000000-0005-0000-0000-0000D0660000}"/>
    <cellStyle name="s_DCF Matrix_1_Fund IV 9.30.08" xfId="26313" xr:uid="{00000000-0005-0000-0000-0000D1660000}"/>
    <cellStyle name="s_DCF Matrix_1_Fund IV_1" xfId="26314" xr:uid="{00000000-0005-0000-0000-0000D2660000}"/>
    <cellStyle name="s_DCF Matrix_1_Funds IV Clawback Adjustment Summary" xfId="26315" xr:uid="{00000000-0005-0000-0000-0000D3660000}"/>
    <cellStyle name="s_DCF Matrix_1_Funds IV Clawback Value Adjustment" xfId="26316" xr:uid="{00000000-0005-0000-0000-0000D4660000}"/>
    <cellStyle name="s_DCF Matrix_1_IC Balance" xfId="26317" xr:uid="{00000000-0005-0000-0000-0000D5660000}"/>
    <cellStyle name="s_DCF Matrix_1_Invested Capital Debt Worksheet" xfId="26318" xr:uid="{00000000-0005-0000-0000-0000D6660000}"/>
    <cellStyle name="s_DCF Matrix_1_Invested Capital Debt Worksheet_1" xfId="26319" xr:uid="{00000000-0005-0000-0000-0000D7660000}"/>
    <cellStyle name="s_DCF Matrix_1_iPCs#1-Remaining" xfId="26320" xr:uid="{00000000-0005-0000-0000-0000D8660000}"/>
    <cellStyle name="s_DCF Matrix_1_MMF Income" xfId="26321" xr:uid="{00000000-0005-0000-0000-0000D9660000}"/>
    <cellStyle name="s_DCF Matrix_1_Partners Capital Q1 2009" xfId="26322" xr:uid="{00000000-0005-0000-0000-0000DA660000}"/>
    <cellStyle name="s_DCF Matrix_1_Placement Fee Summary 05-14-09 - Current (2)" xfId="26323" xr:uid="{00000000-0005-0000-0000-0000DB660000}"/>
    <cellStyle name="s_DCF Matrix_1_PR Calc" xfId="26324" xr:uid="{00000000-0005-0000-0000-0000DC660000}"/>
    <cellStyle name="s_DCF Matrix_1_PR Calc - DOMESTIC" xfId="26325" xr:uid="{00000000-0005-0000-0000-0000DD660000}"/>
    <cellStyle name="s_DCF Matrix_1_RCIV Q3 2009 Capital Analysis CURRENT" xfId="26326" xr:uid="{00000000-0005-0000-0000-0000DE660000}"/>
    <cellStyle name="s_DCF Matrix_1_Sheet1" xfId="26327" xr:uid="{00000000-0005-0000-0000-0000DF660000}"/>
    <cellStyle name="s_DCF Matrix_2" xfId="26328" xr:uid="{00000000-0005-0000-0000-0000E0660000}"/>
    <cellStyle name="s_DCF Matrix_2 10" xfId="26329" xr:uid="{00000000-0005-0000-0000-0000E1660000}"/>
    <cellStyle name="s_DCF Matrix_2 11" xfId="26330" xr:uid="{00000000-0005-0000-0000-0000E2660000}"/>
    <cellStyle name="s_DCF Matrix_2 12" xfId="26331" xr:uid="{00000000-0005-0000-0000-0000E3660000}"/>
    <cellStyle name="s_DCF Matrix_2 13" xfId="26332" xr:uid="{00000000-0005-0000-0000-0000E4660000}"/>
    <cellStyle name="s_DCF Matrix_2 14" xfId="26333" xr:uid="{00000000-0005-0000-0000-0000E5660000}"/>
    <cellStyle name="s_DCF Matrix_2 15" xfId="26334" xr:uid="{00000000-0005-0000-0000-0000E6660000}"/>
    <cellStyle name="s_DCF Matrix_2 16" xfId="26335" xr:uid="{00000000-0005-0000-0000-0000E7660000}"/>
    <cellStyle name="s_DCF Matrix_2 17" xfId="26336" xr:uid="{00000000-0005-0000-0000-0000E8660000}"/>
    <cellStyle name="s_DCF Matrix_2 18" xfId="26337" xr:uid="{00000000-0005-0000-0000-0000E9660000}"/>
    <cellStyle name="s_DCF Matrix_2 19" xfId="26338" xr:uid="{00000000-0005-0000-0000-0000EA660000}"/>
    <cellStyle name="s_DCF Matrix_2 2" xfId="26339" xr:uid="{00000000-0005-0000-0000-0000EB660000}"/>
    <cellStyle name="s_DCF Matrix_2 2 2" xfId="26340" xr:uid="{00000000-0005-0000-0000-0000EC660000}"/>
    <cellStyle name="s_DCF Matrix_2 20" xfId="26341" xr:uid="{00000000-0005-0000-0000-0000ED660000}"/>
    <cellStyle name="s_DCF Matrix_2 21" xfId="26342" xr:uid="{00000000-0005-0000-0000-0000EE660000}"/>
    <cellStyle name="s_DCF Matrix_2 22" xfId="26343" xr:uid="{00000000-0005-0000-0000-0000EF660000}"/>
    <cellStyle name="s_DCF Matrix_2 23" xfId="26344" xr:uid="{00000000-0005-0000-0000-0000F0660000}"/>
    <cellStyle name="s_DCF Matrix_2 23 2" xfId="26345" xr:uid="{00000000-0005-0000-0000-0000F1660000}"/>
    <cellStyle name="s_DCF Matrix_2 3" xfId="26346" xr:uid="{00000000-0005-0000-0000-0000F2660000}"/>
    <cellStyle name="s_DCF Matrix_2 3 2" xfId="26347" xr:uid="{00000000-0005-0000-0000-0000F3660000}"/>
    <cellStyle name="s_DCF Matrix_2 4" xfId="26348" xr:uid="{00000000-0005-0000-0000-0000F4660000}"/>
    <cellStyle name="s_DCF Matrix_2 5" xfId="26349" xr:uid="{00000000-0005-0000-0000-0000F5660000}"/>
    <cellStyle name="s_DCF Matrix_2 6" xfId="26350" xr:uid="{00000000-0005-0000-0000-0000F6660000}"/>
    <cellStyle name="s_DCF Matrix_2 7" xfId="26351" xr:uid="{00000000-0005-0000-0000-0000F7660000}"/>
    <cellStyle name="s_DCF Matrix_2 8" xfId="26352" xr:uid="{00000000-0005-0000-0000-0000F8660000}"/>
    <cellStyle name="s_DCF Matrix_2 9" xfId="26353" xr:uid="{00000000-0005-0000-0000-0000F9660000}"/>
    <cellStyle name="s_DCF Matrix_2_{6} Clawback" xfId="26354" xr:uid="{00000000-0005-0000-0000-0000FA660000}"/>
    <cellStyle name="s_DCF Matrix_2_AIF IV Financial Highlights 12-31-08 v4" xfId="26355" xr:uid="{00000000-0005-0000-0000-0000FB660000}"/>
    <cellStyle name="s_DCF Matrix_2_AIF IV Financial Highlights 12-31-08 v4_Apollo Investment Fund IV  Q3 2009 Capital Analysis CURRENT" xfId="26356" xr:uid="{00000000-0005-0000-0000-0000FC660000}"/>
    <cellStyle name="s_DCF Matrix_2_AIF IV Financial Highlights 12-31-08 v4_Apollo Investment Fund IV  Q3 2009 Capital Analysis iPCS &amp; URI Distribution" xfId="26357" xr:uid="{00000000-0005-0000-0000-0000FD660000}"/>
    <cellStyle name="s_DCF Matrix_2_AIF IV Financial Highlights 12-31-08 v4_iPCs#1-Remaining" xfId="26358" xr:uid="{00000000-0005-0000-0000-0000FE660000}"/>
    <cellStyle name="s_DCF Matrix_2_AIF VI - BondcoVI_Entities Invested Capital (CURRENT)" xfId="26359" xr:uid="{00000000-0005-0000-0000-0000FF660000}"/>
    <cellStyle name="s_DCF Matrix_2_AIF VI Broadleaf Watefall Summary as of 6-30-09 FINAL" xfId="26360" xr:uid="{00000000-0005-0000-0000-000000670000}"/>
    <cellStyle name="s_DCF Matrix_2_AIF VI Broadleaf Watefall Summary as of 9-30-09" xfId="26361" xr:uid="{00000000-0005-0000-0000-000001670000}"/>
    <cellStyle name="s_DCF Matrix_2_Andy Affrick - Schedulev2" xfId="26362" xr:uid="{00000000-0005-0000-0000-000002670000}"/>
    <cellStyle name="s_DCF Matrix_2_Apollo Advisors IV 12-31-08 GAAP TB Final" xfId="26363" xr:uid="{00000000-0005-0000-0000-000003670000}"/>
    <cellStyle name="s_DCF Matrix_2_Apollo Advisors IV 12-31-08 TB (Revised for Aggr PR)" xfId="26364" xr:uid="{00000000-0005-0000-0000-000004670000}"/>
    <cellStyle name="s_DCF Matrix_2_Apollo Advisors IV 6-30-09 GAAP TB" xfId="26365" xr:uid="{00000000-0005-0000-0000-000005670000}"/>
    <cellStyle name="s_DCF Matrix_2_Apollo Investment Fund IV  April Priority Return" xfId="26366" xr:uid="{00000000-0005-0000-0000-000006670000}"/>
    <cellStyle name="s_DCF Matrix_2_Apollo Investment Fund IV  Q1 2009 Capital Analysis 5-22-09 with GAAP" xfId="26367" xr:uid="{00000000-0005-0000-0000-000007670000}"/>
    <cellStyle name="s_DCF Matrix_2_Apollo Investment Fund IV  Q1 2009 Capital Analysis GAAP" xfId="26368" xr:uid="{00000000-0005-0000-0000-000008670000}"/>
    <cellStyle name="s_DCF Matrix_2_Apollo Investment Fund IV  Q2 2009 Capital Analysis CURRENT" xfId="26369" xr:uid="{00000000-0005-0000-0000-000009670000}"/>
    <cellStyle name="s_DCF Matrix_2_Apollo Investment Fund IV  Q3 2009 Capital Analysis CURRENT" xfId="26370" xr:uid="{00000000-0005-0000-0000-00000A670000}"/>
    <cellStyle name="s_DCF Matrix_2_Apollo Investment Fund IV  Q3 2009 Capital Analysis iPCS &amp; URI Distribution" xfId="26371" xr:uid="{00000000-0005-0000-0000-00000B670000}"/>
    <cellStyle name="s_DCF Matrix_2_Apollo Investment Fund IV Q1 2009 Capital Analysis PR CORRECTED 6-30-09" xfId="26372" xr:uid="{00000000-0005-0000-0000-00000C670000}"/>
    <cellStyle name="s_DCF Matrix_2_Broadleaf Watefall 12-31-09" xfId="26373" xr:uid="{00000000-0005-0000-0000-00000D670000}"/>
    <cellStyle name="s_DCF Matrix_2_Broadleaf Watefall 6-30-09" xfId="26374" xr:uid="{00000000-0005-0000-0000-00000E670000}"/>
    <cellStyle name="s_DCF Matrix_2_Broadleaf Watefall 9-30-09" xfId="26375" xr:uid="{00000000-0005-0000-0000-00000F670000}"/>
    <cellStyle name="s_DCF Matrix_2_Carry Calculation" xfId="26376" xr:uid="{00000000-0005-0000-0000-000010670000}"/>
    <cellStyle name="s_DCF Matrix_2_Fund IV" xfId="26377" xr:uid="{00000000-0005-0000-0000-000011670000}"/>
    <cellStyle name="s_DCF Matrix_2_Fund IV 9.30.08" xfId="26378" xr:uid="{00000000-0005-0000-0000-000012670000}"/>
    <cellStyle name="s_DCF Matrix_2_Fund IV_1" xfId="26379" xr:uid="{00000000-0005-0000-0000-000013670000}"/>
    <cellStyle name="s_DCF Matrix_2_Funds IV Clawback Adjustment Summary" xfId="26380" xr:uid="{00000000-0005-0000-0000-000014670000}"/>
    <cellStyle name="s_DCF Matrix_2_Funds IV Clawback Value Adjustment" xfId="26381" xr:uid="{00000000-0005-0000-0000-000015670000}"/>
    <cellStyle name="s_DCF Matrix_2_IC Balance" xfId="26382" xr:uid="{00000000-0005-0000-0000-000016670000}"/>
    <cellStyle name="s_DCF Matrix_2_Invested Capital Debt Worksheet" xfId="26383" xr:uid="{00000000-0005-0000-0000-000017670000}"/>
    <cellStyle name="s_DCF Matrix_2_Invested Capital Debt Worksheet_1" xfId="26384" xr:uid="{00000000-0005-0000-0000-000018670000}"/>
    <cellStyle name="s_DCF Matrix_2_iPCs#1-Remaining" xfId="26385" xr:uid="{00000000-0005-0000-0000-000019670000}"/>
    <cellStyle name="s_DCF Matrix_2_MMF Income" xfId="26386" xr:uid="{00000000-0005-0000-0000-00001A670000}"/>
    <cellStyle name="s_DCF Matrix_2_Partners Capital Q1 2009" xfId="26387" xr:uid="{00000000-0005-0000-0000-00001B670000}"/>
    <cellStyle name="s_DCF Matrix_2_Placement Fee Summary 05-14-09 - Current (2)" xfId="26388" xr:uid="{00000000-0005-0000-0000-00001C670000}"/>
    <cellStyle name="s_DCF Matrix_2_PR Calc" xfId="26389" xr:uid="{00000000-0005-0000-0000-00001D670000}"/>
    <cellStyle name="s_DCF Matrix_2_PR Calc - DOMESTIC" xfId="26390" xr:uid="{00000000-0005-0000-0000-00001E670000}"/>
    <cellStyle name="s_DCF Matrix_2_RCIV Q3 2009 Capital Analysis CURRENT" xfId="26391" xr:uid="{00000000-0005-0000-0000-00001F670000}"/>
    <cellStyle name="s_DCF Matrix_2_Sheet1" xfId="26392" xr:uid="{00000000-0005-0000-0000-000020670000}"/>
    <cellStyle name="s_DCF Matrix_AIF IV Financial Highlights 12-31-08 v4" xfId="26393" xr:uid="{00000000-0005-0000-0000-000021670000}"/>
    <cellStyle name="s_DCF Matrix_AIF IV Financial Highlights 12-31-08 v4_Apollo Investment Fund IV  Q3 2009 Capital Analysis CURRENT" xfId="26394" xr:uid="{00000000-0005-0000-0000-000022670000}"/>
    <cellStyle name="s_DCF Matrix_AIF IV Financial Highlights 12-31-08 v4_Apollo Investment Fund IV  Q3 2009 Capital Analysis iPCS &amp; URI Distribution" xfId="26395" xr:uid="{00000000-0005-0000-0000-000023670000}"/>
    <cellStyle name="s_DCF Matrix_AIF IV Financial Highlights 12-31-08 v4_iPCs#1-Remaining" xfId="26396" xr:uid="{00000000-0005-0000-0000-000024670000}"/>
    <cellStyle name="s_DCF Matrix_AIF VI - BondcoVI_Entities Invested Capital (CURRENT)" xfId="26397" xr:uid="{00000000-0005-0000-0000-000025670000}"/>
    <cellStyle name="s_DCF Matrix_AIF VI Broadleaf Watefall Summary as of 6-30-09 FINAL" xfId="26398" xr:uid="{00000000-0005-0000-0000-000026670000}"/>
    <cellStyle name="s_DCF Matrix_AIF VI Broadleaf Watefall Summary as of 9-30-09" xfId="26399" xr:uid="{00000000-0005-0000-0000-000027670000}"/>
    <cellStyle name="s_DCF Matrix_Andy Affrick - Schedulev2" xfId="26400" xr:uid="{00000000-0005-0000-0000-000028670000}"/>
    <cellStyle name="s_DCF Matrix_Apollo Investment Fund IV  April Priority Return" xfId="26401" xr:uid="{00000000-0005-0000-0000-000029670000}"/>
    <cellStyle name="s_DCF Matrix_Apollo Investment Fund IV  Q1 2009 Capital Analysis 5-22-09 with GAAP" xfId="26402" xr:uid="{00000000-0005-0000-0000-00002A670000}"/>
    <cellStyle name="s_DCF Matrix_Apollo Investment Fund IV  Q1 2009 Capital Analysis GAAP" xfId="26403" xr:uid="{00000000-0005-0000-0000-00002B670000}"/>
    <cellStyle name="s_DCF Matrix_Apollo Investment Fund IV  Q2 2009 Capital Analysis CURRENT" xfId="26404" xr:uid="{00000000-0005-0000-0000-00002C670000}"/>
    <cellStyle name="s_DCF Matrix_Apollo Investment Fund IV  Q3 2009 Capital Analysis CURRENT" xfId="26405" xr:uid="{00000000-0005-0000-0000-00002D670000}"/>
    <cellStyle name="s_DCF Matrix_Apollo Investment Fund IV  Q3 2009 Capital Analysis iPCS &amp; URI Distribution" xfId="26406" xr:uid="{00000000-0005-0000-0000-00002E670000}"/>
    <cellStyle name="s_DCF Matrix_Apollo Investment Fund IV Q1 2009 Capital Analysis PR CORRECTED 6-30-09" xfId="26407" xr:uid="{00000000-0005-0000-0000-00002F670000}"/>
    <cellStyle name="s_DCF Matrix_Broadleaf Watefall 12-31-09" xfId="26408" xr:uid="{00000000-0005-0000-0000-000030670000}"/>
    <cellStyle name="s_DCF Matrix_Broadleaf Watefall 6-30-09" xfId="26409" xr:uid="{00000000-0005-0000-0000-000031670000}"/>
    <cellStyle name="s_DCF Matrix_Broadleaf Watefall 9-30-09" xfId="26410" xr:uid="{00000000-0005-0000-0000-000032670000}"/>
    <cellStyle name="s_DCF Matrix_Carry Calculation" xfId="26411" xr:uid="{00000000-0005-0000-0000-000033670000}"/>
    <cellStyle name="s_DCF Matrix_Fund IV" xfId="26412" xr:uid="{00000000-0005-0000-0000-000034670000}"/>
    <cellStyle name="s_DCF Matrix_Fund IV 9.30.08" xfId="26413" xr:uid="{00000000-0005-0000-0000-000035670000}"/>
    <cellStyle name="s_DCF Matrix_Fund IV_1" xfId="26414" xr:uid="{00000000-0005-0000-0000-000036670000}"/>
    <cellStyle name="s_DCF Matrix_Funds IV Clawback Adjustment Summary" xfId="26415" xr:uid="{00000000-0005-0000-0000-000037670000}"/>
    <cellStyle name="s_DCF Matrix_Funds IV Clawback Value Adjustment" xfId="26416" xr:uid="{00000000-0005-0000-0000-000038670000}"/>
    <cellStyle name="s_DCF Matrix_IC Balance" xfId="26417" xr:uid="{00000000-0005-0000-0000-000039670000}"/>
    <cellStyle name="s_DCF Matrix_Invested Capital Debt Worksheet" xfId="26418" xr:uid="{00000000-0005-0000-0000-00003A670000}"/>
    <cellStyle name="s_DCF Matrix_iPCs#1-Remaining" xfId="26419" xr:uid="{00000000-0005-0000-0000-00003B670000}"/>
    <cellStyle name="s_DCF Matrix_MMF Income" xfId="26420" xr:uid="{00000000-0005-0000-0000-00003C670000}"/>
    <cellStyle name="s_DCF Matrix_Partners Capital Q1 2009" xfId="26421" xr:uid="{00000000-0005-0000-0000-00003D670000}"/>
    <cellStyle name="s_DCF Matrix_Placement Fee Summary 05-14-09 - Current (2)" xfId="26422" xr:uid="{00000000-0005-0000-0000-00003E670000}"/>
    <cellStyle name="s_DCF Matrix_PR Calc" xfId="26423" xr:uid="{00000000-0005-0000-0000-00003F670000}"/>
    <cellStyle name="s_DCF Matrix_PR Calc - DOMESTIC" xfId="26424" xr:uid="{00000000-0005-0000-0000-000040670000}"/>
    <cellStyle name="s_DCF Matrix_RCIV Q3 2009 Capital Analysis CURRENT" xfId="26425" xr:uid="{00000000-0005-0000-0000-000041670000}"/>
    <cellStyle name="s_Earnings (2)" xfId="26426" xr:uid="{00000000-0005-0000-0000-000042670000}"/>
    <cellStyle name="s_Earnings (2) 10" xfId="26427" xr:uid="{00000000-0005-0000-0000-000043670000}"/>
    <cellStyle name="s_Earnings (2) 11" xfId="26428" xr:uid="{00000000-0005-0000-0000-000044670000}"/>
    <cellStyle name="s_Earnings (2) 12" xfId="26429" xr:uid="{00000000-0005-0000-0000-000045670000}"/>
    <cellStyle name="s_Earnings (2) 13" xfId="26430" xr:uid="{00000000-0005-0000-0000-000046670000}"/>
    <cellStyle name="s_Earnings (2) 14" xfId="26431" xr:uid="{00000000-0005-0000-0000-000047670000}"/>
    <cellStyle name="s_Earnings (2) 15" xfId="26432" xr:uid="{00000000-0005-0000-0000-000048670000}"/>
    <cellStyle name="s_Earnings (2) 16" xfId="26433" xr:uid="{00000000-0005-0000-0000-000049670000}"/>
    <cellStyle name="s_Earnings (2) 17" xfId="26434" xr:uid="{00000000-0005-0000-0000-00004A670000}"/>
    <cellStyle name="s_Earnings (2) 18" xfId="26435" xr:uid="{00000000-0005-0000-0000-00004B670000}"/>
    <cellStyle name="s_Earnings (2) 19" xfId="26436" xr:uid="{00000000-0005-0000-0000-00004C670000}"/>
    <cellStyle name="s_Earnings (2) 2" xfId="26437" xr:uid="{00000000-0005-0000-0000-00004D670000}"/>
    <cellStyle name="s_Earnings (2) 2 2" xfId="26438" xr:uid="{00000000-0005-0000-0000-00004E670000}"/>
    <cellStyle name="s_Earnings (2) 20" xfId="26439" xr:uid="{00000000-0005-0000-0000-00004F670000}"/>
    <cellStyle name="s_Earnings (2) 21" xfId="26440" xr:uid="{00000000-0005-0000-0000-000050670000}"/>
    <cellStyle name="s_Earnings (2) 22" xfId="26441" xr:uid="{00000000-0005-0000-0000-000051670000}"/>
    <cellStyle name="s_Earnings (2) 23" xfId="26442" xr:uid="{00000000-0005-0000-0000-000052670000}"/>
    <cellStyle name="s_Earnings (2) 23 2" xfId="26443" xr:uid="{00000000-0005-0000-0000-000053670000}"/>
    <cellStyle name="s_Earnings (2) 3" xfId="26444" xr:uid="{00000000-0005-0000-0000-000054670000}"/>
    <cellStyle name="s_Earnings (2) 3 2" xfId="26445" xr:uid="{00000000-0005-0000-0000-000055670000}"/>
    <cellStyle name="s_Earnings (2) 4" xfId="26446" xr:uid="{00000000-0005-0000-0000-000056670000}"/>
    <cellStyle name="s_Earnings (2) 5" xfId="26447" xr:uid="{00000000-0005-0000-0000-000057670000}"/>
    <cellStyle name="s_Earnings (2) 6" xfId="26448" xr:uid="{00000000-0005-0000-0000-000058670000}"/>
    <cellStyle name="s_Earnings (2) 7" xfId="26449" xr:uid="{00000000-0005-0000-0000-000059670000}"/>
    <cellStyle name="s_Earnings (2) 8" xfId="26450" xr:uid="{00000000-0005-0000-0000-00005A670000}"/>
    <cellStyle name="s_Earnings (2) 9" xfId="26451" xr:uid="{00000000-0005-0000-0000-00005B670000}"/>
    <cellStyle name="s_Earnings (2)_{6} Clawback" xfId="26452" xr:uid="{00000000-0005-0000-0000-00005C670000}"/>
    <cellStyle name="s_Earnings (2)_1" xfId="26453" xr:uid="{00000000-0005-0000-0000-00005D670000}"/>
    <cellStyle name="s_Earnings (2)_1 10" xfId="26454" xr:uid="{00000000-0005-0000-0000-00005E670000}"/>
    <cellStyle name="s_Earnings (2)_1 11" xfId="26455" xr:uid="{00000000-0005-0000-0000-00005F670000}"/>
    <cellStyle name="s_Earnings (2)_1 12" xfId="26456" xr:uid="{00000000-0005-0000-0000-000060670000}"/>
    <cellStyle name="s_Earnings (2)_1 13" xfId="26457" xr:uid="{00000000-0005-0000-0000-000061670000}"/>
    <cellStyle name="s_Earnings (2)_1 14" xfId="26458" xr:uid="{00000000-0005-0000-0000-000062670000}"/>
    <cellStyle name="s_Earnings (2)_1 15" xfId="26459" xr:uid="{00000000-0005-0000-0000-000063670000}"/>
    <cellStyle name="s_Earnings (2)_1 16" xfId="26460" xr:uid="{00000000-0005-0000-0000-000064670000}"/>
    <cellStyle name="s_Earnings (2)_1 17" xfId="26461" xr:uid="{00000000-0005-0000-0000-000065670000}"/>
    <cellStyle name="s_Earnings (2)_1 18" xfId="26462" xr:uid="{00000000-0005-0000-0000-000066670000}"/>
    <cellStyle name="s_Earnings (2)_1 19" xfId="26463" xr:uid="{00000000-0005-0000-0000-000067670000}"/>
    <cellStyle name="s_Earnings (2)_1 2" xfId="26464" xr:uid="{00000000-0005-0000-0000-000068670000}"/>
    <cellStyle name="s_Earnings (2)_1 2 2" xfId="26465" xr:uid="{00000000-0005-0000-0000-000069670000}"/>
    <cellStyle name="s_Earnings (2)_1 20" xfId="26466" xr:uid="{00000000-0005-0000-0000-00006A670000}"/>
    <cellStyle name="s_Earnings (2)_1 21" xfId="26467" xr:uid="{00000000-0005-0000-0000-00006B670000}"/>
    <cellStyle name="s_Earnings (2)_1 22" xfId="26468" xr:uid="{00000000-0005-0000-0000-00006C670000}"/>
    <cellStyle name="s_Earnings (2)_1 23" xfId="26469" xr:uid="{00000000-0005-0000-0000-00006D670000}"/>
    <cellStyle name="s_Earnings (2)_1 23 2" xfId="26470" xr:uid="{00000000-0005-0000-0000-00006E670000}"/>
    <cellStyle name="s_Earnings (2)_1 3" xfId="26471" xr:uid="{00000000-0005-0000-0000-00006F670000}"/>
    <cellStyle name="s_Earnings (2)_1 3 2" xfId="26472" xr:uid="{00000000-0005-0000-0000-000070670000}"/>
    <cellStyle name="s_Earnings (2)_1 4" xfId="26473" xr:uid="{00000000-0005-0000-0000-000071670000}"/>
    <cellStyle name="s_Earnings (2)_1 5" xfId="26474" xr:uid="{00000000-0005-0000-0000-000072670000}"/>
    <cellStyle name="s_Earnings (2)_1 6" xfId="26475" xr:uid="{00000000-0005-0000-0000-000073670000}"/>
    <cellStyle name="s_Earnings (2)_1 7" xfId="26476" xr:uid="{00000000-0005-0000-0000-000074670000}"/>
    <cellStyle name="s_Earnings (2)_1 8" xfId="26477" xr:uid="{00000000-0005-0000-0000-000075670000}"/>
    <cellStyle name="s_Earnings (2)_1 9" xfId="26478" xr:uid="{00000000-0005-0000-0000-000076670000}"/>
    <cellStyle name="s_Earnings (2)_1_{6} Clawback" xfId="26479" xr:uid="{00000000-0005-0000-0000-000077670000}"/>
    <cellStyle name="s_Earnings (2)_1_AIF IV Financial Highlights 12-31-08 v4" xfId="26480" xr:uid="{00000000-0005-0000-0000-000078670000}"/>
    <cellStyle name="s_Earnings (2)_1_AIF IV Financial Highlights 12-31-08 v4_Apollo Investment Fund IV  Q3 2009 Capital Analysis CURRENT" xfId="26481" xr:uid="{00000000-0005-0000-0000-000079670000}"/>
    <cellStyle name="s_Earnings (2)_1_AIF IV Financial Highlights 12-31-08 v4_Apollo Investment Fund IV  Q3 2009 Capital Analysis iPCS &amp; URI Distribution" xfId="26482" xr:uid="{00000000-0005-0000-0000-00007A670000}"/>
    <cellStyle name="s_Earnings (2)_1_AIF IV Financial Highlights 12-31-08 v4_iPCs#1-Remaining" xfId="26483" xr:uid="{00000000-0005-0000-0000-00007B670000}"/>
    <cellStyle name="s_Earnings (2)_1_AIF VI - BondcoVI_Entities Invested Capital (CURRENT)" xfId="26484" xr:uid="{00000000-0005-0000-0000-00007C670000}"/>
    <cellStyle name="s_Earnings (2)_1_AIF VI Broadleaf Watefall Summary as of 6-30-09 FINAL" xfId="26485" xr:uid="{00000000-0005-0000-0000-00007D670000}"/>
    <cellStyle name="s_Earnings (2)_1_AIF VI Broadleaf Watefall Summary as of 9-30-09" xfId="26486" xr:uid="{00000000-0005-0000-0000-00007E670000}"/>
    <cellStyle name="s_Earnings (2)_1_Andy Affrick - Schedulev2" xfId="26487" xr:uid="{00000000-0005-0000-0000-00007F670000}"/>
    <cellStyle name="s_Earnings (2)_1_Apollo Advisors IV 12-31-08 GAAP TB Final" xfId="26488" xr:uid="{00000000-0005-0000-0000-000080670000}"/>
    <cellStyle name="s_Earnings (2)_1_Apollo Advisors IV 12-31-08 TB (Revised for Aggr PR)" xfId="26489" xr:uid="{00000000-0005-0000-0000-000081670000}"/>
    <cellStyle name="s_Earnings (2)_1_Apollo Advisors IV 6-30-09 GAAP TB" xfId="26490" xr:uid="{00000000-0005-0000-0000-000082670000}"/>
    <cellStyle name="s_Earnings (2)_1_Apollo Investment Fund IV  April Priority Return" xfId="26491" xr:uid="{00000000-0005-0000-0000-000083670000}"/>
    <cellStyle name="s_Earnings (2)_1_Apollo Investment Fund IV  Q1 2009 Capital Analysis 5-22-09 with GAAP" xfId="26492" xr:uid="{00000000-0005-0000-0000-000084670000}"/>
    <cellStyle name="s_Earnings (2)_1_Apollo Investment Fund IV  Q1 2009 Capital Analysis GAAP" xfId="26493" xr:uid="{00000000-0005-0000-0000-000085670000}"/>
    <cellStyle name="s_Earnings (2)_1_Apollo Investment Fund IV  Q2 2009 Capital Analysis CURRENT" xfId="26494" xr:uid="{00000000-0005-0000-0000-000086670000}"/>
    <cellStyle name="s_Earnings (2)_1_Apollo Investment Fund IV  Q3 2009 Capital Analysis CURRENT" xfId="26495" xr:uid="{00000000-0005-0000-0000-000087670000}"/>
    <cellStyle name="s_Earnings (2)_1_Apollo Investment Fund IV  Q3 2009 Capital Analysis iPCS &amp; URI Distribution" xfId="26496" xr:uid="{00000000-0005-0000-0000-000088670000}"/>
    <cellStyle name="s_Earnings (2)_1_Apollo Investment Fund IV Q1 2009 Capital Analysis PR CORRECTED 6-30-09" xfId="26497" xr:uid="{00000000-0005-0000-0000-000089670000}"/>
    <cellStyle name="s_Earnings (2)_1_Broadleaf Watefall 12-31-09" xfId="26498" xr:uid="{00000000-0005-0000-0000-00008A670000}"/>
    <cellStyle name="s_Earnings (2)_1_Broadleaf Watefall 6-30-09" xfId="26499" xr:uid="{00000000-0005-0000-0000-00008B670000}"/>
    <cellStyle name="s_Earnings (2)_1_Broadleaf Watefall 9-30-09" xfId="26500" xr:uid="{00000000-0005-0000-0000-00008C670000}"/>
    <cellStyle name="s_Earnings (2)_1_Carry Calculation" xfId="26501" xr:uid="{00000000-0005-0000-0000-00008D670000}"/>
    <cellStyle name="s_Earnings (2)_1_Fund IV" xfId="26502" xr:uid="{00000000-0005-0000-0000-00008E670000}"/>
    <cellStyle name="s_Earnings (2)_1_Fund IV 9.30.08" xfId="26503" xr:uid="{00000000-0005-0000-0000-00008F670000}"/>
    <cellStyle name="s_Earnings (2)_1_Fund IV_1" xfId="26504" xr:uid="{00000000-0005-0000-0000-000090670000}"/>
    <cellStyle name="s_Earnings (2)_1_Funds IV Clawback Adjustment Summary" xfId="26505" xr:uid="{00000000-0005-0000-0000-000091670000}"/>
    <cellStyle name="s_Earnings (2)_1_Funds IV Clawback Value Adjustment" xfId="26506" xr:uid="{00000000-0005-0000-0000-000092670000}"/>
    <cellStyle name="s_Earnings (2)_1_IC Balance" xfId="26507" xr:uid="{00000000-0005-0000-0000-000093670000}"/>
    <cellStyle name="s_Earnings (2)_1_Invested Capital Debt Worksheet" xfId="26508" xr:uid="{00000000-0005-0000-0000-000094670000}"/>
    <cellStyle name="s_Earnings (2)_1_Invested Capital Debt Worksheet_1" xfId="26509" xr:uid="{00000000-0005-0000-0000-000095670000}"/>
    <cellStyle name="s_Earnings (2)_1_iPCs#1-Remaining" xfId="26510" xr:uid="{00000000-0005-0000-0000-000096670000}"/>
    <cellStyle name="s_Earnings (2)_1_MMF Income" xfId="26511" xr:uid="{00000000-0005-0000-0000-000097670000}"/>
    <cellStyle name="s_Earnings (2)_1_Partners Capital Q1 2009" xfId="26512" xr:uid="{00000000-0005-0000-0000-000098670000}"/>
    <cellStyle name="s_Earnings (2)_1_Placement Fee Summary 05-14-09 - Current (2)" xfId="26513" xr:uid="{00000000-0005-0000-0000-000099670000}"/>
    <cellStyle name="s_Earnings (2)_1_PR Calc" xfId="26514" xr:uid="{00000000-0005-0000-0000-00009A670000}"/>
    <cellStyle name="s_Earnings (2)_1_PR Calc - DOMESTIC" xfId="26515" xr:uid="{00000000-0005-0000-0000-00009B670000}"/>
    <cellStyle name="s_Earnings (2)_1_RCIV Q3 2009 Capital Analysis CURRENT" xfId="26516" xr:uid="{00000000-0005-0000-0000-00009C670000}"/>
    <cellStyle name="s_Earnings (2)_1_Sheet1" xfId="26517" xr:uid="{00000000-0005-0000-0000-00009D670000}"/>
    <cellStyle name="s_Earnings (2)_2" xfId="26518" xr:uid="{00000000-0005-0000-0000-00009E670000}"/>
    <cellStyle name="s_Earnings (2)_2 10" xfId="26519" xr:uid="{00000000-0005-0000-0000-00009F670000}"/>
    <cellStyle name="s_Earnings (2)_2 11" xfId="26520" xr:uid="{00000000-0005-0000-0000-0000A0670000}"/>
    <cellStyle name="s_Earnings (2)_2 12" xfId="26521" xr:uid="{00000000-0005-0000-0000-0000A1670000}"/>
    <cellStyle name="s_Earnings (2)_2 13" xfId="26522" xr:uid="{00000000-0005-0000-0000-0000A2670000}"/>
    <cellStyle name="s_Earnings (2)_2 14" xfId="26523" xr:uid="{00000000-0005-0000-0000-0000A3670000}"/>
    <cellStyle name="s_Earnings (2)_2 15" xfId="26524" xr:uid="{00000000-0005-0000-0000-0000A4670000}"/>
    <cellStyle name="s_Earnings (2)_2 16" xfId="26525" xr:uid="{00000000-0005-0000-0000-0000A5670000}"/>
    <cellStyle name="s_Earnings (2)_2 17" xfId="26526" xr:uid="{00000000-0005-0000-0000-0000A6670000}"/>
    <cellStyle name="s_Earnings (2)_2 18" xfId="26527" xr:uid="{00000000-0005-0000-0000-0000A7670000}"/>
    <cellStyle name="s_Earnings (2)_2 19" xfId="26528" xr:uid="{00000000-0005-0000-0000-0000A8670000}"/>
    <cellStyle name="s_Earnings (2)_2 2" xfId="26529" xr:uid="{00000000-0005-0000-0000-0000A9670000}"/>
    <cellStyle name="s_Earnings (2)_2 2 2" xfId="26530" xr:uid="{00000000-0005-0000-0000-0000AA670000}"/>
    <cellStyle name="s_Earnings (2)_2 20" xfId="26531" xr:uid="{00000000-0005-0000-0000-0000AB670000}"/>
    <cellStyle name="s_Earnings (2)_2 21" xfId="26532" xr:uid="{00000000-0005-0000-0000-0000AC670000}"/>
    <cellStyle name="s_Earnings (2)_2 22" xfId="26533" xr:uid="{00000000-0005-0000-0000-0000AD670000}"/>
    <cellStyle name="s_Earnings (2)_2 23" xfId="26534" xr:uid="{00000000-0005-0000-0000-0000AE670000}"/>
    <cellStyle name="s_Earnings (2)_2 23 2" xfId="26535" xr:uid="{00000000-0005-0000-0000-0000AF670000}"/>
    <cellStyle name="s_Earnings (2)_2 3" xfId="26536" xr:uid="{00000000-0005-0000-0000-0000B0670000}"/>
    <cellStyle name="s_Earnings (2)_2 3 2" xfId="26537" xr:uid="{00000000-0005-0000-0000-0000B1670000}"/>
    <cellStyle name="s_Earnings (2)_2 4" xfId="26538" xr:uid="{00000000-0005-0000-0000-0000B2670000}"/>
    <cellStyle name="s_Earnings (2)_2 5" xfId="26539" xr:uid="{00000000-0005-0000-0000-0000B3670000}"/>
    <cellStyle name="s_Earnings (2)_2 6" xfId="26540" xr:uid="{00000000-0005-0000-0000-0000B4670000}"/>
    <cellStyle name="s_Earnings (2)_2 7" xfId="26541" xr:uid="{00000000-0005-0000-0000-0000B5670000}"/>
    <cellStyle name="s_Earnings (2)_2 8" xfId="26542" xr:uid="{00000000-0005-0000-0000-0000B6670000}"/>
    <cellStyle name="s_Earnings (2)_2 9" xfId="26543" xr:uid="{00000000-0005-0000-0000-0000B7670000}"/>
    <cellStyle name="s_Earnings (2)_2_{6} Clawback" xfId="26544" xr:uid="{00000000-0005-0000-0000-0000B8670000}"/>
    <cellStyle name="s_Earnings (2)_2_AIF IV Financial Highlights 12-31-08 v4" xfId="26545" xr:uid="{00000000-0005-0000-0000-0000B9670000}"/>
    <cellStyle name="s_Earnings (2)_2_AIF IV Financial Highlights 12-31-08 v4_Apollo Investment Fund IV  Q3 2009 Capital Analysis CURRENT" xfId="26546" xr:uid="{00000000-0005-0000-0000-0000BA670000}"/>
    <cellStyle name="s_Earnings (2)_2_AIF IV Financial Highlights 12-31-08 v4_Apollo Investment Fund IV  Q3 2009 Capital Analysis iPCS &amp; URI Distribution" xfId="26547" xr:uid="{00000000-0005-0000-0000-0000BB670000}"/>
    <cellStyle name="s_Earnings (2)_2_AIF IV Financial Highlights 12-31-08 v4_iPCs#1-Remaining" xfId="26548" xr:uid="{00000000-0005-0000-0000-0000BC670000}"/>
    <cellStyle name="s_Earnings (2)_2_AIF VI - BondcoVI_Entities Invested Capital (CURRENT)" xfId="26549" xr:uid="{00000000-0005-0000-0000-0000BD670000}"/>
    <cellStyle name="s_Earnings (2)_2_AIF VI Broadleaf Watefall Summary as of 6-30-09 FINAL" xfId="26550" xr:uid="{00000000-0005-0000-0000-0000BE670000}"/>
    <cellStyle name="s_Earnings (2)_2_AIF VI Broadleaf Watefall Summary as of 9-30-09" xfId="26551" xr:uid="{00000000-0005-0000-0000-0000BF670000}"/>
    <cellStyle name="s_Earnings (2)_2_Andy Affrick - Schedulev2" xfId="26552" xr:uid="{00000000-0005-0000-0000-0000C0670000}"/>
    <cellStyle name="s_Earnings (2)_2_Apollo Investment Fund IV  April Priority Return" xfId="26553" xr:uid="{00000000-0005-0000-0000-0000C1670000}"/>
    <cellStyle name="s_Earnings (2)_2_Apollo Investment Fund IV  Q1 2009 Capital Analysis 5-22-09 with GAAP" xfId="26554" xr:uid="{00000000-0005-0000-0000-0000C2670000}"/>
    <cellStyle name="s_Earnings (2)_2_Apollo Investment Fund IV  Q1 2009 Capital Analysis GAAP" xfId="26555" xr:uid="{00000000-0005-0000-0000-0000C3670000}"/>
    <cellStyle name="s_Earnings (2)_2_Apollo Investment Fund IV  Q2 2009 Capital Analysis CURRENT" xfId="26556" xr:uid="{00000000-0005-0000-0000-0000C4670000}"/>
    <cellStyle name="s_Earnings (2)_2_Apollo Investment Fund IV  Q3 2009 Capital Analysis CURRENT" xfId="26557" xr:uid="{00000000-0005-0000-0000-0000C5670000}"/>
    <cellStyle name="s_Earnings (2)_2_Apollo Investment Fund IV  Q3 2009 Capital Analysis iPCS &amp; URI Distribution" xfId="26558" xr:uid="{00000000-0005-0000-0000-0000C6670000}"/>
    <cellStyle name="s_Earnings (2)_2_Apollo Investment Fund IV Q1 2009 Capital Analysis PR CORRECTED 6-30-09" xfId="26559" xr:uid="{00000000-0005-0000-0000-0000C7670000}"/>
    <cellStyle name="s_Earnings (2)_2_Broadleaf Watefall 12-31-09" xfId="26560" xr:uid="{00000000-0005-0000-0000-0000C8670000}"/>
    <cellStyle name="s_Earnings (2)_2_Broadleaf Watefall 6-30-09" xfId="26561" xr:uid="{00000000-0005-0000-0000-0000C9670000}"/>
    <cellStyle name="s_Earnings (2)_2_Broadleaf Watefall 9-30-09" xfId="26562" xr:uid="{00000000-0005-0000-0000-0000CA670000}"/>
    <cellStyle name="s_Earnings (2)_2_Carry Calculation" xfId="26563" xr:uid="{00000000-0005-0000-0000-0000CB670000}"/>
    <cellStyle name="s_Earnings (2)_2_Fund IV" xfId="26564" xr:uid="{00000000-0005-0000-0000-0000CC670000}"/>
    <cellStyle name="s_Earnings (2)_2_Fund IV 9.30.08" xfId="26565" xr:uid="{00000000-0005-0000-0000-0000CD670000}"/>
    <cellStyle name="s_Earnings (2)_2_Fund IV_1" xfId="26566" xr:uid="{00000000-0005-0000-0000-0000CE670000}"/>
    <cellStyle name="s_Earnings (2)_2_Funds IV Clawback Adjustment Summary" xfId="26567" xr:uid="{00000000-0005-0000-0000-0000CF670000}"/>
    <cellStyle name="s_Earnings (2)_2_Funds IV Clawback Value Adjustment" xfId="26568" xr:uid="{00000000-0005-0000-0000-0000D0670000}"/>
    <cellStyle name="s_Earnings (2)_2_IC Balance" xfId="26569" xr:uid="{00000000-0005-0000-0000-0000D1670000}"/>
    <cellStyle name="s_Earnings (2)_2_Invested Capital Debt Worksheet" xfId="26570" xr:uid="{00000000-0005-0000-0000-0000D2670000}"/>
    <cellStyle name="s_Earnings (2)_2_iPCs#1-Remaining" xfId="26571" xr:uid="{00000000-0005-0000-0000-0000D3670000}"/>
    <cellStyle name="s_Earnings (2)_2_MMF Income" xfId="26572" xr:uid="{00000000-0005-0000-0000-0000D4670000}"/>
    <cellStyle name="s_Earnings (2)_2_Partners Capital Q1 2009" xfId="26573" xr:uid="{00000000-0005-0000-0000-0000D5670000}"/>
    <cellStyle name="s_Earnings (2)_2_Placement Fee Summary 05-14-09 - Current (2)" xfId="26574" xr:uid="{00000000-0005-0000-0000-0000D6670000}"/>
    <cellStyle name="s_Earnings (2)_2_PR Calc" xfId="26575" xr:uid="{00000000-0005-0000-0000-0000D7670000}"/>
    <cellStyle name="s_Earnings (2)_2_PR Calc - DOMESTIC" xfId="26576" xr:uid="{00000000-0005-0000-0000-0000D8670000}"/>
    <cellStyle name="s_Earnings (2)_2_RCIV Q3 2009 Capital Analysis CURRENT" xfId="26577" xr:uid="{00000000-0005-0000-0000-0000D9670000}"/>
    <cellStyle name="s_Earnings (2)_AIF IV Financial Highlights 12-31-08 v4" xfId="26578" xr:uid="{00000000-0005-0000-0000-0000DA670000}"/>
    <cellStyle name="s_Earnings (2)_AIF IV Financial Highlights 12-31-08 v4_Apollo Investment Fund IV  Q3 2009 Capital Analysis CURRENT" xfId="26579" xr:uid="{00000000-0005-0000-0000-0000DB670000}"/>
    <cellStyle name="s_Earnings (2)_AIF IV Financial Highlights 12-31-08 v4_Apollo Investment Fund IV  Q3 2009 Capital Analysis iPCS &amp; URI Distribution" xfId="26580" xr:uid="{00000000-0005-0000-0000-0000DC670000}"/>
    <cellStyle name="s_Earnings (2)_AIF IV Financial Highlights 12-31-08 v4_iPCs#1-Remaining" xfId="26581" xr:uid="{00000000-0005-0000-0000-0000DD670000}"/>
    <cellStyle name="s_Earnings (2)_AIF VI - BondcoVI_Entities Invested Capital (CURRENT)" xfId="26582" xr:uid="{00000000-0005-0000-0000-0000DE670000}"/>
    <cellStyle name="s_Earnings (2)_AIF VI Broadleaf Watefall Summary as of 6-30-09 FINAL" xfId="26583" xr:uid="{00000000-0005-0000-0000-0000DF670000}"/>
    <cellStyle name="s_Earnings (2)_AIF VI Broadleaf Watefall Summary as of 9-30-09" xfId="26584" xr:uid="{00000000-0005-0000-0000-0000E0670000}"/>
    <cellStyle name="s_Earnings (2)_Andy Affrick - Schedulev2" xfId="26585" xr:uid="{00000000-0005-0000-0000-0000E1670000}"/>
    <cellStyle name="s_Earnings (2)_Apollo Advisors IV 12-31-08 GAAP TB Final" xfId="26586" xr:uid="{00000000-0005-0000-0000-0000E2670000}"/>
    <cellStyle name="s_Earnings (2)_Apollo Advisors IV 12-31-08 TB (Revised for Aggr PR)" xfId="26587" xr:uid="{00000000-0005-0000-0000-0000E3670000}"/>
    <cellStyle name="s_Earnings (2)_Apollo Advisors IV 6-30-09 GAAP TB" xfId="26588" xr:uid="{00000000-0005-0000-0000-0000E4670000}"/>
    <cellStyle name="s_Earnings (2)_Apollo Investment Fund IV  April Priority Return" xfId="26589" xr:uid="{00000000-0005-0000-0000-0000E5670000}"/>
    <cellStyle name="s_Earnings (2)_Apollo Investment Fund IV  Q1 2009 Capital Analysis 5-22-09 with GAAP" xfId="26590" xr:uid="{00000000-0005-0000-0000-0000E6670000}"/>
    <cellStyle name="s_Earnings (2)_Apollo Investment Fund IV  Q1 2009 Capital Analysis GAAP" xfId="26591" xr:uid="{00000000-0005-0000-0000-0000E7670000}"/>
    <cellStyle name="s_Earnings (2)_Apollo Investment Fund IV  Q2 2009 Capital Analysis CURRENT" xfId="26592" xr:uid="{00000000-0005-0000-0000-0000E8670000}"/>
    <cellStyle name="s_Earnings (2)_Apollo Investment Fund IV  Q3 2009 Capital Analysis CURRENT" xfId="26593" xr:uid="{00000000-0005-0000-0000-0000E9670000}"/>
    <cellStyle name="s_Earnings (2)_Apollo Investment Fund IV  Q3 2009 Capital Analysis iPCS &amp; URI Distribution" xfId="26594" xr:uid="{00000000-0005-0000-0000-0000EA670000}"/>
    <cellStyle name="s_Earnings (2)_Apollo Investment Fund IV Q1 2009 Capital Analysis PR CORRECTED 6-30-09" xfId="26595" xr:uid="{00000000-0005-0000-0000-0000EB670000}"/>
    <cellStyle name="s_Earnings (2)_Broadleaf Watefall 12-31-09" xfId="26596" xr:uid="{00000000-0005-0000-0000-0000EC670000}"/>
    <cellStyle name="s_Earnings (2)_Broadleaf Watefall 6-30-09" xfId="26597" xr:uid="{00000000-0005-0000-0000-0000ED670000}"/>
    <cellStyle name="s_Earnings (2)_Broadleaf Watefall 9-30-09" xfId="26598" xr:uid="{00000000-0005-0000-0000-0000EE670000}"/>
    <cellStyle name="s_Earnings (2)_Carry Calculation" xfId="26599" xr:uid="{00000000-0005-0000-0000-0000EF670000}"/>
    <cellStyle name="s_Earnings (2)_Fund IV" xfId="26600" xr:uid="{00000000-0005-0000-0000-0000F0670000}"/>
    <cellStyle name="s_Earnings (2)_Fund IV 9.30.08" xfId="26601" xr:uid="{00000000-0005-0000-0000-0000F1670000}"/>
    <cellStyle name="s_Earnings (2)_Fund IV_1" xfId="26602" xr:uid="{00000000-0005-0000-0000-0000F2670000}"/>
    <cellStyle name="s_Earnings (2)_Funds IV Clawback Adjustment Summary" xfId="26603" xr:uid="{00000000-0005-0000-0000-0000F3670000}"/>
    <cellStyle name="s_Earnings (2)_Funds IV Clawback Value Adjustment" xfId="26604" xr:uid="{00000000-0005-0000-0000-0000F4670000}"/>
    <cellStyle name="s_Earnings (2)_IC Balance" xfId="26605" xr:uid="{00000000-0005-0000-0000-0000F5670000}"/>
    <cellStyle name="s_Earnings (2)_Invested Capital Debt Worksheet" xfId="26606" xr:uid="{00000000-0005-0000-0000-0000F6670000}"/>
    <cellStyle name="s_Earnings (2)_Invested Capital Debt Worksheet_1" xfId="26607" xr:uid="{00000000-0005-0000-0000-0000F7670000}"/>
    <cellStyle name="s_Earnings (2)_iPCs#1-Remaining" xfId="26608" xr:uid="{00000000-0005-0000-0000-0000F8670000}"/>
    <cellStyle name="s_Earnings (2)_MMF Income" xfId="26609" xr:uid="{00000000-0005-0000-0000-0000F9670000}"/>
    <cellStyle name="s_Earnings (2)_Partners Capital Q1 2009" xfId="26610" xr:uid="{00000000-0005-0000-0000-0000FA670000}"/>
    <cellStyle name="s_Earnings (2)_Placement Fee Summary 05-14-09 - Current (2)" xfId="26611" xr:uid="{00000000-0005-0000-0000-0000FB670000}"/>
    <cellStyle name="s_Earnings (2)_PR Calc" xfId="26612" xr:uid="{00000000-0005-0000-0000-0000FC670000}"/>
    <cellStyle name="s_Earnings (2)_PR Calc - DOMESTIC" xfId="26613" xr:uid="{00000000-0005-0000-0000-0000FD670000}"/>
    <cellStyle name="s_Earnings (2)_RCIV Q3 2009 Capital Analysis CURRENT" xfId="26614" xr:uid="{00000000-0005-0000-0000-0000FE670000}"/>
    <cellStyle name="s_Earnings (2)_Sheet1" xfId="26615" xr:uid="{00000000-0005-0000-0000-0000FF670000}"/>
    <cellStyle name="s_Fund IV" xfId="26616" xr:uid="{00000000-0005-0000-0000-000000680000}"/>
    <cellStyle name="s_Fund IV 9.30.08" xfId="26617" xr:uid="{00000000-0005-0000-0000-000001680000}"/>
    <cellStyle name="s_Fund IV_1" xfId="26618" xr:uid="{00000000-0005-0000-0000-000002680000}"/>
    <cellStyle name="s_Funds IV Clawback Adjustment Summary" xfId="26619" xr:uid="{00000000-0005-0000-0000-000003680000}"/>
    <cellStyle name="s_Funds IV Clawback Value Adjustment" xfId="26620" xr:uid="{00000000-0005-0000-0000-000004680000}"/>
    <cellStyle name="s_HardInc " xfId="26621" xr:uid="{00000000-0005-0000-0000-000005680000}"/>
    <cellStyle name="s_HardInc  10" xfId="26622" xr:uid="{00000000-0005-0000-0000-000006680000}"/>
    <cellStyle name="s_HardInc  11" xfId="26623" xr:uid="{00000000-0005-0000-0000-000007680000}"/>
    <cellStyle name="s_HardInc  12" xfId="26624" xr:uid="{00000000-0005-0000-0000-000008680000}"/>
    <cellStyle name="s_HardInc  13" xfId="26625" xr:uid="{00000000-0005-0000-0000-000009680000}"/>
    <cellStyle name="s_HardInc  14" xfId="26626" xr:uid="{00000000-0005-0000-0000-00000A680000}"/>
    <cellStyle name="s_HardInc  15" xfId="26627" xr:uid="{00000000-0005-0000-0000-00000B680000}"/>
    <cellStyle name="s_HardInc  16" xfId="26628" xr:uid="{00000000-0005-0000-0000-00000C680000}"/>
    <cellStyle name="s_HardInc  17" xfId="26629" xr:uid="{00000000-0005-0000-0000-00000D680000}"/>
    <cellStyle name="s_HardInc  18" xfId="26630" xr:uid="{00000000-0005-0000-0000-00000E680000}"/>
    <cellStyle name="s_HardInc  19" xfId="26631" xr:uid="{00000000-0005-0000-0000-00000F680000}"/>
    <cellStyle name="s_HardInc  2" xfId="26632" xr:uid="{00000000-0005-0000-0000-000010680000}"/>
    <cellStyle name="s_HardInc  2 2" xfId="26633" xr:uid="{00000000-0005-0000-0000-000011680000}"/>
    <cellStyle name="s_HardInc  20" xfId="26634" xr:uid="{00000000-0005-0000-0000-000012680000}"/>
    <cellStyle name="s_HardInc  21" xfId="26635" xr:uid="{00000000-0005-0000-0000-000013680000}"/>
    <cellStyle name="s_HardInc  22" xfId="26636" xr:uid="{00000000-0005-0000-0000-000014680000}"/>
    <cellStyle name="s_HardInc  23" xfId="26637" xr:uid="{00000000-0005-0000-0000-000015680000}"/>
    <cellStyle name="s_HardInc  23 2" xfId="26638" xr:uid="{00000000-0005-0000-0000-000016680000}"/>
    <cellStyle name="s_HardInc  3" xfId="26639" xr:uid="{00000000-0005-0000-0000-000017680000}"/>
    <cellStyle name="s_HardInc  3 2" xfId="26640" xr:uid="{00000000-0005-0000-0000-000018680000}"/>
    <cellStyle name="s_HardInc  4" xfId="26641" xr:uid="{00000000-0005-0000-0000-000019680000}"/>
    <cellStyle name="s_HardInc  5" xfId="26642" xr:uid="{00000000-0005-0000-0000-00001A680000}"/>
    <cellStyle name="s_HardInc  6" xfId="26643" xr:uid="{00000000-0005-0000-0000-00001B680000}"/>
    <cellStyle name="s_HardInc  7" xfId="26644" xr:uid="{00000000-0005-0000-0000-00001C680000}"/>
    <cellStyle name="s_HardInc  8" xfId="26645" xr:uid="{00000000-0005-0000-0000-00001D680000}"/>
    <cellStyle name="s_HardInc  9" xfId="26646" xr:uid="{00000000-0005-0000-0000-00001E680000}"/>
    <cellStyle name="s_HardInc _{6} Clawback" xfId="26647" xr:uid="{00000000-0005-0000-0000-00001F680000}"/>
    <cellStyle name="s_HardInc _AIF IV Financial Highlights 12-31-08 v4" xfId="26648" xr:uid="{00000000-0005-0000-0000-000020680000}"/>
    <cellStyle name="s_HardInc _AIF IV Financial Highlights 12-31-08 v4_Apollo Investment Fund IV  Q3 2009 Capital Analysis CURRENT" xfId="26649" xr:uid="{00000000-0005-0000-0000-000021680000}"/>
    <cellStyle name="s_HardInc _AIF IV Financial Highlights 12-31-08 v4_Apollo Investment Fund IV  Q3 2009 Capital Analysis iPCS &amp; URI Distribution" xfId="26650" xr:uid="{00000000-0005-0000-0000-000022680000}"/>
    <cellStyle name="s_HardInc _AIF IV Financial Highlights 12-31-08 v4_iPCs#1-Remaining" xfId="26651" xr:uid="{00000000-0005-0000-0000-000023680000}"/>
    <cellStyle name="s_HardInc _AIF VI - BondcoVI_Entities Invested Capital (CURRENT)" xfId="26652" xr:uid="{00000000-0005-0000-0000-000024680000}"/>
    <cellStyle name="s_HardInc _AIF VI Broadleaf Watefall Summary as of 6-30-09 FINAL" xfId="26653" xr:uid="{00000000-0005-0000-0000-000025680000}"/>
    <cellStyle name="s_HardInc _AIF VI Broadleaf Watefall Summary as of 9-30-09" xfId="26654" xr:uid="{00000000-0005-0000-0000-000026680000}"/>
    <cellStyle name="s_HardInc _Andy Affrick - Schedulev2" xfId="26655" xr:uid="{00000000-0005-0000-0000-000027680000}"/>
    <cellStyle name="s_HardInc _Apollo Investment Fund IV  April Priority Return" xfId="26656" xr:uid="{00000000-0005-0000-0000-000028680000}"/>
    <cellStyle name="s_HardInc _Apollo Investment Fund IV  Q1 2009 Capital Analysis 5-22-09 with GAAP" xfId="26657" xr:uid="{00000000-0005-0000-0000-000029680000}"/>
    <cellStyle name="s_HardInc _Apollo Investment Fund IV  Q1 2009 Capital Analysis GAAP" xfId="26658" xr:uid="{00000000-0005-0000-0000-00002A680000}"/>
    <cellStyle name="s_HardInc _Apollo Investment Fund IV  Q2 2009 Capital Analysis CURRENT" xfId="26659" xr:uid="{00000000-0005-0000-0000-00002B680000}"/>
    <cellStyle name="s_HardInc _Apollo Investment Fund IV  Q3 2009 Capital Analysis CURRENT" xfId="26660" xr:uid="{00000000-0005-0000-0000-00002C680000}"/>
    <cellStyle name="s_HardInc _Apollo Investment Fund IV  Q3 2009 Capital Analysis iPCS &amp; URI Distribution" xfId="26661" xr:uid="{00000000-0005-0000-0000-00002D680000}"/>
    <cellStyle name="s_HardInc _Apollo Investment Fund IV Q1 2009 Capital Analysis PR CORRECTED 6-30-09" xfId="26662" xr:uid="{00000000-0005-0000-0000-00002E680000}"/>
    <cellStyle name="s_HardInc _Broadleaf Watefall 12-31-09" xfId="26663" xr:uid="{00000000-0005-0000-0000-00002F680000}"/>
    <cellStyle name="s_HardInc _Broadleaf Watefall 6-30-09" xfId="26664" xr:uid="{00000000-0005-0000-0000-000030680000}"/>
    <cellStyle name="s_HardInc _Broadleaf Watefall 9-30-09" xfId="26665" xr:uid="{00000000-0005-0000-0000-000031680000}"/>
    <cellStyle name="s_HardInc _Carry Calculation" xfId="26666" xr:uid="{00000000-0005-0000-0000-000032680000}"/>
    <cellStyle name="s_HardInc _Fund IV" xfId="26667" xr:uid="{00000000-0005-0000-0000-000033680000}"/>
    <cellStyle name="s_HardInc _Fund IV 9.30.08" xfId="26668" xr:uid="{00000000-0005-0000-0000-000034680000}"/>
    <cellStyle name="s_HardInc _Fund IV_1" xfId="26669" xr:uid="{00000000-0005-0000-0000-000035680000}"/>
    <cellStyle name="s_HardInc _Funds IV Clawback Adjustment Summary" xfId="26670" xr:uid="{00000000-0005-0000-0000-000036680000}"/>
    <cellStyle name="s_HardInc _Funds IV Clawback Value Adjustment" xfId="26671" xr:uid="{00000000-0005-0000-0000-000037680000}"/>
    <cellStyle name="s_HardInc _IC Balance" xfId="26672" xr:uid="{00000000-0005-0000-0000-000038680000}"/>
    <cellStyle name="s_HardInc _Invested Capital Debt Worksheet" xfId="26673" xr:uid="{00000000-0005-0000-0000-000039680000}"/>
    <cellStyle name="s_HardInc _iPCs#1-Remaining" xfId="26674" xr:uid="{00000000-0005-0000-0000-00003A680000}"/>
    <cellStyle name="s_HardInc _MMF Income" xfId="26675" xr:uid="{00000000-0005-0000-0000-00003B680000}"/>
    <cellStyle name="s_HardInc _Partners Capital Q1 2009" xfId="26676" xr:uid="{00000000-0005-0000-0000-00003C680000}"/>
    <cellStyle name="s_HardInc _Placement Fee Summary 05-14-09 - Current (2)" xfId="26677" xr:uid="{00000000-0005-0000-0000-00003D680000}"/>
    <cellStyle name="s_HardInc _PR Calc" xfId="26678" xr:uid="{00000000-0005-0000-0000-00003E680000}"/>
    <cellStyle name="s_HardInc _PR Calc - DOMESTIC" xfId="26679" xr:uid="{00000000-0005-0000-0000-00003F680000}"/>
    <cellStyle name="s_HardInc _RCIV Q3 2009 Capital Analysis CURRENT" xfId="26680" xr:uid="{00000000-0005-0000-0000-000040680000}"/>
    <cellStyle name="s_IC Balance" xfId="26681" xr:uid="{00000000-0005-0000-0000-000041680000}"/>
    <cellStyle name="s_InitialPrintDialog" xfId="26682" xr:uid="{00000000-0005-0000-0000-000042680000}"/>
    <cellStyle name="s_InitialPrintDialog 10" xfId="26683" xr:uid="{00000000-0005-0000-0000-000043680000}"/>
    <cellStyle name="s_InitialPrintDialog 11" xfId="26684" xr:uid="{00000000-0005-0000-0000-000044680000}"/>
    <cellStyle name="s_InitialPrintDialog 12" xfId="26685" xr:uid="{00000000-0005-0000-0000-000045680000}"/>
    <cellStyle name="s_InitialPrintDialog 13" xfId="26686" xr:uid="{00000000-0005-0000-0000-000046680000}"/>
    <cellStyle name="s_InitialPrintDialog 14" xfId="26687" xr:uid="{00000000-0005-0000-0000-000047680000}"/>
    <cellStyle name="s_InitialPrintDialog 15" xfId="26688" xr:uid="{00000000-0005-0000-0000-000048680000}"/>
    <cellStyle name="s_InitialPrintDialog 16" xfId="26689" xr:uid="{00000000-0005-0000-0000-000049680000}"/>
    <cellStyle name="s_InitialPrintDialog 17" xfId="26690" xr:uid="{00000000-0005-0000-0000-00004A680000}"/>
    <cellStyle name="s_InitialPrintDialog 18" xfId="26691" xr:uid="{00000000-0005-0000-0000-00004B680000}"/>
    <cellStyle name="s_InitialPrintDialog 19" xfId="26692" xr:uid="{00000000-0005-0000-0000-00004C680000}"/>
    <cellStyle name="s_InitialPrintDialog 2" xfId="26693" xr:uid="{00000000-0005-0000-0000-00004D680000}"/>
    <cellStyle name="s_InitialPrintDialog 2 2" xfId="26694" xr:uid="{00000000-0005-0000-0000-00004E680000}"/>
    <cellStyle name="s_InitialPrintDialog 20" xfId="26695" xr:uid="{00000000-0005-0000-0000-00004F680000}"/>
    <cellStyle name="s_InitialPrintDialog 21" xfId="26696" xr:uid="{00000000-0005-0000-0000-000050680000}"/>
    <cellStyle name="s_InitialPrintDialog 22" xfId="26697" xr:uid="{00000000-0005-0000-0000-000051680000}"/>
    <cellStyle name="s_InitialPrintDialog 23" xfId="26698" xr:uid="{00000000-0005-0000-0000-000052680000}"/>
    <cellStyle name="s_InitialPrintDialog 23 2" xfId="26699" xr:uid="{00000000-0005-0000-0000-000053680000}"/>
    <cellStyle name="s_InitialPrintDialog 3" xfId="26700" xr:uid="{00000000-0005-0000-0000-000054680000}"/>
    <cellStyle name="s_InitialPrintDialog 3 2" xfId="26701" xr:uid="{00000000-0005-0000-0000-000055680000}"/>
    <cellStyle name="s_InitialPrintDialog 4" xfId="26702" xr:uid="{00000000-0005-0000-0000-000056680000}"/>
    <cellStyle name="s_InitialPrintDialog 5" xfId="26703" xr:uid="{00000000-0005-0000-0000-000057680000}"/>
    <cellStyle name="s_InitialPrintDialog 6" xfId="26704" xr:uid="{00000000-0005-0000-0000-000058680000}"/>
    <cellStyle name="s_InitialPrintDialog 7" xfId="26705" xr:uid="{00000000-0005-0000-0000-000059680000}"/>
    <cellStyle name="s_InitialPrintDialog 8" xfId="26706" xr:uid="{00000000-0005-0000-0000-00005A680000}"/>
    <cellStyle name="s_InitialPrintDialog 9" xfId="26707" xr:uid="{00000000-0005-0000-0000-00005B680000}"/>
    <cellStyle name="s_InitialPrintDialog_{6} Clawback" xfId="26708" xr:uid="{00000000-0005-0000-0000-00005C680000}"/>
    <cellStyle name="s_InitialPrintDialog_1" xfId="26709" xr:uid="{00000000-0005-0000-0000-00005D680000}"/>
    <cellStyle name="s_InitialPrintDialog_1 10" xfId="26710" xr:uid="{00000000-0005-0000-0000-00005E680000}"/>
    <cellStyle name="s_InitialPrintDialog_1 11" xfId="26711" xr:uid="{00000000-0005-0000-0000-00005F680000}"/>
    <cellStyle name="s_InitialPrintDialog_1 12" xfId="26712" xr:uid="{00000000-0005-0000-0000-000060680000}"/>
    <cellStyle name="s_InitialPrintDialog_1 13" xfId="26713" xr:uid="{00000000-0005-0000-0000-000061680000}"/>
    <cellStyle name="s_InitialPrintDialog_1 14" xfId="26714" xr:uid="{00000000-0005-0000-0000-000062680000}"/>
    <cellStyle name="s_InitialPrintDialog_1 15" xfId="26715" xr:uid="{00000000-0005-0000-0000-000063680000}"/>
    <cellStyle name="s_InitialPrintDialog_1 16" xfId="26716" xr:uid="{00000000-0005-0000-0000-000064680000}"/>
    <cellStyle name="s_InitialPrintDialog_1 17" xfId="26717" xr:uid="{00000000-0005-0000-0000-000065680000}"/>
    <cellStyle name="s_InitialPrintDialog_1 18" xfId="26718" xr:uid="{00000000-0005-0000-0000-000066680000}"/>
    <cellStyle name="s_InitialPrintDialog_1 19" xfId="26719" xr:uid="{00000000-0005-0000-0000-000067680000}"/>
    <cellStyle name="s_InitialPrintDialog_1 2" xfId="26720" xr:uid="{00000000-0005-0000-0000-000068680000}"/>
    <cellStyle name="s_InitialPrintDialog_1 2 2" xfId="26721" xr:uid="{00000000-0005-0000-0000-000069680000}"/>
    <cellStyle name="s_InitialPrintDialog_1 20" xfId="26722" xr:uid="{00000000-0005-0000-0000-00006A680000}"/>
    <cellStyle name="s_InitialPrintDialog_1 21" xfId="26723" xr:uid="{00000000-0005-0000-0000-00006B680000}"/>
    <cellStyle name="s_InitialPrintDialog_1 22" xfId="26724" xr:uid="{00000000-0005-0000-0000-00006C680000}"/>
    <cellStyle name="s_InitialPrintDialog_1 23" xfId="26725" xr:uid="{00000000-0005-0000-0000-00006D680000}"/>
    <cellStyle name="s_InitialPrintDialog_1 23 2" xfId="26726" xr:uid="{00000000-0005-0000-0000-00006E680000}"/>
    <cellStyle name="s_InitialPrintDialog_1 3" xfId="26727" xr:uid="{00000000-0005-0000-0000-00006F680000}"/>
    <cellStyle name="s_InitialPrintDialog_1 3 2" xfId="26728" xr:uid="{00000000-0005-0000-0000-000070680000}"/>
    <cellStyle name="s_InitialPrintDialog_1 4" xfId="26729" xr:uid="{00000000-0005-0000-0000-000071680000}"/>
    <cellStyle name="s_InitialPrintDialog_1 5" xfId="26730" xr:uid="{00000000-0005-0000-0000-000072680000}"/>
    <cellStyle name="s_InitialPrintDialog_1 6" xfId="26731" xr:uid="{00000000-0005-0000-0000-000073680000}"/>
    <cellStyle name="s_InitialPrintDialog_1 7" xfId="26732" xr:uid="{00000000-0005-0000-0000-000074680000}"/>
    <cellStyle name="s_InitialPrintDialog_1 8" xfId="26733" xr:uid="{00000000-0005-0000-0000-000075680000}"/>
    <cellStyle name="s_InitialPrintDialog_1 9" xfId="26734" xr:uid="{00000000-0005-0000-0000-000076680000}"/>
    <cellStyle name="s_InitialPrintDialog_1_{6} Clawback" xfId="26735" xr:uid="{00000000-0005-0000-0000-000077680000}"/>
    <cellStyle name="s_InitialPrintDialog_1_AIF IV Financial Highlights 12-31-08 v4" xfId="26736" xr:uid="{00000000-0005-0000-0000-000078680000}"/>
    <cellStyle name="s_InitialPrintDialog_1_AIF IV Financial Highlights 12-31-08 v4_Apollo Investment Fund IV  Q3 2009 Capital Analysis CURRENT" xfId="26737" xr:uid="{00000000-0005-0000-0000-000079680000}"/>
    <cellStyle name="s_InitialPrintDialog_1_AIF IV Financial Highlights 12-31-08 v4_Apollo Investment Fund IV  Q3 2009 Capital Analysis iPCS &amp; URI Distribution" xfId="26738" xr:uid="{00000000-0005-0000-0000-00007A680000}"/>
    <cellStyle name="s_InitialPrintDialog_1_AIF IV Financial Highlights 12-31-08 v4_iPCs#1-Remaining" xfId="26739" xr:uid="{00000000-0005-0000-0000-00007B680000}"/>
    <cellStyle name="s_InitialPrintDialog_1_AIF VI - BondcoVI_Entities Invested Capital (CURRENT)" xfId="26740" xr:uid="{00000000-0005-0000-0000-00007C680000}"/>
    <cellStyle name="s_InitialPrintDialog_1_AIF VI Broadleaf Watefall Summary as of 6-30-09 FINAL" xfId="26741" xr:uid="{00000000-0005-0000-0000-00007D680000}"/>
    <cellStyle name="s_InitialPrintDialog_1_AIF VI Broadleaf Watefall Summary as of 9-30-09" xfId="26742" xr:uid="{00000000-0005-0000-0000-00007E680000}"/>
    <cellStyle name="s_InitialPrintDialog_1_Andy Affrick - Schedulev2" xfId="26743" xr:uid="{00000000-0005-0000-0000-00007F680000}"/>
    <cellStyle name="s_InitialPrintDialog_1_Apollo Advisors IV 12-31-08 GAAP TB Final" xfId="26744" xr:uid="{00000000-0005-0000-0000-000080680000}"/>
    <cellStyle name="s_InitialPrintDialog_1_Apollo Advisors IV 12-31-08 TB (Revised for Aggr PR)" xfId="26745" xr:uid="{00000000-0005-0000-0000-000081680000}"/>
    <cellStyle name="s_InitialPrintDialog_1_Apollo Advisors IV 6-30-09 GAAP TB" xfId="26746" xr:uid="{00000000-0005-0000-0000-000082680000}"/>
    <cellStyle name="s_InitialPrintDialog_1_Apollo Investment Fund IV  April Priority Return" xfId="26747" xr:uid="{00000000-0005-0000-0000-000083680000}"/>
    <cellStyle name="s_InitialPrintDialog_1_Apollo Investment Fund IV  Q1 2009 Capital Analysis 5-22-09 with GAAP" xfId="26748" xr:uid="{00000000-0005-0000-0000-000084680000}"/>
    <cellStyle name="s_InitialPrintDialog_1_Apollo Investment Fund IV  Q1 2009 Capital Analysis GAAP" xfId="26749" xr:uid="{00000000-0005-0000-0000-000085680000}"/>
    <cellStyle name="s_InitialPrintDialog_1_Apollo Investment Fund IV  Q2 2009 Capital Analysis CURRENT" xfId="26750" xr:uid="{00000000-0005-0000-0000-000086680000}"/>
    <cellStyle name="s_InitialPrintDialog_1_Apollo Investment Fund IV  Q3 2009 Capital Analysis CURRENT" xfId="26751" xr:uid="{00000000-0005-0000-0000-000087680000}"/>
    <cellStyle name="s_InitialPrintDialog_1_Apollo Investment Fund IV  Q3 2009 Capital Analysis iPCS &amp; URI Distribution" xfId="26752" xr:uid="{00000000-0005-0000-0000-000088680000}"/>
    <cellStyle name="s_InitialPrintDialog_1_Apollo Investment Fund IV Q1 2009 Capital Analysis PR CORRECTED 6-30-09" xfId="26753" xr:uid="{00000000-0005-0000-0000-000089680000}"/>
    <cellStyle name="s_InitialPrintDialog_1_Broadleaf Watefall 12-31-09" xfId="26754" xr:uid="{00000000-0005-0000-0000-00008A680000}"/>
    <cellStyle name="s_InitialPrintDialog_1_Broadleaf Watefall 6-30-09" xfId="26755" xr:uid="{00000000-0005-0000-0000-00008B680000}"/>
    <cellStyle name="s_InitialPrintDialog_1_Broadleaf Watefall 9-30-09" xfId="26756" xr:uid="{00000000-0005-0000-0000-00008C680000}"/>
    <cellStyle name="s_InitialPrintDialog_1_Carry Calculation" xfId="26757" xr:uid="{00000000-0005-0000-0000-00008D680000}"/>
    <cellStyle name="s_InitialPrintDialog_1_Fund IV" xfId="26758" xr:uid="{00000000-0005-0000-0000-00008E680000}"/>
    <cellStyle name="s_InitialPrintDialog_1_Fund IV 9.30.08" xfId="26759" xr:uid="{00000000-0005-0000-0000-00008F680000}"/>
    <cellStyle name="s_InitialPrintDialog_1_Fund IV_1" xfId="26760" xr:uid="{00000000-0005-0000-0000-000090680000}"/>
    <cellStyle name="s_InitialPrintDialog_1_Funds IV Clawback Adjustment Summary" xfId="26761" xr:uid="{00000000-0005-0000-0000-000091680000}"/>
    <cellStyle name="s_InitialPrintDialog_1_Funds IV Clawback Value Adjustment" xfId="26762" xr:uid="{00000000-0005-0000-0000-000092680000}"/>
    <cellStyle name="s_InitialPrintDialog_1_IC Balance" xfId="26763" xr:uid="{00000000-0005-0000-0000-000093680000}"/>
    <cellStyle name="s_InitialPrintDialog_1_Invested Capital Debt Worksheet" xfId="26764" xr:uid="{00000000-0005-0000-0000-000094680000}"/>
    <cellStyle name="s_InitialPrintDialog_1_Invested Capital Debt Worksheet_1" xfId="26765" xr:uid="{00000000-0005-0000-0000-000095680000}"/>
    <cellStyle name="s_InitialPrintDialog_1_iPCs#1-Remaining" xfId="26766" xr:uid="{00000000-0005-0000-0000-000096680000}"/>
    <cellStyle name="s_InitialPrintDialog_1_MMF Income" xfId="26767" xr:uid="{00000000-0005-0000-0000-000097680000}"/>
    <cellStyle name="s_InitialPrintDialog_1_Partners Capital Q1 2009" xfId="26768" xr:uid="{00000000-0005-0000-0000-000098680000}"/>
    <cellStyle name="s_InitialPrintDialog_1_Placement Fee Summary 05-14-09 - Current (2)" xfId="26769" xr:uid="{00000000-0005-0000-0000-000099680000}"/>
    <cellStyle name="s_InitialPrintDialog_1_PR Calc" xfId="26770" xr:uid="{00000000-0005-0000-0000-00009A680000}"/>
    <cellStyle name="s_InitialPrintDialog_1_RCIV Q3 2009 Capital Analysis CURRENT" xfId="26771" xr:uid="{00000000-0005-0000-0000-00009B680000}"/>
    <cellStyle name="s_InitialPrintDialog_1_Sheet1" xfId="26772" xr:uid="{00000000-0005-0000-0000-00009C680000}"/>
    <cellStyle name="s_InitialPrintDialog_2" xfId="26773" xr:uid="{00000000-0005-0000-0000-00009D680000}"/>
    <cellStyle name="s_InitialPrintDialog_2 10" xfId="26774" xr:uid="{00000000-0005-0000-0000-00009E680000}"/>
    <cellStyle name="s_InitialPrintDialog_2 11" xfId="26775" xr:uid="{00000000-0005-0000-0000-00009F680000}"/>
    <cellStyle name="s_InitialPrintDialog_2 12" xfId="26776" xr:uid="{00000000-0005-0000-0000-0000A0680000}"/>
    <cellStyle name="s_InitialPrintDialog_2 13" xfId="26777" xr:uid="{00000000-0005-0000-0000-0000A1680000}"/>
    <cellStyle name="s_InitialPrintDialog_2 14" xfId="26778" xr:uid="{00000000-0005-0000-0000-0000A2680000}"/>
    <cellStyle name="s_InitialPrintDialog_2 15" xfId="26779" xr:uid="{00000000-0005-0000-0000-0000A3680000}"/>
    <cellStyle name="s_InitialPrintDialog_2 16" xfId="26780" xr:uid="{00000000-0005-0000-0000-0000A4680000}"/>
    <cellStyle name="s_InitialPrintDialog_2 17" xfId="26781" xr:uid="{00000000-0005-0000-0000-0000A5680000}"/>
    <cellStyle name="s_InitialPrintDialog_2 18" xfId="26782" xr:uid="{00000000-0005-0000-0000-0000A6680000}"/>
    <cellStyle name="s_InitialPrintDialog_2 19" xfId="26783" xr:uid="{00000000-0005-0000-0000-0000A7680000}"/>
    <cellStyle name="s_InitialPrintDialog_2 2" xfId="26784" xr:uid="{00000000-0005-0000-0000-0000A8680000}"/>
    <cellStyle name="s_InitialPrintDialog_2 2 2" xfId="26785" xr:uid="{00000000-0005-0000-0000-0000A9680000}"/>
    <cellStyle name="s_InitialPrintDialog_2 20" xfId="26786" xr:uid="{00000000-0005-0000-0000-0000AA680000}"/>
    <cellStyle name="s_InitialPrintDialog_2 21" xfId="26787" xr:uid="{00000000-0005-0000-0000-0000AB680000}"/>
    <cellStyle name="s_InitialPrintDialog_2 22" xfId="26788" xr:uid="{00000000-0005-0000-0000-0000AC680000}"/>
    <cellStyle name="s_InitialPrintDialog_2 23" xfId="26789" xr:uid="{00000000-0005-0000-0000-0000AD680000}"/>
    <cellStyle name="s_InitialPrintDialog_2 23 2" xfId="26790" xr:uid="{00000000-0005-0000-0000-0000AE680000}"/>
    <cellStyle name="s_InitialPrintDialog_2 3" xfId="26791" xr:uid="{00000000-0005-0000-0000-0000AF680000}"/>
    <cellStyle name="s_InitialPrintDialog_2 3 2" xfId="26792" xr:uid="{00000000-0005-0000-0000-0000B0680000}"/>
    <cellStyle name="s_InitialPrintDialog_2 4" xfId="26793" xr:uid="{00000000-0005-0000-0000-0000B1680000}"/>
    <cellStyle name="s_InitialPrintDialog_2 5" xfId="26794" xr:uid="{00000000-0005-0000-0000-0000B2680000}"/>
    <cellStyle name="s_InitialPrintDialog_2 6" xfId="26795" xr:uid="{00000000-0005-0000-0000-0000B3680000}"/>
    <cellStyle name="s_InitialPrintDialog_2 7" xfId="26796" xr:uid="{00000000-0005-0000-0000-0000B4680000}"/>
    <cellStyle name="s_InitialPrintDialog_2 8" xfId="26797" xr:uid="{00000000-0005-0000-0000-0000B5680000}"/>
    <cellStyle name="s_InitialPrintDialog_2 9" xfId="26798" xr:uid="{00000000-0005-0000-0000-0000B6680000}"/>
    <cellStyle name="s_InitialPrintDialog_2_{6} Clawback" xfId="26799" xr:uid="{00000000-0005-0000-0000-0000B7680000}"/>
    <cellStyle name="s_InitialPrintDialog_2_AIF IV Financial Highlights 12-31-08 v4" xfId="26800" xr:uid="{00000000-0005-0000-0000-0000B8680000}"/>
    <cellStyle name="s_InitialPrintDialog_2_AIF IV Financial Highlights 12-31-08 v4_Apollo Investment Fund IV  Q3 2009 Capital Analysis CURRENT" xfId="26801" xr:uid="{00000000-0005-0000-0000-0000B9680000}"/>
    <cellStyle name="s_InitialPrintDialog_2_AIF IV Financial Highlights 12-31-08 v4_Apollo Investment Fund IV  Q3 2009 Capital Analysis iPCS &amp; URI Distribution" xfId="26802" xr:uid="{00000000-0005-0000-0000-0000BA680000}"/>
    <cellStyle name="s_InitialPrintDialog_2_AIF IV Financial Highlights 12-31-08 v4_iPCs#1-Remaining" xfId="26803" xr:uid="{00000000-0005-0000-0000-0000BB680000}"/>
    <cellStyle name="s_InitialPrintDialog_2_AIF VI - BondcoVI_Entities Invested Capital (CURRENT)" xfId="26804" xr:uid="{00000000-0005-0000-0000-0000BC680000}"/>
    <cellStyle name="s_InitialPrintDialog_2_AIF VI Broadleaf Watefall Summary as of 6-30-09 FINAL" xfId="26805" xr:uid="{00000000-0005-0000-0000-0000BD680000}"/>
    <cellStyle name="s_InitialPrintDialog_2_AIF VI Broadleaf Watefall Summary as of 9-30-09" xfId="26806" xr:uid="{00000000-0005-0000-0000-0000BE680000}"/>
    <cellStyle name="s_InitialPrintDialog_2_Andy Affrick - Schedulev2" xfId="26807" xr:uid="{00000000-0005-0000-0000-0000BF680000}"/>
    <cellStyle name="s_InitialPrintDialog_2_Apollo Advisors IV 12-31-08 GAAP TB Final" xfId="26808" xr:uid="{00000000-0005-0000-0000-0000C0680000}"/>
    <cellStyle name="s_InitialPrintDialog_2_Apollo Advisors IV 12-31-08 TB (Revised for Aggr PR)" xfId="26809" xr:uid="{00000000-0005-0000-0000-0000C1680000}"/>
    <cellStyle name="s_InitialPrintDialog_2_Apollo Advisors IV 6-30-09 GAAP TB" xfId="26810" xr:uid="{00000000-0005-0000-0000-0000C2680000}"/>
    <cellStyle name="s_InitialPrintDialog_2_Apollo Investment Fund IV  April Priority Return" xfId="26811" xr:uid="{00000000-0005-0000-0000-0000C3680000}"/>
    <cellStyle name="s_InitialPrintDialog_2_Apollo Investment Fund IV  Q1 2009 Capital Analysis 5-22-09 with GAAP" xfId="26812" xr:uid="{00000000-0005-0000-0000-0000C4680000}"/>
    <cellStyle name="s_InitialPrintDialog_2_Apollo Investment Fund IV  Q1 2009 Capital Analysis GAAP" xfId="26813" xr:uid="{00000000-0005-0000-0000-0000C5680000}"/>
    <cellStyle name="s_InitialPrintDialog_2_Apollo Investment Fund IV  Q2 2009 Capital Analysis CURRENT" xfId="26814" xr:uid="{00000000-0005-0000-0000-0000C6680000}"/>
    <cellStyle name="s_InitialPrintDialog_2_Apollo Investment Fund IV  Q3 2009 Capital Analysis CURRENT" xfId="26815" xr:uid="{00000000-0005-0000-0000-0000C7680000}"/>
    <cellStyle name="s_InitialPrintDialog_2_Apollo Investment Fund IV  Q3 2009 Capital Analysis iPCS &amp; URI Distribution" xfId="26816" xr:uid="{00000000-0005-0000-0000-0000C8680000}"/>
    <cellStyle name="s_InitialPrintDialog_2_Apollo Investment Fund IV Q1 2009 Capital Analysis PR CORRECTED 6-30-09" xfId="26817" xr:uid="{00000000-0005-0000-0000-0000C9680000}"/>
    <cellStyle name="s_InitialPrintDialog_2_Broadleaf Watefall 12-31-09" xfId="26818" xr:uid="{00000000-0005-0000-0000-0000CA680000}"/>
    <cellStyle name="s_InitialPrintDialog_2_Broadleaf Watefall 6-30-09" xfId="26819" xr:uid="{00000000-0005-0000-0000-0000CB680000}"/>
    <cellStyle name="s_InitialPrintDialog_2_Broadleaf Watefall 9-30-09" xfId="26820" xr:uid="{00000000-0005-0000-0000-0000CC680000}"/>
    <cellStyle name="s_InitialPrintDialog_2_Carry Calculation" xfId="26821" xr:uid="{00000000-0005-0000-0000-0000CD680000}"/>
    <cellStyle name="s_InitialPrintDialog_2_Fund IV" xfId="26822" xr:uid="{00000000-0005-0000-0000-0000CE680000}"/>
    <cellStyle name="s_InitialPrintDialog_2_Fund IV 9.30.08" xfId="26823" xr:uid="{00000000-0005-0000-0000-0000CF680000}"/>
    <cellStyle name="s_InitialPrintDialog_2_Fund IV_1" xfId="26824" xr:uid="{00000000-0005-0000-0000-0000D0680000}"/>
    <cellStyle name="s_InitialPrintDialog_2_Funds IV Clawback Adjustment Summary" xfId="26825" xr:uid="{00000000-0005-0000-0000-0000D1680000}"/>
    <cellStyle name="s_InitialPrintDialog_2_Funds IV Clawback Value Adjustment" xfId="26826" xr:uid="{00000000-0005-0000-0000-0000D2680000}"/>
    <cellStyle name="s_InitialPrintDialog_2_IC Balance" xfId="26827" xr:uid="{00000000-0005-0000-0000-0000D3680000}"/>
    <cellStyle name="s_InitialPrintDialog_2_Invested Capital Debt Worksheet" xfId="26828" xr:uid="{00000000-0005-0000-0000-0000D4680000}"/>
    <cellStyle name="s_InitialPrintDialog_2_Invested Capital Debt Worksheet_1" xfId="26829" xr:uid="{00000000-0005-0000-0000-0000D5680000}"/>
    <cellStyle name="s_InitialPrintDialog_2_iPCs#1-Remaining" xfId="26830" xr:uid="{00000000-0005-0000-0000-0000D6680000}"/>
    <cellStyle name="s_InitialPrintDialog_2_MMF Income" xfId="26831" xr:uid="{00000000-0005-0000-0000-0000D7680000}"/>
    <cellStyle name="s_InitialPrintDialog_2_Partners Capital Q1 2009" xfId="26832" xr:uid="{00000000-0005-0000-0000-0000D8680000}"/>
    <cellStyle name="s_InitialPrintDialog_2_Placement Fee Summary 05-14-09 - Current (2)" xfId="26833" xr:uid="{00000000-0005-0000-0000-0000D9680000}"/>
    <cellStyle name="s_InitialPrintDialog_2_PR Calc" xfId="26834" xr:uid="{00000000-0005-0000-0000-0000DA680000}"/>
    <cellStyle name="s_InitialPrintDialog_2_RCIV Q3 2009 Capital Analysis CURRENT" xfId="26835" xr:uid="{00000000-0005-0000-0000-0000DB680000}"/>
    <cellStyle name="s_InitialPrintDialog_2_Sheet1" xfId="26836" xr:uid="{00000000-0005-0000-0000-0000DC680000}"/>
    <cellStyle name="s_InitialPrintDialog_AIF IV Financial Highlights 12-31-08 v4" xfId="26837" xr:uid="{00000000-0005-0000-0000-0000DD680000}"/>
    <cellStyle name="s_InitialPrintDialog_AIF IV Financial Highlights 12-31-08 v4_Apollo Investment Fund IV  Q3 2009 Capital Analysis CURRENT" xfId="26838" xr:uid="{00000000-0005-0000-0000-0000DE680000}"/>
    <cellStyle name="s_InitialPrintDialog_AIF IV Financial Highlights 12-31-08 v4_Apollo Investment Fund IV  Q3 2009 Capital Analysis iPCS &amp; URI Distribution" xfId="26839" xr:uid="{00000000-0005-0000-0000-0000DF680000}"/>
    <cellStyle name="s_InitialPrintDialog_AIF IV Financial Highlights 12-31-08 v4_iPCs#1-Remaining" xfId="26840" xr:uid="{00000000-0005-0000-0000-0000E0680000}"/>
    <cellStyle name="s_InitialPrintDialog_AIF VI - BondcoVI_Entities Invested Capital (CURRENT)" xfId="26841" xr:uid="{00000000-0005-0000-0000-0000E1680000}"/>
    <cellStyle name="s_InitialPrintDialog_AIF VI Broadleaf Watefall Summary as of 6-30-09 FINAL" xfId="26842" xr:uid="{00000000-0005-0000-0000-0000E2680000}"/>
    <cellStyle name="s_InitialPrintDialog_AIF VI Broadleaf Watefall Summary as of 9-30-09" xfId="26843" xr:uid="{00000000-0005-0000-0000-0000E3680000}"/>
    <cellStyle name="s_InitialPrintDialog_Andy Affrick - Schedulev2" xfId="26844" xr:uid="{00000000-0005-0000-0000-0000E4680000}"/>
    <cellStyle name="s_InitialPrintDialog_Apollo Investment Fund IV  April Priority Return" xfId="26845" xr:uid="{00000000-0005-0000-0000-0000E5680000}"/>
    <cellStyle name="s_InitialPrintDialog_Apollo Investment Fund IV  Q1 2009 Capital Analysis 5-22-09 with GAAP" xfId="26846" xr:uid="{00000000-0005-0000-0000-0000E6680000}"/>
    <cellStyle name="s_InitialPrintDialog_Apollo Investment Fund IV  Q1 2009 Capital Analysis GAAP" xfId="26847" xr:uid="{00000000-0005-0000-0000-0000E7680000}"/>
    <cellStyle name="s_InitialPrintDialog_Apollo Investment Fund IV  Q2 2009 Capital Analysis CURRENT" xfId="26848" xr:uid="{00000000-0005-0000-0000-0000E8680000}"/>
    <cellStyle name="s_InitialPrintDialog_Apollo Investment Fund IV  Q3 2009 Capital Analysis CURRENT" xfId="26849" xr:uid="{00000000-0005-0000-0000-0000E9680000}"/>
    <cellStyle name="s_InitialPrintDialog_Apollo Investment Fund IV  Q3 2009 Capital Analysis iPCS &amp; URI Distribution" xfId="26850" xr:uid="{00000000-0005-0000-0000-0000EA680000}"/>
    <cellStyle name="s_InitialPrintDialog_Apollo Investment Fund IV Q1 2009 Capital Analysis PR CORRECTED 6-30-09" xfId="26851" xr:uid="{00000000-0005-0000-0000-0000EB680000}"/>
    <cellStyle name="s_InitialPrintDialog_Broadleaf Watefall 12-31-09" xfId="26852" xr:uid="{00000000-0005-0000-0000-0000EC680000}"/>
    <cellStyle name="s_InitialPrintDialog_Broadleaf Watefall 6-30-09" xfId="26853" xr:uid="{00000000-0005-0000-0000-0000ED680000}"/>
    <cellStyle name="s_InitialPrintDialog_Broadleaf Watefall 9-30-09" xfId="26854" xr:uid="{00000000-0005-0000-0000-0000EE680000}"/>
    <cellStyle name="s_InitialPrintDialog_Carry Calculation" xfId="26855" xr:uid="{00000000-0005-0000-0000-0000EF680000}"/>
    <cellStyle name="s_InitialPrintDialog_Fund IV" xfId="26856" xr:uid="{00000000-0005-0000-0000-0000F0680000}"/>
    <cellStyle name="s_InitialPrintDialog_Fund IV 9.30.08" xfId="26857" xr:uid="{00000000-0005-0000-0000-0000F1680000}"/>
    <cellStyle name="s_InitialPrintDialog_Fund IV_1" xfId="26858" xr:uid="{00000000-0005-0000-0000-0000F2680000}"/>
    <cellStyle name="s_InitialPrintDialog_Funds IV Clawback Adjustment Summary" xfId="26859" xr:uid="{00000000-0005-0000-0000-0000F3680000}"/>
    <cellStyle name="s_InitialPrintDialog_Funds IV Clawback Value Adjustment" xfId="26860" xr:uid="{00000000-0005-0000-0000-0000F4680000}"/>
    <cellStyle name="s_InitialPrintDialog_IC Balance" xfId="26861" xr:uid="{00000000-0005-0000-0000-0000F5680000}"/>
    <cellStyle name="s_InitialPrintDialog_Invested Capital Debt Worksheet" xfId="26862" xr:uid="{00000000-0005-0000-0000-0000F6680000}"/>
    <cellStyle name="s_InitialPrintDialog_iPCs#1-Remaining" xfId="26863" xr:uid="{00000000-0005-0000-0000-0000F7680000}"/>
    <cellStyle name="s_InitialPrintDialog_MMF Income" xfId="26864" xr:uid="{00000000-0005-0000-0000-0000F8680000}"/>
    <cellStyle name="s_InitialPrintDialog_Partners Capital Q1 2009" xfId="26865" xr:uid="{00000000-0005-0000-0000-0000F9680000}"/>
    <cellStyle name="s_InitialPrintDialog_Placement Fee Summary 05-14-09 - Current (2)" xfId="26866" xr:uid="{00000000-0005-0000-0000-0000FA680000}"/>
    <cellStyle name="s_InitialPrintDialog_PR Calc" xfId="26867" xr:uid="{00000000-0005-0000-0000-0000FB680000}"/>
    <cellStyle name="s_InitialPrintDialog_RCIV Q3 2009 Capital Analysis CURRENT" xfId="26868" xr:uid="{00000000-0005-0000-0000-0000FC680000}"/>
    <cellStyle name="s_Invested Capital Debt Worksheet" xfId="26869" xr:uid="{00000000-0005-0000-0000-0000FD680000}"/>
    <cellStyle name="s_iPCs#1-Remaining" xfId="26870" xr:uid="{00000000-0005-0000-0000-0000FE680000}"/>
    <cellStyle name="s_LBO Summary" xfId="26871" xr:uid="{00000000-0005-0000-0000-0000FF680000}"/>
    <cellStyle name="s_LBO Summary 10" xfId="26872" xr:uid="{00000000-0005-0000-0000-000000690000}"/>
    <cellStyle name="s_LBO Summary 11" xfId="26873" xr:uid="{00000000-0005-0000-0000-000001690000}"/>
    <cellStyle name="s_LBO Summary 12" xfId="26874" xr:uid="{00000000-0005-0000-0000-000002690000}"/>
    <cellStyle name="s_LBO Summary 13" xfId="26875" xr:uid="{00000000-0005-0000-0000-000003690000}"/>
    <cellStyle name="s_LBO Summary 14" xfId="26876" xr:uid="{00000000-0005-0000-0000-000004690000}"/>
    <cellStyle name="s_LBO Summary 15" xfId="26877" xr:uid="{00000000-0005-0000-0000-000005690000}"/>
    <cellStyle name="s_LBO Summary 16" xfId="26878" xr:uid="{00000000-0005-0000-0000-000006690000}"/>
    <cellStyle name="s_LBO Summary 17" xfId="26879" xr:uid="{00000000-0005-0000-0000-000007690000}"/>
    <cellStyle name="s_LBO Summary 18" xfId="26880" xr:uid="{00000000-0005-0000-0000-000008690000}"/>
    <cellStyle name="s_LBO Summary 19" xfId="26881" xr:uid="{00000000-0005-0000-0000-000009690000}"/>
    <cellStyle name="s_LBO Summary 2" xfId="26882" xr:uid="{00000000-0005-0000-0000-00000A690000}"/>
    <cellStyle name="s_LBO Summary 2 2" xfId="26883" xr:uid="{00000000-0005-0000-0000-00000B690000}"/>
    <cellStyle name="s_LBO Summary 20" xfId="26884" xr:uid="{00000000-0005-0000-0000-00000C690000}"/>
    <cellStyle name="s_LBO Summary 21" xfId="26885" xr:uid="{00000000-0005-0000-0000-00000D690000}"/>
    <cellStyle name="s_LBO Summary 22" xfId="26886" xr:uid="{00000000-0005-0000-0000-00000E690000}"/>
    <cellStyle name="s_LBO Summary 23" xfId="26887" xr:uid="{00000000-0005-0000-0000-00000F690000}"/>
    <cellStyle name="s_LBO Summary 23 2" xfId="26888" xr:uid="{00000000-0005-0000-0000-000010690000}"/>
    <cellStyle name="s_LBO Summary 3" xfId="26889" xr:uid="{00000000-0005-0000-0000-000011690000}"/>
    <cellStyle name="s_LBO Summary 3 2" xfId="26890" xr:uid="{00000000-0005-0000-0000-000012690000}"/>
    <cellStyle name="s_LBO Summary 4" xfId="26891" xr:uid="{00000000-0005-0000-0000-000013690000}"/>
    <cellStyle name="s_LBO Summary 5" xfId="26892" xr:uid="{00000000-0005-0000-0000-000014690000}"/>
    <cellStyle name="s_LBO Summary 6" xfId="26893" xr:uid="{00000000-0005-0000-0000-000015690000}"/>
    <cellStyle name="s_LBO Summary 7" xfId="26894" xr:uid="{00000000-0005-0000-0000-000016690000}"/>
    <cellStyle name="s_LBO Summary 8" xfId="26895" xr:uid="{00000000-0005-0000-0000-000017690000}"/>
    <cellStyle name="s_LBO Summary 9" xfId="26896" xr:uid="{00000000-0005-0000-0000-000018690000}"/>
    <cellStyle name="s_LBO Summary_{6} Clawback" xfId="26897" xr:uid="{00000000-0005-0000-0000-000019690000}"/>
    <cellStyle name="s_LBO Summary_1" xfId="26898" xr:uid="{00000000-0005-0000-0000-00001A690000}"/>
    <cellStyle name="s_LBO Summary_1 10" xfId="26899" xr:uid="{00000000-0005-0000-0000-00001B690000}"/>
    <cellStyle name="s_LBO Summary_1 11" xfId="26900" xr:uid="{00000000-0005-0000-0000-00001C690000}"/>
    <cellStyle name="s_LBO Summary_1 12" xfId="26901" xr:uid="{00000000-0005-0000-0000-00001D690000}"/>
    <cellStyle name="s_LBO Summary_1 13" xfId="26902" xr:uid="{00000000-0005-0000-0000-00001E690000}"/>
    <cellStyle name="s_LBO Summary_1 14" xfId="26903" xr:uid="{00000000-0005-0000-0000-00001F690000}"/>
    <cellStyle name="s_LBO Summary_1 15" xfId="26904" xr:uid="{00000000-0005-0000-0000-000020690000}"/>
    <cellStyle name="s_LBO Summary_1 16" xfId="26905" xr:uid="{00000000-0005-0000-0000-000021690000}"/>
    <cellStyle name="s_LBO Summary_1 17" xfId="26906" xr:uid="{00000000-0005-0000-0000-000022690000}"/>
    <cellStyle name="s_LBO Summary_1 18" xfId="26907" xr:uid="{00000000-0005-0000-0000-000023690000}"/>
    <cellStyle name="s_LBO Summary_1 19" xfId="26908" xr:uid="{00000000-0005-0000-0000-000024690000}"/>
    <cellStyle name="s_LBO Summary_1 2" xfId="26909" xr:uid="{00000000-0005-0000-0000-000025690000}"/>
    <cellStyle name="s_LBO Summary_1 2 2" xfId="26910" xr:uid="{00000000-0005-0000-0000-000026690000}"/>
    <cellStyle name="s_LBO Summary_1 20" xfId="26911" xr:uid="{00000000-0005-0000-0000-000027690000}"/>
    <cellStyle name="s_LBO Summary_1 21" xfId="26912" xr:uid="{00000000-0005-0000-0000-000028690000}"/>
    <cellStyle name="s_LBO Summary_1 22" xfId="26913" xr:uid="{00000000-0005-0000-0000-000029690000}"/>
    <cellStyle name="s_LBO Summary_1 23" xfId="26914" xr:uid="{00000000-0005-0000-0000-00002A690000}"/>
    <cellStyle name="s_LBO Summary_1 23 2" xfId="26915" xr:uid="{00000000-0005-0000-0000-00002B690000}"/>
    <cellStyle name="s_LBO Summary_1 3" xfId="26916" xr:uid="{00000000-0005-0000-0000-00002C690000}"/>
    <cellStyle name="s_LBO Summary_1 3 2" xfId="26917" xr:uid="{00000000-0005-0000-0000-00002D690000}"/>
    <cellStyle name="s_LBO Summary_1 4" xfId="26918" xr:uid="{00000000-0005-0000-0000-00002E690000}"/>
    <cellStyle name="s_LBO Summary_1 5" xfId="26919" xr:uid="{00000000-0005-0000-0000-00002F690000}"/>
    <cellStyle name="s_LBO Summary_1 6" xfId="26920" xr:uid="{00000000-0005-0000-0000-000030690000}"/>
    <cellStyle name="s_LBO Summary_1 7" xfId="26921" xr:uid="{00000000-0005-0000-0000-000031690000}"/>
    <cellStyle name="s_LBO Summary_1 8" xfId="26922" xr:uid="{00000000-0005-0000-0000-000032690000}"/>
    <cellStyle name="s_LBO Summary_1 9" xfId="26923" xr:uid="{00000000-0005-0000-0000-000033690000}"/>
    <cellStyle name="s_LBO Summary_1_{6} Clawback" xfId="26924" xr:uid="{00000000-0005-0000-0000-000034690000}"/>
    <cellStyle name="s_LBO Summary_1_AIF IV Financial Highlights 12-31-08 v4" xfId="26925" xr:uid="{00000000-0005-0000-0000-000035690000}"/>
    <cellStyle name="s_LBO Summary_1_AIF IV Financial Highlights 12-31-08 v4_Apollo Investment Fund IV  Q3 2009 Capital Analysis CURRENT" xfId="26926" xr:uid="{00000000-0005-0000-0000-000036690000}"/>
    <cellStyle name="s_LBO Summary_1_AIF IV Financial Highlights 12-31-08 v4_Apollo Investment Fund IV  Q3 2009 Capital Analysis iPCS &amp; URI Distribution" xfId="26927" xr:uid="{00000000-0005-0000-0000-000037690000}"/>
    <cellStyle name="s_LBO Summary_1_AIF IV Financial Highlights 12-31-08 v4_iPCs#1-Remaining" xfId="26928" xr:uid="{00000000-0005-0000-0000-000038690000}"/>
    <cellStyle name="s_LBO Summary_1_AIF VI - BondcoVI_Entities Invested Capital (CURRENT)" xfId="26929" xr:uid="{00000000-0005-0000-0000-000039690000}"/>
    <cellStyle name="s_LBO Summary_1_AIF VI Broadleaf Watefall Summary as of 6-30-09 FINAL" xfId="26930" xr:uid="{00000000-0005-0000-0000-00003A690000}"/>
    <cellStyle name="s_LBO Summary_1_AIF VI Broadleaf Watefall Summary as of 9-30-09" xfId="26931" xr:uid="{00000000-0005-0000-0000-00003B690000}"/>
    <cellStyle name="s_LBO Summary_1_Andy Affrick - Schedulev2" xfId="26932" xr:uid="{00000000-0005-0000-0000-00003C690000}"/>
    <cellStyle name="s_LBO Summary_1_Apollo Advisors IV 12-31-08 GAAP TB Final" xfId="26933" xr:uid="{00000000-0005-0000-0000-00003D690000}"/>
    <cellStyle name="s_LBO Summary_1_Apollo Advisors IV 12-31-08 TB (Revised for Aggr PR)" xfId="26934" xr:uid="{00000000-0005-0000-0000-00003E690000}"/>
    <cellStyle name="s_LBO Summary_1_Apollo Advisors IV 6-30-09 GAAP TB" xfId="26935" xr:uid="{00000000-0005-0000-0000-00003F690000}"/>
    <cellStyle name="s_LBO Summary_1_Apollo Investment Fund IV  April Priority Return" xfId="26936" xr:uid="{00000000-0005-0000-0000-000040690000}"/>
    <cellStyle name="s_LBO Summary_1_Apollo Investment Fund IV  Q1 2009 Capital Analysis 5-22-09 with GAAP" xfId="26937" xr:uid="{00000000-0005-0000-0000-000041690000}"/>
    <cellStyle name="s_LBO Summary_1_Apollo Investment Fund IV  Q1 2009 Capital Analysis GAAP" xfId="26938" xr:uid="{00000000-0005-0000-0000-000042690000}"/>
    <cellStyle name="s_LBO Summary_1_Apollo Investment Fund IV  Q2 2009 Capital Analysis CURRENT" xfId="26939" xr:uid="{00000000-0005-0000-0000-000043690000}"/>
    <cellStyle name="s_LBO Summary_1_Apollo Investment Fund IV  Q3 2009 Capital Analysis CURRENT" xfId="26940" xr:uid="{00000000-0005-0000-0000-000044690000}"/>
    <cellStyle name="s_LBO Summary_1_Apollo Investment Fund IV  Q3 2009 Capital Analysis iPCS &amp; URI Distribution" xfId="26941" xr:uid="{00000000-0005-0000-0000-000045690000}"/>
    <cellStyle name="s_LBO Summary_1_Apollo Investment Fund IV Q1 2009 Capital Analysis PR CORRECTED 6-30-09" xfId="26942" xr:uid="{00000000-0005-0000-0000-000046690000}"/>
    <cellStyle name="s_LBO Summary_1_Broadleaf Watefall 12-31-09" xfId="26943" xr:uid="{00000000-0005-0000-0000-000047690000}"/>
    <cellStyle name="s_LBO Summary_1_Broadleaf Watefall 6-30-09" xfId="26944" xr:uid="{00000000-0005-0000-0000-000048690000}"/>
    <cellStyle name="s_LBO Summary_1_Broadleaf Watefall 9-30-09" xfId="26945" xr:uid="{00000000-0005-0000-0000-000049690000}"/>
    <cellStyle name="s_LBO Summary_1_Carry Calculation" xfId="26946" xr:uid="{00000000-0005-0000-0000-00004A690000}"/>
    <cellStyle name="s_LBO Summary_1_Fund IV" xfId="26947" xr:uid="{00000000-0005-0000-0000-00004B690000}"/>
    <cellStyle name="s_LBO Summary_1_Fund IV 9.30.08" xfId="26948" xr:uid="{00000000-0005-0000-0000-00004C690000}"/>
    <cellStyle name="s_LBO Summary_1_Fund IV_1" xfId="26949" xr:uid="{00000000-0005-0000-0000-00004D690000}"/>
    <cellStyle name="s_LBO Summary_1_Funds IV Clawback Adjustment Summary" xfId="26950" xr:uid="{00000000-0005-0000-0000-00004E690000}"/>
    <cellStyle name="s_LBO Summary_1_Funds IV Clawback Value Adjustment" xfId="26951" xr:uid="{00000000-0005-0000-0000-00004F690000}"/>
    <cellStyle name="s_LBO Summary_1_IC Balance" xfId="26952" xr:uid="{00000000-0005-0000-0000-000050690000}"/>
    <cellStyle name="s_LBO Summary_1_Invested Capital Debt Worksheet" xfId="26953" xr:uid="{00000000-0005-0000-0000-000051690000}"/>
    <cellStyle name="s_LBO Summary_1_Invested Capital Debt Worksheet_1" xfId="26954" xr:uid="{00000000-0005-0000-0000-000052690000}"/>
    <cellStyle name="s_LBO Summary_1_iPCs#1-Remaining" xfId="26955" xr:uid="{00000000-0005-0000-0000-000053690000}"/>
    <cellStyle name="s_LBO Summary_1_MMF Income" xfId="26956" xr:uid="{00000000-0005-0000-0000-000054690000}"/>
    <cellStyle name="s_LBO Summary_1_Partners Capital Q1 2009" xfId="26957" xr:uid="{00000000-0005-0000-0000-000055690000}"/>
    <cellStyle name="s_LBO Summary_1_Placement Fee Summary 05-14-09 - Current (2)" xfId="26958" xr:uid="{00000000-0005-0000-0000-000056690000}"/>
    <cellStyle name="s_LBO Summary_1_PR Calc" xfId="26959" xr:uid="{00000000-0005-0000-0000-000057690000}"/>
    <cellStyle name="s_LBO Summary_1_RCIV Q3 2009 Capital Analysis CURRENT" xfId="26960" xr:uid="{00000000-0005-0000-0000-000058690000}"/>
    <cellStyle name="s_LBO Summary_1_Sheet1" xfId="26961" xr:uid="{00000000-0005-0000-0000-000059690000}"/>
    <cellStyle name="s_LBO Summary_2" xfId="26962" xr:uid="{00000000-0005-0000-0000-00005A690000}"/>
    <cellStyle name="s_LBO Summary_2 10" xfId="26963" xr:uid="{00000000-0005-0000-0000-00005B690000}"/>
    <cellStyle name="s_LBO Summary_2 11" xfId="26964" xr:uid="{00000000-0005-0000-0000-00005C690000}"/>
    <cellStyle name="s_LBO Summary_2 12" xfId="26965" xr:uid="{00000000-0005-0000-0000-00005D690000}"/>
    <cellStyle name="s_LBO Summary_2 13" xfId="26966" xr:uid="{00000000-0005-0000-0000-00005E690000}"/>
    <cellStyle name="s_LBO Summary_2 14" xfId="26967" xr:uid="{00000000-0005-0000-0000-00005F690000}"/>
    <cellStyle name="s_LBO Summary_2 15" xfId="26968" xr:uid="{00000000-0005-0000-0000-000060690000}"/>
    <cellStyle name="s_LBO Summary_2 16" xfId="26969" xr:uid="{00000000-0005-0000-0000-000061690000}"/>
    <cellStyle name="s_LBO Summary_2 17" xfId="26970" xr:uid="{00000000-0005-0000-0000-000062690000}"/>
    <cellStyle name="s_LBO Summary_2 18" xfId="26971" xr:uid="{00000000-0005-0000-0000-000063690000}"/>
    <cellStyle name="s_LBO Summary_2 19" xfId="26972" xr:uid="{00000000-0005-0000-0000-000064690000}"/>
    <cellStyle name="s_LBO Summary_2 2" xfId="26973" xr:uid="{00000000-0005-0000-0000-000065690000}"/>
    <cellStyle name="s_LBO Summary_2 2 2" xfId="26974" xr:uid="{00000000-0005-0000-0000-000066690000}"/>
    <cellStyle name="s_LBO Summary_2 20" xfId="26975" xr:uid="{00000000-0005-0000-0000-000067690000}"/>
    <cellStyle name="s_LBO Summary_2 21" xfId="26976" xr:uid="{00000000-0005-0000-0000-000068690000}"/>
    <cellStyle name="s_LBO Summary_2 22" xfId="26977" xr:uid="{00000000-0005-0000-0000-000069690000}"/>
    <cellStyle name="s_LBO Summary_2 23" xfId="26978" xr:uid="{00000000-0005-0000-0000-00006A690000}"/>
    <cellStyle name="s_LBO Summary_2 23 2" xfId="26979" xr:uid="{00000000-0005-0000-0000-00006B690000}"/>
    <cellStyle name="s_LBO Summary_2 3" xfId="26980" xr:uid="{00000000-0005-0000-0000-00006C690000}"/>
    <cellStyle name="s_LBO Summary_2 3 2" xfId="26981" xr:uid="{00000000-0005-0000-0000-00006D690000}"/>
    <cellStyle name="s_LBO Summary_2 4" xfId="26982" xr:uid="{00000000-0005-0000-0000-00006E690000}"/>
    <cellStyle name="s_LBO Summary_2 5" xfId="26983" xr:uid="{00000000-0005-0000-0000-00006F690000}"/>
    <cellStyle name="s_LBO Summary_2 6" xfId="26984" xr:uid="{00000000-0005-0000-0000-000070690000}"/>
    <cellStyle name="s_LBO Summary_2 7" xfId="26985" xr:uid="{00000000-0005-0000-0000-000071690000}"/>
    <cellStyle name="s_LBO Summary_2 8" xfId="26986" xr:uid="{00000000-0005-0000-0000-000072690000}"/>
    <cellStyle name="s_LBO Summary_2 9" xfId="26987" xr:uid="{00000000-0005-0000-0000-000073690000}"/>
    <cellStyle name="s_LBO Summary_2_{6} Clawback" xfId="26988" xr:uid="{00000000-0005-0000-0000-000074690000}"/>
    <cellStyle name="s_LBO Summary_2_AIF IV Financial Highlights 12-31-08 v4" xfId="26989" xr:uid="{00000000-0005-0000-0000-000075690000}"/>
    <cellStyle name="s_LBO Summary_2_AIF IV Financial Highlights 12-31-08 v4_Apollo Investment Fund IV  Q3 2009 Capital Analysis CURRENT" xfId="26990" xr:uid="{00000000-0005-0000-0000-000076690000}"/>
    <cellStyle name="s_LBO Summary_2_AIF IV Financial Highlights 12-31-08 v4_Apollo Investment Fund IV  Q3 2009 Capital Analysis iPCS &amp; URI Distribution" xfId="26991" xr:uid="{00000000-0005-0000-0000-000077690000}"/>
    <cellStyle name="s_LBO Summary_2_AIF IV Financial Highlights 12-31-08 v4_iPCs#1-Remaining" xfId="26992" xr:uid="{00000000-0005-0000-0000-000078690000}"/>
    <cellStyle name="s_LBO Summary_2_AIF VI - BondcoVI_Entities Invested Capital (CURRENT)" xfId="26993" xr:uid="{00000000-0005-0000-0000-000079690000}"/>
    <cellStyle name="s_LBO Summary_2_AIF VI Broadleaf Watefall Summary as of 6-30-09 FINAL" xfId="26994" xr:uid="{00000000-0005-0000-0000-00007A690000}"/>
    <cellStyle name="s_LBO Summary_2_AIF VI Broadleaf Watefall Summary as of 9-30-09" xfId="26995" xr:uid="{00000000-0005-0000-0000-00007B690000}"/>
    <cellStyle name="s_LBO Summary_2_Andy Affrick - Schedulev2" xfId="26996" xr:uid="{00000000-0005-0000-0000-00007C690000}"/>
    <cellStyle name="s_LBO Summary_2_Apollo Advisors IV 12-31-08 GAAP TB Final" xfId="26997" xr:uid="{00000000-0005-0000-0000-00007D690000}"/>
    <cellStyle name="s_LBO Summary_2_Apollo Advisors IV 12-31-08 TB (Revised for Aggr PR)" xfId="26998" xr:uid="{00000000-0005-0000-0000-00007E690000}"/>
    <cellStyle name="s_LBO Summary_2_Apollo Advisors IV 6-30-09 GAAP TB" xfId="26999" xr:uid="{00000000-0005-0000-0000-00007F690000}"/>
    <cellStyle name="s_LBO Summary_2_Apollo Investment Fund IV  April Priority Return" xfId="27000" xr:uid="{00000000-0005-0000-0000-000080690000}"/>
    <cellStyle name="s_LBO Summary_2_Apollo Investment Fund IV  Q1 2009 Capital Analysis 5-22-09 with GAAP" xfId="27001" xr:uid="{00000000-0005-0000-0000-000081690000}"/>
    <cellStyle name="s_LBO Summary_2_Apollo Investment Fund IV  Q1 2009 Capital Analysis GAAP" xfId="27002" xr:uid="{00000000-0005-0000-0000-000082690000}"/>
    <cellStyle name="s_LBO Summary_2_Apollo Investment Fund IV  Q2 2009 Capital Analysis CURRENT" xfId="27003" xr:uid="{00000000-0005-0000-0000-000083690000}"/>
    <cellStyle name="s_LBO Summary_2_Apollo Investment Fund IV  Q3 2009 Capital Analysis CURRENT" xfId="27004" xr:uid="{00000000-0005-0000-0000-000084690000}"/>
    <cellStyle name="s_LBO Summary_2_Apollo Investment Fund IV  Q3 2009 Capital Analysis iPCS &amp; URI Distribution" xfId="27005" xr:uid="{00000000-0005-0000-0000-000085690000}"/>
    <cellStyle name="s_LBO Summary_2_Apollo Investment Fund IV Q1 2009 Capital Analysis PR CORRECTED 6-30-09" xfId="27006" xr:uid="{00000000-0005-0000-0000-000086690000}"/>
    <cellStyle name="s_LBO Summary_2_Broadleaf Watefall 12-31-09" xfId="27007" xr:uid="{00000000-0005-0000-0000-000087690000}"/>
    <cellStyle name="s_LBO Summary_2_Broadleaf Watefall 6-30-09" xfId="27008" xr:uid="{00000000-0005-0000-0000-000088690000}"/>
    <cellStyle name="s_LBO Summary_2_Broadleaf Watefall 9-30-09" xfId="27009" xr:uid="{00000000-0005-0000-0000-000089690000}"/>
    <cellStyle name="s_LBO Summary_2_Carry Calculation" xfId="27010" xr:uid="{00000000-0005-0000-0000-00008A690000}"/>
    <cellStyle name="s_LBO Summary_2_Fund IV" xfId="27011" xr:uid="{00000000-0005-0000-0000-00008B690000}"/>
    <cellStyle name="s_LBO Summary_2_Fund IV 9.30.08" xfId="27012" xr:uid="{00000000-0005-0000-0000-00008C690000}"/>
    <cellStyle name="s_LBO Summary_2_Fund IV_1" xfId="27013" xr:uid="{00000000-0005-0000-0000-00008D690000}"/>
    <cellStyle name="s_LBO Summary_2_Funds IV Clawback Adjustment Summary" xfId="27014" xr:uid="{00000000-0005-0000-0000-00008E690000}"/>
    <cellStyle name="s_LBO Summary_2_Funds IV Clawback Value Adjustment" xfId="27015" xr:uid="{00000000-0005-0000-0000-00008F690000}"/>
    <cellStyle name="s_LBO Summary_2_IC Balance" xfId="27016" xr:uid="{00000000-0005-0000-0000-000090690000}"/>
    <cellStyle name="s_LBO Summary_2_Invested Capital Debt Worksheet" xfId="27017" xr:uid="{00000000-0005-0000-0000-000091690000}"/>
    <cellStyle name="s_LBO Summary_2_Invested Capital Debt Worksheet_1" xfId="27018" xr:uid="{00000000-0005-0000-0000-000092690000}"/>
    <cellStyle name="s_LBO Summary_2_iPCs#1-Remaining" xfId="27019" xr:uid="{00000000-0005-0000-0000-000093690000}"/>
    <cellStyle name="s_LBO Summary_2_MMF Income" xfId="27020" xr:uid="{00000000-0005-0000-0000-000094690000}"/>
    <cellStyle name="s_LBO Summary_2_Partners Capital Q1 2009" xfId="27021" xr:uid="{00000000-0005-0000-0000-000095690000}"/>
    <cellStyle name="s_LBO Summary_2_Placement Fee Summary 05-14-09 - Current (2)" xfId="27022" xr:uid="{00000000-0005-0000-0000-000096690000}"/>
    <cellStyle name="s_LBO Summary_2_PR Calc" xfId="27023" xr:uid="{00000000-0005-0000-0000-000097690000}"/>
    <cellStyle name="s_LBO Summary_2_RCIV Q3 2009 Capital Analysis CURRENT" xfId="27024" xr:uid="{00000000-0005-0000-0000-000098690000}"/>
    <cellStyle name="s_LBO Summary_2_Sheet1" xfId="27025" xr:uid="{00000000-0005-0000-0000-000099690000}"/>
    <cellStyle name="s_LBO Summary_AIF IV Financial Highlights 12-31-08 v4" xfId="27026" xr:uid="{00000000-0005-0000-0000-00009A690000}"/>
    <cellStyle name="s_LBO Summary_AIF IV Financial Highlights 12-31-08 v4_Apollo Investment Fund IV  Q3 2009 Capital Analysis CURRENT" xfId="27027" xr:uid="{00000000-0005-0000-0000-00009B690000}"/>
    <cellStyle name="s_LBO Summary_AIF IV Financial Highlights 12-31-08 v4_Apollo Investment Fund IV  Q3 2009 Capital Analysis iPCS &amp; URI Distribution" xfId="27028" xr:uid="{00000000-0005-0000-0000-00009C690000}"/>
    <cellStyle name="s_LBO Summary_AIF IV Financial Highlights 12-31-08 v4_iPCs#1-Remaining" xfId="27029" xr:uid="{00000000-0005-0000-0000-00009D690000}"/>
    <cellStyle name="s_LBO Summary_AIF VI - BondcoVI_Entities Invested Capital (CURRENT)" xfId="27030" xr:uid="{00000000-0005-0000-0000-00009E690000}"/>
    <cellStyle name="s_LBO Summary_AIF VI Broadleaf Watefall Summary as of 6-30-09 FINAL" xfId="27031" xr:uid="{00000000-0005-0000-0000-00009F690000}"/>
    <cellStyle name="s_LBO Summary_AIF VI Broadleaf Watefall Summary as of 9-30-09" xfId="27032" xr:uid="{00000000-0005-0000-0000-0000A0690000}"/>
    <cellStyle name="s_LBO Summary_Andy Affrick - Schedulev2" xfId="27033" xr:uid="{00000000-0005-0000-0000-0000A1690000}"/>
    <cellStyle name="s_LBO Summary_Apollo Investment Fund IV  April Priority Return" xfId="27034" xr:uid="{00000000-0005-0000-0000-0000A2690000}"/>
    <cellStyle name="s_LBO Summary_Apollo Investment Fund IV  Q1 2009 Capital Analysis 5-22-09 with GAAP" xfId="27035" xr:uid="{00000000-0005-0000-0000-0000A3690000}"/>
    <cellStyle name="s_LBO Summary_Apollo Investment Fund IV  Q1 2009 Capital Analysis GAAP" xfId="27036" xr:uid="{00000000-0005-0000-0000-0000A4690000}"/>
    <cellStyle name="s_LBO Summary_Apollo Investment Fund IV  Q2 2009 Capital Analysis CURRENT" xfId="27037" xr:uid="{00000000-0005-0000-0000-0000A5690000}"/>
    <cellStyle name="s_LBO Summary_Apollo Investment Fund IV  Q3 2009 Capital Analysis CURRENT" xfId="27038" xr:uid="{00000000-0005-0000-0000-0000A6690000}"/>
    <cellStyle name="s_LBO Summary_Apollo Investment Fund IV  Q3 2009 Capital Analysis iPCS &amp; URI Distribution" xfId="27039" xr:uid="{00000000-0005-0000-0000-0000A7690000}"/>
    <cellStyle name="s_LBO Summary_Apollo Investment Fund IV Q1 2009 Capital Analysis PR CORRECTED 6-30-09" xfId="27040" xr:uid="{00000000-0005-0000-0000-0000A8690000}"/>
    <cellStyle name="s_LBO Summary_Broadleaf Watefall 12-31-09" xfId="27041" xr:uid="{00000000-0005-0000-0000-0000A9690000}"/>
    <cellStyle name="s_LBO Summary_Broadleaf Watefall 6-30-09" xfId="27042" xr:uid="{00000000-0005-0000-0000-0000AA690000}"/>
    <cellStyle name="s_LBO Summary_Broadleaf Watefall 9-30-09" xfId="27043" xr:uid="{00000000-0005-0000-0000-0000AB690000}"/>
    <cellStyle name="s_LBO Summary_Carry Calculation" xfId="27044" xr:uid="{00000000-0005-0000-0000-0000AC690000}"/>
    <cellStyle name="s_LBO Summary_Fund IV" xfId="27045" xr:uid="{00000000-0005-0000-0000-0000AD690000}"/>
    <cellStyle name="s_LBO Summary_Fund IV 9.30.08" xfId="27046" xr:uid="{00000000-0005-0000-0000-0000AE690000}"/>
    <cellStyle name="s_LBO Summary_Fund IV_1" xfId="27047" xr:uid="{00000000-0005-0000-0000-0000AF690000}"/>
    <cellStyle name="s_LBO Summary_Funds IV Clawback Adjustment Summary" xfId="27048" xr:uid="{00000000-0005-0000-0000-0000B0690000}"/>
    <cellStyle name="s_LBO Summary_Funds IV Clawback Value Adjustment" xfId="27049" xr:uid="{00000000-0005-0000-0000-0000B1690000}"/>
    <cellStyle name="s_LBO Summary_IC Balance" xfId="27050" xr:uid="{00000000-0005-0000-0000-0000B2690000}"/>
    <cellStyle name="s_LBO Summary_Invested Capital Debt Worksheet" xfId="27051" xr:uid="{00000000-0005-0000-0000-0000B3690000}"/>
    <cellStyle name="s_LBO Summary_iPCs#1-Remaining" xfId="27052" xr:uid="{00000000-0005-0000-0000-0000B4690000}"/>
    <cellStyle name="s_LBO Summary_MMF Income" xfId="27053" xr:uid="{00000000-0005-0000-0000-0000B5690000}"/>
    <cellStyle name="s_LBO Summary_Partners Capital Q1 2009" xfId="27054" xr:uid="{00000000-0005-0000-0000-0000B6690000}"/>
    <cellStyle name="s_LBO Summary_Placement Fee Summary 05-14-09 - Current (2)" xfId="27055" xr:uid="{00000000-0005-0000-0000-0000B7690000}"/>
    <cellStyle name="s_LBO Summary_PR Calc" xfId="27056" xr:uid="{00000000-0005-0000-0000-0000B8690000}"/>
    <cellStyle name="s_LBO Summary_RCIV Q3 2009 Capital Analysis CURRENT" xfId="27057" xr:uid="{00000000-0005-0000-0000-0000B9690000}"/>
    <cellStyle name="s_LMA (2)" xfId="27058" xr:uid="{00000000-0005-0000-0000-0000BA690000}"/>
    <cellStyle name="s_LMA (2) 10" xfId="27059" xr:uid="{00000000-0005-0000-0000-0000BB690000}"/>
    <cellStyle name="s_LMA (2) 11" xfId="27060" xr:uid="{00000000-0005-0000-0000-0000BC690000}"/>
    <cellStyle name="s_LMA (2) 12" xfId="27061" xr:uid="{00000000-0005-0000-0000-0000BD690000}"/>
    <cellStyle name="s_LMA (2) 13" xfId="27062" xr:uid="{00000000-0005-0000-0000-0000BE690000}"/>
    <cellStyle name="s_LMA (2) 14" xfId="27063" xr:uid="{00000000-0005-0000-0000-0000BF690000}"/>
    <cellStyle name="s_LMA (2) 15" xfId="27064" xr:uid="{00000000-0005-0000-0000-0000C0690000}"/>
    <cellStyle name="s_LMA (2) 16" xfId="27065" xr:uid="{00000000-0005-0000-0000-0000C1690000}"/>
    <cellStyle name="s_LMA (2) 17" xfId="27066" xr:uid="{00000000-0005-0000-0000-0000C2690000}"/>
    <cellStyle name="s_LMA (2) 18" xfId="27067" xr:uid="{00000000-0005-0000-0000-0000C3690000}"/>
    <cellStyle name="s_LMA (2) 19" xfId="27068" xr:uid="{00000000-0005-0000-0000-0000C4690000}"/>
    <cellStyle name="s_LMA (2) 2" xfId="27069" xr:uid="{00000000-0005-0000-0000-0000C5690000}"/>
    <cellStyle name="s_LMA (2) 2 2" xfId="27070" xr:uid="{00000000-0005-0000-0000-0000C6690000}"/>
    <cellStyle name="s_LMA (2) 20" xfId="27071" xr:uid="{00000000-0005-0000-0000-0000C7690000}"/>
    <cellStyle name="s_LMA (2) 21" xfId="27072" xr:uid="{00000000-0005-0000-0000-0000C8690000}"/>
    <cellStyle name="s_LMA (2) 22" xfId="27073" xr:uid="{00000000-0005-0000-0000-0000C9690000}"/>
    <cellStyle name="s_LMA (2) 23" xfId="27074" xr:uid="{00000000-0005-0000-0000-0000CA690000}"/>
    <cellStyle name="s_LMA (2) 23 2" xfId="27075" xr:uid="{00000000-0005-0000-0000-0000CB690000}"/>
    <cellStyle name="s_LMA (2) 3" xfId="27076" xr:uid="{00000000-0005-0000-0000-0000CC690000}"/>
    <cellStyle name="s_LMA (2) 3 2" xfId="27077" xr:uid="{00000000-0005-0000-0000-0000CD690000}"/>
    <cellStyle name="s_LMA (2) 4" xfId="27078" xr:uid="{00000000-0005-0000-0000-0000CE690000}"/>
    <cellStyle name="s_LMA (2) 5" xfId="27079" xr:uid="{00000000-0005-0000-0000-0000CF690000}"/>
    <cellStyle name="s_LMA (2) 6" xfId="27080" xr:uid="{00000000-0005-0000-0000-0000D0690000}"/>
    <cellStyle name="s_LMA (2) 7" xfId="27081" xr:uid="{00000000-0005-0000-0000-0000D1690000}"/>
    <cellStyle name="s_LMA (2) 8" xfId="27082" xr:uid="{00000000-0005-0000-0000-0000D2690000}"/>
    <cellStyle name="s_LMA (2) 9" xfId="27083" xr:uid="{00000000-0005-0000-0000-0000D3690000}"/>
    <cellStyle name="s_LMA (2)_{6} Clawback" xfId="27084" xr:uid="{00000000-0005-0000-0000-0000D4690000}"/>
    <cellStyle name="s_LMA (2)_1" xfId="27085" xr:uid="{00000000-0005-0000-0000-0000D5690000}"/>
    <cellStyle name="s_LMA (2)_1 10" xfId="27086" xr:uid="{00000000-0005-0000-0000-0000D6690000}"/>
    <cellStyle name="s_LMA (2)_1 11" xfId="27087" xr:uid="{00000000-0005-0000-0000-0000D7690000}"/>
    <cellStyle name="s_LMA (2)_1 12" xfId="27088" xr:uid="{00000000-0005-0000-0000-0000D8690000}"/>
    <cellStyle name="s_LMA (2)_1 13" xfId="27089" xr:uid="{00000000-0005-0000-0000-0000D9690000}"/>
    <cellStyle name="s_LMA (2)_1 14" xfId="27090" xr:uid="{00000000-0005-0000-0000-0000DA690000}"/>
    <cellStyle name="s_LMA (2)_1 15" xfId="27091" xr:uid="{00000000-0005-0000-0000-0000DB690000}"/>
    <cellStyle name="s_LMA (2)_1 16" xfId="27092" xr:uid="{00000000-0005-0000-0000-0000DC690000}"/>
    <cellStyle name="s_LMA (2)_1 17" xfId="27093" xr:uid="{00000000-0005-0000-0000-0000DD690000}"/>
    <cellStyle name="s_LMA (2)_1 18" xfId="27094" xr:uid="{00000000-0005-0000-0000-0000DE690000}"/>
    <cellStyle name="s_LMA (2)_1 19" xfId="27095" xr:uid="{00000000-0005-0000-0000-0000DF690000}"/>
    <cellStyle name="s_LMA (2)_1 2" xfId="27096" xr:uid="{00000000-0005-0000-0000-0000E0690000}"/>
    <cellStyle name="s_LMA (2)_1 2 2" xfId="27097" xr:uid="{00000000-0005-0000-0000-0000E1690000}"/>
    <cellStyle name="s_LMA (2)_1 20" xfId="27098" xr:uid="{00000000-0005-0000-0000-0000E2690000}"/>
    <cellStyle name="s_LMA (2)_1 21" xfId="27099" xr:uid="{00000000-0005-0000-0000-0000E3690000}"/>
    <cellStyle name="s_LMA (2)_1 22" xfId="27100" xr:uid="{00000000-0005-0000-0000-0000E4690000}"/>
    <cellStyle name="s_LMA (2)_1 23" xfId="27101" xr:uid="{00000000-0005-0000-0000-0000E5690000}"/>
    <cellStyle name="s_LMA (2)_1 23 2" xfId="27102" xr:uid="{00000000-0005-0000-0000-0000E6690000}"/>
    <cellStyle name="s_LMA (2)_1 3" xfId="27103" xr:uid="{00000000-0005-0000-0000-0000E7690000}"/>
    <cellStyle name="s_LMA (2)_1 3 2" xfId="27104" xr:uid="{00000000-0005-0000-0000-0000E8690000}"/>
    <cellStyle name="s_LMA (2)_1 4" xfId="27105" xr:uid="{00000000-0005-0000-0000-0000E9690000}"/>
    <cellStyle name="s_LMA (2)_1 5" xfId="27106" xr:uid="{00000000-0005-0000-0000-0000EA690000}"/>
    <cellStyle name="s_LMA (2)_1 6" xfId="27107" xr:uid="{00000000-0005-0000-0000-0000EB690000}"/>
    <cellStyle name="s_LMA (2)_1 7" xfId="27108" xr:uid="{00000000-0005-0000-0000-0000EC690000}"/>
    <cellStyle name="s_LMA (2)_1 8" xfId="27109" xr:uid="{00000000-0005-0000-0000-0000ED690000}"/>
    <cellStyle name="s_LMA (2)_1 9" xfId="27110" xr:uid="{00000000-0005-0000-0000-0000EE690000}"/>
    <cellStyle name="s_LMA (2)_1_{6} Clawback" xfId="27111" xr:uid="{00000000-0005-0000-0000-0000EF690000}"/>
    <cellStyle name="s_LMA (2)_1_AIF IV Financial Highlights 12-31-08 v4" xfId="27112" xr:uid="{00000000-0005-0000-0000-0000F0690000}"/>
    <cellStyle name="s_LMA (2)_1_AIF IV Financial Highlights 12-31-08 v4_Apollo Investment Fund IV  Q3 2009 Capital Analysis CURRENT" xfId="27113" xr:uid="{00000000-0005-0000-0000-0000F1690000}"/>
    <cellStyle name="s_LMA (2)_1_AIF IV Financial Highlights 12-31-08 v4_Apollo Investment Fund IV  Q3 2009 Capital Analysis iPCS &amp; URI Distribution" xfId="27114" xr:uid="{00000000-0005-0000-0000-0000F2690000}"/>
    <cellStyle name="s_LMA (2)_1_AIF IV Financial Highlights 12-31-08 v4_iPCs#1-Remaining" xfId="27115" xr:uid="{00000000-0005-0000-0000-0000F3690000}"/>
    <cellStyle name="s_LMA (2)_1_AIF VI - BondcoVI_Entities Invested Capital (CURRENT)" xfId="27116" xr:uid="{00000000-0005-0000-0000-0000F4690000}"/>
    <cellStyle name="s_LMA (2)_1_AIF VI Broadleaf Watefall Summary as of 6-30-09 FINAL" xfId="27117" xr:uid="{00000000-0005-0000-0000-0000F5690000}"/>
    <cellStyle name="s_LMA (2)_1_AIF VI Broadleaf Watefall Summary as of 9-30-09" xfId="27118" xr:uid="{00000000-0005-0000-0000-0000F6690000}"/>
    <cellStyle name="s_LMA (2)_1_Andy Affrick - Schedulev2" xfId="27119" xr:uid="{00000000-0005-0000-0000-0000F7690000}"/>
    <cellStyle name="s_LMA (2)_1_Apollo Investment Fund IV  April Priority Return" xfId="27120" xr:uid="{00000000-0005-0000-0000-0000F8690000}"/>
    <cellStyle name="s_LMA (2)_1_Apollo Investment Fund IV  Q1 2009 Capital Analysis 5-22-09 with GAAP" xfId="27121" xr:uid="{00000000-0005-0000-0000-0000F9690000}"/>
    <cellStyle name="s_LMA (2)_1_Apollo Investment Fund IV  Q1 2009 Capital Analysis GAAP" xfId="27122" xr:uid="{00000000-0005-0000-0000-0000FA690000}"/>
    <cellStyle name="s_LMA (2)_1_Apollo Investment Fund IV  Q2 2009 Capital Analysis CURRENT" xfId="27123" xr:uid="{00000000-0005-0000-0000-0000FB690000}"/>
    <cellStyle name="s_LMA (2)_1_Apollo Investment Fund IV  Q3 2009 Capital Analysis CURRENT" xfId="27124" xr:uid="{00000000-0005-0000-0000-0000FC690000}"/>
    <cellStyle name="s_LMA (2)_1_Apollo Investment Fund IV  Q3 2009 Capital Analysis iPCS &amp; URI Distribution" xfId="27125" xr:uid="{00000000-0005-0000-0000-0000FD690000}"/>
    <cellStyle name="s_LMA (2)_1_Apollo Investment Fund IV Q1 2009 Capital Analysis PR CORRECTED 6-30-09" xfId="27126" xr:uid="{00000000-0005-0000-0000-0000FE690000}"/>
    <cellStyle name="s_LMA (2)_1_Broadleaf Watefall 12-31-09" xfId="27127" xr:uid="{00000000-0005-0000-0000-0000FF690000}"/>
    <cellStyle name="s_LMA (2)_1_Broadleaf Watefall 6-30-09" xfId="27128" xr:uid="{00000000-0005-0000-0000-0000006A0000}"/>
    <cellStyle name="s_LMA (2)_1_Broadleaf Watefall 9-30-09" xfId="27129" xr:uid="{00000000-0005-0000-0000-0000016A0000}"/>
    <cellStyle name="s_LMA (2)_1_Carry Calculation" xfId="27130" xr:uid="{00000000-0005-0000-0000-0000026A0000}"/>
    <cellStyle name="s_LMA (2)_1_Fund IV" xfId="27131" xr:uid="{00000000-0005-0000-0000-0000036A0000}"/>
    <cellStyle name="s_LMA (2)_1_Fund IV 9.30.08" xfId="27132" xr:uid="{00000000-0005-0000-0000-0000046A0000}"/>
    <cellStyle name="s_LMA (2)_1_Fund IV_1" xfId="27133" xr:uid="{00000000-0005-0000-0000-0000056A0000}"/>
    <cellStyle name="s_LMA (2)_1_Funds IV Clawback Adjustment Summary" xfId="27134" xr:uid="{00000000-0005-0000-0000-0000066A0000}"/>
    <cellStyle name="s_LMA (2)_1_Funds IV Clawback Value Adjustment" xfId="27135" xr:uid="{00000000-0005-0000-0000-0000076A0000}"/>
    <cellStyle name="s_LMA (2)_1_IC Balance" xfId="27136" xr:uid="{00000000-0005-0000-0000-0000086A0000}"/>
    <cellStyle name="s_LMA (2)_1_Invested Capital Debt Worksheet" xfId="27137" xr:uid="{00000000-0005-0000-0000-0000096A0000}"/>
    <cellStyle name="s_LMA (2)_1_iPCs#1-Remaining" xfId="27138" xr:uid="{00000000-0005-0000-0000-00000A6A0000}"/>
    <cellStyle name="s_LMA (2)_1_MMF Income" xfId="27139" xr:uid="{00000000-0005-0000-0000-00000B6A0000}"/>
    <cellStyle name="s_LMA (2)_1_Partners Capital Q1 2009" xfId="27140" xr:uid="{00000000-0005-0000-0000-00000C6A0000}"/>
    <cellStyle name="s_LMA (2)_1_Placement Fee Summary 05-14-09 - Current (2)" xfId="27141" xr:uid="{00000000-0005-0000-0000-00000D6A0000}"/>
    <cellStyle name="s_LMA (2)_1_PR Calc" xfId="27142" xr:uid="{00000000-0005-0000-0000-00000E6A0000}"/>
    <cellStyle name="s_LMA (2)_1_RCIV Q3 2009 Capital Analysis CURRENT" xfId="27143" xr:uid="{00000000-0005-0000-0000-00000F6A0000}"/>
    <cellStyle name="s_LMA (2)_AIF IV Financial Highlights 12-31-08 v4" xfId="27144" xr:uid="{00000000-0005-0000-0000-0000106A0000}"/>
    <cellStyle name="s_LMA (2)_AIF IV Financial Highlights 12-31-08 v4_Apollo Investment Fund IV  Q3 2009 Capital Analysis CURRENT" xfId="27145" xr:uid="{00000000-0005-0000-0000-0000116A0000}"/>
    <cellStyle name="s_LMA (2)_AIF IV Financial Highlights 12-31-08 v4_Apollo Investment Fund IV  Q3 2009 Capital Analysis iPCS &amp; URI Distribution" xfId="27146" xr:uid="{00000000-0005-0000-0000-0000126A0000}"/>
    <cellStyle name="s_LMA (2)_AIF IV Financial Highlights 12-31-08 v4_iPCs#1-Remaining" xfId="27147" xr:uid="{00000000-0005-0000-0000-0000136A0000}"/>
    <cellStyle name="s_LMA (2)_AIF VI - BondcoVI_Entities Invested Capital (CURRENT)" xfId="27148" xr:uid="{00000000-0005-0000-0000-0000146A0000}"/>
    <cellStyle name="s_LMA (2)_AIF VI Broadleaf Watefall Summary as of 6-30-09 FINAL" xfId="27149" xr:uid="{00000000-0005-0000-0000-0000156A0000}"/>
    <cellStyle name="s_LMA (2)_AIF VI Broadleaf Watefall Summary as of 9-30-09" xfId="27150" xr:uid="{00000000-0005-0000-0000-0000166A0000}"/>
    <cellStyle name="s_LMA (2)_Andy Affrick - Schedulev2" xfId="27151" xr:uid="{00000000-0005-0000-0000-0000176A0000}"/>
    <cellStyle name="s_LMA (2)_Apollo Advisors IV 12-31-08 GAAP TB Final" xfId="27152" xr:uid="{00000000-0005-0000-0000-0000186A0000}"/>
    <cellStyle name="s_LMA (2)_Apollo Advisors IV 12-31-08 TB (Revised for Aggr PR)" xfId="27153" xr:uid="{00000000-0005-0000-0000-0000196A0000}"/>
    <cellStyle name="s_LMA (2)_Apollo Advisors IV 6-30-09 GAAP TB" xfId="27154" xr:uid="{00000000-0005-0000-0000-00001A6A0000}"/>
    <cellStyle name="s_LMA (2)_Apollo Investment Fund IV  April Priority Return" xfId="27155" xr:uid="{00000000-0005-0000-0000-00001B6A0000}"/>
    <cellStyle name="s_LMA (2)_Apollo Investment Fund IV  Q1 2009 Capital Analysis 5-22-09 with GAAP" xfId="27156" xr:uid="{00000000-0005-0000-0000-00001C6A0000}"/>
    <cellStyle name="s_LMA (2)_Apollo Investment Fund IV  Q1 2009 Capital Analysis GAAP" xfId="27157" xr:uid="{00000000-0005-0000-0000-00001D6A0000}"/>
    <cellStyle name="s_LMA (2)_Apollo Investment Fund IV  Q2 2009 Capital Analysis CURRENT" xfId="27158" xr:uid="{00000000-0005-0000-0000-00001E6A0000}"/>
    <cellStyle name="s_LMA (2)_Apollo Investment Fund IV  Q3 2009 Capital Analysis CURRENT" xfId="27159" xr:uid="{00000000-0005-0000-0000-00001F6A0000}"/>
    <cellStyle name="s_LMA (2)_Apollo Investment Fund IV  Q3 2009 Capital Analysis iPCS &amp; URI Distribution" xfId="27160" xr:uid="{00000000-0005-0000-0000-0000206A0000}"/>
    <cellStyle name="s_LMA (2)_Apollo Investment Fund IV Q1 2009 Capital Analysis PR CORRECTED 6-30-09" xfId="27161" xr:uid="{00000000-0005-0000-0000-0000216A0000}"/>
    <cellStyle name="s_LMA (2)_Broadleaf Watefall 12-31-09" xfId="27162" xr:uid="{00000000-0005-0000-0000-0000226A0000}"/>
    <cellStyle name="s_LMA (2)_Broadleaf Watefall 6-30-09" xfId="27163" xr:uid="{00000000-0005-0000-0000-0000236A0000}"/>
    <cellStyle name="s_LMA (2)_Broadleaf Watefall 9-30-09" xfId="27164" xr:uid="{00000000-0005-0000-0000-0000246A0000}"/>
    <cellStyle name="s_LMA (2)_Carry Calculation" xfId="27165" xr:uid="{00000000-0005-0000-0000-0000256A0000}"/>
    <cellStyle name="s_LMA (2)_Fund IV" xfId="27166" xr:uid="{00000000-0005-0000-0000-0000266A0000}"/>
    <cellStyle name="s_LMA (2)_Fund IV 9.30.08" xfId="27167" xr:uid="{00000000-0005-0000-0000-0000276A0000}"/>
    <cellStyle name="s_LMA (2)_Fund IV_1" xfId="27168" xr:uid="{00000000-0005-0000-0000-0000286A0000}"/>
    <cellStyle name="s_LMA (2)_Funds IV Clawback Adjustment Summary" xfId="27169" xr:uid="{00000000-0005-0000-0000-0000296A0000}"/>
    <cellStyle name="s_LMA (2)_Funds IV Clawback Value Adjustment" xfId="27170" xr:uid="{00000000-0005-0000-0000-00002A6A0000}"/>
    <cellStyle name="s_LMA (2)_IC Balance" xfId="27171" xr:uid="{00000000-0005-0000-0000-00002B6A0000}"/>
    <cellStyle name="s_LMA (2)_Invested Capital Debt Worksheet" xfId="27172" xr:uid="{00000000-0005-0000-0000-00002C6A0000}"/>
    <cellStyle name="s_LMA (2)_Invested Capital Debt Worksheet_1" xfId="27173" xr:uid="{00000000-0005-0000-0000-00002D6A0000}"/>
    <cellStyle name="s_LMA (2)_iPCs#1-Remaining" xfId="27174" xr:uid="{00000000-0005-0000-0000-00002E6A0000}"/>
    <cellStyle name="s_LMA (2)_MMF Income" xfId="27175" xr:uid="{00000000-0005-0000-0000-00002F6A0000}"/>
    <cellStyle name="s_LMA (2)_Partners Capital Q1 2009" xfId="27176" xr:uid="{00000000-0005-0000-0000-0000306A0000}"/>
    <cellStyle name="s_LMA (2)_Placement Fee Summary 05-14-09 - Current (2)" xfId="27177" xr:uid="{00000000-0005-0000-0000-0000316A0000}"/>
    <cellStyle name="s_LMA (2)_PR Calc" xfId="27178" xr:uid="{00000000-0005-0000-0000-0000326A0000}"/>
    <cellStyle name="s_LMA (2)_RCIV Q3 2009 Capital Analysis CURRENT" xfId="27179" xr:uid="{00000000-0005-0000-0000-0000336A0000}"/>
    <cellStyle name="s_LMA (2)_Sheet1" xfId="27180" xr:uid="{00000000-0005-0000-0000-0000346A0000}"/>
    <cellStyle name="s_MainPrint Code" xfId="27181" xr:uid="{00000000-0005-0000-0000-0000356A0000}"/>
    <cellStyle name="s_MainPrint Code 10" xfId="27182" xr:uid="{00000000-0005-0000-0000-0000366A0000}"/>
    <cellStyle name="s_MainPrint Code 11" xfId="27183" xr:uid="{00000000-0005-0000-0000-0000376A0000}"/>
    <cellStyle name="s_MainPrint Code 12" xfId="27184" xr:uid="{00000000-0005-0000-0000-0000386A0000}"/>
    <cellStyle name="s_MainPrint Code 13" xfId="27185" xr:uid="{00000000-0005-0000-0000-0000396A0000}"/>
    <cellStyle name="s_MainPrint Code 14" xfId="27186" xr:uid="{00000000-0005-0000-0000-00003A6A0000}"/>
    <cellStyle name="s_MainPrint Code 15" xfId="27187" xr:uid="{00000000-0005-0000-0000-00003B6A0000}"/>
    <cellStyle name="s_MainPrint Code 16" xfId="27188" xr:uid="{00000000-0005-0000-0000-00003C6A0000}"/>
    <cellStyle name="s_MainPrint Code 17" xfId="27189" xr:uid="{00000000-0005-0000-0000-00003D6A0000}"/>
    <cellStyle name="s_MainPrint Code 18" xfId="27190" xr:uid="{00000000-0005-0000-0000-00003E6A0000}"/>
    <cellStyle name="s_MainPrint Code 19" xfId="27191" xr:uid="{00000000-0005-0000-0000-00003F6A0000}"/>
    <cellStyle name="s_MainPrint Code 2" xfId="27192" xr:uid="{00000000-0005-0000-0000-0000406A0000}"/>
    <cellStyle name="s_MainPrint Code 2 2" xfId="27193" xr:uid="{00000000-0005-0000-0000-0000416A0000}"/>
    <cellStyle name="s_MainPrint Code 20" xfId="27194" xr:uid="{00000000-0005-0000-0000-0000426A0000}"/>
    <cellStyle name="s_MainPrint Code 21" xfId="27195" xr:uid="{00000000-0005-0000-0000-0000436A0000}"/>
    <cellStyle name="s_MainPrint Code 22" xfId="27196" xr:uid="{00000000-0005-0000-0000-0000446A0000}"/>
    <cellStyle name="s_MainPrint Code 23" xfId="27197" xr:uid="{00000000-0005-0000-0000-0000456A0000}"/>
    <cellStyle name="s_MainPrint Code 23 2" xfId="27198" xr:uid="{00000000-0005-0000-0000-0000466A0000}"/>
    <cellStyle name="s_MainPrint Code 3" xfId="27199" xr:uid="{00000000-0005-0000-0000-0000476A0000}"/>
    <cellStyle name="s_MainPrint Code 3 2" xfId="27200" xr:uid="{00000000-0005-0000-0000-0000486A0000}"/>
    <cellStyle name="s_MainPrint Code 4" xfId="27201" xr:uid="{00000000-0005-0000-0000-0000496A0000}"/>
    <cellStyle name="s_MainPrint Code 5" xfId="27202" xr:uid="{00000000-0005-0000-0000-00004A6A0000}"/>
    <cellStyle name="s_MainPrint Code 6" xfId="27203" xr:uid="{00000000-0005-0000-0000-00004B6A0000}"/>
    <cellStyle name="s_MainPrint Code 7" xfId="27204" xr:uid="{00000000-0005-0000-0000-00004C6A0000}"/>
    <cellStyle name="s_MainPrint Code 8" xfId="27205" xr:uid="{00000000-0005-0000-0000-00004D6A0000}"/>
    <cellStyle name="s_MainPrint Code 9" xfId="27206" xr:uid="{00000000-0005-0000-0000-00004E6A0000}"/>
    <cellStyle name="s_MainPrint Code_{6} Clawback" xfId="27207" xr:uid="{00000000-0005-0000-0000-00004F6A0000}"/>
    <cellStyle name="s_MainPrint Code_1" xfId="27208" xr:uid="{00000000-0005-0000-0000-0000506A0000}"/>
    <cellStyle name="s_MainPrint Code_1 10" xfId="27209" xr:uid="{00000000-0005-0000-0000-0000516A0000}"/>
    <cellStyle name="s_MainPrint Code_1 11" xfId="27210" xr:uid="{00000000-0005-0000-0000-0000526A0000}"/>
    <cellStyle name="s_MainPrint Code_1 12" xfId="27211" xr:uid="{00000000-0005-0000-0000-0000536A0000}"/>
    <cellStyle name="s_MainPrint Code_1 13" xfId="27212" xr:uid="{00000000-0005-0000-0000-0000546A0000}"/>
    <cellStyle name="s_MainPrint Code_1 14" xfId="27213" xr:uid="{00000000-0005-0000-0000-0000556A0000}"/>
    <cellStyle name="s_MainPrint Code_1 15" xfId="27214" xr:uid="{00000000-0005-0000-0000-0000566A0000}"/>
    <cellStyle name="s_MainPrint Code_1 16" xfId="27215" xr:uid="{00000000-0005-0000-0000-0000576A0000}"/>
    <cellStyle name="s_MainPrint Code_1 17" xfId="27216" xr:uid="{00000000-0005-0000-0000-0000586A0000}"/>
    <cellStyle name="s_MainPrint Code_1 18" xfId="27217" xr:uid="{00000000-0005-0000-0000-0000596A0000}"/>
    <cellStyle name="s_MainPrint Code_1 19" xfId="27218" xr:uid="{00000000-0005-0000-0000-00005A6A0000}"/>
    <cellStyle name="s_MainPrint Code_1 2" xfId="27219" xr:uid="{00000000-0005-0000-0000-00005B6A0000}"/>
    <cellStyle name="s_MainPrint Code_1 2 2" xfId="27220" xr:uid="{00000000-0005-0000-0000-00005C6A0000}"/>
    <cellStyle name="s_MainPrint Code_1 20" xfId="27221" xr:uid="{00000000-0005-0000-0000-00005D6A0000}"/>
    <cellStyle name="s_MainPrint Code_1 21" xfId="27222" xr:uid="{00000000-0005-0000-0000-00005E6A0000}"/>
    <cellStyle name="s_MainPrint Code_1 22" xfId="27223" xr:uid="{00000000-0005-0000-0000-00005F6A0000}"/>
    <cellStyle name="s_MainPrint Code_1 23" xfId="27224" xr:uid="{00000000-0005-0000-0000-0000606A0000}"/>
    <cellStyle name="s_MainPrint Code_1 23 2" xfId="27225" xr:uid="{00000000-0005-0000-0000-0000616A0000}"/>
    <cellStyle name="s_MainPrint Code_1 3" xfId="27226" xr:uid="{00000000-0005-0000-0000-0000626A0000}"/>
    <cellStyle name="s_MainPrint Code_1 3 2" xfId="27227" xr:uid="{00000000-0005-0000-0000-0000636A0000}"/>
    <cellStyle name="s_MainPrint Code_1 4" xfId="27228" xr:uid="{00000000-0005-0000-0000-0000646A0000}"/>
    <cellStyle name="s_MainPrint Code_1 5" xfId="27229" xr:uid="{00000000-0005-0000-0000-0000656A0000}"/>
    <cellStyle name="s_MainPrint Code_1 6" xfId="27230" xr:uid="{00000000-0005-0000-0000-0000666A0000}"/>
    <cellStyle name="s_MainPrint Code_1 7" xfId="27231" xr:uid="{00000000-0005-0000-0000-0000676A0000}"/>
    <cellStyle name="s_MainPrint Code_1 8" xfId="27232" xr:uid="{00000000-0005-0000-0000-0000686A0000}"/>
    <cellStyle name="s_MainPrint Code_1 9" xfId="27233" xr:uid="{00000000-0005-0000-0000-0000696A0000}"/>
    <cellStyle name="s_MainPrint Code_1_{6} Clawback" xfId="27234" xr:uid="{00000000-0005-0000-0000-00006A6A0000}"/>
    <cellStyle name="s_MainPrint Code_1_AIF IV Financial Highlights 12-31-08 v4" xfId="27235" xr:uid="{00000000-0005-0000-0000-00006B6A0000}"/>
    <cellStyle name="s_MainPrint Code_1_AIF IV Financial Highlights 12-31-08 v4_Apollo Investment Fund IV  Q3 2009 Capital Analysis CURRENT" xfId="27236" xr:uid="{00000000-0005-0000-0000-00006C6A0000}"/>
    <cellStyle name="s_MainPrint Code_1_AIF IV Financial Highlights 12-31-08 v4_Apollo Investment Fund IV  Q3 2009 Capital Analysis iPCS &amp; URI Distribution" xfId="27237" xr:uid="{00000000-0005-0000-0000-00006D6A0000}"/>
    <cellStyle name="s_MainPrint Code_1_AIF IV Financial Highlights 12-31-08 v4_iPCs#1-Remaining" xfId="27238" xr:uid="{00000000-0005-0000-0000-00006E6A0000}"/>
    <cellStyle name="s_MainPrint Code_1_AIF VI - BondcoVI_Entities Invested Capital (CURRENT)" xfId="27239" xr:uid="{00000000-0005-0000-0000-00006F6A0000}"/>
    <cellStyle name="s_MainPrint Code_1_AIF VI Broadleaf Watefall Summary as of 6-30-09 FINAL" xfId="27240" xr:uid="{00000000-0005-0000-0000-0000706A0000}"/>
    <cellStyle name="s_MainPrint Code_1_AIF VI Broadleaf Watefall Summary as of 9-30-09" xfId="27241" xr:uid="{00000000-0005-0000-0000-0000716A0000}"/>
    <cellStyle name="s_MainPrint Code_1_Andy Affrick - Schedulev2" xfId="27242" xr:uid="{00000000-0005-0000-0000-0000726A0000}"/>
    <cellStyle name="s_MainPrint Code_1_Apollo Advisors IV 12-31-08 GAAP TB Final" xfId="27243" xr:uid="{00000000-0005-0000-0000-0000736A0000}"/>
    <cellStyle name="s_MainPrint Code_1_Apollo Advisors IV 12-31-08 TB (Revised for Aggr PR)" xfId="27244" xr:uid="{00000000-0005-0000-0000-0000746A0000}"/>
    <cellStyle name="s_MainPrint Code_1_Apollo Advisors IV 6-30-09 GAAP TB" xfId="27245" xr:uid="{00000000-0005-0000-0000-0000756A0000}"/>
    <cellStyle name="s_MainPrint Code_1_Apollo Investment Fund IV  April Priority Return" xfId="27246" xr:uid="{00000000-0005-0000-0000-0000766A0000}"/>
    <cellStyle name="s_MainPrint Code_1_Apollo Investment Fund IV  Q1 2009 Capital Analysis 5-22-09 with GAAP" xfId="27247" xr:uid="{00000000-0005-0000-0000-0000776A0000}"/>
    <cellStyle name="s_MainPrint Code_1_Apollo Investment Fund IV  Q1 2009 Capital Analysis GAAP" xfId="27248" xr:uid="{00000000-0005-0000-0000-0000786A0000}"/>
    <cellStyle name="s_MainPrint Code_1_Apollo Investment Fund IV  Q2 2009 Capital Analysis CURRENT" xfId="27249" xr:uid="{00000000-0005-0000-0000-0000796A0000}"/>
    <cellStyle name="s_MainPrint Code_1_Apollo Investment Fund IV  Q3 2009 Capital Analysis CURRENT" xfId="27250" xr:uid="{00000000-0005-0000-0000-00007A6A0000}"/>
    <cellStyle name="s_MainPrint Code_1_Apollo Investment Fund IV  Q3 2009 Capital Analysis iPCS &amp; URI Distribution" xfId="27251" xr:uid="{00000000-0005-0000-0000-00007B6A0000}"/>
    <cellStyle name="s_MainPrint Code_1_Apollo Investment Fund IV Q1 2009 Capital Analysis PR CORRECTED 6-30-09" xfId="27252" xr:uid="{00000000-0005-0000-0000-00007C6A0000}"/>
    <cellStyle name="s_MainPrint Code_1_Broadleaf Watefall 12-31-09" xfId="27253" xr:uid="{00000000-0005-0000-0000-00007D6A0000}"/>
    <cellStyle name="s_MainPrint Code_1_Broadleaf Watefall 6-30-09" xfId="27254" xr:uid="{00000000-0005-0000-0000-00007E6A0000}"/>
    <cellStyle name="s_MainPrint Code_1_Broadleaf Watefall 9-30-09" xfId="27255" xr:uid="{00000000-0005-0000-0000-00007F6A0000}"/>
    <cellStyle name="s_MainPrint Code_1_Carry Calculation" xfId="27256" xr:uid="{00000000-0005-0000-0000-0000806A0000}"/>
    <cellStyle name="s_MainPrint Code_1_Fund IV" xfId="27257" xr:uid="{00000000-0005-0000-0000-0000816A0000}"/>
    <cellStyle name="s_MainPrint Code_1_Fund IV 9.30.08" xfId="27258" xr:uid="{00000000-0005-0000-0000-0000826A0000}"/>
    <cellStyle name="s_MainPrint Code_1_Fund IV_1" xfId="27259" xr:uid="{00000000-0005-0000-0000-0000836A0000}"/>
    <cellStyle name="s_MainPrint Code_1_Funds IV Clawback Adjustment Summary" xfId="27260" xr:uid="{00000000-0005-0000-0000-0000846A0000}"/>
    <cellStyle name="s_MainPrint Code_1_Funds IV Clawback Value Adjustment" xfId="27261" xr:uid="{00000000-0005-0000-0000-0000856A0000}"/>
    <cellStyle name="s_MainPrint Code_1_IC Balance" xfId="27262" xr:uid="{00000000-0005-0000-0000-0000866A0000}"/>
    <cellStyle name="s_MainPrint Code_1_Invested Capital Debt Worksheet" xfId="27263" xr:uid="{00000000-0005-0000-0000-0000876A0000}"/>
    <cellStyle name="s_MainPrint Code_1_Invested Capital Debt Worksheet_1" xfId="27264" xr:uid="{00000000-0005-0000-0000-0000886A0000}"/>
    <cellStyle name="s_MainPrint Code_1_iPCs#1-Remaining" xfId="27265" xr:uid="{00000000-0005-0000-0000-0000896A0000}"/>
    <cellStyle name="s_MainPrint Code_1_MMF Income" xfId="27266" xr:uid="{00000000-0005-0000-0000-00008A6A0000}"/>
    <cellStyle name="s_MainPrint Code_1_Partners Capital Q1 2009" xfId="27267" xr:uid="{00000000-0005-0000-0000-00008B6A0000}"/>
    <cellStyle name="s_MainPrint Code_1_Placement Fee Summary 05-14-09 - Current (2)" xfId="27268" xr:uid="{00000000-0005-0000-0000-00008C6A0000}"/>
    <cellStyle name="s_MainPrint Code_1_PR Calc" xfId="27269" xr:uid="{00000000-0005-0000-0000-00008D6A0000}"/>
    <cellStyle name="s_MainPrint Code_1_RCIV Q3 2009 Capital Analysis CURRENT" xfId="27270" xr:uid="{00000000-0005-0000-0000-00008E6A0000}"/>
    <cellStyle name="s_MainPrint Code_1_Sheet1" xfId="27271" xr:uid="{00000000-0005-0000-0000-00008F6A0000}"/>
    <cellStyle name="s_MainPrint Code_2" xfId="27272" xr:uid="{00000000-0005-0000-0000-0000906A0000}"/>
    <cellStyle name="s_MainPrint Code_2 10" xfId="27273" xr:uid="{00000000-0005-0000-0000-0000916A0000}"/>
    <cellStyle name="s_MainPrint Code_2 11" xfId="27274" xr:uid="{00000000-0005-0000-0000-0000926A0000}"/>
    <cellStyle name="s_MainPrint Code_2 12" xfId="27275" xr:uid="{00000000-0005-0000-0000-0000936A0000}"/>
    <cellStyle name="s_MainPrint Code_2 13" xfId="27276" xr:uid="{00000000-0005-0000-0000-0000946A0000}"/>
    <cellStyle name="s_MainPrint Code_2 14" xfId="27277" xr:uid="{00000000-0005-0000-0000-0000956A0000}"/>
    <cellStyle name="s_MainPrint Code_2 15" xfId="27278" xr:uid="{00000000-0005-0000-0000-0000966A0000}"/>
    <cellStyle name="s_MainPrint Code_2 16" xfId="27279" xr:uid="{00000000-0005-0000-0000-0000976A0000}"/>
    <cellStyle name="s_MainPrint Code_2 17" xfId="27280" xr:uid="{00000000-0005-0000-0000-0000986A0000}"/>
    <cellStyle name="s_MainPrint Code_2 18" xfId="27281" xr:uid="{00000000-0005-0000-0000-0000996A0000}"/>
    <cellStyle name="s_MainPrint Code_2 19" xfId="27282" xr:uid="{00000000-0005-0000-0000-00009A6A0000}"/>
    <cellStyle name="s_MainPrint Code_2 2" xfId="27283" xr:uid="{00000000-0005-0000-0000-00009B6A0000}"/>
    <cellStyle name="s_MainPrint Code_2 2 2" xfId="27284" xr:uid="{00000000-0005-0000-0000-00009C6A0000}"/>
    <cellStyle name="s_MainPrint Code_2 20" xfId="27285" xr:uid="{00000000-0005-0000-0000-00009D6A0000}"/>
    <cellStyle name="s_MainPrint Code_2 21" xfId="27286" xr:uid="{00000000-0005-0000-0000-00009E6A0000}"/>
    <cellStyle name="s_MainPrint Code_2 22" xfId="27287" xr:uid="{00000000-0005-0000-0000-00009F6A0000}"/>
    <cellStyle name="s_MainPrint Code_2 23" xfId="27288" xr:uid="{00000000-0005-0000-0000-0000A06A0000}"/>
    <cellStyle name="s_MainPrint Code_2 23 2" xfId="27289" xr:uid="{00000000-0005-0000-0000-0000A16A0000}"/>
    <cellStyle name="s_MainPrint Code_2 3" xfId="27290" xr:uid="{00000000-0005-0000-0000-0000A26A0000}"/>
    <cellStyle name="s_MainPrint Code_2 3 2" xfId="27291" xr:uid="{00000000-0005-0000-0000-0000A36A0000}"/>
    <cellStyle name="s_MainPrint Code_2 4" xfId="27292" xr:uid="{00000000-0005-0000-0000-0000A46A0000}"/>
    <cellStyle name="s_MainPrint Code_2 5" xfId="27293" xr:uid="{00000000-0005-0000-0000-0000A56A0000}"/>
    <cellStyle name="s_MainPrint Code_2 6" xfId="27294" xr:uid="{00000000-0005-0000-0000-0000A66A0000}"/>
    <cellStyle name="s_MainPrint Code_2 7" xfId="27295" xr:uid="{00000000-0005-0000-0000-0000A76A0000}"/>
    <cellStyle name="s_MainPrint Code_2 8" xfId="27296" xr:uid="{00000000-0005-0000-0000-0000A86A0000}"/>
    <cellStyle name="s_MainPrint Code_2 9" xfId="27297" xr:uid="{00000000-0005-0000-0000-0000A96A0000}"/>
    <cellStyle name="s_MainPrint Code_2_{6} Clawback" xfId="27298" xr:uid="{00000000-0005-0000-0000-0000AA6A0000}"/>
    <cellStyle name="s_MainPrint Code_2_AIF IV Financial Highlights 12-31-08 v4" xfId="27299" xr:uid="{00000000-0005-0000-0000-0000AB6A0000}"/>
    <cellStyle name="s_MainPrint Code_2_AIF IV Financial Highlights 12-31-08 v4_Apollo Investment Fund IV  Q3 2009 Capital Analysis CURRENT" xfId="27300" xr:uid="{00000000-0005-0000-0000-0000AC6A0000}"/>
    <cellStyle name="s_MainPrint Code_2_AIF IV Financial Highlights 12-31-08 v4_Apollo Investment Fund IV  Q3 2009 Capital Analysis iPCS &amp; URI Distribution" xfId="27301" xr:uid="{00000000-0005-0000-0000-0000AD6A0000}"/>
    <cellStyle name="s_MainPrint Code_2_AIF IV Financial Highlights 12-31-08 v4_iPCs#1-Remaining" xfId="27302" xr:uid="{00000000-0005-0000-0000-0000AE6A0000}"/>
    <cellStyle name="s_MainPrint Code_2_AIF VI - BondcoVI_Entities Invested Capital (CURRENT)" xfId="27303" xr:uid="{00000000-0005-0000-0000-0000AF6A0000}"/>
    <cellStyle name="s_MainPrint Code_2_AIF VI Broadleaf Watefall Summary as of 6-30-09 FINAL" xfId="27304" xr:uid="{00000000-0005-0000-0000-0000B06A0000}"/>
    <cellStyle name="s_MainPrint Code_2_AIF VI Broadleaf Watefall Summary as of 9-30-09" xfId="27305" xr:uid="{00000000-0005-0000-0000-0000B16A0000}"/>
    <cellStyle name="s_MainPrint Code_2_Andy Affrick - Schedulev2" xfId="27306" xr:uid="{00000000-0005-0000-0000-0000B26A0000}"/>
    <cellStyle name="s_MainPrint Code_2_Apollo Investment Fund IV  April Priority Return" xfId="27307" xr:uid="{00000000-0005-0000-0000-0000B36A0000}"/>
    <cellStyle name="s_MainPrint Code_2_Apollo Investment Fund IV  Q1 2009 Capital Analysis 5-22-09 with GAAP" xfId="27308" xr:uid="{00000000-0005-0000-0000-0000B46A0000}"/>
    <cellStyle name="s_MainPrint Code_2_Apollo Investment Fund IV  Q1 2009 Capital Analysis GAAP" xfId="27309" xr:uid="{00000000-0005-0000-0000-0000B56A0000}"/>
    <cellStyle name="s_MainPrint Code_2_Apollo Investment Fund IV  Q2 2009 Capital Analysis CURRENT" xfId="27310" xr:uid="{00000000-0005-0000-0000-0000B66A0000}"/>
    <cellStyle name="s_MainPrint Code_2_Apollo Investment Fund IV  Q3 2009 Capital Analysis CURRENT" xfId="27311" xr:uid="{00000000-0005-0000-0000-0000B76A0000}"/>
    <cellStyle name="s_MainPrint Code_2_Apollo Investment Fund IV  Q3 2009 Capital Analysis iPCS &amp; URI Distribution" xfId="27312" xr:uid="{00000000-0005-0000-0000-0000B86A0000}"/>
    <cellStyle name="s_MainPrint Code_2_Apollo Investment Fund IV Q1 2009 Capital Analysis PR CORRECTED 6-30-09" xfId="27313" xr:uid="{00000000-0005-0000-0000-0000B96A0000}"/>
    <cellStyle name="s_MainPrint Code_2_Broadleaf Watefall 12-31-09" xfId="27314" xr:uid="{00000000-0005-0000-0000-0000BA6A0000}"/>
    <cellStyle name="s_MainPrint Code_2_Broadleaf Watefall 6-30-09" xfId="27315" xr:uid="{00000000-0005-0000-0000-0000BB6A0000}"/>
    <cellStyle name="s_MainPrint Code_2_Broadleaf Watefall 9-30-09" xfId="27316" xr:uid="{00000000-0005-0000-0000-0000BC6A0000}"/>
    <cellStyle name="s_MainPrint Code_2_Carry Calculation" xfId="27317" xr:uid="{00000000-0005-0000-0000-0000BD6A0000}"/>
    <cellStyle name="s_MainPrint Code_2_Fund IV" xfId="27318" xr:uid="{00000000-0005-0000-0000-0000BE6A0000}"/>
    <cellStyle name="s_MainPrint Code_2_Fund IV 9.30.08" xfId="27319" xr:uid="{00000000-0005-0000-0000-0000BF6A0000}"/>
    <cellStyle name="s_MainPrint Code_2_Fund IV_1" xfId="27320" xr:uid="{00000000-0005-0000-0000-0000C06A0000}"/>
    <cellStyle name="s_MainPrint Code_2_Funds IV Clawback Adjustment Summary" xfId="27321" xr:uid="{00000000-0005-0000-0000-0000C16A0000}"/>
    <cellStyle name="s_MainPrint Code_2_Funds IV Clawback Value Adjustment" xfId="27322" xr:uid="{00000000-0005-0000-0000-0000C26A0000}"/>
    <cellStyle name="s_MainPrint Code_2_IC Balance" xfId="27323" xr:uid="{00000000-0005-0000-0000-0000C36A0000}"/>
    <cellStyle name="s_MainPrint Code_2_Invested Capital Debt Worksheet" xfId="27324" xr:uid="{00000000-0005-0000-0000-0000C46A0000}"/>
    <cellStyle name="s_MainPrint Code_2_iPCs#1-Remaining" xfId="27325" xr:uid="{00000000-0005-0000-0000-0000C56A0000}"/>
    <cellStyle name="s_MainPrint Code_2_MMF Income" xfId="27326" xr:uid="{00000000-0005-0000-0000-0000C66A0000}"/>
    <cellStyle name="s_MainPrint Code_2_Partners Capital Q1 2009" xfId="27327" xr:uid="{00000000-0005-0000-0000-0000C76A0000}"/>
    <cellStyle name="s_MainPrint Code_2_Placement Fee Summary 05-14-09 - Current (2)" xfId="27328" xr:uid="{00000000-0005-0000-0000-0000C86A0000}"/>
    <cellStyle name="s_MainPrint Code_2_PR Calc" xfId="27329" xr:uid="{00000000-0005-0000-0000-0000C96A0000}"/>
    <cellStyle name="s_MainPrint Code_2_RCIV Q3 2009 Capital Analysis CURRENT" xfId="27330" xr:uid="{00000000-0005-0000-0000-0000CA6A0000}"/>
    <cellStyle name="s_MainPrint Code_AIF IV Financial Highlights 12-31-08 v4" xfId="27331" xr:uid="{00000000-0005-0000-0000-0000CB6A0000}"/>
    <cellStyle name="s_MainPrint Code_AIF IV Financial Highlights 12-31-08 v4_Apollo Investment Fund IV  Q3 2009 Capital Analysis CURRENT" xfId="27332" xr:uid="{00000000-0005-0000-0000-0000CC6A0000}"/>
    <cellStyle name="s_MainPrint Code_AIF IV Financial Highlights 12-31-08 v4_Apollo Investment Fund IV  Q3 2009 Capital Analysis iPCS &amp; URI Distribution" xfId="27333" xr:uid="{00000000-0005-0000-0000-0000CD6A0000}"/>
    <cellStyle name="s_MainPrint Code_AIF IV Financial Highlights 12-31-08 v4_iPCs#1-Remaining" xfId="27334" xr:uid="{00000000-0005-0000-0000-0000CE6A0000}"/>
    <cellStyle name="s_MainPrint Code_AIF VI - BondcoVI_Entities Invested Capital (CURRENT)" xfId="27335" xr:uid="{00000000-0005-0000-0000-0000CF6A0000}"/>
    <cellStyle name="s_MainPrint Code_AIF VI Broadleaf Watefall Summary as of 6-30-09 FINAL" xfId="27336" xr:uid="{00000000-0005-0000-0000-0000D06A0000}"/>
    <cellStyle name="s_MainPrint Code_AIF VI Broadleaf Watefall Summary as of 9-30-09" xfId="27337" xr:uid="{00000000-0005-0000-0000-0000D16A0000}"/>
    <cellStyle name="s_MainPrint Code_Andy Affrick - Schedulev2" xfId="27338" xr:uid="{00000000-0005-0000-0000-0000D26A0000}"/>
    <cellStyle name="s_MainPrint Code_Apollo Advisors IV 12-31-08 GAAP TB Final" xfId="27339" xr:uid="{00000000-0005-0000-0000-0000D36A0000}"/>
    <cellStyle name="s_MainPrint Code_Apollo Advisors IV 12-31-08 TB (Revised for Aggr PR)" xfId="27340" xr:uid="{00000000-0005-0000-0000-0000D46A0000}"/>
    <cellStyle name="s_MainPrint Code_Apollo Advisors IV 6-30-09 GAAP TB" xfId="27341" xr:uid="{00000000-0005-0000-0000-0000D56A0000}"/>
    <cellStyle name="s_MainPrint Code_Apollo Investment Fund IV  April Priority Return" xfId="27342" xr:uid="{00000000-0005-0000-0000-0000D66A0000}"/>
    <cellStyle name="s_MainPrint Code_Apollo Investment Fund IV  Q1 2009 Capital Analysis 5-22-09 with GAAP" xfId="27343" xr:uid="{00000000-0005-0000-0000-0000D76A0000}"/>
    <cellStyle name="s_MainPrint Code_Apollo Investment Fund IV  Q1 2009 Capital Analysis GAAP" xfId="27344" xr:uid="{00000000-0005-0000-0000-0000D86A0000}"/>
    <cellStyle name="s_MainPrint Code_Apollo Investment Fund IV  Q2 2009 Capital Analysis CURRENT" xfId="27345" xr:uid="{00000000-0005-0000-0000-0000D96A0000}"/>
    <cellStyle name="s_MainPrint Code_Apollo Investment Fund IV  Q3 2009 Capital Analysis CURRENT" xfId="27346" xr:uid="{00000000-0005-0000-0000-0000DA6A0000}"/>
    <cellStyle name="s_MainPrint Code_Apollo Investment Fund IV  Q3 2009 Capital Analysis iPCS &amp; URI Distribution" xfId="27347" xr:uid="{00000000-0005-0000-0000-0000DB6A0000}"/>
    <cellStyle name="s_MainPrint Code_Apollo Investment Fund IV Q1 2009 Capital Analysis PR CORRECTED 6-30-09" xfId="27348" xr:uid="{00000000-0005-0000-0000-0000DC6A0000}"/>
    <cellStyle name="s_MainPrint Code_Broadleaf Watefall 12-31-09" xfId="27349" xr:uid="{00000000-0005-0000-0000-0000DD6A0000}"/>
    <cellStyle name="s_MainPrint Code_Broadleaf Watefall 6-30-09" xfId="27350" xr:uid="{00000000-0005-0000-0000-0000DE6A0000}"/>
    <cellStyle name="s_MainPrint Code_Broadleaf Watefall 9-30-09" xfId="27351" xr:uid="{00000000-0005-0000-0000-0000DF6A0000}"/>
    <cellStyle name="s_MainPrint Code_Carry Calculation" xfId="27352" xr:uid="{00000000-0005-0000-0000-0000E06A0000}"/>
    <cellStyle name="s_MainPrint Code_Fund IV" xfId="27353" xr:uid="{00000000-0005-0000-0000-0000E16A0000}"/>
    <cellStyle name="s_MainPrint Code_Fund IV 9.30.08" xfId="27354" xr:uid="{00000000-0005-0000-0000-0000E26A0000}"/>
    <cellStyle name="s_MainPrint Code_Fund IV_1" xfId="27355" xr:uid="{00000000-0005-0000-0000-0000E36A0000}"/>
    <cellStyle name="s_MainPrint Code_Funds IV Clawback Adjustment Summary" xfId="27356" xr:uid="{00000000-0005-0000-0000-0000E46A0000}"/>
    <cellStyle name="s_MainPrint Code_Funds IV Clawback Value Adjustment" xfId="27357" xr:uid="{00000000-0005-0000-0000-0000E56A0000}"/>
    <cellStyle name="s_MainPrint Code_IC Balance" xfId="27358" xr:uid="{00000000-0005-0000-0000-0000E66A0000}"/>
    <cellStyle name="s_MainPrint Code_Invested Capital Debt Worksheet" xfId="27359" xr:uid="{00000000-0005-0000-0000-0000E76A0000}"/>
    <cellStyle name="s_MainPrint Code_Invested Capital Debt Worksheet_1" xfId="27360" xr:uid="{00000000-0005-0000-0000-0000E86A0000}"/>
    <cellStyle name="s_MainPrint Code_iPCs#1-Remaining" xfId="27361" xr:uid="{00000000-0005-0000-0000-0000E96A0000}"/>
    <cellStyle name="s_MainPrint Code_MMF Income" xfId="27362" xr:uid="{00000000-0005-0000-0000-0000EA6A0000}"/>
    <cellStyle name="s_MainPrint Code_Partners Capital Q1 2009" xfId="27363" xr:uid="{00000000-0005-0000-0000-0000EB6A0000}"/>
    <cellStyle name="s_MainPrint Code_Placement Fee Summary 05-14-09 - Current (2)" xfId="27364" xr:uid="{00000000-0005-0000-0000-0000EC6A0000}"/>
    <cellStyle name="s_MainPrint Code_PR Calc" xfId="27365" xr:uid="{00000000-0005-0000-0000-0000ED6A0000}"/>
    <cellStyle name="s_MainPrint Code_RCIV Q3 2009 Capital Analysis CURRENT" xfId="27366" xr:uid="{00000000-0005-0000-0000-0000EE6A0000}"/>
    <cellStyle name="s_MainPrint Code_Sheet1" xfId="27367" xr:uid="{00000000-0005-0000-0000-0000EF6A0000}"/>
    <cellStyle name="s_mer-mod15" xfId="27368" xr:uid="{00000000-0005-0000-0000-0000F06A0000}"/>
    <cellStyle name="s_mer-mod15 10" xfId="27369" xr:uid="{00000000-0005-0000-0000-0000F16A0000}"/>
    <cellStyle name="s_mer-mod15 11" xfId="27370" xr:uid="{00000000-0005-0000-0000-0000F26A0000}"/>
    <cellStyle name="s_mer-mod15 12" xfId="27371" xr:uid="{00000000-0005-0000-0000-0000F36A0000}"/>
    <cellStyle name="s_mer-mod15 13" xfId="27372" xr:uid="{00000000-0005-0000-0000-0000F46A0000}"/>
    <cellStyle name="s_mer-mod15 14" xfId="27373" xr:uid="{00000000-0005-0000-0000-0000F56A0000}"/>
    <cellStyle name="s_mer-mod15 15" xfId="27374" xr:uid="{00000000-0005-0000-0000-0000F66A0000}"/>
    <cellStyle name="s_mer-mod15 16" xfId="27375" xr:uid="{00000000-0005-0000-0000-0000F76A0000}"/>
    <cellStyle name="s_mer-mod15 17" xfId="27376" xr:uid="{00000000-0005-0000-0000-0000F86A0000}"/>
    <cellStyle name="s_mer-mod15 18" xfId="27377" xr:uid="{00000000-0005-0000-0000-0000F96A0000}"/>
    <cellStyle name="s_mer-mod15 19" xfId="27378" xr:uid="{00000000-0005-0000-0000-0000FA6A0000}"/>
    <cellStyle name="s_mer-mod15 2" xfId="27379" xr:uid="{00000000-0005-0000-0000-0000FB6A0000}"/>
    <cellStyle name="s_mer-mod15 20" xfId="27380" xr:uid="{00000000-0005-0000-0000-0000FC6A0000}"/>
    <cellStyle name="s_mer-mod15 21" xfId="27381" xr:uid="{00000000-0005-0000-0000-0000FD6A0000}"/>
    <cellStyle name="s_mer-mod15 21 2" xfId="27382" xr:uid="{00000000-0005-0000-0000-0000FE6A0000}"/>
    <cellStyle name="s_mer-mod15 3" xfId="27383" xr:uid="{00000000-0005-0000-0000-0000FF6A0000}"/>
    <cellStyle name="s_mer-mod15 4" xfId="27384" xr:uid="{00000000-0005-0000-0000-0000006B0000}"/>
    <cellStyle name="s_mer-mod15 5" xfId="27385" xr:uid="{00000000-0005-0000-0000-0000016B0000}"/>
    <cellStyle name="s_mer-mod15 6" xfId="27386" xr:uid="{00000000-0005-0000-0000-0000026B0000}"/>
    <cellStyle name="s_mer-mod15 7" xfId="27387" xr:uid="{00000000-0005-0000-0000-0000036B0000}"/>
    <cellStyle name="s_mer-mod15 8" xfId="27388" xr:uid="{00000000-0005-0000-0000-0000046B0000}"/>
    <cellStyle name="s_mer-mod15 9" xfId="27389" xr:uid="{00000000-0005-0000-0000-0000056B0000}"/>
    <cellStyle name="s_mer-mod15_{6} Clawback" xfId="27390" xr:uid="{00000000-0005-0000-0000-0000066B0000}"/>
    <cellStyle name="s_mer-mod15_AIF IV Financial Highlights 12-31-08 v4" xfId="27391" xr:uid="{00000000-0005-0000-0000-0000076B0000}"/>
    <cellStyle name="s_mer-mod15_AIF IV Financial Highlights 12-31-08 v4_Apollo Investment Fund IV  Q3 2009 Capital Analysis CURRENT" xfId="27392" xr:uid="{00000000-0005-0000-0000-0000086B0000}"/>
    <cellStyle name="s_mer-mod15_AIF IV Financial Highlights 12-31-08 v4_Apollo Investment Fund IV  Q3 2009 Capital Analysis iPCS &amp; URI Distribution" xfId="27393" xr:uid="{00000000-0005-0000-0000-0000096B0000}"/>
    <cellStyle name="s_mer-mod15_AIF IV Financial Highlights 12-31-08 v4_iPCs#1-Remaining" xfId="27394" xr:uid="{00000000-0005-0000-0000-00000A6B0000}"/>
    <cellStyle name="s_mer-mod15_AIF VI - BondcoVI_Entities Invested Capital (CURRENT)" xfId="27395" xr:uid="{00000000-0005-0000-0000-00000B6B0000}"/>
    <cellStyle name="s_mer-mod15_Andy Affrick - Schedulev2" xfId="27396" xr:uid="{00000000-0005-0000-0000-00000C6B0000}"/>
    <cellStyle name="s_mer-mod15_Apollo Advisors IV 12-31-08 GAAP TB Final" xfId="27397" xr:uid="{00000000-0005-0000-0000-00000D6B0000}"/>
    <cellStyle name="s_mer-mod15_Apollo Advisors IV 12-31-08 TB (Revised for Aggr PR)" xfId="27398" xr:uid="{00000000-0005-0000-0000-00000E6B0000}"/>
    <cellStyle name="s_mer-mod15_Apollo Advisors IV 6-30-09 GAAP TB" xfId="27399" xr:uid="{00000000-0005-0000-0000-00000F6B0000}"/>
    <cellStyle name="s_mer-mod15_Apollo Investment Fund IV  April Priority Return" xfId="27400" xr:uid="{00000000-0005-0000-0000-0000106B0000}"/>
    <cellStyle name="s_mer-mod15_Broadleaf Watefall 9-30-09" xfId="27401" xr:uid="{00000000-0005-0000-0000-0000116B0000}"/>
    <cellStyle name="s_mer-mod15_Carry Calculation" xfId="27402" xr:uid="{00000000-0005-0000-0000-0000126B0000}"/>
    <cellStyle name="s_mer-mod15_Fund IV" xfId="27403" xr:uid="{00000000-0005-0000-0000-0000136B0000}"/>
    <cellStyle name="s_mer-mod15_Fund IV 9.30.08" xfId="27404" xr:uid="{00000000-0005-0000-0000-0000146B0000}"/>
    <cellStyle name="s_mer-mod15_Fund IV_1" xfId="27405" xr:uid="{00000000-0005-0000-0000-0000156B0000}"/>
    <cellStyle name="s_mer-mod15_Funds IV Clawback Adjustment Summary" xfId="27406" xr:uid="{00000000-0005-0000-0000-0000166B0000}"/>
    <cellStyle name="s_mer-mod15_Funds IV Clawback Value Adjustment" xfId="27407" xr:uid="{00000000-0005-0000-0000-0000176B0000}"/>
    <cellStyle name="s_mer-mod15_Invested Capital Debt Worksheet" xfId="27408" xr:uid="{00000000-0005-0000-0000-0000186B0000}"/>
    <cellStyle name="s_mer-mod15_Invested Capital Debt Worksheet_1" xfId="27409" xr:uid="{00000000-0005-0000-0000-0000196B0000}"/>
    <cellStyle name="s_mer-mod15_MMF Income" xfId="27410" xr:uid="{00000000-0005-0000-0000-00001A6B0000}"/>
    <cellStyle name="s_mer-mod15_Partners Capital Q1 2009" xfId="27411" xr:uid="{00000000-0005-0000-0000-00001B6B0000}"/>
    <cellStyle name="s_mer-mod15_Partners Capital Q1 2009 2" xfId="27412" xr:uid="{00000000-0005-0000-0000-00001C6B0000}"/>
    <cellStyle name="s_mer-mod15_Partners Capital Q1 2009_MMF Income" xfId="27413" xr:uid="{00000000-0005-0000-0000-00001D6B0000}"/>
    <cellStyle name="s_mer-mod15_Placement Fee Summary 05-14-09 - Current (2)" xfId="27414" xr:uid="{00000000-0005-0000-0000-00001E6B0000}"/>
    <cellStyle name="s_mer-mod15_PR Calc" xfId="27415" xr:uid="{00000000-0005-0000-0000-00001F6B0000}"/>
    <cellStyle name="s_mer-mod15_Sheet1" xfId="27416" xr:uid="{00000000-0005-0000-0000-0000206B0000}"/>
    <cellStyle name="s_MMF Income" xfId="27417" xr:uid="{00000000-0005-0000-0000-0000216B0000}"/>
    <cellStyle name="s_OMNI PFMA Cap" xfId="27418" xr:uid="{00000000-0005-0000-0000-0000226B0000}"/>
    <cellStyle name="s_OMNI PFMA Cap 10" xfId="27419" xr:uid="{00000000-0005-0000-0000-0000236B0000}"/>
    <cellStyle name="s_OMNI PFMA Cap 11" xfId="27420" xr:uid="{00000000-0005-0000-0000-0000246B0000}"/>
    <cellStyle name="s_OMNI PFMA Cap 12" xfId="27421" xr:uid="{00000000-0005-0000-0000-0000256B0000}"/>
    <cellStyle name="s_OMNI PFMA Cap 13" xfId="27422" xr:uid="{00000000-0005-0000-0000-0000266B0000}"/>
    <cellStyle name="s_OMNI PFMA Cap 14" xfId="27423" xr:uid="{00000000-0005-0000-0000-0000276B0000}"/>
    <cellStyle name="s_OMNI PFMA Cap 15" xfId="27424" xr:uid="{00000000-0005-0000-0000-0000286B0000}"/>
    <cellStyle name="s_OMNI PFMA Cap 16" xfId="27425" xr:uid="{00000000-0005-0000-0000-0000296B0000}"/>
    <cellStyle name="s_OMNI PFMA Cap 17" xfId="27426" xr:uid="{00000000-0005-0000-0000-00002A6B0000}"/>
    <cellStyle name="s_OMNI PFMA Cap 18" xfId="27427" xr:uid="{00000000-0005-0000-0000-00002B6B0000}"/>
    <cellStyle name="s_OMNI PFMA Cap 19" xfId="27428" xr:uid="{00000000-0005-0000-0000-00002C6B0000}"/>
    <cellStyle name="s_OMNI PFMA Cap 2" xfId="27429" xr:uid="{00000000-0005-0000-0000-00002D6B0000}"/>
    <cellStyle name="s_OMNI PFMA Cap 2 2" xfId="27430" xr:uid="{00000000-0005-0000-0000-00002E6B0000}"/>
    <cellStyle name="s_OMNI PFMA Cap 20" xfId="27431" xr:uid="{00000000-0005-0000-0000-00002F6B0000}"/>
    <cellStyle name="s_OMNI PFMA Cap 21" xfId="27432" xr:uid="{00000000-0005-0000-0000-0000306B0000}"/>
    <cellStyle name="s_OMNI PFMA Cap 22" xfId="27433" xr:uid="{00000000-0005-0000-0000-0000316B0000}"/>
    <cellStyle name="s_OMNI PFMA Cap 23" xfId="27434" xr:uid="{00000000-0005-0000-0000-0000326B0000}"/>
    <cellStyle name="s_OMNI PFMA Cap 23 2" xfId="27435" xr:uid="{00000000-0005-0000-0000-0000336B0000}"/>
    <cellStyle name="s_OMNI PFMA Cap 3" xfId="27436" xr:uid="{00000000-0005-0000-0000-0000346B0000}"/>
    <cellStyle name="s_OMNI PFMA Cap 3 2" xfId="27437" xr:uid="{00000000-0005-0000-0000-0000356B0000}"/>
    <cellStyle name="s_OMNI PFMA Cap 4" xfId="27438" xr:uid="{00000000-0005-0000-0000-0000366B0000}"/>
    <cellStyle name="s_OMNI PFMA Cap 5" xfId="27439" xr:uid="{00000000-0005-0000-0000-0000376B0000}"/>
    <cellStyle name="s_OMNI PFMA Cap 6" xfId="27440" xr:uid="{00000000-0005-0000-0000-0000386B0000}"/>
    <cellStyle name="s_OMNI PFMA Cap 7" xfId="27441" xr:uid="{00000000-0005-0000-0000-0000396B0000}"/>
    <cellStyle name="s_OMNI PFMA Cap 8" xfId="27442" xr:uid="{00000000-0005-0000-0000-00003A6B0000}"/>
    <cellStyle name="s_OMNI PFMA Cap 9" xfId="27443" xr:uid="{00000000-0005-0000-0000-00003B6B0000}"/>
    <cellStyle name="s_OMNI PFMA Cap_{6} Clawback" xfId="27444" xr:uid="{00000000-0005-0000-0000-00003C6B0000}"/>
    <cellStyle name="s_OMNI PFMA Cap_1" xfId="27445" xr:uid="{00000000-0005-0000-0000-00003D6B0000}"/>
    <cellStyle name="s_OMNI PFMA Cap_1 10" xfId="27446" xr:uid="{00000000-0005-0000-0000-00003E6B0000}"/>
    <cellStyle name="s_OMNI PFMA Cap_1 11" xfId="27447" xr:uid="{00000000-0005-0000-0000-00003F6B0000}"/>
    <cellStyle name="s_OMNI PFMA Cap_1 12" xfId="27448" xr:uid="{00000000-0005-0000-0000-0000406B0000}"/>
    <cellStyle name="s_OMNI PFMA Cap_1 13" xfId="27449" xr:uid="{00000000-0005-0000-0000-0000416B0000}"/>
    <cellStyle name="s_OMNI PFMA Cap_1 14" xfId="27450" xr:uid="{00000000-0005-0000-0000-0000426B0000}"/>
    <cellStyle name="s_OMNI PFMA Cap_1 15" xfId="27451" xr:uid="{00000000-0005-0000-0000-0000436B0000}"/>
    <cellStyle name="s_OMNI PFMA Cap_1 16" xfId="27452" xr:uid="{00000000-0005-0000-0000-0000446B0000}"/>
    <cellStyle name="s_OMNI PFMA Cap_1 17" xfId="27453" xr:uid="{00000000-0005-0000-0000-0000456B0000}"/>
    <cellStyle name="s_OMNI PFMA Cap_1 18" xfId="27454" xr:uid="{00000000-0005-0000-0000-0000466B0000}"/>
    <cellStyle name="s_OMNI PFMA Cap_1 19" xfId="27455" xr:uid="{00000000-0005-0000-0000-0000476B0000}"/>
    <cellStyle name="s_OMNI PFMA Cap_1 2" xfId="27456" xr:uid="{00000000-0005-0000-0000-0000486B0000}"/>
    <cellStyle name="s_OMNI PFMA Cap_1 2 2" xfId="27457" xr:uid="{00000000-0005-0000-0000-0000496B0000}"/>
    <cellStyle name="s_OMNI PFMA Cap_1 20" xfId="27458" xr:uid="{00000000-0005-0000-0000-00004A6B0000}"/>
    <cellStyle name="s_OMNI PFMA Cap_1 21" xfId="27459" xr:uid="{00000000-0005-0000-0000-00004B6B0000}"/>
    <cellStyle name="s_OMNI PFMA Cap_1 22" xfId="27460" xr:uid="{00000000-0005-0000-0000-00004C6B0000}"/>
    <cellStyle name="s_OMNI PFMA Cap_1 23" xfId="27461" xr:uid="{00000000-0005-0000-0000-00004D6B0000}"/>
    <cellStyle name="s_OMNI PFMA Cap_1 23 2" xfId="27462" xr:uid="{00000000-0005-0000-0000-00004E6B0000}"/>
    <cellStyle name="s_OMNI PFMA Cap_1 3" xfId="27463" xr:uid="{00000000-0005-0000-0000-00004F6B0000}"/>
    <cellStyle name="s_OMNI PFMA Cap_1 3 2" xfId="27464" xr:uid="{00000000-0005-0000-0000-0000506B0000}"/>
    <cellStyle name="s_OMNI PFMA Cap_1 4" xfId="27465" xr:uid="{00000000-0005-0000-0000-0000516B0000}"/>
    <cellStyle name="s_OMNI PFMA Cap_1 5" xfId="27466" xr:uid="{00000000-0005-0000-0000-0000526B0000}"/>
    <cellStyle name="s_OMNI PFMA Cap_1 6" xfId="27467" xr:uid="{00000000-0005-0000-0000-0000536B0000}"/>
    <cellStyle name="s_OMNI PFMA Cap_1 7" xfId="27468" xr:uid="{00000000-0005-0000-0000-0000546B0000}"/>
    <cellStyle name="s_OMNI PFMA Cap_1 8" xfId="27469" xr:uid="{00000000-0005-0000-0000-0000556B0000}"/>
    <cellStyle name="s_OMNI PFMA Cap_1 9" xfId="27470" xr:uid="{00000000-0005-0000-0000-0000566B0000}"/>
    <cellStyle name="s_OMNI PFMA Cap_1_{6} Clawback" xfId="27471" xr:uid="{00000000-0005-0000-0000-0000576B0000}"/>
    <cellStyle name="s_OMNI PFMA Cap_1_AIF IV Financial Highlights 12-31-08 v4" xfId="27472" xr:uid="{00000000-0005-0000-0000-0000586B0000}"/>
    <cellStyle name="s_OMNI PFMA Cap_1_AIF IV Financial Highlights 12-31-08 v4_Apollo Investment Fund IV  Q3 2009 Capital Analysis CURRENT" xfId="27473" xr:uid="{00000000-0005-0000-0000-0000596B0000}"/>
    <cellStyle name="s_OMNI PFMA Cap_1_AIF IV Financial Highlights 12-31-08 v4_Apollo Investment Fund IV  Q3 2009 Capital Analysis iPCS &amp; URI Distribution" xfId="27474" xr:uid="{00000000-0005-0000-0000-00005A6B0000}"/>
    <cellStyle name="s_OMNI PFMA Cap_1_AIF IV Financial Highlights 12-31-08 v4_iPCs#1-Remaining" xfId="27475" xr:uid="{00000000-0005-0000-0000-00005B6B0000}"/>
    <cellStyle name="s_OMNI PFMA Cap_1_AIF VI - BondcoVI_Entities Invested Capital (CURRENT)" xfId="27476" xr:uid="{00000000-0005-0000-0000-00005C6B0000}"/>
    <cellStyle name="s_OMNI PFMA Cap_1_AIF VI Broadleaf Watefall Summary as of 6-30-09 FINAL" xfId="27477" xr:uid="{00000000-0005-0000-0000-00005D6B0000}"/>
    <cellStyle name="s_OMNI PFMA Cap_1_AIF VI Broadleaf Watefall Summary as of 9-30-09" xfId="27478" xr:uid="{00000000-0005-0000-0000-00005E6B0000}"/>
    <cellStyle name="s_OMNI PFMA Cap_1_Andy Affrick - Schedulev2" xfId="27479" xr:uid="{00000000-0005-0000-0000-00005F6B0000}"/>
    <cellStyle name="s_OMNI PFMA Cap_1_Apollo Advisors IV 12-31-08 GAAP TB Final" xfId="27480" xr:uid="{00000000-0005-0000-0000-0000606B0000}"/>
    <cellStyle name="s_OMNI PFMA Cap_1_Apollo Advisors IV 12-31-08 TB (Revised for Aggr PR)" xfId="27481" xr:uid="{00000000-0005-0000-0000-0000616B0000}"/>
    <cellStyle name="s_OMNI PFMA Cap_1_Apollo Advisors IV 6-30-09 GAAP TB" xfId="27482" xr:uid="{00000000-0005-0000-0000-0000626B0000}"/>
    <cellStyle name="s_OMNI PFMA Cap_1_Apollo Investment Fund IV  April Priority Return" xfId="27483" xr:uid="{00000000-0005-0000-0000-0000636B0000}"/>
    <cellStyle name="s_OMNI PFMA Cap_1_Apollo Investment Fund IV  Q1 2009 Capital Analysis 5-22-09 with GAAP" xfId="27484" xr:uid="{00000000-0005-0000-0000-0000646B0000}"/>
    <cellStyle name="s_OMNI PFMA Cap_1_Apollo Investment Fund IV  Q1 2009 Capital Analysis GAAP" xfId="27485" xr:uid="{00000000-0005-0000-0000-0000656B0000}"/>
    <cellStyle name="s_OMNI PFMA Cap_1_Apollo Investment Fund IV  Q2 2009 Capital Analysis CURRENT" xfId="27486" xr:uid="{00000000-0005-0000-0000-0000666B0000}"/>
    <cellStyle name="s_OMNI PFMA Cap_1_Apollo Investment Fund IV  Q3 2009 Capital Analysis CURRENT" xfId="27487" xr:uid="{00000000-0005-0000-0000-0000676B0000}"/>
    <cellStyle name="s_OMNI PFMA Cap_1_Apollo Investment Fund IV  Q3 2009 Capital Analysis iPCS &amp; URI Distribution" xfId="27488" xr:uid="{00000000-0005-0000-0000-0000686B0000}"/>
    <cellStyle name="s_OMNI PFMA Cap_1_Apollo Investment Fund IV Q1 2009 Capital Analysis PR CORRECTED 6-30-09" xfId="27489" xr:uid="{00000000-0005-0000-0000-0000696B0000}"/>
    <cellStyle name="s_OMNI PFMA Cap_1_Broadleaf Watefall 12-31-09" xfId="27490" xr:uid="{00000000-0005-0000-0000-00006A6B0000}"/>
    <cellStyle name="s_OMNI PFMA Cap_1_Broadleaf Watefall 6-30-09" xfId="27491" xr:uid="{00000000-0005-0000-0000-00006B6B0000}"/>
    <cellStyle name="s_OMNI PFMA Cap_1_Broadleaf Watefall 9-30-09" xfId="27492" xr:uid="{00000000-0005-0000-0000-00006C6B0000}"/>
    <cellStyle name="s_OMNI PFMA Cap_1_Carry Calculation" xfId="27493" xr:uid="{00000000-0005-0000-0000-00006D6B0000}"/>
    <cellStyle name="s_OMNI PFMA Cap_1_Fund IV" xfId="27494" xr:uid="{00000000-0005-0000-0000-00006E6B0000}"/>
    <cellStyle name="s_OMNI PFMA Cap_1_Fund IV 9.30.08" xfId="27495" xr:uid="{00000000-0005-0000-0000-00006F6B0000}"/>
    <cellStyle name="s_OMNI PFMA Cap_1_Fund IV_1" xfId="27496" xr:uid="{00000000-0005-0000-0000-0000706B0000}"/>
    <cellStyle name="s_OMNI PFMA Cap_1_Funds IV Clawback Adjustment Summary" xfId="27497" xr:uid="{00000000-0005-0000-0000-0000716B0000}"/>
    <cellStyle name="s_OMNI PFMA Cap_1_Funds IV Clawback Value Adjustment" xfId="27498" xr:uid="{00000000-0005-0000-0000-0000726B0000}"/>
    <cellStyle name="s_OMNI PFMA Cap_1_IC Balance" xfId="27499" xr:uid="{00000000-0005-0000-0000-0000736B0000}"/>
    <cellStyle name="s_OMNI PFMA Cap_1_Invested Capital Debt Worksheet" xfId="27500" xr:uid="{00000000-0005-0000-0000-0000746B0000}"/>
    <cellStyle name="s_OMNI PFMA Cap_1_Invested Capital Debt Worksheet_1" xfId="27501" xr:uid="{00000000-0005-0000-0000-0000756B0000}"/>
    <cellStyle name="s_OMNI PFMA Cap_1_iPCs#1-Remaining" xfId="27502" xr:uid="{00000000-0005-0000-0000-0000766B0000}"/>
    <cellStyle name="s_OMNI PFMA Cap_1_MMF Income" xfId="27503" xr:uid="{00000000-0005-0000-0000-0000776B0000}"/>
    <cellStyle name="s_OMNI PFMA Cap_1_Partners Capital Q1 2009" xfId="27504" xr:uid="{00000000-0005-0000-0000-0000786B0000}"/>
    <cellStyle name="s_OMNI PFMA Cap_1_Placement Fee Summary 05-14-09 - Current (2)" xfId="27505" xr:uid="{00000000-0005-0000-0000-0000796B0000}"/>
    <cellStyle name="s_OMNI PFMA Cap_1_PR Calc" xfId="27506" xr:uid="{00000000-0005-0000-0000-00007A6B0000}"/>
    <cellStyle name="s_OMNI PFMA Cap_1_RCIV Q3 2009 Capital Analysis CURRENT" xfId="27507" xr:uid="{00000000-0005-0000-0000-00007B6B0000}"/>
    <cellStyle name="s_OMNI PFMA Cap_1_Sheet1" xfId="27508" xr:uid="{00000000-0005-0000-0000-00007C6B0000}"/>
    <cellStyle name="s_OMNI PFMA Cap_2" xfId="27509" xr:uid="{00000000-0005-0000-0000-00007D6B0000}"/>
    <cellStyle name="s_OMNI PFMA Cap_2 10" xfId="27510" xr:uid="{00000000-0005-0000-0000-00007E6B0000}"/>
    <cellStyle name="s_OMNI PFMA Cap_2 11" xfId="27511" xr:uid="{00000000-0005-0000-0000-00007F6B0000}"/>
    <cellStyle name="s_OMNI PFMA Cap_2 12" xfId="27512" xr:uid="{00000000-0005-0000-0000-0000806B0000}"/>
    <cellStyle name="s_OMNI PFMA Cap_2 13" xfId="27513" xr:uid="{00000000-0005-0000-0000-0000816B0000}"/>
    <cellStyle name="s_OMNI PFMA Cap_2 14" xfId="27514" xr:uid="{00000000-0005-0000-0000-0000826B0000}"/>
    <cellStyle name="s_OMNI PFMA Cap_2 15" xfId="27515" xr:uid="{00000000-0005-0000-0000-0000836B0000}"/>
    <cellStyle name="s_OMNI PFMA Cap_2 16" xfId="27516" xr:uid="{00000000-0005-0000-0000-0000846B0000}"/>
    <cellStyle name="s_OMNI PFMA Cap_2 17" xfId="27517" xr:uid="{00000000-0005-0000-0000-0000856B0000}"/>
    <cellStyle name="s_OMNI PFMA Cap_2 18" xfId="27518" xr:uid="{00000000-0005-0000-0000-0000866B0000}"/>
    <cellStyle name="s_OMNI PFMA Cap_2 19" xfId="27519" xr:uid="{00000000-0005-0000-0000-0000876B0000}"/>
    <cellStyle name="s_OMNI PFMA Cap_2 2" xfId="27520" xr:uid="{00000000-0005-0000-0000-0000886B0000}"/>
    <cellStyle name="s_OMNI PFMA Cap_2 2 2" xfId="27521" xr:uid="{00000000-0005-0000-0000-0000896B0000}"/>
    <cellStyle name="s_OMNI PFMA Cap_2 20" xfId="27522" xr:uid="{00000000-0005-0000-0000-00008A6B0000}"/>
    <cellStyle name="s_OMNI PFMA Cap_2 21" xfId="27523" xr:uid="{00000000-0005-0000-0000-00008B6B0000}"/>
    <cellStyle name="s_OMNI PFMA Cap_2 22" xfId="27524" xr:uid="{00000000-0005-0000-0000-00008C6B0000}"/>
    <cellStyle name="s_OMNI PFMA Cap_2 23" xfId="27525" xr:uid="{00000000-0005-0000-0000-00008D6B0000}"/>
    <cellStyle name="s_OMNI PFMA Cap_2 23 2" xfId="27526" xr:uid="{00000000-0005-0000-0000-00008E6B0000}"/>
    <cellStyle name="s_OMNI PFMA Cap_2 3" xfId="27527" xr:uid="{00000000-0005-0000-0000-00008F6B0000}"/>
    <cellStyle name="s_OMNI PFMA Cap_2 3 2" xfId="27528" xr:uid="{00000000-0005-0000-0000-0000906B0000}"/>
    <cellStyle name="s_OMNI PFMA Cap_2 4" xfId="27529" xr:uid="{00000000-0005-0000-0000-0000916B0000}"/>
    <cellStyle name="s_OMNI PFMA Cap_2 5" xfId="27530" xr:uid="{00000000-0005-0000-0000-0000926B0000}"/>
    <cellStyle name="s_OMNI PFMA Cap_2 6" xfId="27531" xr:uid="{00000000-0005-0000-0000-0000936B0000}"/>
    <cellStyle name="s_OMNI PFMA Cap_2 7" xfId="27532" xr:uid="{00000000-0005-0000-0000-0000946B0000}"/>
    <cellStyle name="s_OMNI PFMA Cap_2 8" xfId="27533" xr:uid="{00000000-0005-0000-0000-0000956B0000}"/>
    <cellStyle name="s_OMNI PFMA Cap_2 9" xfId="27534" xr:uid="{00000000-0005-0000-0000-0000966B0000}"/>
    <cellStyle name="s_OMNI PFMA Cap_2_{6} Clawback" xfId="27535" xr:uid="{00000000-0005-0000-0000-0000976B0000}"/>
    <cellStyle name="s_OMNI PFMA Cap_2_AIF IV Financial Highlights 12-31-08 v4" xfId="27536" xr:uid="{00000000-0005-0000-0000-0000986B0000}"/>
    <cellStyle name="s_OMNI PFMA Cap_2_AIF IV Financial Highlights 12-31-08 v4_Apollo Investment Fund IV  Q3 2009 Capital Analysis CURRENT" xfId="27537" xr:uid="{00000000-0005-0000-0000-0000996B0000}"/>
    <cellStyle name="s_OMNI PFMA Cap_2_AIF IV Financial Highlights 12-31-08 v4_Apollo Investment Fund IV  Q3 2009 Capital Analysis iPCS &amp; URI Distribution" xfId="27538" xr:uid="{00000000-0005-0000-0000-00009A6B0000}"/>
    <cellStyle name="s_OMNI PFMA Cap_2_AIF IV Financial Highlights 12-31-08 v4_iPCs#1-Remaining" xfId="27539" xr:uid="{00000000-0005-0000-0000-00009B6B0000}"/>
    <cellStyle name="s_OMNI PFMA Cap_2_AIF VI - BondcoVI_Entities Invested Capital (CURRENT)" xfId="27540" xr:uid="{00000000-0005-0000-0000-00009C6B0000}"/>
    <cellStyle name="s_OMNI PFMA Cap_2_AIF VI Broadleaf Watefall Summary as of 6-30-09 FINAL" xfId="27541" xr:uid="{00000000-0005-0000-0000-00009D6B0000}"/>
    <cellStyle name="s_OMNI PFMA Cap_2_AIF VI Broadleaf Watefall Summary as of 9-30-09" xfId="27542" xr:uid="{00000000-0005-0000-0000-00009E6B0000}"/>
    <cellStyle name="s_OMNI PFMA Cap_2_Andy Affrick - Schedulev2" xfId="27543" xr:uid="{00000000-0005-0000-0000-00009F6B0000}"/>
    <cellStyle name="s_OMNI PFMA Cap_2_Apollo Advisors IV 12-31-08 GAAP TB Final" xfId="27544" xr:uid="{00000000-0005-0000-0000-0000A06B0000}"/>
    <cellStyle name="s_OMNI PFMA Cap_2_Apollo Advisors IV 12-31-08 TB (Revised for Aggr PR)" xfId="27545" xr:uid="{00000000-0005-0000-0000-0000A16B0000}"/>
    <cellStyle name="s_OMNI PFMA Cap_2_Apollo Advisors IV 6-30-09 GAAP TB" xfId="27546" xr:uid="{00000000-0005-0000-0000-0000A26B0000}"/>
    <cellStyle name="s_OMNI PFMA Cap_2_Apollo Investment Fund IV  April Priority Return" xfId="27547" xr:uid="{00000000-0005-0000-0000-0000A36B0000}"/>
    <cellStyle name="s_OMNI PFMA Cap_2_Apollo Investment Fund IV  Q1 2009 Capital Analysis 5-22-09 with GAAP" xfId="27548" xr:uid="{00000000-0005-0000-0000-0000A46B0000}"/>
    <cellStyle name="s_OMNI PFMA Cap_2_Apollo Investment Fund IV  Q1 2009 Capital Analysis GAAP" xfId="27549" xr:uid="{00000000-0005-0000-0000-0000A56B0000}"/>
    <cellStyle name="s_OMNI PFMA Cap_2_Apollo Investment Fund IV  Q2 2009 Capital Analysis CURRENT" xfId="27550" xr:uid="{00000000-0005-0000-0000-0000A66B0000}"/>
    <cellStyle name="s_OMNI PFMA Cap_2_Apollo Investment Fund IV  Q3 2009 Capital Analysis CURRENT" xfId="27551" xr:uid="{00000000-0005-0000-0000-0000A76B0000}"/>
    <cellStyle name="s_OMNI PFMA Cap_2_Apollo Investment Fund IV  Q3 2009 Capital Analysis iPCS &amp; URI Distribution" xfId="27552" xr:uid="{00000000-0005-0000-0000-0000A86B0000}"/>
    <cellStyle name="s_OMNI PFMA Cap_2_Apollo Investment Fund IV Q1 2009 Capital Analysis PR CORRECTED 6-30-09" xfId="27553" xr:uid="{00000000-0005-0000-0000-0000A96B0000}"/>
    <cellStyle name="s_OMNI PFMA Cap_2_Broadleaf Watefall 12-31-09" xfId="27554" xr:uid="{00000000-0005-0000-0000-0000AA6B0000}"/>
    <cellStyle name="s_OMNI PFMA Cap_2_Broadleaf Watefall 6-30-09" xfId="27555" xr:uid="{00000000-0005-0000-0000-0000AB6B0000}"/>
    <cellStyle name="s_OMNI PFMA Cap_2_Broadleaf Watefall 9-30-09" xfId="27556" xr:uid="{00000000-0005-0000-0000-0000AC6B0000}"/>
    <cellStyle name="s_OMNI PFMA Cap_2_Carry Calculation" xfId="27557" xr:uid="{00000000-0005-0000-0000-0000AD6B0000}"/>
    <cellStyle name="s_OMNI PFMA Cap_2_Fund IV" xfId="27558" xr:uid="{00000000-0005-0000-0000-0000AE6B0000}"/>
    <cellStyle name="s_OMNI PFMA Cap_2_Fund IV 9.30.08" xfId="27559" xr:uid="{00000000-0005-0000-0000-0000AF6B0000}"/>
    <cellStyle name="s_OMNI PFMA Cap_2_Fund IV_1" xfId="27560" xr:uid="{00000000-0005-0000-0000-0000B06B0000}"/>
    <cellStyle name="s_OMNI PFMA Cap_2_Funds IV Clawback Adjustment Summary" xfId="27561" xr:uid="{00000000-0005-0000-0000-0000B16B0000}"/>
    <cellStyle name="s_OMNI PFMA Cap_2_Funds IV Clawback Value Adjustment" xfId="27562" xr:uid="{00000000-0005-0000-0000-0000B26B0000}"/>
    <cellStyle name="s_OMNI PFMA Cap_2_IC Balance" xfId="27563" xr:uid="{00000000-0005-0000-0000-0000B36B0000}"/>
    <cellStyle name="s_OMNI PFMA Cap_2_Invested Capital Debt Worksheet" xfId="27564" xr:uid="{00000000-0005-0000-0000-0000B46B0000}"/>
    <cellStyle name="s_OMNI PFMA Cap_2_Invested Capital Debt Worksheet_1" xfId="27565" xr:uid="{00000000-0005-0000-0000-0000B56B0000}"/>
    <cellStyle name="s_OMNI PFMA Cap_2_iPCs#1-Remaining" xfId="27566" xr:uid="{00000000-0005-0000-0000-0000B66B0000}"/>
    <cellStyle name="s_OMNI PFMA Cap_2_MMF Income" xfId="27567" xr:uid="{00000000-0005-0000-0000-0000B76B0000}"/>
    <cellStyle name="s_OMNI PFMA Cap_2_Partners Capital Q1 2009" xfId="27568" xr:uid="{00000000-0005-0000-0000-0000B86B0000}"/>
    <cellStyle name="s_OMNI PFMA Cap_2_Placement Fee Summary 05-14-09 - Current (2)" xfId="27569" xr:uid="{00000000-0005-0000-0000-0000B96B0000}"/>
    <cellStyle name="s_OMNI PFMA Cap_2_PR Calc" xfId="27570" xr:uid="{00000000-0005-0000-0000-0000BA6B0000}"/>
    <cellStyle name="s_OMNI PFMA Cap_2_RCIV Q3 2009 Capital Analysis CURRENT" xfId="27571" xr:uid="{00000000-0005-0000-0000-0000BB6B0000}"/>
    <cellStyle name="s_OMNI PFMA Cap_2_Sheet1" xfId="27572" xr:uid="{00000000-0005-0000-0000-0000BC6B0000}"/>
    <cellStyle name="s_OMNI PFMA Cap_AIF IV Financial Highlights 12-31-08 v4" xfId="27573" xr:uid="{00000000-0005-0000-0000-0000BD6B0000}"/>
    <cellStyle name="s_OMNI PFMA Cap_AIF IV Financial Highlights 12-31-08 v4_Apollo Investment Fund IV  Q3 2009 Capital Analysis CURRENT" xfId="27574" xr:uid="{00000000-0005-0000-0000-0000BE6B0000}"/>
    <cellStyle name="s_OMNI PFMA Cap_AIF IV Financial Highlights 12-31-08 v4_Apollo Investment Fund IV  Q3 2009 Capital Analysis iPCS &amp; URI Distribution" xfId="27575" xr:uid="{00000000-0005-0000-0000-0000BF6B0000}"/>
    <cellStyle name="s_OMNI PFMA Cap_AIF IV Financial Highlights 12-31-08 v4_iPCs#1-Remaining" xfId="27576" xr:uid="{00000000-0005-0000-0000-0000C06B0000}"/>
    <cellStyle name="s_OMNI PFMA Cap_AIF VI - BondcoVI_Entities Invested Capital (CURRENT)" xfId="27577" xr:uid="{00000000-0005-0000-0000-0000C16B0000}"/>
    <cellStyle name="s_OMNI PFMA Cap_AIF VI Broadleaf Watefall Summary as of 6-30-09 FINAL" xfId="27578" xr:uid="{00000000-0005-0000-0000-0000C26B0000}"/>
    <cellStyle name="s_OMNI PFMA Cap_AIF VI Broadleaf Watefall Summary as of 9-30-09" xfId="27579" xr:uid="{00000000-0005-0000-0000-0000C36B0000}"/>
    <cellStyle name="s_OMNI PFMA Cap_Andy Affrick - Schedulev2" xfId="27580" xr:uid="{00000000-0005-0000-0000-0000C46B0000}"/>
    <cellStyle name="s_OMNI PFMA Cap_Apollo Investment Fund IV  April Priority Return" xfId="27581" xr:uid="{00000000-0005-0000-0000-0000C56B0000}"/>
    <cellStyle name="s_OMNI PFMA Cap_Apollo Investment Fund IV  Q1 2009 Capital Analysis 5-22-09 with GAAP" xfId="27582" xr:uid="{00000000-0005-0000-0000-0000C66B0000}"/>
    <cellStyle name="s_OMNI PFMA Cap_Apollo Investment Fund IV  Q1 2009 Capital Analysis GAAP" xfId="27583" xr:uid="{00000000-0005-0000-0000-0000C76B0000}"/>
    <cellStyle name="s_OMNI PFMA Cap_Apollo Investment Fund IV  Q2 2009 Capital Analysis CURRENT" xfId="27584" xr:uid="{00000000-0005-0000-0000-0000C86B0000}"/>
    <cellStyle name="s_OMNI PFMA Cap_Apollo Investment Fund IV  Q3 2009 Capital Analysis CURRENT" xfId="27585" xr:uid="{00000000-0005-0000-0000-0000C96B0000}"/>
    <cellStyle name="s_OMNI PFMA Cap_Apollo Investment Fund IV  Q3 2009 Capital Analysis iPCS &amp; URI Distribution" xfId="27586" xr:uid="{00000000-0005-0000-0000-0000CA6B0000}"/>
    <cellStyle name="s_OMNI PFMA Cap_Apollo Investment Fund IV Q1 2009 Capital Analysis PR CORRECTED 6-30-09" xfId="27587" xr:uid="{00000000-0005-0000-0000-0000CB6B0000}"/>
    <cellStyle name="s_OMNI PFMA Cap_Broadleaf Watefall 12-31-09" xfId="27588" xr:uid="{00000000-0005-0000-0000-0000CC6B0000}"/>
    <cellStyle name="s_OMNI PFMA Cap_Broadleaf Watefall 6-30-09" xfId="27589" xr:uid="{00000000-0005-0000-0000-0000CD6B0000}"/>
    <cellStyle name="s_OMNI PFMA Cap_Broadleaf Watefall 9-30-09" xfId="27590" xr:uid="{00000000-0005-0000-0000-0000CE6B0000}"/>
    <cellStyle name="s_OMNI PFMA Cap_Carry Calculation" xfId="27591" xr:uid="{00000000-0005-0000-0000-0000CF6B0000}"/>
    <cellStyle name="s_OMNI PFMA Cap_Fund IV" xfId="27592" xr:uid="{00000000-0005-0000-0000-0000D06B0000}"/>
    <cellStyle name="s_OMNI PFMA Cap_Fund IV 9.30.08" xfId="27593" xr:uid="{00000000-0005-0000-0000-0000D16B0000}"/>
    <cellStyle name="s_OMNI PFMA Cap_Fund IV_1" xfId="27594" xr:uid="{00000000-0005-0000-0000-0000D26B0000}"/>
    <cellStyle name="s_OMNI PFMA Cap_Funds IV Clawback Adjustment Summary" xfId="27595" xr:uid="{00000000-0005-0000-0000-0000D36B0000}"/>
    <cellStyle name="s_OMNI PFMA Cap_Funds IV Clawback Value Adjustment" xfId="27596" xr:uid="{00000000-0005-0000-0000-0000D46B0000}"/>
    <cellStyle name="s_OMNI PFMA Cap_IC Balance" xfId="27597" xr:uid="{00000000-0005-0000-0000-0000D56B0000}"/>
    <cellStyle name="s_OMNI PFMA Cap_Invested Capital Debt Worksheet" xfId="27598" xr:uid="{00000000-0005-0000-0000-0000D66B0000}"/>
    <cellStyle name="s_OMNI PFMA Cap_iPCs#1-Remaining" xfId="27599" xr:uid="{00000000-0005-0000-0000-0000D76B0000}"/>
    <cellStyle name="s_OMNI PFMA Cap_MMF Income" xfId="27600" xr:uid="{00000000-0005-0000-0000-0000D86B0000}"/>
    <cellStyle name="s_OMNI PFMA Cap_Partners Capital Q1 2009" xfId="27601" xr:uid="{00000000-0005-0000-0000-0000D96B0000}"/>
    <cellStyle name="s_OMNI PFMA Cap_Placement Fee Summary 05-14-09 - Current (2)" xfId="27602" xr:uid="{00000000-0005-0000-0000-0000DA6B0000}"/>
    <cellStyle name="s_OMNI PFMA Cap_PR Calc" xfId="27603" xr:uid="{00000000-0005-0000-0000-0000DB6B0000}"/>
    <cellStyle name="s_OMNI PFMA Cap_RCIV Q3 2009 Capital Analysis CURRENT" xfId="27604" xr:uid="{00000000-0005-0000-0000-0000DC6B0000}"/>
    <cellStyle name="s_OMNI PFMA Credit" xfId="27605" xr:uid="{00000000-0005-0000-0000-0000DD6B0000}"/>
    <cellStyle name="s_OMNI PFMA Credit 10" xfId="27606" xr:uid="{00000000-0005-0000-0000-0000DE6B0000}"/>
    <cellStyle name="s_OMNI PFMA Credit 11" xfId="27607" xr:uid="{00000000-0005-0000-0000-0000DF6B0000}"/>
    <cellStyle name="s_OMNI PFMA Credit 12" xfId="27608" xr:uid="{00000000-0005-0000-0000-0000E06B0000}"/>
    <cellStyle name="s_OMNI PFMA Credit 13" xfId="27609" xr:uid="{00000000-0005-0000-0000-0000E16B0000}"/>
    <cellStyle name="s_OMNI PFMA Credit 14" xfId="27610" xr:uid="{00000000-0005-0000-0000-0000E26B0000}"/>
    <cellStyle name="s_OMNI PFMA Credit 15" xfId="27611" xr:uid="{00000000-0005-0000-0000-0000E36B0000}"/>
    <cellStyle name="s_OMNI PFMA Credit 16" xfId="27612" xr:uid="{00000000-0005-0000-0000-0000E46B0000}"/>
    <cellStyle name="s_OMNI PFMA Credit 17" xfId="27613" xr:uid="{00000000-0005-0000-0000-0000E56B0000}"/>
    <cellStyle name="s_OMNI PFMA Credit 18" xfId="27614" xr:uid="{00000000-0005-0000-0000-0000E66B0000}"/>
    <cellStyle name="s_OMNI PFMA Credit 19" xfId="27615" xr:uid="{00000000-0005-0000-0000-0000E76B0000}"/>
    <cellStyle name="s_OMNI PFMA Credit 2" xfId="27616" xr:uid="{00000000-0005-0000-0000-0000E86B0000}"/>
    <cellStyle name="s_OMNI PFMA Credit 2 2" xfId="27617" xr:uid="{00000000-0005-0000-0000-0000E96B0000}"/>
    <cellStyle name="s_OMNI PFMA Credit 20" xfId="27618" xr:uid="{00000000-0005-0000-0000-0000EA6B0000}"/>
    <cellStyle name="s_OMNI PFMA Credit 21" xfId="27619" xr:uid="{00000000-0005-0000-0000-0000EB6B0000}"/>
    <cellStyle name="s_OMNI PFMA Credit 22" xfId="27620" xr:uid="{00000000-0005-0000-0000-0000EC6B0000}"/>
    <cellStyle name="s_OMNI PFMA Credit 23" xfId="27621" xr:uid="{00000000-0005-0000-0000-0000ED6B0000}"/>
    <cellStyle name="s_OMNI PFMA Credit 23 2" xfId="27622" xr:uid="{00000000-0005-0000-0000-0000EE6B0000}"/>
    <cellStyle name="s_OMNI PFMA Credit 3" xfId="27623" xr:uid="{00000000-0005-0000-0000-0000EF6B0000}"/>
    <cellStyle name="s_OMNI PFMA Credit 3 2" xfId="27624" xr:uid="{00000000-0005-0000-0000-0000F06B0000}"/>
    <cellStyle name="s_OMNI PFMA Credit 4" xfId="27625" xr:uid="{00000000-0005-0000-0000-0000F16B0000}"/>
    <cellStyle name="s_OMNI PFMA Credit 5" xfId="27626" xr:uid="{00000000-0005-0000-0000-0000F26B0000}"/>
    <cellStyle name="s_OMNI PFMA Credit 6" xfId="27627" xr:uid="{00000000-0005-0000-0000-0000F36B0000}"/>
    <cellStyle name="s_OMNI PFMA Credit 7" xfId="27628" xr:uid="{00000000-0005-0000-0000-0000F46B0000}"/>
    <cellStyle name="s_OMNI PFMA Credit 8" xfId="27629" xr:uid="{00000000-0005-0000-0000-0000F56B0000}"/>
    <cellStyle name="s_OMNI PFMA Credit 9" xfId="27630" xr:uid="{00000000-0005-0000-0000-0000F66B0000}"/>
    <cellStyle name="s_OMNI PFMA Credit_{6} Clawback" xfId="27631" xr:uid="{00000000-0005-0000-0000-0000F76B0000}"/>
    <cellStyle name="s_OMNI PFMA Credit_1" xfId="27632" xr:uid="{00000000-0005-0000-0000-0000F86B0000}"/>
    <cellStyle name="s_OMNI PFMA Credit_1 10" xfId="27633" xr:uid="{00000000-0005-0000-0000-0000F96B0000}"/>
    <cellStyle name="s_OMNI PFMA Credit_1 11" xfId="27634" xr:uid="{00000000-0005-0000-0000-0000FA6B0000}"/>
    <cellStyle name="s_OMNI PFMA Credit_1 12" xfId="27635" xr:uid="{00000000-0005-0000-0000-0000FB6B0000}"/>
    <cellStyle name="s_OMNI PFMA Credit_1 13" xfId="27636" xr:uid="{00000000-0005-0000-0000-0000FC6B0000}"/>
    <cellStyle name="s_OMNI PFMA Credit_1 14" xfId="27637" xr:uid="{00000000-0005-0000-0000-0000FD6B0000}"/>
    <cellStyle name="s_OMNI PFMA Credit_1 15" xfId="27638" xr:uid="{00000000-0005-0000-0000-0000FE6B0000}"/>
    <cellStyle name="s_OMNI PFMA Credit_1 16" xfId="27639" xr:uid="{00000000-0005-0000-0000-0000FF6B0000}"/>
    <cellStyle name="s_OMNI PFMA Credit_1 17" xfId="27640" xr:uid="{00000000-0005-0000-0000-0000006C0000}"/>
    <cellStyle name="s_OMNI PFMA Credit_1 18" xfId="27641" xr:uid="{00000000-0005-0000-0000-0000016C0000}"/>
    <cellStyle name="s_OMNI PFMA Credit_1 19" xfId="27642" xr:uid="{00000000-0005-0000-0000-0000026C0000}"/>
    <cellStyle name="s_OMNI PFMA Credit_1 2" xfId="27643" xr:uid="{00000000-0005-0000-0000-0000036C0000}"/>
    <cellStyle name="s_OMNI PFMA Credit_1 2 2" xfId="27644" xr:uid="{00000000-0005-0000-0000-0000046C0000}"/>
    <cellStyle name="s_OMNI PFMA Credit_1 20" xfId="27645" xr:uid="{00000000-0005-0000-0000-0000056C0000}"/>
    <cellStyle name="s_OMNI PFMA Credit_1 21" xfId="27646" xr:uid="{00000000-0005-0000-0000-0000066C0000}"/>
    <cellStyle name="s_OMNI PFMA Credit_1 22" xfId="27647" xr:uid="{00000000-0005-0000-0000-0000076C0000}"/>
    <cellStyle name="s_OMNI PFMA Credit_1 23" xfId="27648" xr:uid="{00000000-0005-0000-0000-0000086C0000}"/>
    <cellStyle name="s_OMNI PFMA Credit_1 23 2" xfId="27649" xr:uid="{00000000-0005-0000-0000-0000096C0000}"/>
    <cellStyle name="s_OMNI PFMA Credit_1 3" xfId="27650" xr:uid="{00000000-0005-0000-0000-00000A6C0000}"/>
    <cellStyle name="s_OMNI PFMA Credit_1 3 2" xfId="27651" xr:uid="{00000000-0005-0000-0000-00000B6C0000}"/>
    <cellStyle name="s_OMNI PFMA Credit_1 4" xfId="27652" xr:uid="{00000000-0005-0000-0000-00000C6C0000}"/>
    <cellStyle name="s_OMNI PFMA Credit_1 5" xfId="27653" xr:uid="{00000000-0005-0000-0000-00000D6C0000}"/>
    <cellStyle name="s_OMNI PFMA Credit_1 6" xfId="27654" xr:uid="{00000000-0005-0000-0000-00000E6C0000}"/>
    <cellStyle name="s_OMNI PFMA Credit_1 7" xfId="27655" xr:uid="{00000000-0005-0000-0000-00000F6C0000}"/>
    <cellStyle name="s_OMNI PFMA Credit_1 8" xfId="27656" xr:uid="{00000000-0005-0000-0000-0000106C0000}"/>
    <cellStyle name="s_OMNI PFMA Credit_1 9" xfId="27657" xr:uid="{00000000-0005-0000-0000-0000116C0000}"/>
    <cellStyle name="s_OMNI PFMA Credit_1_{6} Clawback" xfId="27658" xr:uid="{00000000-0005-0000-0000-0000126C0000}"/>
    <cellStyle name="s_OMNI PFMA Credit_1_AIF IV Financial Highlights 12-31-08 v4" xfId="27659" xr:uid="{00000000-0005-0000-0000-0000136C0000}"/>
    <cellStyle name="s_OMNI PFMA Credit_1_AIF IV Financial Highlights 12-31-08 v4_Apollo Investment Fund IV  Q3 2009 Capital Analysis CURRENT" xfId="27660" xr:uid="{00000000-0005-0000-0000-0000146C0000}"/>
    <cellStyle name="s_OMNI PFMA Credit_1_AIF IV Financial Highlights 12-31-08 v4_Apollo Investment Fund IV  Q3 2009 Capital Analysis iPCS &amp; URI Distribution" xfId="27661" xr:uid="{00000000-0005-0000-0000-0000156C0000}"/>
    <cellStyle name="s_OMNI PFMA Credit_1_AIF IV Financial Highlights 12-31-08 v4_iPCs#1-Remaining" xfId="27662" xr:uid="{00000000-0005-0000-0000-0000166C0000}"/>
    <cellStyle name="s_OMNI PFMA Credit_1_AIF VI - BondcoVI_Entities Invested Capital (CURRENT)" xfId="27663" xr:uid="{00000000-0005-0000-0000-0000176C0000}"/>
    <cellStyle name="s_OMNI PFMA Credit_1_AIF VI Broadleaf Watefall Summary as of 6-30-09 FINAL" xfId="27664" xr:uid="{00000000-0005-0000-0000-0000186C0000}"/>
    <cellStyle name="s_OMNI PFMA Credit_1_AIF VI Broadleaf Watefall Summary as of 9-30-09" xfId="27665" xr:uid="{00000000-0005-0000-0000-0000196C0000}"/>
    <cellStyle name="s_OMNI PFMA Credit_1_Andy Affrick - Schedulev2" xfId="27666" xr:uid="{00000000-0005-0000-0000-00001A6C0000}"/>
    <cellStyle name="s_OMNI PFMA Credit_1_Apollo Advisors IV 12-31-08 GAAP TB Final" xfId="27667" xr:uid="{00000000-0005-0000-0000-00001B6C0000}"/>
    <cellStyle name="s_OMNI PFMA Credit_1_Apollo Advisors IV 12-31-08 TB (Revised for Aggr PR)" xfId="27668" xr:uid="{00000000-0005-0000-0000-00001C6C0000}"/>
    <cellStyle name="s_OMNI PFMA Credit_1_Apollo Advisors IV 6-30-09 GAAP TB" xfId="27669" xr:uid="{00000000-0005-0000-0000-00001D6C0000}"/>
    <cellStyle name="s_OMNI PFMA Credit_1_Apollo Investment Fund IV  April Priority Return" xfId="27670" xr:uid="{00000000-0005-0000-0000-00001E6C0000}"/>
    <cellStyle name="s_OMNI PFMA Credit_1_Apollo Investment Fund IV  Q1 2009 Capital Analysis 5-22-09 with GAAP" xfId="27671" xr:uid="{00000000-0005-0000-0000-00001F6C0000}"/>
    <cellStyle name="s_OMNI PFMA Credit_1_Apollo Investment Fund IV  Q1 2009 Capital Analysis GAAP" xfId="27672" xr:uid="{00000000-0005-0000-0000-0000206C0000}"/>
    <cellStyle name="s_OMNI PFMA Credit_1_Apollo Investment Fund IV  Q2 2009 Capital Analysis CURRENT" xfId="27673" xr:uid="{00000000-0005-0000-0000-0000216C0000}"/>
    <cellStyle name="s_OMNI PFMA Credit_1_Apollo Investment Fund IV  Q3 2009 Capital Analysis CURRENT" xfId="27674" xr:uid="{00000000-0005-0000-0000-0000226C0000}"/>
    <cellStyle name="s_OMNI PFMA Credit_1_Apollo Investment Fund IV  Q3 2009 Capital Analysis iPCS &amp; URI Distribution" xfId="27675" xr:uid="{00000000-0005-0000-0000-0000236C0000}"/>
    <cellStyle name="s_OMNI PFMA Credit_1_Apollo Investment Fund IV Q1 2009 Capital Analysis PR CORRECTED 6-30-09" xfId="27676" xr:uid="{00000000-0005-0000-0000-0000246C0000}"/>
    <cellStyle name="s_OMNI PFMA Credit_1_Broadleaf Watefall 12-31-09" xfId="27677" xr:uid="{00000000-0005-0000-0000-0000256C0000}"/>
    <cellStyle name="s_OMNI PFMA Credit_1_Broadleaf Watefall 6-30-09" xfId="27678" xr:uid="{00000000-0005-0000-0000-0000266C0000}"/>
    <cellStyle name="s_OMNI PFMA Credit_1_Broadleaf Watefall 9-30-09" xfId="27679" xr:uid="{00000000-0005-0000-0000-0000276C0000}"/>
    <cellStyle name="s_OMNI PFMA Credit_1_Carry Calculation" xfId="27680" xr:uid="{00000000-0005-0000-0000-0000286C0000}"/>
    <cellStyle name="s_OMNI PFMA Credit_1_Fund IV" xfId="27681" xr:uid="{00000000-0005-0000-0000-0000296C0000}"/>
    <cellStyle name="s_OMNI PFMA Credit_1_Fund IV 9.30.08" xfId="27682" xr:uid="{00000000-0005-0000-0000-00002A6C0000}"/>
    <cellStyle name="s_OMNI PFMA Credit_1_Fund IV_1" xfId="27683" xr:uid="{00000000-0005-0000-0000-00002B6C0000}"/>
    <cellStyle name="s_OMNI PFMA Credit_1_Funds IV Clawback Adjustment Summary" xfId="27684" xr:uid="{00000000-0005-0000-0000-00002C6C0000}"/>
    <cellStyle name="s_OMNI PFMA Credit_1_Funds IV Clawback Value Adjustment" xfId="27685" xr:uid="{00000000-0005-0000-0000-00002D6C0000}"/>
    <cellStyle name="s_OMNI PFMA Credit_1_IC Balance" xfId="27686" xr:uid="{00000000-0005-0000-0000-00002E6C0000}"/>
    <cellStyle name="s_OMNI PFMA Credit_1_Invested Capital Debt Worksheet" xfId="27687" xr:uid="{00000000-0005-0000-0000-00002F6C0000}"/>
    <cellStyle name="s_OMNI PFMA Credit_1_Invested Capital Debt Worksheet_1" xfId="27688" xr:uid="{00000000-0005-0000-0000-0000306C0000}"/>
    <cellStyle name="s_OMNI PFMA Credit_1_iPCs#1-Remaining" xfId="27689" xr:uid="{00000000-0005-0000-0000-0000316C0000}"/>
    <cellStyle name="s_OMNI PFMA Credit_1_MMF Income" xfId="27690" xr:uid="{00000000-0005-0000-0000-0000326C0000}"/>
    <cellStyle name="s_OMNI PFMA Credit_1_Partners Capital Q1 2009" xfId="27691" xr:uid="{00000000-0005-0000-0000-0000336C0000}"/>
    <cellStyle name="s_OMNI PFMA Credit_1_Placement Fee Summary 05-14-09 - Current (2)" xfId="27692" xr:uid="{00000000-0005-0000-0000-0000346C0000}"/>
    <cellStyle name="s_OMNI PFMA Credit_1_PR Calc" xfId="27693" xr:uid="{00000000-0005-0000-0000-0000356C0000}"/>
    <cellStyle name="s_OMNI PFMA Credit_1_RCIV Q3 2009 Capital Analysis CURRENT" xfId="27694" xr:uid="{00000000-0005-0000-0000-0000366C0000}"/>
    <cellStyle name="s_OMNI PFMA Credit_1_Sheet1" xfId="27695" xr:uid="{00000000-0005-0000-0000-0000376C0000}"/>
    <cellStyle name="s_OMNI PFMA Credit_2" xfId="27696" xr:uid="{00000000-0005-0000-0000-0000386C0000}"/>
    <cellStyle name="s_OMNI PFMA Credit_2 10" xfId="27697" xr:uid="{00000000-0005-0000-0000-0000396C0000}"/>
    <cellStyle name="s_OMNI PFMA Credit_2 11" xfId="27698" xr:uid="{00000000-0005-0000-0000-00003A6C0000}"/>
    <cellStyle name="s_OMNI PFMA Credit_2 12" xfId="27699" xr:uid="{00000000-0005-0000-0000-00003B6C0000}"/>
    <cellStyle name="s_OMNI PFMA Credit_2 13" xfId="27700" xr:uid="{00000000-0005-0000-0000-00003C6C0000}"/>
    <cellStyle name="s_OMNI PFMA Credit_2 14" xfId="27701" xr:uid="{00000000-0005-0000-0000-00003D6C0000}"/>
    <cellStyle name="s_OMNI PFMA Credit_2 15" xfId="27702" xr:uid="{00000000-0005-0000-0000-00003E6C0000}"/>
    <cellStyle name="s_OMNI PFMA Credit_2 16" xfId="27703" xr:uid="{00000000-0005-0000-0000-00003F6C0000}"/>
    <cellStyle name="s_OMNI PFMA Credit_2 17" xfId="27704" xr:uid="{00000000-0005-0000-0000-0000406C0000}"/>
    <cellStyle name="s_OMNI PFMA Credit_2 18" xfId="27705" xr:uid="{00000000-0005-0000-0000-0000416C0000}"/>
    <cellStyle name="s_OMNI PFMA Credit_2 19" xfId="27706" xr:uid="{00000000-0005-0000-0000-0000426C0000}"/>
    <cellStyle name="s_OMNI PFMA Credit_2 2" xfId="27707" xr:uid="{00000000-0005-0000-0000-0000436C0000}"/>
    <cellStyle name="s_OMNI PFMA Credit_2 2 2" xfId="27708" xr:uid="{00000000-0005-0000-0000-0000446C0000}"/>
    <cellStyle name="s_OMNI PFMA Credit_2 20" xfId="27709" xr:uid="{00000000-0005-0000-0000-0000456C0000}"/>
    <cellStyle name="s_OMNI PFMA Credit_2 21" xfId="27710" xr:uid="{00000000-0005-0000-0000-0000466C0000}"/>
    <cellStyle name="s_OMNI PFMA Credit_2 22" xfId="27711" xr:uid="{00000000-0005-0000-0000-0000476C0000}"/>
    <cellStyle name="s_OMNI PFMA Credit_2 23" xfId="27712" xr:uid="{00000000-0005-0000-0000-0000486C0000}"/>
    <cellStyle name="s_OMNI PFMA Credit_2 23 2" xfId="27713" xr:uid="{00000000-0005-0000-0000-0000496C0000}"/>
    <cellStyle name="s_OMNI PFMA Credit_2 3" xfId="27714" xr:uid="{00000000-0005-0000-0000-00004A6C0000}"/>
    <cellStyle name="s_OMNI PFMA Credit_2 3 2" xfId="27715" xr:uid="{00000000-0005-0000-0000-00004B6C0000}"/>
    <cellStyle name="s_OMNI PFMA Credit_2 4" xfId="27716" xr:uid="{00000000-0005-0000-0000-00004C6C0000}"/>
    <cellStyle name="s_OMNI PFMA Credit_2 5" xfId="27717" xr:uid="{00000000-0005-0000-0000-00004D6C0000}"/>
    <cellStyle name="s_OMNI PFMA Credit_2 6" xfId="27718" xr:uid="{00000000-0005-0000-0000-00004E6C0000}"/>
    <cellStyle name="s_OMNI PFMA Credit_2 7" xfId="27719" xr:uid="{00000000-0005-0000-0000-00004F6C0000}"/>
    <cellStyle name="s_OMNI PFMA Credit_2 8" xfId="27720" xr:uid="{00000000-0005-0000-0000-0000506C0000}"/>
    <cellStyle name="s_OMNI PFMA Credit_2 9" xfId="27721" xr:uid="{00000000-0005-0000-0000-0000516C0000}"/>
    <cellStyle name="s_OMNI PFMA Credit_2_{6} Clawback" xfId="27722" xr:uid="{00000000-0005-0000-0000-0000526C0000}"/>
    <cellStyle name="s_OMNI PFMA Credit_2_AIF IV Financial Highlights 12-31-08 v4" xfId="27723" xr:uid="{00000000-0005-0000-0000-0000536C0000}"/>
    <cellStyle name="s_OMNI PFMA Credit_2_AIF IV Financial Highlights 12-31-08 v4_Apollo Investment Fund IV  Q3 2009 Capital Analysis CURRENT" xfId="27724" xr:uid="{00000000-0005-0000-0000-0000546C0000}"/>
    <cellStyle name="s_OMNI PFMA Credit_2_AIF IV Financial Highlights 12-31-08 v4_Apollo Investment Fund IV  Q3 2009 Capital Analysis iPCS &amp; URI Distribution" xfId="27725" xr:uid="{00000000-0005-0000-0000-0000556C0000}"/>
    <cellStyle name="s_OMNI PFMA Credit_2_AIF IV Financial Highlights 12-31-08 v4_iPCs#1-Remaining" xfId="27726" xr:uid="{00000000-0005-0000-0000-0000566C0000}"/>
    <cellStyle name="s_OMNI PFMA Credit_2_AIF VI - BondcoVI_Entities Invested Capital (CURRENT)" xfId="27727" xr:uid="{00000000-0005-0000-0000-0000576C0000}"/>
    <cellStyle name="s_OMNI PFMA Credit_2_AIF VI Broadleaf Watefall Summary as of 6-30-09 FINAL" xfId="27728" xr:uid="{00000000-0005-0000-0000-0000586C0000}"/>
    <cellStyle name="s_OMNI PFMA Credit_2_AIF VI Broadleaf Watefall Summary as of 9-30-09" xfId="27729" xr:uid="{00000000-0005-0000-0000-0000596C0000}"/>
    <cellStyle name="s_OMNI PFMA Credit_2_Andy Affrick - Schedulev2" xfId="27730" xr:uid="{00000000-0005-0000-0000-00005A6C0000}"/>
    <cellStyle name="s_OMNI PFMA Credit_2_Apollo Advisors IV 12-31-08 GAAP TB Final" xfId="27731" xr:uid="{00000000-0005-0000-0000-00005B6C0000}"/>
    <cellStyle name="s_OMNI PFMA Credit_2_Apollo Advisors IV 12-31-08 TB (Revised for Aggr PR)" xfId="27732" xr:uid="{00000000-0005-0000-0000-00005C6C0000}"/>
    <cellStyle name="s_OMNI PFMA Credit_2_Apollo Advisors IV 6-30-09 GAAP TB" xfId="27733" xr:uid="{00000000-0005-0000-0000-00005D6C0000}"/>
    <cellStyle name="s_OMNI PFMA Credit_2_Apollo Investment Fund IV  April Priority Return" xfId="27734" xr:uid="{00000000-0005-0000-0000-00005E6C0000}"/>
    <cellStyle name="s_OMNI PFMA Credit_2_Apollo Investment Fund IV  Q1 2009 Capital Analysis 5-22-09 with GAAP" xfId="27735" xr:uid="{00000000-0005-0000-0000-00005F6C0000}"/>
    <cellStyle name="s_OMNI PFMA Credit_2_Apollo Investment Fund IV  Q1 2009 Capital Analysis GAAP" xfId="27736" xr:uid="{00000000-0005-0000-0000-0000606C0000}"/>
    <cellStyle name="s_OMNI PFMA Credit_2_Apollo Investment Fund IV  Q2 2009 Capital Analysis CURRENT" xfId="27737" xr:uid="{00000000-0005-0000-0000-0000616C0000}"/>
    <cellStyle name="s_OMNI PFMA Credit_2_Apollo Investment Fund IV  Q3 2009 Capital Analysis CURRENT" xfId="27738" xr:uid="{00000000-0005-0000-0000-0000626C0000}"/>
    <cellStyle name="s_OMNI PFMA Credit_2_Apollo Investment Fund IV  Q3 2009 Capital Analysis iPCS &amp; URI Distribution" xfId="27739" xr:uid="{00000000-0005-0000-0000-0000636C0000}"/>
    <cellStyle name="s_OMNI PFMA Credit_2_Apollo Investment Fund IV Q1 2009 Capital Analysis PR CORRECTED 6-30-09" xfId="27740" xr:uid="{00000000-0005-0000-0000-0000646C0000}"/>
    <cellStyle name="s_OMNI PFMA Credit_2_Broadleaf Watefall 12-31-09" xfId="27741" xr:uid="{00000000-0005-0000-0000-0000656C0000}"/>
    <cellStyle name="s_OMNI PFMA Credit_2_Broadleaf Watefall 6-30-09" xfId="27742" xr:uid="{00000000-0005-0000-0000-0000666C0000}"/>
    <cellStyle name="s_OMNI PFMA Credit_2_Broadleaf Watefall 9-30-09" xfId="27743" xr:uid="{00000000-0005-0000-0000-0000676C0000}"/>
    <cellStyle name="s_OMNI PFMA Credit_2_Carry Calculation" xfId="27744" xr:uid="{00000000-0005-0000-0000-0000686C0000}"/>
    <cellStyle name="s_OMNI PFMA Credit_2_Fund IV" xfId="27745" xr:uid="{00000000-0005-0000-0000-0000696C0000}"/>
    <cellStyle name="s_OMNI PFMA Credit_2_Fund IV 9.30.08" xfId="27746" xr:uid="{00000000-0005-0000-0000-00006A6C0000}"/>
    <cellStyle name="s_OMNI PFMA Credit_2_Fund IV_1" xfId="27747" xr:uid="{00000000-0005-0000-0000-00006B6C0000}"/>
    <cellStyle name="s_OMNI PFMA Credit_2_Funds IV Clawback Adjustment Summary" xfId="27748" xr:uid="{00000000-0005-0000-0000-00006C6C0000}"/>
    <cellStyle name="s_OMNI PFMA Credit_2_Funds IV Clawback Value Adjustment" xfId="27749" xr:uid="{00000000-0005-0000-0000-00006D6C0000}"/>
    <cellStyle name="s_OMNI PFMA Credit_2_IC Balance" xfId="27750" xr:uid="{00000000-0005-0000-0000-00006E6C0000}"/>
    <cellStyle name="s_OMNI PFMA Credit_2_Invested Capital Debt Worksheet" xfId="27751" xr:uid="{00000000-0005-0000-0000-00006F6C0000}"/>
    <cellStyle name="s_OMNI PFMA Credit_2_Invested Capital Debt Worksheet_1" xfId="27752" xr:uid="{00000000-0005-0000-0000-0000706C0000}"/>
    <cellStyle name="s_OMNI PFMA Credit_2_iPCs#1-Remaining" xfId="27753" xr:uid="{00000000-0005-0000-0000-0000716C0000}"/>
    <cellStyle name="s_OMNI PFMA Credit_2_MMF Income" xfId="27754" xr:uid="{00000000-0005-0000-0000-0000726C0000}"/>
    <cellStyle name="s_OMNI PFMA Credit_2_Partners Capital Q1 2009" xfId="27755" xr:uid="{00000000-0005-0000-0000-0000736C0000}"/>
    <cellStyle name="s_OMNI PFMA Credit_2_Placement Fee Summary 05-14-09 - Current (2)" xfId="27756" xr:uid="{00000000-0005-0000-0000-0000746C0000}"/>
    <cellStyle name="s_OMNI PFMA Credit_2_PR Calc" xfId="27757" xr:uid="{00000000-0005-0000-0000-0000756C0000}"/>
    <cellStyle name="s_OMNI PFMA Credit_2_RCIV Q3 2009 Capital Analysis CURRENT" xfId="27758" xr:uid="{00000000-0005-0000-0000-0000766C0000}"/>
    <cellStyle name="s_OMNI PFMA Credit_2_Sheet1" xfId="27759" xr:uid="{00000000-0005-0000-0000-0000776C0000}"/>
    <cellStyle name="s_OMNI PFMA Credit_AIF IV Financial Highlights 12-31-08 v4" xfId="27760" xr:uid="{00000000-0005-0000-0000-0000786C0000}"/>
    <cellStyle name="s_OMNI PFMA Credit_AIF IV Financial Highlights 12-31-08 v4_Apollo Investment Fund IV  Q3 2009 Capital Analysis CURRENT" xfId="27761" xr:uid="{00000000-0005-0000-0000-0000796C0000}"/>
    <cellStyle name="s_OMNI PFMA Credit_AIF IV Financial Highlights 12-31-08 v4_Apollo Investment Fund IV  Q3 2009 Capital Analysis iPCS &amp; URI Distribution" xfId="27762" xr:uid="{00000000-0005-0000-0000-00007A6C0000}"/>
    <cellStyle name="s_OMNI PFMA Credit_AIF IV Financial Highlights 12-31-08 v4_iPCs#1-Remaining" xfId="27763" xr:uid="{00000000-0005-0000-0000-00007B6C0000}"/>
    <cellStyle name="s_OMNI PFMA Credit_AIF VI - BondcoVI_Entities Invested Capital (CURRENT)" xfId="27764" xr:uid="{00000000-0005-0000-0000-00007C6C0000}"/>
    <cellStyle name="s_OMNI PFMA Credit_AIF VI Broadleaf Watefall Summary as of 6-30-09 FINAL" xfId="27765" xr:uid="{00000000-0005-0000-0000-00007D6C0000}"/>
    <cellStyle name="s_OMNI PFMA Credit_AIF VI Broadleaf Watefall Summary as of 9-30-09" xfId="27766" xr:uid="{00000000-0005-0000-0000-00007E6C0000}"/>
    <cellStyle name="s_OMNI PFMA Credit_Andy Affrick - Schedulev2" xfId="27767" xr:uid="{00000000-0005-0000-0000-00007F6C0000}"/>
    <cellStyle name="s_OMNI PFMA Credit_Apollo Investment Fund IV  April Priority Return" xfId="27768" xr:uid="{00000000-0005-0000-0000-0000806C0000}"/>
    <cellStyle name="s_OMNI PFMA Credit_Apollo Investment Fund IV  Q1 2009 Capital Analysis 5-22-09 with GAAP" xfId="27769" xr:uid="{00000000-0005-0000-0000-0000816C0000}"/>
    <cellStyle name="s_OMNI PFMA Credit_Apollo Investment Fund IV  Q1 2009 Capital Analysis GAAP" xfId="27770" xr:uid="{00000000-0005-0000-0000-0000826C0000}"/>
    <cellStyle name="s_OMNI PFMA Credit_Apollo Investment Fund IV  Q2 2009 Capital Analysis CURRENT" xfId="27771" xr:uid="{00000000-0005-0000-0000-0000836C0000}"/>
    <cellStyle name="s_OMNI PFMA Credit_Apollo Investment Fund IV  Q3 2009 Capital Analysis CURRENT" xfId="27772" xr:uid="{00000000-0005-0000-0000-0000846C0000}"/>
    <cellStyle name="s_OMNI PFMA Credit_Apollo Investment Fund IV  Q3 2009 Capital Analysis iPCS &amp; URI Distribution" xfId="27773" xr:uid="{00000000-0005-0000-0000-0000856C0000}"/>
    <cellStyle name="s_OMNI PFMA Credit_Apollo Investment Fund IV Q1 2009 Capital Analysis PR CORRECTED 6-30-09" xfId="27774" xr:uid="{00000000-0005-0000-0000-0000866C0000}"/>
    <cellStyle name="s_OMNI PFMA Credit_Broadleaf Watefall 12-31-09" xfId="27775" xr:uid="{00000000-0005-0000-0000-0000876C0000}"/>
    <cellStyle name="s_OMNI PFMA Credit_Broadleaf Watefall 6-30-09" xfId="27776" xr:uid="{00000000-0005-0000-0000-0000886C0000}"/>
    <cellStyle name="s_OMNI PFMA Credit_Broadleaf Watefall 9-30-09" xfId="27777" xr:uid="{00000000-0005-0000-0000-0000896C0000}"/>
    <cellStyle name="s_OMNI PFMA Credit_Carry Calculation" xfId="27778" xr:uid="{00000000-0005-0000-0000-00008A6C0000}"/>
    <cellStyle name="s_OMNI PFMA Credit_Fund IV" xfId="27779" xr:uid="{00000000-0005-0000-0000-00008B6C0000}"/>
    <cellStyle name="s_OMNI PFMA Credit_Fund IV 9.30.08" xfId="27780" xr:uid="{00000000-0005-0000-0000-00008C6C0000}"/>
    <cellStyle name="s_OMNI PFMA Credit_Fund IV_1" xfId="27781" xr:uid="{00000000-0005-0000-0000-00008D6C0000}"/>
    <cellStyle name="s_OMNI PFMA Credit_Funds IV Clawback Adjustment Summary" xfId="27782" xr:uid="{00000000-0005-0000-0000-00008E6C0000}"/>
    <cellStyle name="s_OMNI PFMA Credit_Funds IV Clawback Value Adjustment" xfId="27783" xr:uid="{00000000-0005-0000-0000-00008F6C0000}"/>
    <cellStyle name="s_OMNI PFMA Credit_IC Balance" xfId="27784" xr:uid="{00000000-0005-0000-0000-0000906C0000}"/>
    <cellStyle name="s_OMNI PFMA Credit_Invested Capital Debt Worksheet" xfId="27785" xr:uid="{00000000-0005-0000-0000-0000916C0000}"/>
    <cellStyle name="s_OMNI PFMA Credit_iPCs#1-Remaining" xfId="27786" xr:uid="{00000000-0005-0000-0000-0000926C0000}"/>
    <cellStyle name="s_OMNI PFMA Credit_MMF Income" xfId="27787" xr:uid="{00000000-0005-0000-0000-0000936C0000}"/>
    <cellStyle name="s_OMNI PFMA Credit_Partners Capital Q1 2009" xfId="27788" xr:uid="{00000000-0005-0000-0000-0000946C0000}"/>
    <cellStyle name="s_OMNI PFMA Credit_Placement Fee Summary 05-14-09 - Current (2)" xfId="27789" xr:uid="{00000000-0005-0000-0000-0000956C0000}"/>
    <cellStyle name="s_OMNI PFMA Credit_PR Calc" xfId="27790" xr:uid="{00000000-0005-0000-0000-0000966C0000}"/>
    <cellStyle name="s_OMNI PFMA Credit_RCIV Q3 2009 Capital Analysis CURRENT" xfId="27791" xr:uid="{00000000-0005-0000-0000-0000976C0000}"/>
    <cellStyle name="s_OMNI_BalSheets" xfId="27792" xr:uid="{00000000-0005-0000-0000-0000986C0000}"/>
    <cellStyle name="s_OMNI_BalSheets (2)" xfId="27793" xr:uid="{00000000-0005-0000-0000-0000996C0000}"/>
    <cellStyle name="s_OMNI_BalSheets (2) 10" xfId="27794" xr:uid="{00000000-0005-0000-0000-00009A6C0000}"/>
    <cellStyle name="s_OMNI_BalSheets (2) 11" xfId="27795" xr:uid="{00000000-0005-0000-0000-00009B6C0000}"/>
    <cellStyle name="s_OMNI_BalSheets (2) 12" xfId="27796" xr:uid="{00000000-0005-0000-0000-00009C6C0000}"/>
    <cellStyle name="s_OMNI_BalSheets (2) 13" xfId="27797" xr:uid="{00000000-0005-0000-0000-00009D6C0000}"/>
    <cellStyle name="s_OMNI_BalSheets (2) 14" xfId="27798" xr:uid="{00000000-0005-0000-0000-00009E6C0000}"/>
    <cellStyle name="s_OMNI_BalSheets (2) 15" xfId="27799" xr:uid="{00000000-0005-0000-0000-00009F6C0000}"/>
    <cellStyle name="s_OMNI_BalSheets (2) 16" xfId="27800" xr:uid="{00000000-0005-0000-0000-0000A06C0000}"/>
    <cellStyle name="s_OMNI_BalSheets (2) 17" xfId="27801" xr:uid="{00000000-0005-0000-0000-0000A16C0000}"/>
    <cellStyle name="s_OMNI_BalSheets (2) 18" xfId="27802" xr:uid="{00000000-0005-0000-0000-0000A26C0000}"/>
    <cellStyle name="s_OMNI_BalSheets (2) 19" xfId="27803" xr:uid="{00000000-0005-0000-0000-0000A36C0000}"/>
    <cellStyle name="s_OMNI_BalSheets (2) 2" xfId="27804" xr:uid="{00000000-0005-0000-0000-0000A46C0000}"/>
    <cellStyle name="s_OMNI_BalSheets (2) 2 2" xfId="27805" xr:uid="{00000000-0005-0000-0000-0000A56C0000}"/>
    <cellStyle name="s_OMNI_BalSheets (2) 20" xfId="27806" xr:uid="{00000000-0005-0000-0000-0000A66C0000}"/>
    <cellStyle name="s_OMNI_BalSheets (2) 21" xfId="27807" xr:uid="{00000000-0005-0000-0000-0000A76C0000}"/>
    <cellStyle name="s_OMNI_BalSheets (2) 22" xfId="27808" xr:uid="{00000000-0005-0000-0000-0000A86C0000}"/>
    <cellStyle name="s_OMNI_BalSheets (2) 23" xfId="27809" xr:uid="{00000000-0005-0000-0000-0000A96C0000}"/>
    <cellStyle name="s_OMNI_BalSheets (2) 23 2" xfId="27810" xr:uid="{00000000-0005-0000-0000-0000AA6C0000}"/>
    <cellStyle name="s_OMNI_BalSheets (2) 3" xfId="27811" xr:uid="{00000000-0005-0000-0000-0000AB6C0000}"/>
    <cellStyle name="s_OMNI_BalSheets (2) 3 2" xfId="27812" xr:uid="{00000000-0005-0000-0000-0000AC6C0000}"/>
    <cellStyle name="s_OMNI_BalSheets (2) 4" xfId="27813" xr:uid="{00000000-0005-0000-0000-0000AD6C0000}"/>
    <cellStyle name="s_OMNI_BalSheets (2) 5" xfId="27814" xr:uid="{00000000-0005-0000-0000-0000AE6C0000}"/>
    <cellStyle name="s_OMNI_BalSheets (2) 6" xfId="27815" xr:uid="{00000000-0005-0000-0000-0000AF6C0000}"/>
    <cellStyle name="s_OMNI_BalSheets (2) 7" xfId="27816" xr:uid="{00000000-0005-0000-0000-0000B06C0000}"/>
    <cellStyle name="s_OMNI_BalSheets (2) 8" xfId="27817" xr:uid="{00000000-0005-0000-0000-0000B16C0000}"/>
    <cellStyle name="s_OMNI_BalSheets (2) 9" xfId="27818" xr:uid="{00000000-0005-0000-0000-0000B26C0000}"/>
    <cellStyle name="s_OMNI_BalSheets (2)_{6} Clawback" xfId="27819" xr:uid="{00000000-0005-0000-0000-0000B36C0000}"/>
    <cellStyle name="s_OMNI_BalSheets (2)_1" xfId="27820" xr:uid="{00000000-0005-0000-0000-0000B46C0000}"/>
    <cellStyle name="s_OMNI_BalSheets (2)_1 10" xfId="27821" xr:uid="{00000000-0005-0000-0000-0000B56C0000}"/>
    <cellStyle name="s_OMNI_BalSheets (2)_1 11" xfId="27822" xr:uid="{00000000-0005-0000-0000-0000B66C0000}"/>
    <cellStyle name="s_OMNI_BalSheets (2)_1 12" xfId="27823" xr:uid="{00000000-0005-0000-0000-0000B76C0000}"/>
    <cellStyle name="s_OMNI_BalSheets (2)_1 13" xfId="27824" xr:uid="{00000000-0005-0000-0000-0000B86C0000}"/>
    <cellStyle name="s_OMNI_BalSheets (2)_1 14" xfId="27825" xr:uid="{00000000-0005-0000-0000-0000B96C0000}"/>
    <cellStyle name="s_OMNI_BalSheets (2)_1 15" xfId="27826" xr:uid="{00000000-0005-0000-0000-0000BA6C0000}"/>
    <cellStyle name="s_OMNI_BalSheets (2)_1 16" xfId="27827" xr:uid="{00000000-0005-0000-0000-0000BB6C0000}"/>
    <cellStyle name="s_OMNI_BalSheets (2)_1 17" xfId="27828" xr:uid="{00000000-0005-0000-0000-0000BC6C0000}"/>
    <cellStyle name="s_OMNI_BalSheets (2)_1 18" xfId="27829" xr:uid="{00000000-0005-0000-0000-0000BD6C0000}"/>
    <cellStyle name="s_OMNI_BalSheets (2)_1 19" xfId="27830" xr:uid="{00000000-0005-0000-0000-0000BE6C0000}"/>
    <cellStyle name="s_OMNI_BalSheets (2)_1 2" xfId="27831" xr:uid="{00000000-0005-0000-0000-0000BF6C0000}"/>
    <cellStyle name="s_OMNI_BalSheets (2)_1 2 2" xfId="27832" xr:uid="{00000000-0005-0000-0000-0000C06C0000}"/>
    <cellStyle name="s_OMNI_BalSheets (2)_1 20" xfId="27833" xr:uid="{00000000-0005-0000-0000-0000C16C0000}"/>
    <cellStyle name="s_OMNI_BalSheets (2)_1 21" xfId="27834" xr:uid="{00000000-0005-0000-0000-0000C26C0000}"/>
    <cellStyle name="s_OMNI_BalSheets (2)_1 22" xfId="27835" xr:uid="{00000000-0005-0000-0000-0000C36C0000}"/>
    <cellStyle name="s_OMNI_BalSheets (2)_1 23" xfId="27836" xr:uid="{00000000-0005-0000-0000-0000C46C0000}"/>
    <cellStyle name="s_OMNI_BalSheets (2)_1 23 2" xfId="27837" xr:uid="{00000000-0005-0000-0000-0000C56C0000}"/>
    <cellStyle name="s_OMNI_BalSheets (2)_1 3" xfId="27838" xr:uid="{00000000-0005-0000-0000-0000C66C0000}"/>
    <cellStyle name="s_OMNI_BalSheets (2)_1 3 2" xfId="27839" xr:uid="{00000000-0005-0000-0000-0000C76C0000}"/>
    <cellStyle name="s_OMNI_BalSheets (2)_1 4" xfId="27840" xr:uid="{00000000-0005-0000-0000-0000C86C0000}"/>
    <cellStyle name="s_OMNI_BalSheets (2)_1 5" xfId="27841" xr:uid="{00000000-0005-0000-0000-0000C96C0000}"/>
    <cellStyle name="s_OMNI_BalSheets (2)_1 6" xfId="27842" xr:uid="{00000000-0005-0000-0000-0000CA6C0000}"/>
    <cellStyle name="s_OMNI_BalSheets (2)_1 7" xfId="27843" xr:uid="{00000000-0005-0000-0000-0000CB6C0000}"/>
    <cellStyle name="s_OMNI_BalSheets (2)_1 8" xfId="27844" xr:uid="{00000000-0005-0000-0000-0000CC6C0000}"/>
    <cellStyle name="s_OMNI_BalSheets (2)_1 9" xfId="27845" xr:uid="{00000000-0005-0000-0000-0000CD6C0000}"/>
    <cellStyle name="s_OMNI_BalSheets (2)_1_{6} Clawback" xfId="27846" xr:uid="{00000000-0005-0000-0000-0000CE6C0000}"/>
    <cellStyle name="s_OMNI_BalSheets (2)_1_AIF IV Financial Highlights 12-31-08 v4" xfId="27847" xr:uid="{00000000-0005-0000-0000-0000CF6C0000}"/>
    <cellStyle name="s_OMNI_BalSheets (2)_1_AIF IV Financial Highlights 12-31-08 v4_Apollo Investment Fund IV  Q3 2009 Capital Analysis CURRENT" xfId="27848" xr:uid="{00000000-0005-0000-0000-0000D06C0000}"/>
    <cellStyle name="s_OMNI_BalSheets (2)_1_AIF IV Financial Highlights 12-31-08 v4_Apollo Investment Fund IV  Q3 2009 Capital Analysis iPCS &amp; URI Distribution" xfId="27849" xr:uid="{00000000-0005-0000-0000-0000D16C0000}"/>
    <cellStyle name="s_OMNI_BalSheets (2)_1_AIF IV Financial Highlights 12-31-08 v4_iPCs#1-Remaining" xfId="27850" xr:uid="{00000000-0005-0000-0000-0000D26C0000}"/>
    <cellStyle name="s_OMNI_BalSheets (2)_1_AIF VI - BondcoVI_Entities Invested Capital (CURRENT)" xfId="27851" xr:uid="{00000000-0005-0000-0000-0000D36C0000}"/>
    <cellStyle name="s_OMNI_BalSheets (2)_1_AIF VI Broadleaf Watefall Summary as of 6-30-09 FINAL" xfId="27852" xr:uid="{00000000-0005-0000-0000-0000D46C0000}"/>
    <cellStyle name="s_OMNI_BalSheets (2)_1_AIF VI Broadleaf Watefall Summary as of 9-30-09" xfId="27853" xr:uid="{00000000-0005-0000-0000-0000D56C0000}"/>
    <cellStyle name="s_OMNI_BalSheets (2)_1_Andy Affrick - Schedulev2" xfId="27854" xr:uid="{00000000-0005-0000-0000-0000D66C0000}"/>
    <cellStyle name="s_OMNI_BalSheets (2)_1_Apollo Investment Fund IV  April Priority Return" xfId="27855" xr:uid="{00000000-0005-0000-0000-0000D76C0000}"/>
    <cellStyle name="s_OMNI_BalSheets (2)_1_Apollo Investment Fund IV  Q1 2009 Capital Analysis 5-22-09 with GAAP" xfId="27856" xr:uid="{00000000-0005-0000-0000-0000D86C0000}"/>
    <cellStyle name="s_OMNI_BalSheets (2)_1_Apollo Investment Fund IV  Q1 2009 Capital Analysis GAAP" xfId="27857" xr:uid="{00000000-0005-0000-0000-0000D96C0000}"/>
    <cellStyle name="s_OMNI_BalSheets (2)_1_Apollo Investment Fund IV  Q2 2009 Capital Analysis CURRENT" xfId="27858" xr:uid="{00000000-0005-0000-0000-0000DA6C0000}"/>
    <cellStyle name="s_OMNI_BalSheets (2)_1_Apollo Investment Fund IV  Q3 2009 Capital Analysis CURRENT" xfId="27859" xr:uid="{00000000-0005-0000-0000-0000DB6C0000}"/>
    <cellStyle name="s_OMNI_BalSheets (2)_1_Apollo Investment Fund IV  Q3 2009 Capital Analysis iPCS &amp; URI Distribution" xfId="27860" xr:uid="{00000000-0005-0000-0000-0000DC6C0000}"/>
    <cellStyle name="s_OMNI_BalSheets (2)_1_Apollo Investment Fund IV Q1 2009 Capital Analysis PR CORRECTED 6-30-09" xfId="27861" xr:uid="{00000000-0005-0000-0000-0000DD6C0000}"/>
    <cellStyle name="s_OMNI_BalSheets (2)_1_Broadleaf Watefall 12-31-09" xfId="27862" xr:uid="{00000000-0005-0000-0000-0000DE6C0000}"/>
    <cellStyle name="s_OMNI_BalSheets (2)_1_Broadleaf Watefall 6-30-09" xfId="27863" xr:uid="{00000000-0005-0000-0000-0000DF6C0000}"/>
    <cellStyle name="s_OMNI_BalSheets (2)_1_Broadleaf Watefall 9-30-09" xfId="27864" xr:uid="{00000000-0005-0000-0000-0000E06C0000}"/>
    <cellStyle name="s_OMNI_BalSheets (2)_1_Carry Calculation" xfId="27865" xr:uid="{00000000-0005-0000-0000-0000E16C0000}"/>
    <cellStyle name="s_OMNI_BalSheets (2)_1_Fund IV" xfId="27866" xr:uid="{00000000-0005-0000-0000-0000E26C0000}"/>
    <cellStyle name="s_OMNI_BalSheets (2)_1_Fund IV 9.30.08" xfId="27867" xr:uid="{00000000-0005-0000-0000-0000E36C0000}"/>
    <cellStyle name="s_OMNI_BalSheets (2)_1_Fund IV_1" xfId="27868" xr:uid="{00000000-0005-0000-0000-0000E46C0000}"/>
    <cellStyle name="s_OMNI_BalSheets (2)_1_Funds IV Clawback Adjustment Summary" xfId="27869" xr:uid="{00000000-0005-0000-0000-0000E56C0000}"/>
    <cellStyle name="s_OMNI_BalSheets (2)_1_Funds IV Clawback Value Adjustment" xfId="27870" xr:uid="{00000000-0005-0000-0000-0000E66C0000}"/>
    <cellStyle name="s_OMNI_BalSheets (2)_1_IC Balance" xfId="27871" xr:uid="{00000000-0005-0000-0000-0000E76C0000}"/>
    <cellStyle name="s_OMNI_BalSheets (2)_1_Invested Capital Debt Worksheet" xfId="27872" xr:uid="{00000000-0005-0000-0000-0000E86C0000}"/>
    <cellStyle name="s_OMNI_BalSheets (2)_1_iPCs#1-Remaining" xfId="27873" xr:uid="{00000000-0005-0000-0000-0000E96C0000}"/>
    <cellStyle name="s_OMNI_BalSheets (2)_1_MMF Income" xfId="27874" xr:uid="{00000000-0005-0000-0000-0000EA6C0000}"/>
    <cellStyle name="s_OMNI_BalSheets (2)_1_Partners Capital Q1 2009" xfId="27875" xr:uid="{00000000-0005-0000-0000-0000EB6C0000}"/>
    <cellStyle name="s_OMNI_BalSheets (2)_1_Placement Fee Summary 05-14-09 - Current (2)" xfId="27876" xr:uid="{00000000-0005-0000-0000-0000EC6C0000}"/>
    <cellStyle name="s_OMNI_BalSheets (2)_1_PR Calc" xfId="27877" xr:uid="{00000000-0005-0000-0000-0000ED6C0000}"/>
    <cellStyle name="s_OMNI_BalSheets (2)_1_RCIV Q3 2009 Capital Analysis CURRENT" xfId="27878" xr:uid="{00000000-0005-0000-0000-0000EE6C0000}"/>
    <cellStyle name="s_OMNI_BalSheets (2)_2" xfId="27879" xr:uid="{00000000-0005-0000-0000-0000EF6C0000}"/>
    <cellStyle name="s_OMNI_BalSheets (2)_2 10" xfId="27880" xr:uid="{00000000-0005-0000-0000-0000F06C0000}"/>
    <cellStyle name="s_OMNI_BalSheets (2)_2 11" xfId="27881" xr:uid="{00000000-0005-0000-0000-0000F16C0000}"/>
    <cellStyle name="s_OMNI_BalSheets (2)_2 12" xfId="27882" xr:uid="{00000000-0005-0000-0000-0000F26C0000}"/>
    <cellStyle name="s_OMNI_BalSheets (2)_2 13" xfId="27883" xr:uid="{00000000-0005-0000-0000-0000F36C0000}"/>
    <cellStyle name="s_OMNI_BalSheets (2)_2 14" xfId="27884" xr:uid="{00000000-0005-0000-0000-0000F46C0000}"/>
    <cellStyle name="s_OMNI_BalSheets (2)_2 15" xfId="27885" xr:uid="{00000000-0005-0000-0000-0000F56C0000}"/>
    <cellStyle name="s_OMNI_BalSheets (2)_2 16" xfId="27886" xr:uid="{00000000-0005-0000-0000-0000F66C0000}"/>
    <cellStyle name="s_OMNI_BalSheets (2)_2 17" xfId="27887" xr:uid="{00000000-0005-0000-0000-0000F76C0000}"/>
    <cellStyle name="s_OMNI_BalSheets (2)_2 18" xfId="27888" xr:uid="{00000000-0005-0000-0000-0000F86C0000}"/>
    <cellStyle name="s_OMNI_BalSheets (2)_2 19" xfId="27889" xr:uid="{00000000-0005-0000-0000-0000F96C0000}"/>
    <cellStyle name="s_OMNI_BalSheets (2)_2 2" xfId="27890" xr:uid="{00000000-0005-0000-0000-0000FA6C0000}"/>
    <cellStyle name="s_OMNI_BalSheets (2)_2 2 2" xfId="27891" xr:uid="{00000000-0005-0000-0000-0000FB6C0000}"/>
    <cellStyle name="s_OMNI_BalSheets (2)_2 20" xfId="27892" xr:uid="{00000000-0005-0000-0000-0000FC6C0000}"/>
    <cellStyle name="s_OMNI_BalSheets (2)_2 21" xfId="27893" xr:uid="{00000000-0005-0000-0000-0000FD6C0000}"/>
    <cellStyle name="s_OMNI_BalSheets (2)_2 22" xfId="27894" xr:uid="{00000000-0005-0000-0000-0000FE6C0000}"/>
    <cellStyle name="s_OMNI_BalSheets (2)_2 23" xfId="27895" xr:uid="{00000000-0005-0000-0000-0000FF6C0000}"/>
    <cellStyle name="s_OMNI_BalSheets (2)_2 23 2" xfId="27896" xr:uid="{00000000-0005-0000-0000-0000006D0000}"/>
    <cellStyle name="s_OMNI_BalSheets (2)_2 3" xfId="27897" xr:uid="{00000000-0005-0000-0000-0000016D0000}"/>
    <cellStyle name="s_OMNI_BalSheets (2)_2 3 2" xfId="27898" xr:uid="{00000000-0005-0000-0000-0000026D0000}"/>
    <cellStyle name="s_OMNI_BalSheets (2)_2 4" xfId="27899" xr:uid="{00000000-0005-0000-0000-0000036D0000}"/>
    <cellStyle name="s_OMNI_BalSheets (2)_2 5" xfId="27900" xr:uid="{00000000-0005-0000-0000-0000046D0000}"/>
    <cellStyle name="s_OMNI_BalSheets (2)_2 6" xfId="27901" xr:uid="{00000000-0005-0000-0000-0000056D0000}"/>
    <cellStyle name="s_OMNI_BalSheets (2)_2 7" xfId="27902" xr:uid="{00000000-0005-0000-0000-0000066D0000}"/>
    <cellStyle name="s_OMNI_BalSheets (2)_2 8" xfId="27903" xr:uid="{00000000-0005-0000-0000-0000076D0000}"/>
    <cellStyle name="s_OMNI_BalSheets (2)_2 9" xfId="27904" xr:uid="{00000000-0005-0000-0000-0000086D0000}"/>
    <cellStyle name="s_OMNI_BalSheets (2)_2_{6} Clawback" xfId="27905" xr:uid="{00000000-0005-0000-0000-0000096D0000}"/>
    <cellStyle name="s_OMNI_BalSheets (2)_2_AIF IV Financial Highlights 12-31-08 v4" xfId="27906" xr:uid="{00000000-0005-0000-0000-00000A6D0000}"/>
    <cellStyle name="s_OMNI_BalSheets (2)_2_AIF IV Financial Highlights 12-31-08 v4_Apollo Investment Fund IV  Q3 2009 Capital Analysis CURRENT" xfId="27907" xr:uid="{00000000-0005-0000-0000-00000B6D0000}"/>
    <cellStyle name="s_OMNI_BalSheets (2)_2_AIF IV Financial Highlights 12-31-08 v4_Apollo Investment Fund IV  Q3 2009 Capital Analysis iPCS &amp; URI Distribution" xfId="27908" xr:uid="{00000000-0005-0000-0000-00000C6D0000}"/>
    <cellStyle name="s_OMNI_BalSheets (2)_2_AIF IV Financial Highlights 12-31-08 v4_iPCs#1-Remaining" xfId="27909" xr:uid="{00000000-0005-0000-0000-00000D6D0000}"/>
    <cellStyle name="s_OMNI_BalSheets (2)_2_AIF VI - BondcoVI_Entities Invested Capital (CURRENT)" xfId="27910" xr:uid="{00000000-0005-0000-0000-00000E6D0000}"/>
    <cellStyle name="s_OMNI_BalSheets (2)_2_AIF VI Broadleaf Watefall Summary as of 6-30-09 FINAL" xfId="27911" xr:uid="{00000000-0005-0000-0000-00000F6D0000}"/>
    <cellStyle name="s_OMNI_BalSheets (2)_2_AIF VI Broadleaf Watefall Summary as of 9-30-09" xfId="27912" xr:uid="{00000000-0005-0000-0000-0000106D0000}"/>
    <cellStyle name="s_OMNI_BalSheets (2)_2_Andy Affrick - Schedulev2" xfId="27913" xr:uid="{00000000-0005-0000-0000-0000116D0000}"/>
    <cellStyle name="s_OMNI_BalSheets (2)_2_Apollo Advisors IV 12-31-08 GAAP TB Final" xfId="27914" xr:uid="{00000000-0005-0000-0000-0000126D0000}"/>
    <cellStyle name="s_OMNI_BalSheets (2)_2_Apollo Advisors IV 12-31-08 TB (Revised for Aggr PR)" xfId="27915" xr:uid="{00000000-0005-0000-0000-0000136D0000}"/>
    <cellStyle name="s_OMNI_BalSheets (2)_2_Apollo Advisors IV 6-30-09 GAAP TB" xfId="27916" xr:uid="{00000000-0005-0000-0000-0000146D0000}"/>
    <cellStyle name="s_OMNI_BalSheets (2)_2_Apollo Investment Fund IV  April Priority Return" xfId="27917" xr:uid="{00000000-0005-0000-0000-0000156D0000}"/>
    <cellStyle name="s_OMNI_BalSheets (2)_2_Apollo Investment Fund IV  Q1 2009 Capital Analysis 5-22-09 with GAAP" xfId="27918" xr:uid="{00000000-0005-0000-0000-0000166D0000}"/>
    <cellStyle name="s_OMNI_BalSheets (2)_2_Apollo Investment Fund IV  Q1 2009 Capital Analysis GAAP" xfId="27919" xr:uid="{00000000-0005-0000-0000-0000176D0000}"/>
    <cellStyle name="s_OMNI_BalSheets (2)_2_Apollo Investment Fund IV  Q2 2009 Capital Analysis CURRENT" xfId="27920" xr:uid="{00000000-0005-0000-0000-0000186D0000}"/>
    <cellStyle name="s_OMNI_BalSheets (2)_2_Apollo Investment Fund IV  Q3 2009 Capital Analysis CURRENT" xfId="27921" xr:uid="{00000000-0005-0000-0000-0000196D0000}"/>
    <cellStyle name="s_OMNI_BalSheets (2)_2_Apollo Investment Fund IV  Q3 2009 Capital Analysis iPCS &amp; URI Distribution" xfId="27922" xr:uid="{00000000-0005-0000-0000-00001A6D0000}"/>
    <cellStyle name="s_OMNI_BalSheets (2)_2_Apollo Investment Fund IV Q1 2009 Capital Analysis PR CORRECTED 6-30-09" xfId="27923" xr:uid="{00000000-0005-0000-0000-00001B6D0000}"/>
    <cellStyle name="s_OMNI_BalSheets (2)_2_Broadleaf Watefall 12-31-09" xfId="27924" xr:uid="{00000000-0005-0000-0000-00001C6D0000}"/>
    <cellStyle name="s_OMNI_BalSheets (2)_2_Broadleaf Watefall 6-30-09" xfId="27925" xr:uid="{00000000-0005-0000-0000-00001D6D0000}"/>
    <cellStyle name="s_OMNI_BalSheets (2)_2_Broadleaf Watefall 9-30-09" xfId="27926" xr:uid="{00000000-0005-0000-0000-00001E6D0000}"/>
    <cellStyle name="s_OMNI_BalSheets (2)_2_Carry Calculation" xfId="27927" xr:uid="{00000000-0005-0000-0000-00001F6D0000}"/>
    <cellStyle name="s_OMNI_BalSheets (2)_2_Fund IV" xfId="27928" xr:uid="{00000000-0005-0000-0000-0000206D0000}"/>
    <cellStyle name="s_OMNI_BalSheets (2)_2_Fund IV 9.30.08" xfId="27929" xr:uid="{00000000-0005-0000-0000-0000216D0000}"/>
    <cellStyle name="s_OMNI_BalSheets (2)_2_Fund IV_1" xfId="27930" xr:uid="{00000000-0005-0000-0000-0000226D0000}"/>
    <cellStyle name="s_OMNI_BalSheets (2)_2_Funds IV Clawback Adjustment Summary" xfId="27931" xr:uid="{00000000-0005-0000-0000-0000236D0000}"/>
    <cellStyle name="s_OMNI_BalSheets (2)_2_Funds IV Clawback Value Adjustment" xfId="27932" xr:uid="{00000000-0005-0000-0000-0000246D0000}"/>
    <cellStyle name="s_OMNI_BalSheets (2)_2_IC Balance" xfId="27933" xr:uid="{00000000-0005-0000-0000-0000256D0000}"/>
    <cellStyle name="s_OMNI_BalSheets (2)_2_Invested Capital Debt Worksheet" xfId="27934" xr:uid="{00000000-0005-0000-0000-0000266D0000}"/>
    <cellStyle name="s_OMNI_BalSheets (2)_2_Invested Capital Debt Worksheet_1" xfId="27935" xr:uid="{00000000-0005-0000-0000-0000276D0000}"/>
    <cellStyle name="s_OMNI_BalSheets (2)_2_iPCs#1-Remaining" xfId="27936" xr:uid="{00000000-0005-0000-0000-0000286D0000}"/>
    <cellStyle name="s_OMNI_BalSheets (2)_2_MMF Income" xfId="27937" xr:uid="{00000000-0005-0000-0000-0000296D0000}"/>
    <cellStyle name="s_OMNI_BalSheets (2)_2_Partners Capital Q1 2009" xfId="27938" xr:uid="{00000000-0005-0000-0000-00002A6D0000}"/>
    <cellStyle name="s_OMNI_BalSheets (2)_2_Placement Fee Summary 05-14-09 - Current (2)" xfId="27939" xr:uid="{00000000-0005-0000-0000-00002B6D0000}"/>
    <cellStyle name="s_OMNI_BalSheets (2)_2_PR Calc" xfId="27940" xr:uid="{00000000-0005-0000-0000-00002C6D0000}"/>
    <cellStyle name="s_OMNI_BalSheets (2)_2_RCIV Q3 2009 Capital Analysis CURRENT" xfId="27941" xr:uid="{00000000-0005-0000-0000-00002D6D0000}"/>
    <cellStyle name="s_OMNI_BalSheets (2)_2_Sheet1" xfId="27942" xr:uid="{00000000-0005-0000-0000-00002E6D0000}"/>
    <cellStyle name="s_OMNI_BalSheets (2)_AIF IV Financial Highlights 12-31-08 v4" xfId="27943" xr:uid="{00000000-0005-0000-0000-00002F6D0000}"/>
    <cellStyle name="s_OMNI_BalSheets (2)_AIF IV Financial Highlights 12-31-08 v4_Apollo Investment Fund IV  Q3 2009 Capital Analysis CURRENT" xfId="27944" xr:uid="{00000000-0005-0000-0000-0000306D0000}"/>
    <cellStyle name="s_OMNI_BalSheets (2)_AIF IV Financial Highlights 12-31-08 v4_Apollo Investment Fund IV  Q3 2009 Capital Analysis iPCS &amp; URI Distribution" xfId="27945" xr:uid="{00000000-0005-0000-0000-0000316D0000}"/>
    <cellStyle name="s_OMNI_BalSheets (2)_AIF IV Financial Highlights 12-31-08 v4_iPCs#1-Remaining" xfId="27946" xr:uid="{00000000-0005-0000-0000-0000326D0000}"/>
    <cellStyle name="s_OMNI_BalSheets (2)_AIF VI - BondcoVI_Entities Invested Capital (CURRENT)" xfId="27947" xr:uid="{00000000-0005-0000-0000-0000336D0000}"/>
    <cellStyle name="s_OMNI_BalSheets (2)_AIF VI Broadleaf Watefall Summary as of 6-30-09 FINAL" xfId="27948" xr:uid="{00000000-0005-0000-0000-0000346D0000}"/>
    <cellStyle name="s_OMNI_BalSheets (2)_AIF VI Broadleaf Watefall Summary as of 9-30-09" xfId="27949" xr:uid="{00000000-0005-0000-0000-0000356D0000}"/>
    <cellStyle name="s_OMNI_BalSheets (2)_Andy Affrick - Schedulev2" xfId="27950" xr:uid="{00000000-0005-0000-0000-0000366D0000}"/>
    <cellStyle name="s_OMNI_BalSheets (2)_Apollo Advisors IV 12-31-08 GAAP TB Final" xfId="27951" xr:uid="{00000000-0005-0000-0000-0000376D0000}"/>
    <cellStyle name="s_OMNI_BalSheets (2)_Apollo Advisors IV 12-31-08 TB (Revised for Aggr PR)" xfId="27952" xr:uid="{00000000-0005-0000-0000-0000386D0000}"/>
    <cellStyle name="s_OMNI_BalSheets (2)_Apollo Advisors IV 6-30-09 GAAP TB" xfId="27953" xr:uid="{00000000-0005-0000-0000-0000396D0000}"/>
    <cellStyle name="s_OMNI_BalSheets (2)_Apollo Investment Fund IV  April Priority Return" xfId="27954" xr:uid="{00000000-0005-0000-0000-00003A6D0000}"/>
    <cellStyle name="s_OMNI_BalSheets (2)_Apollo Investment Fund IV  Q1 2009 Capital Analysis 5-22-09 with GAAP" xfId="27955" xr:uid="{00000000-0005-0000-0000-00003B6D0000}"/>
    <cellStyle name="s_OMNI_BalSheets (2)_Apollo Investment Fund IV  Q1 2009 Capital Analysis GAAP" xfId="27956" xr:uid="{00000000-0005-0000-0000-00003C6D0000}"/>
    <cellStyle name="s_OMNI_BalSheets (2)_Apollo Investment Fund IV  Q2 2009 Capital Analysis CURRENT" xfId="27957" xr:uid="{00000000-0005-0000-0000-00003D6D0000}"/>
    <cellStyle name="s_OMNI_BalSheets (2)_Apollo Investment Fund IV  Q3 2009 Capital Analysis CURRENT" xfId="27958" xr:uid="{00000000-0005-0000-0000-00003E6D0000}"/>
    <cellStyle name="s_OMNI_BalSheets (2)_Apollo Investment Fund IV  Q3 2009 Capital Analysis iPCS &amp; URI Distribution" xfId="27959" xr:uid="{00000000-0005-0000-0000-00003F6D0000}"/>
    <cellStyle name="s_OMNI_BalSheets (2)_Apollo Investment Fund IV Q1 2009 Capital Analysis PR CORRECTED 6-30-09" xfId="27960" xr:uid="{00000000-0005-0000-0000-0000406D0000}"/>
    <cellStyle name="s_OMNI_BalSheets (2)_Broadleaf Watefall 12-31-09" xfId="27961" xr:uid="{00000000-0005-0000-0000-0000416D0000}"/>
    <cellStyle name="s_OMNI_BalSheets (2)_Broadleaf Watefall 6-30-09" xfId="27962" xr:uid="{00000000-0005-0000-0000-0000426D0000}"/>
    <cellStyle name="s_OMNI_BalSheets (2)_Broadleaf Watefall 9-30-09" xfId="27963" xr:uid="{00000000-0005-0000-0000-0000436D0000}"/>
    <cellStyle name="s_OMNI_BalSheets (2)_Carry Calculation" xfId="27964" xr:uid="{00000000-0005-0000-0000-0000446D0000}"/>
    <cellStyle name="s_OMNI_BalSheets (2)_Fund IV" xfId="27965" xr:uid="{00000000-0005-0000-0000-0000456D0000}"/>
    <cellStyle name="s_OMNI_BalSheets (2)_Fund IV 9.30.08" xfId="27966" xr:uid="{00000000-0005-0000-0000-0000466D0000}"/>
    <cellStyle name="s_OMNI_BalSheets (2)_Fund IV_1" xfId="27967" xr:uid="{00000000-0005-0000-0000-0000476D0000}"/>
    <cellStyle name="s_OMNI_BalSheets (2)_Funds IV Clawback Adjustment Summary" xfId="27968" xr:uid="{00000000-0005-0000-0000-0000486D0000}"/>
    <cellStyle name="s_OMNI_BalSheets (2)_Funds IV Clawback Value Adjustment" xfId="27969" xr:uid="{00000000-0005-0000-0000-0000496D0000}"/>
    <cellStyle name="s_OMNI_BalSheets (2)_IC Balance" xfId="27970" xr:uid="{00000000-0005-0000-0000-00004A6D0000}"/>
    <cellStyle name="s_OMNI_BalSheets (2)_Invested Capital Debt Worksheet" xfId="27971" xr:uid="{00000000-0005-0000-0000-00004B6D0000}"/>
    <cellStyle name="s_OMNI_BalSheets (2)_Invested Capital Debt Worksheet_1" xfId="27972" xr:uid="{00000000-0005-0000-0000-00004C6D0000}"/>
    <cellStyle name="s_OMNI_BalSheets (2)_iPCs#1-Remaining" xfId="27973" xr:uid="{00000000-0005-0000-0000-00004D6D0000}"/>
    <cellStyle name="s_OMNI_BalSheets (2)_MMF Income" xfId="27974" xr:uid="{00000000-0005-0000-0000-00004E6D0000}"/>
    <cellStyle name="s_OMNI_BalSheets (2)_Partners Capital Q1 2009" xfId="27975" xr:uid="{00000000-0005-0000-0000-00004F6D0000}"/>
    <cellStyle name="s_OMNI_BalSheets (2)_Placement Fee Summary 05-14-09 - Current (2)" xfId="27976" xr:uid="{00000000-0005-0000-0000-0000506D0000}"/>
    <cellStyle name="s_OMNI_BalSheets (2)_PR Calc" xfId="27977" xr:uid="{00000000-0005-0000-0000-0000516D0000}"/>
    <cellStyle name="s_OMNI_BalSheets (2)_RCIV Q3 2009 Capital Analysis CURRENT" xfId="27978" xr:uid="{00000000-0005-0000-0000-0000526D0000}"/>
    <cellStyle name="s_OMNI_BalSheets (2)_Sheet1" xfId="27979" xr:uid="{00000000-0005-0000-0000-0000536D0000}"/>
    <cellStyle name="s_OMNI_BalSheets 10" xfId="27980" xr:uid="{00000000-0005-0000-0000-0000546D0000}"/>
    <cellStyle name="s_OMNI_BalSheets 11" xfId="27981" xr:uid="{00000000-0005-0000-0000-0000556D0000}"/>
    <cellStyle name="s_OMNI_BalSheets 12" xfId="27982" xr:uid="{00000000-0005-0000-0000-0000566D0000}"/>
    <cellStyle name="s_OMNI_BalSheets 13" xfId="27983" xr:uid="{00000000-0005-0000-0000-0000576D0000}"/>
    <cellStyle name="s_OMNI_BalSheets 14" xfId="27984" xr:uid="{00000000-0005-0000-0000-0000586D0000}"/>
    <cellStyle name="s_OMNI_BalSheets 15" xfId="27985" xr:uid="{00000000-0005-0000-0000-0000596D0000}"/>
    <cellStyle name="s_OMNI_BalSheets 16" xfId="27986" xr:uid="{00000000-0005-0000-0000-00005A6D0000}"/>
    <cellStyle name="s_OMNI_BalSheets 17" xfId="27987" xr:uid="{00000000-0005-0000-0000-00005B6D0000}"/>
    <cellStyle name="s_OMNI_BalSheets 18" xfId="27988" xr:uid="{00000000-0005-0000-0000-00005C6D0000}"/>
    <cellStyle name="s_OMNI_BalSheets 19" xfId="27989" xr:uid="{00000000-0005-0000-0000-00005D6D0000}"/>
    <cellStyle name="s_OMNI_BalSheets 2" xfId="27990" xr:uid="{00000000-0005-0000-0000-00005E6D0000}"/>
    <cellStyle name="s_OMNI_BalSheets 2 2" xfId="27991" xr:uid="{00000000-0005-0000-0000-00005F6D0000}"/>
    <cellStyle name="s_OMNI_BalSheets 20" xfId="27992" xr:uid="{00000000-0005-0000-0000-0000606D0000}"/>
    <cellStyle name="s_OMNI_BalSheets 21" xfId="27993" xr:uid="{00000000-0005-0000-0000-0000616D0000}"/>
    <cellStyle name="s_OMNI_BalSheets 22" xfId="27994" xr:uid="{00000000-0005-0000-0000-0000626D0000}"/>
    <cellStyle name="s_OMNI_BalSheets 23" xfId="27995" xr:uid="{00000000-0005-0000-0000-0000636D0000}"/>
    <cellStyle name="s_OMNI_BalSheets 23 2" xfId="27996" xr:uid="{00000000-0005-0000-0000-0000646D0000}"/>
    <cellStyle name="s_OMNI_BalSheets 3" xfId="27997" xr:uid="{00000000-0005-0000-0000-0000656D0000}"/>
    <cellStyle name="s_OMNI_BalSheets 3 2" xfId="27998" xr:uid="{00000000-0005-0000-0000-0000666D0000}"/>
    <cellStyle name="s_OMNI_BalSheets 4" xfId="27999" xr:uid="{00000000-0005-0000-0000-0000676D0000}"/>
    <cellStyle name="s_OMNI_BalSheets 5" xfId="28000" xr:uid="{00000000-0005-0000-0000-0000686D0000}"/>
    <cellStyle name="s_OMNI_BalSheets 6" xfId="28001" xr:uid="{00000000-0005-0000-0000-0000696D0000}"/>
    <cellStyle name="s_OMNI_BalSheets 7" xfId="28002" xr:uid="{00000000-0005-0000-0000-00006A6D0000}"/>
    <cellStyle name="s_OMNI_BalSheets 8" xfId="28003" xr:uid="{00000000-0005-0000-0000-00006B6D0000}"/>
    <cellStyle name="s_OMNI_BalSheets 9" xfId="28004" xr:uid="{00000000-0005-0000-0000-00006C6D0000}"/>
    <cellStyle name="s_OMNI_BalSheets_{6} Clawback" xfId="28005" xr:uid="{00000000-0005-0000-0000-00006D6D0000}"/>
    <cellStyle name="s_OMNI_BalSheets_1" xfId="28006" xr:uid="{00000000-0005-0000-0000-00006E6D0000}"/>
    <cellStyle name="s_OMNI_BalSheets_1 10" xfId="28007" xr:uid="{00000000-0005-0000-0000-00006F6D0000}"/>
    <cellStyle name="s_OMNI_BalSheets_1 11" xfId="28008" xr:uid="{00000000-0005-0000-0000-0000706D0000}"/>
    <cellStyle name="s_OMNI_BalSheets_1 12" xfId="28009" xr:uid="{00000000-0005-0000-0000-0000716D0000}"/>
    <cellStyle name="s_OMNI_BalSheets_1 13" xfId="28010" xr:uid="{00000000-0005-0000-0000-0000726D0000}"/>
    <cellStyle name="s_OMNI_BalSheets_1 14" xfId="28011" xr:uid="{00000000-0005-0000-0000-0000736D0000}"/>
    <cellStyle name="s_OMNI_BalSheets_1 15" xfId="28012" xr:uid="{00000000-0005-0000-0000-0000746D0000}"/>
    <cellStyle name="s_OMNI_BalSheets_1 16" xfId="28013" xr:uid="{00000000-0005-0000-0000-0000756D0000}"/>
    <cellStyle name="s_OMNI_BalSheets_1 17" xfId="28014" xr:uid="{00000000-0005-0000-0000-0000766D0000}"/>
    <cellStyle name="s_OMNI_BalSheets_1 18" xfId="28015" xr:uid="{00000000-0005-0000-0000-0000776D0000}"/>
    <cellStyle name="s_OMNI_BalSheets_1 19" xfId="28016" xr:uid="{00000000-0005-0000-0000-0000786D0000}"/>
    <cellStyle name="s_OMNI_BalSheets_1 2" xfId="28017" xr:uid="{00000000-0005-0000-0000-0000796D0000}"/>
    <cellStyle name="s_OMNI_BalSheets_1 2 2" xfId="28018" xr:uid="{00000000-0005-0000-0000-00007A6D0000}"/>
    <cellStyle name="s_OMNI_BalSheets_1 20" xfId="28019" xr:uid="{00000000-0005-0000-0000-00007B6D0000}"/>
    <cellStyle name="s_OMNI_BalSheets_1 21" xfId="28020" xr:uid="{00000000-0005-0000-0000-00007C6D0000}"/>
    <cellStyle name="s_OMNI_BalSheets_1 22" xfId="28021" xr:uid="{00000000-0005-0000-0000-00007D6D0000}"/>
    <cellStyle name="s_OMNI_BalSheets_1 23" xfId="28022" xr:uid="{00000000-0005-0000-0000-00007E6D0000}"/>
    <cellStyle name="s_OMNI_BalSheets_1 23 2" xfId="28023" xr:uid="{00000000-0005-0000-0000-00007F6D0000}"/>
    <cellStyle name="s_OMNI_BalSheets_1 3" xfId="28024" xr:uid="{00000000-0005-0000-0000-0000806D0000}"/>
    <cellStyle name="s_OMNI_BalSheets_1 3 2" xfId="28025" xr:uid="{00000000-0005-0000-0000-0000816D0000}"/>
    <cellStyle name="s_OMNI_BalSheets_1 4" xfId="28026" xr:uid="{00000000-0005-0000-0000-0000826D0000}"/>
    <cellStyle name="s_OMNI_BalSheets_1 5" xfId="28027" xr:uid="{00000000-0005-0000-0000-0000836D0000}"/>
    <cellStyle name="s_OMNI_BalSheets_1 6" xfId="28028" xr:uid="{00000000-0005-0000-0000-0000846D0000}"/>
    <cellStyle name="s_OMNI_BalSheets_1 7" xfId="28029" xr:uid="{00000000-0005-0000-0000-0000856D0000}"/>
    <cellStyle name="s_OMNI_BalSheets_1 8" xfId="28030" xr:uid="{00000000-0005-0000-0000-0000866D0000}"/>
    <cellStyle name="s_OMNI_BalSheets_1 9" xfId="28031" xr:uid="{00000000-0005-0000-0000-0000876D0000}"/>
    <cellStyle name="s_OMNI_BalSheets_1_{6} Clawback" xfId="28032" xr:uid="{00000000-0005-0000-0000-0000886D0000}"/>
    <cellStyle name="s_OMNI_BalSheets_1_AIF IV Financial Highlights 12-31-08 v4" xfId="28033" xr:uid="{00000000-0005-0000-0000-0000896D0000}"/>
    <cellStyle name="s_OMNI_BalSheets_1_AIF IV Financial Highlights 12-31-08 v4_Apollo Investment Fund IV  Q3 2009 Capital Analysis CURRENT" xfId="28034" xr:uid="{00000000-0005-0000-0000-00008A6D0000}"/>
    <cellStyle name="s_OMNI_BalSheets_1_AIF IV Financial Highlights 12-31-08 v4_Apollo Investment Fund IV  Q3 2009 Capital Analysis iPCS &amp; URI Distribution" xfId="28035" xr:uid="{00000000-0005-0000-0000-00008B6D0000}"/>
    <cellStyle name="s_OMNI_BalSheets_1_AIF IV Financial Highlights 12-31-08 v4_iPCs#1-Remaining" xfId="28036" xr:uid="{00000000-0005-0000-0000-00008C6D0000}"/>
    <cellStyle name="s_OMNI_BalSheets_1_AIF VI - BondcoVI_Entities Invested Capital (CURRENT)" xfId="28037" xr:uid="{00000000-0005-0000-0000-00008D6D0000}"/>
    <cellStyle name="s_OMNI_BalSheets_1_AIF VI Broadleaf Watefall Summary as of 6-30-09 FINAL" xfId="28038" xr:uid="{00000000-0005-0000-0000-00008E6D0000}"/>
    <cellStyle name="s_OMNI_BalSheets_1_AIF VI Broadleaf Watefall Summary as of 9-30-09" xfId="28039" xr:uid="{00000000-0005-0000-0000-00008F6D0000}"/>
    <cellStyle name="s_OMNI_BalSheets_1_Andy Affrick - Schedulev2" xfId="28040" xr:uid="{00000000-0005-0000-0000-0000906D0000}"/>
    <cellStyle name="s_OMNI_BalSheets_1_Apollo Advisors IV 12-31-08 GAAP TB Final" xfId="28041" xr:uid="{00000000-0005-0000-0000-0000916D0000}"/>
    <cellStyle name="s_OMNI_BalSheets_1_Apollo Advisors IV 12-31-08 TB (Revised for Aggr PR)" xfId="28042" xr:uid="{00000000-0005-0000-0000-0000926D0000}"/>
    <cellStyle name="s_OMNI_BalSheets_1_Apollo Advisors IV 6-30-09 GAAP TB" xfId="28043" xr:uid="{00000000-0005-0000-0000-0000936D0000}"/>
    <cellStyle name="s_OMNI_BalSheets_1_Apollo Investment Fund IV  April Priority Return" xfId="28044" xr:uid="{00000000-0005-0000-0000-0000946D0000}"/>
    <cellStyle name="s_OMNI_BalSheets_1_Apollo Investment Fund IV  Q1 2009 Capital Analysis 5-22-09 with GAAP" xfId="28045" xr:uid="{00000000-0005-0000-0000-0000956D0000}"/>
    <cellStyle name="s_OMNI_BalSheets_1_Apollo Investment Fund IV  Q1 2009 Capital Analysis GAAP" xfId="28046" xr:uid="{00000000-0005-0000-0000-0000966D0000}"/>
    <cellStyle name="s_OMNI_BalSheets_1_Apollo Investment Fund IV  Q2 2009 Capital Analysis CURRENT" xfId="28047" xr:uid="{00000000-0005-0000-0000-0000976D0000}"/>
    <cellStyle name="s_OMNI_BalSheets_1_Apollo Investment Fund IV  Q3 2009 Capital Analysis CURRENT" xfId="28048" xr:uid="{00000000-0005-0000-0000-0000986D0000}"/>
    <cellStyle name="s_OMNI_BalSheets_1_Apollo Investment Fund IV  Q3 2009 Capital Analysis iPCS &amp; URI Distribution" xfId="28049" xr:uid="{00000000-0005-0000-0000-0000996D0000}"/>
    <cellStyle name="s_OMNI_BalSheets_1_Apollo Investment Fund IV Q1 2009 Capital Analysis PR CORRECTED 6-30-09" xfId="28050" xr:uid="{00000000-0005-0000-0000-00009A6D0000}"/>
    <cellStyle name="s_OMNI_BalSheets_1_Broadleaf Watefall 12-31-09" xfId="28051" xr:uid="{00000000-0005-0000-0000-00009B6D0000}"/>
    <cellStyle name="s_OMNI_BalSheets_1_Broadleaf Watefall 6-30-09" xfId="28052" xr:uid="{00000000-0005-0000-0000-00009C6D0000}"/>
    <cellStyle name="s_OMNI_BalSheets_1_Broadleaf Watefall 9-30-09" xfId="28053" xr:uid="{00000000-0005-0000-0000-00009D6D0000}"/>
    <cellStyle name="s_OMNI_BalSheets_1_Carry Calculation" xfId="28054" xr:uid="{00000000-0005-0000-0000-00009E6D0000}"/>
    <cellStyle name="s_OMNI_BalSheets_1_Fund IV" xfId="28055" xr:uid="{00000000-0005-0000-0000-00009F6D0000}"/>
    <cellStyle name="s_OMNI_BalSheets_1_Fund IV 9.30.08" xfId="28056" xr:uid="{00000000-0005-0000-0000-0000A06D0000}"/>
    <cellStyle name="s_OMNI_BalSheets_1_Fund IV_1" xfId="28057" xr:uid="{00000000-0005-0000-0000-0000A16D0000}"/>
    <cellStyle name="s_OMNI_BalSheets_1_Funds IV Clawback Adjustment Summary" xfId="28058" xr:uid="{00000000-0005-0000-0000-0000A26D0000}"/>
    <cellStyle name="s_OMNI_BalSheets_1_Funds IV Clawback Value Adjustment" xfId="28059" xr:uid="{00000000-0005-0000-0000-0000A36D0000}"/>
    <cellStyle name="s_OMNI_BalSheets_1_IC Balance" xfId="28060" xr:uid="{00000000-0005-0000-0000-0000A46D0000}"/>
    <cellStyle name="s_OMNI_BalSheets_1_Invested Capital Debt Worksheet" xfId="28061" xr:uid="{00000000-0005-0000-0000-0000A56D0000}"/>
    <cellStyle name="s_OMNI_BalSheets_1_Invested Capital Debt Worksheet_1" xfId="28062" xr:uid="{00000000-0005-0000-0000-0000A66D0000}"/>
    <cellStyle name="s_OMNI_BalSheets_1_iPCs#1-Remaining" xfId="28063" xr:uid="{00000000-0005-0000-0000-0000A76D0000}"/>
    <cellStyle name="s_OMNI_BalSheets_1_MMF Income" xfId="28064" xr:uid="{00000000-0005-0000-0000-0000A86D0000}"/>
    <cellStyle name="s_OMNI_BalSheets_1_Partners Capital Q1 2009" xfId="28065" xr:uid="{00000000-0005-0000-0000-0000A96D0000}"/>
    <cellStyle name="s_OMNI_BalSheets_1_Placement Fee Summary 05-14-09 - Current (2)" xfId="28066" xr:uid="{00000000-0005-0000-0000-0000AA6D0000}"/>
    <cellStyle name="s_OMNI_BalSheets_1_PR Calc" xfId="28067" xr:uid="{00000000-0005-0000-0000-0000AB6D0000}"/>
    <cellStyle name="s_OMNI_BalSheets_1_RCIV Q3 2009 Capital Analysis CURRENT" xfId="28068" xr:uid="{00000000-0005-0000-0000-0000AC6D0000}"/>
    <cellStyle name="s_OMNI_BalSheets_1_Sheet1" xfId="28069" xr:uid="{00000000-0005-0000-0000-0000AD6D0000}"/>
    <cellStyle name="s_OMNI_BalSheets_2" xfId="28070" xr:uid="{00000000-0005-0000-0000-0000AE6D0000}"/>
    <cellStyle name="s_OMNI_BalSheets_2 10" xfId="28071" xr:uid="{00000000-0005-0000-0000-0000AF6D0000}"/>
    <cellStyle name="s_OMNI_BalSheets_2 11" xfId="28072" xr:uid="{00000000-0005-0000-0000-0000B06D0000}"/>
    <cellStyle name="s_OMNI_BalSheets_2 12" xfId="28073" xr:uid="{00000000-0005-0000-0000-0000B16D0000}"/>
    <cellStyle name="s_OMNI_BalSheets_2 13" xfId="28074" xr:uid="{00000000-0005-0000-0000-0000B26D0000}"/>
    <cellStyle name="s_OMNI_BalSheets_2 14" xfId="28075" xr:uid="{00000000-0005-0000-0000-0000B36D0000}"/>
    <cellStyle name="s_OMNI_BalSheets_2 15" xfId="28076" xr:uid="{00000000-0005-0000-0000-0000B46D0000}"/>
    <cellStyle name="s_OMNI_BalSheets_2 16" xfId="28077" xr:uid="{00000000-0005-0000-0000-0000B56D0000}"/>
    <cellStyle name="s_OMNI_BalSheets_2 17" xfId="28078" xr:uid="{00000000-0005-0000-0000-0000B66D0000}"/>
    <cellStyle name="s_OMNI_BalSheets_2 18" xfId="28079" xr:uid="{00000000-0005-0000-0000-0000B76D0000}"/>
    <cellStyle name="s_OMNI_BalSheets_2 19" xfId="28080" xr:uid="{00000000-0005-0000-0000-0000B86D0000}"/>
    <cellStyle name="s_OMNI_BalSheets_2 2" xfId="28081" xr:uid="{00000000-0005-0000-0000-0000B96D0000}"/>
    <cellStyle name="s_OMNI_BalSheets_2 2 2" xfId="28082" xr:uid="{00000000-0005-0000-0000-0000BA6D0000}"/>
    <cellStyle name="s_OMNI_BalSheets_2 20" xfId="28083" xr:uid="{00000000-0005-0000-0000-0000BB6D0000}"/>
    <cellStyle name="s_OMNI_BalSheets_2 21" xfId="28084" xr:uid="{00000000-0005-0000-0000-0000BC6D0000}"/>
    <cellStyle name="s_OMNI_BalSheets_2 22" xfId="28085" xr:uid="{00000000-0005-0000-0000-0000BD6D0000}"/>
    <cellStyle name="s_OMNI_BalSheets_2 23" xfId="28086" xr:uid="{00000000-0005-0000-0000-0000BE6D0000}"/>
    <cellStyle name="s_OMNI_BalSheets_2 23 2" xfId="28087" xr:uid="{00000000-0005-0000-0000-0000BF6D0000}"/>
    <cellStyle name="s_OMNI_BalSheets_2 3" xfId="28088" xr:uid="{00000000-0005-0000-0000-0000C06D0000}"/>
    <cellStyle name="s_OMNI_BalSheets_2 3 2" xfId="28089" xr:uid="{00000000-0005-0000-0000-0000C16D0000}"/>
    <cellStyle name="s_OMNI_BalSheets_2 4" xfId="28090" xr:uid="{00000000-0005-0000-0000-0000C26D0000}"/>
    <cellStyle name="s_OMNI_BalSheets_2 5" xfId="28091" xr:uid="{00000000-0005-0000-0000-0000C36D0000}"/>
    <cellStyle name="s_OMNI_BalSheets_2 6" xfId="28092" xr:uid="{00000000-0005-0000-0000-0000C46D0000}"/>
    <cellStyle name="s_OMNI_BalSheets_2 7" xfId="28093" xr:uid="{00000000-0005-0000-0000-0000C56D0000}"/>
    <cellStyle name="s_OMNI_BalSheets_2 8" xfId="28094" xr:uid="{00000000-0005-0000-0000-0000C66D0000}"/>
    <cellStyle name="s_OMNI_BalSheets_2 9" xfId="28095" xr:uid="{00000000-0005-0000-0000-0000C76D0000}"/>
    <cellStyle name="s_OMNI_BalSheets_2_{6} Clawback" xfId="28096" xr:uid="{00000000-0005-0000-0000-0000C86D0000}"/>
    <cellStyle name="s_OMNI_BalSheets_2_AIF IV Financial Highlights 12-31-08 v4" xfId="28097" xr:uid="{00000000-0005-0000-0000-0000C96D0000}"/>
    <cellStyle name="s_OMNI_BalSheets_2_AIF IV Financial Highlights 12-31-08 v4_Apollo Investment Fund IV  Q3 2009 Capital Analysis CURRENT" xfId="28098" xr:uid="{00000000-0005-0000-0000-0000CA6D0000}"/>
    <cellStyle name="s_OMNI_BalSheets_2_AIF IV Financial Highlights 12-31-08 v4_Apollo Investment Fund IV  Q3 2009 Capital Analysis iPCS &amp; URI Distribution" xfId="28099" xr:uid="{00000000-0005-0000-0000-0000CB6D0000}"/>
    <cellStyle name="s_OMNI_BalSheets_2_AIF IV Financial Highlights 12-31-08 v4_iPCs#1-Remaining" xfId="28100" xr:uid="{00000000-0005-0000-0000-0000CC6D0000}"/>
    <cellStyle name="s_OMNI_BalSheets_2_AIF VI - BondcoVI_Entities Invested Capital (CURRENT)" xfId="28101" xr:uid="{00000000-0005-0000-0000-0000CD6D0000}"/>
    <cellStyle name="s_OMNI_BalSheets_2_AIF VI Broadleaf Watefall Summary as of 6-30-09 FINAL" xfId="28102" xr:uid="{00000000-0005-0000-0000-0000CE6D0000}"/>
    <cellStyle name="s_OMNI_BalSheets_2_AIF VI Broadleaf Watefall Summary as of 9-30-09" xfId="28103" xr:uid="{00000000-0005-0000-0000-0000CF6D0000}"/>
    <cellStyle name="s_OMNI_BalSheets_2_Andy Affrick - Schedulev2" xfId="28104" xr:uid="{00000000-0005-0000-0000-0000D06D0000}"/>
    <cellStyle name="s_OMNI_BalSheets_2_Apollo Advisors IV 12-31-08 GAAP TB Final" xfId="28105" xr:uid="{00000000-0005-0000-0000-0000D16D0000}"/>
    <cellStyle name="s_OMNI_BalSheets_2_Apollo Advisors IV 12-31-08 TB (Revised for Aggr PR)" xfId="28106" xr:uid="{00000000-0005-0000-0000-0000D26D0000}"/>
    <cellStyle name="s_OMNI_BalSheets_2_Apollo Advisors IV 6-30-09 GAAP TB" xfId="28107" xr:uid="{00000000-0005-0000-0000-0000D36D0000}"/>
    <cellStyle name="s_OMNI_BalSheets_2_Apollo Investment Fund IV  April Priority Return" xfId="28108" xr:uid="{00000000-0005-0000-0000-0000D46D0000}"/>
    <cellStyle name="s_OMNI_BalSheets_2_Apollo Investment Fund IV  Q1 2009 Capital Analysis 5-22-09 with GAAP" xfId="28109" xr:uid="{00000000-0005-0000-0000-0000D56D0000}"/>
    <cellStyle name="s_OMNI_BalSheets_2_Apollo Investment Fund IV  Q1 2009 Capital Analysis GAAP" xfId="28110" xr:uid="{00000000-0005-0000-0000-0000D66D0000}"/>
    <cellStyle name="s_OMNI_BalSheets_2_Apollo Investment Fund IV  Q2 2009 Capital Analysis CURRENT" xfId="28111" xr:uid="{00000000-0005-0000-0000-0000D76D0000}"/>
    <cellStyle name="s_OMNI_BalSheets_2_Apollo Investment Fund IV  Q3 2009 Capital Analysis CURRENT" xfId="28112" xr:uid="{00000000-0005-0000-0000-0000D86D0000}"/>
    <cellStyle name="s_OMNI_BalSheets_2_Apollo Investment Fund IV  Q3 2009 Capital Analysis iPCS &amp; URI Distribution" xfId="28113" xr:uid="{00000000-0005-0000-0000-0000D96D0000}"/>
    <cellStyle name="s_OMNI_BalSheets_2_Apollo Investment Fund IV Q1 2009 Capital Analysis PR CORRECTED 6-30-09" xfId="28114" xr:uid="{00000000-0005-0000-0000-0000DA6D0000}"/>
    <cellStyle name="s_OMNI_BalSheets_2_Broadleaf Watefall 12-31-09" xfId="28115" xr:uid="{00000000-0005-0000-0000-0000DB6D0000}"/>
    <cellStyle name="s_OMNI_BalSheets_2_Broadleaf Watefall 6-30-09" xfId="28116" xr:uid="{00000000-0005-0000-0000-0000DC6D0000}"/>
    <cellStyle name="s_OMNI_BalSheets_2_Broadleaf Watefall 9-30-09" xfId="28117" xr:uid="{00000000-0005-0000-0000-0000DD6D0000}"/>
    <cellStyle name="s_OMNI_BalSheets_2_Carry Calculation" xfId="28118" xr:uid="{00000000-0005-0000-0000-0000DE6D0000}"/>
    <cellStyle name="s_OMNI_BalSheets_2_Fund IV" xfId="28119" xr:uid="{00000000-0005-0000-0000-0000DF6D0000}"/>
    <cellStyle name="s_OMNI_BalSheets_2_Fund IV 9.30.08" xfId="28120" xr:uid="{00000000-0005-0000-0000-0000E06D0000}"/>
    <cellStyle name="s_OMNI_BalSheets_2_Fund IV_1" xfId="28121" xr:uid="{00000000-0005-0000-0000-0000E16D0000}"/>
    <cellStyle name="s_OMNI_BalSheets_2_Funds IV Clawback Adjustment Summary" xfId="28122" xr:uid="{00000000-0005-0000-0000-0000E26D0000}"/>
    <cellStyle name="s_OMNI_BalSheets_2_Funds IV Clawback Value Adjustment" xfId="28123" xr:uid="{00000000-0005-0000-0000-0000E36D0000}"/>
    <cellStyle name="s_OMNI_BalSheets_2_IC Balance" xfId="28124" xr:uid="{00000000-0005-0000-0000-0000E46D0000}"/>
    <cellStyle name="s_OMNI_BalSheets_2_Invested Capital Debt Worksheet" xfId="28125" xr:uid="{00000000-0005-0000-0000-0000E56D0000}"/>
    <cellStyle name="s_OMNI_BalSheets_2_Invested Capital Debt Worksheet_1" xfId="28126" xr:uid="{00000000-0005-0000-0000-0000E66D0000}"/>
    <cellStyle name="s_OMNI_BalSheets_2_iPCs#1-Remaining" xfId="28127" xr:uid="{00000000-0005-0000-0000-0000E76D0000}"/>
    <cellStyle name="s_OMNI_BalSheets_2_MMF Income" xfId="28128" xr:uid="{00000000-0005-0000-0000-0000E86D0000}"/>
    <cellStyle name="s_OMNI_BalSheets_2_Partners Capital Q1 2009" xfId="28129" xr:uid="{00000000-0005-0000-0000-0000E96D0000}"/>
    <cellStyle name="s_OMNI_BalSheets_2_Placement Fee Summary 05-14-09 - Current (2)" xfId="28130" xr:uid="{00000000-0005-0000-0000-0000EA6D0000}"/>
    <cellStyle name="s_OMNI_BalSheets_2_PR Calc" xfId="28131" xr:uid="{00000000-0005-0000-0000-0000EB6D0000}"/>
    <cellStyle name="s_OMNI_BalSheets_2_RCIV Q3 2009 Capital Analysis CURRENT" xfId="28132" xr:uid="{00000000-0005-0000-0000-0000EC6D0000}"/>
    <cellStyle name="s_OMNI_BalSheets_2_Sheet1" xfId="28133" xr:uid="{00000000-0005-0000-0000-0000ED6D0000}"/>
    <cellStyle name="s_OMNI_BalSheets_AIF IV Financial Highlights 12-31-08 v4" xfId="28134" xr:uid="{00000000-0005-0000-0000-0000EE6D0000}"/>
    <cellStyle name="s_OMNI_BalSheets_AIF IV Financial Highlights 12-31-08 v4_Apollo Investment Fund IV  Q3 2009 Capital Analysis CURRENT" xfId="28135" xr:uid="{00000000-0005-0000-0000-0000EF6D0000}"/>
    <cellStyle name="s_OMNI_BalSheets_AIF IV Financial Highlights 12-31-08 v4_Apollo Investment Fund IV  Q3 2009 Capital Analysis iPCS &amp; URI Distribution" xfId="28136" xr:uid="{00000000-0005-0000-0000-0000F06D0000}"/>
    <cellStyle name="s_OMNI_BalSheets_AIF IV Financial Highlights 12-31-08 v4_iPCs#1-Remaining" xfId="28137" xr:uid="{00000000-0005-0000-0000-0000F16D0000}"/>
    <cellStyle name="s_OMNI_BalSheets_AIF VI - BondcoVI_Entities Invested Capital (CURRENT)" xfId="28138" xr:uid="{00000000-0005-0000-0000-0000F26D0000}"/>
    <cellStyle name="s_OMNI_BalSheets_AIF VI Broadleaf Watefall Summary as of 6-30-09 FINAL" xfId="28139" xr:uid="{00000000-0005-0000-0000-0000F36D0000}"/>
    <cellStyle name="s_OMNI_BalSheets_AIF VI Broadleaf Watefall Summary as of 9-30-09" xfId="28140" xr:uid="{00000000-0005-0000-0000-0000F46D0000}"/>
    <cellStyle name="s_OMNI_BalSheets_Andy Affrick - Schedulev2" xfId="28141" xr:uid="{00000000-0005-0000-0000-0000F56D0000}"/>
    <cellStyle name="s_OMNI_BalSheets_Apollo Investment Fund IV  April Priority Return" xfId="28142" xr:uid="{00000000-0005-0000-0000-0000F66D0000}"/>
    <cellStyle name="s_OMNI_BalSheets_Apollo Investment Fund IV  Q1 2009 Capital Analysis 5-22-09 with GAAP" xfId="28143" xr:uid="{00000000-0005-0000-0000-0000F76D0000}"/>
    <cellStyle name="s_OMNI_BalSheets_Apollo Investment Fund IV  Q1 2009 Capital Analysis GAAP" xfId="28144" xr:uid="{00000000-0005-0000-0000-0000F86D0000}"/>
    <cellStyle name="s_OMNI_BalSheets_Apollo Investment Fund IV  Q2 2009 Capital Analysis CURRENT" xfId="28145" xr:uid="{00000000-0005-0000-0000-0000F96D0000}"/>
    <cellStyle name="s_OMNI_BalSheets_Apollo Investment Fund IV  Q3 2009 Capital Analysis CURRENT" xfId="28146" xr:uid="{00000000-0005-0000-0000-0000FA6D0000}"/>
    <cellStyle name="s_OMNI_BalSheets_Apollo Investment Fund IV  Q3 2009 Capital Analysis iPCS &amp; URI Distribution" xfId="28147" xr:uid="{00000000-0005-0000-0000-0000FB6D0000}"/>
    <cellStyle name="s_OMNI_BalSheets_Apollo Investment Fund IV Q1 2009 Capital Analysis PR CORRECTED 6-30-09" xfId="28148" xr:uid="{00000000-0005-0000-0000-0000FC6D0000}"/>
    <cellStyle name="s_OMNI_BalSheets_Broadleaf Watefall 12-31-09" xfId="28149" xr:uid="{00000000-0005-0000-0000-0000FD6D0000}"/>
    <cellStyle name="s_OMNI_BalSheets_Broadleaf Watefall 6-30-09" xfId="28150" xr:uid="{00000000-0005-0000-0000-0000FE6D0000}"/>
    <cellStyle name="s_OMNI_BalSheets_Broadleaf Watefall 9-30-09" xfId="28151" xr:uid="{00000000-0005-0000-0000-0000FF6D0000}"/>
    <cellStyle name="s_OMNI_BalSheets_Carry Calculation" xfId="28152" xr:uid="{00000000-0005-0000-0000-0000006E0000}"/>
    <cellStyle name="s_OMNI_BalSheets_Fund IV" xfId="28153" xr:uid="{00000000-0005-0000-0000-0000016E0000}"/>
    <cellStyle name="s_OMNI_BalSheets_Fund IV 9.30.08" xfId="28154" xr:uid="{00000000-0005-0000-0000-0000026E0000}"/>
    <cellStyle name="s_OMNI_BalSheets_Fund IV_1" xfId="28155" xr:uid="{00000000-0005-0000-0000-0000036E0000}"/>
    <cellStyle name="s_OMNI_BalSheets_Funds IV Clawback Adjustment Summary" xfId="28156" xr:uid="{00000000-0005-0000-0000-0000046E0000}"/>
    <cellStyle name="s_OMNI_BalSheets_Funds IV Clawback Value Adjustment" xfId="28157" xr:uid="{00000000-0005-0000-0000-0000056E0000}"/>
    <cellStyle name="s_OMNI_BalSheets_IC Balance" xfId="28158" xr:uid="{00000000-0005-0000-0000-0000066E0000}"/>
    <cellStyle name="s_OMNI_BalSheets_Invested Capital Debt Worksheet" xfId="28159" xr:uid="{00000000-0005-0000-0000-0000076E0000}"/>
    <cellStyle name="s_OMNI_BalSheets_iPCs#1-Remaining" xfId="28160" xr:uid="{00000000-0005-0000-0000-0000086E0000}"/>
    <cellStyle name="s_OMNI_BalSheets_MMF Income" xfId="28161" xr:uid="{00000000-0005-0000-0000-0000096E0000}"/>
    <cellStyle name="s_OMNI_BalSheets_Partners Capital Q1 2009" xfId="28162" xr:uid="{00000000-0005-0000-0000-00000A6E0000}"/>
    <cellStyle name="s_OMNI_BalSheets_Placement Fee Summary 05-14-09 - Current (2)" xfId="28163" xr:uid="{00000000-0005-0000-0000-00000B6E0000}"/>
    <cellStyle name="s_OMNI_BalSheets_PR Calc" xfId="28164" xr:uid="{00000000-0005-0000-0000-00000C6E0000}"/>
    <cellStyle name="s_OMNI_BalSheets_RCIV Q3 2009 Capital Analysis CURRENT" xfId="28165" xr:uid="{00000000-0005-0000-0000-00000D6E0000}"/>
    <cellStyle name="s_OMNI_Earnings" xfId="28166" xr:uid="{00000000-0005-0000-0000-00000E6E0000}"/>
    <cellStyle name="s_OMNI_Earnings (2)" xfId="28167" xr:uid="{00000000-0005-0000-0000-00000F6E0000}"/>
    <cellStyle name="s_OMNI_Earnings (2) 10" xfId="28168" xr:uid="{00000000-0005-0000-0000-0000106E0000}"/>
    <cellStyle name="s_OMNI_Earnings (2) 11" xfId="28169" xr:uid="{00000000-0005-0000-0000-0000116E0000}"/>
    <cellStyle name="s_OMNI_Earnings (2) 12" xfId="28170" xr:uid="{00000000-0005-0000-0000-0000126E0000}"/>
    <cellStyle name="s_OMNI_Earnings (2) 13" xfId="28171" xr:uid="{00000000-0005-0000-0000-0000136E0000}"/>
    <cellStyle name="s_OMNI_Earnings (2) 14" xfId="28172" xr:uid="{00000000-0005-0000-0000-0000146E0000}"/>
    <cellStyle name="s_OMNI_Earnings (2) 15" xfId="28173" xr:uid="{00000000-0005-0000-0000-0000156E0000}"/>
    <cellStyle name="s_OMNI_Earnings (2) 16" xfId="28174" xr:uid="{00000000-0005-0000-0000-0000166E0000}"/>
    <cellStyle name="s_OMNI_Earnings (2) 17" xfId="28175" xr:uid="{00000000-0005-0000-0000-0000176E0000}"/>
    <cellStyle name="s_OMNI_Earnings (2) 18" xfId="28176" xr:uid="{00000000-0005-0000-0000-0000186E0000}"/>
    <cellStyle name="s_OMNI_Earnings (2) 19" xfId="28177" xr:uid="{00000000-0005-0000-0000-0000196E0000}"/>
    <cellStyle name="s_OMNI_Earnings (2) 2" xfId="28178" xr:uid="{00000000-0005-0000-0000-00001A6E0000}"/>
    <cellStyle name="s_OMNI_Earnings (2) 2 2" xfId="28179" xr:uid="{00000000-0005-0000-0000-00001B6E0000}"/>
    <cellStyle name="s_OMNI_Earnings (2) 20" xfId="28180" xr:uid="{00000000-0005-0000-0000-00001C6E0000}"/>
    <cellStyle name="s_OMNI_Earnings (2) 21" xfId="28181" xr:uid="{00000000-0005-0000-0000-00001D6E0000}"/>
    <cellStyle name="s_OMNI_Earnings (2) 22" xfId="28182" xr:uid="{00000000-0005-0000-0000-00001E6E0000}"/>
    <cellStyle name="s_OMNI_Earnings (2) 23" xfId="28183" xr:uid="{00000000-0005-0000-0000-00001F6E0000}"/>
    <cellStyle name="s_OMNI_Earnings (2) 23 2" xfId="28184" xr:uid="{00000000-0005-0000-0000-0000206E0000}"/>
    <cellStyle name="s_OMNI_Earnings (2) 3" xfId="28185" xr:uid="{00000000-0005-0000-0000-0000216E0000}"/>
    <cellStyle name="s_OMNI_Earnings (2) 3 2" xfId="28186" xr:uid="{00000000-0005-0000-0000-0000226E0000}"/>
    <cellStyle name="s_OMNI_Earnings (2) 4" xfId="28187" xr:uid="{00000000-0005-0000-0000-0000236E0000}"/>
    <cellStyle name="s_OMNI_Earnings (2) 5" xfId="28188" xr:uid="{00000000-0005-0000-0000-0000246E0000}"/>
    <cellStyle name="s_OMNI_Earnings (2) 6" xfId="28189" xr:uid="{00000000-0005-0000-0000-0000256E0000}"/>
    <cellStyle name="s_OMNI_Earnings (2) 7" xfId="28190" xr:uid="{00000000-0005-0000-0000-0000266E0000}"/>
    <cellStyle name="s_OMNI_Earnings (2) 8" xfId="28191" xr:uid="{00000000-0005-0000-0000-0000276E0000}"/>
    <cellStyle name="s_OMNI_Earnings (2) 9" xfId="28192" xr:uid="{00000000-0005-0000-0000-0000286E0000}"/>
    <cellStyle name="s_OMNI_Earnings (2)_{6} Clawback" xfId="28193" xr:uid="{00000000-0005-0000-0000-0000296E0000}"/>
    <cellStyle name="s_OMNI_Earnings (2)_1" xfId="28194" xr:uid="{00000000-0005-0000-0000-00002A6E0000}"/>
    <cellStyle name="s_OMNI_Earnings (2)_1 10" xfId="28195" xr:uid="{00000000-0005-0000-0000-00002B6E0000}"/>
    <cellStyle name="s_OMNI_Earnings (2)_1 11" xfId="28196" xr:uid="{00000000-0005-0000-0000-00002C6E0000}"/>
    <cellStyle name="s_OMNI_Earnings (2)_1 12" xfId="28197" xr:uid="{00000000-0005-0000-0000-00002D6E0000}"/>
    <cellStyle name="s_OMNI_Earnings (2)_1 13" xfId="28198" xr:uid="{00000000-0005-0000-0000-00002E6E0000}"/>
    <cellStyle name="s_OMNI_Earnings (2)_1 14" xfId="28199" xr:uid="{00000000-0005-0000-0000-00002F6E0000}"/>
    <cellStyle name="s_OMNI_Earnings (2)_1 15" xfId="28200" xr:uid="{00000000-0005-0000-0000-0000306E0000}"/>
    <cellStyle name="s_OMNI_Earnings (2)_1 16" xfId="28201" xr:uid="{00000000-0005-0000-0000-0000316E0000}"/>
    <cellStyle name="s_OMNI_Earnings (2)_1 17" xfId="28202" xr:uid="{00000000-0005-0000-0000-0000326E0000}"/>
    <cellStyle name="s_OMNI_Earnings (2)_1 18" xfId="28203" xr:uid="{00000000-0005-0000-0000-0000336E0000}"/>
    <cellStyle name="s_OMNI_Earnings (2)_1 19" xfId="28204" xr:uid="{00000000-0005-0000-0000-0000346E0000}"/>
    <cellStyle name="s_OMNI_Earnings (2)_1 2" xfId="28205" xr:uid="{00000000-0005-0000-0000-0000356E0000}"/>
    <cellStyle name="s_OMNI_Earnings (2)_1 2 2" xfId="28206" xr:uid="{00000000-0005-0000-0000-0000366E0000}"/>
    <cellStyle name="s_OMNI_Earnings (2)_1 20" xfId="28207" xr:uid="{00000000-0005-0000-0000-0000376E0000}"/>
    <cellStyle name="s_OMNI_Earnings (2)_1 21" xfId="28208" xr:uid="{00000000-0005-0000-0000-0000386E0000}"/>
    <cellStyle name="s_OMNI_Earnings (2)_1 22" xfId="28209" xr:uid="{00000000-0005-0000-0000-0000396E0000}"/>
    <cellStyle name="s_OMNI_Earnings (2)_1 23" xfId="28210" xr:uid="{00000000-0005-0000-0000-00003A6E0000}"/>
    <cellStyle name="s_OMNI_Earnings (2)_1 23 2" xfId="28211" xr:uid="{00000000-0005-0000-0000-00003B6E0000}"/>
    <cellStyle name="s_OMNI_Earnings (2)_1 3" xfId="28212" xr:uid="{00000000-0005-0000-0000-00003C6E0000}"/>
    <cellStyle name="s_OMNI_Earnings (2)_1 3 2" xfId="28213" xr:uid="{00000000-0005-0000-0000-00003D6E0000}"/>
    <cellStyle name="s_OMNI_Earnings (2)_1 4" xfId="28214" xr:uid="{00000000-0005-0000-0000-00003E6E0000}"/>
    <cellStyle name="s_OMNI_Earnings (2)_1 5" xfId="28215" xr:uid="{00000000-0005-0000-0000-00003F6E0000}"/>
    <cellStyle name="s_OMNI_Earnings (2)_1 6" xfId="28216" xr:uid="{00000000-0005-0000-0000-0000406E0000}"/>
    <cellStyle name="s_OMNI_Earnings (2)_1 7" xfId="28217" xr:uid="{00000000-0005-0000-0000-0000416E0000}"/>
    <cellStyle name="s_OMNI_Earnings (2)_1 8" xfId="28218" xr:uid="{00000000-0005-0000-0000-0000426E0000}"/>
    <cellStyle name="s_OMNI_Earnings (2)_1 9" xfId="28219" xr:uid="{00000000-0005-0000-0000-0000436E0000}"/>
    <cellStyle name="s_OMNI_Earnings (2)_1_{6} Clawback" xfId="28220" xr:uid="{00000000-0005-0000-0000-0000446E0000}"/>
    <cellStyle name="s_OMNI_Earnings (2)_1_AIF IV Financial Highlights 12-31-08 v4" xfId="28221" xr:uid="{00000000-0005-0000-0000-0000456E0000}"/>
    <cellStyle name="s_OMNI_Earnings (2)_1_AIF IV Financial Highlights 12-31-08 v4_Apollo Investment Fund IV  Q3 2009 Capital Analysis CURRENT" xfId="28222" xr:uid="{00000000-0005-0000-0000-0000466E0000}"/>
    <cellStyle name="s_OMNI_Earnings (2)_1_AIF IV Financial Highlights 12-31-08 v4_Apollo Investment Fund IV  Q3 2009 Capital Analysis iPCS &amp; URI Distribution" xfId="28223" xr:uid="{00000000-0005-0000-0000-0000476E0000}"/>
    <cellStyle name="s_OMNI_Earnings (2)_1_AIF IV Financial Highlights 12-31-08 v4_iPCs#1-Remaining" xfId="28224" xr:uid="{00000000-0005-0000-0000-0000486E0000}"/>
    <cellStyle name="s_OMNI_Earnings (2)_1_AIF VI - BondcoVI_Entities Invested Capital (CURRENT)" xfId="28225" xr:uid="{00000000-0005-0000-0000-0000496E0000}"/>
    <cellStyle name="s_OMNI_Earnings (2)_1_AIF VI Broadleaf Watefall Summary as of 6-30-09 FINAL" xfId="28226" xr:uid="{00000000-0005-0000-0000-00004A6E0000}"/>
    <cellStyle name="s_OMNI_Earnings (2)_1_AIF VI Broadleaf Watefall Summary as of 9-30-09" xfId="28227" xr:uid="{00000000-0005-0000-0000-00004B6E0000}"/>
    <cellStyle name="s_OMNI_Earnings (2)_1_Andy Affrick - Schedulev2" xfId="28228" xr:uid="{00000000-0005-0000-0000-00004C6E0000}"/>
    <cellStyle name="s_OMNI_Earnings (2)_1_Apollo Advisors IV 12-31-08 GAAP TB Final" xfId="28229" xr:uid="{00000000-0005-0000-0000-00004D6E0000}"/>
    <cellStyle name="s_OMNI_Earnings (2)_1_Apollo Advisors IV 12-31-08 TB (Revised for Aggr PR)" xfId="28230" xr:uid="{00000000-0005-0000-0000-00004E6E0000}"/>
    <cellStyle name="s_OMNI_Earnings (2)_1_Apollo Advisors IV 6-30-09 GAAP TB" xfId="28231" xr:uid="{00000000-0005-0000-0000-00004F6E0000}"/>
    <cellStyle name="s_OMNI_Earnings (2)_1_Apollo Investment Fund IV  April Priority Return" xfId="28232" xr:uid="{00000000-0005-0000-0000-0000506E0000}"/>
    <cellStyle name="s_OMNI_Earnings (2)_1_Apollo Investment Fund IV  Q1 2009 Capital Analysis 5-22-09 with GAAP" xfId="28233" xr:uid="{00000000-0005-0000-0000-0000516E0000}"/>
    <cellStyle name="s_OMNI_Earnings (2)_1_Apollo Investment Fund IV  Q1 2009 Capital Analysis GAAP" xfId="28234" xr:uid="{00000000-0005-0000-0000-0000526E0000}"/>
    <cellStyle name="s_OMNI_Earnings (2)_1_Apollo Investment Fund IV  Q2 2009 Capital Analysis CURRENT" xfId="28235" xr:uid="{00000000-0005-0000-0000-0000536E0000}"/>
    <cellStyle name="s_OMNI_Earnings (2)_1_Apollo Investment Fund IV  Q3 2009 Capital Analysis CURRENT" xfId="28236" xr:uid="{00000000-0005-0000-0000-0000546E0000}"/>
    <cellStyle name="s_OMNI_Earnings (2)_1_Apollo Investment Fund IV  Q3 2009 Capital Analysis iPCS &amp; URI Distribution" xfId="28237" xr:uid="{00000000-0005-0000-0000-0000556E0000}"/>
    <cellStyle name="s_OMNI_Earnings (2)_1_Apollo Investment Fund IV Q1 2009 Capital Analysis PR CORRECTED 6-30-09" xfId="28238" xr:uid="{00000000-0005-0000-0000-0000566E0000}"/>
    <cellStyle name="s_OMNI_Earnings (2)_1_Broadleaf Watefall 12-31-09" xfId="28239" xr:uid="{00000000-0005-0000-0000-0000576E0000}"/>
    <cellStyle name="s_OMNI_Earnings (2)_1_Broadleaf Watefall 6-30-09" xfId="28240" xr:uid="{00000000-0005-0000-0000-0000586E0000}"/>
    <cellStyle name="s_OMNI_Earnings (2)_1_Broadleaf Watefall 9-30-09" xfId="28241" xr:uid="{00000000-0005-0000-0000-0000596E0000}"/>
    <cellStyle name="s_OMNI_Earnings (2)_1_Carry Calculation" xfId="28242" xr:uid="{00000000-0005-0000-0000-00005A6E0000}"/>
    <cellStyle name="s_OMNI_Earnings (2)_1_Fund IV" xfId="28243" xr:uid="{00000000-0005-0000-0000-00005B6E0000}"/>
    <cellStyle name="s_OMNI_Earnings (2)_1_Fund IV 9.30.08" xfId="28244" xr:uid="{00000000-0005-0000-0000-00005C6E0000}"/>
    <cellStyle name="s_OMNI_Earnings (2)_1_Fund IV_1" xfId="28245" xr:uid="{00000000-0005-0000-0000-00005D6E0000}"/>
    <cellStyle name="s_OMNI_Earnings (2)_1_Funds IV Clawback Adjustment Summary" xfId="28246" xr:uid="{00000000-0005-0000-0000-00005E6E0000}"/>
    <cellStyle name="s_OMNI_Earnings (2)_1_Funds IV Clawback Value Adjustment" xfId="28247" xr:uid="{00000000-0005-0000-0000-00005F6E0000}"/>
    <cellStyle name="s_OMNI_Earnings (2)_1_IC Balance" xfId="28248" xr:uid="{00000000-0005-0000-0000-0000606E0000}"/>
    <cellStyle name="s_OMNI_Earnings (2)_1_Invested Capital Debt Worksheet" xfId="28249" xr:uid="{00000000-0005-0000-0000-0000616E0000}"/>
    <cellStyle name="s_OMNI_Earnings (2)_1_Invested Capital Debt Worksheet_1" xfId="28250" xr:uid="{00000000-0005-0000-0000-0000626E0000}"/>
    <cellStyle name="s_OMNI_Earnings (2)_1_iPCs#1-Remaining" xfId="28251" xr:uid="{00000000-0005-0000-0000-0000636E0000}"/>
    <cellStyle name="s_OMNI_Earnings (2)_1_MMF Income" xfId="28252" xr:uid="{00000000-0005-0000-0000-0000646E0000}"/>
    <cellStyle name="s_OMNI_Earnings (2)_1_Partners Capital Q1 2009" xfId="28253" xr:uid="{00000000-0005-0000-0000-0000656E0000}"/>
    <cellStyle name="s_OMNI_Earnings (2)_1_Placement Fee Summary 05-14-09 - Current (2)" xfId="28254" xr:uid="{00000000-0005-0000-0000-0000666E0000}"/>
    <cellStyle name="s_OMNI_Earnings (2)_1_PR Calc" xfId="28255" xr:uid="{00000000-0005-0000-0000-0000676E0000}"/>
    <cellStyle name="s_OMNI_Earnings (2)_1_RCIV Q3 2009 Capital Analysis CURRENT" xfId="28256" xr:uid="{00000000-0005-0000-0000-0000686E0000}"/>
    <cellStyle name="s_OMNI_Earnings (2)_1_Sheet1" xfId="28257" xr:uid="{00000000-0005-0000-0000-0000696E0000}"/>
    <cellStyle name="s_OMNI_Earnings (2)_2" xfId="28258" xr:uid="{00000000-0005-0000-0000-00006A6E0000}"/>
    <cellStyle name="s_OMNI_Earnings (2)_2 10" xfId="28259" xr:uid="{00000000-0005-0000-0000-00006B6E0000}"/>
    <cellStyle name="s_OMNI_Earnings (2)_2 11" xfId="28260" xr:uid="{00000000-0005-0000-0000-00006C6E0000}"/>
    <cellStyle name="s_OMNI_Earnings (2)_2 12" xfId="28261" xr:uid="{00000000-0005-0000-0000-00006D6E0000}"/>
    <cellStyle name="s_OMNI_Earnings (2)_2 13" xfId="28262" xr:uid="{00000000-0005-0000-0000-00006E6E0000}"/>
    <cellStyle name="s_OMNI_Earnings (2)_2 14" xfId="28263" xr:uid="{00000000-0005-0000-0000-00006F6E0000}"/>
    <cellStyle name="s_OMNI_Earnings (2)_2 15" xfId="28264" xr:uid="{00000000-0005-0000-0000-0000706E0000}"/>
    <cellStyle name="s_OMNI_Earnings (2)_2 16" xfId="28265" xr:uid="{00000000-0005-0000-0000-0000716E0000}"/>
    <cellStyle name="s_OMNI_Earnings (2)_2 17" xfId="28266" xr:uid="{00000000-0005-0000-0000-0000726E0000}"/>
    <cellStyle name="s_OMNI_Earnings (2)_2 18" xfId="28267" xr:uid="{00000000-0005-0000-0000-0000736E0000}"/>
    <cellStyle name="s_OMNI_Earnings (2)_2 19" xfId="28268" xr:uid="{00000000-0005-0000-0000-0000746E0000}"/>
    <cellStyle name="s_OMNI_Earnings (2)_2 2" xfId="28269" xr:uid="{00000000-0005-0000-0000-0000756E0000}"/>
    <cellStyle name="s_OMNI_Earnings (2)_2 2 2" xfId="28270" xr:uid="{00000000-0005-0000-0000-0000766E0000}"/>
    <cellStyle name="s_OMNI_Earnings (2)_2 20" xfId="28271" xr:uid="{00000000-0005-0000-0000-0000776E0000}"/>
    <cellStyle name="s_OMNI_Earnings (2)_2 21" xfId="28272" xr:uid="{00000000-0005-0000-0000-0000786E0000}"/>
    <cellStyle name="s_OMNI_Earnings (2)_2 22" xfId="28273" xr:uid="{00000000-0005-0000-0000-0000796E0000}"/>
    <cellStyle name="s_OMNI_Earnings (2)_2 23" xfId="28274" xr:uid="{00000000-0005-0000-0000-00007A6E0000}"/>
    <cellStyle name="s_OMNI_Earnings (2)_2 23 2" xfId="28275" xr:uid="{00000000-0005-0000-0000-00007B6E0000}"/>
    <cellStyle name="s_OMNI_Earnings (2)_2 3" xfId="28276" xr:uid="{00000000-0005-0000-0000-00007C6E0000}"/>
    <cellStyle name="s_OMNI_Earnings (2)_2 3 2" xfId="28277" xr:uid="{00000000-0005-0000-0000-00007D6E0000}"/>
    <cellStyle name="s_OMNI_Earnings (2)_2 4" xfId="28278" xr:uid="{00000000-0005-0000-0000-00007E6E0000}"/>
    <cellStyle name="s_OMNI_Earnings (2)_2 5" xfId="28279" xr:uid="{00000000-0005-0000-0000-00007F6E0000}"/>
    <cellStyle name="s_OMNI_Earnings (2)_2 6" xfId="28280" xr:uid="{00000000-0005-0000-0000-0000806E0000}"/>
    <cellStyle name="s_OMNI_Earnings (2)_2 7" xfId="28281" xr:uid="{00000000-0005-0000-0000-0000816E0000}"/>
    <cellStyle name="s_OMNI_Earnings (2)_2 8" xfId="28282" xr:uid="{00000000-0005-0000-0000-0000826E0000}"/>
    <cellStyle name="s_OMNI_Earnings (2)_2 9" xfId="28283" xr:uid="{00000000-0005-0000-0000-0000836E0000}"/>
    <cellStyle name="s_OMNI_Earnings (2)_2_{6} Clawback" xfId="28284" xr:uid="{00000000-0005-0000-0000-0000846E0000}"/>
    <cellStyle name="s_OMNI_Earnings (2)_2_AIF IV Financial Highlights 12-31-08 v4" xfId="28285" xr:uid="{00000000-0005-0000-0000-0000856E0000}"/>
    <cellStyle name="s_OMNI_Earnings (2)_2_AIF IV Financial Highlights 12-31-08 v4_Apollo Investment Fund IV  Q3 2009 Capital Analysis CURRENT" xfId="28286" xr:uid="{00000000-0005-0000-0000-0000866E0000}"/>
    <cellStyle name="s_OMNI_Earnings (2)_2_AIF IV Financial Highlights 12-31-08 v4_Apollo Investment Fund IV  Q3 2009 Capital Analysis iPCS &amp; URI Distribution" xfId="28287" xr:uid="{00000000-0005-0000-0000-0000876E0000}"/>
    <cellStyle name="s_OMNI_Earnings (2)_2_AIF IV Financial Highlights 12-31-08 v4_iPCs#1-Remaining" xfId="28288" xr:uid="{00000000-0005-0000-0000-0000886E0000}"/>
    <cellStyle name="s_OMNI_Earnings (2)_2_AIF VI - BondcoVI_Entities Invested Capital (CURRENT)" xfId="28289" xr:uid="{00000000-0005-0000-0000-0000896E0000}"/>
    <cellStyle name="s_OMNI_Earnings (2)_2_AIF VI Broadleaf Watefall Summary as of 6-30-09 FINAL" xfId="28290" xr:uid="{00000000-0005-0000-0000-00008A6E0000}"/>
    <cellStyle name="s_OMNI_Earnings (2)_2_AIF VI Broadleaf Watefall Summary as of 9-30-09" xfId="28291" xr:uid="{00000000-0005-0000-0000-00008B6E0000}"/>
    <cellStyle name="s_OMNI_Earnings (2)_2_Andy Affrick - Schedulev2" xfId="28292" xr:uid="{00000000-0005-0000-0000-00008C6E0000}"/>
    <cellStyle name="s_OMNI_Earnings (2)_2_Apollo Investment Fund IV  April Priority Return" xfId="28293" xr:uid="{00000000-0005-0000-0000-00008D6E0000}"/>
    <cellStyle name="s_OMNI_Earnings (2)_2_Apollo Investment Fund IV  Q1 2009 Capital Analysis 5-22-09 with GAAP" xfId="28294" xr:uid="{00000000-0005-0000-0000-00008E6E0000}"/>
    <cellStyle name="s_OMNI_Earnings (2)_2_Apollo Investment Fund IV  Q1 2009 Capital Analysis GAAP" xfId="28295" xr:uid="{00000000-0005-0000-0000-00008F6E0000}"/>
    <cellStyle name="s_OMNI_Earnings (2)_2_Apollo Investment Fund IV  Q2 2009 Capital Analysis CURRENT" xfId="28296" xr:uid="{00000000-0005-0000-0000-0000906E0000}"/>
    <cellStyle name="s_OMNI_Earnings (2)_2_Apollo Investment Fund IV  Q3 2009 Capital Analysis CURRENT" xfId="28297" xr:uid="{00000000-0005-0000-0000-0000916E0000}"/>
    <cellStyle name="s_OMNI_Earnings (2)_2_Apollo Investment Fund IV  Q3 2009 Capital Analysis iPCS &amp; URI Distribution" xfId="28298" xr:uid="{00000000-0005-0000-0000-0000926E0000}"/>
    <cellStyle name="s_OMNI_Earnings (2)_2_Apollo Investment Fund IV Q1 2009 Capital Analysis PR CORRECTED 6-30-09" xfId="28299" xr:uid="{00000000-0005-0000-0000-0000936E0000}"/>
    <cellStyle name="s_OMNI_Earnings (2)_2_Broadleaf Watefall 12-31-09" xfId="28300" xr:uid="{00000000-0005-0000-0000-0000946E0000}"/>
    <cellStyle name="s_OMNI_Earnings (2)_2_Broadleaf Watefall 6-30-09" xfId="28301" xr:uid="{00000000-0005-0000-0000-0000956E0000}"/>
    <cellStyle name="s_OMNI_Earnings (2)_2_Broadleaf Watefall 9-30-09" xfId="28302" xr:uid="{00000000-0005-0000-0000-0000966E0000}"/>
    <cellStyle name="s_OMNI_Earnings (2)_2_Carry Calculation" xfId="28303" xr:uid="{00000000-0005-0000-0000-0000976E0000}"/>
    <cellStyle name="s_OMNI_Earnings (2)_2_Fund IV" xfId="28304" xr:uid="{00000000-0005-0000-0000-0000986E0000}"/>
    <cellStyle name="s_OMNI_Earnings (2)_2_Fund IV 9.30.08" xfId="28305" xr:uid="{00000000-0005-0000-0000-0000996E0000}"/>
    <cellStyle name="s_OMNI_Earnings (2)_2_Fund IV_1" xfId="28306" xr:uid="{00000000-0005-0000-0000-00009A6E0000}"/>
    <cellStyle name="s_OMNI_Earnings (2)_2_Funds IV Clawback Adjustment Summary" xfId="28307" xr:uid="{00000000-0005-0000-0000-00009B6E0000}"/>
    <cellStyle name="s_OMNI_Earnings (2)_2_Funds IV Clawback Value Adjustment" xfId="28308" xr:uid="{00000000-0005-0000-0000-00009C6E0000}"/>
    <cellStyle name="s_OMNI_Earnings (2)_2_IC Balance" xfId="28309" xr:uid="{00000000-0005-0000-0000-00009D6E0000}"/>
    <cellStyle name="s_OMNI_Earnings (2)_2_Invested Capital Debt Worksheet" xfId="28310" xr:uid="{00000000-0005-0000-0000-00009E6E0000}"/>
    <cellStyle name="s_OMNI_Earnings (2)_2_iPCs#1-Remaining" xfId="28311" xr:uid="{00000000-0005-0000-0000-00009F6E0000}"/>
    <cellStyle name="s_OMNI_Earnings (2)_2_MMF Income" xfId="28312" xr:uid="{00000000-0005-0000-0000-0000A06E0000}"/>
    <cellStyle name="s_OMNI_Earnings (2)_2_Partners Capital Q1 2009" xfId="28313" xr:uid="{00000000-0005-0000-0000-0000A16E0000}"/>
    <cellStyle name="s_OMNI_Earnings (2)_2_Placement Fee Summary 05-14-09 - Current (2)" xfId="28314" xr:uid="{00000000-0005-0000-0000-0000A26E0000}"/>
    <cellStyle name="s_OMNI_Earnings (2)_2_PR Calc" xfId="28315" xr:uid="{00000000-0005-0000-0000-0000A36E0000}"/>
    <cellStyle name="s_OMNI_Earnings (2)_2_RCIV Q3 2009 Capital Analysis CURRENT" xfId="28316" xr:uid="{00000000-0005-0000-0000-0000A46E0000}"/>
    <cellStyle name="s_OMNI_Earnings (2)_AIF IV Financial Highlights 12-31-08 v4" xfId="28317" xr:uid="{00000000-0005-0000-0000-0000A56E0000}"/>
    <cellStyle name="s_OMNI_Earnings (2)_AIF IV Financial Highlights 12-31-08 v4_Apollo Investment Fund IV  Q3 2009 Capital Analysis CURRENT" xfId="28318" xr:uid="{00000000-0005-0000-0000-0000A66E0000}"/>
    <cellStyle name="s_OMNI_Earnings (2)_AIF IV Financial Highlights 12-31-08 v4_Apollo Investment Fund IV  Q3 2009 Capital Analysis iPCS &amp; URI Distribution" xfId="28319" xr:uid="{00000000-0005-0000-0000-0000A76E0000}"/>
    <cellStyle name="s_OMNI_Earnings (2)_AIF IV Financial Highlights 12-31-08 v4_iPCs#1-Remaining" xfId="28320" xr:uid="{00000000-0005-0000-0000-0000A86E0000}"/>
    <cellStyle name="s_OMNI_Earnings (2)_AIF VI - BondcoVI_Entities Invested Capital (CURRENT)" xfId="28321" xr:uid="{00000000-0005-0000-0000-0000A96E0000}"/>
    <cellStyle name="s_OMNI_Earnings (2)_AIF VI Broadleaf Watefall Summary as of 6-30-09 FINAL" xfId="28322" xr:uid="{00000000-0005-0000-0000-0000AA6E0000}"/>
    <cellStyle name="s_OMNI_Earnings (2)_AIF VI Broadleaf Watefall Summary as of 9-30-09" xfId="28323" xr:uid="{00000000-0005-0000-0000-0000AB6E0000}"/>
    <cellStyle name="s_OMNI_Earnings (2)_Andy Affrick - Schedulev2" xfId="28324" xr:uid="{00000000-0005-0000-0000-0000AC6E0000}"/>
    <cellStyle name="s_OMNI_Earnings (2)_Apollo Advisors IV 12-31-08 GAAP TB Final" xfId="28325" xr:uid="{00000000-0005-0000-0000-0000AD6E0000}"/>
    <cellStyle name="s_OMNI_Earnings (2)_Apollo Advisors IV 12-31-08 TB (Revised for Aggr PR)" xfId="28326" xr:uid="{00000000-0005-0000-0000-0000AE6E0000}"/>
    <cellStyle name="s_OMNI_Earnings (2)_Apollo Advisors IV 6-30-09 GAAP TB" xfId="28327" xr:uid="{00000000-0005-0000-0000-0000AF6E0000}"/>
    <cellStyle name="s_OMNI_Earnings (2)_Apollo Investment Fund IV  April Priority Return" xfId="28328" xr:uid="{00000000-0005-0000-0000-0000B06E0000}"/>
    <cellStyle name="s_OMNI_Earnings (2)_Apollo Investment Fund IV  Q1 2009 Capital Analysis 5-22-09 with GAAP" xfId="28329" xr:uid="{00000000-0005-0000-0000-0000B16E0000}"/>
    <cellStyle name="s_OMNI_Earnings (2)_Apollo Investment Fund IV  Q1 2009 Capital Analysis GAAP" xfId="28330" xr:uid="{00000000-0005-0000-0000-0000B26E0000}"/>
    <cellStyle name="s_OMNI_Earnings (2)_Apollo Investment Fund IV  Q2 2009 Capital Analysis CURRENT" xfId="28331" xr:uid="{00000000-0005-0000-0000-0000B36E0000}"/>
    <cellStyle name="s_OMNI_Earnings (2)_Apollo Investment Fund IV  Q3 2009 Capital Analysis CURRENT" xfId="28332" xr:uid="{00000000-0005-0000-0000-0000B46E0000}"/>
    <cellStyle name="s_OMNI_Earnings (2)_Apollo Investment Fund IV  Q3 2009 Capital Analysis iPCS &amp; URI Distribution" xfId="28333" xr:uid="{00000000-0005-0000-0000-0000B56E0000}"/>
    <cellStyle name="s_OMNI_Earnings (2)_Apollo Investment Fund IV Q1 2009 Capital Analysis PR CORRECTED 6-30-09" xfId="28334" xr:uid="{00000000-0005-0000-0000-0000B66E0000}"/>
    <cellStyle name="s_OMNI_Earnings (2)_Broadleaf Watefall 12-31-09" xfId="28335" xr:uid="{00000000-0005-0000-0000-0000B76E0000}"/>
    <cellStyle name="s_OMNI_Earnings (2)_Broadleaf Watefall 6-30-09" xfId="28336" xr:uid="{00000000-0005-0000-0000-0000B86E0000}"/>
    <cellStyle name="s_OMNI_Earnings (2)_Broadleaf Watefall 9-30-09" xfId="28337" xr:uid="{00000000-0005-0000-0000-0000B96E0000}"/>
    <cellStyle name="s_OMNI_Earnings (2)_Carry Calculation" xfId="28338" xr:uid="{00000000-0005-0000-0000-0000BA6E0000}"/>
    <cellStyle name="s_OMNI_Earnings (2)_Fund IV" xfId="28339" xr:uid="{00000000-0005-0000-0000-0000BB6E0000}"/>
    <cellStyle name="s_OMNI_Earnings (2)_Fund IV 9.30.08" xfId="28340" xr:uid="{00000000-0005-0000-0000-0000BC6E0000}"/>
    <cellStyle name="s_OMNI_Earnings (2)_Fund IV_1" xfId="28341" xr:uid="{00000000-0005-0000-0000-0000BD6E0000}"/>
    <cellStyle name="s_OMNI_Earnings (2)_Funds IV Clawback Adjustment Summary" xfId="28342" xr:uid="{00000000-0005-0000-0000-0000BE6E0000}"/>
    <cellStyle name="s_OMNI_Earnings (2)_Funds IV Clawback Value Adjustment" xfId="28343" xr:uid="{00000000-0005-0000-0000-0000BF6E0000}"/>
    <cellStyle name="s_OMNI_Earnings (2)_IC Balance" xfId="28344" xr:uid="{00000000-0005-0000-0000-0000C06E0000}"/>
    <cellStyle name="s_OMNI_Earnings (2)_Invested Capital Debt Worksheet" xfId="28345" xr:uid="{00000000-0005-0000-0000-0000C16E0000}"/>
    <cellStyle name="s_OMNI_Earnings (2)_Invested Capital Debt Worksheet_1" xfId="28346" xr:uid="{00000000-0005-0000-0000-0000C26E0000}"/>
    <cellStyle name="s_OMNI_Earnings (2)_iPCs#1-Remaining" xfId="28347" xr:uid="{00000000-0005-0000-0000-0000C36E0000}"/>
    <cellStyle name="s_OMNI_Earnings (2)_MMF Income" xfId="28348" xr:uid="{00000000-0005-0000-0000-0000C46E0000}"/>
    <cellStyle name="s_OMNI_Earnings (2)_Partners Capital Q1 2009" xfId="28349" xr:uid="{00000000-0005-0000-0000-0000C56E0000}"/>
    <cellStyle name="s_OMNI_Earnings (2)_Placement Fee Summary 05-14-09 - Current (2)" xfId="28350" xr:uid="{00000000-0005-0000-0000-0000C66E0000}"/>
    <cellStyle name="s_OMNI_Earnings (2)_PR Calc" xfId="28351" xr:uid="{00000000-0005-0000-0000-0000C76E0000}"/>
    <cellStyle name="s_OMNI_Earnings (2)_RCIV Q3 2009 Capital Analysis CURRENT" xfId="28352" xr:uid="{00000000-0005-0000-0000-0000C86E0000}"/>
    <cellStyle name="s_OMNI_Earnings (2)_Sheet1" xfId="28353" xr:uid="{00000000-0005-0000-0000-0000C96E0000}"/>
    <cellStyle name="s_OMNI_Earnings 10" xfId="28354" xr:uid="{00000000-0005-0000-0000-0000CA6E0000}"/>
    <cellStyle name="s_OMNI_Earnings 11" xfId="28355" xr:uid="{00000000-0005-0000-0000-0000CB6E0000}"/>
    <cellStyle name="s_OMNI_Earnings 12" xfId="28356" xr:uid="{00000000-0005-0000-0000-0000CC6E0000}"/>
    <cellStyle name="s_OMNI_Earnings 13" xfId="28357" xr:uid="{00000000-0005-0000-0000-0000CD6E0000}"/>
    <cellStyle name="s_OMNI_Earnings 14" xfId="28358" xr:uid="{00000000-0005-0000-0000-0000CE6E0000}"/>
    <cellStyle name="s_OMNI_Earnings 15" xfId="28359" xr:uid="{00000000-0005-0000-0000-0000CF6E0000}"/>
    <cellStyle name="s_OMNI_Earnings 16" xfId="28360" xr:uid="{00000000-0005-0000-0000-0000D06E0000}"/>
    <cellStyle name="s_OMNI_Earnings 17" xfId="28361" xr:uid="{00000000-0005-0000-0000-0000D16E0000}"/>
    <cellStyle name="s_OMNI_Earnings 18" xfId="28362" xr:uid="{00000000-0005-0000-0000-0000D26E0000}"/>
    <cellStyle name="s_OMNI_Earnings 19" xfId="28363" xr:uid="{00000000-0005-0000-0000-0000D36E0000}"/>
    <cellStyle name="s_OMNI_Earnings 2" xfId="28364" xr:uid="{00000000-0005-0000-0000-0000D46E0000}"/>
    <cellStyle name="s_OMNI_Earnings 2 2" xfId="28365" xr:uid="{00000000-0005-0000-0000-0000D56E0000}"/>
    <cellStyle name="s_OMNI_Earnings 20" xfId="28366" xr:uid="{00000000-0005-0000-0000-0000D66E0000}"/>
    <cellStyle name="s_OMNI_Earnings 21" xfId="28367" xr:uid="{00000000-0005-0000-0000-0000D76E0000}"/>
    <cellStyle name="s_OMNI_Earnings 22" xfId="28368" xr:uid="{00000000-0005-0000-0000-0000D86E0000}"/>
    <cellStyle name="s_OMNI_Earnings 23" xfId="28369" xr:uid="{00000000-0005-0000-0000-0000D96E0000}"/>
    <cellStyle name="s_OMNI_Earnings 23 2" xfId="28370" xr:uid="{00000000-0005-0000-0000-0000DA6E0000}"/>
    <cellStyle name="s_OMNI_Earnings 3" xfId="28371" xr:uid="{00000000-0005-0000-0000-0000DB6E0000}"/>
    <cellStyle name="s_OMNI_Earnings 3 2" xfId="28372" xr:uid="{00000000-0005-0000-0000-0000DC6E0000}"/>
    <cellStyle name="s_OMNI_Earnings 4" xfId="28373" xr:uid="{00000000-0005-0000-0000-0000DD6E0000}"/>
    <cellStyle name="s_OMNI_Earnings 5" xfId="28374" xr:uid="{00000000-0005-0000-0000-0000DE6E0000}"/>
    <cellStyle name="s_OMNI_Earnings 6" xfId="28375" xr:uid="{00000000-0005-0000-0000-0000DF6E0000}"/>
    <cellStyle name="s_OMNI_Earnings 7" xfId="28376" xr:uid="{00000000-0005-0000-0000-0000E06E0000}"/>
    <cellStyle name="s_OMNI_Earnings 8" xfId="28377" xr:uid="{00000000-0005-0000-0000-0000E16E0000}"/>
    <cellStyle name="s_OMNI_Earnings 9" xfId="28378" xr:uid="{00000000-0005-0000-0000-0000E26E0000}"/>
    <cellStyle name="s_OMNI_Earnings_{6} Clawback" xfId="28379" xr:uid="{00000000-0005-0000-0000-0000E36E0000}"/>
    <cellStyle name="s_OMNI_Earnings_1" xfId="28380" xr:uid="{00000000-0005-0000-0000-0000E46E0000}"/>
    <cellStyle name="s_OMNI_Earnings_1 10" xfId="28381" xr:uid="{00000000-0005-0000-0000-0000E56E0000}"/>
    <cellStyle name="s_OMNI_Earnings_1 11" xfId="28382" xr:uid="{00000000-0005-0000-0000-0000E66E0000}"/>
    <cellStyle name="s_OMNI_Earnings_1 12" xfId="28383" xr:uid="{00000000-0005-0000-0000-0000E76E0000}"/>
    <cellStyle name="s_OMNI_Earnings_1 13" xfId="28384" xr:uid="{00000000-0005-0000-0000-0000E86E0000}"/>
    <cellStyle name="s_OMNI_Earnings_1 14" xfId="28385" xr:uid="{00000000-0005-0000-0000-0000E96E0000}"/>
    <cellStyle name="s_OMNI_Earnings_1 15" xfId="28386" xr:uid="{00000000-0005-0000-0000-0000EA6E0000}"/>
    <cellStyle name="s_OMNI_Earnings_1 16" xfId="28387" xr:uid="{00000000-0005-0000-0000-0000EB6E0000}"/>
    <cellStyle name="s_OMNI_Earnings_1 17" xfId="28388" xr:uid="{00000000-0005-0000-0000-0000EC6E0000}"/>
    <cellStyle name="s_OMNI_Earnings_1 18" xfId="28389" xr:uid="{00000000-0005-0000-0000-0000ED6E0000}"/>
    <cellStyle name="s_OMNI_Earnings_1 19" xfId="28390" xr:uid="{00000000-0005-0000-0000-0000EE6E0000}"/>
    <cellStyle name="s_OMNI_Earnings_1 2" xfId="28391" xr:uid="{00000000-0005-0000-0000-0000EF6E0000}"/>
    <cellStyle name="s_OMNI_Earnings_1 2 2" xfId="28392" xr:uid="{00000000-0005-0000-0000-0000F06E0000}"/>
    <cellStyle name="s_OMNI_Earnings_1 20" xfId="28393" xr:uid="{00000000-0005-0000-0000-0000F16E0000}"/>
    <cellStyle name="s_OMNI_Earnings_1 21" xfId="28394" xr:uid="{00000000-0005-0000-0000-0000F26E0000}"/>
    <cellStyle name="s_OMNI_Earnings_1 22" xfId="28395" xr:uid="{00000000-0005-0000-0000-0000F36E0000}"/>
    <cellStyle name="s_OMNI_Earnings_1 23" xfId="28396" xr:uid="{00000000-0005-0000-0000-0000F46E0000}"/>
    <cellStyle name="s_OMNI_Earnings_1 23 2" xfId="28397" xr:uid="{00000000-0005-0000-0000-0000F56E0000}"/>
    <cellStyle name="s_OMNI_Earnings_1 3" xfId="28398" xr:uid="{00000000-0005-0000-0000-0000F66E0000}"/>
    <cellStyle name="s_OMNI_Earnings_1 3 2" xfId="28399" xr:uid="{00000000-0005-0000-0000-0000F76E0000}"/>
    <cellStyle name="s_OMNI_Earnings_1 4" xfId="28400" xr:uid="{00000000-0005-0000-0000-0000F86E0000}"/>
    <cellStyle name="s_OMNI_Earnings_1 5" xfId="28401" xr:uid="{00000000-0005-0000-0000-0000F96E0000}"/>
    <cellStyle name="s_OMNI_Earnings_1 6" xfId="28402" xr:uid="{00000000-0005-0000-0000-0000FA6E0000}"/>
    <cellStyle name="s_OMNI_Earnings_1 7" xfId="28403" xr:uid="{00000000-0005-0000-0000-0000FB6E0000}"/>
    <cellStyle name="s_OMNI_Earnings_1 8" xfId="28404" xr:uid="{00000000-0005-0000-0000-0000FC6E0000}"/>
    <cellStyle name="s_OMNI_Earnings_1 9" xfId="28405" xr:uid="{00000000-0005-0000-0000-0000FD6E0000}"/>
    <cellStyle name="s_OMNI_Earnings_1_{6} Clawback" xfId="28406" xr:uid="{00000000-0005-0000-0000-0000FE6E0000}"/>
    <cellStyle name="s_OMNI_Earnings_1_AIF IV Financial Highlights 12-31-08 v4" xfId="28407" xr:uid="{00000000-0005-0000-0000-0000FF6E0000}"/>
    <cellStyle name="s_OMNI_Earnings_1_AIF IV Financial Highlights 12-31-08 v4_Apollo Investment Fund IV  Q3 2009 Capital Analysis CURRENT" xfId="28408" xr:uid="{00000000-0005-0000-0000-0000006F0000}"/>
    <cellStyle name="s_OMNI_Earnings_1_AIF IV Financial Highlights 12-31-08 v4_Apollo Investment Fund IV  Q3 2009 Capital Analysis iPCS &amp; URI Distribution" xfId="28409" xr:uid="{00000000-0005-0000-0000-0000016F0000}"/>
    <cellStyle name="s_OMNI_Earnings_1_AIF IV Financial Highlights 12-31-08 v4_iPCs#1-Remaining" xfId="28410" xr:uid="{00000000-0005-0000-0000-0000026F0000}"/>
    <cellStyle name="s_OMNI_Earnings_1_AIF VI - BondcoVI_Entities Invested Capital (CURRENT)" xfId="28411" xr:uid="{00000000-0005-0000-0000-0000036F0000}"/>
    <cellStyle name="s_OMNI_Earnings_1_AIF VI Broadleaf Watefall Summary as of 6-30-09 FINAL" xfId="28412" xr:uid="{00000000-0005-0000-0000-0000046F0000}"/>
    <cellStyle name="s_OMNI_Earnings_1_AIF VI Broadleaf Watefall Summary as of 9-30-09" xfId="28413" xr:uid="{00000000-0005-0000-0000-0000056F0000}"/>
    <cellStyle name="s_OMNI_Earnings_1_Andy Affrick - Schedulev2" xfId="28414" xr:uid="{00000000-0005-0000-0000-0000066F0000}"/>
    <cellStyle name="s_OMNI_Earnings_1_Apollo Advisors IV 12-31-08 GAAP TB Final" xfId="28415" xr:uid="{00000000-0005-0000-0000-0000076F0000}"/>
    <cellStyle name="s_OMNI_Earnings_1_Apollo Advisors IV 12-31-08 TB (Revised for Aggr PR)" xfId="28416" xr:uid="{00000000-0005-0000-0000-0000086F0000}"/>
    <cellStyle name="s_OMNI_Earnings_1_Apollo Advisors IV 6-30-09 GAAP TB" xfId="28417" xr:uid="{00000000-0005-0000-0000-0000096F0000}"/>
    <cellStyle name="s_OMNI_Earnings_1_Apollo Investment Fund IV  April Priority Return" xfId="28418" xr:uid="{00000000-0005-0000-0000-00000A6F0000}"/>
    <cellStyle name="s_OMNI_Earnings_1_Apollo Investment Fund IV  Q1 2009 Capital Analysis 5-22-09 with GAAP" xfId="28419" xr:uid="{00000000-0005-0000-0000-00000B6F0000}"/>
    <cellStyle name="s_OMNI_Earnings_1_Apollo Investment Fund IV  Q1 2009 Capital Analysis GAAP" xfId="28420" xr:uid="{00000000-0005-0000-0000-00000C6F0000}"/>
    <cellStyle name="s_OMNI_Earnings_1_Apollo Investment Fund IV  Q2 2009 Capital Analysis CURRENT" xfId="28421" xr:uid="{00000000-0005-0000-0000-00000D6F0000}"/>
    <cellStyle name="s_OMNI_Earnings_1_Apollo Investment Fund IV  Q3 2009 Capital Analysis CURRENT" xfId="28422" xr:uid="{00000000-0005-0000-0000-00000E6F0000}"/>
    <cellStyle name="s_OMNI_Earnings_1_Apollo Investment Fund IV  Q3 2009 Capital Analysis iPCS &amp; URI Distribution" xfId="28423" xr:uid="{00000000-0005-0000-0000-00000F6F0000}"/>
    <cellStyle name="s_OMNI_Earnings_1_Apollo Investment Fund IV Q1 2009 Capital Analysis PR CORRECTED 6-30-09" xfId="28424" xr:uid="{00000000-0005-0000-0000-0000106F0000}"/>
    <cellStyle name="s_OMNI_Earnings_1_Broadleaf Watefall 12-31-09" xfId="28425" xr:uid="{00000000-0005-0000-0000-0000116F0000}"/>
    <cellStyle name="s_OMNI_Earnings_1_Broadleaf Watefall 6-30-09" xfId="28426" xr:uid="{00000000-0005-0000-0000-0000126F0000}"/>
    <cellStyle name="s_OMNI_Earnings_1_Broadleaf Watefall 9-30-09" xfId="28427" xr:uid="{00000000-0005-0000-0000-0000136F0000}"/>
    <cellStyle name="s_OMNI_Earnings_1_Carry Calculation" xfId="28428" xr:uid="{00000000-0005-0000-0000-0000146F0000}"/>
    <cellStyle name="s_OMNI_Earnings_1_Fund IV" xfId="28429" xr:uid="{00000000-0005-0000-0000-0000156F0000}"/>
    <cellStyle name="s_OMNI_Earnings_1_Fund IV 9.30.08" xfId="28430" xr:uid="{00000000-0005-0000-0000-0000166F0000}"/>
    <cellStyle name="s_OMNI_Earnings_1_Fund IV_1" xfId="28431" xr:uid="{00000000-0005-0000-0000-0000176F0000}"/>
    <cellStyle name="s_OMNI_Earnings_1_Funds IV Clawback Adjustment Summary" xfId="28432" xr:uid="{00000000-0005-0000-0000-0000186F0000}"/>
    <cellStyle name="s_OMNI_Earnings_1_Funds IV Clawback Value Adjustment" xfId="28433" xr:uid="{00000000-0005-0000-0000-0000196F0000}"/>
    <cellStyle name="s_OMNI_Earnings_1_IC Balance" xfId="28434" xr:uid="{00000000-0005-0000-0000-00001A6F0000}"/>
    <cellStyle name="s_OMNI_Earnings_1_Invested Capital Debt Worksheet" xfId="28435" xr:uid="{00000000-0005-0000-0000-00001B6F0000}"/>
    <cellStyle name="s_OMNI_Earnings_1_Invested Capital Debt Worksheet_1" xfId="28436" xr:uid="{00000000-0005-0000-0000-00001C6F0000}"/>
    <cellStyle name="s_OMNI_Earnings_1_iPCs#1-Remaining" xfId="28437" xr:uid="{00000000-0005-0000-0000-00001D6F0000}"/>
    <cellStyle name="s_OMNI_Earnings_1_MMF Income" xfId="28438" xr:uid="{00000000-0005-0000-0000-00001E6F0000}"/>
    <cellStyle name="s_OMNI_Earnings_1_Partners Capital Q1 2009" xfId="28439" xr:uid="{00000000-0005-0000-0000-00001F6F0000}"/>
    <cellStyle name="s_OMNI_Earnings_1_Placement Fee Summary 05-14-09 - Current (2)" xfId="28440" xr:uid="{00000000-0005-0000-0000-0000206F0000}"/>
    <cellStyle name="s_OMNI_Earnings_1_PR Calc" xfId="28441" xr:uid="{00000000-0005-0000-0000-0000216F0000}"/>
    <cellStyle name="s_OMNI_Earnings_1_RCIV Q3 2009 Capital Analysis CURRENT" xfId="28442" xr:uid="{00000000-0005-0000-0000-0000226F0000}"/>
    <cellStyle name="s_OMNI_Earnings_1_Sheet1" xfId="28443" xr:uid="{00000000-0005-0000-0000-0000236F0000}"/>
    <cellStyle name="s_OMNI_Earnings_2" xfId="28444" xr:uid="{00000000-0005-0000-0000-0000246F0000}"/>
    <cellStyle name="s_OMNI_Earnings_2 10" xfId="28445" xr:uid="{00000000-0005-0000-0000-0000256F0000}"/>
    <cellStyle name="s_OMNI_Earnings_2 11" xfId="28446" xr:uid="{00000000-0005-0000-0000-0000266F0000}"/>
    <cellStyle name="s_OMNI_Earnings_2 12" xfId="28447" xr:uid="{00000000-0005-0000-0000-0000276F0000}"/>
    <cellStyle name="s_OMNI_Earnings_2 13" xfId="28448" xr:uid="{00000000-0005-0000-0000-0000286F0000}"/>
    <cellStyle name="s_OMNI_Earnings_2 14" xfId="28449" xr:uid="{00000000-0005-0000-0000-0000296F0000}"/>
    <cellStyle name="s_OMNI_Earnings_2 15" xfId="28450" xr:uid="{00000000-0005-0000-0000-00002A6F0000}"/>
    <cellStyle name="s_OMNI_Earnings_2 16" xfId="28451" xr:uid="{00000000-0005-0000-0000-00002B6F0000}"/>
    <cellStyle name="s_OMNI_Earnings_2 17" xfId="28452" xr:uid="{00000000-0005-0000-0000-00002C6F0000}"/>
    <cellStyle name="s_OMNI_Earnings_2 18" xfId="28453" xr:uid="{00000000-0005-0000-0000-00002D6F0000}"/>
    <cellStyle name="s_OMNI_Earnings_2 19" xfId="28454" xr:uid="{00000000-0005-0000-0000-00002E6F0000}"/>
    <cellStyle name="s_OMNI_Earnings_2 2" xfId="28455" xr:uid="{00000000-0005-0000-0000-00002F6F0000}"/>
    <cellStyle name="s_OMNI_Earnings_2 2 2" xfId="28456" xr:uid="{00000000-0005-0000-0000-0000306F0000}"/>
    <cellStyle name="s_OMNI_Earnings_2 20" xfId="28457" xr:uid="{00000000-0005-0000-0000-0000316F0000}"/>
    <cellStyle name="s_OMNI_Earnings_2 21" xfId="28458" xr:uid="{00000000-0005-0000-0000-0000326F0000}"/>
    <cellStyle name="s_OMNI_Earnings_2 22" xfId="28459" xr:uid="{00000000-0005-0000-0000-0000336F0000}"/>
    <cellStyle name="s_OMNI_Earnings_2 23" xfId="28460" xr:uid="{00000000-0005-0000-0000-0000346F0000}"/>
    <cellStyle name="s_OMNI_Earnings_2 23 2" xfId="28461" xr:uid="{00000000-0005-0000-0000-0000356F0000}"/>
    <cellStyle name="s_OMNI_Earnings_2 3" xfId="28462" xr:uid="{00000000-0005-0000-0000-0000366F0000}"/>
    <cellStyle name="s_OMNI_Earnings_2 3 2" xfId="28463" xr:uid="{00000000-0005-0000-0000-0000376F0000}"/>
    <cellStyle name="s_OMNI_Earnings_2 4" xfId="28464" xr:uid="{00000000-0005-0000-0000-0000386F0000}"/>
    <cellStyle name="s_OMNI_Earnings_2 5" xfId="28465" xr:uid="{00000000-0005-0000-0000-0000396F0000}"/>
    <cellStyle name="s_OMNI_Earnings_2 6" xfId="28466" xr:uid="{00000000-0005-0000-0000-00003A6F0000}"/>
    <cellStyle name="s_OMNI_Earnings_2 7" xfId="28467" xr:uid="{00000000-0005-0000-0000-00003B6F0000}"/>
    <cellStyle name="s_OMNI_Earnings_2 8" xfId="28468" xr:uid="{00000000-0005-0000-0000-00003C6F0000}"/>
    <cellStyle name="s_OMNI_Earnings_2 9" xfId="28469" xr:uid="{00000000-0005-0000-0000-00003D6F0000}"/>
    <cellStyle name="s_OMNI_Earnings_2_{6} Clawback" xfId="28470" xr:uid="{00000000-0005-0000-0000-00003E6F0000}"/>
    <cellStyle name="s_OMNI_Earnings_2_AIF IV Financial Highlights 12-31-08 v4" xfId="28471" xr:uid="{00000000-0005-0000-0000-00003F6F0000}"/>
    <cellStyle name="s_OMNI_Earnings_2_AIF IV Financial Highlights 12-31-08 v4_Apollo Investment Fund IV  Q3 2009 Capital Analysis CURRENT" xfId="28472" xr:uid="{00000000-0005-0000-0000-0000406F0000}"/>
    <cellStyle name="s_OMNI_Earnings_2_AIF IV Financial Highlights 12-31-08 v4_Apollo Investment Fund IV  Q3 2009 Capital Analysis iPCS &amp; URI Distribution" xfId="28473" xr:uid="{00000000-0005-0000-0000-0000416F0000}"/>
    <cellStyle name="s_OMNI_Earnings_2_AIF IV Financial Highlights 12-31-08 v4_iPCs#1-Remaining" xfId="28474" xr:uid="{00000000-0005-0000-0000-0000426F0000}"/>
    <cellStyle name="s_OMNI_Earnings_2_AIF VI - BondcoVI_Entities Invested Capital (CURRENT)" xfId="28475" xr:uid="{00000000-0005-0000-0000-0000436F0000}"/>
    <cellStyle name="s_OMNI_Earnings_2_AIF VI Broadleaf Watefall Summary as of 6-30-09 FINAL" xfId="28476" xr:uid="{00000000-0005-0000-0000-0000446F0000}"/>
    <cellStyle name="s_OMNI_Earnings_2_AIF VI Broadleaf Watefall Summary as of 9-30-09" xfId="28477" xr:uid="{00000000-0005-0000-0000-0000456F0000}"/>
    <cellStyle name="s_OMNI_Earnings_2_Andy Affrick - Schedulev2" xfId="28478" xr:uid="{00000000-0005-0000-0000-0000466F0000}"/>
    <cellStyle name="s_OMNI_Earnings_2_Apollo Advisors IV 12-31-08 GAAP TB Final" xfId="28479" xr:uid="{00000000-0005-0000-0000-0000476F0000}"/>
    <cellStyle name="s_OMNI_Earnings_2_Apollo Advisors IV 12-31-08 TB (Revised for Aggr PR)" xfId="28480" xr:uid="{00000000-0005-0000-0000-0000486F0000}"/>
    <cellStyle name="s_OMNI_Earnings_2_Apollo Advisors IV 6-30-09 GAAP TB" xfId="28481" xr:uid="{00000000-0005-0000-0000-0000496F0000}"/>
    <cellStyle name="s_OMNI_Earnings_2_Apollo Investment Fund IV  April Priority Return" xfId="28482" xr:uid="{00000000-0005-0000-0000-00004A6F0000}"/>
    <cellStyle name="s_OMNI_Earnings_2_Apollo Investment Fund IV  Q1 2009 Capital Analysis 5-22-09 with GAAP" xfId="28483" xr:uid="{00000000-0005-0000-0000-00004B6F0000}"/>
    <cellStyle name="s_OMNI_Earnings_2_Apollo Investment Fund IV  Q1 2009 Capital Analysis GAAP" xfId="28484" xr:uid="{00000000-0005-0000-0000-00004C6F0000}"/>
    <cellStyle name="s_OMNI_Earnings_2_Apollo Investment Fund IV  Q2 2009 Capital Analysis CURRENT" xfId="28485" xr:uid="{00000000-0005-0000-0000-00004D6F0000}"/>
    <cellStyle name="s_OMNI_Earnings_2_Apollo Investment Fund IV  Q3 2009 Capital Analysis CURRENT" xfId="28486" xr:uid="{00000000-0005-0000-0000-00004E6F0000}"/>
    <cellStyle name="s_OMNI_Earnings_2_Apollo Investment Fund IV  Q3 2009 Capital Analysis iPCS &amp; URI Distribution" xfId="28487" xr:uid="{00000000-0005-0000-0000-00004F6F0000}"/>
    <cellStyle name="s_OMNI_Earnings_2_Apollo Investment Fund IV Q1 2009 Capital Analysis PR CORRECTED 6-30-09" xfId="28488" xr:uid="{00000000-0005-0000-0000-0000506F0000}"/>
    <cellStyle name="s_OMNI_Earnings_2_Broadleaf Watefall 12-31-09" xfId="28489" xr:uid="{00000000-0005-0000-0000-0000516F0000}"/>
    <cellStyle name="s_OMNI_Earnings_2_Broadleaf Watefall 6-30-09" xfId="28490" xr:uid="{00000000-0005-0000-0000-0000526F0000}"/>
    <cellStyle name="s_OMNI_Earnings_2_Broadleaf Watefall 9-30-09" xfId="28491" xr:uid="{00000000-0005-0000-0000-0000536F0000}"/>
    <cellStyle name="s_OMNI_Earnings_2_Carry Calculation" xfId="28492" xr:uid="{00000000-0005-0000-0000-0000546F0000}"/>
    <cellStyle name="s_OMNI_Earnings_2_Fund IV" xfId="28493" xr:uid="{00000000-0005-0000-0000-0000556F0000}"/>
    <cellStyle name="s_OMNI_Earnings_2_Fund IV 9.30.08" xfId="28494" xr:uid="{00000000-0005-0000-0000-0000566F0000}"/>
    <cellStyle name="s_OMNI_Earnings_2_Fund IV_1" xfId="28495" xr:uid="{00000000-0005-0000-0000-0000576F0000}"/>
    <cellStyle name="s_OMNI_Earnings_2_Funds IV Clawback Adjustment Summary" xfId="28496" xr:uid="{00000000-0005-0000-0000-0000586F0000}"/>
    <cellStyle name="s_OMNI_Earnings_2_Funds IV Clawback Value Adjustment" xfId="28497" xr:uid="{00000000-0005-0000-0000-0000596F0000}"/>
    <cellStyle name="s_OMNI_Earnings_2_IC Balance" xfId="28498" xr:uid="{00000000-0005-0000-0000-00005A6F0000}"/>
    <cellStyle name="s_OMNI_Earnings_2_Invested Capital Debt Worksheet" xfId="28499" xr:uid="{00000000-0005-0000-0000-00005B6F0000}"/>
    <cellStyle name="s_OMNI_Earnings_2_Invested Capital Debt Worksheet_1" xfId="28500" xr:uid="{00000000-0005-0000-0000-00005C6F0000}"/>
    <cellStyle name="s_OMNI_Earnings_2_iPCs#1-Remaining" xfId="28501" xr:uid="{00000000-0005-0000-0000-00005D6F0000}"/>
    <cellStyle name="s_OMNI_Earnings_2_MMF Income" xfId="28502" xr:uid="{00000000-0005-0000-0000-00005E6F0000}"/>
    <cellStyle name="s_OMNI_Earnings_2_Partners Capital Q1 2009" xfId="28503" xr:uid="{00000000-0005-0000-0000-00005F6F0000}"/>
    <cellStyle name="s_OMNI_Earnings_2_Placement Fee Summary 05-14-09 - Current (2)" xfId="28504" xr:uid="{00000000-0005-0000-0000-0000606F0000}"/>
    <cellStyle name="s_OMNI_Earnings_2_PR Calc" xfId="28505" xr:uid="{00000000-0005-0000-0000-0000616F0000}"/>
    <cellStyle name="s_OMNI_Earnings_2_RCIV Q3 2009 Capital Analysis CURRENT" xfId="28506" xr:uid="{00000000-0005-0000-0000-0000626F0000}"/>
    <cellStyle name="s_OMNI_Earnings_2_Sheet1" xfId="28507" xr:uid="{00000000-0005-0000-0000-0000636F0000}"/>
    <cellStyle name="s_OMNI_Earnings_AIF IV Financial Highlights 12-31-08 v4" xfId="28508" xr:uid="{00000000-0005-0000-0000-0000646F0000}"/>
    <cellStyle name="s_OMNI_Earnings_AIF IV Financial Highlights 12-31-08 v4_Apollo Investment Fund IV  Q3 2009 Capital Analysis CURRENT" xfId="28509" xr:uid="{00000000-0005-0000-0000-0000656F0000}"/>
    <cellStyle name="s_OMNI_Earnings_AIF IV Financial Highlights 12-31-08 v4_Apollo Investment Fund IV  Q3 2009 Capital Analysis iPCS &amp; URI Distribution" xfId="28510" xr:uid="{00000000-0005-0000-0000-0000666F0000}"/>
    <cellStyle name="s_OMNI_Earnings_AIF IV Financial Highlights 12-31-08 v4_iPCs#1-Remaining" xfId="28511" xr:uid="{00000000-0005-0000-0000-0000676F0000}"/>
    <cellStyle name="s_OMNI_Earnings_AIF VI - BondcoVI_Entities Invested Capital (CURRENT)" xfId="28512" xr:uid="{00000000-0005-0000-0000-0000686F0000}"/>
    <cellStyle name="s_OMNI_Earnings_AIF VI Broadleaf Watefall Summary as of 6-30-09 FINAL" xfId="28513" xr:uid="{00000000-0005-0000-0000-0000696F0000}"/>
    <cellStyle name="s_OMNI_Earnings_AIF VI Broadleaf Watefall Summary as of 9-30-09" xfId="28514" xr:uid="{00000000-0005-0000-0000-00006A6F0000}"/>
    <cellStyle name="s_OMNI_Earnings_Andy Affrick - Schedulev2" xfId="28515" xr:uid="{00000000-0005-0000-0000-00006B6F0000}"/>
    <cellStyle name="s_OMNI_Earnings_Apollo Investment Fund IV  April Priority Return" xfId="28516" xr:uid="{00000000-0005-0000-0000-00006C6F0000}"/>
    <cellStyle name="s_OMNI_Earnings_Apollo Investment Fund IV  Q1 2009 Capital Analysis 5-22-09 with GAAP" xfId="28517" xr:uid="{00000000-0005-0000-0000-00006D6F0000}"/>
    <cellStyle name="s_OMNI_Earnings_Apollo Investment Fund IV  Q1 2009 Capital Analysis GAAP" xfId="28518" xr:uid="{00000000-0005-0000-0000-00006E6F0000}"/>
    <cellStyle name="s_OMNI_Earnings_Apollo Investment Fund IV  Q2 2009 Capital Analysis CURRENT" xfId="28519" xr:uid="{00000000-0005-0000-0000-00006F6F0000}"/>
    <cellStyle name="s_OMNI_Earnings_Apollo Investment Fund IV  Q3 2009 Capital Analysis CURRENT" xfId="28520" xr:uid="{00000000-0005-0000-0000-0000706F0000}"/>
    <cellStyle name="s_OMNI_Earnings_Apollo Investment Fund IV  Q3 2009 Capital Analysis iPCS &amp; URI Distribution" xfId="28521" xr:uid="{00000000-0005-0000-0000-0000716F0000}"/>
    <cellStyle name="s_OMNI_Earnings_Apollo Investment Fund IV Q1 2009 Capital Analysis PR CORRECTED 6-30-09" xfId="28522" xr:uid="{00000000-0005-0000-0000-0000726F0000}"/>
    <cellStyle name="s_OMNI_Earnings_Broadleaf Watefall 12-31-09" xfId="28523" xr:uid="{00000000-0005-0000-0000-0000736F0000}"/>
    <cellStyle name="s_OMNI_Earnings_Broadleaf Watefall 6-30-09" xfId="28524" xr:uid="{00000000-0005-0000-0000-0000746F0000}"/>
    <cellStyle name="s_OMNI_Earnings_Broadleaf Watefall 9-30-09" xfId="28525" xr:uid="{00000000-0005-0000-0000-0000756F0000}"/>
    <cellStyle name="s_OMNI_Earnings_Carry Calculation" xfId="28526" xr:uid="{00000000-0005-0000-0000-0000766F0000}"/>
    <cellStyle name="s_OMNI_Earnings_Fund IV" xfId="28527" xr:uid="{00000000-0005-0000-0000-0000776F0000}"/>
    <cellStyle name="s_OMNI_Earnings_Fund IV 9.30.08" xfId="28528" xr:uid="{00000000-0005-0000-0000-0000786F0000}"/>
    <cellStyle name="s_OMNI_Earnings_Fund IV_1" xfId="28529" xr:uid="{00000000-0005-0000-0000-0000796F0000}"/>
    <cellStyle name="s_OMNI_Earnings_Funds IV Clawback Adjustment Summary" xfId="28530" xr:uid="{00000000-0005-0000-0000-00007A6F0000}"/>
    <cellStyle name="s_OMNI_Earnings_Funds IV Clawback Value Adjustment" xfId="28531" xr:uid="{00000000-0005-0000-0000-00007B6F0000}"/>
    <cellStyle name="s_OMNI_Earnings_IC Balance" xfId="28532" xr:uid="{00000000-0005-0000-0000-00007C6F0000}"/>
    <cellStyle name="s_OMNI_Earnings_Invested Capital Debt Worksheet" xfId="28533" xr:uid="{00000000-0005-0000-0000-00007D6F0000}"/>
    <cellStyle name="s_OMNI_Earnings_iPCs#1-Remaining" xfId="28534" xr:uid="{00000000-0005-0000-0000-00007E6F0000}"/>
    <cellStyle name="s_OMNI_Earnings_MMF Income" xfId="28535" xr:uid="{00000000-0005-0000-0000-00007F6F0000}"/>
    <cellStyle name="s_OMNI_Earnings_Partners Capital Q1 2009" xfId="28536" xr:uid="{00000000-0005-0000-0000-0000806F0000}"/>
    <cellStyle name="s_OMNI_Earnings_Placement Fee Summary 05-14-09 - Current (2)" xfId="28537" xr:uid="{00000000-0005-0000-0000-0000816F0000}"/>
    <cellStyle name="s_OMNI_Earnings_PR Calc" xfId="28538" xr:uid="{00000000-0005-0000-0000-0000826F0000}"/>
    <cellStyle name="s_OMNI_Earnings_RCIV Q3 2009 Capital Analysis CURRENT" xfId="28539" xr:uid="{00000000-0005-0000-0000-0000836F0000}"/>
    <cellStyle name="s_Omni_Schedules" xfId="28540" xr:uid="{00000000-0005-0000-0000-0000846F0000}"/>
    <cellStyle name="s_Omni_Schedules (2)" xfId="28541" xr:uid="{00000000-0005-0000-0000-0000856F0000}"/>
    <cellStyle name="s_Omni_Schedules (2) 10" xfId="28542" xr:uid="{00000000-0005-0000-0000-0000866F0000}"/>
    <cellStyle name="s_Omni_Schedules (2) 11" xfId="28543" xr:uid="{00000000-0005-0000-0000-0000876F0000}"/>
    <cellStyle name="s_Omni_Schedules (2) 12" xfId="28544" xr:uid="{00000000-0005-0000-0000-0000886F0000}"/>
    <cellStyle name="s_Omni_Schedules (2) 13" xfId="28545" xr:uid="{00000000-0005-0000-0000-0000896F0000}"/>
    <cellStyle name="s_Omni_Schedules (2) 14" xfId="28546" xr:uid="{00000000-0005-0000-0000-00008A6F0000}"/>
    <cellStyle name="s_Omni_Schedules (2) 15" xfId="28547" xr:uid="{00000000-0005-0000-0000-00008B6F0000}"/>
    <cellStyle name="s_Omni_Schedules (2) 16" xfId="28548" xr:uid="{00000000-0005-0000-0000-00008C6F0000}"/>
    <cellStyle name="s_Omni_Schedules (2) 17" xfId="28549" xr:uid="{00000000-0005-0000-0000-00008D6F0000}"/>
    <cellStyle name="s_Omni_Schedules (2) 18" xfId="28550" xr:uid="{00000000-0005-0000-0000-00008E6F0000}"/>
    <cellStyle name="s_Omni_Schedules (2) 19" xfId="28551" xr:uid="{00000000-0005-0000-0000-00008F6F0000}"/>
    <cellStyle name="s_Omni_Schedules (2) 2" xfId="28552" xr:uid="{00000000-0005-0000-0000-0000906F0000}"/>
    <cellStyle name="s_Omni_Schedules (2) 2 2" xfId="28553" xr:uid="{00000000-0005-0000-0000-0000916F0000}"/>
    <cellStyle name="s_Omni_Schedules (2) 20" xfId="28554" xr:uid="{00000000-0005-0000-0000-0000926F0000}"/>
    <cellStyle name="s_Omni_Schedules (2) 21" xfId="28555" xr:uid="{00000000-0005-0000-0000-0000936F0000}"/>
    <cellStyle name="s_Omni_Schedules (2) 22" xfId="28556" xr:uid="{00000000-0005-0000-0000-0000946F0000}"/>
    <cellStyle name="s_Omni_Schedules (2) 23" xfId="28557" xr:uid="{00000000-0005-0000-0000-0000956F0000}"/>
    <cellStyle name="s_Omni_Schedules (2) 23 2" xfId="28558" xr:uid="{00000000-0005-0000-0000-0000966F0000}"/>
    <cellStyle name="s_Omni_Schedules (2) 3" xfId="28559" xr:uid="{00000000-0005-0000-0000-0000976F0000}"/>
    <cellStyle name="s_Omni_Schedules (2) 3 2" xfId="28560" xr:uid="{00000000-0005-0000-0000-0000986F0000}"/>
    <cellStyle name="s_Omni_Schedules (2) 4" xfId="28561" xr:uid="{00000000-0005-0000-0000-0000996F0000}"/>
    <cellStyle name="s_Omni_Schedules (2) 5" xfId="28562" xr:uid="{00000000-0005-0000-0000-00009A6F0000}"/>
    <cellStyle name="s_Omni_Schedules (2) 6" xfId="28563" xr:uid="{00000000-0005-0000-0000-00009B6F0000}"/>
    <cellStyle name="s_Omni_Schedules (2) 7" xfId="28564" xr:uid="{00000000-0005-0000-0000-00009C6F0000}"/>
    <cellStyle name="s_Omni_Schedules (2) 8" xfId="28565" xr:uid="{00000000-0005-0000-0000-00009D6F0000}"/>
    <cellStyle name="s_Omni_Schedules (2) 9" xfId="28566" xr:uid="{00000000-0005-0000-0000-00009E6F0000}"/>
    <cellStyle name="s_Omni_Schedules (2)_{6} Clawback" xfId="28567" xr:uid="{00000000-0005-0000-0000-00009F6F0000}"/>
    <cellStyle name="s_Omni_Schedules (2)_1" xfId="28568" xr:uid="{00000000-0005-0000-0000-0000A06F0000}"/>
    <cellStyle name="s_Omni_Schedules (2)_1 10" xfId="28569" xr:uid="{00000000-0005-0000-0000-0000A16F0000}"/>
    <cellStyle name="s_Omni_Schedules (2)_1 11" xfId="28570" xr:uid="{00000000-0005-0000-0000-0000A26F0000}"/>
    <cellStyle name="s_Omni_Schedules (2)_1 12" xfId="28571" xr:uid="{00000000-0005-0000-0000-0000A36F0000}"/>
    <cellStyle name="s_Omni_Schedules (2)_1 13" xfId="28572" xr:uid="{00000000-0005-0000-0000-0000A46F0000}"/>
    <cellStyle name="s_Omni_Schedules (2)_1 14" xfId="28573" xr:uid="{00000000-0005-0000-0000-0000A56F0000}"/>
    <cellStyle name="s_Omni_Schedules (2)_1 15" xfId="28574" xr:uid="{00000000-0005-0000-0000-0000A66F0000}"/>
    <cellStyle name="s_Omni_Schedules (2)_1 16" xfId="28575" xr:uid="{00000000-0005-0000-0000-0000A76F0000}"/>
    <cellStyle name="s_Omni_Schedules (2)_1 17" xfId="28576" xr:uid="{00000000-0005-0000-0000-0000A86F0000}"/>
    <cellStyle name="s_Omni_Schedules (2)_1 18" xfId="28577" xr:uid="{00000000-0005-0000-0000-0000A96F0000}"/>
    <cellStyle name="s_Omni_Schedules (2)_1 19" xfId="28578" xr:uid="{00000000-0005-0000-0000-0000AA6F0000}"/>
    <cellStyle name="s_Omni_Schedules (2)_1 2" xfId="28579" xr:uid="{00000000-0005-0000-0000-0000AB6F0000}"/>
    <cellStyle name="s_Omni_Schedules (2)_1 2 2" xfId="28580" xr:uid="{00000000-0005-0000-0000-0000AC6F0000}"/>
    <cellStyle name="s_Omni_Schedules (2)_1 20" xfId="28581" xr:uid="{00000000-0005-0000-0000-0000AD6F0000}"/>
    <cellStyle name="s_Omni_Schedules (2)_1 21" xfId="28582" xr:uid="{00000000-0005-0000-0000-0000AE6F0000}"/>
    <cellStyle name="s_Omni_Schedules (2)_1 22" xfId="28583" xr:uid="{00000000-0005-0000-0000-0000AF6F0000}"/>
    <cellStyle name="s_Omni_Schedules (2)_1 23" xfId="28584" xr:uid="{00000000-0005-0000-0000-0000B06F0000}"/>
    <cellStyle name="s_Omni_Schedules (2)_1 23 2" xfId="28585" xr:uid="{00000000-0005-0000-0000-0000B16F0000}"/>
    <cellStyle name="s_Omni_Schedules (2)_1 3" xfId="28586" xr:uid="{00000000-0005-0000-0000-0000B26F0000}"/>
    <cellStyle name="s_Omni_Schedules (2)_1 3 2" xfId="28587" xr:uid="{00000000-0005-0000-0000-0000B36F0000}"/>
    <cellStyle name="s_Omni_Schedules (2)_1 4" xfId="28588" xr:uid="{00000000-0005-0000-0000-0000B46F0000}"/>
    <cellStyle name="s_Omni_Schedules (2)_1 5" xfId="28589" xr:uid="{00000000-0005-0000-0000-0000B56F0000}"/>
    <cellStyle name="s_Omni_Schedules (2)_1 6" xfId="28590" xr:uid="{00000000-0005-0000-0000-0000B66F0000}"/>
    <cellStyle name="s_Omni_Schedules (2)_1 7" xfId="28591" xr:uid="{00000000-0005-0000-0000-0000B76F0000}"/>
    <cellStyle name="s_Omni_Schedules (2)_1 8" xfId="28592" xr:uid="{00000000-0005-0000-0000-0000B86F0000}"/>
    <cellStyle name="s_Omni_Schedules (2)_1 9" xfId="28593" xr:uid="{00000000-0005-0000-0000-0000B96F0000}"/>
    <cellStyle name="s_Omni_Schedules (2)_1_{6} Clawback" xfId="28594" xr:uid="{00000000-0005-0000-0000-0000BA6F0000}"/>
    <cellStyle name="s_Omni_Schedules (2)_1_AIF IV Financial Highlights 12-31-08 v4" xfId="28595" xr:uid="{00000000-0005-0000-0000-0000BB6F0000}"/>
    <cellStyle name="s_Omni_Schedules (2)_1_AIF IV Financial Highlights 12-31-08 v4_Apollo Investment Fund IV  Q3 2009 Capital Analysis CURRENT" xfId="28596" xr:uid="{00000000-0005-0000-0000-0000BC6F0000}"/>
    <cellStyle name="s_Omni_Schedules (2)_1_AIF IV Financial Highlights 12-31-08 v4_Apollo Investment Fund IV  Q3 2009 Capital Analysis iPCS &amp; URI Distribution" xfId="28597" xr:uid="{00000000-0005-0000-0000-0000BD6F0000}"/>
    <cellStyle name="s_Omni_Schedules (2)_1_AIF IV Financial Highlights 12-31-08 v4_iPCs#1-Remaining" xfId="28598" xr:uid="{00000000-0005-0000-0000-0000BE6F0000}"/>
    <cellStyle name="s_Omni_Schedules (2)_1_AIF VI - BondcoVI_Entities Invested Capital (CURRENT)" xfId="28599" xr:uid="{00000000-0005-0000-0000-0000BF6F0000}"/>
    <cellStyle name="s_Omni_Schedules (2)_1_AIF VI Broadleaf Watefall Summary as of 6-30-09 FINAL" xfId="28600" xr:uid="{00000000-0005-0000-0000-0000C06F0000}"/>
    <cellStyle name="s_Omni_Schedules (2)_1_AIF VI Broadleaf Watefall Summary as of 9-30-09" xfId="28601" xr:uid="{00000000-0005-0000-0000-0000C16F0000}"/>
    <cellStyle name="s_Omni_Schedules (2)_1_Andy Affrick - Schedulev2" xfId="28602" xr:uid="{00000000-0005-0000-0000-0000C26F0000}"/>
    <cellStyle name="s_Omni_Schedules (2)_1_Apollo Investment Fund IV  April Priority Return" xfId="28603" xr:uid="{00000000-0005-0000-0000-0000C36F0000}"/>
    <cellStyle name="s_Omni_Schedules (2)_1_Apollo Investment Fund IV  Q1 2009 Capital Analysis 5-22-09 with GAAP" xfId="28604" xr:uid="{00000000-0005-0000-0000-0000C46F0000}"/>
    <cellStyle name="s_Omni_Schedules (2)_1_Apollo Investment Fund IV  Q1 2009 Capital Analysis GAAP" xfId="28605" xr:uid="{00000000-0005-0000-0000-0000C56F0000}"/>
    <cellStyle name="s_Omni_Schedules (2)_1_Apollo Investment Fund IV  Q2 2009 Capital Analysis CURRENT" xfId="28606" xr:uid="{00000000-0005-0000-0000-0000C66F0000}"/>
    <cellStyle name="s_Omni_Schedules (2)_1_Apollo Investment Fund IV  Q3 2009 Capital Analysis CURRENT" xfId="28607" xr:uid="{00000000-0005-0000-0000-0000C76F0000}"/>
    <cellStyle name="s_Omni_Schedules (2)_1_Apollo Investment Fund IV  Q3 2009 Capital Analysis iPCS &amp; URI Distribution" xfId="28608" xr:uid="{00000000-0005-0000-0000-0000C86F0000}"/>
    <cellStyle name="s_Omni_Schedules (2)_1_Apollo Investment Fund IV Q1 2009 Capital Analysis PR CORRECTED 6-30-09" xfId="28609" xr:uid="{00000000-0005-0000-0000-0000C96F0000}"/>
    <cellStyle name="s_Omni_Schedules (2)_1_Broadleaf Watefall 12-31-09" xfId="28610" xr:uid="{00000000-0005-0000-0000-0000CA6F0000}"/>
    <cellStyle name="s_Omni_Schedules (2)_1_Broadleaf Watefall 6-30-09" xfId="28611" xr:uid="{00000000-0005-0000-0000-0000CB6F0000}"/>
    <cellStyle name="s_Omni_Schedules (2)_1_Broadleaf Watefall 9-30-09" xfId="28612" xr:uid="{00000000-0005-0000-0000-0000CC6F0000}"/>
    <cellStyle name="s_Omni_Schedules (2)_1_Carry Calculation" xfId="28613" xr:uid="{00000000-0005-0000-0000-0000CD6F0000}"/>
    <cellStyle name="s_Omni_Schedules (2)_1_Fund IV" xfId="28614" xr:uid="{00000000-0005-0000-0000-0000CE6F0000}"/>
    <cellStyle name="s_Omni_Schedules (2)_1_Fund IV 9.30.08" xfId="28615" xr:uid="{00000000-0005-0000-0000-0000CF6F0000}"/>
    <cellStyle name="s_Omni_Schedules (2)_1_Fund IV_1" xfId="28616" xr:uid="{00000000-0005-0000-0000-0000D06F0000}"/>
    <cellStyle name="s_Omni_Schedules (2)_1_Funds IV Clawback Adjustment Summary" xfId="28617" xr:uid="{00000000-0005-0000-0000-0000D16F0000}"/>
    <cellStyle name="s_Omni_Schedules (2)_1_Funds IV Clawback Value Adjustment" xfId="28618" xr:uid="{00000000-0005-0000-0000-0000D26F0000}"/>
    <cellStyle name="s_Omni_Schedules (2)_1_IC Balance" xfId="28619" xr:uid="{00000000-0005-0000-0000-0000D36F0000}"/>
    <cellStyle name="s_Omni_Schedules (2)_1_Invested Capital Debt Worksheet" xfId="28620" xr:uid="{00000000-0005-0000-0000-0000D46F0000}"/>
    <cellStyle name="s_Omni_Schedules (2)_1_iPCs#1-Remaining" xfId="28621" xr:uid="{00000000-0005-0000-0000-0000D56F0000}"/>
    <cellStyle name="s_Omni_Schedules (2)_1_MMF Income" xfId="28622" xr:uid="{00000000-0005-0000-0000-0000D66F0000}"/>
    <cellStyle name="s_Omni_Schedules (2)_1_Partners Capital Q1 2009" xfId="28623" xr:uid="{00000000-0005-0000-0000-0000D76F0000}"/>
    <cellStyle name="s_Omni_Schedules (2)_1_Placement Fee Summary 05-14-09 - Current (2)" xfId="28624" xr:uid="{00000000-0005-0000-0000-0000D86F0000}"/>
    <cellStyle name="s_Omni_Schedules (2)_1_PR Calc" xfId="28625" xr:uid="{00000000-0005-0000-0000-0000D96F0000}"/>
    <cellStyle name="s_Omni_Schedules (2)_1_RCIV Q3 2009 Capital Analysis CURRENT" xfId="28626" xr:uid="{00000000-0005-0000-0000-0000DA6F0000}"/>
    <cellStyle name="s_Omni_Schedules (2)_AIF IV Financial Highlights 12-31-08 v4" xfId="28627" xr:uid="{00000000-0005-0000-0000-0000DB6F0000}"/>
    <cellStyle name="s_Omni_Schedules (2)_AIF IV Financial Highlights 12-31-08 v4_Apollo Investment Fund IV  Q3 2009 Capital Analysis CURRENT" xfId="28628" xr:uid="{00000000-0005-0000-0000-0000DC6F0000}"/>
    <cellStyle name="s_Omni_Schedules (2)_AIF IV Financial Highlights 12-31-08 v4_Apollo Investment Fund IV  Q3 2009 Capital Analysis iPCS &amp; URI Distribution" xfId="28629" xr:uid="{00000000-0005-0000-0000-0000DD6F0000}"/>
    <cellStyle name="s_Omni_Schedules (2)_AIF IV Financial Highlights 12-31-08 v4_iPCs#1-Remaining" xfId="28630" xr:uid="{00000000-0005-0000-0000-0000DE6F0000}"/>
    <cellStyle name="s_Omni_Schedules (2)_AIF VI - BondcoVI_Entities Invested Capital (CURRENT)" xfId="28631" xr:uid="{00000000-0005-0000-0000-0000DF6F0000}"/>
    <cellStyle name="s_Omni_Schedules (2)_AIF VI Broadleaf Watefall Summary as of 6-30-09 FINAL" xfId="28632" xr:uid="{00000000-0005-0000-0000-0000E06F0000}"/>
    <cellStyle name="s_Omni_Schedules (2)_AIF VI Broadleaf Watefall Summary as of 9-30-09" xfId="28633" xr:uid="{00000000-0005-0000-0000-0000E16F0000}"/>
    <cellStyle name="s_Omni_Schedules (2)_Andy Affrick - Schedulev2" xfId="28634" xr:uid="{00000000-0005-0000-0000-0000E26F0000}"/>
    <cellStyle name="s_Omni_Schedules (2)_Apollo Advisors IV 12-31-08 GAAP TB Final" xfId="28635" xr:uid="{00000000-0005-0000-0000-0000E36F0000}"/>
    <cellStyle name="s_Omni_Schedules (2)_Apollo Advisors IV 12-31-08 TB (Revised for Aggr PR)" xfId="28636" xr:uid="{00000000-0005-0000-0000-0000E46F0000}"/>
    <cellStyle name="s_Omni_Schedules (2)_Apollo Advisors IV 6-30-09 GAAP TB" xfId="28637" xr:uid="{00000000-0005-0000-0000-0000E56F0000}"/>
    <cellStyle name="s_Omni_Schedules (2)_Apollo Investment Fund IV  April Priority Return" xfId="28638" xr:uid="{00000000-0005-0000-0000-0000E66F0000}"/>
    <cellStyle name="s_Omni_Schedules (2)_Apollo Investment Fund IV  Q1 2009 Capital Analysis 5-22-09 with GAAP" xfId="28639" xr:uid="{00000000-0005-0000-0000-0000E76F0000}"/>
    <cellStyle name="s_Omni_Schedules (2)_Apollo Investment Fund IV  Q1 2009 Capital Analysis GAAP" xfId="28640" xr:uid="{00000000-0005-0000-0000-0000E86F0000}"/>
    <cellStyle name="s_Omni_Schedules (2)_Apollo Investment Fund IV  Q2 2009 Capital Analysis CURRENT" xfId="28641" xr:uid="{00000000-0005-0000-0000-0000E96F0000}"/>
    <cellStyle name="s_Omni_Schedules (2)_Apollo Investment Fund IV  Q3 2009 Capital Analysis CURRENT" xfId="28642" xr:uid="{00000000-0005-0000-0000-0000EA6F0000}"/>
    <cellStyle name="s_Omni_Schedules (2)_Apollo Investment Fund IV  Q3 2009 Capital Analysis iPCS &amp; URI Distribution" xfId="28643" xr:uid="{00000000-0005-0000-0000-0000EB6F0000}"/>
    <cellStyle name="s_Omni_Schedules (2)_Apollo Investment Fund IV Q1 2009 Capital Analysis PR CORRECTED 6-30-09" xfId="28644" xr:uid="{00000000-0005-0000-0000-0000EC6F0000}"/>
    <cellStyle name="s_Omni_Schedules (2)_Broadleaf Watefall 12-31-09" xfId="28645" xr:uid="{00000000-0005-0000-0000-0000ED6F0000}"/>
    <cellStyle name="s_Omni_Schedules (2)_Broadleaf Watefall 6-30-09" xfId="28646" xr:uid="{00000000-0005-0000-0000-0000EE6F0000}"/>
    <cellStyle name="s_Omni_Schedules (2)_Broadleaf Watefall 9-30-09" xfId="28647" xr:uid="{00000000-0005-0000-0000-0000EF6F0000}"/>
    <cellStyle name="s_Omni_Schedules (2)_Carry Calculation" xfId="28648" xr:uid="{00000000-0005-0000-0000-0000F06F0000}"/>
    <cellStyle name="s_Omni_Schedules (2)_Fund IV" xfId="28649" xr:uid="{00000000-0005-0000-0000-0000F16F0000}"/>
    <cellStyle name="s_Omni_Schedules (2)_Fund IV 9.30.08" xfId="28650" xr:uid="{00000000-0005-0000-0000-0000F26F0000}"/>
    <cellStyle name="s_Omni_Schedules (2)_Fund IV_1" xfId="28651" xr:uid="{00000000-0005-0000-0000-0000F36F0000}"/>
    <cellStyle name="s_Omni_Schedules (2)_Funds IV Clawback Adjustment Summary" xfId="28652" xr:uid="{00000000-0005-0000-0000-0000F46F0000}"/>
    <cellStyle name="s_Omni_Schedules (2)_Funds IV Clawback Value Adjustment" xfId="28653" xr:uid="{00000000-0005-0000-0000-0000F56F0000}"/>
    <cellStyle name="s_Omni_Schedules (2)_IC Balance" xfId="28654" xr:uid="{00000000-0005-0000-0000-0000F66F0000}"/>
    <cellStyle name="s_Omni_Schedules (2)_Invested Capital Debt Worksheet" xfId="28655" xr:uid="{00000000-0005-0000-0000-0000F76F0000}"/>
    <cellStyle name="s_Omni_Schedules (2)_Invested Capital Debt Worksheet_1" xfId="28656" xr:uid="{00000000-0005-0000-0000-0000F86F0000}"/>
    <cellStyle name="s_Omni_Schedules (2)_iPCs#1-Remaining" xfId="28657" xr:uid="{00000000-0005-0000-0000-0000F96F0000}"/>
    <cellStyle name="s_Omni_Schedules (2)_MMF Income" xfId="28658" xr:uid="{00000000-0005-0000-0000-0000FA6F0000}"/>
    <cellStyle name="s_Omni_Schedules (2)_Partners Capital Q1 2009" xfId="28659" xr:uid="{00000000-0005-0000-0000-0000FB6F0000}"/>
    <cellStyle name="s_Omni_Schedules (2)_Placement Fee Summary 05-14-09 - Current (2)" xfId="28660" xr:uid="{00000000-0005-0000-0000-0000FC6F0000}"/>
    <cellStyle name="s_Omni_Schedules (2)_PR Calc" xfId="28661" xr:uid="{00000000-0005-0000-0000-0000FD6F0000}"/>
    <cellStyle name="s_Omni_Schedules (2)_RCIV Q3 2009 Capital Analysis CURRENT" xfId="28662" xr:uid="{00000000-0005-0000-0000-0000FE6F0000}"/>
    <cellStyle name="s_Omni_Schedules (2)_Sheet1" xfId="28663" xr:uid="{00000000-0005-0000-0000-0000FF6F0000}"/>
    <cellStyle name="s_Omni_Schedules 10" xfId="28664" xr:uid="{00000000-0005-0000-0000-000000700000}"/>
    <cellStyle name="s_Omni_Schedules 11" xfId="28665" xr:uid="{00000000-0005-0000-0000-000001700000}"/>
    <cellStyle name="s_Omni_Schedules 12" xfId="28666" xr:uid="{00000000-0005-0000-0000-000002700000}"/>
    <cellStyle name="s_Omni_Schedules 13" xfId="28667" xr:uid="{00000000-0005-0000-0000-000003700000}"/>
    <cellStyle name="s_Omni_Schedules 14" xfId="28668" xr:uid="{00000000-0005-0000-0000-000004700000}"/>
    <cellStyle name="s_Omni_Schedules 15" xfId="28669" xr:uid="{00000000-0005-0000-0000-000005700000}"/>
    <cellStyle name="s_Omni_Schedules 16" xfId="28670" xr:uid="{00000000-0005-0000-0000-000006700000}"/>
    <cellStyle name="s_Omni_Schedules 17" xfId="28671" xr:uid="{00000000-0005-0000-0000-000007700000}"/>
    <cellStyle name="s_Omni_Schedules 18" xfId="28672" xr:uid="{00000000-0005-0000-0000-000008700000}"/>
    <cellStyle name="s_Omni_Schedules 19" xfId="28673" xr:uid="{00000000-0005-0000-0000-000009700000}"/>
    <cellStyle name="s_Omni_Schedules 2" xfId="28674" xr:uid="{00000000-0005-0000-0000-00000A700000}"/>
    <cellStyle name="s_Omni_Schedules 2 2" xfId="28675" xr:uid="{00000000-0005-0000-0000-00000B700000}"/>
    <cellStyle name="s_Omni_Schedules 20" xfId="28676" xr:uid="{00000000-0005-0000-0000-00000C700000}"/>
    <cellStyle name="s_Omni_Schedules 21" xfId="28677" xr:uid="{00000000-0005-0000-0000-00000D700000}"/>
    <cellStyle name="s_Omni_Schedules 22" xfId="28678" xr:uid="{00000000-0005-0000-0000-00000E700000}"/>
    <cellStyle name="s_Omni_Schedules 23" xfId="28679" xr:uid="{00000000-0005-0000-0000-00000F700000}"/>
    <cellStyle name="s_Omni_Schedules 23 2" xfId="28680" xr:uid="{00000000-0005-0000-0000-000010700000}"/>
    <cellStyle name="s_Omni_Schedules 3" xfId="28681" xr:uid="{00000000-0005-0000-0000-000011700000}"/>
    <cellStyle name="s_Omni_Schedules 3 2" xfId="28682" xr:uid="{00000000-0005-0000-0000-000012700000}"/>
    <cellStyle name="s_Omni_Schedules 4" xfId="28683" xr:uid="{00000000-0005-0000-0000-000013700000}"/>
    <cellStyle name="s_Omni_Schedules 5" xfId="28684" xr:uid="{00000000-0005-0000-0000-000014700000}"/>
    <cellStyle name="s_Omni_Schedules 6" xfId="28685" xr:uid="{00000000-0005-0000-0000-000015700000}"/>
    <cellStyle name="s_Omni_Schedules 7" xfId="28686" xr:uid="{00000000-0005-0000-0000-000016700000}"/>
    <cellStyle name="s_Omni_Schedules 8" xfId="28687" xr:uid="{00000000-0005-0000-0000-000017700000}"/>
    <cellStyle name="s_Omni_Schedules 9" xfId="28688" xr:uid="{00000000-0005-0000-0000-000018700000}"/>
    <cellStyle name="s_Omni_Schedules_{6} Clawback" xfId="28689" xr:uid="{00000000-0005-0000-0000-000019700000}"/>
    <cellStyle name="s_Omni_Schedules_1" xfId="28690" xr:uid="{00000000-0005-0000-0000-00001A700000}"/>
    <cellStyle name="s_Omni_Schedules_1 10" xfId="28691" xr:uid="{00000000-0005-0000-0000-00001B700000}"/>
    <cellStyle name="s_Omni_Schedules_1 11" xfId="28692" xr:uid="{00000000-0005-0000-0000-00001C700000}"/>
    <cellStyle name="s_Omni_Schedules_1 12" xfId="28693" xr:uid="{00000000-0005-0000-0000-00001D700000}"/>
    <cellStyle name="s_Omni_Schedules_1 13" xfId="28694" xr:uid="{00000000-0005-0000-0000-00001E700000}"/>
    <cellStyle name="s_Omni_Schedules_1 14" xfId="28695" xr:uid="{00000000-0005-0000-0000-00001F700000}"/>
    <cellStyle name="s_Omni_Schedules_1 15" xfId="28696" xr:uid="{00000000-0005-0000-0000-000020700000}"/>
    <cellStyle name="s_Omni_Schedules_1 16" xfId="28697" xr:uid="{00000000-0005-0000-0000-000021700000}"/>
    <cellStyle name="s_Omni_Schedules_1 17" xfId="28698" xr:uid="{00000000-0005-0000-0000-000022700000}"/>
    <cellStyle name="s_Omni_Schedules_1 18" xfId="28699" xr:uid="{00000000-0005-0000-0000-000023700000}"/>
    <cellStyle name="s_Omni_Schedules_1 19" xfId="28700" xr:uid="{00000000-0005-0000-0000-000024700000}"/>
    <cellStyle name="s_Omni_Schedules_1 2" xfId="28701" xr:uid="{00000000-0005-0000-0000-000025700000}"/>
    <cellStyle name="s_Omni_Schedules_1 2 2" xfId="28702" xr:uid="{00000000-0005-0000-0000-000026700000}"/>
    <cellStyle name="s_Omni_Schedules_1 20" xfId="28703" xr:uid="{00000000-0005-0000-0000-000027700000}"/>
    <cellStyle name="s_Omni_Schedules_1 21" xfId="28704" xr:uid="{00000000-0005-0000-0000-000028700000}"/>
    <cellStyle name="s_Omni_Schedules_1 22" xfId="28705" xr:uid="{00000000-0005-0000-0000-000029700000}"/>
    <cellStyle name="s_Omni_Schedules_1 23" xfId="28706" xr:uid="{00000000-0005-0000-0000-00002A700000}"/>
    <cellStyle name="s_Omni_Schedules_1 23 2" xfId="28707" xr:uid="{00000000-0005-0000-0000-00002B700000}"/>
    <cellStyle name="s_Omni_Schedules_1 3" xfId="28708" xr:uid="{00000000-0005-0000-0000-00002C700000}"/>
    <cellStyle name="s_Omni_Schedules_1 3 2" xfId="28709" xr:uid="{00000000-0005-0000-0000-00002D700000}"/>
    <cellStyle name="s_Omni_Schedules_1 4" xfId="28710" xr:uid="{00000000-0005-0000-0000-00002E700000}"/>
    <cellStyle name="s_Omni_Schedules_1 5" xfId="28711" xr:uid="{00000000-0005-0000-0000-00002F700000}"/>
    <cellStyle name="s_Omni_Schedules_1 6" xfId="28712" xr:uid="{00000000-0005-0000-0000-000030700000}"/>
    <cellStyle name="s_Omni_Schedules_1 7" xfId="28713" xr:uid="{00000000-0005-0000-0000-000031700000}"/>
    <cellStyle name="s_Omni_Schedules_1 8" xfId="28714" xr:uid="{00000000-0005-0000-0000-000032700000}"/>
    <cellStyle name="s_Omni_Schedules_1 9" xfId="28715" xr:uid="{00000000-0005-0000-0000-000033700000}"/>
    <cellStyle name="s_Omni_Schedules_1_{6} Clawback" xfId="28716" xr:uid="{00000000-0005-0000-0000-000034700000}"/>
    <cellStyle name="s_Omni_Schedules_1_AIF IV Financial Highlights 12-31-08 v4" xfId="28717" xr:uid="{00000000-0005-0000-0000-000035700000}"/>
    <cellStyle name="s_Omni_Schedules_1_AIF IV Financial Highlights 12-31-08 v4_Apollo Investment Fund IV  Q3 2009 Capital Analysis CURRENT" xfId="28718" xr:uid="{00000000-0005-0000-0000-000036700000}"/>
    <cellStyle name="s_Omni_Schedules_1_AIF IV Financial Highlights 12-31-08 v4_Apollo Investment Fund IV  Q3 2009 Capital Analysis iPCS &amp; URI Distribution" xfId="28719" xr:uid="{00000000-0005-0000-0000-000037700000}"/>
    <cellStyle name="s_Omni_Schedules_1_AIF IV Financial Highlights 12-31-08 v4_iPCs#1-Remaining" xfId="28720" xr:uid="{00000000-0005-0000-0000-000038700000}"/>
    <cellStyle name="s_Omni_Schedules_1_AIF VI - BondcoVI_Entities Invested Capital (CURRENT)" xfId="28721" xr:uid="{00000000-0005-0000-0000-000039700000}"/>
    <cellStyle name="s_Omni_Schedules_1_AIF VI Broadleaf Watefall Summary as of 6-30-09 FINAL" xfId="28722" xr:uid="{00000000-0005-0000-0000-00003A700000}"/>
    <cellStyle name="s_Omni_Schedules_1_AIF VI Broadleaf Watefall Summary as of 9-30-09" xfId="28723" xr:uid="{00000000-0005-0000-0000-00003B700000}"/>
    <cellStyle name="s_Omni_Schedules_1_Andy Affrick - Schedulev2" xfId="28724" xr:uid="{00000000-0005-0000-0000-00003C700000}"/>
    <cellStyle name="s_Omni_Schedules_1_Apollo Advisors IV 12-31-08 GAAP TB Final" xfId="28725" xr:uid="{00000000-0005-0000-0000-00003D700000}"/>
    <cellStyle name="s_Omni_Schedules_1_Apollo Advisors IV 12-31-08 TB (Revised for Aggr PR)" xfId="28726" xr:uid="{00000000-0005-0000-0000-00003E700000}"/>
    <cellStyle name="s_Omni_Schedules_1_Apollo Advisors IV 6-30-09 GAAP TB" xfId="28727" xr:uid="{00000000-0005-0000-0000-00003F700000}"/>
    <cellStyle name="s_Omni_Schedules_1_Apollo Investment Fund IV  April Priority Return" xfId="28728" xr:uid="{00000000-0005-0000-0000-000040700000}"/>
    <cellStyle name="s_Omni_Schedules_1_Apollo Investment Fund IV  Q1 2009 Capital Analysis 5-22-09 with GAAP" xfId="28729" xr:uid="{00000000-0005-0000-0000-000041700000}"/>
    <cellStyle name="s_Omni_Schedules_1_Apollo Investment Fund IV  Q1 2009 Capital Analysis GAAP" xfId="28730" xr:uid="{00000000-0005-0000-0000-000042700000}"/>
    <cellStyle name="s_Omni_Schedules_1_Apollo Investment Fund IV  Q2 2009 Capital Analysis CURRENT" xfId="28731" xr:uid="{00000000-0005-0000-0000-000043700000}"/>
    <cellStyle name="s_Omni_Schedules_1_Apollo Investment Fund IV  Q3 2009 Capital Analysis CURRENT" xfId="28732" xr:uid="{00000000-0005-0000-0000-000044700000}"/>
    <cellStyle name="s_Omni_Schedules_1_Apollo Investment Fund IV  Q3 2009 Capital Analysis iPCS &amp; URI Distribution" xfId="28733" xr:uid="{00000000-0005-0000-0000-000045700000}"/>
    <cellStyle name="s_Omni_Schedules_1_Apollo Investment Fund IV Q1 2009 Capital Analysis PR CORRECTED 6-30-09" xfId="28734" xr:uid="{00000000-0005-0000-0000-000046700000}"/>
    <cellStyle name="s_Omni_Schedules_1_Broadleaf Watefall 12-31-09" xfId="28735" xr:uid="{00000000-0005-0000-0000-000047700000}"/>
    <cellStyle name="s_Omni_Schedules_1_Broadleaf Watefall 6-30-09" xfId="28736" xr:uid="{00000000-0005-0000-0000-000048700000}"/>
    <cellStyle name="s_Omni_Schedules_1_Broadleaf Watefall 9-30-09" xfId="28737" xr:uid="{00000000-0005-0000-0000-000049700000}"/>
    <cellStyle name="s_Omni_Schedules_1_Carry Calculation" xfId="28738" xr:uid="{00000000-0005-0000-0000-00004A700000}"/>
    <cellStyle name="s_Omni_Schedules_1_Fund IV" xfId="28739" xr:uid="{00000000-0005-0000-0000-00004B700000}"/>
    <cellStyle name="s_Omni_Schedules_1_Fund IV 9.30.08" xfId="28740" xr:uid="{00000000-0005-0000-0000-00004C700000}"/>
    <cellStyle name="s_Omni_Schedules_1_Fund IV_1" xfId="28741" xr:uid="{00000000-0005-0000-0000-00004D700000}"/>
    <cellStyle name="s_Omni_Schedules_1_Funds IV Clawback Adjustment Summary" xfId="28742" xr:uid="{00000000-0005-0000-0000-00004E700000}"/>
    <cellStyle name="s_Omni_Schedules_1_Funds IV Clawback Value Adjustment" xfId="28743" xr:uid="{00000000-0005-0000-0000-00004F700000}"/>
    <cellStyle name="s_Omni_Schedules_1_IC Balance" xfId="28744" xr:uid="{00000000-0005-0000-0000-000050700000}"/>
    <cellStyle name="s_Omni_Schedules_1_Invested Capital Debt Worksheet" xfId="28745" xr:uid="{00000000-0005-0000-0000-000051700000}"/>
    <cellStyle name="s_Omni_Schedules_1_Invested Capital Debt Worksheet_1" xfId="28746" xr:uid="{00000000-0005-0000-0000-000052700000}"/>
    <cellStyle name="s_Omni_Schedules_1_iPCs#1-Remaining" xfId="28747" xr:uid="{00000000-0005-0000-0000-000053700000}"/>
    <cellStyle name="s_Omni_Schedules_1_MMF Income" xfId="28748" xr:uid="{00000000-0005-0000-0000-000054700000}"/>
    <cellStyle name="s_Omni_Schedules_1_Partners Capital Q1 2009" xfId="28749" xr:uid="{00000000-0005-0000-0000-000055700000}"/>
    <cellStyle name="s_Omni_Schedules_1_Placement Fee Summary 05-14-09 - Current (2)" xfId="28750" xr:uid="{00000000-0005-0000-0000-000056700000}"/>
    <cellStyle name="s_Omni_Schedules_1_PR Calc" xfId="28751" xr:uid="{00000000-0005-0000-0000-000057700000}"/>
    <cellStyle name="s_Omni_Schedules_1_RCIV Q3 2009 Capital Analysis CURRENT" xfId="28752" xr:uid="{00000000-0005-0000-0000-000058700000}"/>
    <cellStyle name="s_Omni_Schedules_1_Sheet1" xfId="28753" xr:uid="{00000000-0005-0000-0000-000059700000}"/>
    <cellStyle name="s_Omni_Schedules_2" xfId="28754" xr:uid="{00000000-0005-0000-0000-00005A700000}"/>
    <cellStyle name="s_Omni_Schedules_2 10" xfId="28755" xr:uid="{00000000-0005-0000-0000-00005B700000}"/>
    <cellStyle name="s_Omni_Schedules_2 11" xfId="28756" xr:uid="{00000000-0005-0000-0000-00005C700000}"/>
    <cellStyle name="s_Omni_Schedules_2 12" xfId="28757" xr:uid="{00000000-0005-0000-0000-00005D700000}"/>
    <cellStyle name="s_Omni_Schedules_2 13" xfId="28758" xr:uid="{00000000-0005-0000-0000-00005E700000}"/>
    <cellStyle name="s_Omni_Schedules_2 14" xfId="28759" xr:uid="{00000000-0005-0000-0000-00005F700000}"/>
    <cellStyle name="s_Omni_Schedules_2 15" xfId="28760" xr:uid="{00000000-0005-0000-0000-000060700000}"/>
    <cellStyle name="s_Omni_Schedules_2 16" xfId="28761" xr:uid="{00000000-0005-0000-0000-000061700000}"/>
    <cellStyle name="s_Omni_Schedules_2 17" xfId="28762" xr:uid="{00000000-0005-0000-0000-000062700000}"/>
    <cellStyle name="s_Omni_Schedules_2 18" xfId="28763" xr:uid="{00000000-0005-0000-0000-000063700000}"/>
    <cellStyle name="s_Omni_Schedules_2 19" xfId="28764" xr:uid="{00000000-0005-0000-0000-000064700000}"/>
    <cellStyle name="s_Omni_Schedules_2 2" xfId="28765" xr:uid="{00000000-0005-0000-0000-000065700000}"/>
    <cellStyle name="s_Omni_Schedules_2 2 2" xfId="28766" xr:uid="{00000000-0005-0000-0000-000066700000}"/>
    <cellStyle name="s_Omni_Schedules_2 20" xfId="28767" xr:uid="{00000000-0005-0000-0000-000067700000}"/>
    <cellStyle name="s_Omni_Schedules_2 21" xfId="28768" xr:uid="{00000000-0005-0000-0000-000068700000}"/>
    <cellStyle name="s_Omni_Schedules_2 22" xfId="28769" xr:uid="{00000000-0005-0000-0000-000069700000}"/>
    <cellStyle name="s_Omni_Schedules_2 23" xfId="28770" xr:uid="{00000000-0005-0000-0000-00006A700000}"/>
    <cellStyle name="s_Omni_Schedules_2 23 2" xfId="28771" xr:uid="{00000000-0005-0000-0000-00006B700000}"/>
    <cellStyle name="s_Omni_Schedules_2 3" xfId="28772" xr:uid="{00000000-0005-0000-0000-00006C700000}"/>
    <cellStyle name="s_Omni_Schedules_2 3 2" xfId="28773" xr:uid="{00000000-0005-0000-0000-00006D700000}"/>
    <cellStyle name="s_Omni_Schedules_2 4" xfId="28774" xr:uid="{00000000-0005-0000-0000-00006E700000}"/>
    <cellStyle name="s_Omni_Schedules_2 5" xfId="28775" xr:uid="{00000000-0005-0000-0000-00006F700000}"/>
    <cellStyle name="s_Omni_Schedules_2 6" xfId="28776" xr:uid="{00000000-0005-0000-0000-000070700000}"/>
    <cellStyle name="s_Omni_Schedules_2 7" xfId="28777" xr:uid="{00000000-0005-0000-0000-000071700000}"/>
    <cellStyle name="s_Omni_Schedules_2 8" xfId="28778" xr:uid="{00000000-0005-0000-0000-000072700000}"/>
    <cellStyle name="s_Omni_Schedules_2 9" xfId="28779" xr:uid="{00000000-0005-0000-0000-000073700000}"/>
    <cellStyle name="s_Omni_Schedules_2_{6} Clawback" xfId="28780" xr:uid="{00000000-0005-0000-0000-000074700000}"/>
    <cellStyle name="s_Omni_Schedules_2_AIF IV Financial Highlights 12-31-08 v4" xfId="28781" xr:uid="{00000000-0005-0000-0000-000075700000}"/>
    <cellStyle name="s_Omni_Schedules_2_AIF IV Financial Highlights 12-31-08 v4_Apollo Investment Fund IV  Q3 2009 Capital Analysis CURRENT" xfId="28782" xr:uid="{00000000-0005-0000-0000-000076700000}"/>
    <cellStyle name="s_Omni_Schedules_2_AIF IV Financial Highlights 12-31-08 v4_Apollo Investment Fund IV  Q3 2009 Capital Analysis iPCS &amp; URI Distribution" xfId="28783" xr:uid="{00000000-0005-0000-0000-000077700000}"/>
    <cellStyle name="s_Omni_Schedules_2_AIF IV Financial Highlights 12-31-08 v4_iPCs#1-Remaining" xfId="28784" xr:uid="{00000000-0005-0000-0000-000078700000}"/>
    <cellStyle name="s_Omni_Schedules_2_AIF VI - BondcoVI_Entities Invested Capital (CURRENT)" xfId="28785" xr:uid="{00000000-0005-0000-0000-000079700000}"/>
    <cellStyle name="s_Omni_Schedules_2_AIF VI Broadleaf Watefall Summary as of 6-30-09 FINAL" xfId="28786" xr:uid="{00000000-0005-0000-0000-00007A700000}"/>
    <cellStyle name="s_Omni_Schedules_2_AIF VI Broadleaf Watefall Summary as of 9-30-09" xfId="28787" xr:uid="{00000000-0005-0000-0000-00007B700000}"/>
    <cellStyle name="s_Omni_Schedules_2_Andy Affrick - Schedulev2" xfId="28788" xr:uid="{00000000-0005-0000-0000-00007C700000}"/>
    <cellStyle name="s_Omni_Schedules_2_Apollo Advisors IV 12-31-08 GAAP TB Final" xfId="28789" xr:uid="{00000000-0005-0000-0000-00007D700000}"/>
    <cellStyle name="s_Omni_Schedules_2_Apollo Advisors IV 12-31-08 TB (Revised for Aggr PR)" xfId="28790" xr:uid="{00000000-0005-0000-0000-00007E700000}"/>
    <cellStyle name="s_Omni_Schedules_2_Apollo Advisors IV 6-30-09 GAAP TB" xfId="28791" xr:uid="{00000000-0005-0000-0000-00007F700000}"/>
    <cellStyle name="s_Omni_Schedules_2_Apollo Investment Fund IV  April Priority Return" xfId="28792" xr:uid="{00000000-0005-0000-0000-000080700000}"/>
    <cellStyle name="s_Omni_Schedules_2_Apollo Investment Fund IV  Q1 2009 Capital Analysis 5-22-09 with GAAP" xfId="28793" xr:uid="{00000000-0005-0000-0000-000081700000}"/>
    <cellStyle name="s_Omni_Schedules_2_Apollo Investment Fund IV  Q1 2009 Capital Analysis GAAP" xfId="28794" xr:uid="{00000000-0005-0000-0000-000082700000}"/>
    <cellStyle name="s_Omni_Schedules_2_Apollo Investment Fund IV  Q2 2009 Capital Analysis CURRENT" xfId="28795" xr:uid="{00000000-0005-0000-0000-000083700000}"/>
    <cellStyle name="s_Omni_Schedules_2_Apollo Investment Fund IV  Q3 2009 Capital Analysis CURRENT" xfId="28796" xr:uid="{00000000-0005-0000-0000-000084700000}"/>
    <cellStyle name="s_Omni_Schedules_2_Apollo Investment Fund IV  Q3 2009 Capital Analysis iPCS &amp; URI Distribution" xfId="28797" xr:uid="{00000000-0005-0000-0000-000085700000}"/>
    <cellStyle name="s_Omni_Schedules_2_Apollo Investment Fund IV Q1 2009 Capital Analysis PR CORRECTED 6-30-09" xfId="28798" xr:uid="{00000000-0005-0000-0000-000086700000}"/>
    <cellStyle name="s_Omni_Schedules_2_Broadleaf Watefall 12-31-09" xfId="28799" xr:uid="{00000000-0005-0000-0000-000087700000}"/>
    <cellStyle name="s_Omni_Schedules_2_Broadleaf Watefall 6-30-09" xfId="28800" xr:uid="{00000000-0005-0000-0000-000088700000}"/>
    <cellStyle name="s_Omni_Schedules_2_Broadleaf Watefall 9-30-09" xfId="28801" xr:uid="{00000000-0005-0000-0000-000089700000}"/>
    <cellStyle name="s_Omni_Schedules_2_Carry Calculation" xfId="28802" xr:uid="{00000000-0005-0000-0000-00008A700000}"/>
    <cellStyle name="s_Omni_Schedules_2_Fund IV" xfId="28803" xr:uid="{00000000-0005-0000-0000-00008B700000}"/>
    <cellStyle name="s_Omni_Schedules_2_Fund IV 9.30.08" xfId="28804" xr:uid="{00000000-0005-0000-0000-00008C700000}"/>
    <cellStyle name="s_Omni_Schedules_2_Fund IV_1" xfId="28805" xr:uid="{00000000-0005-0000-0000-00008D700000}"/>
    <cellStyle name="s_Omni_Schedules_2_Funds IV Clawback Adjustment Summary" xfId="28806" xr:uid="{00000000-0005-0000-0000-00008E700000}"/>
    <cellStyle name="s_Omni_Schedules_2_Funds IV Clawback Value Adjustment" xfId="28807" xr:uid="{00000000-0005-0000-0000-00008F700000}"/>
    <cellStyle name="s_Omni_Schedules_2_IC Balance" xfId="28808" xr:uid="{00000000-0005-0000-0000-000090700000}"/>
    <cellStyle name="s_Omni_Schedules_2_Invested Capital Debt Worksheet" xfId="28809" xr:uid="{00000000-0005-0000-0000-000091700000}"/>
    <cellStyle name="s_Omni_Schedules_2_Invested Capital Debt Worksheet_1" xfId="28810" xr:uid="{00000000-0005-0000-0000-000092700000}"/>
    <cellStyle name="s_Omni_Schedules_2_iPCs#1-Remaining" xfId="28811" xr:uid="{00000000-0005-0000-0000-000093700000}"/>
    <cellStyle name="s_Omni_Schedules_2_MMF Income" xfId="28812" xr:uid="{00000000-0005-0000-0000-000094700000}"/>
    <cellStyle name="s_Omni_Schedules_2_Partners Capital Q1 2009" xfId="28813" xr:uid="{00000000-0005-0000-0000-000095700000}"/>
    <cellStyle name="s_Omni_Schedules_2_Placement Fee Summary 05-14-09 - Current (2)" xfId="28814" xr:uid="{00000000-0005-0000-0000-000096700000}"/>
    <cellStyle name="s_Omni_Schedules_2_PR Calc" xfId="28815" xr:uid="{00000000-0005-0000-0000-000097700000}"/>
    <cellStyle name="s_Omni_Schedules_2_RCIV Q3 2009 Capital Analysis CURRENT" xfId="28816" xr:uid="{00000000-0005-0000-0000-000098700000}"/>
    <cellStyle name="s_Omni_Schedules_2_Sheet1" xfId="28817" xr:uid="{00000000-0005-0000-0000-000099700000}"/>
    <cellStyle name="s_Omni_Schedules_AIF IV Financial Highlights 12-31-08 v4" xfId="28818" xr:uid="{00000000-0005-0000-0000-00009A700000}"/>
    <cellStyle name="s_Omni_Schedules_AIF IV Financial Highlights 12-31-08 v4_Apollo Investment Fund IV  Q3 2009 Capital Analysis CURRENT" xfId="28819" xr:uid="{00000000-0005-0000-0000-00009B700000}"/>
    <cellStyle name="s_Omni_Schedules_AIF IV Financial Highlights 12-31-08 v4_Apollo Investment Fund IV  Q3 2009 Capital Analysis iPCS &amp; URI Distribution" xfId="28820" xr:uid="{00000000-0005-0000-0000-00009C700000}"/>
    <cellStyle name="s_Omni_Schedules_AIF IV Financial Highlights 12-31-08 v4_iPCs#1-Remaining" xfId="28821" xr:uid="{00000000-0005-0000-0000-00009D700000}"/>
    <cellStyle name="s_Omni_Schedules_AIF VI - BondcoVI_Entities Invested Capital (CURRENT)" xfId="28822" xr:uid="{00000000-0005-0000-0000-00009E700000}"/>
    <cellStyle name="s_Omni_Schedules_AIF VI Broadleaf Watefall Summary as of 6-30-09 FINAL" xfId="28823" xr:uid="{00000000-0005-0000-0000-00009F700000}"/>
    <cellStyle name="s_Omni_Schedules_AIF VI Broadleaf Watefall Summary as of 9-30-09" xfId="28824" xr:uid="{00000000-0005-0000-0000-0000A0700000}"/>
    <cellStyle name="s_Omni_Schedules_Andy Affrick - Schedulev2" xfId="28825" xr:uid="{00000000-0005-0000-0000-0000A1700000}"/>
    <cellStyle name="s_Omni_Schedules_Apollo Investment Fund IV  April Priority Return" xfId="28826" xr:uid="{00000000-0005-0000-0000-0000A2700000}"/>
    <cellStyle name="s_Omni_Schedules_Apollo Investment Fund IV  Q1 2009 Capital Analysis 5-22-09 with GAAP" xfId="28827" xr:uid="{00000000-0005-0000-0000-0000A3700000}"/>
    <cellStyle name="s_Omni_Schedules_Apollo Investment Fund IV  Q1 2009 Capital Analysis GAAP" xfId="28828" xr:uid="{00000000-0005-0000-0000-0000A4700000}"/>
    <cellStyle name="s_Omni_Schedules_Apollo Investment Fund IV  Q2 2009 Capital Analysis CURRENT" xfId="28829" xr:uid="{00000000-0005-0000-0000-0000A5700000}"/>
    <cellStyle name="s_Omni_Schedules_Apollo Investment Fund IV  Q3 2009 Capital Analysis CURRENT" xfId="28830" xr:uid="{00000000-0005-0000-0000-0000A6700000}"/>
    <cellStyle name="s_Omni_Schedules_Apollo Investment Fund IV  Q3 2009 Capital Analysis iPCS &amp; URI Distribution" xfId="28831" xr:uid="{00000000-0005-0000-0000-0000A7700000}"/>
    <cellStyle name="s_Omni_Schedules_Apollo Investment Fund IV Q1 2009 Capital Analysis PR CORRECTED 6-30-09" xfId="28832" xr:uid="{00000000-0005-0000-0000-0000A8700000}"/>
    <cellStyle name="s_Omni_Schedules_Broadleaf Watefall 12-31-09" xfId="28833" xr:uid="{00000000-0005-0000-0000-0000A9700000}"/>
    <cellStyle name="s_Omni_Schedules_Broadleaf Watefall 6-30-09" xfId="28834" xr:uid="{00000000-0005-0000-0000-0000AA700000}"/>
    <cellStyle name="s_Omni_Schedules_Broadleaf Watefall 9-30-09" xfId="28835" xr:uid="{00000000-0005-0000-0000-0000AB700000}"/>
    <cellStyle name="s_Omni_Schedules_Carry Calculation" xfId="28836" xr:uid="{00000000-0005-0000-0000-0000AC700000}"/>
    <cellStyle name="s_Omni_Schedules_Fund IV" xfId="28837" xr:uid="{00000000-0005-0000-0000-0000AD700000}"/>
    <cellStyle name="s_Omni_Schedules_Fund IV 9.30.08" xfId="28838" xr:uid="{00000000-0005-0000-0000-0000AE700000}"/>
    <cellStyle name="s_Omni_Schedules_Fund IV_1" xfId="28839" xr:uid="{00000000-0005-0000-0000-0000AF700000}"/>
    <cellStyle name="s_Omni_Schedules_Funds IV Clawback Adjustment Summary" xfId="28840" xr:uid="{00000000-0005-0000-0000-0000B0700000}"/>
    <cellStyle name="s_Omni_Schedules_Funds IV Clawback Value Adjustment" xfId="28841" xr:uid="{00000000-0005-0000-0000-0000B1700000}"/>
    <cellStyle name="s_Omni_Schedules_IC Balance" xfId="28842" xr:uid="{00000000-0005-0000-0000-0000B2700000}"/>
    <cellStyle name="s_Omni_Schedules_Invested Capital Debt Worksheet" xfId="28843" xr:uid="{00000000-0005-0000-0000-0000B3700000}"/>
    <cellStyle name="s_Omni_Schedules_iPCs#1-Remaining" xfId="28844" xr:uid="{00000000-0005-0000-0000-0000B4700000}"/>
    <cellStyle name="s_Omni_Schedules_MMF Income" xfId="28845" xr:uid="{00000000-0005-0000-0000-0000B5700000}"/>
    <cellStyle name="s_Omni_Schedules_Partners Capital Q1 2009" xfId="28846" xr:uid="{00000000-0005-0000-0000-0000B6700000}"/>
    <cellStyle name="s_Omni_Schedules_Placement Fee Summary 05-14-09 - Current (2)" xfId="28847" xr:uid="{00000000-0005-0000-0000-0000B7700000}"/>
    <cellStyle name="s_Omni_Schedules_PR Calc" xfId="28848" xr:uid="{00000000-0005-0000-0000-0000B8700000}"/>
    <cellStyle name="s_Omni_Schedules_RCIV Q3 2009 Capital Analysis CURRENT" xfId="28849" xr:uid="{00000000-0005-0000-0000-0000B9700000}"/>
    <cellStyle name="s_Partners Capital Q1 2009" xfId="28850" xr:uid="{00000000-0005-0000-0000-0000BA700000}"/>
    <cellStyle name="s_PFMA Cap" xfId="28851" xr:uid="{00000000-0005-0000-0000-0000BB700000}"/>
    <cellStyle name="s_PFMA Cap (2)" xfId="28852" xr:uid="{00000000-0005-0000-0000-0000BC700000}"/>
    <cellStyle name="s_PFMA Cap (2) 10" xfId="28853" xr:uid="{00000000-0005-0000-0000-0000BD700000}"/>
    <cellStyle name="s_PFMA Cap (2) 11" xfId="28854" xr:uid="{00000000-0005-0000-0000-0000BE700000}"/>
    <cellStyle name="s_PFMA Cap (2) 12" xfId="28855" xr:uid="{00000000-0005-0000-0000-0000BF700000}"/>
    <cellStyle name="s_PFMA Cap (2) 13" xfId="28856" xr:uid="{00000000-0005-0000-0000-0000C0700000}"/>
    <cellStyle name="s_PFMA Cap (2) 14" xfId="28857" xr:uid="{00000000-0005-0000-0000-0000C1700000}"/>
    <cellStyle name="s_PFMA Cap (2) 15" xfId="28858" xr:uid="{00000000-0005-0000-0000-0000C2700000}"/>
    <cellStyle name="s_PFMA Cap (2) 16" xfId="28859" xr:uid="{00000000-0005-0000-0000-0000C3700000}"/>
    <cellStyle name="s_PFMA Cap (2) 17" xfId="28860" xr:uid="{00000000-0005-0000-0000-0000C4700000}"/>
    <cellStyle name="s_PFMA Cap (2) 18" xfId="28861" xr:uid="{00000000-0005-0000-0000-0000C5700000}"/>
    <cellStyle name="s_PFMA Cap (2) 19" xfId="28862" xr:uid="{00000000-0005-0000-0000-0000C6700000}"/>
    <cellStyle name="s_PFMA Cap (2) 2" xfId="28863" xr:uid="{00000000-0005-0000-0000-0000C7700000}"/>
    <cellStyle name="s_PFMA Cap (2) 2 2" xfId="28864" xr:uid="{00000000-0005-0000-0000-0000C8700000}"/>
    <cellStyle name="s_PFMA Cap (2) 20" xfId="28865" xr:uid="{00000000-0005-0000-0000-0000C9700000}"/>
    <cellStyle name="s_PFMA Cap (2) 21" xfId="28866" xr:uid="{00000000-0005-0000-0000-0000CA700000}"/>
    <cellStyle name="s_PFMA Cap (2) 22" xfId="28867" xr:uid="{00000000-0005-0000-0000-0000CB700000}"/>
    <cellStyle name="s_PFMA Cap (2) 23" xfId="28868" xr:uid="{00000000-0005-0000-0000-0000CC700000}"/>
    <cellStyle name="s_PFMA Cap (2) 23 2" xfId="28869" xr:uid="{00000000-0005-0000-0000-0000CD700000}"/>
    <cellStyle name="s_PFMA Cap (2) 3" xfId="28870" xr:uid="{00000000-0005-0000-0000-0000CE700000}"/>
    <cellStyle name="s_PFMA Cap (2) 3 2" xfId="28871" xr:uid="{00000000-0005-0000-0000-0000CF700000}"/>
    <cellStyle name="s_PFMA Cap (2) 4" xfId="28872" xr:uid="{00000000-0005-0000-0000-0000D0700000}"/>
    <cellStyle name="s_PFMA Cap (2) 5" xfId="28873" xr:uid="{00000000-0005-0000-0000-0000D1700000}"/>
    <cellStyle name="s_PFMA Cap (2) 6" xfId="28874" xr:uid="{00000000-0005-0000-0000-0000D2700000}"/>
    <cellStyle name="s_PFMA Cap (2) 7" xfId="28875" xr:uid="{00000000-0005-0000-0000-0000D3700000}"/>
    <cellStyle name="s_PFMA Cap (2) 8" xfId="28876" xr:uid="{00000000-0005-0000-0000-0000D4700000}"/>
    <cellStyle name="s_PFMA Cap (2) 9" xfId="28877" xr:uid="{00000000-0005-0000-0000-0000D5700000}"/>
    <cellStyle name="s_PFMA Cap (2)_{6} Clawback" xfId="28878" xr:uid="{00000000-0005-0000-0000-0000D6700000}"/>
    <cellStyle name="s_PFMA Cap (2)_1" xfId="28879" xr:uid="{00000000-0005-0000-0000-0000D7700000}"/>
    <cellStyle name="s_PFMA Cap (2)_1 10" xfId="28880" xr:uid="{00000000-0005-0000-0000-0000D8700000}"/>
    <cellStyle name="s_PFMA Cap (2)_1 11" xfId="28881" xr:uid="{00000000-0005-0000-0000-0000D9700000}"/>
    <cellStyle name="s_PFMA Cap (2)_1 12" xfId="28882" xr:uid="{00000000-0005-0000-0000-0000DA700000}"/>
    <cellStyle name="s_PFMA Cap (2)_1 13" xfId="28883" xr:uid="{00000000-0005-0000-0000-0000DB700000}"/>
    <cellStyle name="s_PFMA Cap (2)_1 14" xfId="28884" xr:uid="{00000000-0005-0000-0000-0000DC700000}"/>
    <cellStyle name="s_PFMA Cap (2)_1 15" xfId="28885" xr:uid="{00000000-0005-0000-0000-0000DD700000}"/>
    <cellStyle name="s_PFMA Cap (2)_1 16" xfId="28886" xr:uid="{00000000-0005-0000-0000-0000DE700000}"/>
    <cellStyle name="s_PFMA Cap (2)_1 17" xfId="28887" xr:uid="{00000000-0005-0000-0000-0000DF700000}"/>
    <cellStyle name="s_PFMA Cap (2)_1 18" xfId="28888" xr:uid="{00000000-0005-0000-0000-0000E0700000}"/>
    <cellStyle name="s_PFMA Cap (2)_1 19" xfId="28889" xr:uid="{00000000-0005-0000-0000-0000E1700000}"/>
    <cellStyle name="s_PFMA Cap (2)_1 2" xfId="28890" xr:uid="{00000000-0005-0000-0000-0000E2700000}"/>
    <cellStyle name="s_PFMA Cap (2)_1 2 2" xfId="28891" xr:uid="{00000000-0005-0000-0000-0000E3700000}"/>
    <cellStyle name="s_PFMA Cap (2)_1 20" xfId="28892" xr:uid="{00000000-0005-0000-0000-0000E4700000}"/>
    <cellStyle name="s_PFMA Cap (2)_1 21" xfId="28893" xr:uid="{00000000-0005-0000-0000-0000E5700000}"/>
    <cellStyle name="s_PFMA Cap (2)_1 22" xfId="28894" xr:uid="{00000000-0005-0000-0000-0000E6700000}"/>
    <cellStyle name="s_PFMA Cap (2)_1 23" xfId="28895" xr:uid="{00000000-0005-0000-0000-0000E7700000}"/>
    <cellStyle name="s_PFMA Cap (2)_1 23 2" xfId="28896" xr:uid="{00000000-0005-0000-0000-0000E8700000}"/>
    <cellStyle name="s_PFMA Cap (2)_1 3" xfId="28897" xr:uid="{00000000-0005-0000-0000-0000E9700000}"/>
    <cellStyle name="s_PFMA Cap (2)_1 3 2" xfId="28898" xr:uid="{00000000-0005-0000-0000-0000EA700000}"/>
    <cellStyle name="s_PFMA Cap (2)_1 4" xfId="28899" xr:uid="{00000000-0005-0000-0000-0000EB700000}"/>
    <cellStyle name="s_PFMA Cap (2)_1 5" xfId="28900" xr:uid="{00000000-0005-0000-0000-0000EC700000}"/>
    <cellStyle name="s_PFMA Cap (2)_1 6" xfId="28901" xr:uid="{00000000-0005-0000-0000-0000ED700000}"/>
    <cellStyle name="s_PFMA Cap (2)_1 7" xfId="28902" xr:uid="{00000000-0005-0000-0000-0000EE700000}"/>
    <cellStyle name="s_PFMA Cap (2)_1 8" xfId="28903" xr:uid="{00000000-0005-0000-0000-0000EF700000}"/>
    <cellStyle name="s_PFMA Cap (2)_1 9" xfId="28904" xr:uid="{00000000-0005-0000-0000-0000F0700000}"/>
    <cellStyle name="s_PFMA Cap (2)_1_{6} Clawback" xfId="28905" xr:uid="{00000000-0005-0000-0000-0000F1700000}"/>
    <cellStyle name="s_PFMA Cap (2)_1_AIF IV Financial Highlights 12-31-08 v4" xfId="28906" xr:uid="{00000000-0005-0000-0000-0000F2700000}"/>
    <cellStyle name="s_PFMA Cap (2)_1_AIF IV Financial Highlights 12-31-08 v4_Apollo Investment Fund IV  Q3 2009 Capital Analysis CURRENT" xfId="28907" xr:uid="{00000000-0005-0000-0000-0000F3700000}"/>
    <cellStyle name="s_PFMA Cap (2)_1_AIF IV Financial Highlights 12-31-08 v4_Apollo Investment Fund IV  Q3 2009 Capital Analysis iPCS &amp; URI Distribution" xfId="28908" xr:uid="{00000000-0005-0000-0000-0000F4700000}"/>
    <cellStyle name="s_PFMA Cap (2)_1_AIF IV Financial Highlights 12-31-08 v4_iPCs#1-Remaining" xfId="28909" xr:uid="{00000000-0005-0000-0000-0000F5700000}"/>
    <cellStyle name="s_PFMA Cap (2)_1_AIF VI - BondcoVI_Entities Invested Capital (CURRENT)" xfId="28910" xr:uid="{00000000-0005-0000-0000-0000F6700000}"/>
    <cellStyle name="s_PFMA Cap (2)_1_AIF VI Broadleaf Watefall Summary as of 6-30-09 FINAL" xfId="28911" xr:uid="{00000000-0005-0000-0000-0000F7700000}"/>
    <cellStyle name="s_PFMA Cap (2)_1_AIF VI Broadleaf Watefall Summary as of 9-30-09" xfId="28912" xr:uid="{00000000-0005-0000-0000-0000F8700000}"/>
    <cellStyle name="s_PFMA Cap (2)_1_Andy Affrick - Schedulev2" xfId="28913" xr:uid="{00000000-0005-0000-0000-0000F9700000}"/>
    <cellStyle name="s_PFMA Cap (2)_1_Apollo Advisors IV 12-31-08 GAAP TB Final" xfId="28914" xr:uid="{00000000-0005-0000-0000-0000FA700000}"/>
    <cellStyle name="s_PFMA Cap (2)_1_Apollo Advisors IV 12-31-08 TB (Revised for Aggr PR)" xfId="28915" xr:uid="{00000000-0005-0000-0000-0000FB700000}"/>
    <cellStyle name="s_PFMA Cap (2)_1_Apollo Advisors IV 6-30-09 GAAP TB" xfId="28916" xr:uid="{00000000-0005-0000-0000-0000FC700000}"/>
    <cellStyle name="s_PFMA Cap (2)_1_Apollo Investment Fund IV  April Priority Return" xfId="28917" xr:uid="{00000000-0005-0000-0000-0000FD700000}"/>
    <cellStyle name="s_PFMA Cap (2)_1_Apollo Investment Fund IV  Q1 2009 Capital Analysis 5-22-09 with GAAP" xfId="28918" xr:uid="{00000000-0005-0000-0000-0000FE700000}"/>
    <cellStyle name="s_PFMA Cap (2)_1_Apollo Investment Fund IV  Q1 2009 Capital Analysis GAAP" xfId="28919" xr:uid="{00000000-0005-0000-0000-0000FF700000}"/>
    <cellStyle name="s_PFMA Cap (2)_1_Apollo Investment Fund IV  Q2 2009 Capital Analysis CURRENT" xfId="28920" xr:uid="{00000000-0005-0000-0000-000000710000}"/>
    <cellStyle name="s_PFMA Cap (2)_1_Apollo Investment Fund IV  Q3 2009 Capital Analysis CURRENT" xfId="28921" xr:uid="{00000000-0005-0000-0000-000001710000}"/>
    <cellStyle name="s_PFMA Cap (2)_1_Apollo Investment Fund IV  Q3 2009 Capital Analysis iPCS &amp; URI Distribution" xfId="28922" xr:uid="{00000000-0005-0000-0000-000002710000}"/>
    <cellStyle name="s_PFMA Cap (2)_1_Apollo Investment Fund IV Q1 2009 Capital Analysis PR CORRECTED 6-30-09" xfId="28923" xr:uid="{00000000-0005-0000-0000-000003710000}"/>
    <cellStyle name="s_PFMA Cap (2)_1_Broadleaf Watefall 12-31-09" xfId="28924" xr:uid="{00000000-0005-0000-0000-000004710000}"/>
    <cellStyle name="s_PFMA Cap (2)_1_Broadleaf Watefall 6-30-09" xfId="28925" xr:uid="{00000000-0005-0000-0000-000005710000}"/>
    <cellStyle name="s_PFMA Cap (2)_1_Broadleaf Watefall 9-30-09" xfId="28926" xr:uid="{00000000-0005-0000-0000-000006710000}"/>
    <cellStyle name="s_PFMA Cap (2)_1_Carry Calculation" xfId="28927" xr:uid="{00000000-0005-0000-0000-000007710000}"/>
    <cellStyle name="s_PFMA Cap (2)_1_Fund IV" xfId="28928" xr:uid="{00000000-0005-0000-0000-000008710000}"/>
    <cellStyle name="s_PFMA Cap (2)_1_Fund IV 9.30.08" xfId="28929" xr:uid="{00000000-0005-0000-0000-000009710000}"/>
    <cellStyle name="s_PFMA Cap (2)_1_Fund IV_1" xfId="28930" xr:uid="{00000000-0005-0000-0000-00000A710000}"/>
    <cellStyle name="s_PFMA Cap (2)_1_Funds IV Clawback Adjustment Summary" xfId="28931" xr:uid="{00000000-0005-0000-0000-00000B710000}"/>
    <cellStyle name="s_PFMA Cap (2)_1_Funds IV Clawback Value Adjustment" xfId="28932" xr:uid="{00000000-0005-0000-0000-00000C710000}"/>
    <cellStyle name="s_PFMA Cap (2)_1_IC Balance" xfId="28933" xr:uid="{00000000-0005-0000-0000-00000D710000}"/>
    <cellStyle name="s_PFMA Cap (2)_1_Invested Capital Debt Worksheet" xfId="28934" xr:uid="{00000000-0005-0000-0000-00000E710000}"/>
    <cellStyle name="s_PFMA Cap (2)_1_Invested Capital Debt Worksheet_1" xfId="28935" xr:uid="{00000000-0005-0000-0000-00000F710000}"/>
    <cellStyle name="s_PFMA Cap (2)_1_iPCs#1-Remaining" xfId="28936" xr:uid="{00000000-0005-0000-0000-000010710000}"/>
    <cellStyle name="s_PFMA Cap (2)_1_MMF Income" xfId="28937" xr:uid="{00000000-0005-0000-0000-000011710000}"/>
    <cellStyle name="s_PFMA Cap (2)_1_Partners Capital Q1 2009" xfId="28938" xr:uid="{00000000-0005-0000-0000-000012710000}"/>
    <cellStyle name="s_PFMA Cap (2)_1_Placement Fee Summary 05-14-09 - Current (2)" xfId="28939" xr:uid="{00000000-0005-0000-0000-000013710000}"/>
    <cellStyle name="s_PFMA Cap (2)_1_PR Calc" xfId="28940" xr:uid="{00000000-0005-0000-0000-000014710000}"/>
    <cellStyle name="s_PFMA Cap (2)_1_RCIV Q3 2009 Capital Analysis CURRENT" xfId="28941" xr:uid="{00000000-0005-0000-0000-000015710000}"/>
    <cellStyle name="s_PFMA Cap (2)_1_Sheet1" xfId="28942" xr:uid="{00000000-0005-0000-0000-000016710000}"/>
    <cellStyle name="s_PFMA Cap (2)_2" xfId="28943" xr:uid="{00000000-0005-0000-0000-000017710000}"/>
    <cellStyle name="s_PFMA Cap (2)_2 10" xfId="28944" xr:uid="{00000000-0005-0000-0000-000018710000}"/>
    <cellStyle name="s_PFMA Cap (2)_2 11" xfId="28945" xr:uid="{00000000-0005-0000-0000-000019710000}"/>
    <cellStyle name="s_PFMA Cap (2)_2 12" xfId="28946" xr:uid="{00000000-0005-0000-0000-00001A710000}"/>
    <cellStyle name="s_PFMA Cap (2)_2 13" xfId="28947" xr:uid="{00000000-0005-0000-0000-00001B710000}"/>
    <cellStyle name="s_PFMA Cap (2)_2 14" xfId="28948" xr:uid="{00000000-0005-0000-0000-00001C710000}"/>
    <cellStyle name="s_PFMA Cap (2)_2 15" xfId="28949" xr:uid="{00000000-0005-0000-0000-00001D710000}"/>
    <cellStyle name="s_PFMA Cap (2)_2 16" xfId="28950" xr:uid="{00000000-0005-0000-0000-00001E710000}"/>
    <cellStyle name="s_PFMA Cap (2)_2 17" xfId="28951" xr:uid="{00000000-0005-0000-0000-00001F710000}"/>
    <cellStyle name="s_PFMA Cap (2)_2 18" xfId="28952" xr:uid="{00000000-0005-0000-0000-000020710000}"/>
    <cellStyle name="s_PFMA Cap (2)_2 19" xfId="28953" xr:uid="{00000000-0005-0000-0000-000021710000}"/>
    <cellStyle name="s_PFMA Cap (2)_2 2" xfId="28954" xr:uid="{00000000-0005-0000-0000-000022710000}"/>
    <cellStyle name="s_PFMA Cap (2)_2 2 2" xfId="28955" xr:uid="{00000000-0005-0000-0000-000023710000}"/>
    <cellStyle name="s_PFMA Cap (2)_2 20" xfId="28956" xr:uid="{00000000-0005-0000-0000-000024710000}"/>
    <cellStyle name="s_PFMA Cap (2)_2 21" xfId="28957" xr:uid="{00000000-0005-0000-0000-000025710000}"/>
    <cellStyle name="s_PFMA Cap (2)_2 22" xfId="28958" xr:uid="{00000000-0005-0000-0000-000026710000}"/>
    <cellStyle name="s_PFMA Cap (2)_2 23" xfId="28959" xr:uid="{00000000-0005-0000-0000-000027710000}"/>
    <cellStyle name="s_PFMA Cap (2)_2 23 2" xfId="28960" xr:uid="{00000000-0005-0000-0000-000028710000}"/>
    <cellStyle name="s_PFMA Cap (2)_2 3" xfId="28961" xr:uid="{00000000-0005-0000-0000-000029710000}"/>
    <cellStyle name="s_PFMA Cap (2)_2 3 2" xfId="28962" xr:uid="{00000000-0005-0000-0000-00002A710000}"/>
    <cellStyle name="s_PFMA Cap (2)_2 4" xfId="28963" xr:uid="{00000000-0005-0000-0000-00002B710000}"/>
    <cellStyle name="s_PFMA Cap (2)_2 5" xfId="28964" xr:uid="{00000000-0005-0000-0000-00002C710000}"/>
    <cellStyle name="s_PFMA Cap (2)_2 6" xfId="28965" xr:uid="{00000000-0005-0000-0000-00002D710000}"/>
    <cellStyle name="s_PFMA Cap (2)_2 7" xfId="28966" xr:uid="{00000000-0005-0000-0000-00002E710000}"/>
    <cellStyle name="s_PFMA Cap (2)_2 8" xfId="28967" xr:uid="{00000000-0005-0000-0000-00002F710000}"/>
    <cellStyle name="s_PFMA Cap (2)_2 9" xfId="28968" xr:uid="{00000000-0005-0000-0000-000030710000}"/>
    <cellStyle name="s_PFMA Cap (2)_2_{6} Clawback" xfId="28969" xr:uid="{00000000-0005-0000-0000-000031710000}"/>
    <cellStyle name="s_PFMA Cap (2)_2_AIF IV Financial Highlights 12-31-08 v4" xfId="28970" xr:uid="{00000000-0005-0000-0000-000032710000}"/>
    <cellStyle name="s_PFMA Cap (2)_2_AIF IV Financial Highlights 12-31-08 v4_Apollo Investment Fund IV  Q3 2009 Capital Analysis CURRENT" xfId="28971" xr:uid="{00000000-0005-0000-0000-000033710000}"/>
    <cellStyle name="s_PFMA Cap (2)_2_AIF IV Financial Highlights 12-31-08 v4_Apollo Investment Fund IV  Q3 2009 Capital Analysis iPCS &amp; URI Distribution" xfId="28972" xr:uid="{00000000-0005-0000-0000-000034710000}"/>
    <cellStyle name="s_PFMA Cap (2)_2_AIF IV Financial Highlights 12-31-08 v4_iPCs#1-Remaining" xfId="28973" xr:uid="{00000000-0005-0000-0000-000035710000}"/>
    <cellStyle name="s_PFMA Cap (2)_2_AIF VI - BondcoVI_Entities Invested Capital (CURRENT)" xfId="28974" xr:uid="{00000000-0005-0000-0000-000036710000}"/>
    <cellStyle name="s_PFMA Cap (2)_2_AIF VI Broadleaf Watefall Summary as of 6-30-09 FINAL" xfId="28975" xr:uid="{00000000-0005-0000-0000-000037710000}"/>
    <cellStyle name="s_PFMA Cap (2)_2_AIF VI Broadleaf Watefall Summary as of 9-30-09" xfId="28976" xr:uid="{00000000-0005-0000-0000-000038710000}"/>
    <cellStyle name="s_PFMA Cap (2)_2_Andy Affrick - Schedulev2" xfId="28977" xr:uid="{00000000-0005-0000-0000-000039710000}"/>
    <cellStyle name="s_PFMA Cap (2)_2_Apollo Investment Fund IV  April Priority Return" xfId="28978" xr:uid="{00000000-0005-0000-0000-00003A710000}"/>
    <cellStyle name="s_PFMA Cap (2)_2_Apollo Investment Fund IV  Q1 2009 Capital Analysis 5-22-09 with GAAP" xfId="28979" xr:uid="{00000000-0005-0000-0000-00003B710000}"/>
    <cellStyle name="s_PFMA Cap (2)_2_Apollo Investment Fund IV  Q1 2009 Capital Analysis GAAP" xfId="28980" xr:uid="{00000000-0005-0000-0000-00003C710000}"/>
    <cellStyle name="s_PFMA Cap (2)_2_Apollo Investment Fund IV  Q2 2009 Capital Analysis CURRENT" xfId="28981" xr:uid="{00000000-0005-0000-0000-00003D710000}"/>
    <cellStyle name="s_PFMA Cap (2)_2_Apollo Investment Fund IV  Q3 2009 Capital Analysis CURRENT" xfId="28982" xr:uid="{00000000-0005-0000-0000-00003E710000}"/>
    <cellStyle name="s_PFMA Cap (2)_2_Apollo Investment Fund IV  Q3 2009 Capital Analysis iPCS &amp; URI Distribution" xfId="28983" xr:uid="{00000000-0005-0000-0000-00003F710000}"/>
    <cellStyle name="s_PFMA Cap (2)_2_Apollo Investment Fund IV Q1 2009 Capital Analysis PR CORRECTED 6-30-09" xfId="28984" xr:uid="{00000000-0005-0000-0000-000040710000}"/>
    <cellStyle name="s_PFMA Cap (2)_2_Broadleaf Watefall 12-31-09" xfId="28985" xr:uid="{00000000-0005-0000-0000-000041710000}"/>
    <cellStyle name="s_PFMA Cap (2)_2_Broadleaf Watefall 6-30-09" xfId="28986" xr:uid="{00000000-0005-0000-0000-000042710000}"/>
    <cellStyle name="s_PFMA Cap (2)_2_Broadleaf Watefall 9-30-09" xfId="28987" xr:uid="{00000000-0005-0000-0000-000043710000}"/>
    <cellStyle name="s_PFMA Cap (2)_2_Carry Calculation" xfId="28988" xr:uid="{00000000-0005-0000-0000-000044710000}"/>
    <cellStyle name="s_PFMA Cap (2)_2_Fund IV" xfId="28989" xr:uid="{00000000-0005-0000-0000-000045710000}"/>
    <cellStyle name="s_PFMA Cap (2)_2_Fund IV 9.30.08" xfId="28990" xr:uid="{00000000-0005-0000-0000-000046710000}"/>
    <cellStyle name="s_PFMA Cap (2)_2_Fund IV_1" xfId="28991" xr:uid="{00000000-0005-0000-0000-000047710000}"/>
    <cellStyle name="s_PFMA Cap (2)_2_Funds IV Clawback Adjustment Summary" xfId="28992" xr:uid="{00000000-0005-0000-0000-000048710000}"/>
    <cellStyle name="s_PFMA Cap (2)_2_Funds IV Clawback Value Adjustment" xfId="28993" xr:uid="{00000000-0005-0000-0000-000049710000}"/>
    <cellStyle name="s_PFMA Cap (2)_2_IC Balance" xfId="28994" xr:uid="{00000000-0005-0000-0000-00004A710000}"/>
    <cellStyle name="s_PFMA Cap (2)_2_Invested Capital Debt Worksheet" xfId="28995" xr:uid="{00000000-0005-0000-0000-00004B710000}"/>
    <cellStyle name="s_PFMA Cap (2)_2_iPCs#1-Remaining" xfId="28996" xr:uid="{00000000-0005-0000-0000-00004C710000}"/>
    <cellStyle name="s_PFMA Cap (2)_2_MMF Income" xfId="28997" xr:uid="{00000000-0005-0000-0000-00004D710000}"/>
    <cellStyle name="s_PFMA Cap (2)_2_Partners Capital Q1 2009" xfId="28998" xr:uid="{00000000-0005-0000-0000-00004E710000}"/>
    <cellStyle name="s_PFMA Cap (2)_2_Placement Fee Summary 05-14-09 - Current (2)" xfId="28999" xr:uid="{00000000-0005-0000-0000-00004F710000}"/>
    <cellStyle name="s_PFMA Cap (2)_2_PR Calc" xfId="29000" xr:uid="{00000000-0005-0000-0000-000050710000}"/>
    <cellStyle name="s_PFMA Cap (2)_2_RCIV Q3 2009 Capital Analysis CURRENT" xfId="29001" xr:uid="{00000000-0005-0000-0000-000051710000}"/>
    <cellStyle name="s_PFMA Cap (2)_AIF IV Financial Highlights 12-31-08 v4" xfId="29002" xr:uid="{00000000-0005-0000-0000-000052710000}"/>
    <cellStyle name="s_PFMA Cap (2)_AIF IV Financial Highlights 12-31-08 v4_Apollo Investment Fund IV  Q3 2009 Capital Analysis CURRENT" xfId="29003" xr:uid="{00000000-0005-0000-0000-000053710000}"/>
    <cellStyle name="s_PFMA Cap (2)_AIF IV Financial Highlights 12-31-08 v4_Apollo Investment Fund IV  Q3 2009 Capital Analysis iPCS &amp; URI Distribution" xfId="29004" xr:uid="{00000000-0005-0000-0000-000054710000}"/>
    <cellStyle name="s_PFMA Cap (2)_AIF IV Financial Highlights 12-31-08 v4_iPCs#1-Remaining" xfId="29005" xr:uid="{00000000-0005-0000-0000-000055710000}"/>
    <cellStyle name="s_PFMA Cap (2)_AIF VI - BondcoVI_Entities Invested Capital (CURRENT)" xfId="29006" xr:uid="{00000000-0005-0000-0000-000056710000}"/>
    <cellStyle name="s_PFMA Cap (2)_AIF VI Broadleaf Watefall Summary as of 6-30-09 FINAL" xfId="29007" xr:uid="{00000000-0005-0000-0000-000057710000}"/>
    <cellStyle name="s_PFMA Cap (2)_AIF VI Broadleaf Watefall Summary as of 9-30-09" xfId="29008" xr:uid="{00000000-0005-0000-0000-000058710000}"/>
    <cellStyle name="s_PFMA Cap (2)_Andy Affrick - Schedulev2" xfId="29009" xr:uid="{00000000-0005-0000-0000-000059710000}"/>
    <cellStyle name="s_PFMA Cap (2)_Apollo Advisors IV 12-31-08 GAAP TB Final" xfId="29010" xr:uid="{00000000-0005-0000-0000-00005A710000}"/>
    <cellStyle name="s_PFMA Cap (2)_Apollo Advisors IV 12-31-08 TB (Revised for Aggr PR)" xfId="29011" xr:uid="{00000000-0005-0000-0000-00005B710000}"/>
    <cellStyle name="s_PFMA Cap (2)_Apollo Advisors IV 6-30-09 GAAP TB" xfId="29012" xr:uid="{00000000-0005-0000-0000-00005C710000}"/>
    <cellStyle name="s_PFMA Cap (2)_Apollo Investment Fund IV  April Priority Return" xfId="29013" xr:uid="{00000000-0005-0000-0000-00005D710000}"/>
    <cellStyle name="s_PFMA Cap (2)_Apollo Investment Fund IV  Q1 2009 Capital Analysis 5-22-09 with GAAP" xfId="29014" xr:uid="{00000000-0005-0000-0000-00005E710000}"/>
    <cellStyle name="s_PFMA Cap (2)_Apollo Investment Fund IV  Q1 2009 Capital Analysis GAAP" xfId="29015" xr:uid="{00000000-0005-0000-0000-00005F710000}"/>
    <cellStyle name="s_PFMA Cap (2)_Apollo Investment Fund IV  Q2 2009 Capital Analysis CURRENT" xfId="29016" xr:uid="{00000000-0005-0000-0000-000060710000}"/>
    <cellStyle name="s_PFMA Cap (2)_Apollo Investment Fund IV  Q3 2009 Capital Analysis CURRENT" xfId="29017" xr:uid="{00000000-0005-0000-0000-000061710000}"/>
    <cellStyle name="s_PFMA Cap (2)_Apollo Investment Fund IV  Q3 2009 Capital Analysis iPCS &amp; URI Distribution" xfId="29018" xr:uid="{00000000-0005-0000-0000-000062710000}"/>
    <cellStyle name="s_PFMA Cap (2)_Apollo Investment Fund IV Q1 2009 Capital Analysis PR CORRECTED 6-30-09" xfId="29019" xr:uid="{00000000-0005-0000-0000-000063710000}"/>
    <cellStyle name="s_PFMA Cap (2)_Broadleaf Watefall 12-31-09" xfId="29020" xr:uid="{00000000-0005-0000-0000-000064710000}"/>
    <cellStyle name="s_PFMA Cap (2)_Broadleaf Watefall 6-30-09" xfId="29021" xr:uid="{00000000-0005-0000-0000-000065710000}"/>
    <cellStyle name="s_PFMA Cap (2)_Broadleaf Watefall 9-30-09" xfId="29022" xr:uid="{00000000-0005-0000-0000-000066710000}"/>
    <cellStyle name="s_PFMA Cap (2)_Carry Calculation" xfId="29023" xr:uid="{00000000-0005-0000-0000-000067710000}"/>
    <cellStyle name="s_PFMA Cap (2)_Fund IV" xfId="29024" xr:uid="{00000000-0005-0000-0000-000068710000}"/>
    <cellStyle name="s_PFMA Cap (2)_Fund IV 9.30.08" xfId="29025" xr:uid="{00000000-0005-0000-0000-000069710000}"/>
    <cellStyle name="s_PFMA Cap (2)_Fund IV_1" xfId="29026" xr:uid="{00000000-0005-0000-0000-00006A710000}"/>
    <cellStyle name="s_PFMA Cap (2)_Funds IV Clawback Adjustment Summary" xfId="29027" xr:uid="{00000000-0005-0000-0000-00006B710000}"/>
    <cellStyle name="s_PFMA Cap (2)_Funds IV Clawback Value Adjustment" xfId="29028" xr:uid="{00000000-0005-0000-0000-00006C710000}"/>
    <cellStyle name="s_PFMA Cap (2)_IC Balance" xfId="29029" xr:uid="{00000000-0005-0000-0000-00006D710000}"/>
    <cellStyle name="s_PFMA Cap (2)_Invested Capital Debt Worksheet" xfId="29030" xr:uid="{00000000-0005-0000-0000-00006E710000}"/>
    <cellStyle name="s_PFMA Cap (2)_Invested Capital Debt Worksheet_1" xfId="29031" xr:uid="{00000000-0005-0000-0000-00006F710000}"/>
    <cellStyle name="s_PFMA Cap (2)_iPCs#1-Remaining" xfId="29032" xr:uid="{00000000-0005-0000-0000-000070710000}"/>
    <cellStyle name="s_PFMA Cap (2)_MMF Income" xfId="29033" xr:uid="{00000000-0005-0000-0000-000071710000}"/>
    <cellStyle name="s_PFMA Cap (2)_Partners Capital Q1 2009" xfId="29034" xr:uid="{00000000-0005-0000-0000-000072710000}"/>
    <cellStyle name="s_PFMA Cap (2)_Placement Fee Summary 05-14-09 - Current (2)" xfId="29035" xr:uid="{00000000-0005-0000-0000-000073710000}"/>
    <cellStyle name="s_PFMA Cap (2)_PR Calc" xfId="29036" xr:uid="{00000000-0005-0000-0000-000074710000}"/>
    <cellStyle name="s_PFMA Cap (2)_RCIV Q3 2009 Capital Analysis CURRENT" xfId="29037" xr:uid="{00000000-0005-0000-0000-000075710000}"/>
    <cellStyle name="s_PFMA Cap (2)_Sheet1" xfId="29038" xr:uid="{00000000-0005-0000-0000-000076710000}"/>
    <cellStyle name="s_PFMA Cap 10" xfId="29039" xr:uid="{00000000-0005-0000-0000-000077710000}"/>
    <cellStyle name="s_PFMA Cap 11" xfId="29040" xr:uid="{00000000-0005-0000-0000-000078710000}"/>
    <cellStyle name="s_PFMA Cap 12" xfId="29041" xr:uid="{00000000-0005-0000-0000-000079710000}"/>
    <cellStyle name="s_PFMA Cap 13" xfId="29042" xr:uid="{00000000-0005-0000-0000-00007A710000}"/>
    <cellStyle name="s_PFMA Cap 14" xfId="29043" xr:uid="{00000000-0005-0000-0000-00007B710000}"/>
    <cellStyle name="s_PFMA Cap 15" xfId="29044" xr:uid="{00000000-0005-0000-0000-00007C710000}"/>
    <cellStyle name="s_PFMA Cap 16" xfId="29045" xr:uid="{00000000-0005-0000-0000-00007D710000}"/>
    <cellStyle name="s_PFMA Cap 17" xfId="29046" xr:uid="{00000000-0005-0000-0000-00007E710000}"/>
    <cellStyle name="s_PFMA Cap 18" xfId="29047" xr:uid="{00000000-0005-0000-0000-00007F710000}"/>
    <cellStyle name="s_PFMA Cap 19" xfId="29048" xr:uid="{00000000-0005-0000-0000-000080710000}"/>
    <cellStyle name="s_PFMA Cap 2" xfId="29049" xr:uid="{00000000-0005-0000-0000-000081710000}"/>
    <cellStyle name="s_PFMA Cap 2 2" xfId="29050" xr:uid="{00000000-0005-0000-0000-000082710000}"/>
    <cellStyle name="s_PFMA Cap 20" xfId="29051" xr:uid="{00000000-0005-0000-0000-000083710000}"/>
    <cellStyle name="s_PFMA Cap 21" xfId="29052" xr:uid="{00000000-0005-0000-0000-000084710000}"/>
    <cellStyle name="s_PFMA Cap 22" xfId="29053" xr:uid="{00000000-0005-0000-0000-000085710000}"/>
    <cellStyle name="s_PFMA Cap 23" xfId="29054" xr:uid="{00000000-0005-0000-0000-000086710000}"/>
    <cellStyle name="s_PFMA Cap 23 2" xfId="29055" xr:uid="{00000000-0005-0000-0000-000087710000}"/>
    <cellStyle name="s_PFMA Cap 3" xfId="29056" xr:uid="{00000000-0005-0000-0000-000088710000}"/>
    <cellStyle name="s_PFMA Cap 3 2" xfId="29057" xr:uid="{00000000-0005-0000-0000-000089710000}"/>
    <cellStyle name="s_PFMA Cap 4" xfId="29058" xr:uid="{00000000-0005-0000-0000-00008A710000}"/>
    <cellStyle name="s_PFMA Cap 5" xfId="29059" xr:uid="{00000000-0005-0000-0000-00008B710000}"/>
    <cellStyle name="s_PFMA Cap 6" xfId="29060" xr:uid="{00000000-0005-0000-0000-00008C710000}"/>
    <cellStyle name="s_PFMA Cap 7" xfId="29061" xr:uid="{00000000-0005-0000-0000-00008D710000}"/>
    <cellStyle name="s_PFMA Cap 8" xfId="29062" xr:uid="{00000000-0005-0000-0000-00008E710000}"/>
    <cellStyle name="s_PFMA Cap 9" xfId="29063" xr:uid="{00000000-0005-0000-0000-00008F710000}"/>
    <cellStyle name="s_PFMA Cap_{6} Clawback" xfId="29064" xr:uid="{00000000-0005-0000-0000-000090710000}"/>
    <cellStyle name="s_PFMA Cap_1" xfId="29065" xr:uid="{00000000-0005-0000-0000-000091710000}"/>
    <cellStyle name="s_PFMA Cap_1 10" xfId="29066" xr:uid="{00000000-0005-0000-0000-000092710000}"/>
    <cellStyle name="s_PFMA Cap_1 11" xfId="29067" xr:uid="{00000000-0005-0000-0000-000093710000}"/>
    <cellStyle name="s_PFMA Cap_1 12" xfId="29068" xr:uid="{00000000-0005-0000-0000-000094710000}"/>
    <cellStyle name="s_PFMA Cap_1 13" xfId="29069" xr:uid="{00000000-0005-0000-0000-000095710000}"/>
    <cellStyle name="s_PFMA Cap_1 14" xfId="29070" xr:uid="{00000000-0005-0000-0000-000096710000}"/>
    <cellStyle name="s_PFMA Cap_1 15" xfId="29071" xr:uid="{00000000-0005-0000-0000-000097710000}"/>
    <cellStyle name="s_PFMA Cap_1 16" xfId="29072" xr:uid="{00000000-0005-0000-0000-000098710000}"/>
    <cellStyle name="s_PFMA Cap_1 17" xfId="29073" xr:uid="{00000000-0005-0000-0000-000099710000}"/>
    <cellStyle name="s_PFMA Cap_1 18" xfId="29074" xr:uid="{00000000-0005-0000-0000-00009A710000}"/>
    <cellStyle name="s_PFMA Cap_1 19" xfId="29075" xr:uid="{00000000-0005-0000-0000-00009B710000}"/>
    <cellStyle name="s_PFMA Cap_1 2" xfId="29076" xr:uid="{00000000-0005-0000-0000-00009C710000}"/>
    <cellStyle name="s_PFMA Cap_1 2 2" xfId="29077" xr:uid="{00000000-0005-0000-0000-00009D710000}"/>
    <cellStyle name="s_PFMA Cap_1 20" xfId="29078" xr:uid="{00000000-0005-0000-0000-00009E710000}"/>
    <cellStyle name="s_PFMA Cap_1 21" xfId="29079" xr:uid="{00000000-0005-0000-0000-00009F710000}"/>
    <cellStyle name="s_PFMA Cap_1 22" xfId="29080" xr:uid="{00000000-0005-0000-0000-0000A0710000}"/>
    <cellStyle name="s_PFMA Cap_1 23" xfId="29081" xr:uid="{00000000-0005-0000-0000-0000A1710000}"/>
    <cellStyle name="s_PFMA Cap_1 23 2" xfId="29082" xr:uid="{00000000-0005-0000-0000-0000A2710000}"/>
    <cellStyle name="s_PFMA Cap_1 3" xfId="29083" xr:uid="{00000000-0005-0000-0000-0000A3710000}"/>
    <cellStyle name="s_PFMA Cap_1 3 2" xfId="29084" xr:uid="{00000000-0005-0000-0000-0000A4710000}"/>
    <cellStyle name="s_PFMA Cap_1 4" xfId="29085" xr:uid="{00000000-0005-0000-0000-0000A5710000}"/>
    <cellStyle name="s_PFMA Cap_1 5" xfId="29086" xr:uid="{00000000-0005-0000-0000-0000A6710000}"/>
    <cellStyle name="s_PFMA Cap_1 6" xfId="29087" xr:uid="{00000000-0005-0000-0000-0000A7710000}"/>
    <cellStyle name="s_PFMA Cap_1 7" xfId="29088" xr:uid="{00000000-0005-0000-0000-0000A8710000}"/>
    <cellStyle name="s_PFMA Cap_1 8" xfId="29089" xr:uid="{00000000-0005-0000-0000-0000A9710000}"/>
    <cellStyle name="s_PFMA Cap_1 9" xfId="29090" xr:uid="{00000000-0005-0000-0000-0000AA710000}"/>
    <cellStyle name="s_PFMA Cap_1_{6} Clawback" xfId="29091" xr:uid="{00000000-0005-0000-0000-0000AB710000}"/>
    <cellStyle name="s_PFMA Cap_1_AIF IV Financial Highlights 12-31-08 v4" xfId="29092" xr:uid="{00000000-0005-0000-0000-0000AC710000}"/>
    <cellStyle name="s_PFMA Cap_1_AIF IV Financial Highlights 12-31-08 v4_Apollo Investment Fund IV  Q3 2009 Capital Analysis CURRENT" xfId="29093" xr:uid="{00000000-0005-0000-0000-0000AD710000}"/>
    <cellStyle name="s_PFMA Cap_1_AIF IV Financial Highlights 12-31-08 v4_Apollo Investment Fund IV  Q3 2009 Capital Analysis iPCS &amp; URI Distribution" xfId="29094" xr:uid="{00000000-0005-0000-0000-0000AE710000}"/>
    <cellStyle name="s_PFMA Cap_1_AIF IV Financial Highlights 12-31-08 v4_iPCs#1-Remaining" xfId="29095" xr:uid="{00000000-0005-0000-0000-0000AF710000}"/>
    <cellStyle name="s_PFMA Cap_1_AIF VI - BondcoVI_Entities Invested Capital (CURRENT)" xfId="29096" xr:uid="{00000000-0005-0000-0000-0000B0710000}"/>
    <cellStyle name="s_PFMA Cap_1_AIF VI Broadleaf Watefall Summary as of 6-30-09 FINAL" xfId="29097" xr:uid="{00000000-0005-0000-0000-0000B1710000}"/>
    <cellStyle name="s_PFMA Cap_1_AIF VI Broadleaf Watefall Summary as of 9-30-09" xfId="29098" xr:uid="{00000000-0005-0000-0000-0000B2710000}"/>
    <cellStyle name="s_PFMA Cap_1_Andy Affrick - Schedulev2" xfId="29099" xr:uid="{00000000-0005-0000-0000-0000B3710000}"/>
    <cellStyle name="s_PFMA Cap_1_Apollo Advisors IV 12-31-08 GAAP TB Final" xfId="29100" xr:uid="{00000000-0005-0000-0000-0000B4710000}"/>
    <cellStyle name="s_PFMA Cap_1_Apollo Advisors IV 12-31-08 TB (Revised for Aggr PR)" xfId="29101" xr:uid="{00000000-0005-0000-0000-0000B5710000}"/>
    <cellStyle name="s_PFMA Cap_1_Apollo Advisors IV 6-30-09 GAAP TB" xfId="29102" xr:uid="{00000000-0005-0000-0000-0000B6710000}"/>
    <cellStyle name="s_PFMA Cap_1_Apollo Investment Fund IV  April Priority Return" xfId="29103" xr:uid="{00000000-0005-0000-0000-0000B7710000}"/>
    <cellStyle name="s_PFMA Cap_1_Apollo Investment Fund IV  Q1 2009 Capital Analysis 5-22-09 with GAAP" xfId="29104" xr:uid="{00000000-0005-0000-0000-0000B8710000}"/>
    <cellStyle name="s_PFMA Cap_1_Apollo Investment Fund IV  Q1 2009 Capital Analysis GAAP" xfId="29105" xr:uid="{00000000-0005-0000-0000-0000B9710000}"/>
    <cellStyle name="s_PFMA Cap_1_Apollo Investment Fund IV  Q2 2009 Capital Analysis CURRENT" xfId="29106" xr:uid="{00000000-0005-0000-0000-0000BA710000}"/>
    <cellStyle name="s_PFMA Cap_1_Apollo Investment Fund IV  Q3 2009 Capital Analysis CURRENT" xfId="29107" xr:uid="{00000000-0005-0000-0000-0000BB710000}"/>
    <cellStyle name="s_PFMA Cap_1_Apollo Investment Fund IV  Q3 2009 Capital Analysis iPCS &amp; URI Distribution" xfId="29108" xr:uid="{00000000-0005-0000-0000-0000BC710000}"/>
    <cellStyle name="s_PFMA Cap_1_Apollo Investment Fund IV Q1 2009 Capital Analysis PR CORRECTED 6-30-09" xfId="29109" xr:uid="{00000000-0005-0000-0000-0000BD710000}"/>
    <cellStyle name="s_PFMA Cap_1_Broadleaf Watefall 12-31-09" xfId="29110" xr:uid="{00000000-0005-0000-0000-0000BE710000}"/>
    <cellStyle name="s_PFMA Cap_1_Broadleaf Watefall 6-30-09" xfId="29111" xr:uid="{00000000-0005-0000-0000-0000BF710000}"/>
    <cellStyle name="s_PFMA Cap_1_Broadleaf Watefall 9-30-09" xfId="29112" xr:uid="{00000000-0005-0000-0000-0000C0710000}"/>
    <cellStyle name="s_PFMA Cap_1_Carry Calculation" xfId="29113" xr:uid="{00000000-0005-0000-0000-0000C1710000}"/>
    <cellStyle name="s_PFMA Cap_1_Fund IV" xfId="29114" xr:uid="{00000000-0005-0000-0000-0000C2710000}"/>
    <cellStyle name="s_PFMA Cap_1_Fund IV 9.30.08" xfId="29115" xr:uid="{00000000-0005-0000-0000-0000C3710000}"/>
    <cellStyle name="s_PFMA Cap_1_Fund IV_1" xfId="29116" xr:uid="{00000000-0005-0000-0000-0000C4710000}"/>
    <cellStyle name="s_PFMA Cap_1_Funds IV Clawback Adjustment Summary" xfId="29117" xr:uid="{00000000-0005-0000-0000-0000C5710000}"/>
    <cellStyle name="s_PFMA Cap_1_Funds IV Clawback Value Adjustment" xfId="29118" xr:uid="{00000000-0005-0000-0000-0000C6710000}"/>
    <cellStyle name="s_PFMA Cap_1_IC Balance" xfId="29119" xr:uid="{00000000-0005-0000-0000-0000C7710000}"/>
    <cellStyle name="s_PFMA Cap_1_Invested Capital Debt Worksheet" xfId="29120" xr:uid="{00000000-0005-0000-0000-0000C8710000}"/>
    <cellStyle name="s_PFMA Cap_1_Invested Capital Debt Worksheet_1" xfId="29121" xr:uid="{00000000-0005-0000-0000-0000C9710000}"/>
    <cellStyle name="s_PFMA Cap_1_iPCs#1-Remaining" xfId="29122" xr:uid="{00000000-0005-0000-0000-0000CA710000}"/>
    <cellStyle name="s_PFMA Cap_1_MMF Income" xfId="29123" xr:uid="{00000000-0005-0000-0000-0000CB710000}"/>
    <cellStyle name="s_PFMA Cap_1_Partners Capital Q1 2009" xfId="29124" xr:uid="{00000000-0005-0000-0000-0000CC710000}"/>
    <cellStyle name="s_PFMA Cap_1_Placement Fee Summary 05-14-09 - Current (2)" xfId="29125" xr:uid="{00000000-0005-0000-0000-0000CD710000}"/>
    <cellStyle name="s_PFMA Cap_1_PR Calc" xfId="29126" xr:uid="{00000000-0005-0000-0000-0000CE710000}"/>
    <cellStyle name="s_PFMA Cap_1_RCIV Q3 2009 Capital Analysis CURRENT" xfId="29127" xr:uid="{00000000-0005-0000-0000-0000CF710000}"/>
    <cellStyle name="s_PFMA Cap_1_Sheet1" xfId="29128" xr:uid="{00000000-0005-0000-0000-0000D0710000}"/>
    <cellStyle name="s_PFMA Cap_2" xfId="29129" xr:uid="{00000000-0005-0000-0000-0000D1710000}"/>
    <cellStyle name="s_PFMA Cap_2 10" xfId="29130" xr:uid="{00000000-0005-0000-0000-0000D2710000}"/>
    <cellStyle name="s_PFMA Cap_2 11" xfId="29131" xr:uid="{00000000-0005-0000-0000-0000D3710000}"/>
    <cellStyle name="s_PFMA Cap_2 12" xfId="29132" xr:uid="{00000000-0005-0000-0000-0000D4710000}"/>
    <cellStyle name="s_PFMA Cap_2 13" xfId="29133" xr:uid="{00000000-0005-0000-0000-0000D5710000}"/>
    <cellStyle name="s_PFMA Cap_2 14" xfId="29134" xr:uid="{00000000-0005-0000-0000-0000D6710000}"/>
    <cellStyle name="s_PFMA Cap_2 15" xfId="29135" xr:uid="{00000000-0005-0000-0000-0000D7710000}"/>
    <cellStyle name="s_PFMA Cap_2 16" xfId="29136" xr:uid="{00000000-0005-0000-0000-0000D8710000}"/>
    <cellStyle name="s_PFMA Cap_2 17" xfId="29137" xr:uid="{00000000-0005-0000-0000-0000D9710000}"/>
    <cellStyle name="s_PFMA Cap_2 18" xfId="29138" xr:uid="{00000000-0005-0000-0000-0000DA710000}"/>
    <cellStyle name="s_PFMA Cap_2 19" xfId="29139" xr:uid="{00000000-0005-0000-0000-0000DB710000}"/>
    <cellStyle name="s_PFMA Cap_2 2" xfId="29140" xr:uid="{00000000-0005-0000-0000-0000DC710000}"/>
    <cellStyle name="s_PFMA Cap_2 2 2" xfId="29141" xr:uid="{00000000-0005-0000-0000-0000DD710000}"/>
    <cellStyle name="s_PFMA Cap_2 20" xfId="29142" xr:uid="{00000000-0005-0000-0000-0000DE710000}"/>
    <cellStyle name="s_PFMA Cap_2 21" xfId="29143" xr:uid="{00000000-0005-0000-0000-0000DF710000}"/>
    <cellStyle name="s_PFMA Cap_2 22" xfId="29144" xr:uid="{00000000-0005-0000-0000-0000E0710000}"/>
    <cellStyle name="s_PFMA Cap_2 23" xfId="29145" xr:uid="{00000000-0005-0000-0000-0000E1710000}"/>
    <cellStyle name="s_PFMA Cap_2 23 2" xfId="29146" xr:uid="{00000000-0005-0000-0000-0000E2710000}"/>
    <cellStyle name="s_PFMA Cap_2 3" xfId="29147" xr:uid="{00000000-0005-0000-0000-0000E3710000}"/>
    <cellStyle name="s_PFMA Cap_2 3 2" xfId="29148" xr:uid="{00000000-0005-0000-0000-0000E4710000}"/>
    <cellStyle name="s_PFMA Cap_2 4" xfId="29149" xr:uid="{00000000-0005-0000-0000-0000E5710000}"/>
    <cellStyle name="s_PFMA Cap_2 5" xfId="29150" xr:uid="{00000000-0005-0000-0000-0000E6710000}"/>
    <cellStyle name="s_PFMA Cap_2 6" xfId="29151" xr:uid="{00000000-0005-0000-0000-0000E7710000}"/>
    <cellStyle name="s_PFMA Cap_2 7" xfId="29152" xr:uid="{00000000-0005-0000-0000-0000E8710000}"/>
    <cellStyle name="s_PFMA Cap_2 8" xfId="29153" xr:uid="{00000000-0005-0000-0000-0000E9710000}"/>
    <cellStyle name="s_PFMA Cap_2 9" xfId="29154" xr:uid="{00000000-0005-0000-0000-0000EA710000}"/>
    <cellStyle name="s_PFMA Cap_2_{6} Clawback" xfId="29155" xr:uid="{00000000-0005-0000-0000-0000EB710000}"/>
    <cellStyle name="s_PFMA Cap_2_AIF IV Financial Highlights 12-31-08 v4" xfId="29156" xr:uid="{00000000-0005-0000-0000-0000EC710000}"/>
    <cellStyle name="s_PFMA Cap_2_AIF IV Financial Highlights 12-31-08 v4_Apollo Investment Fund IV  Q3 2009 Capital Analysis CURRENT" xfId="29157" xr:uid="{00000000-0005-0000-0000-0000ED710000}"/>
    <cellStyle name="s_PFMA Cap_2_AIF IV Financial Highlights 12-31-08 v4_Apollo Investment Fund IV  Q3 2009 Capital Analysis iPCS &amp; URI Distribution" xfId="29158" xr:uid="{00000000-0005-0000-0000-0000EE710000}"/>
    <cellStyle name="s_PFMA Cap_2_AIF IV Financial Highlights 12-31-08 v4_iPCs#1-Remaining" xfId="29159" xr:uid="{00000000-0005-0000-0000-0000EF710000}"/>
    <cellStyle name="s_PFMA Cap_2_AIF VI - BondcoVI_Entities Invested Capital (CURRENT)" xfId="29160" xr:uid="{00000000-0005-0000-0000-0000F0710000}"/>
    <cellStyle name="s_PFMA Cap_2_AIF VI Broadleaf Watefall Summary as of 6-30-09 FINAL" xfId="29161" xr:uid="{00000000-0005-0000-0000-0000F1710000}"/>
    <cellStyle name="s_PFMA Cap_2_AIF VI Broadleaf Watefall Summary as of 9-30-09" xfId="29162" xr:uid="{00000000-0005-0000-0000-0000F2710000}"/>
    <cellStyle name="s_PFMA Cap_2_Andy Affrick - Schedulev2" xfId="29163" xr:uid="{00000000-0005-0000-0000-0000F3710000}"/>
    <cellStyle name="s_PFMA Cap_2_Apollo Advisors IV 12-31-08 GAAP TB Final" xfId="29164" xr:uid="{00000000-0005-0000-0000-0000F4710000}"/>
    <cellStyle name="s_PFMA Cap_2_Apollo Advisors IV 12-31-08 TB (Revised for Aggr PR)" xfId="29165" xr:uid="{00000000-0005-0000-0000-0000F5710000}"/>
    <cellStyle name="s_PFMA Cap_2_Apollo Advisors IV 6-30-09 GAAP TB" xfId="29166" xr:uid="{00000000-0005-0000-0000-0000F6710000}"/>
    <cellStyle name="s_PFMA Cap_2_Apollo Investment Fund IV  April Priority Return" xfId="29167" xr:uid="{00000000-0005-0000-0000-0000F7710000}"/>
    <cellStyle name="s_PFMA Cap_2_Apollo Investment Fund IV  Q1 2009 Capital Analysis 5-22-09 with GAAP" xfId="29168" xr:uid="{00000000-0005-0000-0000-0000F8710000}"/>
    <cellStyle name="s_PFMA Cap_2_Apollo Investment Fund IV  Q1 2009 Capital Analysis GAAP" xfId="29169" xr:uid="{00000000-0005-0000-0000-0000F9710000}"/>
    <cellStyle name="s_PFMA Cap_2_Apollo Investment Fund IV  Q2 2009 Capital Analysis CURRENT" xfId="29170" xr:uid="{00000000-0005-0000-0000-0000FA710000}"/>
    <cellStyle name="s_PFMA Cap_2_Apollo Investment Fund IV  Q3 2009 Capital Analysis CURRENT" xfId="29171" xr:uid="{00000000-0005-0000-0000-0000FB710000}"/>
    <cellStyle name="s_PFMA Cap_2_Apollo Investment Fund IV  Q3 2009 Capital Analysis iPCS &amp; URI Distribution" xfId="29172" xr:uid="{00000000-0005-0000-0000-0000FC710000}"/>
    <cellStyle name="s_PFMA Cap_2_Apollo Investment Fund IV Q1 2009 Capital Analysis PR CORRECTED 6-30-09" xfId="29173" xr:uid="{00000000-0005-0000-0000-0000FD710000}"/>
    <cellStyle name="s_PFMA Cap_2_Broadleaf Watefall 12-31-09" xfId="29174" xr:uid="{00000000-0005-0000-0000-0000FE710000}"/>
    <cellStyle name="s_PFMA Cap_2_Broadleaf Watefall 6-30-09" xfId="29175" xr:uid="{00000000-0005-0000-0000-0000FF710000}"/>
    <cellStyle name="s_PFMA Cap_2_Broadleaf Watefall 9-30-09" xfId="29176" xr:uid="{00000000-0005-0000-0000-000000720000}"/>
    <cellStyle name="s_PFMA Cap_2_Carry Calculation" xfId="29177" xr:uid="{00000000-0005-0000-0000-000001720000}"/>
    <cellStyle name="s_PFMA Cap_2_Fund IV" xfId="29178" xr:uid="{00000000-0005-0000-0000-000002720000}"/>
    <cellStyle name="s_PFMA Cap_2_Fund IV 9.30.08" xfId="29179" xr:uid="{00000000-0005-0000-0000-000003720000}"/>
    <cellStyle name="s_PFMA Cap_2_Fund IV_1" xfId="29180" xr:uid="{00000000-0005-0000-0000-000004720000}"/>
    <cellStyle name="s_PFMA Cap_2_Funds IV Clawback Adjustment Summary" xfId="29181" xr:uid="{00000000-0005-0000-0000-000005720000}"/>
    <cellStyle name="s_PFMA Cap_2_Funds IV Clawback Value Adjustment" xfId="29182" xr:uid="{00000000-0005-0000-0000-000006720000}"/>
    <cellStyle name="s_PFMA Cap_2_IC Balance" xfId="29183" xr:uid="{00000000-0005-0000-0000-000007720000}"/>
    <cellStyle name="s_PFMA Cap_2_Invested Capital Debt Worksheet" xfId="29184" xr:uid="{00000000-0005-0000-0000-000008720000}"/>
    <cellStyle name="s_PFMA Cap_2_Invested Capital Debt Worksheet_1" xfId="29185" xr:uid="{00000000-0005-0000-0000-000009720000}"/>
    <cellStyle name="s_PFMA Cap_2_iPCs#1-Remaining" xfId="29186" xr:uid="{00000000-0005-0000-0000-00000A720000}"/>
    <cellStyle name="s_PFMA Cap_2_MMF Income" xfId="29187" xr:uid="{00000000-0005-0000-0000-00000B720000}"/>
    <cellStyle name="s_PFMA Cap_2_Partners Capital Q1 2009" xfId="29188" xr:uid="{00000000-0005-0000-0000-00000C720000}"/>
    <cellStyle name="s_PFMA Cap_2_Placement Fee Summary 05-14-09 - Current (2)" xfId="29189" xr:uid="{00000000-0005-0000-0000-00000D720000}"/>
    <cellStyle name="s_PFMA Cap_2_PR Calc" xfId="29190" xr:uid="{00000000-0005-0000-0000-00000E720000}"/>
    <cellStyle name="s_PFMA Cap_2_RCIV Q3 2009 Capital Analysis CURRENT" xfId="29191" xr:uid="{00000000-0005-0000-0000-00000F720000}"/>
    <cellStyle name="s_PFMA Cap_2_Sheet1" xfId="29192" xr:uid="{00000000-0005-0000-0000-000010720000}"/>
    <cellStyle name="s_PFMA Cap_AIF IV Financial Highlights 12-31-08 v4" xfId="29193" xr:uid="{00000000-0005-0000-0000-000011720000}"/>
    <cellStyle name="s_PFMA Cap_AIF IV Financial Highlights 12-31-08 v4_Apollo Investment Fund IV  Q3 2009 Capital Analysis CURRENT" xfId="29194" xr:uid="{00000000-0005-0000-0000-000012720000}"/>
    <cellStyle name="s_PFMA Cap_AIF IV Financial Highlights 12-31-08 v4_Apollo Investment Fund IV  Q3 2009 Capital Analysis iPCS &amp; URI Distribution" xfId="29195" xr:uid="{00000000-0005-0000-0000-000013720000}"/>
    <cellStyle name="s_PFMA Cap_AIF IV Financial Highlights 12-31-08 v4_iPCs#1-Remaining" xfId="29196" xr:uid="{00000000-0005-0000-0000-000014720000}"/>
    <cellStyle name="s_PFMA Cap_AIF VI - BondcoVI_Entities Invested Capital (CURRENT)" xfId="29197" xr:uid="{00000000-0005-0000-0000-000015720000}"/>
    <cellStyle name="s_PFMA Cap_AIF VI Broadleaf Watefall Summary as of 6-30-09 FINAL" xfId="29198" xr:uid="{00000000-0005-0000-0000-000016720000}"/>
    <cellStyle name="s_PFMA Cap_AIF VI Broadleaf Watefall Summary as of 9-30-09" xfId="29199" xr:uid="{00000000-0005-0000-0000-000017720000}"/>
    <cellStyle name="s_PFMA Cap_Andy Affrick - Schedulev2" xfId="29200" xr:uid="{00000000-0005-0000-0000-000018720000}"/>
    <cellStyle name="s_PFMA Cap_Apollo Investment Fund IV  April Priority Return" xfId="29201" xr:uid="{00000000-0005-0000-0000-000019720000}"/>
    <cellStyle name="s_PFMA Cap_Apollo Investment Fund IV  Q1 2009 Capital Analysis 5-22-09 with GAAP" xfId="29202" xr:uid="{00000000-0005-0000-0000-00001A720000}"/>
    <cellStyle name="s_PFMA Cap_Apollo Investment Fund IV  Q1 2009 Capital Analysis GAAP" xfId="29203" xr:uid="{00000000-0005-0000-0000-00001B720000}"/>
    <cellStyle name="s_PFMA Cap_Apollo Investment Fund IV  Q2 2009 Capital Analysis CURRENT" xfId="29204" xr:uid="{00000000-0005-0000-0000-00001C720000}"/>
    <cellStyle name="s_PFMA Cap_Apollo Investment Fund IV  Q3 2009 Capital Analysis CURRENT" xfId="29205" xr:uid="{00000000-0005-0000-0000-00001D720000}"/>
    <cellStyle name="s_PFMA Cap_Apollo Investment Fund IV  Q3 2009 Capital Analysis iPCS &amp; URI Distribution" xfId="29206" xr:uid="{00000000-0005-0000-0000-00001E720000}"/>
    <cellStyle name="s_PFMA Cap_Apollo Investment Fund IV Q1 2009 Capital Analysis PR CORRECTED 6-30-09" xfId="29207" xr:uid="{00000000-0005-0000-0000-00001F720000}"/>
    <cellStyle name="s_PFMA Cap_Broadleaf Watefall 12-31-09" xfId="29208" xr:uid="{00000000-0005-0000-0000-000020720000}"/>
    <cellStyle name="s_PFMA Cap_Broadleaf Watefall 6-30-09" xfId="29209" xr:uid="{00000000-0005-0000-0000-000021720000}"/>
    <cellStyle name="s_PFMA Cap_Broadleaf Watefall 9-30-09" xfId="29210" xr:uid="{00000000-0005-0000-0000-000022720000}"/>
    <cellStyle name="s_PFMA Cap_Carry Calculation" xfId="29211" xr:uid="{00000000-0005-0000-0000-000023720000}"/>
    <cellStyle name="s_PFMA Cap_Fund IV" xfId="29212" xr:uid="{00000000-0005-0000-0000-000024720000}"/>
    <cellStyle name="s_PFMA Cap_Fund IV 9.30.08" xfId="29213" xr:uid="{00000000-0005-0000-0000-000025720000}"/>
    <cellStyle name="s_PFMA Cap_Fund IV_1" xfId="29214" xr:uid="{00000000-0005-0000-0000-000026720000}"/>
    <cellStyle name="s_PFMA Cap_Funds IV Clawback Adjustment Summary" xfId="29215" xr:uid="{00000000-0005-0000-0000-000027720000}"/>
    <cellStyle name="s_PFMA Cap_Funds IV Clawback Value Adjustment" xfId="29216" xr:uid="{00000000-0005-0000-0000-000028720000}"/>
    <cellStyle name="s_PFMA Cap_IC Balance" xfId="29217" xr:uid="{00000000-0005-0000-0000-000029720000}"/>
    <cellStyle name="s_PFMA Cap_Invested Capital Debt Worksheet" xfId="29218" xr:uid="{00000000-0005-0000-0000-00002A720000}"/>
    <cellStyle name="s_PFMA Cap_iPCs#1-Remaining" xfId="29219" xr:uid="{00000000-0005-0000-0000-00002B720000}"/>
    <cellStyle name="s_PFMA Cap_MMF Income" xfId="29220" xr:uid="{00000000-0005-0000-0000-00002C720000}"/>
    <cellStyle name="s_PFMA Cap_Partners Capital Q1 2009" xfId="29221" xr:uid="{00000000-0005-0000-0000-00002D720000}"/>
    <cellStyle name="s_PFMA Cap_Placement Fee Summary 05-14-09 - Current (2)" xfId="29222" xr:uid="{00000000-0005-0000-0000-00002E720000}"/>
    <cellStyle name="s_PFMA Cap_PR Calc" xfId="29223" xr:uid="{00000000-0005-0000-0000-00002F720000}"/>
    <cellStyle name="s_PFMA Cap_RCIV Q3 2009 Capital Analysis CURRENT" xfId="29224" xr:uid="{00000000-0005-0000-0000-000030720000}"/>
    <cellStyle name="s_PFMA Credit" xfId="29225" xr:uid="{00000000-0005-0000-0000-000031720000}"/>
    <cellStyle name="s_PFMA Credit (2)" xfId="29226" xr:uid="{00000000-0005-0000-0000-000032720000}"/>
    <cellStyle name="s_PFMA Credit (2) 10" xfId="29227" xr:uid="{00000000-0005-0000-0000-000033720000}"/>
    <cellStyle name="s_PFMA Credit (2) 11" xfId="29228" xr:uid="{00000000-0005-0000-0000-000034720000}"/>
    <cellStyle name="s_PFMA Credit (2) 12" xfId="29229" xr:uid="{00000000-0005-0000-0000-000035720000}"/>
    <cellStyle name="s_PFMA Credit (2) 13" xfId="29230" xr:uid="{00000000-0005-0000-0000-000036720000}"/>
    <cellStyle name="s_PFMA Credit (2) 14" xfId="29231" xr:uid="{00000000-0005-0000-0000-000037720000}"/>
    <cellStyle name="s_PFMA Credit (2) 15" xfId="29232" xr:uid="{00000000-0005-0000-0000-000038720000}"/>
    <cellStyle name="s_PFMA Credit (2) 16" xfId="29233" xr:uid="{00000000-0005-0000-0000-000039720000}"/>
    <cellStyle name="s_PFMA Credit (2) 17" xfId="29234" xr:uid="{00000000-0005-0000-0000-00003A720000}"/>
    <cellStyle name="s_PFMA Credit (2) 18" xfId="29235" xr:uid="{00000000-0005-0000-0000-00003B720000}"/>
    <cellStyle name="s_PFMA Credit (2) 19" xfId="29236" xr:uid="{00000000-0005-0000-0000-00003C720000}"/>
    <cellStyle name="s_PFMA Credit (2) 2" xfId="29237" xr:uid="{00000000-0005-0000-0000-00003D720000}"/>
    <cellStyle name="s_PFMA Credit (2) 2 2" xfId="29238" xr:uid="{00000000-0005-0000-0000-00003E720000}"/>
    <cellStyle name="s_PFMA Credit (2) 20" xfId="29239" xr:uid="{00000000-0005-0000-0000-00003F720000}"/>
    <cellStyle name="s_PFMA Credit (2) 21" xfId="29240" xr:uid="{00000000-0005-0000-0000-000040720000}"/>
    <cellStyle name="s_PFMA Credit (2) 22" xfId="29241" xr:uid="{00000000-0005-0000-0000-000041720000}"/>
    <cellStyle name="s_PFMA Credit (2) 23" xfId="29242" xr:uid="{00000000-0005-0000-0000-000042720000}"/>
    <cellStyle name="s_PFMA Credit (2) 23 2" xfId="29243" xr:uid="{00000000-0005-0000-0000-000043720000}"/>
    <cellStyle name="s_PFMA Credit (2) 3" xfId="29244" xr:uid="{00000000-0005-0000-0000-000044720000}"/>
    <cellStyle name="s_PFMA Credit (2) 3 2" xfId="29245" xr:uid="{00000000-0005-0000-0000-000045720000}"/>
    <cellStyle name="s_PFMA Credit (2) 4" xfId="29246" xr:uid="{00000000-0005-0000-0000-000046720000}"/>
    <cellStyle name="s_PFMA Credit (2) 5" xfId="29247" xr:uid="{00000000-0005-0000-0000-000047720000}"/>
    <cellStyle name="s_PFMA Credit (2) 6" xfId="29248" xr:uid="{00000000-0005-0000-0000-000048720000}"/>
    <cellStyle name="s_PFMA Credit (2) 7" xfId="29249" xr:uid="{00000000-0005-0000-0000-000049720000}"/>
    <cellStyle name="s_PFMA Credit (2) 8" xfId="29250" xr:uid="{00000000-0005-0000-0000-00004A720000}"/>
    <cellStyle name="s_PFMA Credit (2) 9" xfId="29251" xr:uid="{00000000-0005-0000-0000-00004B720000}"/>
    <cellStyle name="s_PFMA Credit (2)_{6} Clawback" xfId="29252" xr:uid="{00000000-0005-0000-0000-00004C720000}"/>
    <cellStyle name="s_PFMA Credit (2)_1" xfId="29253" xr:uid="{00000000-0005-0000-0000-00004D720000}"/>
    <cellStyle name="s_PFMA Credit (2)_1 10" xfId="29254" xr:uid="{00000000-0005-0000-0000-00004E720000}"/>
    <cellStyle name="s_PFMA Credit (2)_1 11" xfId="29255" xr:uid="{00000000-0005-0000-0000-00004F720000}"/>
    <cellStyle name="s_PFMA Credit (2)_1 12" xfId="29256" xr:uid="{00000000-0005-0000-0000-000050720000}"/>
    <cellStyle name="s_PFMA Credit (2)_1 13" xfId="29257" xr:uid="{00000000-0005-0000-0000-000051720000}"/>
    <cellStyle name="s_PFMA Credit (2)_1 14" xfId="29258" xr:uid="{00000000-0005-0000-0000-000052720000}"/>
    <cellStyle name="s_PFMA Credit (2)_1 15" xfId="29259" xr:uid="{00000000-0005-0000-0000-000053720000}"/>
    <cellStyle name="s_PFMA Credit (2)_1 16" xfId="29260" xr:uid="{00000000-0005-0000-0000-000054720000}"/>
    <cellStyle name="s_PFMA Credit (2)_1 17" xfId="29261" xr:uid="{00000000-0005-0000-0000-000055720000}"/>
    <cellStyle name="s_PFMA Credit (2)_1 18" xfId="29262" xr:uid="{00000000-0005-0000-0000-000056720000}"/>
    <cellStyle name="s_PFMA Credit (2)_1 19" xfId="29263" xr:uid="{00000000-0005-0000-0000-000057720000}"/>
    <cellStyle name="s_PFMA Credit (2)_1 2" xfId="29264" xr:uid="{00000000-0005-0000-0000-000058720000}"/>
    <cellStyle name="s_PFMA Credit (2)_1 2 2" xfId="29265" xr:uid="{00000000-0005-0000-0000-000059720000}"/>
    <cellStyle name="s_PFMA Credit (2)_1 20" xfId="29266" xr:uid="{00000000-0005-0000-0000-00005A720000}"/>
    <cellStyle name="s_PFMA Credit (2)_1 21" xfId="29267" xr:uid="{00000000-0005-0000-0000-00005B720000}"/>
    <cellStyle name="s_PFMA Credit (2)_1 22" xfId="29268" xr:uid="{00000000-0005-0000-0000-00005C720000}"/>
    <cellStyle name="s_PFMA Credit (2)_1 23" xfId="29269" xr:uid="{00000000-0005-0000-0000-00005D720000}"/>
    <cellStyle name="s_PFMA Credit (2)_1 23 2" xfId="29270" xr:uid="{00000000-0005-0000-0000-00005E720000}"/>
    <cellStyle name="s_PFMA Credit (2)_1 3" xfId="29271" xr:uid="{00000000-0005-0000-0000-00005F720000}"/>
    <cellStyle name="s_PFMA Credit (2)_1 3 2" xfId="29272" xr:uid="{00000000-0005-0000-0000-000060720000}"/>
    <cellStyle name="s_PFMA Credit (2)_1 4" xfId="29273" xr:uid="{00000000-0005-0000-0000-000061720000}"/>
    <cellStyle name="s_PFMA Credit (2)_1 5" xfId="29274" xr:uid="{00000000-0005-0000-0000-000062720000}"/>
    <cellStyle name="s_PFMA Credit (2)_1 6" xfId="29275" xr:uid="{00000000-0005-0000-0000-000063720000}"/>
    <cellStyle name="s_PFMA Credit (2)_1 7" xfId="29276" xr:uid="{00000000-0005-0000-0000-000064720000}"/>
    <cellStyle name="s_PFMA Credit (2)_1 8" xfId="29277" xr:uid="{00000000-0005-0000-0000-000065720000}"/>
    <cellStyle name="s_PFMA Credit (2)_1 9" xfId="29278" xr:uid="{00000000-0005-0000-0000-000066720000}"/>
    <cellStyle name="s_PFMA Credit (2)_1_{6} Clawback" xfId="29279" xr:uid="{00000000-0005-0000-0000-000067720000}"/>
    <cellStyle name="s_PFMA Credit (2)_1_AIF IV Financial Highlights 12-31-08 v4" xfId="29280" xr:uid="{00000000-0005-0000-0000-000068720000}"/>
    <cellStyle name="s_PFMA Credit (2)_1_AIF IV Financial Highlights 12-31-08 v4_Apollo Investment Fund IV  Q3 2009 Capital Analysis CURRENT" xfId="29281" xr:uid="{00000000-0005-0000-0000-000069720000}"/>
    <cellStyle name="s_PFMA Credit (2)_1_AIF IV Financial Highlights 12-31-08 v4_Apollo Investment Fund IV  Q3 2009 Capital Analysis iPCS &amp; URI Distribution" xfId="29282" xr:uid="{00000000-0005-0000-0000-00006A720000}"/>
    <cellStyle name="s_PFMA Credit (2)_1_AIF IV Financial Highlights 12-31-08 v4_iPCs#1-Remaining" xfId="29283" xr:uid="{00000000-0005-0000-0000-00006B720000}"/>
    <cellStyle name="s_PFMA Credit (2)_1_AIF VI - BondcoVI_Entities Invested Capital (CURRENT)" xfId="29284" xr:uid="{00000000-0005-0000-0000-00006C720000}"/>
    <cellStyle name="s_PFMA Credit (2)_1_AIF VI Broadleaf Watefall Summary as of 6-30-09 FINAL" xfId="29285" xr:uid="{00000000-0005-0000-0000-00006D720000}"/>
    <cellStyle name="s_PFMA Credit (2)_1_AIF VI Broadleaf Watefall Summary as of 9-30-09" xfId="29286" xr:uid="{00000000-0005-0000-0000-00006E720000}"/>
    <cellStyle name="s_PFMA Credit (2)_1_Andy Affrick - Schedulev2" xfId="29287" xr:uid="{00000000-0005-0000-0000-00006F720000}"/>
    <cellStyle name="s_PFMA Credit (2)_1_Apollo Investment Fund IV  April Priority Return" xfId="29288" xr:uid="{00000000-0005-0000-0000-000070720000}"/>
    <cellStyle name="s_PFMA Credit (2)_1_Apollo Investment Fund IV  Q1 2009 Capital Analysis 5-22-09 with GAAP" xfId="29289" xr:uid="{00000000-0005-0000-0000-000071720000}"/>
    <cellStyle name="s_PFMA Credit (2)_1_Apollo Investment Fund IV  Q1 2009 Capital Analysis GAAP" xfId="29290" xr:uid="{00000000-0005-0000-0000-000072720000}"/>
    <cellStyle name="s_PFMA Credit (2)_1_Apollo Investment Fund IV  Q2 2009 Capital Analysis CURRENT" xfId="29291" xr:uid="{00000000-0005-0000-0000-000073720000}"/>
    <cellStyle name="s_PFMA Credit (2)_1_Apollo Investment Fund IV  Q3 2009 Capital Analysis CURRENT" xfId="29292" xr:uid="{00000000-0005-0000-0000-000074720000}"/>
    <cellStyle name="s_PFMA Credit (2)_1_Apollo Investment Fund IV  Q3 2009 Capital Analysis iPCS &amp; URI Distribution" xfId="29293" xr:uid="{00000000-0005-0000-0000-000075720000}"/>
    <cellStyle name="s_PFMA Credit (2)_1_Apollo Investment Fund IV Q1 2009 Capital Analysis PR CORRECTED 6-30-09" xfId="29294" xr:uid="{00000000-0005-0000-0000-000076720000}"/>
    <cellStyle name="s_PFMA Credit (2)_1_Broadleaf Watefall 12-31-09" xfId="29295" xr:uid="{00000000-0005-0000-0000-000077720000}"/>
    <cellStyle name="s_PFMA Credit (2)_1_Broadleaf Watefall 6-30-09" xfId="29296" xr:uid="{00000000-0005-0000-0000-000078720000}"/>
    <cellStyle name="s_PFMA Credit (2)_1_Broadleaf Watefall 9-30-09" xfId="29297" xr:uid="{00000000-0005-0000-0000-000079720000}"/>
    <cellStyle name="s_PFMA Credit (2)_1_Carry Calculation" xfId="29298" xr:uid="{00000000-0005-0000-0000-00007A720000}"/>
    <cellStyle name="s_PFMA Credit (2)_1_Fund IV" xfId="29299" xr:uid="{00000000-0005-0000-0000-00007B720000}"/>
    <cellStyle name="s_PFMA Credit (2)_1_Fund IV 9.30.08" xfId="29300" xr:uid="{00000000-0005-0000-0000-00007C720000}"/>
    <cellStyle name="s_PFMA Credit (2)_1_Fund IV_1" xfId="29301" xr:uid="{00000000-0005-0000-0000-00007D720000}"/>
    <cellStyle name="s_PFMA Credit (2)_1_Funds IV Clawback Adjustment Summary" xfId="29302" xr:uid="{00000000-0005-0000-0000-00007E720000}"/>
    <cellStyle name="s_PFMA Credit (2)_1_Funds IV Clawback Value Adjustment" xfId="29303" xr:uid="{00000000-0005-0000-0000-00007F720000}"/>
    <cellStyle name="s_PFMA Credit (2)_1_IC Balance" xfId="29304" xr:uid="{00000000-0005-0000-0000-000080720000}"/>
    <cellStyle name="s_PFMA Credit (2)_1_Invested Capital Debt Worksheet" xfId="29305" xr:uid="{00000000-0005-0000-0000-000081720000}"/>
    <cellStyle name="s_PFMA Credit (2)_1_iPCs#1-Remaining" xfId="29306" xr:uid="{00000000-0005-0000-0000-000082720000}"/>
    <cellStyle name="s_PFMA Credit (2)_1_MMF Income" xfId="29307" xr:uid="{00000000-0005-0000-0000-000083720000}"/>
    <cellStyle name="s_PFMA Credit (2)_1_Partners Capital Q1 2009" xfId="29308" xr:uid="{00000000-0005-0000-0000-000084720000}"/>
    <cellStyle name="s_PFMA Credit (2)_1_Placement Fee Summary 05-14-09 - Current (2)" xfId="29309" xr:uid="{00000000-0005-0000-0000-000085720000}"/>
    <cellStyle name="s_PFMA Credit (2)_1_PR Calc" xfId="29310" xr:uid="{00000000-0005-0000-0000-000086720000}"/>
    <cellStyle name="s_PFMA Credit (2)_1_RCIV Q3 2009 Capital Analysis CURRENT" xfId="29311" xr:uid="{00000000-0005-0000-0000-000087720000}"/>
    <cellStyle name="s_PFMA Credit (2)_AIF IV Financial Highlights 12-31-08 v4" xfId="29312" xr:uid="{00000000-0005-0000-0000-000088720000}"/>
    <cellStyle name="s_PFMA Credit (2)_AIF IV Financial Highlights 12-31-08 v4_Apollo Investment Fund IV  Q3 2009 Capital Analysis CURRENT" xfId="29313" xr:uid="{00000000-0005-0000-0000-000089720000}"/>
    <cellStyle name="s_PFMA Credit (2)_AIF IV Financial Highlights 12-31-08 v4_Apollo Investment Fund IV  Q3 2009 Capital Analysis iPCS &amp; URI Distribution" xfId="29314" xr:uid="{00000000-0005-0000-0000-00008A720000}"/>
    <cellStyle name="s_PFMA Credit (2)_AIF IV Financial Highlights 12-31-08 v4_iPCs#1-Remaining" xfId="29315" xr:uid="{00000000-0005-0000-0000-00008B720000}"/>
    <cellStyle name="s_PFMA Credit (2)_AIF VI - BondcoVI_Entities Invested Capital (CURRENT)" xfId="29316" xr:uid="{00000000-0005-0000-0000-00008C720000}"/>
    <cellStyle name="s_PFMA Credit (2)_AIF VI Broadleaf Watefall Summary as of 6-30-09 FINAL" xfId="29317" xr:uid="{00000000-0005-0000-0000-00008D720000}"/>
    <cellStyle name="s_PFMA Credit (2)_AIF VI Broadleaf Watefall Summary as of 9-30-09" xfId="29318" xr:uid="{00000000-0005-0000-0000-00008E720000}"/>
    <cellStyle name="s_PFMA Credit (2)_Andy Affrick - Schedulev2" xfId="29319" xr:uid="{00000000-0005-0000-0000-00008F720000}"/>
    <cellStyle name="s_PFMA Credit (2)_Apollo Advisors IV 12-31-08 GAAP TB Final" xfId="29320" xr:uid="{00000000-0005-0000-0000-000090720000}"/>
    <cellStyle name="s_PFMA Credit (2)_Apollo Advisors IV 12-31-08 TB (Revised for Aggr PR)" xfId="29321" xr:uid="{00000000-0005-0000-0000-000091720000}"/>
    <cellStyle name="s_PFMA Credit (2)_Apollo Advisors IV 6-30-09 GAAP TB" xfId="29322" xr:uid="{00000000-0005-0000-0000-000092720000}"/>
    <cellStyle name="s_PFMA Credit (2)_Apollo Investment Fund IV  April Priority Return" xfId="29323" xr:uid="{00000000-0005-0000-0000-000093720000}"/>
    <cellStyle name="s_PFMA Credit (2)_Apollo Investment Fund IV  Q1 2009 Capital Analysis 5-22-09 with GAAP" xfId="29324" xr:uid="{00000000-0005-0000-0000-000094720000}"/>
    <cellStyle name="s_PFMA Credit (2)_Apollo Investment Fund IV  Q1 2009 Capital Analysis GAAP" xfId="29325" xr:uid="{00000000-0005-0000-0000-000095720000}"/>
    <cellStyle name="s_PFMA Credit (2)_Apollo Investment Fund IV  Q2 2009 Capital Analysis CURRENT" xfId="29326" xr:uid="{00000000-0005-0000-0000-000096720000}"/>
    <cellStyle name="s_PFMA Credit (2)_Apollo Investment Fund IV  Q3 2009 Capital Analysis CURRENT" xfId="29327" xr:uid="{00000000-0005-0000-0000-000097720000}"/>
    <cellStyle name="s_PFMA Credit (2)_Apollo Investment Fund IV  Q3 2009 Capital Analysis iPCS &amp; URI Distribution" xfId="29328" xr:uid="{00000000-0005-0000-0000-000098720000}"/>
    <cellStyle name="s_PFMA Credit (2)_Apollo Investment Fund IV Q1 2009 Capital Analysis PR CORRECTED 6-30-09" xfId="29329" xr:uid="{00000000-0005-0000-0000-000099720000}"/>
    <cellStyle name="s_PFMA Credit (2)_Broadleaf Watefall 12-31-09" xfId="29330" xr:uid="{00000000-0005-0000-0000-00009A720000}"/>
    <cellStyle name="s_PFMA Credit (2)_Broadleaf Watefall 6-30-09" xfId="29331" xr:uid="{00000000-0005-0000-0000-00009B720000}"/>
    <cellStyle name="s_PFMA Credit (2)_Broadleaf Watefall 9-30-09" xfId="29332" xr:uid="{00000000-0005-0000-0000-00009C720000}"/>
    <cellStyle name="s_PFMA Credit (2)_Carry Calculation" xfId="29333" xr:uid="{00000000-0005-0000-0000-00009D720000}"/>
    <cellStyle name="s_PFMA Credit (2)_Fund IV" xfId="29334" xr:uid="{00000000-0005-0000-0000-00009E720000}"/>
    <cellStyle name="s_PFMA Credit (2)_Fund IV 9.30.08" xfId="29335" xr:uid="{00000000-0005-0000-0000-00009F720000}"/>
    <cellStyle name="s_PFMA Credit (2)_Fund IV_1" xfId="29336" xr:uid="{00000000-0005-0000-0000-0000A0720000}"/>
    <cellStyle name="s_PFMA Credit (2)_Funds IV Clawback Adjustment Summary" xfId="29337" xr:uid="{00000000-0005-0000-0000-0000A1720000}"/>
    <cellStyle name="s_PFMA Credit (2)_Funds IV Clawback Value Adjustment" xfId="29338" xr:uid="{00000000-0005-0000-0000-0000A2720000}"/>
    <cellStyle name="s_PFMA Credit (2)_IC Balance" xfId="29339" xr:uid="{00000000-0005-0000-0000-0000A3720000}"/>
    <cellStyle name="s_PFMA Credit (2)_Invested Capital Debt Worksheet" xfId="29340" xr:uid="{00000000-0005-0000-0000-0000A4720000}"/>
    <cellStyle name="s_PFMA Credit (2)_Invested Capital Debt Worksheet_1" xfId="29341" xr:uid="{00000000-0005-0000-0000-0000A5720000}"/>
    <cellStyle name="s_PFMA Credit (2)_iPCs#1-Remaining" xfId="29342" xr:uid="{00000000-0005-0000-0000-0000A6720000}"/>
    <cellStyle name="s_PFMA Credit (2)_MMF Income" xfId="29343" xr:uid="{00000000-0005-0000-0000-0000A7720000}"/>
    <cellStyle name="s_PFMA Credit (2)_Partners Capital Q1 2009" xfId="29344" xr:uid="{00000000-0005-0000-0000-0000A8720000}"/>
    <cellStyle name="s_PFMA Credit (2)_Placement Fee Summary 05-14-09 - Current (2)" xfId="29345" xr:uid="{00000000-0005-0000-0000-0000A9720000}"/>
    <cellStyle name="s_PFMA Credit (2)_PR Calc" xfId="29346" xr:uid="{00000000-0005-0000-0000-0000AA720000}"/>
    <cellStyle name="s_PFMA Credit (2)_RCIV Q3 2009 Capital Analysis CURRENT" xfId="29347" xr:uid="{00000000-0005-0000-0000-0000AB720000}"/>
    <cellStyle name="s_PFMA Credit (2)_Sheet1" xfId="29348" xr:uid="{00000000-0005-0000-0000-0000AC720000}"/>
    <cellStyle name="s_PFMA Credit 10" xfId="29349" xr:uid="{00000000-0005-0000-0000-0000AD720000}"/>
    <cellStyle name="s_PFMA Credit 11" xfId="29350" xr:uid="{00000000-0005-0000-0000-0000AE720000}"/>
    <cellStyle name="s_PFMA Credit 12" xfId="29351" xr:uid="{00000000-0005-0000-0000-0000AF720000}"/>
    <cellStyle name="s_PFMA Credit 13" xfId="29352" xr:uid="{00000000-0005-0000-0000-0000B0720000}"/>
    <cellStyle name="s_PFMA Credit 14" xfId="29353" xr:uid="{00000000-0005-0000-0000-0000B1720000}"/>
    <cellStyle name="s_PFMA Credit 15" xfId="29354" xr:uid="{00000000-0005-0000-0000-0000B2720000}"/>
    <cellStyle name="s_PFMA Credit 16" xfId="29355" xr:uid="{00000000-0005-0000-0000-0000B3720000}"/>
    <cellStyle name="s_PFMA Credit 17" xfId="29356" xr:uid="{00000000-0005-0000-0000-0000B4720000}"/>
    <cellStyle name="s_PFMA Credit 18" xfId="29357" xr:uid="{00000000-0005-0000-0000-0000B5720000}"/>
    <cellStyle name="s_PFMA Credit 19" xfId="29358" xr:uid="{00000000-0005-0000-0000-0000B6720000}"/>
    <cellStyle name="s_PFMA Credit 2" xfId="29359" xr:uid="{00000000-0005-0000-0000-0000B7720000}"/>
    <cellStyle name="s_PFMA Credit 2 2" xfId="29360" xr:uid="{00000000-0005-0000-0000-0000B8720000}"/>
    <cellStyle name="s_PFMA Credit 20" xfId="29361" xr:uid="{00000000-0005-0000-0000-0000B9720000}"/>
    <cellStyle name="s_PFMA Credit 21" xfId="29362" xr:uid="{00000000-0005-0000-0000-0000BA720000}"/>
    <cellStyle name="s_PFMA Credit 22" xfId="29363" xr:uid="{00000000-0005-0000-0000-0000BB720000}"/>
    <cellStyle name="s_PFMA Credit 23" xfId="29364" xr:uid="{00000000-0005-0000-0000-0000BC720000}"/>
    <cellStyle name="s_PFMA Credit 23 2" xfId="29365" xr:uid="{00000000-0005-0000-0000-0000BD720000}"/>
    <cellStyle name="s_PFMA Credit 3" xfId="29366" xr:uid="{00000000-0005-0000-0000-0000BE720000}"/>
    <cellStyle name="s_PFMA Credit 3 2" xfId="29367" xr:uid="{00000000-0005-0000-0000-0000BF720000}"/>
    <cellStyle name="s_PFMA Credit 4" xfId="29368" xr:uid="{00000000-0005-0000-0000-0000C0720000}"/>
    <cellStyle name="s_PFMA Credit 5" xfId="29369" xr:uid="{00000000-0005-0000-0000-0000C1720000}"/>
    <cellStyle name="s_PFMA Credit 6" xfId="29370" xr:uid="{00000000-0005-0000-0000-0000C2720000}"/>
    <cellStyle name="s_PFMA Credit 7" xfId="29371" xr:uid="{00000000-0005-0000-0000-0000C3720000}"/>
    <cellStyle name="s_PFMA Credit 8" xfId="29372" xr:uid="{00000000-0005-0000-0000-0000C4720000}"/>
    <cellStyle name="s_PFMA Credit 9" xfId="29373" xr:uid="{00000000-0005-0000-0000-0000C5720000}"/>
    <cellStyle name="s_PFMA Credit_{6} Clawback" xfId="29374" xr:uid="{00000000-0005-0000-0000-0000C6720000}"/>
    <cellStyle name="s_PFMA Credit_1" xfId="29375" xr:uid="{00000000-0005-0000-0000-0000C7720000}"/>
    <cellStyle name="s_PFMA Credit_1 10" xfId="29376" xr:uid="{00000000-0005-0000-0000-0000C8720000}"/>
    <cellStyle name="s_PFMA Credit_1 11" xfId="29377" xr:uid="{00000000-0005-0000-0000-0000C9720000}"/>
    <cellStyle name="s_PFMA Credit_1 12" xfId="29378" xr:uid="{00000000-0005-0000-0000-0000CA720000}"/>
    <cellStyle name="s_PFMA Credit_1 13" xfId="29379" xr:uid="{00000000-0005-0000-0000-0000CB720000}"/>
    <cellStyle name="s_PFMA Credit_1 14" xfId="29380" xr:uid="{00000000-0005-0000-0000-0000CC720000}"/>
    <cellStyle name="s_PFMA Credit_1 15" xfId="29381" xr:uid="{00000000-0005-0000-0000-0000CD720000}"/>
    <cellStyle name="s_PFMA Credit_1 16" xfId="29382" xr:uid="{00000000-0005-0000-0000-0000CE720000}"/>
    <cellStyle name="s_PFMA Credit_1 17" xfId="29383" xr:uid="{00000000-0005-0000-0000-0000CF720000}"/>
    <cellStyle name="s_PFMA Credit_1 18" xfId="29384" xr:uid="{00000000-0005-0000-0000-0000D0720000}"/>
    <cellStyle name="s_PFMA Credit_1 19" xfId="29385" xr:uid="{00000000-0005-0000-0000-0000D1720000}"/>
    <cellStyle name="s_PFMA Credit_1 2" xfId="29386" xr:uid="{00000000-0005-0000-0000-0000D2720000}"/>
    <cellStyle name="s_PFMA Credit_1 2 2" xfId="29387" xr:uid="{00000000-0005-0000-0000-0000D3720000}"/>
    <cellStyle name="s_PFMA Credit_1 20" xfId="29388" xr:uid="{00000000-0005-0000-0000-0000D4720000}"/>
    <cellStyle name="s_PFMA Credit_1 21" xfId="29389" xr:uid="{00000000-0005-0000-0000-0000D5720000}"/>
    <cellStyle name="s_PFMA Credit_1 22" xfId="29390" xr:uid="{00000000-0005-0000-0000-0000D6720000}"/>
    <cellStyle name="s_PFMA Credit_1 23" xfId="29391" xr:uid="{00000000-0005-0000-0000-0000D7720000}"/>
    <cellStyle name="s_PFMA Credit_1 23 2" xfId="29392" xr:uid="{00000000-0005-0000-0000-0000D8720000}"/>
    <cellStyle name="s_PFMA Credit_1 3" xfId="29393" xr:uid="{00000000-0005-0000-0000-0000D9720000}"/>
    <cellStyle name="s_PFMA Credit_1 3 2" xfId="29394" xr:uid="{00000000-0005-0000-0000-0000DA720000}"/>
    <cellStyle name="s_PFMA Credit_1 4" xfId="29395" xr:uid="{00000000-0005-0000-0000-0000DB720000}"/>
    <cellStyle name="s_PFMA Credit_1 5" xfId="29396" xr:uid="{00000000-0005-0000-0000-0000DC720000}"/>
    <cellStyle name="s_PFMA Credit_1 6" xfId="29397" xr:uid="{00000000-0005-0000-0000-0000DD720000}"/>
    <cellStyle name="s_PFMA Credit_1 7" xfId="29398" xr:uid="{00000000-0005-0000-0000-0000DE720000}"/>
    <cellStyle name="s_PFMA Credit_1 8" xfId="29399" xr:uid="{00000000-0005-0000-0000-0000DF720000}"/>
    <cellStyle name="s_PFMA Credit_1 9" xfId="29400" xr:uid="{00000000-0005-0000-0000-0000E0720000}"/>
    <cellStyle name="s_PFMA Credit_1_{6} Clawback" xfId="29401" xr:uid="{00000000-0005-0000-0000-0000E1720000}"/>
    <cellStyle name="s_PFMA Credit_1_AIF IV Financial Highlights 12-31-08 v4" xfId="29402" xr:uid="{00000000-0005-0000-0000-0000E2720000}"/>
    <cellStyle name="s_PFMA Credit_1_AIF IV Financial Highlights 12-31-08 v4_Apollo Investment Fund IV  Q3 2009 Capital Analysis CURRENT" xfId="29403" xr:uid="{00000000-0005-0000-0000-0000E3720000}"/>
    <cellStyle name="s_PFMA Credit_1_AIF IV Financial Highlights 12-31-08 v4_Apollo Investment Fund IV  Q3 2009 Capital Analysis iPCS &amp; URI Distribution" xfId="29404" xr:uid="{00000000-0005-0000-0000-0000E4720000}"/>
    <cellStyle name="s_PFMA Credit_1_AIF IV Financial Highlights 12-31-08 v4_iPCs#1-Remaining" xfId="29405" xr:uid="{00000000-0005-0000-0000-0000E5720000}"/>
    <cellStyle name="s_PFMA Credit_1_AIF VI - BondcoVI_Entities Invested Capital (CURRENT)" xfId="29406" xr:uid="{00000000-0005-0000-0000-0000E6720000}"/>
    <cellStyle name="s_PFMA Credit_1_AIF VI Broadleaf Watefall Summary as of 6-30-09 FINAL" xfId="29407" xr:uid="{00000000-0005-0000-0000-0000E7720000}"/>
    <cellStyle name="s_PFMA Credit_1_AIF VI Broadleaf Watefall Summary as of 9-30-09" xfId="29408" xr:uid="{00000000-0005-0000-0000-0000E8720000}"/>
    <cellStyle name="s_PFMA Credit_1_Andy Affrick - Schedulev2" xfId="29409" xr:uid="{00000000-0005-0000-0000-0000E9720000}"/>
    <cellStyle name="s_PFMA Credit_1_Apollo Advisors IV 12-31-08 GAAP TB Final" xfId="29410" xr:uid="{00000000-0005-0000-0000-0000EA720000}"/>
    <cellStyle name="s_PFMA Credit_1_Apollo Advisors IV 12-31-08 TB (Revised for Aggr PR)" xfId="29411" xr:uid="{00000000-0005-0000-0000-0000EB720000}"/>
    <cellStyle name="s_PFMA Credit_1_Apollo Advisors IV 6-30-09 GAAP TB" xfId="29412" xr:uid="{00000000-0005-0000-0000-0000EC720000}"/>
    <cellStyle name="s_PFMA Credit_1_Apollo Investment Fund IV  April Priority Return" xfId="29413" xr:uid="{00000000-0005-0000-0000-0000ED720000}"/>
    <cellStyle name="s_PFMA Credit_1_Apollo Investment Fund IV  Q1 2009 Capital Analysis 5-22-09 with GAAP" xfId="29414" xr:uid="{00000000-0005-0000-0000-0000EE720000}"/>
    <cellStyle name="s_PFMA Credit_1_Apollo Investment Fund IV  Q1 2009 Capital Analysis GAAP" xfId="29415" xr:uid="{00000000-0005-0000-0000-0000EF720000}"/>
    <cellStyle name="s_PFMA Credit_1_Apollo Investment Fund IV  Q2 2009 Capital Analysis CURRENT" xfId="29416" xr:uid="{00000000-0005-0000-0000-0000F0720000}"/>
    <cellStyle name="s_PFMA Credit_1_Apollo Investment Fund IV  Q3 2009 Capital Analysis CURRENT" xfId="29417" xr:uid="{00000000-0005-0000-0000-0000F1720000}"/>
    <cellStyle name="s_PFMA Credit_1_Apollo Investment Fund IV  Q3 2009 Capital Analysis iPCS &amp; URI Distribution" xfId="29418" xr:uid="{00000000-0005-0000-0000-0000F2720000}"/>
    <cellStyle name="s_PFMA Credit_1_Apollo Investment Fund IV Q1 2009 Capital Analysis PR CORRECTED 6-30-09" xfId="29419" xr:uid="{00000000-0005-0000-0000-0000F3720000}"/>
    <cellStyle name="s_PFMA Credit_1_Broadleaf Watefall 12-31-09" xfId="29420" xr:uid="{00000000-0005-0000-0000-0000F4720000}"/>
    <cellStyle name="s_PFMA Credit_1_Broadleaf Watefall 6-30-09" xfId="29421" xr:uid="{00000000-0005-0000-0000-0000F5720000}"/>
    <cellStyle name="s_PFMA Credit_1_Broadleaf Watefall 9-30-09" xfId="29422" xr:uid="{00000000-0005-0000-0000-0000F6720000}"/>
    <cellStyle name="s_PFMA Credit_1_Carry Calculation" xfId="29423" xr:uid="{00000000-0005-0000-0000-0000F7720000}"/>
    <cellStyle name="s_PFMA Credit_1_Fund IV" xfId="29424" xr:uid="{00000000-0005-0000-0000-0000F8720000}"/>
    <cellStyle name="s_PFMA Credit_1_Fund IV 9.30.08" xfId="29425" xr:uid="{00000000-0005-0000-0000-0000F9720000}"/>
    <cellStyle name="s_PFMA Credit_1_Fund IV_1" xfId="29426" xr:uid="{00000000-0005-0000-0000-0000FA720000}"/>
    <cellStyle name="s_PFMA Credit_1_Funds IV Clawback Adjustment Summary" xfId="29427" xr:uid="{00000000-0005-0000-0000-0000FB720000}"/>
    <cellStyle name="s_PFMA Credit_1_Funds IV Clawback Value Adjustment" xfId="29428" xr:uid="{00000000-0005-0000-0000-0000FC720000}"/>
    <cellStyle name="s_PFMA Credit_1_IC Balance" xfId="29429" xr:uid="{00000000-0005-0000-0000-0000FD720000}"/>
    <cellStyle name="s_PFMA Credit_1_Invested Capital Debt Worksheet" xfId="29430" xr:uid="{00000000-0005-0000-0000-0000FE720000}"/>
    <cellStyle name="s_PFMA Credit_1_Invested Capital Debt Worksheet_1" xfId="29431" xr:uid="{00000000-0005-0000-0000-0000FF720000}"/>
    <cellStyle name="s_PFMA Credit_1_iPCs#1-Remaining" xfId="29432" xr:uid="{00000000-0005-0000-0000-000000730000}"/>
    <cellStyle name="s_PFMA Credit_1_MMF Income" xfId="29433" xr:uid="{00000000-0005-0000-0000-000001730000}"/>
    <cellStyle name="s_PFMA Credit_1_Partners Capital Q1 2009" xfId="29434" xr:uid="{00000000-0005-0000-0000-000002730000}"/>
    <cellStyle name="s_PFMA Credit_1_Placement Fee Summary 05-14-09 - Current (2)" xfId="29435" xr:uid="{00000000-0005-0000-0000-000003730000}"/>
    <cellStyle name="s_PFMA Credit_1_PR Calc" xfId="29436" xr:uid="{00000000-0005-0000-0000-000004730000}"/>
    <cellStyle name="s_PFMA Credit_1_RCIV Q3 2009 Capital Analysis CURRENT" xfId="29437" xr:uid="{00000000-0005-0000-0000-000005730000}"/>
    <cellStyle name="s_PFMA Credit_1_Sheet1" xfId="29438" xr:uid="{00000000-0005-0000-0000-000006730000}"/>
    <cellStyle name="s_PFMA Credit_2" xfId="29439" xr:uid="{00000000-0005-0000-0000-000007730000}"/>
    <cellStyle name="s_PFMA Credit_2 10" xfId="29440" xr:uid="{00000000-0005-0000-0000-000008730000}"/>
    <cellStyle name="s_PFMA Credit_2 11" xfId="29441" xr:uid="{00000000-0005-0000-0000-000009730000}"/>
    <cellStyle name="s_PFMA Credit_2 12" xfId="29442" xr:uid="{00000000-0005-0000-0000-00000A730000}"/>
    <cellStyle name="s_PFMA Credit_2 13" xfId="29443" xr:uid="{00000000-0005-0000-0000-00000B730000}"/>
    <cellStyle name="s_PFMA Credit_2 14" xfId="29444" xr:uid="{00000000-0005-0000-0000-00000C730000}"/>
    <cellStyle name="s_PFMA Credit_2 15" xfId="29445" xr:uid="{00000000-0005-0000-0000-00000D730000}"/>
    <cellStyle name="s_PFMA Credit_2 16" xfId="29446" xr:uid="{00000000-0005-0000-0000-00000E730000}"/>
    <cellStyle name="s_PFMA Credit_2 17" xfId="29447" xr:uid="{00000000-0005-0000-0000-00000F730000}"/>
    <cellStyle name="s_PFMA Credit_2 18" xfId="29448" xr:uid="{00000000-0005-0000-0000-000010730000}"/>
    <cellStyle name="s_PFMA Credit_2 19" xfId="29449" xr:uid="{00000000-0005-0000-0000-000011730000}"/>
    <cellStyle name="s_PFMA Credit_2 2" xfId="29450" xr:uid="{00000000-0005-0000-0000-000012730000}"/>
    <cellStyle name="s_PFMA Credit_2 2 2" xfId="29451" xr:uid="{00000000-0005-0000-0000-000013730000}"/>
    <cellStyle name="s_PFMA Credit_2 20" xfId="29452" xr:uid="{00000000-0005-0000-0000-000014730000}"/>
    <cellStyle name="s_PFMA Credit_2 21" xfId="29453" xr:uid="{00000000-0005-0000-0000-000015730000}"/>
    <cellStyle name="s_PFMA Credit_2 22" xfId="29454" xr:uid="{00000000-0005-0000-0000-000016730000}"/>
    <cellStyle name="s_PFMA Credit_2 23" xfId="29455" xr:uid="{00000000-0005-0000-0000-000017730000}"/>
    <cellStyle name="s_PFMA Credit_2 23 2" xfId="29456" xr:uid="{00000000-0005-0000-0000-000018730000}"/>
    <cellStyle name="s_PFMA Credit_2 3" xfId="29457" xr:uid="{00000000-0005-0000-0000-000019730000}"/>
    <cellStyle name="s_PFMA Credit_2 3 2" xfId="29458" xr:uid="{00000000-0005-0000-0000-00001A730000}"/>
    <cellStyle name="s_PFMA Credit_2 4" xfId="29459" xr:uid="{00000000-0005-0000-0000-00001B730000}"/>
    <cellStyle name="s_PFMA Credit_2 5" xfId="29460" xr:uid="{00000000-0005-0000-0000-00001C730000}"/>
    <cellStyle name="s_PFMA Credit_2 6" xfId="29461" xr:uid="{00000000-0005-0000-0000-00001D730000}"/>
    <cellStyle name="s_PFMA Credit_2 7" xfId="29462" xr:uid="{00000000-0005-0000-0000-00001E730000}"/>
    <cellStyle name="s_PFMA Credit_2 8" xfId="29463" xr:uid="{00000000-0005-0000-0000-00001F730000}"/>
    <cellStyle name="s_PFMA Credit_2 9" xfId="29464" xr:uid="{00000000-0005-0000-0000-000020730000}"/>
    <cellStyle name="s_PFMA Credit_2_{6} Clawback" xfId="29465" xr:uid="{00000000-0005-0000-0000-000021730000}"/>
    <cellStyle name="s_PFMA Credit_2_AIF IV Financial Highlights 12-31-08 v4" xfId="29466" xr:uid="{00000000-0005-0000-0000-000022730000}"/>
    <cellStyle name="s_PFMA Credit_2_AIF IV Financial Highlights 12-31-08 v4_Apollo Investment Fund IV  Q3 2009 Capital Analysis CURRENT" xfId="29467" xr:uid="{00000000-0005-0000-0000-000023730000}"/>
    <cellStyle name="s_PFMA Credit_2_AIF IV Financial Highlights 12-31-08 v4_Apollo Investment Fund IV  Q3 2009 Capital Analysis iPCS &amp; URI Distribution" xfId="29468" xr:uid="{00000000-0005-0000-0000-000024730000}"/>
    <cellStyle name="s_PFMA Credit_2_AIF IV Financial Highlights 12-31-08 v4_iPCs#1-Remaining" xfId="29469" xr:uid="{00000000-0005-0000-0000-000025730000}"/>
    <cellStyle name="s_PFMA Credit_2_AIF VI - BondcoVI_Entities Invested Capital (CURRENT)" xfId="29470" xr:uid="{00000000-0005-0000-0000-000026730000}"/>
    <cellStyle name="s_PFMA Credit_2_AIF VI Broadleaf Watefall Summary as of 6-30-09 FINAL" xfId="29471" xr:uid="{00000000-0005-0000-0000-000027730000}"/>
    <cellStyle name="s_PFMA Credit_2_AIF VI Broadleaf Watefall Summary as of 9-30-09" xfId="29472" xr:uid="{00000000-0005-0000-0000-000028730000}"/>
    <cellStyle name="s_PFMA Credit_2_Andy Affrick - Schedulev2" xfId="29473" xr:uid="{00000000-0005-0000-0000-000029730000}"/>
    <cellStyle name="s_PFMA Credit_2_Apollo Advisors IV 12-31-08 GAAP TB Final" xfId="29474" xr:uid="{00000000-0005-0000-0000-00002A730000}"/>
    <cellStyle name="s_PFMA Credit_2_Apollo Advisors IV 12-31-08 TB (Revised for Aggr PR)" xfId="29475" xr:uid="{00000000-0005-0000-0000-00002B730000}"/>
    <cellStyle name="s_PFMA Credit_2_Apollo Advisors IV 6-30-09 GAAP TB" xfId="29476" xr:uid="{00000000-0005-0000-0000-00002C730000}"/>
    <cellStyle name="s_PFMA Credit_2_Apollo Investment Fund IV  April Priority Return" xfId="29477" xr:uid="{00000000-0005-0000-0000-00002D730000}"/>
    <cellStyle name="s_PFMA Credit_2_Apollo Investment Fund IV  Q1 2009 Capital Analysis 5-22-09 with GAAP" xfId="29478" xr:uid="{00000000-0005-0000-0000-00002E730000}"/>
    <cellStyle name="s_PFMA Credit_2_Apollo Investment Fund IV  Q1 2009 Capital Analysis GAAP" xfId="29479" xr:uid="{00000000-0005-0000-0000-00002F730000}"/>
    <cellStyle name="s_PFMA Credit_2_Apollo Investment Fund IV  Q2 2009 Capital Analysis CURRENT" xfId="29480" xr:uid="{00000000-0005-0000-0000-000030730000}"/>
    <cellStyle name="s_PFMA Credit_2_Apollo Investment Fund IV  Q3 2009 Capital Analysis CURRENT" xfId="29481" xr:uid="{00000000-0005-0000-0000-000031730000}"/>
    <cellStyle name="s_PFMA Credit_2_Apollo Investment Fund IV  Q3 2009 Capital Analysis iPCS &amp; URI Distribution" xfId="29482" xr:uid="{00000000-0005-0000-0000-000032730000}"/>
    <cellStyle name="s_PFMA Credit_2_Apollo Investment Fund IV Q1 2009 Capital Analysis PR CORRECTED 6-30-09" xfId="29483" xr:uid="{00000000-0005-0000-0000-000033730000}"/>
    <cellStyle name="s_PFMA Credit_2_Broadleaf Watefall 12-31-09" xfId="29484" xr:uid="{00000000-0005-0000-0000-000034730000}"/>
    <cellStyle name="s_PFMA Credit_2_Broadleaf Watefall 6-30-09" xfId="29485" xr:uid="{00000000-0005-0000-0000-000035730000}"/>
    <cellStyle name="s_PFMA Credit_2_Broadleaf Watefall 9-30-09" xfId="29486" xr:uid="{00000000-0005-0000-0000-000036730000}"/>
    <cellStyle name="s_PFMA Credit_2_Carry Calculation" xfId="29487" xr:uid="{00000000-0005-0000-0000-000037730000}"/>
    <cellStyle name="s_PFMA Credit_2_Fund IV" xfId="29488" xr:uid="{00000000-0005-0000-0000-000038730000}"/>
    <cellStyle name="s_PFMA Credit_2_Fund IV 9.30.08" xfId="29489" xr:uid="{00000000-0005-0000-0000-000039730000}"/>
    <cellStyle name="s_PFMA Credit_2_Fund IV_1" xfId="29490" xr:uid="{00000000-0005-0000-0000-00003A730000}"/>
    <cellStyle name="s_PFMA Credit_2_Funds IV Clawback Adjustment Summary" xfId="29491" xr:uid="{00000000-0005-0000-0000-00003B730000}"/>
    <cellStyle name="s_PFMA Credit_2_Funds IV Clawback Value Adjustment" xfId="29492" xr:uid="{00000000-0005-0000-0000-00003C730000}"/>
    <cellStyle name="s_PFMA Credit_2_IC Balance" xfId="29493" xr:uid="{00000000-0005-0000-0000-00003D730000}"/>
    <cellStyle name="s_PFMA Credit_2_Invested Capital Debt Worksheet" xfId="29494" xr:uid="{00000000-0005-0000-0000-00003E730000}"/>
    <cellStyle name="s_PFMA Credit_2_Invested Capital Debt Worksheet_1" xfId="29495" xr:uid="{00000000-0005-0000-0000-00003F730000}"/>
    <cellStyle name="s_PFMA Credit_2_iPCs#1-Remaining" xfId="29496" xr:uid="{00000000-0005-0000-0000-000040730000}"/>
    <cellStyle name="s_PFMA Credit_2_MMF Income" xfId="29497" xr:uid="{00000000-0005-0000-0000-000041730000}"/>
    <cellStyle name="s_PFMA Credit_2_Partners Capital Q1 2009" xfId="29498" xr:uid="{00000000-0005-0000-0000-000042730000}"/>
    <cellStyle name="s_PFMA Credit_2_Placement Fee Summary 05-14-09 - Current (2)" xfId="29499" xr:uid="{00000000-0005-0000-0000-000043730000}"/>
    <cellStyle name="s_PFMA Credit_2_PR Calc" xfId="29500" xr:uid="{00000000-0005-0000-0000-000044730000}"/>
    <cellStyle name="s_PFMA Credit_2_RCIV Q3 2009 Capital Analysis CURRENT" xfId="29501" xr:uid="{00000000-0005-0000-0000-000045730000}"/>
    <cellStyle name="s_PFMA Credit_2_Sheet1" xfId="29502" xr:uid="{00000000-0005-0000-0000-000046730000}"/>
    <cellStyle name="s_PFMA Credit_AIF IV Financial Highlights 12-31-08 v4" xfId="29503" xr:uid="{00000000-0005-0000-0000-000047730000}"/>
    <cellStyle name="s_PFMA Credit_AIF IV Financial Highlights 12-31-08 v4_Apollo Investment Fund IV  Q3 2009 Capital Analysis CURRENT" xfId="29504" xr:uid="{00000000-0005-0000-0000-000048730000}"/>
    <cellStyle name="s_PFMA Credit_AIF IV Financial Highlights 12-31-08 v4_Apollo Investment Fund IV  Q3 2009 Capital Analysis iPCS &amp; URI Distribution" xfId="29505" xr:uid="{00000000-0005-0000-0000-000049730000}"/>
    <cellStyle name="s_PFMA Credit_AIF IV Financial Highlights 12-31-08 v4_iPCs#1-Remaining" xfId="29506" xr:uid="{00000000-0005-0000-0000-00004A730000}"/>
    <cellStyle name="s_PFMA Credit_AIF VI - BondcoVI_Entities Invested Capital (CURRENT)" xfId="29507" xr:uid="{00000000-0005-0000-0000-00004B730000}"/>
    <cellStyle name="s_PFMA Credit_AIF VI Broadleaf Watefall Summary as of 6-30-09 FINAL" xfId="29508" xr:uid="{00000000-0005-0000-0000-00004C730000}"/>
    <cellStyle name="s_PFMA Credit_AIF VI Broadleaf Watefall Summary as of 9-30-09" xfId="29509" xr:uid="{00000000-0005-0000-0000-00004D730000}"/>
    <cellStyle name="s_PFMA Credit_Andy Affrick - Schedulev2" xfId="29510" xr:uid="{00000000-0005-0000-0000-00004E730000}"/>
    <cellStyle name="s_PFMA Credit_Apollo Investment Fund IV  April Priority Return" xfId="29511" xr:uid="{00000000-0005-0000-0000-00004F730000}"/>
    <cellStyle name="s_PFMA Credit_Apollo Investment Fund IV  Q1 2009 Capital Analysis 5-22-09 with GAAP" xfId="29512" xr:uid="{00000000-0005-0000-0000-000050730000}"/>
    <cellStyle name="s_PFMA Credit_Apollo Investment Fund IV  Q1 2009 Capital Analysis GAAP" xfId="29513" xr:uid="{00000000-0005-0000-0000-000051730000}"/>
    <cellStyle name="s_PFMA Credit_Apollo Investment Fund IV  Q2 2009 Capital Analysis CURRENT" xfId="29514" xr:uid="{00000000-0005-0000-0000-000052730000}"/>
    <cellStyle name="s_PFMA Credit_Apollo Investment Fund IV  Q3 2009 Capital Analysis CURRENT" xfId="29515" xr:uid="{00000000-0005-0000-0000-000053730000}"/>
    <cellStyle name="s_PFMA Credit_Apollo Investment Fund IV  Q3 2009 Capital Analysis iPCS &amp; URI Distribution" xfId="29516" xr:uid="{00000000-0005-0000-0000-000054730000}"/>
    <cellStyle name="s_PFMA Credit_Apollo Investment Fund IV Q1 2009 Capital Analysis PR CORRECTED 6-30-09" xfId="29517" xr:uid="{00000000-0005-0000-0000-000055730000}"/>
    <cellStyle name="s_PFMA Credit_Broadleaf Watefall 12-31-09" xfId="29518" xr:uid="{00000000-0005-0000-0000-000056730000}"/>
    <cellStyle name="s_PFMA Credit_Broadleaf Watefall 6-30-09" xfId="29519" xr:uid="{00000000-0005-0000-0000-000057730000}"/>
    <cellStyle name="s_PFMA Credit_Broadleaf Watefall 9-30-09" xfId="29520" xr:uid="{00000000-0005-0000-0000-000058730000}"/>
    <cellStyle name="s_PFMA Credit_Carry Calculation" xfId="29521" xr:uid="{00000000-0005-0000-0000-000059730000}"/>
    <cellStyle name="s_PFMA Credit_Fund IV" xfId="29522" xr:uid="{00000000-0005-0000-0000-00005A730000}"/>
    <cellStyle name="s_PFMA Credit_Fund IV 9.30.08" xfId="29523" xr:uid="{00000000-0005-0000-0000-00005B730000}"/>
    <cellStyle name="s_PFMA Credit_Fund IV_1" xfId="29524" xr:uid="{00000000-0005-0000-0000-00005C730000}"/>
    <cellStyle name="s_PFMA Credit_Funds IV Clawback Adjustment Summary" xfId="29525" xr:uid="{00000000-0005-0000-0000-00005D730000}"/>
    <cellStyle name="s_PFMA Credit_Funds IV Clawback Value Adjustment" xfId="29526" xr:uid="{00000000-0005-0000-0000-00005E730000}"/>
    <cellStyle name="s_PFMA Credit_IC Balance" xfId="29527" xr:uid="{00000000-0005-0000-0000-00005F730000}"/>
    <cellStyle name="s_PFMA Credit_Invested Capital Debt Worksheet" xfId="29528" xr:uid="{00000000-0005-0000-0000-000060730000}"/>
    <cellStyle name="s_PFMA Credit_iPCs#1-Remaining" xfId="29529" xr:uid="{00000000-0005-0000-0000-000061730000}"/>
    <cellStyle name="s_PFMA Credit_MMF Income" xfId="29530" xr:uid="{00000000-0005-0000-0000-000062730000}"/>
    <cellStyle name="s_PFMA Credit_Partners Capital Q1 2009" xfId="29531" xr:uid="{00000000-0005-0000-0000-000063730000}"/>
    <cellStyle name="s_PFMA Credit_Placement Fee Summary 05-14-09 - Current (2)" xfId="29532" xr:uid="{00000000-0005-0000-0000-000064730000}"/>
    <cellStyle name="s_PFMA Credit_PR Calc" xfId="29533" xr:uid="{00000000-0005-0000-0000-000065730000}"/>
    <cellStyle name="s_PFMA Credit_RCIV Q3 2009 Capital Analysis CURRENT" xfId="29534" xr:uid="{00000000-0005-0000-0000-000066730000}"/>
    <cellStyle name="s_PFMA Fin Sum" xfId="29535" xr:uid="{00000000-0005-0000-0000-000067730000}"/>
    <cellStyle name="s_PFMA Fin Sum 10" xfId="29536" xr:uid="{00000000-0005-0000-0000-000068730000}"/>
    <cellStyle name="s_PFMA Fin Sum 11" xfId="29537" xr:uid="{00000000-0005-0000-0000-000069730000}"/>
    <cellStyle name="s_PFMA Fin Sum 12" xfId="29538" xr:uid="{00000000-0005-0000-0000-00006A730000}"/>
    <cellStyle name="s_PFMA Fin Sum 13" xfId="29539" xr:uid="{00000000-0005-0000-0000-00006B730000}"/>
    <cellStyle name="s_PFMA Fin Sum 14" xfId="29540" xr:uid="{00000000-0005-0000-0000-00006C730000}"/>
    <cellStyle name="s_PFMA Fin Sum 15" xfId="29541" xr:uid="{00000000-0005-0000-0000-00006D730000}"/>
    <cellStyle name="s_PFMA Fin Sum 16" xfId="29542" xr:uid="{00000000-0005-0000-0000-00006E730000}"/>
    <cellStyle name="s_PFMA Fin Sum 17" xfId="29543" xr:uid="{00000000-0005-0000-0000-00006F730000}"/>
    <cellStyle name="s_PFMA Fin Sum 18" xfId="29544" xr:uid="{00000000-0005-0000-0000-000070730000}"/>
    <cellStyle name="s_PFMA Fin Sum 19" xfId="29545" xr:uid="{00000000-0005-0000-0000-000071730000}"/>
    <cellStyle name="s_PFMA Fin Sum 2" xfId="29546" xr:uid="{00000000-0005-0000-0000-000072730000}"/>
    <cellStyle name="s_PFMA Fin Sum 2 2" xfId="29547" xr:uid="{00000000-0005-0000-0000-000073730000}"/>
    <cellStyle name="s_PFMA Fin Sum 20" xfId="29548" xr:uid="{00000000-0005-0000-0000-000074730000}"/>
    <cellStyle name="s_PFMA Fin Sum 21" xfId="29549" xr:uid="{00000000-0005-0000-0000-000075730000}"/>
    <cellStyle name="s_PFMA Fin Sum 22" xfId="29550" xr:uid="{00000000-0005-0000-0000-000076730000}"/>
    <cellStyle name="s_PFMA Fin Sum 23" xfId="29551" xr:uid="{00000000-0005-0000-0000-000077730000}"/>
    <cellStyle name="s_PFMA Fin Sum 23 2" xfId="29552" xr:uid="{00000000-0005-0000-0000-000078730000}"/>
    <cellStyle name="s_PFMA Fin Sum 3" xfId="29553" xr:uid="{00000000-0005-0000-0000-000079730000}"/>
    <cellStyle name="s_PFMA Fin Sum 3 2" xfId="29554" xr:uid="{00000000-0005-0000-0000-00007A730000}"/>
    <cellStyle name="s_PFMA Fin Sum 4" xfId="29555" xr:uid="{00000000-0005-0000-0000-00007B730000}"/>
    <cellStyle name="s_PFMA Fin Sum 5" xfId="29556" xr:uid="{00000000-0005-0000-0000-00007C730000}"/>
    <cellStyle name="s_PFMA Fin Sum 6" xfId="29557" xr:uid="{00000000-0005-0000-0000-00007D730000}"/>
    <cellStyle name="s_PFMA Fin Sum 7" xfId="29558" xr:uid="{00000000-0005-0000-0000-00007E730000}"/>
    <cellStyle name="s_PFMA Fin Sum 8" xfId="29559" xr:uid="{00000000-0005-0000-0000-00007F730000}"/>
    <cellStyle name="s_PFMA Fin Sum 9" xfId="29560" xr:uid="{00000000-0005-0000-0000-000080730000}"/>
    <cellStyle name="s_PFMA Fin Sum_{6} Clawback" xfId="29561" xr:uid="{00000000-0005-0000-0000-000081730000}"/>
    <cellStyle name="s_PFMA Fin Sum_1" xfId="29562" xr:uid="{00000000-0005-0000-0000-000082730000}"/>
    <cellStyle name="s_PFMA Fin Sum_1 10" xfId="29563" xr:uid="{00000000-0005-0000-0000-000083730000}"/>
    <cellStyle name="s_PFMA Fin Sum_1 11" xfId="29564" xr:uid="{00000000-0005-0000-0000-000084730000}"/>
    <cellStyle name="s_PFMA Fin Sum_1 12" xfId="29565" xr:uid="{00000000-0005-0000-0000-000085730000}"/>
    <cellStyle name="s_PFMA Fin Sum_1 13" xfId="29566" xr:uid="{00000000-0005-0000-0000-000086730000}"/>
    <cellStyle name="s_PFMA Fin Sum_1 14" xfId="29567" xr:uid="{00000000-0005-0000-0000-000087730000}"/>
    <cellStyle name="s_PFMA Fin Sum_1 15" xfId="29568" xr:uid="{00000000-0005-0000-0000-000088730000}"/>
    <cellStyle name="s_PFMA Fin Sum_1 16" xfId="29569" xr:uid="{00000000-0005-0000-0000-000089730000}"/>
    <cellStyle name="s_PFMA Fin Sum_1 17" xfId="29570" xr:uid="{00000000-0005-0000-0000-00008A730000}"/>
    <cellStyle name="s_PFMA Fin Sum_1 18" xfId="29571" xr:uid="{00000000-0005-0000-0000-00008B730000}"/>
    <cellStyle name="s_PFMA Fin Sum_1 19" xfId="29572" xr:uid="{00000000-0005-0000-0000-00008C730000}"/>
    <cellStyle name="s_PFMA Fin Sum_1 2" xfId="29573" xr:uid="{00000000-0005-0000-0000-00008D730000}"/>
    <cellStyle name="s_PFMA Fin Sum_1 2 2" xfId="29574" xr:uid="{00000000-0005-0000-0000-00008E730000}"/>
    <cellStyle name="s_PFMA Fin Sum_1 20" xfId="29575" xr:uid="{00000000-0005-0000-0000-00008F730000}"/>
    <cellStyle name="s_PFMA Fin Sum_1 21" xfId="29576" xr:uid="{00000000-0005-0000-0000-000090730000}"/>
    <cellStyle name="s_PFMA Fin Sum_1 22" xfId="29577" xr:uid="{00000000-0005-0000-0000-000091730000}"/>
    <cellStyle name="s_PFMA Fin Sum_1 23" xfId="29578" xr:uid="{00000000-0005-0000-0000-000092730000}"/>
    <cellStyle name="s_PFMA Fin Sum_1 23 2" xfId="29579" xr:uid="{00000000-0005-0000-0000-000093730000}"/>
    <cellStyle name="s_PFMA Fin Sum_1 3" xfId="29580" xr:uid="{00000000-0005-0000-0000-000094730000}"/>
    <cellStyle name="s_PFMA Fin Sum_1 3 2" xfId="29581" xr:uid="{00000000-0005-0000-0000-000095730000}"/>
    <cellStyle name="s_PFMA Fin Sum_1 4" xfId="29582" xr:uid="{00000000-0005-0000-0000-000096730000}"/>
    <cellStyle name="s_PFMA Fin Sum_1 5" xfId="29583" xr:uid="{00000000-0005-0000-0000-000097730000}"/>
    <cellStyle name="s_PFMA Fin Sum_1 6" xfId="29584" xr:uid="{00000000-0005-0000-0000-000098730000}"/>
    <cellStyle name="s_PFMA Fin Sum_1 7" xfId="29585" xr:uid="{00000000-0005-0000-0000-000099730000}"/>
    <cellStyle name="s_PFMA Fin Sum_1 8" xfId="29586" xr:uid="{00000000-0005-0000-0000-00009A730000}"/>
    <cellStyle name="s_PFMA Fin Sum_1 9" xfId="29587" xr:uid="{00000000-0005-0000-0000-00009B730000}"/>
    <cellStyle name="s_PFMA Fin Sum_1_{6} Clawback" xfId="29588" xr:uid="{00000000-0005-0000-0000-00009C730000}"/>
    <cellStyle name="s_PFMA Fin Sum_1_AIF IV Financial Highlights 12-31-08 v4" xfId="29589" xr:uid="{00000000-0005-0000-0000-00009D730000}"/>
    <cellStyle name="s_PFMA Fin Sum_1_AIF IV Financial Highlights 12-31-08 v4_Apollo Investment Fund IV  Q3 2009 Capital Analysis CURRENT" xfId="29590" xr:uid="{00000000-0005-0000-0000-00009E730000}"/>
    <cellStyle name="s_PFMA Fin Sum_1_AIF IV Financial Highlights 12-31-08 v4_Apollo Investment Fund IV  Q3 2009 Capital Analysis iPCS &amp; URI Distribution" xfId="29591" xr:uid="{00000000-0005-0000-0000-00009F730000}"/>
    <cellStyle name="s_PFMA Fin Sum_1_AIF IV Financial Highlights 12-31-08 v4_iPCs#1-Remaining" xfId="29592" xr:uid="{00000000-0005-0000-0000-0000A0730000}"/>
    <cellStyle name="s_PFMA Fin Sum_1_AIF VI - BondcoVI_Entities Invested Capital (CURRENT)" xfId="29593" xr:uid="{00000000-0005-0000-0000-0000A1730000}"/>
    <cellStyle name="s_PFMA Fin Sum_1_AIF VI Broadleaf Watefall Summary as of 6-30-09 FINAL" xfId="29594" xr:uid="{00000000-0005-0000-0000-0000A2730000}"/>
    <cellStyle name="s_PFMA Fin Sum_1_AIF VI Broadleaf Watefall Summary as of 9-30-09" xfId="29595" xr:uid="{00000000-0005-0000-0000-0000A3730000}"/>
    <cellStyle name="s_PFMA Fin Sum_1_Andy Affrick - Schedulev2" xfId="29596" xr:uid="{00000000-0005-0000-0000-0000A4730000}"/>
    <cellStyle name="s_PFMA Fin Sum_1_Apollo Advisors IV 12-31-08 GAAP TB Final" xfId="29597" xr:uid="{00000000-0005-0000-0000-0000A5730000}"/>
    <cellStyle name="s_PFMA Fin Sum_1_Apollo Advisors IV 12-31-08 TB (Revised for Aggr PR)" xfId="29598" xr:uid="{00000000-0005-0000-0000-0000A6730000}"/>
    <cellStyle name="s_PFMA Fin Sum_1_Apollo Advisors IV 6-30-09 GAAP TB" xfId="29599" xr:uid="{00000000-0005-0000-0000-0000A7730000}"/>
    <cellStyle name="s_PFMA Fin Sum_1_Apollo Investment Fund IV  April Priority Return" xfId="29600" xr:uid="{00000000-0005-0000-0000-0000A8730000}"/>
    <cellStyle name="s_PFMA Fin Sum_1_Apollo Investment Fund IV  Q1 2009 Capital Analysis 5-22-09 with GAAP" xfId="29601" xr:uid="{00000000-0005-0000-0000-0000A9730000}"/>
    <cellStyle name="s_PFMA Fin Sum_1_Apollo Investment Fund IV  Q1 2009 Capital Analysis GAAP" xfId="29602" xr:uid="{00000000-0005-0000-0000-0000AA730000}"/>
    <cellStyle name="s_PFMA Fin Sum_1_Apollo Investment Fund IV  Q2 2009 Capital Analysis CURRENT" xfId="29603" xr:uid="{00000000-0005-0000-0000-0000AB730000}"/>
    <cellStyle name="s_PFMA Fin Sum_1_Apollo Investment Fund IV  Q3 2009 Capital Analysis CURRENT" xfId="29604" xr:uid="{00000000-0005-0000-0000-0000AC730000}"/>
    <cellStyle name="s_PFMA Fin Sum_1_Apollo Investment Fund IV  Q3 2009 Capital Analysis iPCS &amp; URI Distribution" xfId="29605" xr:uid="{00000000-0005-0000-0000-0000AD730000}"/>
    <cellStyle name="s_PFMA Fin Sum_1_Apollo Investment Fund IV Q1 2009 Capital Analysis PR CORRECTED 6-30-09" xfId="29606" xr:uid="{00000000-0005-0000-0000-0000AE730000}"/>
    <cellStyle name="s_PFMA Fin Sum_1_Broadleaf Watefall 12-31-09" xfId="29607" xr:uid="{00000000-0005-0000-0000-0000AF730000}"/>
    <cellStyle name="s_PFMA Fin Sum_1_Broadleaf Watefall 6-30-09" xfId="29608" xr:uid="{00000000-0005-0000-0000-0000B0730000}"/>
    <cellStyle name="s_PFMA Fin Sum_1_Broadleaf Watefall 9-30-09" xfId="29609" xr:uid="{00000000-0005-0000-0000-0000B1730000}"/>
    <cellStyle name="s_PFMA Fin Sum_1_Carry Calculation" xfId="29610" xr:uid="{00000000-0005-0000-0000-0000B2730000}"/>
    <cellStyle name="s_PFMA Fin Sum_1_Fund IV" xfId="29611" xr:uid="{00000000-0005-0000-0000-0000B3730000}"/>
    <cellStyle name="s_PFMA Fin Sum_1_Fund IV 9.30.08" xfId="29612" xr:uid="{00000000-0005-0000-0000-0000B4730000}"/>
    <cellStyle name="s_PFMA Fin Sum_1_Fund IV_1" xfId="29613" xr:uid="{00000000-0005-0000-0000-0000B5730000}"/>
    <cellStyle name="s_PFMA Fin Sum_1_Funds IV Clawback Adjustment Summary" xfId="29614" xr:uid="{00000000-0005-0000-0000-0000B6730000}"/>
    <cellStyle name="s_PFMA Fin Sum_1_Funds IV Clawback Value Adjustment" xfId="29615" xr:uid="{00000000-0005-0000-0000-0000B7730000}"/>
    <cellStyle name="s_PFMA Fin Sum_1_IC Balance" xfId="29616" xr:uid="{00000000-0005-0000-0000-0000B8730000}"/>
    <cellStyle name="s_PFMA Fin Sum_1_Invested Capital Debt Worksheet" xfId="29617" xr:uid="{00000000-0005-0000-0000-0000B9730000}"/>
    <cellStyle name="s_PFMA Fin Sum_1_Invested Capital Debt Worksheet_1" xfId="29618" xr:uid="{00000000-0005-0000-0000-0000BA730000}"/>
    <cellStyle name="s_PFMA Fin Sum_1_iPCs#1-Remaining" xfId="29619" xr:uid="{00000000-0005-0000-0000-0000BB730000}"/>
    <cellStyle name="s_PFMA Fin Sum_1_MMF Income" xfId="29620" xr:uid="{00000000-0005-0000-0000-0000BC730000}"/>
    <cellStyle name="s_PFMA Fin Sum_1_Partners Capital Q1 2009" xfId="29621" xr:uid="{00000000-0005-0000-0000-0000BD730000}"/>
    <cellStyle name="s_PFMA Fin Sum_1_Placement Fee Summary 05-14-09 - Current (2)" xfId="29622" xr:uid="{00000000-0005-0000-0000-0000BE730000}"/>
    <cellStyle name="s_PFMA Fin Sum_1_PR Calc" xfId="29623" xr:uid="{00000000-0005-0000-0000-0000BF730000}"/>
    <cellStyle name="s_PFMA Fin Sum_1_RCIV Q3 2009 Capital Analysis CURRENT" xfId="29624" xr:uid="{00000000-0005-0000-0000-0000C0730000}"/>
    <cellStyle name="s_PFMA Fin Sum_1_Sheet1" xfId="29625" xr:uid="{00000000-0005-0000-0000-0000C1730000}"/>
    <cellStyle name="s_PFMA Fin Sum_2" xfId="29626" xr:uid="{00000000-0005-0000-0000-0000C2730000}"/>
    <cellStyle name="s_PFMA Fin Sum_2 10" xfId="29627" xr:uid="{00000000-0005-0000-0000-0000C3730000}"/>
    <cellStyle name="s_PFMA Fin Sum_2 11" xfId="29628" xr:uid="{00000000-0005-0000-0000-0000C4730000}"/>
    <cellStyle name="s_PFMA Fin Sum_2 12" xfId="29629" xr:uid="{00000000-0005-0000-0000-0000C5730000}"/>
    <cellStyle name="s_PFMA Fin Sum_2 13" xfId="29630" xr:uid="{00000000-0005-0000-0000-0000C6730000}"/>
    <cellStyle name="s_PFMA Fin Sum_2 14" xfId="29631" xr:uid="{00000000-0005-0000-0000-0000C7730000}"/>
    <cellStyle name="s_PFMA Fin Sum_2 15" xfId="29632" xr:uid="{00000000-0005-0000-0000-0000C8730000}"/>
    <cellStyle name="s_PFMA Fin Sum_2 16" xfId="29633" xr:uid="{00000000-0005-0000-0000-0000C9730000}"/>
    <cellStyle name="s_PFMA Fin Sum_2 17" xfId="29634" xr:uid="{00000000-0005-0000-0000-0000CA730000}"/>
    <cellStyle name="s_PFMA Fin Sum_2 18" xfId="29635" xr:uid="{00000000-0005-0000-0000-0000CB730000}"/>
    <cellStyle name="s_PFMA Fin Sum_2 19" xfId="29636" xr:uid="{00000000-0005-0000-0000-0000CC730000}"/>
    <cellStyle name="s_PFMA Fin Sum_2 2" xfId="29637" xr:uid="{00000000-0005-0000-0000-0000CD730000}"/>
    <cellStyle name="s_PFMA Fin Sum_2 2 2" xfId="29638" xr:uid="{00000000-0005-0000-0000-0000CE730000}"/>
    <cellStyle name="s_PFMA Fin Sum_2 20" xfId="29639" xr:uid="{00000000-0005-0000-0000-0000CF730000}"/>
    <cellStyle name="s_PFMA Fin Sum_2 21" xfId="29640" xr:uid="{00000000-0005-0000-0000-0000D0730000}"/>
    <cellStyle name="s_PFMA Fin Sum_2 22" xfId="29641" xr:uid="{00000000-0005-0000-0000-0000D1730000}"/>
    <cellStyle name="s_PFMA Fin Sum_2 23" xfId="29642" xr:uid="{00000000-0005-0000-0000-0000D2730000}"/>
    <cellStyle name="s_PFMA Fin Sum_2 23 2" xfId="29643" xr:uid="{00000000-0005-0000-0000-0000D3730000}"/>
    <cellStyle name="s_PFMA Fin Sum_2 3" xfId="29644" xr:uid="{00000000-0005-0000-0000-0000D4730000}"/>
    <cellStyle name="s_PFMA Fin Sum_2 3 2" xfId="29645" xr:uid="{00000000-0005-0000-0000-0000D5730000}"/>
    <cellStyle name="s_PFMA Fin Sum_2 4" xfId="29646" xr:uid="{00000000-0005-0000-0000-0000D6730000}"/>
    <cellStyle name="s_PFMA Fin Sum_2 5" xfId="29647" xr:uid="{00000000-0005-0000-0000-0000D7730000}"/>
    <cellStyle name="s_PFMA Fin Sum_2 6" xfId="29648" xr:uid="{00000000-0005-0000-0000-0000D8730000}"/>
    <cellStyle name="s_PFMA Fin Sum_2 7" xfId="29649" xr:uid="{00000000-0005-0000-0000-0000D9730000}"/>
    <cellStyle name="s_PFMA Fin Sum_2 8" xfId="29650" xr:uid="{00000000-0005-0000-0000-0000DA730000}"/>
    <cellStyle name="s_PFMA Fin Sum_2 9" xfId="29651" xr:uid="{00000000-0005-0000-0000-0000DB730000}"/>
    <cellStyle name="s_PFMA Fin Sum_2_{6} Clawback" xfId="29652" xr:uid="{00000000-0005-0000-0000-0000DC730000}"/>
    <cellStyle name="s_PFMA Fin Sum_2_AIF IV Financial Highlights 12-31-08 v4" xfId="29653" xr:uid="{00000000-0005-0000-0000-0000DD730000}"/>
    <cellStyle name="s_PFMA Fin Sum_2_AIF IV Financial Highlights 12-31-08 v4_Apollo Investment Fund IV  Q3 2009 Capital Analysis CURRENT" xfId="29654" xr:uid="{00000000-0005-0000-0000-0000DE730000}"/>
    <cellStyle name="s_PFMA Fin Sum_2_AIF IV Financial Highlights 12-31-08 v4_Apollo Investment Fund IV  Q3 2009 Capital Analysis iPCS &amp; URI Distribution" xfId="29655" xr:uid="{00000000-0005-0000-0000-0000DF730000}"/>
    <cellStyle name="s_PFMA Fin Sum_2_AIF IV Financial Highlights 12-31-08 v4_iPCs#1-Remaining" xfId="29656" xr:uid="{00000000-0005-0000-0000-0000E0730000}"/>
    <cellStyle name="s_PFMA Fin Sum_2_AIF VI - BondcoVI_Entities Invested Capital (CURRENT)" xfId="29657" xr:uid="{00000000-0005-0000-0000-0000E1730000}"/>
    <cellStyle name="s_PFMA Fin Sum_2_AIF VI Broadleaf Watefall Summary as of 6-30-09 FINAL" xfId="29658" xr:uid="{00000000-0005-0000-0000-0000E2730000}"/>
    <cellStyle name="s_PFMA Fin Sum_2_AIF VI Broadleaf Watefall Summary as of 9-30-09" xfId="29659" xr:uid="{00000000-0005-0000-0000-0000E3730000}"/>
    <cellStyle name="s_PFMA Fin Sum_2_Andy Affrick - Schedulev2" xfId="29660" xr:uid="{00000000-0005-0000-0000-0000E4730000}"/>
    <cellStyle name="s_PFMA Fin Sum_2_Apollo Advisors IV 12-31-08 GAAP TB Final" xfId="29661" xr:uid="{00000000-0005-0000-0000-0000E5730000}"/>
    <cellStyle name="s_PFMA Fin Sum_2_Apollo Advisors IV 12-31-08 TB (Revised for Aggr PR)" xfId="29662" xr:uid="{00000000-0005-0000-0000-0000E6730000}"/>
    <cellStyle name="s_PFMA Fin Sum_2_Apollo Advisors IV 6-30-09 GAAP TB" xfId="29663" xr:uid="{00000000-0005-0000-0000-0000E7730000}"/>
    <cellStyle name="s_PFMA Fin Sum_2_Apollo Investment Fund IV  April Priority Return" xfId="29664" xr:uid="{00000000-0005-0000-0000-0000E8730000}"/>
    <cellStyle name="s_PFMA Fin Sum_2_Apollo Investment Fund IV  Q1 2009 Capital Analysis 5-22-09 with GAAP" xfId="29665" xr:uid="{00000000-0005-0000-0000-0000E9730000}"/>
    <cellStyle name="s_PFMA Fin Sum_2_Apollo Investment Fund IV  Q1 2009 Capital Analysis GAAP" xfId="29666" xr:uid="{00000000-0005-0000-0000-0000EA730000}"/>
    <cellStyle name="s_PFMA Fin Sum_2_Apollo Investment Fund IV  Q2 2009 Capital Analysis CURRENT" xfId="29667" xr:uid="{00000000-0005-0000-0000-0000EB730000}"/>
    <cellStyle name="s_PFMA Fin Sum_2_Apollo Investment Fund IV  Q3 2009 Capital Analysis CURRENT" xfId="29668" xr:uid="{00000000-0005-0000-0000-0000EC730000}"/>
    <cellStyle name="s_PFMA Fin Sum_2_Apollo Investment Fund IV  Q3 2009 Capital Analysis iPCS &amp; URI Distribution" xfId="29669" xr:uid="{00000000-0005-0000-0000-0000ED730000}"/>
    <cellStyle name="s_PFMA Fin Sum_2_Apollo Investment Fund IV Q1 2009 Capital Analysis PR CORRECTED 6-30-09" xfId="29670" xr:uid="{00000000-0005-0000-0000-0000EE730000}"/>
    <cellStyle name="s_PFMA Fin Sum_2_Broadleaf Watefall 12-31-09" xfId="29671" xr:uid="{00000000-0005-0000-0000-0000EF730000}"/>
    <cellStyle name="s_PFMA Fin Sum_2_Broadleaf Watefall 6-30-09" xfId="29672" xr:uid="{00000000-0005-0000-0000-0000F0730000}"/>
    <cellStyle name="s_PFMA Fin Sum_2_Broadleaf Watefall 9-30-09" xfId="29673" xr:uid="{00000000-0005-0000-0000-0000F1730000}"/>
    <cellStyle name="s_PFMA Fin Sum_2_Carry Calculation" xfId="29674" xr:uid="{00000000-0005-0000-0000-0000F2730000}"/>
    <cellStyle name="s_PFMA Fin Sum_2_Fund IV" xfId="29675" xr:uid="{00000000-0005-0000-0000-0000F3730000}"/>
    <cellStyle name="s_PFMA Fin Sum_2_Fund IV 9.30.08" xfId="29676" xr:uid="{00000000-0005-0000-0000-0000F4730000}"/>
    <cellStyle name="s_PFMA Fin Sum_2_Fund IV_1" xfId="29677" xr:uid="{00000000-0005-0000-0000-0000F5730000}"/>
    <cellStyle name="s_PFMA Fin Sum_2_Funds IV Clawback Adjustment Summary" xfId="29678" xr:uid="{00000000-0005-0000-0000-0000F6730000}"/>
    <cellStyle name="s_PFMA Fin Sum_2_Funds IV Clawback Value Adjustment" xfId="29679" xr:uid="{00000000-0005-0000-0000-0000F7730000}"/>
    <cellStyle name="s_PFMA Fin Sum_2_IC Balance" xfId="29680" xr:uid="{00000000-0005-0000-0000-0000F8730000}"/>
    <cellStyle name="s_PFMA Fin Sum_2_Invested Capital Debt Worksheet" xfId="29681" xr:uid="{00000000-0005-0000-0000-0000F9730000}"/>
    <cellStyle name="s_PFMA Fin Sum_2_Invested Capital Debt Worksheet_1" xfId="29682" xr:uid="{00000000-0005-0000-0000-0000FA730000}"/>
    <cellStyle name="s_PFMA Fin Sum_2_iPCs#1-Remaining" xfId="29683" xr:uid="{00000000-0005-0000-0000-0000FB730000}"/>
    <cellStyle name="s_PFMA Fin Sum_2_MMF Income" xfId="29684" xr:uid="{00000000-0005-0000-0000-0000FC730000}"/>
    <cellStyle name="s_PFMA Fin Sum_2_Partners Capital Q1 2009" xfId="29685" xr:uid="{00000000-0005-0000-0000-0000FD730000}"/>
    <cellStyle name="s_PFMA Fin Sum_2_Placement Fee Summary 05-14-09 - Current (2)" xfId="29686" xr:uid="{00000000-0005-0000-0000-0000FE730000}"/>
    <cellStyle name="s_PFMA Fin Sum_2_PR Calc" xfId="29687" xr:uid="{00000000-0005-0000-0000-0000FF730000}"/>
    <cellStyle name="s_PFMA Fin Sum_2_RCIV Q3 2009 Capital Analysis CURRENT" xfId="29688" xr:uid="{00000000-0005-0000-0000-000000740000}"/>
    <cellStyle name="s_PFMA Fin Sum_2_Sheet1" xfId="29689" xr:uid="{00000000-0005-0000-0000-000001740000}"/>
    <cellStyle name="s_PFMA Fin Sum_AIF IV Financial Highlights 12-31-08 v4" xfId="29690" xr:uid="{00000000-0005-0000-0000-000002740000}"/>
    <cellStyle name="s_PFMA Fin Sum_AIF IV Financial Highlights 12-31-08 v4_Apollo Investment Fund IV  Q3 2009 Capital Analysis CURRENT" xfId="29691" xr:uid="{00000000-0005-0000-0000-000003740000}"/>
    <cellStyle name="s_PFMA Fin Sum_AIF IV Financial Highlights 12-31-08 v4_Apollo Investment Fund IV  Q3 2009 Capital Analysis iPCS &amp; URI Distribution" xfId="29692" xr:uid="{00000000-0005-0000-0000-000004740000}"/>
    <cellStyle name="s_PFMA Fin Sum_AIF IV Financial Highlights 12-31-08 v4_iPCs#1-Remaining" xfId="29693" xr:uid="{00000000-0005-0000-0000-000005740000}"/>
    <cellStyle name="s_PFMA Fin Sum_AIF VI - BondcoVI_Entities Invested Capital (CURRENT)" xfId="29694" xr:uid="{00000000-0005-0000-0000-000006740000}"/>
    <cellStyle name="s_PFMA Fin Sum_AIF VI Broadleaf Watefall Summary as of 6-30-09 FINAL" xfId="29695" xr:uid="{00000000-0005-0000-0000-000007740000}"/>
    <cellStyle name="s_PFMA Fin Sum_AIF VI Broadleaf Watefall Summary as of 9-30-09" xfId="29696" xr:uid="{00000000-0005-0000-0000-000008740000}"/>
    <cellStyle name="s_PFMA Fin Sum_Andy Affrick - Schedulev2" xfId="29697" xr:uid="{00000000-0005-0000-0000-000009740000}"/>
    <cellStyle name="s_PFMA Fin Sum_Apollo Investment Fund IV  April Priority Return" xfId="29698" xr:uid="{00000000-0005-0000-0000-00000A740000}"/>
    <cellStyle name="s_PFMA Fin Sum_Apollo Investment Fund IV  Q1 2009 Capital Analysis 5-22-09 with GAAP" xfId="29699" xr:uid="{00000000-0005-0000-0000-00000B740000}"/>
    <cellStyle name="s_PFMA Fin Sum_Apollo Investment Fund IV  Q1 2009 Capital Analysis GAAP" xfId="29700" xr:uid="{00000000-0005-0000-0000-00000C740000}"/>
    <cellStyle name="s_PFMA Fin Sum_Apollo Investment Fund IV  Q2 2009 Capital Analysis CURRENT" xfId="29701" xr:uid="{00000000-0005-0000-0000-00000D740000}"/>
    <cellStyle name="s_PFMA Fin Sum_Apollo Investment Fund IV  Q3 2009 Capital Analysis CURRENT" xfId="29702" xr:uid="{00000000-0005-0000-0000-00000E740000}"/>
    <cellStyle name="s_PFMA Fin Sum_Apollo Investment Fund IV  Q3 2009 Capital Analysis iPCS &amp; URI Distribution" xfId="29703" xr:uid="{00000000-0005-0000-0000-00000F740000}"/>
    <cellStyle name="s_PFMA Fin Sum_Apollo Investment Fund IV Q1 2009 Capital Analysis PR CORRECTED 6-30-09" xfId="29704" xr:uid="{00000000-0005-0000-0000-000010740000}"/>
    <cellStyle name="s_PFMA Fin Sum_Broadleaf Watefall 12-31-09" xfId="29705" xr:uid="{00000000-0005-0000-0000-000011740000}"/>
    <cellStyle name="s_PFMA Fin Sum_Broadleaf Watefall 6-30-09" xfId="29706" xr:uid="{00000000-0005-0000-0000-000012740000}"/>
    <cellStyle name="s_PFMA Fin Sum_Broadleaf Watefall 9-30-09" xfId="29707" xr:uid="{00000000-0005-0000-0000-000013740000}"/>
    <cellStyle name="s_PFMA Fin Sum_Carry Calculation" xfId="29708" xr:uid="{00000000-0005-0000-0000-000014740000}"/>
    <cellStyle name="s_PFMA Fin Sum_Fund IV" xfId="29709" xr:uid="{00000000-0005-0000-0000-000015740000}"/>
    <cellStyle name="s_PFMA Fin Sum_Fund IV 9.30.08" xfId="29710" xr:uid="{00000000-0005-0000-0000-000016740000}"/>
    <cellStyle name="s_PFMA Fin Sum_Fund IV_1" xfId="29711" xr:uid="{00000000-0005-0000-0000-000017740000}"/>
    <cellStyle name="s_PFMA Fin Sum_Funds IV Clawback Adjustment Summary" xfId="29712" xr:uid="{00000000-0005-0000-0000-000018740000}"/>
    <cellStyle name="s_PFMA Fin Sum_Funds IV Clawback Value Adjustment" xfId="29713" xr:uid="{00000000-0005-0000-0000-000019740000}"/>
    <cellStyle name="s_PFMA Fin Sum_IC Balance" xfId="29714" xr:uid="{00000000-0005-0000-0000-00001A740000}"/>
    <cellStyle name="s_PFMA Fin Sum_Invested Capital Debt Worksheet" xfId="29715" xr:uid="{00000000-0005-0000-0000-00001B740000}"/>
    <cellStyle name="s_PFMA Fin Sum_iPCs#1-Remaining" xfId="29716" xr:uid="{00000000-0005-0000-0000-00001C740000}"/>
    <cellStyle name="s_PFMA Fin Sum_MMF Income" xfId="29717" xr:uid="{00000000-0005-0000-0000-00001D740000}"/>
    <cellStyle name="s_PFMA Fin Sum_Partners Capital Q1 2009" xfId="29718" xr:uid="{00000000-0005-0000-0000-00001E740000}"/>
    <cellStyle name="s_PFMA Fin Sum_Placement Fee Summary 05-14-09 - Current (2)" xfId="29719" xr:uid="{00000000-0005-0000-0000-00001F740000}"/>
    <cellStyle name="s_PFMA Fin Sum_PR Calc" xfId="29720" xr:uid="{00000000-0005-0000-0000-000020740000}"/>
    <cellStyle name="s_PFMA Fin Sum_RCIV Q3 2009 Capital Analysis CURRENT" xfId="29721" xr:uid="{00000000-0005-0000-0000-000021740000}"/>
    <cellStyle name="s_Placement Fee Summary 05-14-09 - Current (2)" xfId="29722" xr:uid="{00000000-0005-0000-0000-000022740000}"/>
    <cellStyle name="s_PR Calc" xfId="29723" xr:uid="{00000000-0005-0000-0000-000023740000}"/>
    <cellStyle name="s_PR Calc - DOMESTIC" xfId="29724" xr:uid="{00000000-0005-0000-0000-000024740000}"/>
    <cellStyle name="s_Print macros" xfId="29725" xr:uid="{00000000-0005-0000-0000-000025740000}"/>
    <cellStyle name="s_Print macros 10" xfId="29726" xr:uid="{00000000-0005-0000-0000-000026740000}"/>
    <cellStyle name="s_Print macros 11" xfId="29727" xr:uid="{00000000-0005-0000-0000-000027740000}"/>
    <cellStyle name="s_Print macros 12" xfId="29728" xr:uid="{00000000-0005-0000-0000-000028740000}"/>
    <cellStyle name="s_Print macros 13" xfId="29729" xr:uid="{00000000-0005-0000-0000-000029740000}"/>
    <cellStyle name="s_Print macros 14" xfId="29730" xr:uid="{00000000-0005-0000-0000-00002A740000}"/>
    <cellStyle name="s_Print macros 15" xfId="29731" xr:uid="{00000000-0005-0000-0000-00002B740000}"/>
    <cellStyle name="s_Print macros 16" xfId="29732" xr:uid="{00000000-0005-0000-0000-00002C740000}"/>
    <cellStyle name="s_Print macros 17" xfId="29733" xr:uid="{00000000-0005-0000-0000-00002D740000}"/>
    <cellStyle name="s_Print macros 18" xfId="29734" xr:uid="{00000000-0005-0000-0000-00002E740000}"/>
    <cellStyle name="s_Print macros 19" xfId="29735" xr:uid="{00000000-0005-0000-0000-00002F740000}"/>
    <cellStyle name="s_Print macros 2" xfId="29736" xr:uid="{00000000-0005-0000-0000-000030740000}"/>
    <cellStyle name="s_Print macros 2 2" xfId="29737" xr:uid="{00000000-0005-0000-0000-000031740000}"/>
    <cellStyle name="s_Print macros 20" xfId="29738" xr:uid="{00000000-0005-0000-0000-000032740000}"/>
    <cellStyle name="s_Print macros 21" xfId="29739" xr:uid="{00000000-0005-0000-0000-000033740000}"/>
    <cellStyle name="s_Print macros 22" xfId="29740" xr:uid="{00000000-0005-0000-0000-000034740000}"/>
    <cellStyle name="s_Print macros 23" xfId="29741" xr:uid="{00000000-0005-0000-0000-000035740000}"/>
    <cellStyle name="s_Print macros 23 2" xfId="29742" xr:uid="{00000000-0005-0000-0000-000036740000}"/>
    <cellStyle name="s_Print macros 3" xfId="29743" xr:uid="{00000000-0005-0000-0000-000037740000}"/>
    <cellStyle name="s_Print macros 3 2" xfId="29744" xr:uid="{00000000-0005-0000-0000-000038740000}"/>
    <cellStyle name="s_Print macros 4" xfId="29745" xr:uid="{00000000-0005-0000-0000-000039740000}"/>
    <cellStyle name="s_Print macros 5" xfId="29746" xr:uid="{00000000-0005-0000-0000-00003A740000}"/>
    <cellStyle name="s_Print macros 6" xfId="29747" xr:uid="{00000000-0005-0000-0000-00003B740000}"/>
    <cellStyle name="s_Print macros 7" xfId="29748" xr:uid="{00000000-0005-0000-0000-00003C740000}"/>
    <cellStyle name="s_Print macros 8" xfId="29749" xr:uid="{00000000-0005-0000-0000-00003D740000}"/>
    <cellStyle name="s_Print macros 9" xfId="29750" xr:uid="{00000000-0005-0000-0000-00003E740000}"/>
    <cellStyle name="s_Print macros_{6} Clawback" xfId="29751" xr:uid="{00000000-0005-0000-0000-00003F740000}"/>
    <cellStyle name="s_Print macros_1" xfId="29752" xr:uid="{00000000-0005-0000-0000-000040740000}"/>
    <cellStyle name="s_Print macros_1 10" xfId="29753" xr:uid="{00000000-0005-0000-0000-000041740000}"/>
    <cellStyle name="s_Print macros_1 11" xfId="29754" xr:uid="{00000000-0005-0000-0000-000042740000}"/>
    <cellStyle name="s_Print macros_1 12" xfId="29755" xr:uid="{00000000-0005-0000-0000-000043740000}"/>
    <cellStyle name="s_Print macros_1 13" xfId="29756" xr:uid="{00000000-0005-0000-0000-000044740000}"/>
    <cellStyle name="s_Print macros_1 14" xfId="29757" xr:uid="{00000000-0005-0000-0000-000045740000}"/>
    <cellStyle name="s_Print macros_1 15" xfId="29758" xr:uid="{00000000-0005-0000-0000-000046740000}"/>
    <cellStyle name="s_Print macros_1 16" xfId="29759" xr:uid="{00000000-0005-0000-0000-000047740000}"/>
    <cellStyle name="s_Print macros_1 17" xfId="29760" xr:uid="{00000000-0005-0000-0000-000048740000}"/>
    <cellStyle name="s_Print macros_1 18" xfId="29761" xr:uid="{00000000-0005-0000-0000-000049740000}"/>
    <cellStyle name="s_Print macros_1 19" xfId="29762" xr:uid="{00000000-0005-0000-0000-00004A740000}"/>
    <cellStyle name="s_Print macros_1 2" xfId="29763" xr:uid="{00000000-0005-0000-0000-00004B740000}"/>
    <cellStyle name="s_Print macros_1 2 2" xfId="29764" xr:uid="{00000000-0005-0000-0000-00004C740000}"/>
    <cellStyle name="s_Print macros_1 20" xfId="29765" xr:uid="{00000000-0005-0000-0000-00004D740000}"/>
    <cellStyle name="s_Print macros_1 21" xfId="29766" xr:uid="{00000000-0005-0000-0000-00004E740000}"/>
    <cellStyle name="s_Print macros_1 22" xfId="29767" xr:uid="{00000000-0005-0000-0000-00004F740000}"/>
    <cellStyle name="s_Print macros_1 23" xfId="29768" xr:uid="{00000000-0005-0000-0000-000050740000}"/>
    <cellStyle name="s_Print macros_1 23 2" xfId="29769" xr:uid="{00000000-0005-0000-0000-000051740000}"/>
    <cellStyle name="s_Print macros_1 3" xfId="29770" xr:uid="{00000000-0005-0000-0000-000052740000}"/>
    <cellStyle name="s_Print macros_1 3 2" xfId="29771" xr:uid="{00000000-0005-0000-0000-000053740000}"/>
    <cellStyle name="s_Print macros_1 4" xfId="29772" xr:uid="{00000000-0005-0000-0000-000054740000}"/>
    <cellStyle name="s_Print macros_1 5" xfId="29773" xr:uid="{00000000-0005-0000-0000-000055740000}"/>
    <cellStyle name="s_Print macros_1 6" xfId="29774" xr:uid="{00000000-0005-0000-0000-000056740000}"/>
    <cellStyle name="s_Print macros_1 7" xfId="29775" xr:uid="{00000000-0005-0000-0000-000057740000}"/>
    <cellStyle name="s_Print macros_1 8" xfId="29776" xr:uid="{00000000-0005-0000-0000-000058740000}"/>
    <cellStyle name="s_Print macros_1 9" xfId="29777" xr:uid="{00000000-0005-0000-0000-000059740000}"/>
    <cellStyle name="s_Print macros_1_{6} Clawback" xfId="29778" xr:uid="{00000000-0005-0000-0000-00005A740000}"/>
    <cellStyle name="s_Print macros_1_AIF IV Financial Highlights 12-31-08 v4" xfId="29779" xr:uid="{00000000-0005-0000-0000-00005B740000}"/>
    <cellStyle name="s_Print macros_1_AIF IV Financial Highlights 12-31-08 v4_Apollo Investment Fund IV  Q3 2009 Capital Analysis CURRENT" xfId="29780" xr:uid="{00000000-0005-0000-0000-00005C740000}"/>
    <cellStyle name="s_Print macros_1_AIF IV Financial Highlights 12-31-08 v4_Apollo Investment Fund IV  Q3 2009 Capital Analysis iPCS &amp; URI Distribution" xfId="29781" xr:uid="{00000000-0005-0000-0000-00005D740000}"/>
    <cellStyle name="s_Print macros_1_AIF IV Financial Highlights 12-31-08 v4_iPCs#1-Remaining" xfId="29782" xr:uid="{00000000-0005-0000-0000-00005E740000}"/>
    <cellStyle name="s_Print macros_1_AIF VI - BondcoVI_Entities Invested Capital (CURRENT)" xfId="29783" xr:uid="{00000000-0005-0000-0000-00005F740000}"/>
    <cellStyle name="s_Print macros_1_AIF VI Broadleaf Watefall Summary as of 6-30-09 FINAL" xfId="29784" xr:uid="{00000000-0005-0000-0000-000060740000}"/>
    <cellStyle name="s_Print macros_1_AIF VI Broadleaf Watefall Summary as of 9-30-09" xfId="29785" xr:uid="{00000000-0005-0000-0000-000061740000}"/>
    <cellStyle name="s_Print macros_1_Andy Affrick - Schedulev2" xfId="29786" xr:uid="{00000000-0005-0000-0000-000062740000}"/>
    <cellStyle name="s_Print macros_1_Apollo Investment Fund IV  April Priority Return" xfId="29787" xr:uid="{00000000-0005-0000-0000-000063740000}"/>
    <cellStyle name="s_Print macros_1_Apollo Investment Fund IV  Q1 2009 Capital Analysis 5-22-09 with GAAP" xfId="29788" xr:uid="{00000000-0005-0000-0000-000064740000}"/>
    <cellStyle name="s_Print macros_1_Apollo Investment Fund IV  Q1 2009 Capital Analysis GAAP" xfId="29789" xr:uid="{00000000-0005-0000-0000-000065740000}"/>
    <cellStyle name="s_Print macros_1_Apollo Investment Fund IV  Q2 2009 Capital Analysis CURRENT" xfId="29790" xr:uid="{00000000-0005-0000-0000-000066740000}"/>
    <cellStyle name="s_Print macros_1_Apollo Investment Fund IV  Q3 2009 Capital Analysis CURRENT" xfId="29791" xr:uid="{00000000-0005-0000-0000-000067740000}"/>
    <cellStyle name="s_Print macros_1_Apollo Investment Fund IV  Q3 2009 Capital Analysis iPCS &amp; URI Distribution" xfId="29792" xr:uid="{00000000-0005-0000-0000-000068740000}"/>
    <cellStyle name="s_Print macros_1_Apollo Investment Fund IV Q1 2009 Capital Analysis PR CORRECTED 6-30-09" xfId="29793" xr:uid="{00000000-0005-0000-0000-000069740000}"/>
    <cellStyle name="s_Print macros_1_Broadleaf Watefall 12-31-09" xfId="29794" xr:uid="{00000000-0005-0000-0000-00006A740000}"/>
    <cellStyle name="s_Print macros_1_Broadleaf Watefall 6-30-09" xfId="29795" xr:uid="{00000000-0005-0000-0000-00006B740000}"/>
    <cellStyle name="s_Print macros_1_Broadleaf Watefall 9-30-09" xfId="29796" xr:uid="{00000000-0005-0000-0000-00006C740000}"/>
    <cellStyle name="s_Print macros_1_Carry Calculation" xfId="29797" xr:uid="{00000000-0005-0000-0000-00006D740000}"/>
    <cellStyle name="s_Print macros_1_Fund IV" xfId="29798" xr:uid="{00000000-0005-0000-0000-00006E740000}"/>
    <cellStyle name="s_Print macros_1_Fund IV 9.30.08" xfId="29799" xr:uid="{00000000-0005-0000-0000-00006F740000}"/>
    <cellStyle name="s_Print macros_1_Fund IV_1" xfId="29800" xr:uid="{00000000-0005-0000-0000-000070740000}"/>
    <cellStyle name="s_Print macros_1_Funds IV Clawback Adjustment Summary" xfId="29801" xr:uid="{00000000-0005-0000-0000-000071740000}"/>
    <cellStyle name="s_Print macros_1_Funds IV Clawback Value Adjustment" xfId="29802" xr:uid="{00000000-0005-0000-0000-000072740000}"/>
    <cellStyle name="s_Print macros_1_IC Balance" xfId="29803" xr:uid="{00000000-0005-0000-0000-000073740000}"/>
    <cellStyle name="s_Print macros_1_Invested Capital Debt Worksheet" xfId="29804" xr:uid="{00000000-0005-0000-0000-000074740000}"/>
    <cellStyle name="s_Print macros_1_iPCs#1-Remaining" xfId="29805" xr:uid="{00000000-0005-0000-0000-000075740000}"/>
    <cellStyle name="s_Print macros_1_MMF Income" xfId="29806" xr:uid="{00000000-0005-0000-0000-000076740000}"/>
    <cellStyle name="s_Print macros_1_Partners Capital Q1 2009" xfId="29807" xr:uid="{00000000-0005-0000-0000-000077740000}"/>
    <cellStyle name="s_Print macros_1_Placement Fee Summary 05-14-09 - Current (2)" xfId="29808" xr:uid="{00000000-0005-0000-0000-000078740000}"/>
    <cellStyle name="s_Print macros_1_PR Calc" xfId="29809" xr:uid="{00000000-0005-0000-0000-000079740000}"/>
    <cellStyle name="s_Print macros_1_RCIV Q3 2009 Capital Analysis CURRENT" xfId="29810" xr:uid="{00000000-0005-0000-0000-00007A740000}"/>
    <cellStyle name="s_Print macros_2" xfId="29811" xr:uid="{00000000-0005-0000-0000-00007B740000}"/>
    <cellStyle name="s_Print macros_2 10" xfId="29812" xr:uid="{00000000-0005-0000-0000-00007C740000}"/>
    <cellStyle name="s_Print macros_2 11" xfId="29813" xr:uid="{00000000-0005-0000-0000-00007D740000}"/>
    <cellStyle name="s_Print macros_2 12" xfId="29814" xr:uid="{00000000-0005-0000-0000-00007E740000}"/>
    <cellStyle name="s_Print macros_2 13" xfId="29815" xr:uid="{00000000-0005-0000-0000-00007F740000}"/>
    <cellStyle name="s_Print macros_2 14" xfId="29816" xr:uid="{00000000-0005-0000-0000-000080740000}"/>
    <cellStyle name="s_Print macros_2 15" xfId="29817" xr:uid="{00000000-0005-0000-0000-000081740000}"/>
    <cellStyle name="s_Print macros_2 16" xfId="29818" xr:uid="{00000000-0005-0000-0000-000082740000}"/>
    <cellStyle name="s_Print macros_2 17" xfId="29819" xr:uid="{00000000-0005-0000-0000-000083740000}"/>
    <cellStyle name="s_Print macros_2 18" xfId="29820" xr:uid="{00000000-0005-0000-0000-000084740000}"/>
    <cellStyle name="s_Print macros_2 19" xfId="29821" xr:uid="{00000000-0005-0000-0000-000085740000}"/>
    <cellStyle name="s_Print macros_2 2" xfId="29822" xr:uid="{00000000-0005-0000-0000-000086740000}"/>
    <cellStyle name="s_Print macros_2 2 2" xfId="29823" xr:uid="{00000000-0005-0000-0000-000087740000}"/>
    <cellStyle name="s_Print macros_2 20" xfId="29824" xr:uid="{00000000-0005-0000-0000-000088740000}"/>
    <cellStyle name="s_Print macros_2 21" xfId="29825" xr:uid="{00000000-0005-0000-0000-000089740000}"/>
    <cellStyle name="s_Print macros_2 22" xfId="29826" xr:uid="{00000000-0005-0000-0000-00008A740000}"/>
    <cellStyle name="s_Print macros_2 23" xfId="29827" xr:uid="{00000000-0005-0000-0000-00008B740000}"/>
    <cellStyle name="s_Print macros_2 23 2" xfId="29828" xr:uid="{00000000-0005-0000-0000-00008C740000}"/>
    <cellStyle name="s_Print macros_2 3" xfId="29829" xr:uid="{00000000-0005-0000-0000-00008D740000}"/>
    <cellStyle name="s_Print macros_2 3 2" xfId="29830" xr:uid="{00000000-0005-0000-0000-00008E740000}"/>
    <cellStyle name="s_Print macros_2 4" xfId="29831" xr:uid="{00000000-0005-0000-0000-00008F740000}"/>
    <cellStyle name="s_Print macros_2 5" xfId="29832" xr:uid="{00000000-0005-0000-0000-000090740000}"/>
    <cellStyle name="s_Print macros_2 6" xfId="29833" xr:uid="{00000000-0005-0000-0000-000091740000}"/>
    <cellStyle name="s_Print macros_2 7" xfId="29834" xr:uid="{00000000-0005-0000-0000-000092740000}"/>
    <cellStyle name="s_Print macros_2 8" xfId="29835" xr:uid="{00000000-0005-0000-0000-000093740000}"/>
    <cellStyle name="s_Print macros_2 9" xfId="29836" xr:uid="{00000000-0005-0000-0000-000094740000}"/>
    <cellStyle name="s_Print macros_2_{6} Clawback" xfId="29837" xr:uid="{00000000-0005-0000-0000-000095740000}"/>
    <cellStyle name="s_Print macros_2_AIF IV Financial Highlights 12-31-08 v4" xfId="29838" xr:uid="{00000000-0005-0000-0000-000096740000}"/>
    <cellStyle name="s_Print macros_2_AIF IV Financial Highlights 12-31-08 v4_Apollo Investment Fund IV  Q3 2009 Capital Analysis CURRENT" xfId="29839" xr:uid="{00000000-0005-0000-0000-000097740000}"/>
    <cellStyle name="s_Print macros_2_AIF IV Financial Highlights 12-31-08 v4_Apollo Investment Fund IV  Q3 2009 Capital Analysis iPCS &amp; URI Distribution" xfId="29840" xr:uid="{00000000-0005-0000-0000-000098740000}"/>
    <cellStyle name="s_Print macros_2_AIF IV Financial Highlights 12-31-08 v4_iPCs#1-Remaining" xfId="29841" xr:uid="{00000000-0005-0000-0000-000099740000}"/>
    <cellStyle name="s_Print macros_2_AIF VI - BondcoVI_Entities Invested Capital (CURRENT)" xfId="29842" xr:uid="{00000000-0005-0000-0000-00009A740000}"/>
    <cellStyle name="s_Print macros_2_AIF VI Broadleaf Watefall Summary as of 6-30-09 FINAL" xfId="29843" xr:uid="{00000000-0005-0000-0000-00009B740000}"/>
    <cellStyle name="s_Print macros_2_AIF VI Broadleaf Watefall Summary as of 9-30-09" xfId="29844" xr:uid="{00000000-0005-0000-0000-00009C740000}"/>
    <cellStyle name="s_Print macros_2_Andy Affrick - Schedulev2" xfId="29845" xr:uid="{00000000-0005-0000-0000-00009D740000}"/>
    <cellStyle name="s_Print macros_2_Apollo Advisors IV 12-31-08 GAAP TB Final" xfId="29846" xr:uid="{00000000-0005-0000-0000-00009E740000}"/>
    <cellStyle name="s_Print macros_2_Apollo Advisors IV 12-31-08 TB (Revised for Aggr PR)" xfId="29847" xr:uid="{00000000-0005-0000-0000-00009F740000}"/>
    <cellStyle name="s_Print macros_2_Apollo Advisors IV 6-30-09 GAAP TB" xfId="29848" xr:uid="{00000000-0005-0000-0000-0000A0740000}"/>
    <cellStyle name="s_Print macros_2_Apollo Investment Fund IV  April Priority Return" xfId="29849" xr:uid="{00000000-0005-0000-0000-0000A1740000}"/>
    <cellStyle name="s_Print macros_2_Apollo Investment Fund IV  Q1 2009 Capital Analysis 5-22-09 with GAAP" xfId="29850" xr:uid="{00000000-0005-0000-0000-0000A2740000}"/>
    <cellStyle name="s_Print macros_2_Apollo Investment Fund IV  Q1 2009 Capital Analysis GAAP" xfId="29851" xr:uid="{00000000-0005-0000-0000-0000A3740000}"/>
    <cellStyle name="s_Print macros_2_Apollo Investment Fund IV  Q2 2009 Capital Analysis CURRENT" xfId="29852" xr:uid="{00000000-0005-0000-0000-0000A4740000}"/>
    <cellStyle name="s_Print macros_2_Apollo Investment Fund IV  Q3 2009 Capital Analysis CURRENT" xfId="29853" xr:uid="{00000000-0005-0000-0000-0000A5740000}"/>
    <cellStyle name="s_Print macros_2_Apollo Investment Fund IV  Q3 2009 Capital Analysis iPCS &amp; URI Distribution" xfId="29854" xr:uid="{00000000-0005-0000-0000-0000A6740000}"/>
    <cellStyle name="s_Print macros_2_Apollo Investment Fund IV Q1 2009 Capital Analysis PR CORRECTED 6-30-09" xfId="29855" xr:uid="{00000000-0005-0000-0000-0000A7740000}"/>
    <cellStyle name="s_Print macros_2_Broadleaf Watefall 12-31-09" xfId="29856" xr:uid="{00000000-0005-0000-0000-0000A8740000}"/>
    <cellStyle name="s_Print macros_2_Broadleaf Watefall 6-30-09" xfId="29857" xr:uid="{00000000-0005-0000-0000-0000A9740000}"/>
    <cellStyle name="s_Print macros_2_Broadleaf Watefall 9-30-09" xfId="29858" xr:uid="{00000000-0005-0000-0000-0000AA740000}"/>
    <cellStyle name="s_Print macros_2_Carry Calculation" xfId="29859" xr:uid="{00000000-0005-0000-0000-0000AB740000}"/>
    <cellStyle name="s_Print macros_2_Fund IV" xfId="29860" xr:uid="{00000000-0005-0000-0000-0000AC740000}"/>
    <cellStyle name="s_Print macros_2_Fund IV 9.30.08" xfId="29861" xr:uid="{00000000-0005-0000-0000-0000AD740000}"/>
    <cellStyle name="s_Print macros_2_Fund IV_1" xfId="29862" xr:uid="{00000000-0005-0000-0000-0000AE740000}"/>
    <cellStyle name="s_Print macros_2_Funds IV Clawback Adjustment Summary" xfId="29863" xr:uid="{00000000-0005-0000-0000-0000AF740000}"/>
    <cellStyle name="s_Print macros_2_Funds IV Clawback Value Adjustment" xfId="29864" xr:uid="{00000000-0005-0000-0000-0000B0740000}"/>
    <cellStyle name="s_Print macros_2_IC Balance" xfId="29865" xr:uid="{00000000-0005-0000-0000-0000B1740000}"/>
    <cellStyle name="s_Print macros_2_Invested Capital Debt Worksheet" xfId="29866" xr:uid="{00000000-0005-0000-0000-0000B2740000}"/>
    <cellStyle name="s_Print macros_2_Invested Capital Debt Worksheet_1" xfId="29867" xr:uid="{00000000-0005-0000-0000-0000B3740000}"/>
    <cellStyle name="s_Print macros_2_iPCs#1-Remaining" xfId="29868" xr:uid="{00000000-0005-0000-0000-0000B4740000}"/>
    <cellStyle name="s_Print macros_2_MMF Income" xfId="29869" xr:uid="{00000000-0005-0000-0000-0000B5740000}"/>
    <cellStyle name="s_Print macros_2_Partners Capital Q1 2009" xfId="29870" xr:uid="{00000000-0005-0000-0000-0000B6740000}"/>
    <cellStyle name="s_Print macros_2_Placement Fee Summary 05-14-09 - Current (2)" xfId="29871" xr:uid="{00000000-0005-0000-0000-0000B7740000}"/>
    <cellStyle name="s_Print macros_2_PR Calc" xfId="29872" xr:uid="{00000000-0005-0000-0000-0000B8740000}"/>
    <cellStyle name="s_Print macros_2_RCIV Q3 2009 Capital Analysis CURRENT" xfId="29873" xr:uid="{00000000-0005-0000-0000-0000B9740000}"/>
    <cellStyle name="s_Print macros_2_Sheet1" xfId="29874" xr:uid="{00000000-0005-0000-0000-0000BA740000}"/>
    <cellStyle name="s_Print macros_AIF IV Financial Highlights 12-31-08 v4" xfId="29875" xr:uid="{00000000-0005-0000-0000-0000BB740000}"/>
    <cellStyle name="s_Print macros_AIF IV Financial Highlights 12-31-08 v4_Apollo Investment Fund IV  Q3 2009 Capital Analysis CURRENT" xfId="29876" xr:uid="{00000000-0005-0000-0000-0000BC740000}"/>
    <cellStyle name="s_Print macros_AIF IV Financial Highlights 12-31-08 v4_Apollo Investment Fund IV  Q3 2009 Capital Analysis iPCS &amp; URI Distribution" xfId="29877" xr:uid="{00000000-0005-0000-0000-0000BD740000}"/>
    <cellStyle name="s_Print macros_AIF IV Financial Highlights 12-31-08 v4_iPCs#1-Remaining" xfId="29878" xr:uid="{00000000-0005-0000-0000-0000BE740000}"/>
    <cellStyle name="s_Print macros_AIF VI - BondcoVI_Entities Invested Capital (CURRENT)" xfId="29879" xr:uid="{00000000-0005-0000-0000-0000BF740000}"/>
    <cellStyle name="s_Print macros_AIF VI Broadleaf Watefall Summary as of 6-30-09 FINAL" xfId="29880" xr:uid="{00000000-0005-0000-0000-0000C0740000}"/>
    <cellStyle name="s_Print macros_AIF VI Broadleaf Watefall Summary as of 9-30-09" xfId="29881" xr:uid="{00000000-0005-0000-0000-0000C1740000}"/>
    <cellStyle name="s_Print macros_Andy Affrick - Schedulev2" xfId="29882" xr:uid="{00000000-0005-0000-0000-0000C2740000}"/>
    <cellStyle name="s_Print macros_Apollo Advisors IV 12-31-08 GAAP TB Final" xfId="29883" xr:uid="{00000000-0005-0000-0000-0000C3740000}"/>
    <cellStyle name="s_Print macros_Apollo Advisors IV 12-31-08 TB (Revised for Aggr PR)" xfId="29884" xr:uid="{00000000-0005-0000-0000-0000C4740000}"/>
    <cellStyle name="s_Print macros_Apollo Advisors IV 6-30-09 GAAP TB" xfId="29885" xr:uid="{00000000-0005-0000-0000-0000C5740000}"/>
    <cellStyle name="s_Print macros_Apollo Investment Fund IV  April Priority Return" xfId="29886" xr:uid="{00000000-0005-0000-0000-0000C6740000}"/>
    <cellStyle name="s_Print macros_Apollo Investment Fund IV  Q1 2009 Capital Analysis 5-22-09 with GAAP" xfId="29887" xr:uid="{00000000-0005-0000-0000-0000C7740000}"/>
    <cellStyle name="s_Print macros_Apollo Investment Fund IV  Q1 2009 Capital Analysis GAAP" xfId="29888" xr:uid="{00000000-0005-0000-0000-0000C8740000}"/>
    <cellStyle name="s_Print macros_Apollo Investment Fund IV  Q2 2009 Capital Analysis CURRENT" xfId="29889" xr:uid="{00000000-0005-0000-0000-0000C9740000}"/>
    <cellStyle name="s_Print macros_Apollo Investment Fund IV  Q3 2009 Capital Analysis CURRENT" xfId="29890" xr:uid="{00000000-0005-0000-0000-0000CA740000}"/>
    <cellStyle name="s_Print macros_Apollo Investment Fund IV  Q3 2009 Capital Analysis iPCS &amp; URI Distribution" xfId="29891" xr:uid="{00000000-0005-0000-0000-0000CB740000}"/>
    <cellStyle name="s_Print macros_Apollo Investment Fund IV Q1 2009 Capital Analysis PR CORRECTED 6-30-09" xfId="29892" xr:uid="{00000000-0005-0000-0000-0000CC740000}"/>
    <cellStyle name="s_Print macros_Broadleaf Watefall 12-31-09" xfId="29893" xr:uid="{00000000-0005-0000-0000-0000CD740000}"/>
    <cellStyle name="s_Print macros_Broadleaf Watefall 6-30-09" xfId="29894" xr:uid="{00000000-0005-0000-0000-0000CE740000}"/>
    <cellStyle name="s_Print macros_Broadleaf Watefall 9-30-09" xfId="29895" xr:uid="{00000000-0005-0000-0000-0000CF740000}"/>
    <cellStyle name="s_Print macros_Carry Calculation" xfId="29896" xr:uid="{00000000-0005-0000-0000-0000D0740000}"/>
    <cellStyle name="s_Print macros_Fund IV" xfId="29897" xr:uid="{00000000-0005-0000-0000-0000D1740000}"/>
    <cellStyle name="s_Print macros_Fund IV 9.30.08" xfId="29898" xr:uid="{00000000-0005-0000-0000-0000D2740000}"/>
    <cellStyle name="s_Print macros_Fund IV_1" xfId="29899" xr:uid="{00000000-0005-0000-0000-0000D3740000}"/>
    <cellStyle name="s_Print macros_Funds IV Clawback Adjustment Summary" xfId="29900" xr:uid="{00000000-0005-0000-0000-0000D4740000}"/>
    <cellStyle name="s_Print macros_Funds IV Clawback Value Adjustment" xfId="29901" xr:uid="{00000000-0005-0000-0000-0000D5740000}"/>
    <cellStyle name="s_Print macros_IC Balance" xfId="29902" xr:uid="{00000000-0005-0000-0000-0000D6740000}"/>
    <cellStyle name="s_Print macros_Invested Capital Debt Worksheet" xfId="29903" xr:uid="{00000000-0005-0000-0000-0000D7740000}"/>
    <cellStyle name="s_Print macros_Invested Capital Debt Worksheet_1" xfId="29904" xr:uid="{00000000-0005-0000-0000-0000D8740000}"/>
    <cellStyle name="s_Print macros_iPCs#1-Remaining" xfId="29905" xr:uid="{00000000-0005-0000-0000-0000D9740000}"/>
    <cellStyle name="s_Print macros_MMF Income" xfId="29906" xr:uid="{00000000-0005-0000-0000-0000DA740000}"/>
    <cellStyle name="s_Print macros_Partners Capital Q1 2009" xfId="29907" xr:uid="{00000000-0005-0000-0000-0000DB740000}"/>
    <cellStyle name="s_Print macros_Placement Fee Summary 05-14-09 - Current (2)" xfId="29908" xr:uid="{00000000-0005-0000-0000-0000DC740000}"/>
    <cellStyle name="s_Print macros_PR Calc" xfId="29909" xr:uid="{00000000-0005-0000-0000-0000DD740000}"/>
    <cellStyle name="s_Print macros_RCIV Q3 2009 Capital Analysis CURRENT" xfId="29910" xr:uid="{00000000-0005-0000-0000-0000DE740000}"/>
    <cellStyle name="s_Print macros_Sheet1" xfId="29911" xr:uid="{00000000-0005-0000-0000-0000DF740000}"/>
    <cellStyle name="s_PWS (2)" xfId="29912" xr:uid="{00000000-0005-0000-0000-0000E0740000}"/>
    <cellStyle name="s_PWS (2) 10" xfId="29913" xr:uid="{00000000-0005-0000-0000-0000E1740000}"/>
    <cellStyle name="s_PWS (2) 11" xfId="29914" xr:uid="{00000000-0005-0000-0000-0000E2740000}"/>
    <cellStyle name="s_PWS (2) 12" xfId="29915" xr:uid="{00000000-0005-0000-0000-0000E3740000}"/>
    <cellStyle name="s_PWS (2) 13" xfId="29916" xr:uid="{00000000-0005-0000-0000-0000E4740000}"/>
    <cellStyle name="s_PWS (2) 14" xfId="29917" xr:uid="{00000000-0005-0000-0000-0000E5740000}"/>
    <cellStyle name="s_PWS (2) 15" xfId="29918" xr:uid="{00000000-0005-0000-0000-0000E6740000}"/>
    <cellStyle name="s_PWS (2) 16" xfId="29919" xr:uid="{00000000-0005-0000-0000-0000E7740000}"/>
    <cellStyle name="s_PWS (2) 17" xfId="29920" xr:uid="{00000000-0005-0000-0000-0000E8740000}"/>
    <cellStyle name="s_PWS (2) 18" xfId="29921" xr:uid="{00000000-0005-0000-0000-0000E9740000}"/>
    <cellStyle name="s_PWS (2) 19" xfId="29922" xr:uid="{00000000-0005-0000-0000-0000EA740000}"/>
    <cellStyle name="s_PWS (2) 2" xfId="29923" xr:uid="{00000000-0005-0000-0000-0000EB740000}"/>
    <cellStyle name="s_PWS (2) 2 2" xfId="29924" xr:uid="{00000000-0005-0000-0000-0000EC740000}"/>
    <cellStyle name="s_PWS (2) 20" xfId="29925" xr:uid="{00000000-0005-0000-0000-0000ED740000}"/>
    <cellStyle name="s_PWS (2) 21" xfId="29926" xr:uid="{00000000-0005-0000-0000-0000EE740000}"/>
    <cellStyle name="s_PWS (2) 22" xfId="29927" xr:uid="{00000000-0005-0000-0000-0000EF740000}"/>
    <cellStyle name="s_PWS (2) 23" xfId="29928" xr:uid="{00000000-0005-0000-0000-0000F0740000}"/>
    <cellStyle name="s_PWS (2) 23 2" xfId="29929" xr:uid="{00000000-0005-0000-0000-0000F1740000}"/>
    <cellStyle name="s_PWS (2) 3" xfId="29930" xr:uid="{00000000-0005-0000-0000-0000F2740000}"/>
    <cellStyle name="s_PWS (2) 3 2" xfId="29931" xr:uid="{00000000-0005-0000-0000-0000F3740000}"/>
    <cellStyle name="s_PWS (2) 4" xfId="29932" xr:uid="{00000000-0005-0000-0000-0000F4740000}"/>
    <cellStyle name="s_PWS (2) 5" xfId="29933" xr:uid="{00000000-0005-0000-0000-0000F5740000}"/>
    <cellStyle name="s_PWS (2) 6" xfId="29934" xr:uid="{00000000-0005-0000-0000-0000F6740000}"/>
    <cellStyle name="s_PWS (2) 7" xfId="29935" xr:uid="{00000000-0005-0000-0000-0000F7740000}"/>
    <cellStyle name="s_PWS (2) 8" xfId="29936" xr:uid="{00000000-0005-0000-0000-0000F8740000}"/>
    <cellStyle name="s_PWS (2) 9" xfId="29937" xr:uid="{00000000-0005-0000-0000-0000F9740000}"/>
    <cellStyle name="s_PWS (2)_{6} Clawback" xfId="29938" xr:uid="{00000000-0005-0000-0000-0000FA740000}"/>
    <cellStyle name="s_PWS (2)_1" xfId="29939" xr:uid="{00000000-0005-0000-0000-0000FB740000}"/>
    <cellStyle name="s_PWS (2)_1 10" xfId="29940" xr:uid="{00000000-0005-0000-0000-0000FC740000}"/>
    <cellStyle name="s_PWS (2)_1 11" xfId="29941" xr:uid="{00000000-0005-0000-0000-0000FD740000}"/>
    <cellStyle name="s_PWS (2)_1 12" xfId="29942" xr:uid="{00000000-0005-0000-0000-0000FE740000}"/>
    <cellStyle name="s_PWS (2)_1 13" xfId="29943" xr:uid="{00000000-0005-0000-0000-0000FF740000}"/>
    <cellStyle name="s_PWS (2)_1 14" xfId="29944" xr:uid="{00000000-0005-0000-0000-000000750000}"/>
    <cellStyle name="s_PWS (2)_1 15" xfId="29945" xr:uid="{00000000-0005-0000-0000-000001750000}"/>
    <cellStyle name="s_PWS (2)_1 16" xfId="29946" xr:uid="{00000000-0005-0000-0000-000002750000}"/>
    <cellStyle name="s_PWS (2)_1 17" xfId="29947" xr:uid="{00000000-0005-0000-0000-000003750000}"/>
    <cellStyle name="s_PWS (2)_1 18" xfId="29948" xr:uid="{00000000-0005-0000-0000-000004750000}"/>
    <cellStyle name="s_PWS (2)_1 19" xfId="29949" xr:uid="{00000000-0005-0000-0000-000005750000}"/>
    <cellStyle name="s_PWS (2)_1 2" xfId="29950" xr:uid="{00000000-0005-0000-0000-000006750000}"/>
    <cellStyle name="s_PWS (2)_1 2 2" xfId="29951" xr:uid="{00000000-0005-0000-0000-000007750000}"/>
    <cellStyle name="s_PWS (2)_1 20" xfId="29952" xr:uid="{00000000-0005-0000-0000-000008750000}"/>
    <cellStyle name="s_PWS (2)_1 21" xfId="29953" xr:uid="{00000000-0005-0000-0000-000009750000}"/>
    <cellStyle name="s_PWS (2)_1 22" xfId="29954" xr:uid="{00000000-0005-0000-0000-00000A750000}"/>
    <cellStyle name="s_PWS (2)_1 23" xfId="29955" xr:uid="{00000000-0005-0000-0000-00000B750000}"/>
    <cellStyle name="s_PWS (2)_1 23 2" xfId="29956" xr:uid="{00000000-0005-0000-0000-00000C750000}"/>
    <cellStyle name="s_PWS (2)_1 3" xfId="29957" xr:uid="{00000000-0005-0000-0000-00000D750000}"/>
    <cellStyle name="s_PWS (2)_1 3 2" xfId="29958" xr:uid="{00000000-0005-0000-0000-00000E750000}"/>
    <cellStyle name="s_PWS (2)_1 4" xfId="29959" xr:uid="{00000000-0005-0000-0000-00000F750000}"/>
    <cellStyle name="s_PWS (2)_1 5" xfId="29960" xr:uid="{00000000-0005-0000-0000-000010750000}"/>
    <cellStyle name="s_PWS (2)_1 6" xfId="29961" xr:uid="{00000000-0005-0000-0000-000011750000}"/>
    <cellStyle name="s_PWS (2)_1 7" xfId="29962" xr:uid="{00000000-0005-0000-0000-000012750000}"/>
    <cellStyle name="s_PWS (2)_1 8" xfId="29963" xr:uid="{00000000-0005-0000-0000-000013750000}"/>
    <cellStyle name="s_PWS (2)_1 9" xfId="29964" xr:uid="{00000000-0005-0000-0000-000014750000}"/>
    <cellStyle name="s_PWS (2)_1_{6} Clawback" xfId="29965" xr:uid="{00000000-0005-0000-0000-000015750000}"/>
    <cellStyle name="s_PWS (2)_1_AIF IV Financial Highlights 12-31-08 v4" xfId="29966" xr:uid="{00000000-0005-0000-0000-000016750000}"/>
    <cellStyle name="s_PWS (2)_1_AIF IV Financial Highlights 12-31-08 v4_Apollo Investment Fund IV  Q3 2009 Capital Analysis CURRENT" xfId="29967" xr:uid="{00000000-0005-0000-0000-000017750000}"/>
    <cellStyle name="s_PWS (2)_1_AIF IV Financial Highlights 12-31-08 v4_Apollo Investment Fund IV  Q3 2009 Capital Analysis iPCS &amp; URI Distribution" xfId="29968" xr:uid="{00000000-0005-0000-0000-000018750000}"/>
    <cellStyle name="s_PWS (2)_1_AIF IV Financial Highlights 12-31-08 v4_iPCs#1-Remaining" xfId="29969" xr:uid="{00000000-0005-0000-0000-000019750000}"/>
    <cellStyle name="s_PWS (2)_1_AIF VI - BondcoVI_Entities Invested Capital (CURRENT)" xfId="29970" xr:uid="{00000000-0005-0000-0000-00001A750000}"/>
    <cellStyle name="s_PWS (2)_1_AIF VI Broadleaf Watefall Summary as of 6-30-09 FINAL" xfId="29971" xr:uid="{00000000-0005-0000-0000-00001B750000}"/>
    <cellStyle name="s_PWS (2)_1_AIF VI Broadleaf Watefall Summary as of 9-30-09" xfId="29972" xr:uid="{00000000-0005-0000-0000-00001C750000}"/>
    <cellStyle name="s_PWS (2)_1_Andy Affrick - Schedulev2" xfId="29973" xr:uid="{00000000-0005-0000-0000-00001D750000}"/>
    <cellStyle name="s_PWS (2)_1_Apollo Advisors IV 12-31-08 GAAP TB Final" xfId="29974" xr:uid="{00000000-0005-0000-0000-00001E750000}"/>
    <cellStyle name="s_PWS (2)_1_Apollo Advisors IV 12-31-08 TB (Revised for Aggr PR)" xfId="29975" xr:uid="{00000000-0005-0000-0000-00001F750000}"/>
    <cellStyle name="s_PWS (2)_1_Apollo Advisors IV 6-30-09 GAAP TB" xfId="29976" xr:uid="{00000000-0005-0000-0000-000020750000}"/>
    <cellStyle name="s_PWS (2)_1_Apollo Investment Fund IV  April Priority Return" xfId="29977" xr:uid="{00000000-0005-0000-0000-000021750000}"/>
    <cellStyle name="s_PWS (2)_1_Apollo Investment Fund IV  Q1 2009 Capital Analysis 5-22-09 with GAAP" xfId="29978" xr:uid="{00000000-0005-0000-0000-000022750000}"/>
    <cellStyle name="s_PWS (2)_1_Apollo Investment Fund IV  Q1 2009 Capital Analysis GAAP" xfId="29979" xr:uid="{00000000-0005-0000-0000-000023750000}"/>
    <cellStyle name="s_PWS (2)_1_Apollo Investment Fund IV  Q2 2009 Capital Analysis CURRENT" xfId="29980" xr:uid="{00000000-0005-0000-0000-000024750000}"/>
    <cellStyle name="s_PWS (2)_1_Apollo Investment Fund IV  Q3 2009 Capital Analysis CURRENT" xfId="29981" xr:uid="{00000000-0005-0000-0000-000025750000}"/>
    <cellStyle name="s_PWS (2)_1_Apollo Investment Fund IV  Q3 2009 Capital Analysis iPCS &amp; URI Distribution" xfId="29982" xr:uid="{00000000-0005-0000-0000-000026750000}"/>
    <cellStyle name="s_PWS (2)_1_Apollo Investment Fund IV Q1 2009 Capital Analysis PR CORRECTED 6-30-09" xfId="29983" xr:uid="{00000000-0005-0000-0000-000027750000}"/>
    <cellStyle name="s_PWS (2)_1_Broadleaf Watefall 12-31-09" xfId="29984" xr:uid="{00000000-0005-0000-0000-000028750000}"/>
    <cellStyle name="s_PWS (2)_1_Broadleaf Watefall 6-30-09" xfId="29985" xr:uid="{00000000-0005-0000-0000-000029750000}"/>
    <cellStyle name="s_PWS (2)_1_Broadleaf Watefall 9-30-09" xfId="29986" xr:uid="{00000000-0005-0000-0000-00002A750000}"/>
    <cellStyle name="s_PWS (2)_1_Carry Calculation" xfId="29987" xr:uid="{00000000-0005-0000-0000-00002B750000}"/>
    <cellStyle name="s_PWS (2)_1_Fund IV" xfId="29988" xr:uid="{00000000-0005-0000-0000-00002C750000}"/>
    <cellStyle name="s_PWS (2)_1_Fund IV 9.30.08" xfId="29989" xr:uid="{00000000-0005-0000-0000-00002D750000}"/>
    <cellStyle name="s_PWS (2)_1_Fund IV_1" xfId="29990" xr:uid="{00000000-0005-0000-0000-00002E750000}"/>
    <cellStyle name="s_PWS (2)_1_Funds IV Clawback Adjustment Summary" xfId="29991" xr:uid="{00000000-0005-0000-0000-00002F750000}"/>
    <cellStyle name="s_PWS (2)_1_Funds IV Clawback Value Adjustment" xfId="29992" xr:uid="{00000000-0005-0000-0000-000030750000}"/>
    <cellStyle name="s_PWS (2)_1_IC Balance" xfId="29993" xr:uid="{00000000-0005-0000-0000-000031750000}"/>
    <cellStyle name="s_PWS (2)_1_Invested Capital Debt Worksheet" xfId="29994" xr:uid="{00000000-0005-0000-0000-000032750000}"/>
    <cellStyle name="s_PWS (2)_1_Invested Capital Debt Worksheet_1" xfId="29995" xr:uid="{00000000-0005-0000-0000-000033750000}"/>
    <cellStyle name="s_PWS (2)_1_iPCs#1-Remaining" xfId="29996" xr:uid="{00000000-0005-0000-0000-000034750000}"/>
    <cellStyle name="s_PWS (2)_1_MMF Income" xfId="29997" xr:uid="{00000000-0005-0000-0000-000035750000}"/>
    <cellStyle name="s_PWS (2)_1_Partners Capital Q1 2009" xfId="29998" xr:uid="{00000000-0005-0000-0000-000036750000}"/>
    <cellStyle name="s_PWS (2)_1_Placement Fee Summary 05-14-09 - Current (2)" xfId="29999" xr:uid="{00000000-0005-0000-0000-000037750000}"/>
    <cellStyle name="s_PWS (2)_1_PR Calc" xfId="30000" xr:uid="{00000000-0005-0000-0000-000038750000}"/>
    <cellStyle name="s_PWS (2)_1_RCIV Q3 2009 Capital Analysis CURRENT" xfId="30001" xr:uid="{00000000-0005-0000-0000-000039750000}"/>
    <cellStyle name="s_PWS (2)_1_Sheet1" xfId="30002" xr:uid="{00000000-0005-0000-0000-00003A750000}"/>
    <cellStyle name="s_PWS (2)_2" xfId="30003" xr:uid="{00000000-0005-0000-0000-00003B750000}"/>
    <cellStyle name="s_PWS (2)_2 10" xfId="30004" xr:uid="{00000000-0005-0000-0000-00003C750000}"/>
    <cellStyle name="s_PWS (2)_2 11" xfId="30005" xr:uid="{00000000-0005-0000-0000-00003D750000}"/>
    <cellStyle name="s_PWS (2)_2 12" xfId="30006" xr:uid="{00000000-0005-0000-0000-00003E750000}"/>
    <cellStyle name="s_PWS (2)_2 13" xfId="30007" xr:uid="{00000000-0005-0000-0000-00003F750000}"/>
    <cellStyle name="s_PWS (2)_2 14" xfId="30008" xr:uid="{00000000-0005-0000-0000-000040750000}"/>
    <cellStyle name="s_PWS (2)_2 15" xfId="30009" xr:uid="{00000000-0005-0000-0000-000041750000}"/>
    <cellStyle name="s_PWS (2)_2 16" xfId="30010" xr:uid="{00000000-0005-0000-0000-000042750000}"/>
    <cellStyle name="s_PWS (2)_2 17" xfId="30011" xr:uid="{00000000-0005-0000-0000-000043750000}"/>
    <cellStyle name="s_PWS (2)_2 18" xfId="30012" xr:uid="{00000000-0005-0000-0000-000044750000}"/>
    <cellStyle name="s_PWS (2)_2 19" xfId="30013" xr:uid="{00000000-0005-0000-0000-000045750000}"/>
    <cellStyle name="s_PWS (2)_2 2" xfId="30014" xr:uid="{00000000-0005-0000-0000-000046750000}"/>
    <cellStyle name="s_PWS (2)_2 2 2" xfId="30015" xr:uid="{00000000-0005-0000-0000-000047750000}"/>
    <cellStyle name="s_PWS (2)_2 20" xfId="30016" xr:uid="{00000000-0005-0000-0000-000048750000}"/>
    <cellStyle name="s_PWS (2)_2 21" xfId="30017" xr:uid="{00000000-0005-0000-0000-000049750000}"/>
    <cellStyle name="s_PWS (2)_2 22" xfId="30018" xr:uid="{00000000-0005-0000-0000-00004A750000}"/>
    <cellStyle name="s_PWS (2)_2 23" xfId="30019" xr:uid="{00000000-0005-0000-0000-00004B750000}"/>
    <cellStyle name="s_PWS (2)_2 23 2" xfId="30020" xr:uid="{00000000-0005-0000-0000-00004C750000}"/>
    <cellStyle name="s_PWS (2)_2 3" xfId="30021" xr:uid="{00000000-0005-0000-0000-00004D750000}"/>
    <cellStyle name="s_PWS (2)_2 3 2" xfId="30022" xr:uid="{00000000-0005-0000-0000-00004E750000}"/>
    <cellStyle name="s_PWS (2)_2 4" xfId="30023" xr:uid="{00000000-0005-0000-0000-00004F750000}"/>
    <cellStyle name="s_PWS (2)_2 5" xfId="30024" xr:uid="{00000000-0005-0000-0000-000050750000}"/>
    <cellStyle name="s_PWS (2)_2 6" xfId="30025" xr:uid="{00000000-0005-0000-0000-000051750000}"/>
    <cellStyle name="s_PWS (2)_2 7" xfId="30026" xr:uid="{00000000-0005-0000-0000-000052750000}"/>
    <cellStyle name="s_PWS (2)_2 8" xfId="30027" xr:uid="{00000000-0005-0000-0000-000053750000}"/>
    <cellStyle name="s_PWS (2)_2 9" xfId="30028" xr:uid="{00000000-0005-0000-0000-000054750000}"/>
    <cellStyle name="s_PWS (2)_2_{6} Clawback" xfId="30029" xr:uid="{00000000-0005-0000-0000-000055750000}"/>
    <cellStyle name="s_PWS (2)_2_AIF IV Financial Highlights 12-31-08 v4" xfId="30030" xr:uid="{00000000-0005-0000-0000-000056750000}"/>
    <cellStyle name="s_PWS (2)_2_AIF IV Financial Highlights 12-31-08 v4_Apollo Investment Fund IV  Q3 2009 Capital Analysis CURRENT" xfId="30031" xr:uid="{00000000-0005-0000-0000-000057750000}"/>
    <cellStyle name="s_PWS (2)_2_AIF IV Financial Highlights 12-31-08 v4_Apollo Investment Fund IV  Q3 2009 Capital Analysis iPCS &amp; URI Distribution" xfId="30032" xr:uid="{00000000-0005-0000-0000-000058750000}"/>
    <cellStyle name="s_PWS (2)_2_AIF IV Financial Highlights 12-31-08 v4_iPCs#1-Remaining" xfId="30033" xr:uid="{00000000-0005-0000-0000-000059750000}"/>
    <cellStyle name="s_PWS (2)_2_AIF VI - BondcoVI_Entities Invested Capital (CURRENT)" xfId="30034" xr:uid="{00000000-0005-0000-0000-00005A750000}"/>
    <cellStyle name="s_PWS (2)_2_AIF VI Broadleaf Watefall Summary as of 6-30-09 FINAL" xfId="30035" xr:uid="{00000000-0005-0000-0000-00005B750000}"/>
    <cellStyle name="s_PWS (2)_2_AIF VI Broadleaf Watefall Summary as of 9-30-09" xfId="30036" xr:uid="{00000000-0005-0000-0000-00005C750000}"/>
    <cellStyle name="s_PWS (2)_2_Andy Affrick - Schedulev2" xfId="30037" xr:uid="{00000000-0005-0000-0000-00005D750000}"/>
    <cellStyle name="s_PWS (2)_2_Apollo Investment Fund IV  April Priority Return" xfId="30038" xr:uid="{00000000-0005-0000-0000-00005E750000}"/>
    <cellStyle name="s_PWS (2)_2_Apollo Investment Fund IV  Q1 2009 Capital Analysis 5-22-09 with GAAP" xfId="30039" xr:uid="{00000000-0005-0000-0000-00005F750000}"/>
    <cellStyle name="s_PWS (2)_2_Apollo Investment Fund IV  Q1 2009 Capital Analysis GAAP" xfId="30040" xr:uid="{00000000-0005-0000-0000-000060750000}"/>
    <cellStyle name="s_PWS (2)_2_Apollo Investment Fund IV  Q2 2009 Capital Analysis CURRENT" xfId="30041" xr:uid="{00000000-0005-0000-0000-000061750000}"/>
    <cellStyle name="s_PWS (2)_2_Apollo Investment Fund IV  Q3 2009 Capital Analysis CURRENT" xfId="30042" xr:uid="{00000000-0005-0000-0000-000062750000}"/>
    <cellStyle name="s_PWS (2)_2_Apollo Investment Fund IV  Q3 2009 Capital Analysis iPCS &amp; URI Distribution" xfId="30043" xr:uid="{00000000-0005-0000-0000-000063750000}"/>
    <cellStyle name="s_PWS (2)_2_Apollo Investment Fund IV Q1 2009 Capital Analysis PR CORRECTED 6-30-09" xfId="30044" xr:uid="{00000000-0005-0000-0000-000064750000}"/>
    <cellStyle name="s_PWS (2)_2_Broadleaf Watefall 12-31-09" xfId="30045" xr:uid="{00000000-0005-0000-0000-000065750000}"/>
    <cellStyle name="s_PWS (2)_2_Broadleaf Watefall 6-30-09" xfId="30046" xr:uid="{00000000-0005-0000-0000-000066750000}"/>
    <cellStyle name="s_PWS (2)_2_Broadleaf Watefall 9-30-09" xfId="30047" xr:uid="{00000000-0005-0000-0000-000067750000}"/>
    <cellStyle name="s_PWS (2)_2_Carry Calculation" xfId="30048" xr:uid="{00000000-0005-0000-0000-000068750000}"/>
    <cellStyle name="s_PWS (2)_2_Fund IV" xfId="30049" xr:uid="{00000000-0005-0000-0000-000069750000}"/>
    <cellStyle name="s_PWS (2)_2_Fund IV 9.30.08" xfId="30050" xr:uid="{00000000-0005-0000-0000-00006A750000}"/>
    <cellStyle name="s_PWS (2)_2_Fund IV_1" xfId="30051" xr:uid="{00000000-0005-0000-0000-00006B750000}"/>
    <cellStyle name="s_PWS (2)_2_Funds IV Clawback Adjustment Summary" xfId="30052" xr:uid="{00000000-0005-0000-0000-00006C750000}"/>
    <cellStyle name="s_PWS (2)_2_Funds IV Clawback Value Adjustment" xfId="30053" xr:uid="{00000000-0005-0000-0000-00006D750000}"/>
    <cellStyle name="s_PWS (2)_2_IC Balance" xfId="30054" xr:uid="{00000000-0005-0000-0000-00006E750000}"/>
    <cellStyle name="s_PWS (2)_2_Invested Capital Debt Worksheet" xfId="30055" xr:uid="{00000000-0005-0000-0000-00006F750000}"/>
    <cellStyle name="s_PWS (2)_2_iPCs#1-Remaining" xfId="30056" xr:uid="{00000000-0005-0000-0000-000070750000}"/>
    <cellStyle name="s_PWS (2)_2_MMF Income" xfId="30057" xr:uid="{00000000-0005-0000-0000-000071750000}"/>
    <cellStyle name="s_PWS (2)_2_Partners Capital Q1 2009" xfId="30058" xr:uid="{00000000-0005-0000-0000-000072750000}"/>
    <cellStyle name="s_PWS (2)_2_Placement Fee Summary 05-14-09 - Current (2)" xfId="30059" xr:uid="{00000000-0005-0000-0000-000073750000}"/>
    <cellStyle name="s_PWS (2)_2_PR Calc" xfId="30060" xr:uid="{00000000-0005-0000-0000-000074750000}"/>
    <cellStyle name="s_PWS (2)_2_RCIV Q3 2009 Capital Analysis CURRENT" xfId="30061" xr:uid="{00000000-0005-0000-0000-000075750000}"/>
    <cellStyle name="s_PWS (2)_AIF IV Financial Highlights 12-31-08 v4" xfId="30062" xr:uid="{00000000-0005-0000-0000-000076750000}"/>
    <cellStyle name="s_PWS (2)_AIF IV Financial Highlights 12-31-08 v4_Apollo Investment Fund IV  Q3 2009 Capital Analysis CURRENT" xfId="30063" xr:uid="{00000000-0005-0000-0000-000077750000}"/>
    <cellStyle name="s_PWS (2)_AIF IV Financial Highlights 12-31-08 v4_Apollo Investment Fund IV  Q3 2009 Capital Analysis iPCS &amp; URI Distribution" xfId="30064" xr:uid="{00000000-0005-0000-0000-000078750000}"/>
    <cellStyle name="s_PWS (2)_AIF IV Financial Highlights 12-31-08 v4_iPCs#1-Remaining" xfId="30065" xr:uid="{00000000-0005-0000-0000-000079750000}"/>
    <cellStyle name="s_PWS (2)_AIF VI - BondcoVI_Entities Invested Capital (CURRENT)" xfId="30066" xr:uid="{00000000-0005-0000-0000-00007A750000}"/>
    <cellStyle name="s_PWS (2)_AIF VI Broadleaf Watefall Summary as of 6-30-09 FINAL" xfId="30067" xr:uid="{00000000-0005-0000-0000-00007B750000}"/>
    <cellStyle name="s_PWS (2)_AIF VI Broadleaf Watefall Summary as of 9-30-09" xfId="30068" xr:uid="{00000000-0005-0000-0000-00007C750000}"/>
    <cellStyle name="s_PWS (2)_Andy Affrick - Schedulev2" xfId="30069" xr:uid="{00000000-0005-0000-0000-00007D750000}"/>
    <cellStyle name="s_PWS (2)_Apollo Advisors IV 12-31-08 GAAP TB Final" xfId="30070" xr:uid="{00000000-0005-0000-0000-00007E750000}"/>
    <cellStyle name="s_PWS (2)_Apollo Advisors IV 12-31-08 TB (Revised for Aggr PR)" xfId="30071" xr:uid="{00000000-0005-0000-0000-00007F750000}"/>
    <cellStyle name="s_PWS (2)_Apollo Advisors IV 6-30-09 GAAP TB" xfId="30072" xr:uid="{00000000-0005-0000-0000-000080750000}"/>
    <cellStyle name="s_PWS (2)_Apollo Investment Fund IV  April Priority Return" xfId="30073" xr:uid="{00000000-0005-0000-0000-000081750000}"/>
    <cellStyle name="s_PWS (2)_Apollo Investment Fund IV  Q1 2009 Capital Analysis 5-22-09 with GAAP" xfId="30074" xr:uid="{00000000-0005-0000-0000-000082750000}"/>
    <cellStyle name="s_PWS (2)_Apollo Investment Fund IV  Q1 2009 Capital Analysis GAAP" xfId="30075" xr:uid="{00000000-0005-0000-0000-000083750000}"/>
    <cellStyle name="s_PWS (2)_Apollo Investment Fund IV  Q2 2009 Capital Analysis CURRENT" xfId="30076" xr:uid="{00000000-0005-0000-0000-000084750000}"/>
    <cellStyle name="s_PWS (2)_Apollo Investment Fund IV  Q3 2009 Capital Analysis CURRENT" xfId="30077" xr:uid="{00000000-0005-0000-0000-000085750000}"/>
    <cellStyle name="s_PWS (2)_Apollo Investment Fund IV  Q3 2009 Capital Analysis iPCS &amp; URI Distribution" xfId="30078" xr:uid="{00000000-0005-0000-0000-000086750000}"/>
    <cellStyle name="s_PWS (2)_Apollo Investment Fund IV Q1 2009 Capital Analysis PR CORRECTED 6-30-09" xfId="30079" xr:uid="{00000000-0005-0000-0000-000087750000}"/>
    <cellStyle name="s_PWS (2)_Broadleaf Watefall 12-31-09" xfId="30080" xr:uid="{00000000-0005-0000-0000-000088750000}"/>
    <cellStyle name="s_PWS (2)_Broadleaf Watefall 6-30-09" xfId="30081" xr:uid="{00000000-0005-0000-0000-000089750000}"/>
    <cellStyle name="s_PWS (2)_Broadleaf Watefall 9-30-09" xfId="30082" xr:uid="{00000000-0005-0000-0000-00008A750000}"/>
    <cellStyle name="s_PWS (2)_Carry Calculation" xfId="30083" xr:uid="{00000000-0005-0000-0000-00008B750000}"/>
    <cellStyle name="s_PWS (2)_Fund IV" xfId="30084" xr:uid="{00000000-0005-0000-0000-00008C750000}"/>
    <cellStyle name="s_PWS (2)_Fund IV 9.30.08" xfId="30085" xr:uid="{00000000-0005-0000-0000-00008D750000}"/>
    <cellStyle name="s_PWS (2)_Fund IV_1" xfId="30086" xr:uid="{00000000-0005-0000-0000-00008E750000}"/>
    <cellStyle name="s_PWS (2)_Funds IV Clawback Adjustment Summary" xfId="30087" xr:uid="{00000000-0005-0000-0000-00008F750000}"/>
    <cellStyle name="s_PWS (2)_Funds IV Clawback Value Adjustment" xfId="30088" xr:uid="{00000000-0005-0000-0000-000090750000}"/>
    <cellStyle name="s_PWS (2)_IC Balance" xfId="30089" xr:uid="{00000000-0005-0000-0000-000091750000}"/>
    <cellStyle name="s_PWS (2)_Invested Capital Debt Worksheet" xfId="30090" xr:uid="{00000000-0005-0000-0000-000092750000}"/>
    <cellStyle name="s_PWS (2)_Invested Capital Debt Worksheet_1" xfId="30091" xr:uid="{00000000-0005-0000-0000-000093750000}"/>
    <cellStyle name="s_PWS (2)_iPCs#1-Remaining" xfId="30092" xr:uid="{00000000-0005-0000-0000-000094750000}"/>
    <cellStyle name="s_PWS (2)_MMF Income" xfId="30093" xr:uid="{00000000-0005-0000-0000-000095750000}"/>
    <cellStyle name="s_PWS (2)_Partners Capital Q1 2009" xfId="30094" xr:uid="{00000000-0005-0000-0000-000096750000}"/>
    <cellStyle name="s_PWS (2)_Placement Fee Summary 05-14-09 - Current (2)" xfId="30095" xr:uid="{00000000-0005-0000-0000-000097750000}"/>
    <cellStyle name="s_PWS (2)_PR Calc" xfId="30096" xr:uid="{00000000-0005-0000-0000-000098750000}"/>
    <cellStyle name="s_PWS (2)_RCIV Q3 2009 Capital Analysis CURRENT" xfId="30097" xr:uid="{00000000-0005-0000-0000-000099750000}"/>
    <cellStyle name="s_PWS (2)_Sheet1" xfId="30098" xr:uid="{00000000-0005-0000-0000-00009A750000}"/>
    <cellStyle name="s_Rates" xfId="30099" xr:uid="{00000000-0005-0000-0000-00009B750000}"/>
    <cellStyle name="s_Rates 10" xfId="30100" xr:uid="{00000000-0005-0000-0000-00009C750000}"/>
    <cellStyle name="s_Rates 11" xfId="30101" xr:uid="{00000000-0005-0000-0000-00009D750000}"/>
    <cellStyle name="s_Rates 12" xfId="30102" xr:uid="{00000000-0005-0000-0000-00009E750000}"/>
    <cellStyle name="s_Rates 13" xfId="30103" xr:uid="{00000000-0005-0000-0000-00009F750000}"/>
    <cellStyle name="s_Rates 14" xfId="30104" xr:uid="{00000000-0005-0000-0000-0000A0750000}"/>
    <cellStyle name="s_Rates 15" xfId="30105" xr:uid="{00000000-0005-0000-0000-0000A1750000}"/>
    <cellStyle name="s_Rates 16" xfId="30106" xr:uid="{00000000-0005-0000-0000-0000A2750000}"/>
    <cellStyle name="s_Rates 17" xfId="30107" xr:uid="{00000000-0005-0000-0000-0000A3750000}"/>
    <cellStyle name="s_Rates 18" xfId="30108" xr:uid="{00000000-0005-0000-0000-0000A4750000}"/>
    <cellStyle name="s_Rates 19" xfId="30109" xr:uid="{00000000-0005-0000-0000-0000A5750000}"/>
    <cellStyle name="s_Rates 2" xfId="30110" xr:uid="{00000000-0005-0000-0000-0000A6750000}"/>
    <cellStyle name="s_Rates 2 2" xfId="30111" xr:uid="{00000000-0005-0000-0000-0000A7750000}"/>
    <cellStyle name="s_Rates 20" xfId="30112" xr:uid="{00000000-0005-0000-0000-0000A8750000}"/>
    <cellStyle name="s_Rates 21" xfId="30113" xr:uid="{00000000-0005-0000-0000-0000A9750000}"/>
    <cellStyle name="s_Rates 22" xfId="30114" xr:uid="{00000000-0005-0000-0000-0000AA750000}"/>
    <cellStyle name="s_Rates 23" xfId="30115" xr:uid="{00000000-0005-0000-0000-0000AB750000}"/>
    <cellStyle name="s_Rates 23 2" xfId="30116" xr:uid="{00000000-0005-0000-0000-0000AC750000}"/>
    <cellStyle name="s_Rates 3" xfId="30117" xr:uid="{00000000-0005-0000-0000-0000AD750000}"/>
    <cellStyle name="s_Rates 3 2" xfId="30118" xr:uid="{00000000-0005-0000-0000-0000AE750000}"/>
    <cellStyle name="s_Rates 4" xfId="30119" xr:uid="{00000000-0005-0000-0000-0000AF750000}"/>
    <cellStyle name="s_Rates 5" xfId="30120" xr:uid="{00000000-0005-0000-0000-0000B0750000}"/>
    <cellStyle name="s_Rates 6" xfId="30121" xr:uid="{00000000-0005-0000-0000-0000B1750000}"/>
    <cellStyle name="s_Rates 7" xfId="30122" xr:uid="{00000000-0005-0000-0000-0000B2750000}"/>
    <cellStyle name="s_Rates 8" xfId="30123" xr:uid="{00000000-0005-0000-0000-0000B3750000}"/>
    <cellStyle name="s_Rates 9" xfId="30124" xr:uid="{00000000-0005-0000-0000-0000B4750000}"/>
    <cellStyle name="s_Rates_{6} Clawback" xfId="30125" xr:uid="{00000000-0005-0000-0000-0000B5750000}"/>
    <cellStyle name="s_Rates_1" xfId="30126" xr:uid="{00000000-0005-0000-0000-0000B6750000}"/>
    <cellStyle name="s_Rates_1 10" xfId="30127" xr:uid="{00000000-0005-0000-0000-0000B7750000}"/>
    <cellStyle name="s_Rates_1 11" xfId="30128" xr:uid="{00000000-0005-0000-0000-0000B8750000}"/>
    <cellStyle name="s_Rates_1 12" xfId="30129" xr:uid="{00000000-0005-0000-0000-0000B9750000}"/>
    <cellStyle name="s_Rates_1 13" xfId="30130" xr:uid="{00000000-0005-0000-0000-0000BA750000}"/>
    <cellStyle name="s_Rates_1 14" xfId="30131" xr:uid="{00000000-0005-0000-0000-0000BB750000}"/>
    <cellStyle name="s_Rates_1 15" xfId="30132" xr:uid="{00000000-0005-0000-0000-0000BC750000}"/>
    <cellStyle name="s_Rates_1 16" xfId="30133" xr:uid="{00000000-0005-0000-0000-0000BD750000}"/>
    <cellStyle name="s_Rates_1 17" xfId="30134" xr:uid="{00000000-0005-0000-0000-0000BE750000}"/>
    <cellStyle name="s_Rates_1 18" xfId="30135" xr:uid="{00000000-0005-0000-0000-0000BF750000}"/>
    <cellStyle name="s_Rates_1 19" xfId="30136" xr:uid="{00000000-0005-0000-0000-0000C0750000}"/>
    <cellStyle name="s_Rates_1 2" xfId="30137" xr:uid="{00000000-0005-0000-0000-0000C1750000}"/>
    <cellStyle name="s_Rates_1 2 2" xfId="30138" xr:uid="{00000000-0005-0000-0000-0000C2750000}"/>
    <cellStyle name="s_Rates_1 20" xfId="30139" xr:uid="{00000000-0005-0000-0000-0000C3750000}"/>
    <cellStyle name="s_Rates_1 21" xfId="30140" xr:uid="{00000000-0005-0000-0000-0000C4750000}"/>
    <cellStyle name="s_Rates_1 22" xfId="30141" xr:uid="{00000000-0005-0000-0000-0000C5750000}"/>
    <cellStyle name="s_Rates_1 23" xfId="30142" xr:uid="{00000000-0005-0000-0000-0000C6750000}"/>
    <cellStyle name="s_Rates_1 23 2" xfId="30143" xr:uid="{00000000-0005-0000-0000-0000C7750000}"/>
    <cellStyle name="s_Rates_1 3" xfId="30144" xr:uid="{00000000-0005-0000-0000-0000C8750000}"/>
    <cellStyle name="s_Rates_1 3 2" xfId="30145" xr:uid="{00000000-0005-0000-0000-0000C9750000}"/>
    <cellStyle name="s_Rates_1 4" xfId="30146" xr:uid="{00000000-0005-0000-0000-0000CA750000}"/>
    <cellStyle name="s_Rates_1 5" xfId="30147" xr:uid="{00000000-0005-0000-0000-0000CB750000}"/>
    <cellStyle name="s_Rates_1 6" xfId="30148" xr:uid="{00000000-0005-0000-0000-0000CC750000}"/>
    <cellStyle name="s_Rates_1 7" xfId="30149" xr:uid="{00000000-0005-0000-0000-0000CD750000}"/>
    <cellStyle name="s_Rates_1 8" xfId="30150" xr:uid="{00000000-0005-0000-0000-0000CE750000}"/>
    <cellStyle name="s_Rates_1 9" xfId="30151" xr:uid="{00000000-0005-0000-0000-0000CF750000}"/>
    <cellStyle name="s_Rates_1_{6} Clawback" xfId="30152" xr:uid="{00000000-0005-0000-0000-0000D0750000}"/>
    <cellStyle name="s_Rates_1_AIF IV Financial Highlights 12-31-08 v4" xfId="30153" xr:uid="{00000000-0005-0000-0000-0000D1750000}"/>
    <cellStyle name="s_Rates_1_AIF IV Financial Highlights 12-31-08 v4_Apollo Investment Fund IV  Q3 2009 Capital Analysis CURRENT" xfId="30154" xr:uid="{00000000-0005-0000-0000-0000D2750000}"/>
    <cellStyle name="s_Rates_1_AIF IV Financial Highlights 12-31-08 v4_Apollo Investment Fund IV  Q3 2009 Capital Analysis iPCS &amp; URI Distribution" xfId="30155" xr:uid="{00000000-0005-0000-0000-0000D3750000}"/>
    <cellStyle name="s_Rates_1_AIF IV Financial Highlights 12-31-08 v4_iPCs#1-Remaining" xfId="30156" xr:uid="{00000000-0005-0000-0000-0000D4750000}"/>
    <cellStyle name="s_Rates_1_AIF VI - BondcoVI_Entities Invested Capital (CURRENT)" xfId="30157" xr:uid="{00000000-0005-0000-0000-0000D5750000}"/>
    <cellStyle name="s_Rates_1_AIF VI Broadleaf Watefall Summary as of 6-30-09 FINAL" xfId="30158" xr:uid="{00000000-0005-0000-0000-0000D6750000}"/>
    <cellStyle name="s_Rates_1_AIF VI Broadleaf Watefall Summary as of 9-30-09" xfId="30159" xr:uid="{00000000-0005-0000-0000-0000D7750000}"/>
    <cellStyle name="s_Rates_1_Andy Affrick - Schedulev2" xfId="30160" xr:uid="{00000000-0005-0000-0000-0000D8750000}"/>
    <cellStyle name="s_Rates_1_Apollo Advisors IV 12-31-08 GAAP TB Final" xfId="30161" xr:uid="{00000000-0005-0000-0000-0000D9750000}"/>
    <cellStyle name="s_Rates_1_Apollo Advisors IV 12-31-08 TB (Revised for Aggr PR)" xfId="30162" xr:uid="{00000000-0005-0000-0000-0000DA750000}"/>
    <cellStyle name="s_Rates_1_Apollo Advisors IV 6-30-09 GAAP TB" xfId="30163" xr:uid="{00000000-0005-0000-0000-0000DB750000}"/>
    <cellStyle name="s_Rates_1_Apollo Investment Fund IV  April Priority Return" xfId="30164" xr:uid="{00000000-0005-0000-0000-0000DC750000}"/>
    <cellStyle name="s_Rates_1_Apollo Investment Fund IV  Q1 2009 Capital Analysis 5-22-09 with GAAP" xfId="30165" xr:uid="{00000000-0005-0000-0000-0000DD750000}"/>
    <cellStyle name="s_Rates_1_Apollo Investment Fund IV  Q1 2009 Capital Analysis GAAP" xfId="30166" xr:uid="{00000000-0005-0000-0000-0000DE750000}"/>
    <cellStyle name="s_Rates_1_Apollo Investment Fund IV  Q2 2009 Capital Analysis CURRENT" xfId="30167" xr:uid="{00000000-0005-0000-0000-0000DF750000}"/>
    <cellStyle name="s_Rates_1_Apollo Investment Fund IV  Q3 2009 Capital Analysis CURRENT" xfId="30168" xr:uid="{00000000-0005-0000-0000-0000E0750000}"/>
    <cellStyle name="s_Rates_1_Apollo Investment Fund IV  Q3 2009 Capital Analysis iPCS &amp; URI Distribution" xfId="30169" xr:uid="{00000000-0005-0000-0000-0000E1750000}"/>
    <cellStyle name="s_Rates_1_Apollo Investment Fund IV Q1 2009 Capital Analysis PR CORRECTED 6-30-09" xfId="30170" xr:uid="{00000000-0005-0000-0000-0000E2750000}"/>
    <cellStyle name="s_Rates_1_Broadleaf Watefall 12-31-09" xfId="30171" xr:uid="{00000000-0005-0000-0000-0000E3750000}"/>
    <cellStyle name="s_Rates_1_Broadleaf Watefall 6-30-09" xfId="30172" xr:uid="{00000000-0005-0000-0000-0000E4750000}"/>
    <cellStyle name="s_Rates_1_Broadleaf Watefall 9-30-09" xfId="30173" xr:uid="{00000000-0005-0000-0000-0000E5750000}"/>
    <cellStyle name="s_Rates_1_Carry Calculation" xfId="30174" xr:uid="{00000000-0005-0000-0000-0000E6750000}"/>
    <cellStyle name="s_Rates_1_Fund IV" xfId="30175" xr:uid="{00000000-0005-0000-0000-0000E7750000}"/>
    <cellStyle name="s_Rates_1_Fund IV 9.30.08" xfId="30176" xr:uid="{00000000-0005-0000-0000-0000E8750000}"/>
    <cellStyle name="s_Rates_1_Fund IV_1" xfId="30177" xr:uid="{00000000-0005-0000-0000-0000E9750000}"/>
    <cellStyle name="s_Rates_1_Funds IV Clawback Adjustment Summary" xfId="30178" xr:uid="{00000000-0005-0000-0000-0000EA750000}"/>
    <cellStyle name="s_Rates_1_Funds IV Clawback Value Adjustment" xfId="30179" xr:uid="{00000000-0005-0000-0000-0000EB750000}"/>
    <cellStyle name="s_Rates_1_IC Balance" xfId="30180" xr:uid="{00000000-0005-0000-0000-0000EC750000}"/>
    <cellStyle name="s_Rates_1_Invested Capital Debt Worksheet" xfId="30181" xr:uid="{00000000-0005-0000-0000-0000ED750000}"/>
    <cellStyle name="s_Rates_1_Invested Capital Debt Worksheet_1" xfId="30182" xr:uid="{00000000-0005-0000-0000-0000EE750000}"/>
    <cellStyle name="s_Rates_1_iPCs#1-Remaining" xfId="30183" xr:uid="{00000000-0005-0000-0000-0000EF750000}"/>
    <cellStyle name="s_Rates_1_MMF Income" xfId="30184" xr:uid="{00000000-0005-0000-0000-0000F0750000}"/>
    <cellStyle name="s_Rates_1_Partners Capital Q1 2009" xfId="30185" xr:uid="{00000000-0005-0000-0000-0000F1750000}"/>
    <cellStyle name="s_Rates_1_Placement Fee Summary 05-14-09 - Current (2)" xfId="30186" xr:uid="{00000000-0005-0000-0000-0000F2750000}"/>
    <cellStyle name="s_Rates_1_PR Calc" xfId="30187" xr:uid="{00000000-0005-0000-0000-0000F3750000}"/>
    <cellStyle name="s_Rates_1_RCIV Q3 2009 Capital Analysis CURRENT" xfId="30188" xr:uid="{00000000-0005-0000-0000-0000F4750000}"/>
    <cellStyle name="s_Rates_1_Sheet1" xfId="30189" xr:uid="{00000000-0005-0000-0000-0000F5750000}"/>
    <cellStyle name="s_Rates_2" xfId="30190" xr:uid="{00000000-0005-0000-0000-0000F6750000}"/>
    <cellStyle name="s_Rates_2 10" xfId="30191" xr:uid="{00000000-0005-0000-0000-0000F7750000}"/>
    <cellStyle name="s_Rates_2 11" xfId="30192" xr:uid="{00000000-0005-0000-0000-0000F8750000}"/>
    <cellStyle name="s_Rates_2 12" xfId="30193" xr:uid="{00000000-0005-0000-0000-0000F9750000}"/>
    <cellStyle name="s_Rates_2 13" xfId="30194" xr:uid="{00000000-0005-0000-0000-0000FA750000}"/>
    <cellStyle name="s_Rates_2 14" xfId="30195" xr:uid="{00000000-0005-0000-0000-0000FB750000}"/>
    <cellStyle name="s_Rates_2 15" xfId="30196" xr:uid="{00000000-0005-0000-0000-0000FC750000}"/>
    <cellStyle name="s_Rates_2 16" xfId="30197" xr:uid="{00000000-0005-0000-0000-0000FD750000}"/>
    <cellStyle name="s_Rates_2 17" xfId="30198" xr:uid="{00000000-0005-0000-0000-0000FE750000}"/>
    <cellStyle name="s_Rates_2 18" xfId="30199" xr:uid="{00000000-0005-0000-0000-0000FF750000}"/>
    <cellStyle name="s_Rates_2 19" xfId="30200" xr:uid="{00000000-0005-0000-0000-000000760000}"/>
    <cellStyle name="s_Rates_2 2" xfId="30201" xr:uid="{00000000-0005-0000-0000-000001760000}"/>
    <cellStyle name="s_Rates_2 2 2" xfId="30202" xr:uid="{00000000-0005-0000-0000-000002760000}"/>
    <cellStyle name="s_Rates_2 20" xfId="30203" xr:uid="{00000000-0005-0000-0000-000003760000}"/>
    <cellStyle name="s_Rates_2 21" xfId="30204" xr:uid="{00000000-0005-0000-0000-000004760000}"/>
    <cellStyle name="s_Rates_2 22" xfId="30205" xr:uid="{00000000-0005-0000-0000-000005760000}"/>
    <cellStyle name="s_Rates_2 23" xfId="30206" xr:uid="{00000000-0005-0000-0000-000006760000}"/>
    <cellStyle name="s_Rates_2 23 2" xfId="30207" xr:uid="{00000000-0005-0000-0000-000007760000}"/>
    <cellStyle name="s_Rates_2 3" xfId="30208" xr:uid="{00000000-0005-0000-0000-000008760000}"/>
    <cellStyle name="s_Rates_2 3 2" xfId="30209" xr:uid="{00000000-0005-0000-0000-000009760000}"/>
    <cellStyle name="s_Rates_2 4" xfId="30210" xr:uid="{00000000-0005-0000-0000-00000A760000}"/>
    <cellStyle name="s_Rates_2 5" xfId="30211" xr:uid="{00000000-0005-0000-0000-00000B760000}"/>
    <cellStyle name="s_Rates_2 6" xfId="30212" xr:uid="{00000000-0005-0000-0000-00000C760000}"/>
    <cellStyle name="s_Rates_2 7" xfId="30213" xr:uid="{00000000-0005-0000-0000-00000D760000}"/>
    <cellStyle name="s_Rates_2 8" xfId="30214" xr:uid="{00000000-0005-0000-0000-00000E760000}"/>
    <cellStyle name="s_Rates_2 9" xfId="30215" xr:uid="{00000000-0005-0000-0000-00000F760000}"/>
    <cellStyle name="s_Rates_2_{6} Clawback" xfId="30216" xr:uid="{00000000-0005-0000-0000-000010760000}"/>
    <cellStyle name="s_Rates_2_AIF IV Financial Highlights 12-31-08 v4" xfId="30217" xr:uid="{00000000-0005-0000-0000-000011760000}"/>
    <cellStyle name="s_Rates_2_AIF IV Financial Highlights 12-31-08 v4_Apollo Investment Fund IV  Q3 2009 Capital Analysis CURRENT" xfId="30218" xr:uid="{00000000-0005-0000-0000-000012760000}"/>
    <cellStyle name="s_Rates_2_AIF IV Financial Highlights 12-31-08 v4_Apollo Investment Fund IV  Q3 2009 Capital Analysis iPCS &amp; URI Distribution" xfId="30219" xr:uid="{00000000-0005-0000-0000-000013760000}"/>
    <cellStyle name="s_Rates_2_AIF IV Financial Highlights 12-31-08 v4_iPCs#1-Remaining" xfId="30220" xr:uid="{00000000-0005-0000-0000-000014760000}"/>
    <cellStyle name="s_Rates_2_AIF VI - BondcoVI_Entities Invested Capital (CURRENT)" xfId="30221" xr:uid="{00000000-0005-0000-0000-000015760000}"/>
    <cellStyle name="s_Rates_2_AIF VI Broadleaf Watefall Summary as of 6-30-09 FINAL" xfId="30222" xr:uid="{00000000-0005-0000-0000-000016760000}"/>
    <cellStyle name="s_Rates_2_AIF VI Broadleaf Watefall Summary as of 9-30-09" xfId="30223" xr:uid="{00000000-0005-0000-0000-000017760000}"/>
    <cellStyle name="s_Rates_2_Andy Affrick - Schedulev2" xfId="30224" xr:uid="{00000000-0005-0000-0000-000018760000}"/>
    <cellStyle name="s_Rates_2_Apollo Advisors IV 12-31-08 GAAP TB Final" xfId="30225" xr:uid="{00000000-0005-0000-0000-000019760000}"/>
    <cellStyle name="s_Rates_2_Apollo Advisors IV 12-31-08 TB (Revised for Aggr PR)" xfId="30226" xr:uid="{00000000-0005-0000-0000-00001A760000}"/>
    <cellStyle name="s_Rates_2_Apollo Advisors IV 6-30-09 GAAP TB" xfId="30227" xr:uid="{00000000-0005-0000-0000-00001B760000}"/>
    <cellStyle name="s_Rates_2_Apollo Investment Fund IV  April Priority Return" xfId="30228" xr:uid="{00000000-0005-0000-0000-00001C760000}"/>
    <cellStyle name="s_Rates_2_Apollo Investment Fund IV  Q1 2009 Capital Analysis 5-22-09 with GAAP" xfId="30229" xr:uid="{00000000-0005-0000-0000-00001D760000}"/>
    <cellStyle name="s_Rates_2_Apollo Investment Fund IV  Q1 2009 Capital Analysis GAAP" xfId="30230" xr:uid="{00000000-0005-0000-0000-00001E760000}"/>
    <cellStyle name="s_Rates_2_Apollo Investment Fund IV  Q2 2009 Capital Analysis CURRENT" xfId="30231" xr:uid="{00000000-0005-0000-0000-00001F760000}"/>
    <cellStyle name="s_Rates_2_Apollo Investment Fund IV  Q3 2009 Capital Analysis CURRENT" xfId="30232" xr:uid="{00000000-0005-0000-0000-000020760000}"/>
    <cellStyle name="s_Rates_2_Apollo Investment Fund IV  Q3 2009 Capital Analysis iPCS &amp; URI Distribution" xfId="30233" xr:uid="{00000000-0005-0000-0000-000021760000}"/>
    <cellStyle name="s_Rates_2_Apollo Investment Fund IV Q1 2009 Capital Analysis PR CORRECTED 6-30-09" xfId="30234" xr:uid="{00000000-0005-0000-0000-000022760000}"/>
    <cellStyle name="s_Rates_2_Broadleaf Watefall 12-31-09" xfId="30235" xr:uid="{00000000-0005-0000-0000-000023760000}"/>
    <cellStyle name="s_Rates_2_Broadleaf Watefall 6-30-09" xfId="30236" xr:uid="{00000000-0005-0000-0000-000024760000}"/>
    <cellStyle name="s_Rates_2_Broadleaf Watefall 9-30-09" xfId="30237" xr:uid="{00000000-0005-0000-0000-000025760000}"/>
    <cellStyle name="s_Rates_2_Carry Calculation" xfId="30238" xr:uid="{00000000-0005-0000-0000-000026760000}"/>
    <cellStyle name="s_Rates_2_Fund IV" xfId="30239" xr:uid="{00000000-0005-0000-0000-000027760000}"/>
    <cellStyle name="s_Rates_2_Fund IV 9.30.08" xfId="30240" xr:uid="{00000000-0005-0000-0000-000028760000}"/>
    <cellStyle name="s_Rates_2_Fund IV_1" xfId="30241" xr:uid="{00000000-0005-0000-0000-000029760000}"/>
    <cellStyle name="s_Rates_2_Funds IV Clawback Adjustment Summary" xfId="30242" xr:uid="{00000000-0005-0000-0000-00002A760000}"/>
    <cellStyle name="s_Rates_2_Funds IV Clawback Value Adjustment" xfId="30243" xr:uid="{00000000-0005-0000-0000-00002B760000}"/>
    <cellStyle name="s_Rates_2_IC Balance" xfId="30244" xr:uid="{00000000-0005-0000-0000-00002C760000}"/>
    <cellStyle name="s_Rates_2_Invested Capital Debt Worksheet" xfId="30245" xr:uid="{00000000-0005-0000-0000-00002D760000}"/>
    <cellStyle name="s_Rates_2_Invested Capital Debt Worksheet_1" xfId="30246" xr:uid="{00000000-0005-0000-0000-00002E760000}"/>
    <cellStyle name="s_Rates_2_iPCs#1-Remaining" xfId="30247" xr:uid="{00000000-0005-0000-0000-00002F760000}"/>
    <cellStyle name="s_Rates_2_MMF Income" xfId="30248" xr:uid="{00000000-0005-0000-0000-000030760000}"/>
    <cellStyle name="s_Rates_2_Partners Capital Q1 2009" xfId="30249" xr:uid="{00000000-0005-0000-0000-000031760000}"/>
    <cellStyle name="s_Rates_2_Placement Fee Summary 05-14-09 - Current (2)" xfId="30250" xr:uid="{00000000-0005-0000-0000-000032760000}"/>
    <cellStyle name="s_Rates_2_PR Calc" xfId="30251" xr:uid="{00000000-0005-0000-0000-000033760000}"/>
    <cellStyle name="s_Rates_2_RCIV Q3 2009 Capital Analysis CURRENT" xfId="30252" xr:uid="{00000000-0005-0000-0000-000034760000}"/>
    <cellStyle name="s_Rates_2_Sheet1" xfId="30253" xr:uid="{00000000-0005-0000-0000-000035760000}"/>
    <cellStyle name="s_Rates_AIF IV Financial Highlights 12-31-08 v4" xfId="30254" xr:uid="{00000000-0005-0000-0000-000036760000}"/>
    <cellStyle name="s_Rates_AIF IV Financial Highlights 12-31-08 v4_Apollo Investment Fund IV  Q3 2009 Capital Analysis CURRENT" xfId="30255" xr:uid="{00000000-0005-0000-0000-000037760000}"/>
    <cellStyle name="s_Rates_AIF IV Financial Highlights 12-31-08 v4_Apollo Investment Fund IV  Q3 2009 Capital Analysis iPCS &amp; URI Distribution" xfId="30256" xr:uid="{00000000-0005-0000-0000-000038760000}"/>
    <cellStyle name="s_Rates_AIF IV Financial Highlights 12-31-08 v4_iPCs#1-Remaining" xfId="30257" xr:uid="{00000000-0005-0000-0000-000039760000}"/>
    <cellStyle name="s_Rates_AIF VI - BondcoVI_Entities Invested Capital (CURRENT)" xfId="30258" xr:uid="{00000000-0005-0000-0000-00003A760000}"/>
    <cellStyle name="s_Rates_AIF VI Broadleaf Watefall Summary as of 6-30-09 FINAL" xfId="30259" xr:uid="{00000000-0005-0000-0000-00003B760000}"/>
    <cellStyle name="s_Rates_AIF VI Broadleaf Watefall Summary as of 9-30-09" xfId="30260" xr:uid="{00000000-0005-0000-0000-00003C760000}"/>
    <cellStyle name="s_Rates_Andy Affrick - Schedulev2" xfId="30261" xr:uid="{00000000-0005-0000-0000-00003D760000}"/>
    <cellStyle name="s_Rates_Apollo Investment Fund IV  April Priority Return" xfId="30262" xr:uid="{00000000-0005-0000-0000-00003E760000}"/>
    <cellStyle name="s_Rates_Apollo Investment Fund IV  Q1 2009 Capital Analysis 5-22-09 with GAAP" xfId="30263" xr:uid="{00000000-0005-0000-0000-00003F760000}"/>
    <cellStyle name="s_Rates_Apollo Investment Fund IV  Q1 2009 Capital Analysis GAAP" xfId="30264" xr:uid="{00000000-0005-0000-0000-000040760000}"/>
    <cellStyle name="s_Rates_Apollo Investment Fund IV  Q2 2009 Capital Analysis CURRENT" xfId="30265" xr:uid="{00000000-0005-0000-0000-000041760000}"/>
    <cellStyle name="s_Rates_Apollo Investment Fund IV  Q3 2009 Capital Analysis CURRENT" xfId="30266" xr:uid="{00000000-0005-0000-0000-000042760000}"/>
    <cellStyle name="s_Rates_Apollo Investment Fund IV  Q3 2009 Capital Analysis iPCS &amp; URI Distribution" xfId="30267" xr:uid="{00000000-0005-0000-0000-000043760000}"/>
    <cellStyle name="s_Rates_Apollo Investment Fund IV Q1 2009 Capital Analysis PR CORRECTED 6-30-09" xfId="30268" xr:uid="{00000000-0005-0000-0000-000044760000}"/>
    <cellStyle name="s_Rates_Broadleaf Watefall 12-31-09" xfId="30269" xr:uid="{00000000-0005-0000-0000-000045760000}"/>
    <cellStyle name="s_Rates_Broadleaf Watefall 6-30-09" xfId="30270" xr:uid="{00000000-0005-0000-0000-000046760000}"/>
    <cellStyle name="s_Rates_Broadleaf Watefall 9-30-09" xfId="30271" xr:uid="{00000000-0005-0000-0000-000047760000}"/>
    <cellStyle name="s_Rates_Carry Calculation" xfId="30272" xr:uid="{00000000-0005-0000-0000-000048760000}"/>
    <cellStyle name="s_Rates_Fund IV" xfId="30273" xr:uid="{00000000-0005-0000-0000-000049760000}"/>
    <cellStyle name="s_Rates_Fund IV 9.30.08" xfId="30274" xr:uid="{00000000-0005-0000-0000-00004A760000}"/>
    <cellStyle name="s_Rates_Fund IV_1" xfId="30275" xr:uid="{00000000-0005-0000-0000-00004B760000}"/>
    <cellStyle name="s_Rates_Funds IV Clawback Adjustment Summary" xfId="30276" xr:uid="{00000000-0005-0000-0000-00004C760000}"/>
    <cellStyle name="s_Rates_Funds IV Clawback Value Adjustment" xfId="30277" xr:uid="{00000000-0005-0000-0000-00004D760000}"/>
    <cellStyle name="s_Rates_IC Balance" xfId="30278" xr:uid="{00000000-0005-0000-0000-00004E760000}"/>
    <cellStyle name="s_Rates_Invested Capital Debt Worksheet" xfId="30279" xr:uid="{00000000-0005-0000-0000-00004F760000}"/>
    <cellStyle name="s_Rates_iPCs#1-Remaining" xfId="30280" xr:uid="{00000000-0005-0000-0000-000050760000}"/>
    <cellStyle name="s_Rates_MMF Income" xfId="30281" xr:uid="{00000000-0005-0000-0000-000051760000}"/>
    <cellStyle name="s_Rates_Partners Capital Q1 2009" xfId="30282" xr:uid="{00000000-0005-0000-0000-000052760000}"/>
    <cellStyle name="s_Rates_Placement Fee Summary 05-14-09 - Current (2)" xfId="30283" xr:uid="{00000000-0005-0000-0000-000053760000}"/>
    <cellStyle name="s_Rates_PR Calc" xfId="30284" xr:uid="{00000000-0005-0000-0000-000054760000}"/>
    <cellStyle name="s_Rates_RCIV Q3 2009 Capital Analysis CURRENT" xfId="30285" xr:uid="{00000000-0005-0000-0000-000055760000}"/>
    <cellStyle name="s_RCIV Q3 2009 Capital Analysis CURRENT" xfId="30286" xr:uid="{00000000-0005-0000-0000-000056760000}"/>
    <cellStyle name="s_Rump Earnings" xfId="30287" xr:uid="{00000000-0005-0000-0000-000057760000}"/>
    <cellStyle name="s_Rump Earnings 10" xfId="30288" xr:uid="{00000000-0005-0000-0000-000058760000}"/>
    <cellStyle name="s_Rump Earnings 11" xfId="30289" xr:uid="{00000000-0005-0000-0000-000059760000}"/>
    <cellStyle name="s_Rump Earnings 12" xfId="30290" xr:uid="{00000000-0005-0000-0000-00005A760000}"/>
    <cellStyle name="s_Rump Earnings 13" xfId="30291" xr:uid="{00000000-0005-0000-0000-00005B760000}"/>
    <cellStyle name="s_Rump Earnings 14" xfId="30292" xr:uid="{00000000-0005-0000-0000-00005C760000}"/>
    <cellStyle name="s_Rump Earnings 15" xfId="30293" xr:uid="{00000000-0005-0000-0000-00005D760000}"/>
    <cellStyle name="s_Rump Earnings 16" xfId="30294" xr:uid="{00000000-0005-0000-0000-00005E760000}"/>
    <cellStyle name="s_Rump Earnings 17" xfId="30295" xr:uid="{00000000-0005-0000-0000-00005F760000}"/>
    <cellStyle name="s_Rump Earnings 18" xfId="30296" xr:uid="{00000000-0005-0000-0000-000060760000}"/>
    <cellStyle name="s_Rump Earnings 19" xfId="30297" xr:uid="{00000000-0005-0000-0000-000061760000}"/>
    <cellStyle name="s_Rump Earnings 2" xfId="30298" xr:uid="{00000000-0005-0000-0000-000062760000}"/>
    <cellStyle name="s_Rump Earnings 2 2" xfId="30299" xr:uid="{00000000-0005-0000-0000-000063760000}"/>
    <cellStyle name="s_Rump Earnings 20" xfId="30300" xr:uid="{00000000-0005-0000-0000-000064760000}"/>
    <cellStyle name="s_Rump Earnings 21" xfId="30301" xr:uid="{00000000-0005-0000-0000-000065760000}"/>
    <cellStyle name="s_Rump Earnings 22" xfId="30302" xr:uid="{00000000-0005-0000-0000-000066760000}"/>
    <cellStyle name="s_Rump Earnings 23" xfId="30303" xr:uid="{00000000-0005-0000-0000-000067760000}"/>
    <cellStyle name="s_Rump Earnings 23 2" xfId="30304" xr:uid="{00000000-0005-0000-0000-000068760000}"/>
    <cellStyle name="s_Rump Earnings 3" xfId="30305" xr:uid="{00000000-0005-0000-0000-000069760000}"/>
    <cellStyle name="s_Rump Earnings 3 2" xfId="30306" xr:uid="{00000000-0005-0000-0000-00006A760000}"/>
    <cellStyle name="s_Rump Earnings 4" xfId="30307" xr:uid="{00000000-0005-0000-0000-00006B760000}"/>
    <cellStyle name="s_Rump Earnings 5" xfId="30308" xr:uid="{00000000-0005-0000-0000-00006C760000}"/>
    <cellStyle name="s_Rump Earnings 6" xfId="30309" xr:uid="{00000000-0005-0000-0000-00006D760000}"/>
    <cellStyle name="s_Rump Earnings 7" xfId="30310" xr:uid="{00000000-0005-0000-0000-00006E760000}"/>
    <cellStyle name="s_Rump Earnings 8" xfId="30311" xr:uid="{00000000-0005-0000-0000-00006F760000}"/>
    <cellStyle name="s_Rump Earnings 9" xfId="30312" xr:uid="{00000000-0005-0000-0000-000070760000}"/>
    <cellStyle name="s_Rump Earnings_{6} Clawback" xfId="30313" xr:uid="{00000000-0005-0000-0000-000071760000}"/>
    <cellStyle name="s_Rump Earnings_1" xfId="30314" xr:uid="{00000000-0005-0000-0000-000072760000}"/>
    <cellStyle name="s_Rump Earnings_1 10" xfId="30315" xr:uid="{00000000-0005-0000-0000-000073760000}"/>
    <cellStyle name="s_Rump Earnings_1 11" xfId="30316" xr:uid="{00000000-0005-0000-0000-000074760000}"/>
    <cellStyle name="s_Rump Earnings_1 12" xfId="30317" xr:uid="{00000000-0005-0000-0000-000075760000}"/>
    <cellStyle name="s_Rump Earnings_1 13" xfId="30318" xr:uid="{00000000-0005-0000-0000-000076760000}"/>
    <cellStyle name="s_Rump Earnings_1 14" xfId="30319" xr:uid="{00000000-0005-0000-0000-000077760000}"/>
    <cellStyle name="s_Rump Earnings_1 15" xfId="30320" xr:uid="{00000000-0005-0000-0000-000078760000}"/>
    <cellStyle name="s_Rump Earnings_1 16" xfId="30321" xr:uid="{00000000-0005-0000-0000-000079760000}"/>
    <cellStyle name="s_Rump Earnings_1 17" xfId="30322" xr:uid="{00000000-0005-0000-0000-00007A760000}"/>
    <cellStyle name="s_Rump Earnings_1 18" xfId="30323" xr:uid="{00000000-0005-0000-0000-00007B760000}"/>
    <cellStyle name="s_Rump Earnings_1 19" xfId="30324" xr:uid="{00000000-0005-0000-0000-00007C760000}"/>
    <cellStyle name="s_Rump Earnings_1 2" xfId="30325" xr:uid="{00000000-0005-0000-0000-00007D760000}"/>
    <cellStyle name="s_Rump Earnings_1 2 2" xfId="30326" xr:uid="{00000000-0005-0000-0000-00007E760000}"/>
    <cellStyle name="s_Rump Earnings_1 20" xfId="30327" xr:uid="{00000000-0005-0000-0000-00007F760000}"/>
    <cellStyle name="s_Rump Earnings_1 21" xfId="30328" xr:uid="{00000000-0005-0000-0000-000080760000}"/>
    <cellStyle name="s_Rump Earnings_1 22" xfId="30329" xr:uid="{00000000-0005-0000-0000-000081760000}"/>
    <cellStyle name="s_Rump Earnings_1 23" xfId="30330" xr:uid="{00000000-0005-0000-0000-000082760000}"/>
    <cellStyle name="s_Rump Earnings_1 23 2" xfId="30331" xr:uid="{00000000-0005-0000-0000-000083760000}"/>
    <cellStyle name="s_Rump Earnings_1 3" xfId="30332" xr:uid="{00000000-0005-0000-0000-000084760000}"/>
    <cellStyle name="s_Rump Earnings_1 3 2" xfId="30333" xr:uid="{00000000-0005-0000-0000-000085760000}"/>
    <cellStyle name="s_Rump Earnings_1 4" xfId="30334" xr:uid="{00000000-0005-0000-0000-000086760000}"/>
    <cellStyle name="s_Rump Earnings_1 5" xfId="30335" xr:uid="{00000000-0005-0000-0000-000087760000}"/>
    <cellStyle name="s_Rump Earnings_1 6" xfId="30336" xr:uid="{00000000-0005-0000-0000-000088760000}"/>
    <cellStyle name="s_Rump Earnings_1 7" xfId="30337" xr:uid="{00000000-0005-0000-0000-000089760000}"/>
    <cellStyle name="s_Rump Earnings_1 8" xfId="30338" xr:uid="{00000000-0005-0000-0000-00008A760000}"/>
    <cellStyle name="s_Rump Earnings_1 9" xfId="30339" xr:uid="{00000000-0005-0000-0000-00008B760000}"/>
    <cellStyle name="s_Rump Earnings_1_{6} Clawback" xfId="30340" xr:uid="{00000000-0005-0000-0000-00008C760000}"/>
    <cellStyle name="s_Rump Earnings_1_AIF IV Financial Highlights 12-31-08 v4" xfId="30341" xr:uid="{00000000-0005-0000-0000-00008D760000}"/>
    <cellStyle name="s_Rump Earnings_1_AIF IV Financial Highlights 12-31-08 v4_Apollo Investment Fund IV  Q3 2009 Capital Analysis CURRENT" xfId="30342" xr:uid="{00000000-0005-0000-0000-00008E760000}"/>
    <cellStyle name="s_Rump Earnings_1_AIF IV Financial Highlights 12-31-08 v4_Apollo Investment Fund IV  Q3 2009 Capital Analysis iPCS &amp; URI Distribution" xfId="30343" xr:uid="{00000000-0005-0000-0000-00008F760000}"/>
    <cellStyle name="s_Rump Earnings_1_AIF IV Financial Highlights 12-31-08 v4_iPCs#1-Remaining" xfId="30344" xr:uid="{00000000-0005-0000-0000-000090760000}"/>
    <cellStyle name="s_Rump Earnings_1_AIF VI - BondcoVI_Entities Invested Capital (CURRENT)" xfId="30345" xr:uid="{00000000-0005-0000-0000-000091760000}"/>
    <cellStyle name="s_Rump Earnings_1_AIF VI Broadleaf Watefall Summary as of 6-30-09 FINAL" xfId="30346" xr:uid="{00000000-0005-0000-0000-000092760000}"/>
    <cellStyle name="s_Rump Earnings_1_AIF VI Broadleaf Watefall Summary as of 9-30-09" xfId="30347" xr:uid="{00000000-0005-0000-0000-000093760000}"/>
    <cellStyle name="s_Rump Earnings_1_Andy Affrick - Schedulev2" xfId="30348" xr:uid="{00000000-0005-0000-0000-000094760000}"/>
    <cellStyle name="s_Rump Earnings_1_Apollo Advisors IV 12-31-08 GAAP TB Final" xfId="30349" xr:uid="{00000000-0005-0000-0000-000095760000}"/>
    <cellStyle name="s_Rump Earnings_1_Apollo Advisors IV 12-31-08 TB (Revised for Aggr PR)" xfId="30350" xr:uid="{00000000-0005-0000-0000-000096760000}"/>
    <cellStyle name="s_Rump Earnings_1_Apollo Advisors IV 6-30-09 GAAP TB" xfId="30351" xr:uid="{00000000-0005-0000-0000-000097760000}"/>
    <cellStyle name="s_Rump Earnings_1_Apollo Investment Fund IV  April Priority Return" xfId="30352" xr:uid="{00000000-0005-0000-0000-000098760000}"/>
    <cellStyle name="s_Rump Earnings_1_Apollo Investment Fund IV  Q1 2009 Capital Analysis 5-22-09 with GAAP" xfId="30353" xr:uid="{00000000-0005-0000-0000-000099760000}"/>
    <cellStyle name="s_Rump Earnings_1_Apollo Investment Fund IV  Q1 2009 Capital Analysis GAAP" xfId="30354" xr:uid="{00000000-0005-0000-0000-00009A760000}"/>
    <cellStyle name="s_Rump Earnings_1_Apollo Investment Fund IV  Q2 2009 Capital Analysis CURRENT" xfId="30355" xr:uid="{00000000-0005-0000-0000-00009B760000}"/>
    <cellStyle name="s_Rump Earnings_1_Apollo Investment Fund IV  Q3 2009 Capital Analysis CURRENT" xfId="30356" xr:uid="{00000000-0005-0000-0000-00009C760000}"/>
    <cellStyle name="s_Rump Earnings_1_Apollo Investment Fund IV  Q3 2009 Capital Analysis iPCS &amp; URI Distribution" xfId="30357" xr:uid="{00000000-0005-0000-0000-00009D760000}"/>
    <cellStyle name="s_Rump Earnings_1_Apollo Investment Fund IV Q1 2009 Capital Analysis PR CORRECTED 6-30-09" xfId="30358" xr:uid="{00000000-0005-0000-0000-00009E760000}"/>
    <cellStyle name="s_Rump Earnings_1_Broadleaf Watefall 12-31-09" xfId="30359" xr:uid="{00000000-0005-0000-0000-00009F760000}"/>
    <cellStyle name="s_Rump Earnings_1_Broadleaf Watefall 6-30-09" xfId="30360" xr:uid="{00000000-0005-0000-0000-0000A0760000}"/>
    <cellStyle name="s_Rump Earnings_1_Broadleaf Watefall 9-30-09" xfId="30361" xr:uid="{00000000-0005-0000-0000-0000A1760000}"/>
    <cellStyle name="s_Rump Earnings_1_Carry Calculation" xfId="30362" xr:uid="{00000000-0005-0000-0000-0000A2760000}"/>
    <cellStyle name="s_Rump Earnings_1_Fund IV" xfId="30363" xr:uid="{00000000-0005-0000-0000-0000A3760000}"/>
    <cellStyle name="s_Rump Earnings_1_Fund IV 9.30.08" xfId="30364" xr:uid="{00000000-0005-0000-0000-0000A4760000}"/>
    <cellStyle name="s_Rump Earnings_1_Fund IV_1" xfId="30365" xr:uid="{00000000-0005-0000-0000-0000A5760000}"/>
    <cellStyle name="s_Rump Earnings_1_Funds IV Clawback Adjustment Summary" xfId="30366" xr:uid="{00000000-0005-0000-0000-0000A6760000}"/>
    <cellStyle name="s_Rump Earnings_1_Funds IV Clawback Value Adjustment" xfId="30367" xr:uid="{00000000-0005-0000-0000-0000A7760000}"/>
    <cellStyle name="s_Rump Earnings_1_IC Balance" xfId="30368" xr:uid="{00000000-0005-0000-0000-0000A8760000}"/>
    <cellStyle name="s_Rump Earnings_1_Invested Capital Debt Worksheet" xfId="30369" xr:uid="{00000000-0005-0000-0000-0000A9760000}"/>
    <cellStyle name="s_Rump Earnings_1_Invested Capital Debt Worksheet_1" xfId="30370" xr:uid="{00000000-0005-0000-0000-0000AA760000}"/>
    <cellStyle name="s_Rump Earnings_1_iPCs#1-Remaining" xfId="30371" xr:uid="{00000000-0005-0000-0000-0000AB760000}"/>
    <cellStyle name="s_Rump Earnings_1_MMF Income" xfId="30372" xr:uid="{00000000-0005-0000-0000-0000AC760000}"/>
    <cellStyle name="s_Rump Earnings_1_Partners Capital Q1 2009" xfId="30373" xr:uid="{00000000-0005-0000-0000-0000AD760000}"/>
    <cellStyle name="s_Rump Earnings_1_Placement Fee Summary 05-14-09 - Current (2)" xfId="30374" xr:uid="{00000000-0005-0000-0000-0000AE760000}"/>
    <cellStyle name="s_Rump Earnings_1_PR Calc" xfId="30375" xr:uid="{00000000-0005-0000-0000-0000AF760000}"/>
    <cellStyle name="s_Rump Earnings_1_RCIV Q3 2009 Capital Analysis CURRENT" xfId="30376" xr:uid="{00000000-0005-0000-0000-0000B0760000}"/>
    <cellStyle name="s_Rump Earnings_1_Sheet1" xfId="30377" xr:uid="{00000000-0005-0000-0000-0000B1760000}"/>
    <cellStyle name="s_Rump Earnings_2" xfId="30378" xr:uid="{00000000-0005-0000-0000-0000B2760000}"/>
    <cellStyle name="s_Rump Earnings_2 10" xfId="30379" xr:uid="{00000000-0005-0000-0000-0000B3760000}"/>
    <cellStyle name="s_Rump Earnings_2 11" xfId="30380" xr:uid="{00000000-0005-0000-0000-0000B4760000}"/>
    <cellStyle name="s_Rump Earnings_2 12" xfId="30381" xr:uid="{00000000-0005-0000-0000-0000B5760000}"/>
    <cellStyle name="s_Rump Earnings_2 13" xfId="30382" xr:uid="{00000000-0005-0000-0000-0000B6760000}"/>
    <cellStyle name="s_Rump Earnings_2 14" xfId="30383" xr:uid="{00000000-0005-0000-0000-0000B7760000}"/>
    <cellStyle name="s_Rump Earnings_2 15" xfId="30384" xr:uid="{00000000-0005-0000-0000-0000B8760000}"/>
    <cellStyle name="s_Rump Earnings_2 16" xfId="30385" xr:uid="{00000000-0005-0000-0000-0000B9760000}"/>
    <cellStyle name="s_Rump Earnings_2 17" xfId="30386" xr:uid="{00000000-0005-0000-0000-0000BA760000}"/>
    <cellStyle name="s_Rump Earnings_2 18" xfId="30387" xr:uid="{00000000-0005-0000-0000-0000BB760000}"/>
    <cellStyle name="s_Rump Earnings_2 19" xfId="30388" xr:uid="{00000000-0005-0000-0000-0000BC760000}"/>
    <cellStyle name="s_Rump Earnings_2 2" xfId="30389" xr:uid="{00000000-0005-0000-0000-0000BD760000}"/>
    <cellStyle name="s_Rump Earnings_2 2 2" xfId="30390" xr:uid="{00000000-0005-0000-0000-0000BE760000}"/>
    <cellStyle name="s_Rump Earnings_2 20" xfId="30391" xr:uid="{00000000-0005-0000-0000-0000BF760000}"/>
    <cellStyle name="s_Rump Earnings_2 21" xfId="30392" xr:uid="{00000000-0005-0000-0000-0000C0760000}"/>
    <cellStyle name="s_Rump Earnings_2 22" xfId="30393" xr:uid="{00000000-0005-0000-0000-0000C1760000}"/>
    <cellStyle name="s_Rump Earnings_2 23" xfId="30394" xr:uid="{00000000-0005-0000-0000-0000C2760000}"/>
    <cellStyle name="s_Rump Earnings_2 23 2" xfId="30395" xr:uid="{00000000-0005-0000-0000-0000C3760000}"/>
    <cellStyle name="s_Rump Earnings_2 3" xfId="30396" xr:uid="{00000000-0005-0000-0000-0000C4760000}"/>
    <cellStyle name="s_Rump Earnings_2 3 2" xfId="30397" xr:uid="{00000000-0005-0000-0000-0000C5760000}"/>
    <cellStyle name="s_Rump Earnings_2 4" xfId="30398" xr:uid="{00000000-0005-0000-0000-0000C6760000}"/>
    <cellStyle name="s_Rump Earnings_2 5" xfId="30399" xr:uid="{00000000-0005-0000-0000-0000C7760000}"/>
    <cellStyle name="s_Rump Earnings_2 6" xfId="30400" xr:uid="{00000000-0005-0000-0000-0000C8760000}"/>
    <cellStyle name="s_Rump Earnings_2 7" xfId="30401" xr:uid="{00000000-0005-0000-0000-0000C9760000}"/>
    <cellStyle name="s_Rump Earnings_2 8" xfId="30402" xr:uid="{00000000-0005-0000-0000-0000CA760000}"/>
    <cellStyle name="s_Rump Earnings_2 9" xfId="30403" xr:uid="{00000000-0005-0000-0000-0000CB760000}"/>
    <cellStyle name="s_Rump Earnings_2_{6} Clawback" xfId="30404" xr:uid="{00000000-0005-0000-0000-0000CC760000}"/>
    <cellStyle name="s_Rump Earnings_2_AIF IV Financial Highlights 12-31-08 v4" xfId="30405" xr:uid="{00000000-0005-0000-0000-0000CD760000}"/>
    <cellStyle name="s_Rump Earnings_2_AIF IV Financial Highlights 12-31-08 v4_Apollo Investment Fund IV  Q3 2009 Capital Analysis CURRENT" xfId="30406" xr:uid="{00000000-0005-0000-0000-0000CE760000}"/>
    <cellStyle name="s_Rump Earnings_2_AIF IV Financial Highlights 12-31-08 v4_Apollo Investment Fund IV  Q3 2009 Capital Analysis iPCS &amp; URI Distribution" xfId="30407" xr:uid="{00000000-0005-0000-0000-0000CF760000}"/>
    <cellStyle name="s_Rump Earnings_2_AIF IV Financial Highlights 12-31-08 v4_iPCs#1-Remaining" xfId="30408" xr:uid="{00000000-0005-0000-0000-0000D0760000}"/>
    <cellStyle name="s_Rump Earnings_2_AIF VI - BondcoVI_Entities Invested Capital (CURRENT)" xfId="30409" xr:uid="{00000000-0005-0000-0000-0000D1760000}"/>
    <cellStyle name="s_Rump Earnings_2_AIF VI Broadleaf Watefall Summary as of 6-30-09 FINAL" xfId="30410" xr:uid="{00000000-0005-0000-0000-0000D2760000}"/>
    <cellStyle name="s_Rump Earnings_2_AIF VI Broadleaf Watefall Summary as of 9-30-09" xfId="30411" xr:uid="{00000000-0005-0000-0000-0000D3760000}"/>
    <cellStyle name="s_Rump Earnings_2_Andy Affrick - Schedulev2" xfId="30412" xr:uid="{00000000-0005-0000-0000-0000D4760000}"/>
    <cellStyle name="s_Rump Earnings_2_Apollo Advisors IV 12-31-08 GAAP TB Final" xfId="30413" xr:uid="{00000000-0005-0000-0000-0000D5760000}"/>
    <cellStyle name="s_Rump Earnings_2_Apollo Advisors IV 12-31-08 TB (Revised for Aggr PR)" xfId="30414" xr:uid="{00000000-0005-0000-0000-0000D6760000}"/>
    <cellStyle name="s_Rump Earnings_2_Apollo Advisors IV 6-30-09 GAAP TB" xfId="30415" xr:uid="{00000000-0005-0000-0000-0000D7760000}"/>
    <cellStyle name="s_Rump Earnings_2_Apollo Investment Fund IV  April Priority Return" xfId="30416" xr:uid="{00000000-0005-0000-0000-0000D8760000}"/>
    <cellStyle name="s_Rump Earnings_2_Apollo Investment Fund IV  Q1 2009 Capital Analysis 5-22-09 with GAAP" xfId="30417" xr:uid="{00000000-0005-0000-0000-0000D9760000}"/>
    <cellStyle name="s_Rump Earnings_2_Apollo Investment Fund IV  Q1 2009 Capital Analysis GAAP" xfId="30418" xr:uid="{00000000-0005-0000-0000-0000DA760000}"/>
    <cellStyle name="s_Rump Earnings_2_Apollo Investment Fund IV  Q2 2009 Capital Analysis CURRENT" xfId="30419" xr:uid="{00000000-0005-0000-0000-0000DB760000}"/>
    <cellStyle name="s_Rump Earnings_2_Apollo Investment Fund IV  Q3 2009 Capital Analysis CURRENT" xfId="30420" xr:uid="{00000000-0005-0000-0000-0000DC760000}"/>
    <cellStyle name="s_Rump Earnings_2_Apollo Investment Fund IV  Q3 2009 Capital Analysis iPCS &amp; URI Distribution" xfId="30421" xr:uid="{00000000-0005-0000-0000-0000DD760000}"/>
    <cellStyle name="s_Rump Earnings_2_Apollo Investment Fund IV Q1 2009 Capital Analysis PR CORRECTED 6-30-09" xfId="30422" xr:uid="{00000000-0005-0000-0000-0000DE760000}"/>
    <cellStyle name="s_Rump Earnings_2_Broadleaf Watefall 12-31-09" xfId="30423" xr:uid="{00000000-0005-0000-0000-0000DF760000}"/>
    <cellStyle name="s_Rump Earnings_2_Broadleaf Watefall 6-30-09" xfId="30424" xr:uid="{00000000-0005-0000-0000-0000E0760000}"/>
    <cellStyle name="s_Rump Earnings_2_Broadleaf Watefall 9-30-09" xfId="30425" xr:uid="{00000000-0005-0000-0000-0000E1760000}"/>
    <cellStyle name="s_Rump Earnings_2_Carry Calculation" xfId="30426" xr:uid="{00000000-0005-0000-0000-0000E2760000}"/>
    <cellStyle name="s_Rump Earnings_2_Fund IV" xfId="30427" xr:uid="{00000000-0005-0000-0000-0000E3760000}"/>
    <cellStyle name="s_Rump Earnings_2_Fund IV 9.30.08" xfId="30428" xr:uid="{00000000-0005-0000-0000-0000E4760000}"/>
    <cellStyle name="s_Rump Earnings_2_Fund IV_1" xfId="30429" xr:uid="{00000000-0005-0000-0000-0000E5760000}"/>
    <cellStyle name="s_Rump Earnings_2_Funds IV Clawback Adjustment Summary" xfId="30430" xr:uid="{00000000-0005-0000-0000-0000E6760000}"/>
    <cellStyle name="s_Rump Earnings_2_Funds IV Clawback Value Adjustment" xfId="30431" xr:uid="{00000000-0005-0000-0000-0000E7760000}"/>
    <cellStyle name="s_Rump Earnings_2_IC Balance" xfId="30432" xr:uid="{00000000-0005-0000-0000-0000E8760000}"/>
    <cellStyle name="s_Rump Earnings_2_Invested Capital Debt Worksheet" xfId="30433" xr:uid="{00000000-0005-0000-0000-0000E9760000}"/>
    <cellStyle name="s_Rump Earnings_2_Invested Capital Debt Worksheet_1" xfId="30434" xr:uid="{00000000-0005-0000-0000-0000EA760000}"/>
    <cellStyle name="s_Rump Earnings_2_iPCs#1-Remaining" xfId="30435" xr:uid="{00000000-0005-0000-0000-0000EB760000}"/>
    <cellStyle name="s_Rump Earnings_2_MMF Income" xfId="30436" xr:uid="{00000000-0005-0000-0000-0000EC760000}"/>
    <cellStyle name="s_Rump Earnings_2_Partners Capital Q1 2009" xfId="30437" xr:uid="{00000000-0005-0000-0000-0000ED760000}"/>
    <cellStyle name="s_Rump Earnings_2_Placement Fee Summary 05-14-09 - Current (2)" xfId="30438" xr:uid="{00000000-0005-0000-0000-0000EE760000}"/>
    <cellStyle name="s_Rump Earnings_2_PR Calc" xfId="30439" xr:uid="{00000000-0005-0000-0000-0000EF760000}"/>
    <cellStyle name="s_Rump Earnings_2_RCIV Q3 2009 Capital Analysis CURRENT" xfId="30440" xr:uid="{00000000-0005-0000-0000-0000F0760000}"/>
    <cellStyle name="s_Rump Earnings_2_Sheet1" xfId="30441" xr:uid="{00000000-0005-0000-0000-0000F1760000}"/>
    <cellStyle name="s_Rump Earnings_AIF IV Financial Highlights 12-31-08 v4" xfId="30442" xr:uid="{00000000-0005-0000-0000-0000F2760000}"/>
    <cellStyle name="s_Rump Earnings_AIF IV Financial Highlights 12-31-08 v4_Apollo Investment Fund IV  Q3 2009 Capital Analysis CURRENT" xfId="30443" xr:uid="{00000000-0005-0000-0000-0000F3760000}"/>
    <cellStyle name="s_Rump Earnings_AIF IV Financial Highlights 12-31-08 v4_Apollo Investment Fund IV  Q3 2009 Capital Analysis iPCS &amp; URI Distribution" xfId="30444" xr:uid="{00000000-0005-0000-0000-0000F4760000}"/>
    <cellStyle name="s_Rump Earnings_AIF IV Financial Highlights 12-31-08 v4_iPCs#1-Remaining" xfId="30445" xr:uid="{00000000-0005-0000-0000-0000F5760000}"/>
    <cellStyle name="s_Rump Earnings_AIF VI - BondcoVI_Entities Invested Capital (CURRENT)" xfId="30446" xr:uid="{00000000-0005-0000-0000-0000F6760000}"/>
    <cellStyle name="s_Rump Earnings_AIF VI Broadleaf Watefall Summary as of 6-30-09 FINAL" xfId="30447" xr:uid="{00000000-0005-0000-0000-0000F7760000}"/>
    <cellStyle name="s_Rump Earnings_AIF VI Broadleaf Watefall Summary as of 9-30-09" xfId="30448" xr:uid="{00000000-0005-0000-0000-0000F8760000}"/>
    <cellStyle name="s_Rump Earnings_Andy Affrick - Schedulev2" xfId="30449" xr:uid="{00000000-0005-0000-0000-0000F9760000}"/>
    <cellStyle name="s_Rump Earnings_Apollo Investment Fund IV  April Priority Return" xfId="30450" xr:uid="{00000000-0005-0000-0000-0000FA760000}"/>
    <cellStyle name="s_Rump Earnings_Apollo Investment Fund IV  Q1 2009 Capital Analysis 5-22-09 with GAAP" xfId="30451" xr:uid="{00000000-0005-0000-0000-0000FB760000}"/>
    <cellStyle name="s_Rump Earnings_Apollo Investment Fund IV  Q1 2009 Capital Analysis GAAP" xfId="30452" xr:uid="{00000000-0005-0000-0000-0000FC760000}"/>
    <cellStyle name="s_Rump Earnings_Apollo Investment Fund IV  Q2 2009 Capital Analysis CURRENT" xfId="30453" xr:uid="{00000000-0005-0000-0000-0000FD760000}"/>
    <cellStyle name="s_Rump Earnings_Apollo Investment Fund IV  Q3 2009 Capital Analysis CURRENT" xfId="30454" xr:uid="{00000000-0005-0000-0000-0000FE760000}"/>
    <cellStyle name="s_Rump Earnings_Apollo Investment Fund IV  Q3 2009 Capital Analysis iPCS &amp; URI Distribution" xfId="30455" xr:uid="{00000000-0005-0000-0000-0000FF760000}"/>
    <cellStyle name="s_Rump Earnings_Apollo Investment Fund IV Q1 2009 Capital Analysis PR CORRECTED 6-30-09" xfId="30456" xr:uid="{00000000-0005-0000-0000-000000770000}"/>
    <cellStyle name="s_Rump Earnings_Broadleaf Watefall 12-31-09" xfId="30457" xr:uid="{00000000-0005-0000-0000-000001770000}"/>
    <cellStyle name="s_Rump Earnings_Broadleaf Watefall 6-30-09" xfId="30458" xr:uid="{00000000-0005-0000-0000-000002770000}"/>
    <cellStyle name="s_Rump Earnings_Broadleaf Watefall 9-30-09" xfId="30459" xr:uid="{00000000-0005-0000-0000-000003770000}"/>
    <cellStyle name="s_Rump Earnings_Carry Calculation" xfId="30460" xr:uid="{00000000-0005-0000-0000-000004770000}"/>
    <cellStyle name="s_Rump Earnings_Fund IV" xfId="30461" xr:uid="{00000000-0005-0000-0000-000005770000}"/>
    <cellStyle name="s_Rump Earnings_Fund IV 9.30.08" xfId="30462" xr:uid="{00000000-0005-0000-0000-000006770000}"/>
    <cellStyle name="s_Rump Earnings_Fund IV_1" xfId="30463" xr:uid="{00000000-0005-0000-0000-000007770000}"/>
    <cellStyle name="s_Rump Earnings_Funds IV Clawback Adjustment Summary" xfId="30464" xr:uid="{00000000-0005-0000-0000-000008770000}"/>
    <cellStyle name="s_Rump Earnings_Funds IV Clawback Value Adjustment" xfId="30465" xr:uid="{00000000-0005-0000-0000-000009770000}"/>
    <cellStyle name="s_Rump Earnings_IC Balance" xfId="30466" xr:uid="{00000000-0005-0000-0000-00000A770000}"/>
    <cellStyle name="s_Rump Earnings_Invested Capital Debt Worksheet" xfId="30467" xr:uid="{00000000-0005-0000-0000-00000B770000}"/>
    <cellStyle name="s_Rump Earnings_iPCs#1-Remaining" xfId="30468" xr:uid="{00000000-0005-0000-0000-00000C770000}"/>
    <cellStyle name="s_Rump Earnings_MMF Income" xfId="30469" xr:uid="{00000000-0005-0000-0000-00000D770000}"/>
    <cellStyle name="s_Rump Earnings_Partners Capital Q1 2009" xfId="30470" xr:uid="{00000000-0005-0000-0000-00000E770000}"/>
    <cellStyle name="s_Rump Earnings_Placement Fee Summary 05-14-09 - Current (2)" xfId="30471" xr:uid="{00000000-0005-0000-0000-00000F770000}"/>
    <cellStyle name="s_Rump Earnings_PR Calc" xfId="30472" xr:uid="{00000000-0005-0000-0000-000010770000}"/>
    <cellStyle name="s_Rump Earnings_RCIV Q3 2009 Capital Analysis CURRENT" xfId="30473" xr:uid="{00000000-0005-0000-0000-000011770000}"/>
    <cellStyle name="s_Rump_BalSheets" xfId="30474" xr:uid="{00000000-0005-0000-0000-000012770000}"/>
    <cellStyle name="s_Rump_BalSheets 10" xfId="30475" xr:uid="{00000000-0005-0000-0000-000013770000}"/>
    <cellStyle name="s_Rump_BalSheets 11" xfId="30476" xr:uid="{00000000-0005-0000-0000-000014770000}"/>
    <cellStyle name="s_Rump_BalSheets 12" xfId="30477" xr:uid="{00000000-0005-0000-0000-000015770000}"/>
    <cellStyle name="s_Rump_BalSheets 13" xfId="30478" xr:uid="{00000000-0005-0000-0000-000016770000}"/>
    <cellStyle name="s_Rump_BalSheets 14" xfId="30479" xr:uid="{00000000-0005-0000-0000-000017770000}"/>
    <cellStyle name="s_Rump_BalSheets 15" xfId="30480" xr:uid="{00000000-0005-0000-0000-000018770000}"/>
    <cellStyle name="s_Rump_BalSheets 16" xfId="30481" xr:uid="{00000000-0005-0000-0000-000019770000}"/>
    <cellStyle name="s_Rump_BalSheets 17" xfId="30482" xr:uid="{00000000-0005-0000-0000-00001A770000}"/>
    <cellStyle name="s_Rump_BalSheets 18" xfId="30483" xr:uid="{00000000-0005-0000-0000-00001B770000}"/>
    <cellStyle name="s_Rump_BalSheets 19" xfId="30484" xr:uid="{00000000-0005-0000-0000-00001C770000}"/>
    <cellStyle name="s_Rump_BalSheets 2" xfId="30485" xr:uid="{00000000-0005-0000-0000-00001D770000}"/>
    <cellStyle name="s_Rump_BalSheets 2 2" xfId="30486" xr:uid="{00000000-0005-0000-0000-00001E770000}"/>
    <cellStyle name="s_Rump_BalSheets 20" xfId="30487" xr:uid="{00000000-0005-0000-0000-00001F770000}"/>
    <cellStyle name="s_Rump_BalSheets 21" xfId="30488" xr:uid="{00000000-0005-0000-0000-000020770000}"/>
    <cellStyle name="s_Rump_BalSheets 22" xfId="30489" xr:uid="{00000000-0005-0000-0000-000021770000}"/>
    <cellStyle name="s_Rump_BalSheets 23" xfId="30490" xr:uid="{00000000-0005-0000-0000-000022770000}"/>
    <cellStyle name="s_Rump_BalSheets 23 2" xfId="30491" xr:uid="{00000000-0005-0000-0000-000023770000}"/>
    <cellStyle name="s_Rump_BalSheets 3" xfId="30492" xr:uid="{00000000-0005-0000-0000-000024770000}"/>
    <cellStyle name="s_Rump_BalSheets 3 2" xfId="30493" xr:uid="{00000000-0005-0000-0000-000025770000}"/>
    <cellStyle name="s_Rump_BalSheets 4" xfId="30494" xr:uid="{00000000-0005-0000-0000-000026770000}"/>
    <cellStyle name="s_Rump_BalSheets 5" xfId="30495" xr:uid="{00000000-0005-0000-0000-000027770000}"/>
    <cellStyle name="s_Rump_BalSheets 6" xfId="30496" xr:uid="{00000000-0005-0000-0000-000028770000}"/>
    <cellStyle name="s_Rump_BalSheets 7" xfId="30497" xr:uid="{00000000-0005-0000-0000-000029770000}"/>
    <cellStyle name="s_Rump_BalSheets 8" xfId="30498" xr:uid="{00000000-0005-0000-0000-00002A770000}"/>
    <cellStyle name="s_Rump_BalSheets 9" xfId="30499" xr:uid="{00000000-0005-0000-0000-00002B770000}"/>
    <cellStyle name="s_Rump_BalSheets_{6} Clawback" xfId="30500" xr:uid="{00000000-0005-0000-0000-00002C770000}"/>
    <cellStyle name="s_Rump_BalSheets_1" xfId="30501" xr:uid="{00000000-0005-0000-0000-00002D770000}"/>
    <cellStyle name="s_Rump_BalSheets_1 10" xfId="30502" xr:uid="{00000000-0005-0000-0000-00002E770000}"/>
    <cellStyle name="s_Rump_BalSheets_1 11" xfId="30503" xr:uid="{00000000-0005-0000-0000-00002F770000}"/>
    <cellStyle name="s_Rump_BalSheets_1 12" xfId="30504" xr:uid="{00000000-0005-0000-0000-000030770000}"/>
    <cellStyle name="s_Rump_BalSheets_1 13" xfId="30505" xr:uid="{00000000-0005-0000-0000-000031770000}"/>
    <cellStyle name="s_Rump_BalSheets_1 14" xfId="30506" xr:uid="{00000000-0005-0000-0000-000032770000}"/>
    <cellStyle name="s_Rump_BalSheets_1 15" xfId="30507" xr:uid="{00000000-0005-0000-0000-000033770000}"/>
    <cellStyle name="s_Rump_BalSheets_1 16" xfId="30508" xr:uid="{00000000-0005-0000-0000-000034770000}"/>
    <cellStyle name="s_Rump_BalSheets_1 17" xfId="30509" xr:uid="{00000000-0005-0000-0000-000035770000}"/>
    <cellStyle name="s_Rump_BalSheets_1 18" xfId="30510" xr:uid="{00000000-0005-0000-0000-000036770000}"/>
    <cellStyle name="s_Rump_BalSheets_1 19" xfId="30511" xr:uid="{00000000-0005-0000-0000-000037770000}"/>
    <cellStyle name="s_Rump_BalSheets_1 2" xfId="30512" xr:uid="{00000000-0005-0000-0000-000038770000}"/>
    <cellStyle name="s_Rump_BalSheets_1 2 2" xfId="30513" xr:uid="{00000000-0005-0000-0000-000039770000}"/>
    <cellStyle name="s_Rump_BalSheets_1 20" xfId="30514" xr:uid="{00000000-0005-0000-0000-00003A770000}"/>
    <cellStyle name="s_Rump_BalSheets_1 21" xfId="30515" xr:uid="{00000000-0005-0000-0000-00003B770000}"/>
    <cellStyle name="s_Rump_BalSheets_1 22" xfId="30516" xr:uid="{00000000-0005-0000-0000-00003C770000}"/>
    <cellStyle name="s_Rump_BalSheets_1 23" xfId="30517" xr:uid="{00000000-0005-0000-0000-00003D770000}"/>
    <cellStyle name="s_Rump_BalSheets_1 23 2" xfId="30518" xr:uid="{00000000-0005-0000-0000-00003E770000}"/>
    <cellStyle name="s_Rump_BalSheets_1 3" xfId="30519" xr:uid="{00000000-0005-0000-0000-00003F770000}"/>
    <cellStyle name="s_Rump_BalSheets_1 3 2" xfId="30520" xr:uid="{00000000-0005-0000-0000-000040770000}"/>
    <cellStyle name="s_Rump_BalSheets_1 4" xfId="30521" xr:uid="{00000000-0005-0000-0000-000041770000}"/>
    <cellStyle name="s_Rump_BalSheets_1 5" xfId="30522" xr:uid="{00000000-0005-0000-0000-000042770000}"/>
    <cellStyle name="s_Rump_BalSheets_1 6" xfId="30523" xr:uid="{00000000-0005-0000-0000-000043770000}"/>
    <cellStyle name="s_Rump_BalSheets_1 7" xfId="30524" xr:uid="{00000000-0005-0000-0000-000044770000}"/>
    <cellStyle name="s_Rump_BalSheets_1 8" xfId="30525" xr:uid="{00000000-0005-0000-0000-000045770000}"/>
    <cellStyle name="s_Rump_BalSheets_1 9" xfId="30526" xr:uid="{00000000-0005-0000-0000-000046770000}"/>
    <cellStyle name="s_Rump_BalSheets_1_{6} Clawback" xfId="30527" xr:uid="{00000000-0005-0000-0000-000047770000}"/>
    <cellStyle name="s_Rump_BalSheets_1_AIF IV Financial Highlights 12-31-08 v4" xfId="30528" xr:uid="{00000000-0005-0000-0000-000048770000}"/>
    <cellStyle name="s_Rump_BalSheets_1_AIF IV Financial Highlights 12-31-08 v4_Apollo Investment Fund IV  Q3 2009 Capital Analysis CURRENT" xfId="30529" xr:uid="{00000000-0005-0000-0000-000049770000}"/>
    <cellStyle name="s_Rump_BalSheets_1_AIF IV Financial Highlights 12-31-08 v4_Apollo Investment Fund IV  Q3 2009 Capital Analysis iPCS &amp; URI Distribution" xfId="30530" xr:uid="{00000000-0005-0000-0000-00004A770000}"/>
    <cellStyle name="s_Rump_BalSheets_1_AIF IV Financial Highlights 12-31-08 v4_iPCs#1-Remaining" xfId="30531" xr:uid="{00000000-0005-0000-0000-00004B770000}"/>
    <cellStyle name="s_Rump_BalSheets_1_AIF VI - BondcoVI_Entities Invested Capital (CURRENT)" xfId="30532" xr:uid="{00000000-0005-0000-0000-00004C770000}"/>
    <cellStyle name="s_Rump_BalSheets_1_AIF VI Broadleaf Watefall Summary as of 6-30-09 FINAL" xfId="30533" xr:uid="{00000000-0005-0000-0000-00004D770000}"/>
    <cellStyle name="s_Rump_BalSheets_1_AIF VI Broadleaf Watefall Summary as of 9-30-09" xfId="30534" xr:uid="{00000000-0005-0000-0000-00004E770000}"/>
    <cellStyle name="s_Rump_BalSheets_1_Andy Affrick - Schedulev2" xfId="30535" xr:uid="{00000000-0005-0000-0000-00004F770000}"/>
    <cellStyle name="s_Rump_BalSheets_1_Apollo Advisors IV 12-31-08 GAAP TB Final" xfId="30536" xr:uid="{00000000-0005-0000-0000-000050770000}"/>
    <cellStyle name="s_Rump_BalSheets_1_Apollo Advisors IV 12-31-08 TB (Revised for Aggr PR)" xfId="30537" xr:uid="{00000000-0005-0000-0000-000051770000}"/>
    <cellStyle name="s_Rump_BalSheets_1_Apollo Advisors IV 6-30-09 GAAP TB" xfId="30538" xr:uid="{00000000-0005-0000-0000-000052770000}"/>
    <cellStyle name="s_Rump_BalSheets_1_Apollo Investment Fund IV  April Priority Return" xfId="30539" xr:uid="{00000000-0005-0000-0000-000053770000}"/>
    <cellStyle name="s_Rump_BalSheets_1_Apollo Investment Fund IV  Q1 2009 Capital Analysis 5-22-09 with GAAP" xfId="30540" xr:uid="{00000000-0005-0000-0000-000054770000}"/>
    <cellStyle name="s_Rump_BalSheets_1_Apollo Investment Fund IV  Q1 2009 Capital Analysis GAAP" xfId="30541" xr:uid="{00000000-0005-0000-0000-000055770000}"/>
    <cellStyle name="s_Rump_BalSheets_1_Apollo Investment Fund IV  Q2 2009 Capital Analysis CURRENT" xfId="30542" xr:uid="{00000000-0005-0000-0000-000056770000}"/>
    <cellStyle name="s_Rump_BalSheets_1_Apollo Investment Fund IV  Q3 2009 Capital Analysis CURRENT" xfId="30543" xr:uid="{00000000-0005-0000-0000-000057770000}"/>
    <cellStyle name="s_Rump_BalSheets_1_Apollo Investment Fund IV  Q3 2009 Capital Analysis iPCS &amp; URI Distribution" xfId="30544" xr:uid="{00000000-0005-0000-0000-000058770000}"/>
    <cellStyle name="s_Rump_BalSheets_1_Apollo Investment Fund IV Q1 2009 Capital Analysis PR CORRECTED 6-30-09" xfId="30545" xr:uid="{00000000-0005-0000-0000-000059770000}"/>
    <cellStyle name="s_Rump_BalSheets_1_Broadleaf Watefall 12-31-09" xfId="30546" xr:uid="{00000000-0005-0000-0000-00005A770000}"/>
    <cellStyle name="s_Rump_BalSheets_1_Broadleaf Watefall 6-30-09" xfId="30547" xr:uid="{00000000-0005-0000-0000-00005B770000}"/>
    <cellStyle name="s_Rump_BalSheets_1_Broadleaf Watefall 9-30-09" xfId="30548" xr:uid="{00000000-0005-0000-0000-00005C770000}"/>
    <cellStyle name="s_Rump_BalSheets_1_Carry Calculation" xfId="30549" xr:uid="{00000000-0005-0000-0000-00005D770000}"/>
    <cellStyle name="s_Rump_BalSheets_1_Fund IV" xfId="30550" xr:uid="{00000000-0005-0000-0000-00005E770000}"/>
    <cellStyle name="s_Rump_BalSheets_1_Fund IV 9.30.08" xfId="30551" xr:uid="{00000000-0005-0000-0000-00005F770000}"/>
    <cellStyle name="s_Rump_BalSheets_1_Fund IV_1" xfId="30552" xr:uid="{00000000-0005-0000-0000-000060770000}"/>
    <cellStyle name="s_Rump_BalSheets_1_Funds IV Clawback Adjustment Summary" xfId="30553" xr:uid="{00000000-0005-0000-0000-000061770000}"/>
    <cellStyle name="s_Rump_BalSheets_1_Funds IV Clawback Value Adjustment" xfId="30554" xr:uid="{00000000-0005-0000-0000-000062770000}"/>
    <cellStyle name="s_Rump_BalSheets_1_IC Balance" xfId="30555" xr:uid="{00000000-0005-0000-0000-000063770000}"/>
    <cellStyle name="s_Rump_BalSheets_1_Invested Capital Debt Worksheet" xfId="30556" xr:uid="{00000000-0005-0000-0000-000064770000}"/>
    <cellStyle name="s_Rump_BalSheets_1_Invested Capital Debt Worksheet_1" xfId="30557" xr:uid="{00000000-0005-0000-0000-000065770000}"/>
    <cellStyle name="s_Rump_BalSheets_1_iPCs#1-Remaining" xfId="30558" xr:uid="{00000000-0005-0000-0000-000066770000}"/>
    <cellStyle name="s_Rump_BalSheets_1_MMF Income" xfId="30559" xr:uid="{00000000-0005-0000-0000-000067770000}"/>
    <cellStyle name="s_Rump_BalSheets_1_Partners Capital Q1 2009" xfId="30560" xr:uid="{00000000-0005-0000-0000-000068770000}"/>
    <cellStyle name="s_Rump_BalSheets_1_Placement Fee Summary 05-14-09 - Current (2)" xfId="30561" xr:uid="{00000000-0005-0000-0000-000069770000}"/>
    <cellStyle name="s_Rump_BalSheets_1_PR Calc" xfId="30562" xr:uid="{00000000-0005-0000-0000-00006A770000}"/>
    <cellStyle name="s_Rump_BalSheets_1_RCIV Q3 2009 Capital Analysis CURRENT" xfId="30563" xr:uid="{00000000-0005-0000-0000-00006B770000}"/>
    <cellStyle name="s_Rump_BalSheets_1_Sheet1" xfId="30564" xr:uid="{00000000-0005-0000-0000-00006C770000}"/>
    <cellStyle name="s_Rump_BalSheets_2" xfId="30565" xr:uid="{00000000-0005-0000-0000-00006D770000}"/>
    <cellStyle name="s_Rump_BalSheets_2 10" xfId="30566" xr:uid="{00000000-0005-0000-0000-00006E770000}"/>
    <cellStyle name="s_Rump_BalSheets_2 11" xfId="30567" xr:uid="{00000000-0005-0000-0000-00006F770000}"/>
    <cellStyle name="s_Rump_BalSheets_2 12" xfId="30568" xr:uid="{00000000-0005-0000-0000-000070770000}"/>
    <cellStyle name="s_Rump_BalSheets_2 13" xfId="30569" xr:uid="{00000000-0005-0000-0000-000071770000}"/>
    <cellStyle name="s_Rump_BalSheets_2 14" xfId="30570" xr:uid="{00000000-0005-0000-0000-000072770000}"/>
    <cellStyle name="s_Rump_BalSheets_2 15" xfId="30571" xr:uid="{00000000-0005-0000-0000-000073770000}"/>
    <cellStyle name="s_Rump_BalSheets_2 16" xfId="30572" xr:uid="{00000000-0005-0000-0000-000074770000}"/>
    <cellStyle name="s_Rump_BalSheets_2 17" xfId="30573" xr:uid="{00000000-0005-0000-0000-000075770000}"/>
    <cellStyle name="s_Rump_BalSheets_2 18" xfId="30574" xr:uid="{00000000-0005-0000-0000-000076770000}"/>
    <cellStyle name="s_Rump_BalSheets_2 19" xfId="30575" xr:uid="{00000000-0005-0000-0000-000077770000}"/>
    <cellStyle name="s_Rump_BalSheets_2 2" xfId="30576" xr:uid="{00000000-0005-0000-0000-000078770000}"/>
    <cellStyle name="s_Rump_BalSheets_2 2 2" xfId="30577" xr:uid="{00000000-0005-0000-0000-000079770000}"/>
    <cellStyle name="s_Rump_BalSheets_2 20" xfId="30578" xr:uid="{00000000-0005-0000-0000-00007A770000}"/>
    <cellStyle name="s_Rump_BalSheets_2 21" xfId="30579" xr:uid="{00000000-0005-0000-0000-00007B770000}"/>
    <cellStyle name="s_Rump_BalSheets_2 22" xfId="30580" xr:uid="{00000000-0005-0000-0000-00007C770000}"/>
    <cellStyle name="s_Rump_BalSheets_2 23" xfId="30581" xr:uid="{00000000-0005-0000-0000-00007D770000}"/>
    <cellStyle name="s_Rump_BalSheets_2 23 2" xfId="30582" xr:uid="{00000000-0005-0000-0000-00007E770000}"/>
    <cellStyle name="s_Rump_BalSheets_2 3" xfId="30583" xr:uid="{00000000-0005-0000-0000-00007F770000}"/>
    <cellStyle name="s_Rump_BalSheets_2 3 2" xfId="30584" xr:uid="{00000000-0005-0000-0000-000080770000}"/>
    <cellStyle name="s_Rump_BalSheets_2 4" xfId="30585" xr:uid="{00000000-0005-0000-0000-000081770000}"/>
    <cellStyle name="s_Rump_BalSheets_2 5" xfId="30586" xr:uid="{00000000-0005-0000-0000-000082770000}"/>
    <cellStyle name="s_Rump_BalSheets_2 6" xfId="30587" xr:uid="{00000000-0005-0000-0000-000083770000}"/>
    <cellStyle name="s_Rump_BalSheets_2 7" xfId="30588" xr:uid="{00000000-0005-0000-0000-000084770000}"/>
    <cellStyle name="s_Rump_BalSheets_2 8" xfId="30589" xr:uid="{00000000-0005-0000-0000-000085770000}"/>
    <cellStyle name="s_Rump_BalSheets_2 9" xfId="30590" xr:uid="{00000000-0005-0000-0000-000086770000}"/>
    <cellStyle name="s_Rump_BalSheets_2_{6} Clawback" xfId="30591" xr:uid="{00000000-0005-0000-0000-000087770000}"/>
    <cellStyle name="s_Rump_BalSheets_2_AIF IV Financial Highlights 12-31-08 v4" xfId="30592" xr:uid="{00000000-0005-0000-0000-000088770000}"/>
    <cellStyle name="s_Rump_BalSheets_2_AIF IV Financial Highlights 12-31-08 v4_Apollo Investment Fund IV  Q3 2009 Capital Analysis CURRENT" xfId="30593" xr:uid="{00000000-0005-0000-0000-000089770000}"/>
    <cellStyle name="s_Rump_BalSheets_2_AIF IV Financial Highlights 12-31-08 v4_Apollo Investment Fund IV  Q3 2009 Capital Analysis iPCS &amp; URI Distribution" xfId="30594" xr:uid="{00000000-0005-0000-0000-00008A770000}"/>
    <cellStyle name="s_Rump_BalSheets_2_AIF IV Financial Highlights 12-31-08 v4_iPCs#1-Remaining" xfId="30595" xr:uid="{00000000-0005-0000-0000-00008B770000}"/>
    <cellStyle name="s_Rump_BalSheets_2_AIF VI - BondcoVI_Entities Invested Capital (CURRENT)" xfId="30596" xr:uid="{00000000-0005-0000-0000-00008C770000}"/>
    <cellStyle name="s_Rump_BalSheets_2_AIF VI Broadleaf Watefall Summary as of 6-30-09 FINAL" xfId="30597" xr:uid="{00000000-0005-0000-0000-00008D770000}"/>
    <cellStyle name="s_Rump_BalSheets_2_AIF VI Broadleaf Watefall Summary as of 9-30-09" xfId="30598" xr:uid="{00000000-0005-0000-0000-00008E770000}"/>
    <cellStyle name="s_Rump_BalSheets_2_Andy Affrick - Schedulev2" xfId="30599" xr:uid="{00000000-0005-0000-0000-00008F770000}"/>
    <cellStyle name="s_Rump_BalSheets_2_Apollo Advisors IV 12-31-08 GAAP TB Final" xfId="30600" xr:uid="{00000000-0005-0000-0000-000090770000}"/>
    <cellStyle name="s_Rump_BalSheets_2_Apollo Advisors IV 12-31-08 TB (Revised for Aggr PR)" xfId="30601" xr:uid="{00000000-0005-0000-0000-000091770000}"/>
    <cellStyle name="s_Rump_BalSheets_2_Apollo Advisors IV 6-30-09 GAAP TB" xfId="30602" xr:uid="{00000000-0005-0000-0000-000092770000}"/>
    <cellStyle name="s_Rump_BalSheets_2_Apollo Investment Fund IV  April Priority Return" xfId="30603" xr:uid="{00000000-0005-0000-0000-000093770000}"/>
    <cellStyle name="s_Rump_BalSheets_2_Apollo Investment Fund IV  Q1 2009 Capital Analysis 5-22-09 with GAAP" xfId="30604" xr:uid="{00000000-0005-0000-0000-000094770000}"/>
    <cellStyle name="s_Rump_BalSheets_2_Apollo Investment Fund IV  Q1 2009 Capital Analysis GAAP" xfId="30605" xr:uid="{00000000-0005-0000-0000-000095770000}"/>
    <cellStyle name="s_Rump_BalSheets_2_Apollo Investment Fund IV  Q2 2009 Capital Analysis CURRENT" xfId="30606" xr:uid="{00000000-0005-0000-0000-000096770000}"/>
    <cellStyle name="s_Rump_BalSheets_2_Apollo Investment Fund IV  Q3 2009 Capital Analysis CURRENT" xfId="30607" xr:uid="{00000000-0005-0000-0000-000097770000}"/>
    <cellStyle name="s_Rump_BalSheets_2_Apollo Investment Fund IV  Q3 2009 Capital Analysis iPCS &amp; URI Distribution" xfId="30608" xr:uid="{00000000-0005-0000-0000-000098770000}"/>
    <cellStyle name="s_Rump_BalSheets_2_Apollo Investment Fund IV Q1 2009 Capital Analysis PR CORRECTED 6-30-09" xfId="30609" xr:uid="{00000000-0005-0000-0000-000099770000}"/>
    <cellStyle name="s_Rump_BalSheets_2_Broadleaf Watefall 12-31-09" xfId="30610" xr:uid="{00000000-0005-0000-0000-00009A770000}"/>
    <cellStyle name="s_Rump_BalSheets_2_Broadleaf Watefall 6-30-09" xfId="30611" xr:uid="{00000000-0005-0000-0000-00009B770000}"/>
    <cellStyle name="s_Rump_BalSheets_2_Broadleaf Watefall 9-30-09" xfId="30612" xr:uid="{00000000-0005-0000-0000-00009C770000}"/>
    <cellStyle name="s_Rump_BalSheets_2_Carry Calculation" xfId="30613" xr:uid="{00000000-0005-0000-0000-00009D770000}"/>
    <cellStyle name="s_Rump_BalSheets_2_Fund IV" xfId="30614" xr:uid="{00000000-0005-0000-0000-00009E770000}"/>
    <cellStyle name="s_Rump_BalSheets_2_Fund IV 9.30.08" xfId="30615" xr:uid="{00000000-0005-0000-0000-00009F770000}"/>
    <cellStyle name="s_Rump_BalSheets_2_Fund IV_1" xfId="30616" xr:uid="{00000000-0005-0000-0000-0000A0770000}"/>
    <cellStyle name="s_Rump_BalSheets_2_Funds IV Clawback Adjustment Summary" xfId="30617" xr:uid="{00000000-0005-0000-0000-0000A1770000}"/>
    <cellStyle name="s_Rump_BalSheets_2_Funds IV Clawback Value Adjustment" xfId="30618" xr:uid="{00000000-0005-0000-0000-0000A2770000}"/>
    <cellStyle name="s_Rump_BalSheets_2_IC Balance" xfId="30619" xr:uid="{00000000-0005-0000-0000-0000A3770000}"/>
    <cellStyle name="s_Rump_BalSheets_2_Invested Capital Debt Worksheet" xfId="30620" xr:uid="{00000000-0005-0000-0000-0000A4770000}"/>
    <cellStyle name="s_Rump_BalSheets_2_Invested Capital Debt Worksheet_1" xfId="30621" xr:uid="{00000000-0005-0000-0000-0000A5770000}"/>
    <cellStyle name="s_Rump_BalSheets_2_iPCs#1-Remaining" xfId="30622" xr:uid="{00000000-0005-0000-0000-0000A6770000}"/>
    <cellStyle name="s_Rump_BalSheets_2_MMF Income" xfId="30623" xr:uid="{00000000-0005-0000-0000-0000A7770000}"/>
    <cellStyle name="s_Rump_BalSheets_2_Partners Capital Q1 2009" xfId="30624" xr:uid="{00000000-0005-0000-0000-0000A8770000}"/>
    <cellStyle name="s_Rump_BalSheets_2_Placement Fee Summary 05-14-09 - Current (2)" xfId="30625" xr:uid="{00000000-0005-0000-0000-0000A9770000}"/>
    <cellStyle name="s_Rump_BalSheets_2_PR Calc" xfId="30626" xr:uid="{00000000-0005-0000-0000-0000AA770000}"/>
    <cellStyle name="s_Rump_BalSheets_2_RCIV Q3 2009 Capital Analysis CURRENT" xfId="30627" xr:uid="{00000000-0005-0000-0000-0000AB770000}"/>
    <cellStyle name="s_Rump_BalSheets_2_Sheet1" xfId="30628" xr:uid="{00000000-0005-0000-0000-0000AC770000}"/>
    <cellStyle name="s_Rump_BalSheets_AIF IV Financial Highlights 12-31-08 v4" xfId="30629" xr:uid="{00000000-0005-0000-0000-0000AD770000}"/>
    <cellStyle name="s_Rump_BalSheets_AIF IV Financial Highlights 12-31-08 v4_Apollo Investment Fund IV  Q3 2009 Capital Analysis CURRENT" xfId="30630" xr:uid="{00000000-0005-0000-0000-0000AE770000}"/>
    <cellStyle name="s_Rump_BalSheets_AIF IV Financial Highlights 12-31-08 v4_Apollo Investment Fund IV  Q3 2009 Capital Analysis iPCS &amp; URI Distribution" xfId="30631" xr:uid="{00000000-0005-0000-0000-0000AF770000}"/>
    <cellStyle name="s_Rump_BalSheets_AIF IV Financial Highlights 12-31-08 v4_iPCs#1-Remaining" xfId="30632" xr:uid="{00000000-0005-0000-0000-0000B0770000}"/>
    <cellStyle name="s_Rump_BalSheets_AIF VI - BondcoVI_Entities Invested Capital (CURRENT)" xfId="30633" xr:uid="{00000000-0005-0000-0000-0000B1770000}"/>
    <cellStyle name="s_Rump_BalSheets_AIF VI Broadleaf Watefall Summary as of 6-30-09 FINAL" xfId="30634" xr:uid="{00000000-0005-0000-0000-0000B2770000}"/>
    <cellStyle name="s_Rump_BalSheets_AIF VI Broadleaf Watefall Summary as of 9-30-09" xfId="30635" xr:uid="{00000000-0005-0000-0000-0000B3770000}"/>
    <cellStyle name="s_Rump_BalSheets_Andy Affrick - Schedulev2" xfId="30636" xr:uid="{00000000-0005-0000-0000-0000B4770000}"/>
    <cellStyle name="s_Rump_BalSheets_Apollo Investment Fund IV  April Priority Return" xfId="30637" xr:uid="{00000000-0005-0000-0000-0000B5770000}"/>
    <cellStyle name="s_Rump_BalSheets_Apollo Investment Fund IV  Q1 2009 Capital Analysis 5-22-09 with GAAP" xfId="30638" xr:uid="{00000000-0005-0000-0000-0000B6770000}"/>
    <cellStyle name="s_Rump_BalSheets_Apollo Investment Fund IV  Q1 2009 Capital Analysis GAAP" xfId="30639" xr:uid="{00000000-0005-0000-0000-0000B7770000}"/>
    <cellStyle name="s_Rump_BalSheets_Apollo Investment Fund IV  Q2 2009 Capital Analysis CURRENT" xfId="30640" xr:uid="{00000000-0005-0000-0000-0000B8770000}"/>
    <cellStyle name="s_Rump_BalSheets_Apollo Investment Fund IV  Q3 2009 Capital Analysis CURRENT" xfId="30641" xr:uid="{00000000-0005-0000-0000-0000B9770000}"/>
    <cellStyle name="s_Rump_BalSheets_Apollo Investment Fund IV  Q3 2009 Capital Analysis iPCS &amp; URI Distribution" xfId="30642" xr:uid="{00000000-0005-0000-0000-0000BA770000}"/>
    <cellStyle name="s_Rump_BalSheets_Apollo Investment Fund IV Q1 2009 Capital Analysis PR CORRECTED 6-30-09" xfId="30643" xr:uid="{00000000-0005-0000-0000-0000BB770000}"/>
    <cellStyle name="s_Rump_BalSheets_Broadleaf Watefall 12-31-09" xfId="30644" xr:uid="{00000000-0005-0000-0000-0000BC770000}"/>
    <cellStyle name="s_Rump_BalSheets_Broadleaf Watefall 6-30-09" xfId="30645" xr:uid="{00000000-0005-0000-0000-0000BD770000}"/>
    <cellStyle name="s_Rump_BalSheets_Broadleaf Watefall 9-30-09" xfId="30646" xr:uid="{00000000-0005-0000-0000-0000BE770000}"/>
    <cellStyle name="s_Rump_BalSheets_Carry Calculation" xfId="30647" xr:uid="{00000000-0005-0000-0000-0000BF770000}"/>
    <cellStyle name="s_Rump_BalSheets_Fund IV" xfId="30648" xr:uid="{00000000-0005-0000-0000-0000C0770000}"/>
    <cellStyle name="s_Rump_BalSheets_Fund IV 9.30.08" xfId="30649" xr:uid="{00000000-0005-0000-0000-0000C1770000}"/>
    <cellStyle name="s_Rump_BalSheets_Fund IV_1" xfId="30650" xr:uid="{00000000-0005-0000-0000-0000C2770000}"/>
    <cellStyle name="s_Rump_BalSheets_Funds IV Clawback Adjustment Summary" xfId="30651" xr:uid="{00000000-0005-0000-0000-0000C3770000}"/>
    <cellStyle name="s_Rump_BalSheets_Funds IV Clawback Value Adjustment" xfId="30652" xr:uid="{00000000-0005-0000-0000-0000C4770000}"/>
    <cellStyle name="s_Rump_BalSheets_IC Balance" xfId="30653" xr:uid="{00000000-0005-0000-0000-0000C5770000}"/>
    <cellStyle name="s_Rump_BalSheets_Invested Capital Debt Worksheet" xfId="30654" xr:uid="{00000000-0005-0000-0000-0000C6770000}"/>
    <cellStyle name="s_Rump_BalSheets_iPCs#1-Remaining" xfId="30655" xr:uid="{00000000-0005-0000-0000-0000C7770000}"/>
    <cellStyle name="s_Rump_BalSheets_MMF Income" xfId="30656" xr:uid="{00000000-0005-0000-0000-0000C8770000}"/>
    <cellStyle name="s_Rump_BalSheets_Partners Capital Q1 2009" xfId="30657" xr:uid="{00000000-0005-0000-0000-0000C9770000}"/>
    <cellStyle name="s_Rump_BalSheets_Placement Fee Summary 05-14-09 - Current (2)" xfId="30658" xr:uid="{00000000-0005-0000-0000-0000CA770000}"/>
    <cellStyle name="s_Rump_BalSheets_PR Calc" xfId="30659" xr:uid="{00000000-0005-0000-0000-0000CB770000}"/>
    <cellStyle name="s_Rump_BalSheets_RCIV Q3 2009 Capital Analysis CURRENT" xfId="30660" xr:uid="{00000000-0005-0000-0000-0000CC770000}"/>
    <cellStyle name="s_Rump_Schedules" xfId="30661" xr:uid="{00000000-0005-0000-0000-0000CD770000}"/>
    <cellStyle name="s_Rump_Schedules 10" xfId="30662" xr:uid="{00000000-0005-0000-0000-0000CE770000}"/>
    <cellStyle name="s_Rump_Schedules 11" xfId="30663" xr:uid="{00000000-0005-0000-0000-0000CF770000}"/>
    <cellStyle name="s_Rump_Schedules 12" xfId="30664" xr:uid="{00000000-0005-0000-0000-0000D0770000}"/>
    <cellStyle name="s_Rump_Schedules 13" xfId="30665" xr:uid="{00000000-0005-0000-0000-0000D1770000}"/>
    <cellStyle name="s_Rump_Schedules 14" xfId="30666" xr:uid="{00000000-0005-0000-0000-0000D2770000}"/>
    <cellStyle name="s_Rump_Schedules 15" xfId="30667" xr:uid="{00000000-0005-0000-0000-0000D3770000}"/>
    <cellStyle name="s_Rump_Schedules 16" xfId="30668" xr:uid="{00000000-0005-0000-0000-0000D4770000}"/>
    <cellStyle name="s_Rump_Schedules 17" xfId="30669" xr:uid="{00000000-0005-0000-0000-0000D5770000}"/>
    <cellStyle name="s_Rump_Schedules 18" xfId="30670" xr:uid="{00000000-0005-0000-0000-0000D6770000}"/>
    <cellStyle name="s_Rump_Schedules 19" xfId="30671" xr:uid="{00000000-0005-0000-0000-0000D7770000}"/>
    <cellStyle name="s_Rump_Schedules 2" xfId="30672" xr:uid="{00000000-0005-0000-0000-0000D8770000}"/>
    <cellStyle name="s_Rump_Schedules 2 2" xfId="30673" xr:uid="{00000000-0005-0000-0000-0000D9770000}"/>
    <cellStyle name="s_Rump_Schedules 20" xfId="30674" xr:uid="{00000000-0005-0000-0000-0000DA770000}"/>
    <cellStyle name="s_Rump_Schedules 21" xfId="30675" xr:uid="{00000000-0005-0000-0000-0000DB770000}"/>
    <cellStyle name="s_Rump_Schedules 22" xfId="30676" xr:uid="{00000000-0005-0000-0000-0000DC770000}"/>
    <cellStyle name="s_Rump_Schedules 23" xfId="30677" xr:uid="{00000000-0005-0000-0000-0000DD770000}"/>
    <cellStyle name="s_Rump_Schedules 23 2" xfId="30678" xr:uid="{00000000-0005-0000-0000-0000DE770000}"/>
    <cellStyle name="s_Rump_Schedules 3" xfId="30679" xr:uid="{00000000-0005-0000-0000-0000DF770000}"/>
    <cellStyle name="s_Rump_Schedules 3 2" xfId="30680" xr:uid="{00000000-0005-0000-0000-0000E0770000}"/>
    <cellStyle name="s_Rump_Schedules 4" xfId="30681" xr:uid="{00000000-0005-0000-0000-0000E1770000}"/>
    <cellStyle name="s_Rump_Schedules 5" xfId="30682" xr:uid="{00000000-0005-0000-0000-0000E2770000}"/>
    <cellStyle name="s_Rump_Schedules 6" xfId="30683" xr:uid="{00000000-0005-0000-0000-0000E3770000}"/>
    <cellStyle name="s_Rump_Schedules 7" xfId="30684" xr:uid="{00000000-0005-0000-0000-0000E4770000}"/>
    <cellStyle name="s_Rump_Schedules 8" xfId="30685" xr:uid="{00000000-0005-0000-0000-0000E5770000}"/>
    <cellStyle name="s_Rump_Schedules 9" xfId="30686" xr:uid="{00000000-0005-0000-0000-0000E6770000}"/>
    <cellStyle name="s_Rump_Schedules_{6} Clawback" xfId="30687" xr:uid="{00000000-0005-0000-0000-0000E7770000}"/>
    <cellStyle name="s_Rump_Schedules_1" xfId="30688" xr:uid="{00000000-0005-0000-0000-0000E8770000}"/>
    <cellStyle name="s_Rump_Schedules_1 10" xfId="30689" xr:uid="{00000000-0005-0000-0000-0000E9770000}"/>
    <cellStyle name="s_Rump_Schedules_1 11" xfId="30690" xr:uid="{00000000-0005-0000-0000-0000EA770000}"/>
    <cellStyle name="s_Rump_Schedules_1 12" xfId="30691" xr:uid="{00000000-0005-0000-0000-0000EB770000}"/>
    <cellStyle name="s_Rump_Schedules_1 13" xfId="30692" xr:uid="{00000000-0005-0000-0000-0000EC770000}"/>
    <cellStyle name="s_Rump_Schedules_1 14" xfId="30693" xr:uid="{00000000-0005-0000-0000-0000ED770000}"/>
    <cellStyle name="s_Rump_Schedules_1 15" xfId="30694" xr:uid="{00000000-0005-0000-0000-0000EE770000}"/>
    <cellStyle name="s_Rump_Schedules_1 16" xfId="30695" xr:uid="{00000000-0005-0000-0000-0000EF770000}"/>
    <cellStyle name="s_Rump_Schedules_1 17" xfId="30696" xr:uid="{00000000-0005-0000-0000-0000F0770000}"/>
    <cellStyle name="s_Rump_Schedules_1 18" xfId="30697" xr:uid="{00000000-0005-0000-0000-0000F1770000}"/>
    <cellStyle name="s_Rump_Schedules_1 19" xfId="30698" xr:uid="{00000000-0005-0000-0000-0000F2770000}"/>
    <cellStyle name="s_Rump_Schedules_1 2" xfId="30699" xr:uid="{00000000-0005-0000-0000-0000F3770000}"/>
    <cellStyle name="s_Rump_Schedules_1 2 2" xfId="30700" xr:uid="{00000000-0005-0000-0000-0000F4770000}"/>
    <cellStyle name="s_Rump_Schedules_1 20" xfId="30701" xr:uid="{00000000-0005-0000-0000-0000F5770000}"/>
    <cellStyle name="s_Rump_Schedules_1 21" xfId="30702" xr:uid="{00000000-0005-0000-0000-0000F6770000}"/>
    <cellStyle name="s_Rump_Schedules_1 22" xfId="30703" xr:uid="{00000000-0005-0000-0000-0000F7770000}"/>
    <cellStyle name="s_Rump_Schedules_1 23" xfId="30704" xr:uid="{00000000-0005-0000-0000-0000F8770000}"/>
    <cellStyle name="s_Rump_Schedules_1 23 2" xfId="30705" xr:uid="{00000000-0005-0000-0000-0000F9770000}"/>
    <cellStyle name="s_Rump_Schedules_1 3" xfId="30706" xr:uid="{00000000-0005-0000-0000-0000FA770000}"/>
    <cellStyle name="s_Rump_Schedules_1 3 2" xfId="30707" xr:uid="{00000000-0005-0000-0000-0000FB770000}"/>
    <cellStyle name="s_Rump_Schedules_1 4" xfId="30708" xr:uid="{00000000-0005-0000-0000-0000FC770000}"/>
    <cellStyle name="s_Rump_Schedules_1 5" xfId="30709" xr:uid="{00000000-0005-0000-0000-0000FD770000}"/>
    <cellStyle name="s_Rump_Schedules_1 6" xfId="30710" xr:uid="{00000000-0005-0000-0000-0000FE770000}"/>
    <cellStyle name="s_Rump_Schedules_1 7" xfId="30711" xr:uid="{00000000-0005-0000-0000-0000FF770000}"/>
    <cellStyle name="s_Rump_Schedules_1 8" xfId="30712" xr:uid="{00000000-0005-0000-0000-000000780000}"/>
    <cellStyle name="s_Rump_Schedules_1 9" xfId="30713" xr:uid="{00000000-0005-0000-0000-000001780000}"/>
    <cellStyle name="s_Rump_Schedules_1_{6} Clawback" xfId="30714" xr:uid="{00000000-0005-0000-0000-000002780000}"/>
    <cellStyle name="s_Rump_Schedules_1_AIF IV Financial Highlights 12-31-08 v4" xfId="30715" xr:uid="{00000000-0005-0000-0000-000003780000}"/>
    <cellStyle name="s_Rump_Schedules_1_AIF IV Financial Highlights 12-31-08 v4_Apollo Investment Fund IV  Q3 2009 Capital Analysis CURRENT" xfId="30716" xr:uid="{00000000-0005-0000-0000-000004780000}"/>
    <cellStyle name="s_Rump_Schedules_1_AIF IV Financial Highlights 12-31-08 v4_Apollo Investment Fund IV  Q3 2009 Capital Analysis iPCS &amp; URI Distribution" xfId="30717" xr:uid="{00000000-0005-0000-0000-000005780000}"/>
    <cellStyle name="s_Rump_Schedules_1_AIF IV Financial Highlights 12-31-08 v4_iPCs#1-Remaining" xfId="30718" xr:uid="{00000000-0005-0000-0000-000006780000}"/>
    <cellStyle name="s_Rump_Schedules_1_AIF VI - BondcoVI_Entities Invested Capital (CURRENT)" xfId="30719" xr:uid="{00000000-0005-0000-0000-000007780000}"/>
    <cellStyle name="s_Rump_Schedules_1_AIF VI Broadleaf Watefall Summary as of 6-30-09 FINAL" xfId="30720" xr:uid="{00000000-0005-0000-0000-000008780000}"/>
    <cellStyle name="s_Rump_Schedules_1_AIF VI Broadleaf Watefall Summary as of 9-30-09" xfId="30721" xr:uid="{00000000-0005-0000-0000-000009780000}"/>
    <cellStyle name="s_Rump_Schedules_1_Andy Affrick - Schedulev2" xfId="30722" xr:uid="{00000000-0005-0000-0000-00000A780000}"/>
    <cellStyle name="s_Rump_Schedules_1_Apollo Advisors IV 12-31-08 GAAP TB Final" xfId="30723" xr:uid="{00000000-0005-0000-0000-00000B780000}"/>
    <cellStyle name="s_Rump_Schedules_1_Apollo Advisors IV 12-31-08 TB (Revised for Aggr PR)" xfId="30724" xr:uid="{00000000-0005-0000-0000-00000C780000}"/>
    <cellStyle name="s_Rump_Schedules_1_Apollo Advisors IV 6-30-09 GAAP TB" xfId="30725" xr:uid="{00000000-0005-0000-0000-00000D780000}"/>
    <cellStyle name="s_Rump_Schedules_1_Apollo Investment Fund IV  April Priority Return" xfId="30726" xr:uid="{00000000-0005-0000-0000-00000E780000}"/>
    <cellStyle name="s_Rump_Schedules_1_Apollo Investment Fund IV  Q1 2009 Capital Analysis 5-22-09 with GAAP" xfId="30727" xr:uid="{00000000-0005-0000-0000-00000F780000}"/>
    <cellStyle name="s_Rump_Schedules_1_Apollo Investment Fund IV  Q1 2009 Capital Analysis GAAP" xfId="30728" xr:uid="{00000000-0005-0000-0000-000010780000}"/>
    <cellStyle name="s_Rump_Schedules_1_Apollo Investment Fund IV  Q2 2009 Capital Analysis CURRENT" xfId="30729" xr:uid="{00000000-0005-0000-0000-000011780000}"/>
    <cellStyle name="s_Rump_Schedules_1_Apollo Investment Fund IV  Q3 2009 Capital Analysis CURRENT" xfId="30730" xr:uid="{00000000-0005-0000-0000-000012780000}"/>
    <cellStyle name="s_Rump_Schedules_1_Apollo Investment Fund IV  Q3 2009 Capital Analysis iPCS &amp; URI Distribution" xfId="30731" xr:uid="{00000000-0005-0000-0000-000013780000}"/>
    <cellStyle name="s_Rump_Schedules_1_Apollo Investment Fund IV Q1 2009 Capital Analysis PR CORRECTED 6-30-09" xfId="30732" xr:uid="{00000000-0005-0000-0000-000014780000}"/>
    <cellStyle name="s_Rump_Schedules_1_Broadleaf Watefall 12-31-09" xfId="30733" xr:uid="{00000000-0005-0000-0000-000015780000}"/>
    <cellStyle name="s_Rump_Schedules_1_Broadleaf Watefall 6-30-09" xfId="30734" xr:uid="{00000000-0005-0000-0000-000016780000}"/>
    <cellStyle name="s_Rump_Schedules_1_Broadleaf Watefall 9-30-09" xfId="30735" xr:uid="{00000000-0005-0000-0000-000017780000}"/>
    <cellStyle name="s_Rump_Schedules_1_Carry Calculation" xfId="30736" xr:uid="{00000000-0005-0000-0000-000018780000}"/>
    <cellStyle name="s_Rump_Schedules_1_Fund IV" xfId="30737" xr:uid="{00000000-0005-0000-0000-000019780000}"/>
    <cellStyle name="s_Rump_Schedules_1_Fund IV 9.30.08" xfId="30738" xr:uid="{00000000-0005-0000-0000-00001A780000}"/>
    <cellStyle name="s_Rump_Schedules_1_Fund IV_1" xfId="30739" xr:uid="{00000000-0005-0000-0000-00001B780000}"/>
    <cellStyle name="s_Rump_Schedules_1_Funds IV Clawback Adjustment Summary" xfId="30740" xr:uid="{00000000-0005-0000-0000-00001C780000}"/>
    <cellStyle name="s_Rump_Schedules_1_Funds IV Clawback Value Adjustment" xfId="30741" xr:uid="{00000000-0005-0000-0000-00001D780000}"/>
    <cellStyle name="s_Rump_Schedules_1_IC Balance" xfId="30742" xr:uid="{00000000-0005-0000-0000-00001E780000}"/>
    <cellStyle name="s_Rump_Schedules_1_Invested Capital Debt Worksheet" xfId="30743" xr:uid="{00000000-0005-0000-0000-00001F780000}"/>
    <cellStyle name="s_Rump_Schedules_1_Invested Capital Debt Worksheet_1" xfId="30744" xr:uid="{00000000-0005-0000-0000-000020780000}"/>
    <cellStyle name="s_Rump_Schedules_1_iPCs#1-Remaining" xfId="30745" xr:uid="{00000000-0005-0000-0000-000021780000}"/>
    <cellStyle name="s_Rump_Schedules_1_MMF Income" xfId="30746" xr:uid="{00000000-0005-0000-0000-000022780000}"/>
    <cellStyle name="s_Rump_Schedules_1_Partners Capital Q1 2009" xfId="30747" xr:uid="{00000000-0005-0000-0000-000023780000}"/>
    <cellStyle name="s_Rump_Schedules_1_Placement Fee Summary 05-14-09 - Current (2)" xfId="30748" xr:uid="{00000000-0005-0000-0000-000024780000}"/>
    <cellStyle name="s_Rump_Schedules_1_PR Calc" xfId="30749" xr:uid="{00000000-0005-0000-0000-000025780000}"/>
    <cellStyle name="s_Rump_Schedules_1_RCIV Q3 2009 Capital Analysis CURRENT" xfId="30750" xr:uid="{00000000-0005-0000-0000-000026780000}"/>
    <cellStyle name="s_Rump_Schedules_1_Sheet1" xfId="30751" xr:uid="{00000000-0005-0000-0000-000027780000}"/>
    <cellStyle name="s_Rump_Schedules_2" xfId="30752" xr:uid="{00000000-0005-0000-0000-000028780000}"/>
    <cellStyle name="s_Rump_Schedules_2 10" xfId="30753" xr:uid="{00000000-0005-0000-0000-000029780000}"/>
    <cellStyle name="s_Rump_Schedules_2 11" xfId="30754" xr:uid="{00000000-0005-0000-0000-00002A780000}"/>
    <cellStyle name="s_Rump_Schedules_2 12" xfId="30755" xr:uid="{00000000-0005-0000-0000-00002B780000}"/>
    <cellStyle name="s_Rump_Schedules_2 13" xfId="30756" xr:uid="{00000000-0005-0000-0000-00002C780000}"/>
    <cellStyle name="s_Rump_Schedules_2 14" xfId="30757" xr:uid="{00000000-0005-0000-0000-00002D780000}"/>
    <cellStyle name="s_Rump_Schedules_2 15" xfId="30758" xr:uid="{00000000-0005-0000-0000-00002E780000}"/>
    <cellStyle name="s_Rump_Schedules_2 16" xfId="30759" xr:uid="{00000000-0005-0000-0000-00002F780000}"/>
    <cellStyle name="s_Rump_Schedules_2 17" xfId="30760" xr:uid="{00000000-0005-0000-0000-000030780000}"/>
    <cellStyle name="s_Rump_Schedules_2 18" xfId="30761" xr:uid="{00000000-0005-0000-0000-000031780000}"/>
    <cellStyle name="s_Rump_Schedules_2 19" xfId="30762" xr:uid="{00000000-0005-0000-0000-000032780000}"/>
    <cellStyle name="s_Rump_Schedules_2 2" xfId="30763" xr:uid="{00000000-0005-0000-0000-000033780000}"/>
    <cellStyle name="s_Rump_Schedules_2 2 2" xfId="30764" xr:uid="{00000000-0005-0000-0000-000034780000}"/>
    <cellStyle name="s_Rump_Schedules_2 20" xfId="30765" xr:uid="{00000000-0005-0000-0000-000035780000}"/>
    <cellStyle name="s_Rump_Schedules_2 21" xfId="30766" xr:uid="{00000000-0005-0000-0000-000036780000}"/>
    <cellStyle name="s_Rump_Schedules_2 22" xfId="30767" xr:uid="{00000000-0005-0000-0000-000037780000}"/>
    <cellStyle name="s_Rump_Schedules_2 23" xfId="30768" xr:uid="{00000000-0005-0000-0000-000038780000}"/>
    <cellStyle name="s_Rump_Schedules_2 23 2" xfId="30769" xr:uid="{00000000-0005-0000-0000-000039780000}"/>
    <cellStyle name="s_Rump_Schedules_2 3" xfId="30770" xr:uid="{00000000-0005-0000-0000-00003A780000}"/>
    <cellStyle name="s_Rump_Schedules_2 3 2" xfId="30771" xr:uid="{00000000-0005-0000-0000-00003B780000}"/>
    <cellStyle name="s_Rump_Schedules_2 4" xfId="30772" xr:uid="{00000000-0005-0000-0000-00003C780000}"/>
    <cellStyle name="s_Rump_Schedules_2 5" xfId="30773" xr:uid="{00000000-0005-0000-0000-00003D780000}"/>
    <cellStyle name="s_Rump_Schedules_2 6" xfId="30774" xr:uid="{00000000-0005-0000-0000-00003E780000}"/>
    <cellStyle name="s_Rump_Schedules_2 7" xfId="30775" xr:uid="{00000000-0005-0000-0000-00003F780000}"/>
    <cellStyle name="s_Rump_Schedules_2 8" xfId="30776" xr:uid="{00000000-0005-0000-0000-000040780000}"/>
    <cellStyle name="s_Rump_Schedules_2 9" xfId="30777" xr:uid="{00000000-0005-0000-0000-000041780000}"/>
    <cellStyle name="s_Rump_Schedules_2_{6} Clawback" xfId="30778" xr:uid="{00000000-0005-0000-0000-000042780000}"/>
    <cellStyle name="s_Rump_Schedules_2_AIF IV Financial Highlights 12-31-08 v4" xfId="30779" xr:uid="{00000000-0005-0000-0000-000043780000}"/>
    <cellStyle name="s_Rump_Schedules_2_AIF IV Financial Highlights 12-31-08 v4_Apollo Investment Fund IV  Q3 2009 Capital Analysis CURRENT" xfId="30780" xr:uid="{00000000-0005-0000-0000-000044780000}"/>
    <cellStyle name="s_Rump_Schedules_2_AIF IV Financial Highlights 12-31-08 v4_Apollo Investment Fund IV  Q3 2009 Capital Analysis iPCS &amp; URI Distribution" xfId="30781" xr:uid="{00000000-0005-0000-0000-000045780000}"/>
    <cellStyle name="s_Rump_Schedules_2_AIF IV Financial Highlights 12-31-08 v4_iPCs#1-Remaining" xfId="30782" xr:uid="{00000000-0005-0000-0000-000046780000}"/>
    <cellStyle name="s_Rump_Schedules_2_AIF VI - BondcoVI_Entities Invested Capital (CURRENT)" xfId="30783" xr:uid="{00000000-0005-0000-0000-000047780000}"/>
    <cellStyle name="s_Rump_Schedules_2_AIF VI Broadleaf Watefall Summary as of 6-30-09 FINAL" xfId="30784" xr:uid="{00000000-0005-0000-0000-000048780000}"/>
    <cellStyle name="s_Rump_Schedules_2_AIF VI Broadleaf Watefall Summary as of 9-30-09" xfId="30785" xr:uid="{00000000-0005-0000-0000-000049780000}"/>
    <cellStyle name="s_Rump_Schedules_2_Andy Affrick - Schedulev2" xfId="30786" xr:uid="{00000000-0005-0000-0000-00004A780000}"/>
    <cellStyle name="s_Rump_Schedules_2_Apollo Advisors IV 12-31-08 GAAP TB Final" xfId="30787" xr:uid="{00000000-0005-0000-0000-00004B780000}"/>
    <cellStyle name="s_Rump_Schedules_2_Apollo Advisors IV 12-31-08 TB (Revised for Aggr PR)" xfId="30788" xr:uid="{00000000-0005-0000-0000-00004C780000}"/>
    <cellStyle name="s_Rump_Schedules_2_Apollo Advisors IV 6-30-09 GAAP TB" xfId="30789" xr:uid="{00000000-0005-0000-0000-00004D780000}"/>
    <cellStyle name="s_Rump_Schedules_2_Apollo Investment Fund IV  April Priority Return" xfId="30790" xr:uid="{00000000-0005-0000-0000-00004E780000}"/>
    <cellStyle name="s_Rump_Schedules_2_Apollo Investment Fund IV  Q1 2009 Capital Analysis 5-22-09 with GAAP" xfId="30791" xr:uid="{00000000-0005-0000-0000-00004F780000}"/>
    <cellStyle name="s_Rump_Schedules_2_Apollo Investment Fund IV  Q1 2009 Capital Analysis GAAP" xfId="30792" xr:uid="{00000000-0005-0000-0000-000050780000}"/>
    <cellStyle name="s_Rump_Schedules_2_Apollo Investment Fund IV  Q2 2009 Capital Analysis CURRENT" xfId="30793" xr:uid="{00000000-0005-0000-0000-000051780000}"/>
    <cellStyle name="s_Rump_Schedules_2_Apollo Investment Fund IV  Q3 2009 Capital Analysis CURRENT" xfId="30794" xr:uid="{00000000-0005-0000-0000-000052780000}"/>
    <cellStyle name="s_Rump_Schedules_2_Apollo Investment Fund IV  Q3 2009 Capital Analysis iPCS &amp; URI Distribution" xfId="30795" xr:uid="{00000000-0005-0000-0000-000053780000}"/>
    <cellStyle name="s_Rump_Schedules_2_Apollo Investment Fund IV Q1 2009 Capital Analysis PR CORRECTED 6-30-09" xfId="30796" xr:uid="{00000000-0005-0000-0000-000054780000}"/>
    <cellStyle name="s_Rump_Schedules_2_Broadleaf Watefall 12-31-09" xfId="30797" xr:uid="{00000000-0005-0000-0000-000055780000}"/>
    <cellStyle name="s_Rump_Schedules_2_Broadleaf Watefall 6-30-09" xfId="30798" xr:uid="{00000000-0005-0000-0000-000056780000}"/>
    <cellStyle name="s_Rump_Schedules_2_Broadleaf Watefall 9-30-09" xfId="30799" xr:uid="{00000000-0005-0000-0000-000057780000}"/>
    <cellStyle name="s_Rump_Schedules_2_Carry Calculation" xfId="30800" xr:uid="{00000000-0005-0000-0000-000058780000}"/>
    <cellStyle name="s_Rump_Schedules_2_Fund IV" xfId="30801" xr:uid="{00000000-0005-0000-0000-000059780000}"/>
    <cellStyle name="s_Rump_Schedules_2_Fund IV 9.30.08" xfId="30802" xr:uid="{00000000-0005-0000-0000-00005A780000}"/>
    <cellStyle name="s_Rump_Schedules_2_Fund IV_1" xfId="30803" xr:uid="{00000000-0005-0000-0000-00005B780000}"/>
    <cellStyle name="s_Rump_Schedules_2_Funds IV Clawback Adjustment Summary" xfId="30804" xr:uid="{00000000-0005-0000-0000-00005C780000}"/>
    <cellStyle name="s_Rump_Schedules_2_Funds IV Clawback Value Adjustment" xfId="30805" xr:uid="{00000000-0005-0000-0000-00005D780000}"/>
    <cellStyle name="s_Rump_Schedules_2_IC Balance" xfId="30806" xr:uid="{00000000-0005-0000-0000-00005E780000}"/>
    <cellStyle name="s_Rump_Schedules_2_Invested Capital Debt Worksheet" xfId="30807" xr:uid="{00000000-0005-0000-0000-00005F780000}"/>
    <cellStyle name="s_Rump_Schedules_2_Invested Capital Debt Worksheet_1" xfId="30808" xr:uid="{00000000-0005-0000-0000-000060780000}"/>
    <cellStyle name="s_Rump_Schedules_2_iPCs#1-Remaining" xfId="30809" xr:uid="{00000000-0005-0000-0000-000061780000}"/>
    <cellStyle name="s_Rump_Schedules_2_MMF Income" xfId="30810" xr:uid="{00000000-0005-0000-0000-000062780000}"/>
    <cellStyle name="s_Rump_Schedules_2_Partners Capital Q1 2009" xfId="30811" xr:uid="{00000000-0005-0000-0000-000063780000}"/>
    <cellStyle name="s_Rump_Schedules_2_Placement Fee Summary 05-14-09 - Current (2)" xfId="30812" xr:uid="{00000000-0005-0000-0000-000064780000}"/>
    <cellStyle name="s_Rump_Schedules_2_PR Calc" xfId="30813" xr:uid="{00000000-0005-0000-0000-000065780000}"/>
    <cellStyle name="s_Rump_Schedules_2_RCIV Q3 2009 Capital Analysis CURRENT" xfId="30814" xr:uid="{00000000-0005-0000-0000-000066780000}"/>
    <cellStyle name="s_Rump_Schedules_2_Sheet1" xfId="30815" xr:uid="{00000000-0005-0000-0000-000067780000}"/>
    <cellStyle name="s_Rump_Schedules_AIF IV Financial Highlights 12-31-08 v4" xfId="30816" xr:uid="{00000000-0005-0000-0000-000068780000}"/>
    <cellStyle name="s_Rump_Schedules_AIF IV Financial Highlights 12-31-08 v4_Apollo Investment Fund IV  Q3 2009 Capital Analysis CURRENT" xfId="30817" xr:uid="{00000000-0005-0000-0000-000069780000}"/>
    <cellStyle name="s_Rump_Schedules_AIF IV Financial Highlights 12-31-08 v4_Apollo Investment Fund IV  Q3 2009 Capital Analysis iPCS &amp; URI Distribution" xfId="30818" xr:uid="{00000000-0005-0000-0000-00006A780000}"/>
    <cellStyle name="s_Rump_Schedules_AIF IV Financial Highlights 12-31-08 v4_iPCs#1-Remaining" xfId="30819" xr:uid="{00000000-0005-0000-0000-00006B780000}"/>
    <cellStyle name="s_Rump_Schedules_AIF VI - BondcoVI_Entities Invested Capital (CURRENT)" xfId="30820" xr:uid="{00000000-0005-0000-0000-00006C780000}"/>
    <cellStyle name="s_Rump_Schedules_AIF VI Broadleaf Watefall Summary as of 6-30-09 FINAL" xfId="30821" xr:uid="{00000000-0005-0000-0000-00006D780000}"/>
    <cellStyle name="s_Rump_Schedules_AIF VI Broadleaf Watefall Summary as of 9-30-09" xfId="30822" xr:uid="{00000000-0005-0000-0000-00006E780000}"/>
    <cellStyle name="s_Rump_Schedules_Andy Affrick - Schedulev2" xfId="30823" xr:uid="{00000000-0005-0000-0000-00006F780000}"/>
    <cellStyle name="s_Rump_Schedules_Apollo Investment Fund IV  April Priority Return" xfId="30824" xr:uid="{00000000-0005-0000-0000-000070780000}"/>
    <cellStyle name="s_Rump_Schedules_Apollo Investment Fund IV  Q1 2009 Capital Analysis 5-22-09 with GAAP" xfId="30825" xr:uid="{00000000-0005-0000-0000-000071780000}"/>
    <cellStyle name="s_Rump_Schedules_Apollo Investment Fund IV  Q1 2009 Capital Analysis GAAP" xfId="30826" xr:uid="{00000000-0005-0000-0000-000072780000}"/>
    <cellStyle name="s_Rump_Schedules_Apollo Investment Fund IV  Q2 2009 Capital Analysis CURRENT" xfId="30827" xr:uid="{00000000-0005-0000-0000-000073780000}"/>
    <cellStyle name="s_Rump_Schedules_Apollo Investment Fund IV  Q3 2009 Capital Analysis CURRENT" xfId="30828" xr:uid="{00000000-0005-0000-0000-000074780000}"/>
    <cellStyle name="s_Rump_Schedules_Apollo Investment Fund IV  Q3 2009 Capital Analysis iPCS &amp; URI Distribution" xfId="30829" xr:uid="{00000000-0005-0000-0000-000075780000}"/>
    <cellStyle name="s_Rump_Schedules_Apollo Investment Fund IV Q1 2009 Capital Analysis PR CORRECTED 6-30-09" xfId="30830" xr:uid="{00000000-0005-0000-0000-000076780000}"/>
    <cellStyle name="s_Rump_Schedules_Broadleaf Watefall 12-31-09" xfId="30831" xr:uid="{00000000-0005-0000-0000-000077780000}"/>
    <cellStyle name="s_Rump_Schedules_Broadleaf Watefall 6-30-09" xfId="30832" xr:uid="{00000000-0005-0000-0000-000078780000}"/>
    <cellStyle name="s_Rump_Schedules_Broadleaf Watefall 9-30-09" xfId="30833" xr:uid="{00000000-0005-0000-0000-000079780000}"/>
    <cellStyle name="s_Rump_Schedules_Carry Calculation" xfId="30834" xr:uid="{00000000-0005-0000-0000-00007A780000}"/>
    <cellStyle name="s_Rump_Schedules_Fund IV" xfId="30835" xr:uid="{00000000-0005-0000-0000-00007B780000}"/>
    <cellStyle name="s_Rump_Schedules_Fund IV 9.30.08" xfId="30836" xr:uid="{00000000-0005-0000-0000-00007C780000}"/>
    <cellStyle name="s_Rump_Schedules_Fund IV_1" xfId="30837" xr:uid="{00000000-0005-0000-0000-00007D780000}"/>
    <cellStyle name="s_Rump_Schedules_Funds IV Clawback Adjustment Summary" xfId="30838" xr:uid="{00000000-0005-0000-0000-00007E780000}"/>
    <cellStyle name="s_Rump_Schedules_Funds IV Clawback Value Adjustment" xfId="30839" xr:uid="{00000000-0005-0000-0000-00007F780000}"/>
    <cellStyle name="s_Rump_Schedules_IC Balance" xfId="30840" xr:uid="{00000000-0005-0000-0000-000080780000}"/>
    <cellStyle name="s_Rump_Schedules_Invested Capital Debt Worksheet" xfId="30841" xr:uid="{00000000-0005-0000-0000-000081780000}"/>
    <cellStyle name="s_Rump_Schedules_iPCs#1-Remaining" xfId="30842" xr:uid="{00000000-0005-0000-0000-000082780000}"/>
    <cellStyle name="s_Rump_Schedules_MMF Income" xfId="30843" xr:uid="{00000000-0005-0000-0000-000083780000}"/>
    <cellStyle name="s_Rump_Schedules_Partners Capital Q1 2009" xfId="30844" xr:uid="{00000000-0005-0000-0000-000084780000}"/>
    <cellStyle name="s_Rump_Schedules_Placement Fee Summary 05-14-09 - Current (2)" xfId="30845" xr:uid="{00000000-0005-0000-0000-000085780000}"/>
    <cellStyle name="s_Rump_Schedules_PR Calc" xfId="30846" xr:uid="{00000000-0005-0000-0000-000086780000}"/>
    <cellStyle name="s_Rump_Schedules_RCIV Q3 2009 Capital Analysis CURRENT" xfId="30847" xr:uid="{00000000-0005-0000-0000-000087780000}"/>
    <cellStyle name="s_Standalone (2)" xfId="30848" xr:uid="{00000000-0005-0000-0000-000088780000}"/>
    <cellStyle name="s_Standalone (2) 10" xfId="30849" xr:uid="{00000000-0005-0000-0000-000089780000}"/>
    <cellStyle name="s_Standalone (2) 11" xfId="30850" xr:uid="{00000000-0005-0000-0000-00008A780000}"/>
    <cellStyle name="s_Standalone (2) 12" xfId="30851" xr:uid="{00000000-0005-0000-0000-00008B780000}"/>
    <cellStyle name="s_Standalone (2) 13" xfId="30852" xr:uid="{00000000-0005-0000-0000-00008C780000}"/>
    <cellStyle name="s_Standalone (2) 14" xfId="30853" xr:uid="{00000000-0005-0000-0000-00008D780000}"/>
    <cellStyle name="s_Standalone (2) 15" xfId="30854" xr:uid="{00000000-0005-0000-0000-00008E780000}"/>
    <cellStyle name="s_Standalone (2) 16" xfId="30855" xr:uid="{00000000-0005-0000-0000-00008F780000}"/>
    <cellStyle name="s_Standalone (2) 17" xfId="30856" xr:uid="{00000000-0005-0000-0000-000090780000}"/>
    <cellStyle name="s_Standalone (2) 18" xfId="30857" xr:uid="{00000000-0005-0000-0000-000091780000}"/>
    <cellStyle name="s_Standalone (2) 19" xfId="30858" xr:uid="{00000000-0005-0000-0000-000092780000}"/>
    <cellStyle name="s_Standalone (2) 2" xfId="30859" xr:uid="{00000000-0005-0000-0000-000093780000}"/>
    <cellStyle name="s_Standalone (2) 2 2" xfId="30860" xr:uid="{00000000-0005-0000-0000-000094780000}"/>
    <cellStyle name="s_Standalone (2) 20" xfId="30861" xr:uid="{00000000-0005-0000-0000-000095780000}"/>
    <cellStyle name="s_Standalone (2) 21" xfId="30862" xr:uid="{00000000-0005-0000-0000-000096780000}"/>
    <cellStyle name="s_Standalone (2) 22" xfId="30863" xr:uid="{00000000-0005-0000-0000-000097780000}"/>
    <cellStyle name="s_Standalone (2) 23" xfId="30864" xr:uid="{00000000-0005-0000-0000-000098780000}"/>
    <cellStyle name="s_Standalone (2) 23 2" xfId="30865" xr:uid="{00000000-0005-0000-0000-000099780000}"/>
    <cellStyle name="s_Standalone (2) 3" xfId="30866" xr:uid="{00000000-0005-0000-0000-00009A780000}"/>
    <cellStyle name="s_Standalone (2) 3 2" xfId="30867" xr:uid="{00000000-0005-0000-0000-00009B780000}"/>
    <cellStyle name="s_Standalone (2) 4" xfId="30868" xr:uid="{00000000-0005-0000-0000-00009C780000}"/>
    <cellStyle name="s_Standalone (2) 5" xfId="30869" xr:uid="{00000000-0005-0000-0000-00009D780000}"/>
    <cellStyle name="s_Standalone (2) 6" xfId="30870" xr:uid="{00000000-0005-0000-0000-00009E780000}"/>
    <cellStyle name="s_Standalone (2) 7" xfId="30871" xr:uid="{00000000-0005-0000-0000-00009F780000}"/>
    <cellStyle name="s_Standalone (2) 8" xfId="30872" xr:uid="{00000000-0005-0000-0000-0000A0780000}"/>
    <cellStyle name="s_Standalone (2) 9" xfId="30873" xr:uid="{00000000-0005-0000-0000-0000A1780000}"/>
    <cellStyle name="s_Standalone (2)_{6} Clawback" xfId="30874" xr:uid="{00000000-0005-0000-0000-0000A2780000}"/>
    <cellStyle name="s_Standalone (2)_1" xfId="30875" xr:uid="{00000000-0005-0000-0000-0000A3780000}"/>
    <cellStyle name="s_Standalone (2)_1 10" xfId="30876" xr:uid="{00000000-0005-0000-0000-0000A4780000}"/>
    <cellStyle name="s_Standalone (2)_1 11" xfId="30877" xr:uid="{00000000-0005-0000-0000-0000A5780000}"/>
    <cellStyle name="s_Standalone (2)_1 12" xfId="30878" xr:uid="{00000000-0005-0000-0000-0000A6780000}"/>
    <cellStyle name="s_Standalone (2)_1 13" xfId="30879" xr:uid="{00000000-0005-0000-0000-0000A7780000}"/>
    <cellStyle name="s_Standalone (2)_1 14" xfId="30880" xr:uid="{00000000-0005-0000-0000-0000A8780000}"/>
    <cellStyle name="s_Standalone (2)_1 15" xfId="30881" xr:uid="{00000000-0005-0000-0000-0000A9780000}"/>
    <cellStyle name="s_Standalone (2)_1 16" xfId="30882" xr:uid="{00000000-0005-0000-0000-0000AA780000}"/>
    <cellStyle name="s_Standalone (2)_1 17" xfId="30883" xr:uid="{00000000-0005-0000-0000-0000AB780000}"/>
    <cellStyle name="s_Standalone (2)_1 18" xfId="30884" xr:uid="{00000000-0005-0000-0000-0000AC780000}"/>
    <cellStyle name="s_Standalone (2)_1 19" xfId="30885" xr:uid="{00000000-0005-0000-0000-0000AD780000}"/>
    <cellStyle name="s_Standalone (2)_1 2" xfId="30886" xr:uid="{00000000-0005-0000-0000-0000AE780000}"/>
    <cellStyle name="s_Standalone (2)_1 2 2" xfId="30887" xr:uid="{00000000-0005-0000-0000-0000AF780000}"/>
    <cellStyle name="s_Standalone (2)_1 20" xfId="30888" xr:uid="{00000000-0005-0000-0000-0000B0780000}"/>
    <cellStyle name="s_Standalone (2)_1 21" xfId="30889" xr:uid="{00000000-0005-0000-0000-0000B1780000}"/>
    <cellStyle name="s_Standalone (2)_1 22" xfId="30890" xr:uid="{00000000-0005-0000-0000-0000B2780000}"/>
    <cellStyle name="s_Standalone (2)_1 23" xfId="30891" xr:uid="{00000000-0005-0000-0000-0000B3780000}"/>
    <cellStyle name="s_Standalone (2)_1 23 2" xfId="30892" xr:uid="{00000000-0005-0000-0000-0000B4780000}"/>
    <cellStyle name="s_Standalone (2)_1 3" xfId="30893" xr:uid="{00000000-0005-0000-0000-0000B5780000}"/>
    <cellStyle name="s_Standalone (2)_1 3 2" xfId="30894" xr:uid="{00000000-0005-0000-0000-0000B6780000}"/>
    <cellStyle name="s_Standalone (2)_1 4" xfId="30895" xr:uid="{00000000-0005-0000-0000-0000B7780000}"/>
    <cellStyle name="s_Standalone (2)_1 5" xfId="30896" xr:uid="{00000000-0005-0000-0000-0000B8780000}"/>
    <cellStyle name="s_Standalone (2)_1 6" xfId="30897" xr:uid="{00000000-0005-0000-0000-0000B9780000}"/>
    <cellStyle name="s_Standalone (2)_1 7" xfId="30898" xr:uid="{00000000-0005-0000-0000-0000BA780000}"/>
    <cellStyle name="s_Standalone (2)_1 8" xfId="30899" xr:uid="{00000000-0005-0000-0000-0000BB780000}"/>
    <cellStyle name="s_Standalone (2)_1 9" xfId="30900" xr:uid="{00000000-0005-0000-0000-0000BC780000}"/>
    <cellStyle name="s_Standalone (2)_1_{6} Clawback" xfId="30901" xr:uid="{00000000-0005-0000-0000-0000BD780000}"/>
    <cellStyle name="s_Standalone (2)_1_AIF IV Financial Highlights 12-31-08 v4" xfId="30902" xr:uid="{00000000-0005-0000-0000-0000BE780000}"/>
    <cellStyle name="s_Standalone (2)_1_AIF IV Financial Highlights 12-31-08 v4_Apollo Investment Fund IV  Q3 2009 Capital Analysis CURRENT" xfId="30903" xr:uid="{00000000-0005-0000-0000-0000BF780000}"/>
    <cellStyle name="s_Standalone (2)_1_AIF IV Financial Highlights 12-31-08 v4_Apollo Investment Fund IV  Q3 2009 Capital Analysis iPCS &amp; URI Distribution" xfId="30904" xr:uid="{00000000-0005-0000-0000-0000C0780000}"/>
    <cellStyle name="s_Standalone (2)_1_AIF IV Financial Highlights 12-31-08 v4_iPCs#1-Remaining" xfId="30905" xr:uid="{00000000-0005-0000-0000-0000C1780000}"/>
    <cellStyle name="s_Standalone (2)_1_AIF VI - BondcoVI_Entities Invested Capital (CURRENT)" xfId="30906" xr:uid="{00000000-0005-0000-0000-0000C2780000}"/>
    <cellStyle name="s_Standalone (2)_1_AIF VI Broadleaf Watefall Summary as of 6-30-09 FINAL" xfId="30907" xr:uid="{00000000-0005-0000-0000-0000C3780000}"/>
    <cellStyle name="s_Standalone (2)_1_AIF VI Broadleaf Watefall Summary as of 9-30-09" xfId="30908" xr:uid="{00000000-0005-0000-0000-0000C4780000}"/>
    <cellStyle name="s_Standalone (2)_1_Andy Affrick - Schedulev2" xfId="30909" xr:uid="{00000000-0005-0000-0000-0000C5780000}"/>
    <cellStyle name="s_Standalone (2)_1_Apollo Advisors IV 12-31-08 GAAP TB Final" xfId="30910" xr:uid="{00000000-0005-0000-0000-0000C6780000}"/>
    <cellStyle name="s_Standalone (2)_1_Apollo Advisors IV 12-31-08 TB (Revised for Aggr PR)" xfId="30911" xr:uid="{00000000-0005-0000-0000-0000C7780000}"/>
    <cellStyle name="s_Standalone (2)_1_Apollo Advisors IV 6-30-09 GAAP TB" xfId="30912" xr:uid="{00000000-0005-0000-0000-0000C8780000}"/>
    <cellStyle name="s_Standalone (2)_1_Apollo Investment Fund IV  April Priority Return" xfId="30913" xr:uid="{00000000-0005-0000-0000-0000C9780000}"/>
    <cellStyle name="s_Standalone (2)_1_Apollo Investment Fund IV  Q1 2009 Capital Analysis 5-22-09 with GAAP" xfId="30914" xr:uid="{00000000-0005-0000-0000-0000CA780000}"/>
    <cellStyle name="s_Standalone (2)_1_Apollo Investment Fund IV  Q1 2009 Capital Analysis GAAP" xfId="30915" xr:uid="{00000000-0005-0000-0000-0000CB780000}"/>
    <cellStyle name="s_Standalone (2)_1_Apollo Investment Fund IV  Q2 2009 Capital Analysis CURRENT" xfId="30916" xr:uid="{00000000-0005-0000-0000-0000CC780000}"/>
    <cellStyle name="s_Standalone (2)_1_Apollo Investment Fund IV  Q3 2009 Capital Analysis CURRENT" xfId="30917" xr:uid="{00000000-0005-0000-0000-0000CD780000}"/>
    <cellStyle name="s_Standalone (2)_1_Apollo Investment Fund IV  Q3 2009 Capital Analysis iPCS &amp; URI Distribution" xfId="30918" xr:uid="{00000000-0005-0000-0000-0000CE780000}"/>
    <cellStyle name="s_Standalone (2)_1_Apollo Investment Fund IV Q1 2009 Capital Analysis PR CORRECTED 6-30-09" xfId="30919" xr:uid="{00000000-0005-0000-0000-0000CF780000}"/>
    <cellStyle name="s_Standalone (2)_1_Broadleaf Watefall 12-31-09" xfId="30920" xr:uid="{00000000-0005-0000-0000-0000D0780000}"/>
    <cellStyle name="s_Standalone (2)_1_Broadleaf Watefall 6-30-09" xfId="30921" xr:uid="{00000000-0005-0000-0000-0000D1780000}"/>
    <cellStyle name="s_Standalone (2)_1_Broadleaf Watefall 9-30-09" xfId="30922" xr:uid="{00000000-0005-0000-0000-0000D2780000}"/>
    <cellStyle name="s_Standalone (2)_1_Carry Calculation" xfId="30923" xr:uid="{00000000-0005-0000-0000-0000D3780000}"/>
    <cellStyle name="s_Standalone (2)_1_Fund IV" xfId="30924" xr:uid="{00000000-0005-0000-0000-0000D4780000}"/>
    <cellStyle name="s_Standalone (2)_1_Fund IV 9.30.08" xfId="30925" xr:uid="{00000000-0005-0000-0000-0000D5780000}"/>
    <cellStyle name="s_Standalone (2)_1_Fund IV_1" xfId="30926" xr:uid="{00000000-0005-0000-0000-0000D6780000}"/>
    <cellStyle name="s_Standalone (2)_1_Funds IV Clawback Adjustment Summary" xfId="30927" xr:uid="{00000000-0005-0000-0000-0000D7780000}"/>
    <cellStyle name="s_Standalone (2)_1_Funds IV Clawback Value Adjustment" xfId="30928" xr:uid="{00000000-0005-0000-0000-0000D8780000}"/>
    <cellStyle name="s_Standalone (2)_1_IC Balance" xfId="30929" xr:uid="{00000000-0005-0000-0000-0000D9780000}"/>
    <cellStyle name="s_Standalone (2)_1_Invested Capital Debt Worksheet" xfId="30930" xr:uid="{00000000-0005-0000-0000-0000DA780000}"/>
    <cellStyle name="s_Standalone (2)_1_Invested Capital Debt Worksheet_1" xfId="30931" xr:uid="{00000000-0005-0000-0000-0000DB780000}"/>
    <cellStyle name="s_Standalone (2)_1_iPCs#1-Remaining" xfId="30932" xr:uid="{00000000-0005-0000-0000-0000DC780000}"/>
    <cellStyle name="s_Standalone (2)_1_MMF Income" xfId="30933" xr:uid="{00000000-0005-0000-0000-0000DD780000}"/>
    <cellStyle name="s_Standalone (2)_1_Partners Capital Q1 2009" xfId="30934" xr:uid="{00000000-0005-0000-0000-0000DE780000}"/>
    <cellStyle name="s_Standalone (2)_1_Placement Fee Summary 05-14-09 - Current (2)" xfId="30935" xr:uid="{00000000-0005-0000-0000-0000DF780000}"/>
    <cellStyle name="s_Standalone (2)_1_PR Calc" xfId="30936" xr:uid="{00000000-0005-0000-0000-0000E0780000}"/>
    <cellStyle name="s_Standalone (2)_1_RCIV Q3 2009 Capital Analysis CURRENT" xfId="30937" xr:uid="{00000000-0005-0000-0000-0000E1780000}"/>
    <cellStyle name="s_Standalone (2)_1_Sheet1" xfId="30938" xr:uid="{00000000-0005-0000-0000-0000E2780000}"/>
    <cellStyle name="s_Standalone (2)_AIF IV Financial Highlights 12-31-08 v4" xfId="30939" xr:uid="{00000000-0005-0000-0000-0000E3780000}"/>
    <cellStyle name="s_Standalone (2)_AIF IV Financial Highlights 12-31-08 v4_Apollo Investment Fund IV  Q3 2009 Capital Analysis CURRENT" xfId="30940" xr:uid="{00000000-0005-0000-0000-0000E4780000}"/>
    <cellStyle name="s_Standalone (2)_AIF IV Financial Highlights 12-31-08 v4_Apollo Investment Fund IV  Q3 2009 Capital Analysis iPCS &amp; URI Distribution" xfId="30941" xr:uid="{00000000-0005-0000-0000-0000E5780000}"/>
    <cellStyle name="s_Standalone (2)_AIF IV Financial Highlights 12-31-08 v4_iPCs#1-Remaining" xfId="30942" xr:uid="{00000000-0005-0000-0000-0000E6780000}"/>
    <cellStyle name="s_Standalone (2)_AIF VI - BondcoVI_Entities Invested Capital (CURRENT)" xfId="30943" xr:uid="{00000000-0005-0000-0000-0000E7780000}"/>
    <cellStyle name="s_Standalone (2)_AIF VI Broadleaf Watefall Summary as of 6-30-09 FINAL" xfId="30944" xr:uid="{00000000-0005-0000-0000-0000E8780000}"/>
    <cellStyle name="s_Standalone (2)_AIF VI Broadleaf Watefall Summary as of 9-30-09" xfId="30945" xr:uid="{00000000-0005-0000-0000-0000E9780000}"/>
    <cellStyle name="s_Standalone (2)_Andy Affrick - Schedulev2" xfId="30946" xr:uid="{00000000-0005-0000-0000-0000EA780000}"/>
    <cellStyle name="s_Standalone (2)_Apollo Advisors IV 12-31-08 GAAP TB Final" xfId="30947" xr:uid="{00000000-0005-0000-0000-0000EB780000}"/>
    <cellStyle name="s_Standalone (2)_Apollo Advisors IV 12-31-08 TB (Revised for Aggr PR)" xfId="30948" xr:uid="{00000000-0005-0000-0000-0000EC780000}"/>
    <cellStyle name="s_Standalone (2)_Apollo Advisors IV 6-30-09 GAAP TB" xfId="30949" xr:uid="{00000000-0005-0000-0000-0000ED780000}"/>
    <cellStyle name="s_Standalone (2)_Apollo Investment Fund IV  April Priority Return" xfId="30950" xr:uid="{00000000-0005-0000-0000-0000EE780000}"/>
    <cellStyle name="s_Standalone (2)_Apollo Investment Fund IV  Q1 2009 Capital Analysis 5-22-09 with GAAP" xfId="30951" xr:uid="{00000000-0005-0000-0000-0000EF780000}"/>
    <cellStyle name="s_Standalone (2)_Apollo Investment Fund IV  Q1 2009 Capital Analysis GAAP" xfId="30952" xr:uid="{00000000-0005-0000-0000-0000F0780000}"/>
    <cellStyle name="s_Standalone (2)_Apollo Investment Fund IV  Q2 2009 Capital Analysis CURRENT" xfId="30953" xr:uid="{00000000-0005-0000-0000-0000F1780000}"/>
    <cellStyle name="s_Standalone (2)_Apollo Investment Fund IV  Q3 2009 Capital Analysis CURRENT" xfId="30954" xr:uid="{00000000-0005-0000-0000-0000F2780000}"/>
    <cellStyle name="s_Standalone (2)_Apollo Investment Fund IV  Q3 2009 Capital Analysis iPCS &amp; URI Distribution" xfId="30955" xr:uid="{00000000-0005-0000-0000-0000F3780000}"/>
    <cellStyle name="s_Standalone (2)_Apollo Investment Fund IV Q1 2009 Capital Analysis PR CORRECTED 6-30-09" xfId="30956" xr:uid="{00000000-0005-0000-0000-0000F4780000}"/>
    <cellStyle name="s_Standalone (2)_Broadleaf Watefall 12-31-09" xfId="30957" xr:uid="{00000000-0005-0000-0000-0000F5780000}"/>
    <cellStyle name="s_Standalone (2)_Broadleaf Watefall 6-30-09" xfId="30958" xr:uid="{00000000-0005-0000-0000-0000F6780000}"/>
    <cellStyle name="s_Standalone (2)_Broadleaf Watefall 9-30-09" xfId="30959" xr:uid="{00000000-0005-0000-0000-0000F7780000}"/>
    <cellStyle name="s_Standalone (2)_Carry Calculation" xfId="30960" xr:uid="{00000000-0005-0000-0000-0000F8780000}"/>
    <cellStyle name="s_Standalone (2)_Fund IV" xfId="30961" xr:uid="{00000000-0005-0000-0000-0000F9780000}"/>
    <cellStyle name="s_Standalone (2)_Fund IV 9.30.08" xfId="30962" xr:uid="{00000000-0005-0000-0000-0000FA780000}"/>
    <cellStyle name="s_Standalone (2)_Fund IV_1" xfId="30963" xr:uid="{00000000-0005-0000-0000-0000FB780000}"/>
    <cellStyle name="s_Standalone (2)_Funds IV Clawback Adjustment Summary" xfId="30964" xr:uid="{00000000-0005-0000-0000-0000FC780000}"/>
    <cellStyle name="s_Standalone (2)_Funds IV Clawback Value Adjustment" xfId="30965" xr:uid="{00000000-0005-0000-0000-0000FD780000}"/>
    <cellStyle name="s_Standalone (2)_IC Balance" xfId="30966" xr:uid="{00000000-0005-0000-0000-0000FE780000}"/>
    <cellStyle name="s_Standalone (2)_Invested Capital Debt Worksheet" xfId="30967" xr:uid="{00000000-0005-0000-0000-0000FF780000}"/>
    <cellStyle name="s_Standalone (2)_Invested Capital Debt Worksheet_1" xfId="30968" xr:uid="{00000000-0005-0000-0000-000000790000}"/>
    <cellStyle name="s_Standalone (2)_iPCs#1-Remaining" xfId="30969" xr:uid="{00000000-0005-0000-0000-000001790000}"/>
    <cellStyle name="s_Standalone (2)_MMF Income" xfId="30970" xr:uid="{00000000-0005-0000-0000-000002790000}"/>
    <cellStyle name="s_Standalone (2)_Partners Capital Q1 2009" xfId="30971" xr:uid="{00000000-0005-0000-0000-000003790000}"/>
    <cellStyle name="s_Standalone (2)_Placement Fee Summary 05-14-09 - Current (2)" xfId="30972" xr:uid="{00000000-0005-0000-0000-000004790000}"/>
    <cellStyle name="s_Standalone (2)_PR Calc" xfId="30973" xr:uid="{00000000-0005-0000-0000-000005790000}"/>
    <cellStyle name="s_Standalone (2)_RCIV Q3 2009 Capital Analysis CURRENT" xfId="30974" xr:uid="{00000000-0005-0000-0000-000006790000}"/>
    <cellStyle name="s_Standalone (2)_Sheet1" xfId="30975" xr:uid="{00000000-0005-0000-0000-000007790000}"/>
    <cellStyle name="s_Trans Assump" xfId="30976" xr:uid="{00000000-0005-0000-0000-000008790000}"/>
    <cellStyle name="s_Trans Assump 10" xfId="30977" xr:uid="{00000000-0005-0000-0000-000009790000}"/>
    <cellStyle name="s_Trans Assump 11" xfId="30978" xr:uid="{00000000-0005-0000-0000-00000A790000}"/>
    <cellStyle name="s_Trans Assump 12" xfId="30979" xr:uid="{00000000-0005-0000-0000-00000B790000}"/>
    <cellStyle name="s_Trans Assump 13" xfId="30980" xr:uid="{00000000-0005-0000-0000-00000C790000}"/>
    <cellStyle name="s_Trans Assump 14" xfId="30981" xr:uid="{00000000-0005-0000-0000-00000D790000}"/>
    <cellStyle name="s_Trans Assump 15" xfId="30982" xr:uid="{00000000-0005-0000-0000-00000E790000}"/>
    <cellStyle name="s_Trans Assump 16" xfId="30983" xr:uid="{00000000-0005-0000-0000-00000F790000}"/>
    <cellStyle name="s_Trans Assump 17" xfId="30984" xr:uid="{00000000-0005-0000-0000-000010790000}"/>
    <cellStyle name="s_Trans Assump 18" xfId="30985" xr:uid="{00000000-0005-0000-0000-000011790000}"/>
    <cellStyle name="s_Trans Assump 19" xfId="30986" xr:uid="{00000000-0005-0000-0000-000012790000}"/>
    <cellStyle name="s_Trans Assump 2" xfId="30987" xr:uid="{00000000-0005-0000-0000-000013790000}"/>
    <cellStyle name="s_Trans Assump 2 2" xfId="30988" xr:uid="{00000000-0005-0000-0000-000014790000}"/>
    <cellStyle name="s_Trans Assump 20" xfId="30989" xr:uid="{00000000-0005-0000-0000-000015790000}"/>
    <cellStyle name="s_Trans Assump 21" xfId="30990" xr:uid="{00000000-0005-0000-0000-000016790000}"/>
    <cellStyle name="s_Trans Assump 22" xfId="30991" xr:uid="{00000000-0005-0000-0000-000017790000}"/>
    <cellStyle name="s_Trans Assump 23" xfId="30992" xr:uid="{00000000-0005-0000-0000-000018790000}"/>
    <cellStyle name="s_Trans Assump 23 2" xfId="30993" xr:uid="{00000000-0005-0000-0000-000019790000}"/>
    <cellStyle name="s_Trans Assump 3" xfId="30994" xr:uid="{00000000-0005-0000-0000-00001A790000}"/>
    <cellStyle name="s_Trans Assump 3 2" xfId="30995" xr:uid="{00000000-0005-0000-0000-00001B790000}"/>
    <cellStyle name="s_Trans Assump 4" xfId="30996" xr:uid="{00000000-0005-0000-0000-00001C790000}"/>
    <cellStyle name="s_Trans Assump 5" xfId="30997" xr:uid="{00000000-0005-0000-0000-00001D790000}"/>
    <cellStyle name="s_Trans Assump 6" xfId="30998" xr:uid="{00000000-0005-0000-0000-00001E790000}"/>
    <cellStyle name="s_Trans Assump 7" xfId="30999" xr:uid="{00000000-0005-0000-0000-00001F790000}"/>
    <cellStyle name="s_Trans Assump 8" xfId="31000" xr:uid="{00000000-0005-0000-0000-000020790000}"/>
    <cellStyle name="s_Trans Assump 9" xfId="31001" xr:uid="{00000000-0005-0000-0000-000021790000}"/>
    <cellStyle name="s_Trans Assump_{6} Clawback" xfId="31002" xr:uid="{00000000-0005-0000-0000-000022790000}"/>
    <cellStyle name="s_Trans Assump_1" xfId="31003" xr:uid="{00000000-0005-0000-0000-000023790000}"/>
    <cellStyle name="s_Trans Assump_1 10" xfId="31004" xr:uid="{00000000-0005-0000-0000-000024790000}"/>
    <cellStyle name="s_Trans Assump_1 11" xfId="31005" xr:uid="{00000000-0005-0000-0000-000025790000}"/>
    <cellStyle name="s_Trans Assump_1 12" xfId="31006" xr:uid="{00000000-0005-0000-0000-000026790000}"/>
    <cellStyle name="s_Trans Assump_1 13" xfId="31007" xr:uid="{00000000-0005-0000-0000-000027790000}"/>
    <cellStyle name="s_Trans Assump_1 14" xfId="31008" xr:uid="{00000000-0005-0000-0000-000028790000}"/>
    <cellStyle name="s_Trans Assump_1 15" xfId="31009" xr:uid="{00000000-0005-0000-0000-000029790000}"/>
    <cellStyle name="s_Trans Assump_1 16" xfId="31010" xr:uid="{00000000-0005-0000-0000-00002A790000}"/>
    <cellStyle name="s_Trans Assump_1 17" xfId="31011" xr:uid="{00000000-0005-0000-0000-00002B790000}"/>
    <cellStyle name="s_Trans Assump_1 18" xfId="31012" xr:uid="{00000000-0005-0000-0000-00002C790000}"/>
    <cellStyle name="s_Trans Assump_1 19" xfId="31013" xr:uid="{00000000-0005-0000-0000-00002D790000}"/>
    <cellStyle name="s_Trans Assump_1 2" xfId="31014" xr:uid="{00000000-0005-0000-0000-00002E790000}"/>
    <cellStyle name="s_Trans Assump_1 2 2" xfId="31015" xr:uid="{00000000-0005-0000-0000-00002F790000}"/>
    <cellStyle name="s_Trans Assump_1 20" xfId="31016" xr:uid="{00000000-0005-0000-0000-000030790000}"/>
    <cellStyle name="s_Trans Assump_1 21" xfId="31017" xr:uid="{00000000-0005-0000-0000-000031790000}"/>
    <cellStyle name="s_Trans Assump_1 22" xfId="31018" xr:uid="{00000000-0005-0000-0000-000032790000}"/>
    <cellStyle name="s_Trans Assump_1 23" xfId="31019" xr:uid="{00000000-0005-0000-0000-000033790000}"/>
    <cellStyle name="s_Trans Assump_1 23 2" xfId="31020" xr:uid="{00000000-0005-0000-0000-000034790000}"/>
    <cellStyle name="s_Trans Assump_1 3" xfId="31021" xr:uid="{00000000-0005-0000-0000-000035790000}"/>
    <cellStyle name="s_Trans Assump_1 3 2" xfId="31022" xr:uid="{00000000-0005-0000-0000-000036790000}"/>
    <cellStyle name="s_Trans Assump_1 4" xfId="31023" xr:uid="{00000000-0005-0000-0000-000037790000}"/>
    <cellStyle name="s_Trans Assump_1 5" xfId="31024" xr:uid="{00000000-0005-0000-0000-000038790000}"/>
    <cellStyle name="s_Trans Assump_1 6" xfId="31025" xr:uid="{00000000-0005-0000-0000-000039790000}"/>
    <cellStyle name="s_Trans Assump_1 7" xfId="31026" xr:uid="{00000000-0005-0000-0000-00003A790000}"/>
    <cellStyle name="s_Trans Assump_1 8" xfId="31027" xr:uid="{00000000-0005-0000-0000-00003B790000}"/>
    <cellStyle name="s_Trans Assump_1 9" xfId="31028" xr:uid="{00000000-0005-0000-0000-00003C790000}"/>
    <cellStyle name="s_Trans Assump_1_{6} Clawback" xfId="31029" xr:uid="{00000000-0005-0000-0000-00003D790000}"/>
    <cellStyle name="s_Trans Assump_1_AIF IV Financial Highlights 12-31-08 v4" xfId="31030" xr:uid="{00000000-0005-0000-0000-00003E790000}"/>
    <cellStyle name="s_Trans Assump_1_AIF IV Financial Highlights 12-31-08 v4_Apollo Investment Fund IV  Q3 2009 Capital Analysis CURRENT" xfId="31031" xr:uid="{00000000-0005-0000-0000-00003F790000}"/>
    <cellStyle name="s_Trans Assump_1_AIF IV Financial Highlights 12-31-08 v4_Apollo Investment Fund IV  Q3 2009 Capital Analysis iPCS &amp; URI Distribution" xfId="31032" xr:uid="{00000000-0005-0000-0000-000040790000}"/>
    <cellStyle name="s_Trans Assump_1_AIF IV Financial Highlights 12-31-08 v4_iPCs#1-Remaining" xfId="31033" xr:uid="{00000000-0005-0000-0000-000041790000}"/>
    <cellStyle name="s_Trans Assump_1_AIF VI - BondcoVI_Entities Invested Capital (CURRENT)" xfId="31034" xr:uid="{00000000-0005-0000-0000-000042790000}"/>
    <cellStyle name="s_Trans Assump_1_AIF VI Broadleaf Watefall Summary as of 6-30-09 FINAL" xfId="31035" xr:uid="{00000000-0005-0000-0000-000043790000}"/>
    <cellStyle name="s_Trans Assump_1_AIF VI Broadleaf Watefall Summary as of 9-30-09" xfId="31036" xr:uid="{00000000-0005-0000-0000-000044790000}"/>
    <cellStyle name="s_Trans Assump_1_Andy Affrick - Schedulev2" xfId="31037" xr:uid="{00000000-0005-0000-0000-000045790000}"/>
    <cellStyle name="s_Trans Assump_1_Apollo Advisors IV 12-31-08 GAAP TB Final" xfId="31038" xr:uid="{00000000-0005-0000-0000-000046790000}"/>
    <cellStyle name="s_Trans Assump_1_Apollo Advisors IV 12-31-08 TB (Revised for Aggr PR)" xfId="31039" xr:uid="{00000000-0005-0000-0000-000047790000}"/>
    <cellStyle name="s_Trans Assump_1_Apollo Advisors IV 6-30-09 GAAP TB" xfId="31040" xr:uid="{00000000-0005-0000-0000-000048790000}"/>
    <cellStyle name="s_Trans Assump_1_Apollo Investment Fund IV  April Priority Return" xfId="31041" xr:uid="{00000000-0005-0000-0000-000049790000}"/>
    <cellStyle name="s_Trans Assump_1_Apollo Investment Fund IV  Q1 2009 Capital Analysis 5-22-09 with GAAP" xfId="31042" xr:uid="{00000000-0005-0000-0000-00004A790000}"/>
    <cellStyle name="s_Trans Assump_1_Apollo Investment Fund IV  Q1 2009 Capital Analysis GAAP" xfId="31043" xr:uid="{00000000-0005-0000-0000-00004B790000}"/>
    <cellStyle name="s_Trans Assump_1_Apollo Investment Fund IV  Q2 2009 Capital Analysis CURRENT" xfId="31044" xr:uid="{00000000-0005-0000-0000-00004C790000}"/>
    <cellStyle name="s_Trans Assump_1_Apollo Investment Fund IV  Q3 2009 Capital Analysis CURRENT" xfId="31045" xr:uid="{00000000-0005-0000-0000-00004D790000}"/>
    <cellStyle name="s_Trans Assump_1_Apollo Investment Fund IV  Q3 2009 Capital Analysis iPCS &amp; URI Distribution" xfId="31046" xr:uid="{00000000-0005-0000-0000-00004E790000}"/>
    <cellStyle name="s_Trans Assump_1_Apollo Investment Fund IV Q1 2009 Capital Analysis PR CORRECTED 6-30-09" xfId="31047" xr:uid="{00000000-0005-0000-0000-00004F790000}"/>
    <cellStyle name="s_Trans Assump_1_Broadleaf Watefall 12-31-09" xfId="31048" xr:uid="{00000000-0005-0000-0000-000050790000}"/>
    <cellStyle name="s_Trans Assump_1_Broadleaf Watefall 6-30-09" xfId="31049" xr:uid="{00000000-0005-0000-0000-000051790000}"/>
    <cellStyle name="s_Trans Assump_1_Broadleaf Watefall 9-30-09" xfId="31050" xr:uid="{00000000-0005-0000-0000-000052790000}"/>
    <cellStyle name="s_Trans Assump_1_Carry Calculation" xfId="31051" xr:uid="{00000000-0005-0000-0000-000053790000}"/>
    <cellStyle name="s_Trans Assump_1_Fund IV" xfId="31052" xr:uid="{00000000-0005-0000-0000-000054790000}"/>
    <cellStyle name="s_Trans Assump_1_Fund IV 9.30.08" xfId="31053" xr:uid="{00000000-0005-0000-0000-000055790000}"/>
    <cellStyle name="s_Trans Assump_1_Fund IV_1" xfId="31054" xr:uid="{00000000-0005-0000-0000-000056790000}"/>
    <cellStyle name="s_Trans Assump_1_Funds IV Clawback Adjustment Summary" xfId="31055" xr:uid="{00000000-0005-0000-0000-000057790000}"/>
    <cellStyle name="s_Trans Assump_1_Funds IV Clawback Value Adjustment" xfId="31056" xr:uid="{00000000-0005-0000-0000-000058790000}"/>
    <cellStyle name="s_Trans Assump_1_IC Balance" xfId="31057" xr:uid="{00000000-0005-0000-0000-000059790000}"/>
    <cellStyle name="s_Trans Assump_1_Invested Capital Debt Worksheet" xfId="31058" xr:uid="{00000000-0005-0000-0000-00005A790000}"/>
    <cellStyle name="s_Trans Assump_1_Invested Capital Debt Worksheet_1" xfId="31059" xr:uid="{00000000-0005-0000-0000-00005B790000}"/>
    <cellStyle name="s_Trans Assump_1_iPCs#1-Remaining" xfId="31060" xr:uid="{00000000-0005-0000-0000-00005C790000}"/>
    <cellStyle name="s_Trans Assump_1_MMF Income" xfId="31061" xr:uid="{00000000-0005-0000-0000-00005D790000}"/>
    <cellStyle name="s_Trans Assump_1_Partners Capital Q1 2009" xfId="31062" xr:uid="{00000000-0005-0000-0000-00005E790000}"/>
    <cellStyle name="s_Trans Assump_1_Placement Fee Summary 05-14-09 - Current (2)" xfId="31063" xr:uid="{00000000-0005-0000-0000-00005F790000}"/>
    <cellStyle name="s_Trans Assump_1_PR Calc" xfId="31064" xr:uid="{00000000-0005-0000-0000-000060790000}"/>
    <cellStyle name="s_Trans Assump_1_RCIV Q3 2009 Capital Analysis CURRENT" xfId="31065" xr:uid="{00000000-0005-0000-0000-000061790000}"/>
    <cellStyle name="s_Trans Assump_1_Sheet1" xfId="31066" xr:uid="{00000000-0005-0000-0000-000062790000}"/>
    <cellStyle name="s_Trans Assump_AIF IV Financial Highlights 12-31-08 v4" xfId="31067" xr:uid="{00000000-0005-0000-0000-000063790000}"/>
    <cellStyle name="s_Trans Assump_AIF IV Financial Highlights 12-31-08 v4_Apollo Investment Fund IV  Q3 2009 Capital Analysis CURRENT" xfId="31068" xr:uid="{00000000-0005-0000-0000-000064790000}"/>
    <cellStyle name="s_Trans Assump_AIF IV Financial Highlights 12-31-08 v4_Apollo Investment Fund IV  Q3 2009 Capital Analysis iPCS &amp; URI Distribution" xfId="31069" xr:uid="{00000000-0005-0000-0000-000065790000}"/>
    <cellStyle name="s_Trans Assump_AIF IV Financial Highlights 12-31-08 v4_iPCs#1-Remaining" xfId="31070" xr:uid="{00000000-0005-0000-0000-000066790000}"/>
    <cellStyle name="s_Trans Assump_AIF VI - BondcoVI_Entities Invested Capital (CURRENT)" xfId="31071" xr:uid="{00000000-0005-0000-0000-000067790000}"/>
    <cellStyle name="s_Trans Assump_AIF VI Broadleaf Watefall Summary as of 6-30-09 FINAL" xfId="31072" xr:uid="{00000000-0005-0000-0000-000068790000}"/>
    <cellStyle name="s_Trans Assump_AIF VI Broadleaf Watefall Summary as of 9-30-09" xfId="31073" xr:uid="{00000000-0005-0000-0000-000069790000}"/>
    <cellStyle name="s_Trans Assump_Andy Affrick - Schedulev2" xfId="31074" xr:uid="{00000000-0005-0000-0000-00006A790000}"/>
    <cellStyle name="s_Trans Assump_Apollo Advisors IV 12-31-08 GAAP TB Final" xfId="31075" xr:uid="{00000000-0005-0000-0000-00006B790000}"/>
    <cellStyle name="s_Trans Assump_Apollo Advisors IV 12-31-08 TB (Revised for Aggr PR)" xfId="31076" xr:uid="{00000000-0005-0000-0000-00006C790000}"/>
    <cellStyle name="s_Trans Assump_Apollo Advisors IV 6-30-09 GAAP TB" xfId="31077" xr:uid="{00000000-0005-0000-0000-00006D790000}"/>
    <cellStyle name="s_Trans Assump_Apollo Investment Fund IV  April Priority Return" xfId="31078" xr:uid="{00000000-0005-0000-0000-00006E790000}"/>
    <cellStyle name="s_Trans Assump_Apollo Investment Fund IV  Q1 2009 Capital Analysis 5-22-09 with GAAP" xfId="31079" xr:uid="{00000000-0005-0000-0000-00006F790000}"/>
    <cellStyle name="s_Trans Assump_Apollo Investment Fund IV  Q1 2009 Capital Analysis GAAP" xfId="31080" xr:uid="{00000000-0005-0000-0000-000070790000}"/>
    <cellStyle name="s_Trans Assump_Apollo Investment Fund IV  Q2 2009 Capital Analysis CURRENT" xfId="31081" xr:uid="{00000000-0005-0000-0000-000071790000}"/>
    <cellStyle name="s_Trans Assump_Apollo Investment Fund IV  Q3 2009 Capital Analysis CURRENT" xfId="31082" xr:uid="{00000000-0005-0000-0000-000072790000}"/>
    <cellStyle name="s_Trans Assump_Apollo Investment Fund IV  Q3 2009 Capital Analysis iPCS &amp; URI Distribution" xfId="31083" xr:uid="{00000000-0005-0000-0000-000073790000}"/>
    <cellStyle name="s_Trans Assump_Apollo Investment Fund IV Q1 2009 Capital Analysis PR CORRECTED 6-30-09" xfId="31084" xr:uid="{00000000-0005-0000-0000-000074790000}"/>
    <cellStyle name="s_Trans Assump_Broadleaf Watefall 12-31-09" xfId="31085" xr:uid="{00000000-0005-0000-0000-000075790000}"/>
    <cellStyle name="s_Trans Assump_Broadleaf Watefall 6-30-09" xfId="31086" xr:uid="{00000000-0005-0000-0000-000076790000}"/>
    <cellStyle name="s_Trans Assump_Broadleaf Watefall 9-30-09" xfId="31087" xr:uid="{00000000-0005-0000-0000-000077790000}"/>
    <cellStyle name="s_Trans Assump_Carry Calculation" xfId="31088" xr:uid="{00000000-0005-0000-0000-000078790000}"/>
    <cellStyle name="s_Trans Assump_Fund IV" xfId="31089" xr:uid="{00000000-0005-0000-0000-000079790000}"/>
    <cellStyle name="s_Trans Assump_Fund IV 9.30.08" xfId="31090" xr:uid="{00000000-0005-0000-0000-00007A790000}"/>
    <cellStyle name="s_Trans Assump_Fund IV_1" xfId="31091" xr:uid="{00000000-0005-0000-0000-00007B790000}"/>
    <cellStyle name="s_Trans Assump_Funds IV Clawback Adjustment Summary" xfId="31092" xr:uid="{00000000-0005-0000-0000-00007C790000}"/>
    <cellStyle name="s_Trans Assump_Funds IV Clawback Value Adjustment" xfId="31093" xr:uid="{00000000-0005-0000-0000-00007D790000}"/>
    <cellStyle name="s_Trans Assump_IC Balance" xfId="31094" xr:uid="{00000000-0005-0000-0000-00007E790000}"/>
    <cellStyle name="s_Trans Assump_Invested Capital Debt Worksheet" xfId="31095" xr:uid="{00000000-0005-0000-0000-00007F790000}"/>
    <cellStyle name="s_Trans Assump_Invested Capital Debt Worksheet_1" xfId="31096" xr:uid="{00000000-0005-0000-0000-000080790000}"/>
    <cellStyle name="s_Trans Assump_iPCs#1-Remaining" xfId="31097" xr:uid="{00000000-0005-0000-0000-000081790000}"/>
    <cellStyle name="s_Trans Assump_MMF Income" xfId="31098" xr:uid="{00000000-0005-0000-0000-000082790000}"/>
    <cellStyle name="s_Trans Assump_Partners Capital Q1 2009" xfId="31099" xr:uid="{00000000-0005-0000-0000-000083790000}"/>
    <cellStyle name="s_Trans Assump_Placement Fee Summary 05-14-09 - Current (2)" xfId="31100" xr:uid="{00000000-0005-0000-0000-000084790000}"/>
    <cellStyle name="s_Trans Assump_PR Calc" xfId="31101" xr:uid="{00000000-0005-0000-0000-000085790000}"/>
    <cellStyle name="s_Trans Assump_RCIV Q3 2009 Capital Analysis CURRENT" xfId="31102" xr:uid="{00000000-0005-0000-0000-000086790000}"/>
    <cellStyle name="s_Trans Assump_Sheet1" xfId="31103" xr:uid="{00000000-0005-0000-0000-000087790000}"/>
    <cellStyle name="SAPBEXaggData" xfId="31104" xr:uid="{00000000-0005-0000-0000-000088790000}"/>
    <cellStyle name="SAPBEXaggData 10" xfId="31105" xr:uid="{00000000-0005-0000-0000-000089790000}"/>
    <cellStyle name="SAPBEXaggData 11" xfId="31106" xr:uid="{00000000-0005-0000-0000-00008A790000}"/>
    <cellStyle name="SAPBEXaggData 12" xfId="31107" xr:uid="{00000000-0005-0000-0000-00008B790000}"/>
    <cellStyle name="SAPBEXaggData 13" xfId="31108" xr:uid="{00000000-0005-0000-0000-00008C790000}"/>
    <cellStyle name="SAPBEXaggData 14" xfId="31109" xr:uid="{00000000-0005-0000-0000-00008D790000}"/>
    <cellStyle name="SAPBEXaggData 15" xfId="31110" xr:uid="{00000000-0005-0000-0000-00008E790000}"/>
    <cellStyle name="SAPBEXaggData 16" xfId="31111" xr:uid="{00000000-0005-0000-0000-00008F790000}"/>
    <cellStyle name="SAPBEXaggData 17" xfId="31112" xr:uid="{00000000-0005-0000-0000-000090790000}"/>
    <cellStyle name="SAPBEXaggData 18" xfId="31113" xr:uid="{00000000-0005-0000-0000-000091790000}"/>
    <cellStyle name="SAPBEXaggData 19" xfId="31114" xr:uid="{00000000-0005-0000-0000-000092790000}"/>
    <cellStyle name="SAPBEXaggData 2" xfId="31115" xr:uid="{00000000-0005-0000-0000-000093790000}"/>
    <cellStyle name="SAPBEXaggData 20" xfId="31116" xr:uid="{00000000-0005-0000-0000-000094790000}"/>
    <cellStyle name="SAPBEXaggData 21" xfId="31117" xr:uid="{00000000-0005-0000-0000-000095790000}"/>
    <cellStyle name="SAPBEXaggData 21 2" xfId="31118" xr:uid="{00000000-0005-0000-0000-000096790000}"/>
    <cellStyle name="SAPBEXaggData 3" xfId="31119" xr:uid="{00000000-0005-0000-0000-000097790000}"/>
    <cellStyle name="SAPBEXaggData 4" xfId="31120" xr:uid="{00000000-0005-0000-0000-000098790000}"/>
    <cellStyle name="SAPBEXaggData 5" xfId="31121" xr:uid="{00000000-0005-0000-0000-000099790000}"/>
    <cellStyle name="SAPBEXaggData 6" xfId="31122" xr:uid="{00000000-0005-0000-0000-00009A790000}"/>
    <cellStyle name="SAPBEXaggData 7" xfId="31123" xr:uid="{00000000-0005-0000-0000-00009B790000}"/>
    <cellStyle name="SAPBEXaggData 8" xfId="31124" xr:uid="{00000000-0005-0000-0000-00009C790000}"/>
    <cellStyle name="SAPBEXaggData 9" xfId="31125" xr:uid="{00000000-0005-0000-0000-00009D790000}"/>
    <cellStyle name="SAPBEXchaText" xfId="31126" xr:uid="{00000000-0005-0000-0000-00009E790000}"/>
    <cellStyle name="SAPBEXchaText 10" xfId="31127" xr:uid="{00000000-0005-0000-0000-00009F790000}"/>
    <cellStyle name="SAPBEXchaText 11" xfId="31128" xr:uid="{00000000-0005-0000-0000-0000A0790000}"/>
    <cellStyle name="SAPBEXchaText 12" xfId="31129" xr:uid="{00000000-0005-0000-0000-0000A1790000}"/>
    <cellStyle name="SAPBEXchaText 13" xfId="31130" xr:uid="{00000000-0005-0000-0000-0000A2790000}"/>
    <cellStyle name="SAPBEXchaText 14" xfId="31131" xr:uid="{00000000-0005-0000-0000-0000A3790000}"/>
    <cellStyle name="SAPBEXchaText 15" xfId="31132" xr:uid="{00000000-0005-0000-0000-0000A4790000}"/>
    <cellStyle name="SAPBEXchaText 16" xfId="31133" xr:uid="{00000000-0005-0000-0000-0000A5790000}"/>
    <cellStyle name="SAPBEXchaText 17" xfId="31134" xr:uid="{00000000-0005-0000-0000-0000A6790000}"/>
    <cellStyle name="SAPBEXchaText 18" xfId="31135" xr:uid="{00000000-0005-0000-0000-0000A7790000}"/>
    <cellStyle name="SAPBEXchaText 19" xfId="31136" xr:uid="{00000000-0005-0000-0000-0000A8790000}"/>
    <cellStyle name="SAPBEXchaText 2" xfId="31137" xr:uid="{00000000-0005-0000-0000-0000A9790000}"/>
    <cellStyle name="SAPBEXchaText 20" xfId="31138" xr:uid="{00000000-0005-0000-0000-0000AA790000}"/>
    <cellStyle name="SAPBEXchaText 21" xfId="31139" xr:uid="{00000000-0005-0000-0000-0000AB790000}"/>
    <cellStyle name="SAPBEXchaText 21 2" xfId="31140" xr:uid="{00000000-0005-0000-0000-0000AC790000}"/>
    <cellStyle name="SAPBEXchaText 3" xfId="31141" xr:uid="{00000000-0005-0000-0000-0000AD790000}"/>
    <cellStyle name="SAPBEXchaText 4" xfId="31142" xr:uid="{00000000-0005-0000-0000-0000AE790000}"/>
    <cellStyle name="SAPBEXchaText 5" xfId="31143" xr:uid="{00000000-0005-0000-0000-0000AF790000}"/>
    <cellStyle name="SAPBEXchaText 6" xfId="31144" xr:uid="{00000000-0005-0000-0000-0000B0790000}"/>
    <cellStyle name="SAPBEXchaText 7" xfId="31145" xr:uid="{00000000-0005-0000-0000-0000B1790000}"/>
    <cellStyle name="SAPBEXchaText 8" xfId="31146" xr:uid="{00000000-0005-0000-0000-0000B2790000}"/>
    <cellStyle name="SAPBEXchaText 9" xfId="31147" xr:uid="{00000000-0005-0000-0000-0000B3790000}"/>
    <cellStyle name="SAPBEXstdData" xfId="31148" xr:uid="{00000000-0005-0000-0000-0000B4790000}"/>
    <cellStyle name="SAPBEXstdData 10" xfId="31149" xr:uid="{00000000-0005-0000-0000-0000B5790000}"/>
    <cellStyle name="SAPBEXstdData 11" xfId="31150" xr:uid="{00000000-0005-0000-0000-0000B6790000}"/>
    <cellStyle name="SAPBEXstdData 12" xfId="31151" xr:uid="{00000000-0005-0000-0000-0000B7790000}"/>
    <cellStyle name="SAPBEXstdData 13" xfId="31152" xr:uid="{00000000-0005-0000-0000-0000B8790000}"/>
    <cellStyle name="SAPBEXstdData 14" xfId="31153" xr:uid="{00000000-0005-0000-0000-0000B9790000}"/>
    <cellStyle name="SAPBEXstdData 15" xfId="31154" xr:uid="{00000000-0005-0000-0000-0000BA790000}"/>
    <cellStyle name="SAPBEXstdData 16" xfId="31155" xr:uid="{00000000-0005-0000-0000-0000BB790000}"/>
    <cellStyle name="SAPBEXstdData 17" xfId="31156" xr:uid="{00000000-0005-0000-0000-0000BC790000}"/>
    <cellStyle name="SAPBEXstdData 18" xfId="31157" xr:uid="{00000000-0005-0000-0000-0000BD790000}"/>
    <cellStyle name="SAPBEXstdData 19" xfId="31158" xr:uid="{00000000-0005-0000-0000-0000BE790000}"/>
    <cellStyle name="SAPBEXstdData 2" xfId="31159" xr:uid="{00000000-0005-0000-0000-0000BF790000}"/>
    <cellStyle name="SAPBEXstdData 20" xfId="31160" xr:uid="{00000000-0005-0000-0000-0000C0790000}"/>
    <cellStyle name="SAPBEXstdData 21" xfId="31161" xr:uid="{00000000-0005-0000-0000-0000C1790000}"/>
    <cellStyle name="SAPBEXstdData 21 2" xfId="31162" xr:uid="{00000000-0005-0000-0000-0000C2790000}"/>
    <cellStyle name="SAPBEXstdData 3" xfId="31163" xr:uid="{00000000-0005-0000-0000-0000C3790000}"/>
    <cellStyle name="SAPBEXstdData 4" xfId="31164" xr:uid="{00000000-0005-0000-0000-0000C4790000}"/>
    <cellStyle name="SAPBEXstdData 5" xfId="31165" xr:uid="{00000000-0005-0000-0000-0000C5790000}"/>
    <cellStyle name="SAPBEXstdData 6" xfId="31166" xr:uid="{00000000-0005-0000-0000-0000C6790000}"/>
    <cellStyle name="SAPBEXstdData 7" xfId="31167" xr:uid="{00000000-0005-0000-0000-0000C7790000}"/>
    <cellStyle name="SAPBEXstdData 8" xfId="31168" xr:uid="{00000000-0005-0000-0000-0000C8790000}"/>
    <cellStyle name="SAPBEXstdData 9" xfId="31169" xr:uid="{00000000-0005-0000-0000-0000C9790000}"/>
    <cellStyle name="SAPBEXstdItem" xfId="31170" xr:uid="{00000000-0005-0000-0000-0000CA790000}"/>
    <cellStyle name="SAPBEXstdItem 10" xfId="31171" xr:uid="{00000000-0005-0000-0000-0000CB790000}"/>
    <cellStyle name="SAPBEXstdItem 11" xfId="31172" xr:uid="{00000000-0005-0000-0000-0000CC790000}"/>
    <cellStyle name="SAPBEXstdItem 12" xfId="31173" xr:uid="{00000000-0005-0000-0000-0000CD790000}"/>
    <cellStyle name="SAPBEXstdItem 13" xfId="31174" xr:uid="{00000000-0005-0000-0000-0000CE790000}"/>
    <cellStyle name="SAPBEXstdItem 14" xfId="31175" xr:uid="{00000000-0005-0000-0000-0000CF790000}"/>
    <cellStyle name="SAPBEXstdItem 15" xfId="31176" xr:uid="{00000000-0005-0000-0000-0000D0790000}"/>
    <cellStyle name="SAPBEXstdItem 16" xfId="31177" xr:uid="{00000000-0005-0000-0000-0000D1790000}"/>
    <cellStyle name="SAPBEXstdItem 17" xfId="31178" xr:uid="{00000000-0005-0000-0000-0000D2790000}"/>
    <cellStyle name="SAPBEXstdItem 18" xfId="31179" xr:uid="{00000000-0005-0000-0000-0000D3790000}"/>
    <cellStyle name="SAPBEXstdItem 19" xfId="31180" xr:uid="{00000000-0005-0000-0000-0000D4790000}"/>
    <cellStyle name="SAPBEXstdItem 2" xfId="31181" xr:uid="{00000000-0005-0000-0000-0000D5790000}"/>
    <cellStyle name="SAPBEXstdItem 20" xfId="31182" xr:uid="{00000000-0005-0000-0000-0000D6790000}"/>
    <cellStyle name="SAPBEXstdItem 21" xfId="31183" xr:uid="{00000000-0005-0000-0000-0000D7790000}"/>
    <cellStyle name="SAPBEXstdItem 21 2" xfId="31184" xr:uid="{00000000-0005-0000-0000-0000D8790000}"/>
    <cellStyle name="SAPBEXstdItem 3" xfId="31185" xr:uid="{00000000-0005-0000-0000-0000D9790000}"/>
    <cellStyle name="SAPBEXstdItem 4" xfId="31186" xr:uid="{00000000-0005-0000-0000-0000DA790000}"/>
    <cellStyle name="SAPBEXstdItem 5" xfId="31187" xr:uid="{00000000-0005-0000-0000-0000DB790000}"/>
    <cellStyle name="SAPBEXstdItem 6" xfId="31188" xr:uid="{00000000-0005-0000-0000-0000DC790000}"/>
    <cellStyle name="SAPBEXstdItem 7" xfId="31189" xr:uid="{00000000-0005-0000-0000-0000DD790000}"/>
    <cellStyle name="SAPBEXstdItem 8" xfId="31190" xr:uid="{00000000-0005-0000-0000-0000DE790000}"/>
    <cellStyle name="SAPBEXstdItem 9" xfId="31191" xr:uid="{00000000-0005-0000-0000-0000DF790000}"/>
    <cellStyle name="ScotchRule" xfId="31192" xr:uid="{00000000-0005-0000-0000-0000E0790000}"/>
    <cellStyle name="ScotchRule 10" xfId="31193" xr:uid="{00000000-0005-0000-0000-0000E1790000}"/>
    <cellStyle name="ScotchRule 11" xfId="31194" xr:uid="{00000000-0005-0000-0000-0000E2790000}"/>
    <cellStyle name="ScotchRule 12" xfId="31195" xr:uid="{00000000-0005-0000-0000-0000E3790000}"/>
    <cellStyle name="ScotchRule 13" xfId="31196" xr:uid="{00000000-0005-0000-0000-0000E4790000}"/>
    <cellStyle name="ScotchRule 14" xfId="31197" xr:uid="{00000000-0005-0000-0000-0000E5790000}"/>
    <cellStyle name="ScotchRule 15" xfId="31198" xr:uid="{00000000-0005-0000-0000-0000E6790000}"/>
    <cellStyle name="ScotchRule 16" xfId="31199" xr:uid="{00000000-0005-0000-0000-0000E7790000}"/>
    <cellStyle name="ScotchRule 17" xfId="31200" xr:uid="{00000000-0005-0000-0000-0000E8790000}"/>
    <cellStyle name="ScotchRule 18" xfId="31201" xr:uid="{00000000-0005-0000-0000-0000E9790000}"/>
    <cellStyle name="ScotchRule 19" xfId="31202" xr:uid="{00000000-0005-0000-0000-0000EA790000}"/>
    <cellStyle name="ScotchRule 2" xfId="31203" xr:uid="{00000000-0005-0000-0000-0000EB790000}"/>
    <cellStyle name="ScotchRule 20" xfId="31204" xr:uid="{00000000-0005-0000-0000-0000EC790000}"/>
    <cellStyle name="ScotchRule 21" xfId="31205" xr:uid="{00000000-0005-0000-0000-0000ED790000}"/>
    <cellStyle name="ScotchRule 21 2" xfId="31206" xr:uid="{00000000-0005-0000-0000-0000EE790000}"/>
    <cellStyle name="ScotchRule 3" xfId="31207" xr:uid="{00000000-0005-0000-0000-0000EF790000}"/>
    <cellStyle name="ScotchRule 4" xfId="31208" xr:uid="{00000000-0005-0000-0000-0000F0790000}"/>
    <cellStyle name="ScotchRule 5" xfId="31209" xr:uid="{00000000-0005-0000-0000-0000F1790000}"/>
    <cellStyle name="ScotchRule 6" xfId="31210" xr:uid="{00000000-0005-0000-0000-0000F2790000}"/>
    <cellStyle name="ScotchRule 7" xfId="31211" xr:uid="{00000000-0005-0000-0000-0000F3790000}"/>
    <cellStyle name="ScotchRule 8" xfId="31212" xr:uid="{00000000-0005-0000-0000-0000F4790000}"/>
    <cellStyle name="ScotchRule 9" xfId="31213" xr:uid="{00000000-0005-0000-0000-0000F5790000}"/>
    <cellStyle name="ScripFactor" xfId="31214" xr:uid="{00000000-0005-0000-0000-0000F6790000}"/>
    <cellStyle name="ScripFactor 10" xfId="31215" xr:uid="{00000000-0005-0000-0000-0000F7790000}"/>
    <cellStyle name="ScripFactor 11" xfId="31216" xr:uid="{00000000-0005-0000-0000-0000F8790000}"/>
    <cellStyle name="ScripFactor 12" xfId="31217" xr:uid="{00000000-0005-0000-0000-0000F9790000}"/>
    <cellStyle name="ScripFactor 13" xfId="31218" xr:uid="{00000000-0005-0000-0000-0000FA790000}"/>
    <cellStyle name="ScripFactor 14" xfId="31219" xr:uid="{00000000-0005-0000-0000-0000FB790000}"/>
    <cellStyle name="ScripFactor 15" xfId="31220" xr:uid="{00000000-0005-0000-0000-0000FC790000}"/>
    <cellStyle name="ScripFactor 16" xfId="31221" xr:uid="{00000000-0005-0000-0000-0000FD790000}"/>
    <cellStyle name="ScripFactor 17" xfId="31222" xr:uid="{00000000-0005-0000-0000-0000FE790000}"/>
    <cellStyle name="ScripFactor 18" xfId="31223" xr:uid="{00000000-0005-0000-0000-0000FF790000}"/>
    <cellStyle name="ScripFactor 19" xfId="31224" xr:uid="{00000000-0005-0000-0000-0000007A0000}"/>
    <cellStyle name="ScripFactor 2" xfId="31225" xr:uid="{00000000-0005-0000-0000-0000017A0000}"/>
    <cellStyle name="ScripFactor 20" xfId="31226" xr:uid="{00000000-0005-0000-0000-0000027A0000}"/>
    <cellStyle name="ScripFactor 21" xfId="31227" xr:uid="{00000000-0005-0000-0000-0000037A0000}"/>
    <cellStyle name="ScripFactor 22" xfId="31228" xr:uid="{00000000-0005-0000-0000-0000047A0000}"/>
    <cellStyle name="ScripFactor 23" xfId="31229" xr:uid="{00000000-0005-0000-0000-0000057A0000}"/>
    <cellStyle name="ScripFactor 23 2" xfId="31230" xr:uid="{00000000-0005-0000-0000-0000067A0000}"/>
    <cellStyle name="ScripFactor 24" xfId="31231" xr:uid="{00000000-0005-0000-0000-0000077A0000}"/>
    <cellStyle name="ScripFactor 24 2" xfId="31232" xr:uid="{00000000-0005-0000-0000-0000087A0000}"/>
    <cellStyle name="ScripFactor 25" xfId="31233" xr:uid="{00000000-0005-0000-0000-0000097A0000}"/>
    <cellStyle name="ScripFactor 26" xfId="31234" xr:uid="{00000000-0005-0000-0000-00000A7A0000}"/>
    <cellStyle name="ScripFactor 27" xfId="31235" xr:uid="{00000000-0005-0000-0000-00000B7A0000}"/>
    <cellStyle name="ScripFactor 28" xfId="31236" xr:uid="{00000000-0005-0000-0000-00000C7A0000}"/>
    <cellStyle name="ScripFactor 29" xfId="31237" xr:uid="{00000000-0005-0000-0000-00000D7A0000}"/>
    <cellStyle name="ScripFactor 29 2" xfId="31238" xr:uid="{00000000-0005-0000-0000-00000E7A0000}"/>
    <cellStyle name="ScripFactor 3" xfId="31239" xr:uid="{00000000-0005-0000-0000-00000F7A0000}"/>
    <cellStyle name="ScripFactor 3 2" xfId="31240" xr:uid="{00000000-0005-0000-0000-0000107A0000}"/>
    <cellStyle name="ScripFactor 30" xfId="31241" xr:uid="{00000000-0005-0000-0000-0000117A0000}"/>
    <cellStyle name="ScripFactor 31" xfId="31242" xr:uid="{00000000-0005-0000-0000-0000127A0000}"/>
    <cellStyle name="ScripFactor 32" xfId="31243" xr:uid="{00000000-0005-0000-0000-0000137A0000}"/>
    <cellStyle name="ScripFactor 33" xfId="31244" xr:uid="{00000000-0005-0000-0000-0000147A0000}"/>
    <cellStyle name="ScripFactor 34" xfId="31245" xr:uid="{00000000-0005-0000-0000-0000157A0000}"/>
    <cellStyle name="ScripFactor 35" xfId="31246" xr:uid="{00000000-0005-0000-0000-0000167A0000}"/>
    <cellStyle name="ScripFactor 36" xfId="31247" xr:uid="{00000000-0005-0000-0000-0000177A0000}"/>
    <cellStyle name="ScripFactor 37" xfId="31248" xr:uid="{00000000-0005-0000-0000-0000187A0000}"/>
    <cellStyle name="ScripFactor 38" xfId="31249" xr:uid="{00000000-0005-0000-0000-0000197A0000}"/>
    <cellStyle name="ScripFactor 4" xfId="31250" xr:uid="{00000000-0005-0000-0000-00001A7A0000}"/>
    <cellStyle name="ScripFactor 4 2" xfId="31251" xr:uid="{00000000-0005-0000-0000-00001B7A0000}"/>
    <cellStyle name="ScripFactor 5" xfId="31252" xr:uid="{00000000-0005-0000-0000-00001C7A0000}"/>
    <cellStyle name="ScripFactor 5 2" xfId="31253" xr:uid="{00000000-0005-0000-0000-00001D7A0000}"/>
    <cellStyle name="ScripFactor 6" xfId="31254" xr:uid="{00000000-0005-0000-0000-00001E7A0000}"/>
    <cellStyle name="ScripFactor 6 2" xfId="31255" xr:uid="{00000000-0005-0000-0000-00001F7A0000}"/>
    <cellStyle name="ScripFactor 7" xfId="31256" xr:uid="{00000000-0005-0000-0000-0000207A0000}"/>
    <cellStyle name="ScripFactor 7 2" xfId="31257" xr:uid="{00000000-0005-0000-0000-0000217A0000}"/>
    <cellStyle name="ScripFactor 8" xfId="31258" xr:uid="{00000000-0005-0000-0000-0000227A0000}"/>
    <cellStyle name="ScripFactor 8 2" xfId="31259" xr:uid="{00000000-0005-0000-0000-0000237A0000}"/>
    <cellStyle name="ScripFactor 9" xfId="31260" xr:uid="{00000000-0005-0000-0000-0000247A0000}"/>
    <cellStyle name="sd" xfId="31261" xr:uid="{00000000-0005-0000-0000-0000257A0000}"/>
    <cellStyle name="sd 10" xfId="31262" xr:uid="{00000000-0005-0000-0000-0000267A0000}"/>
    <cellStyle name="sd 11" xfId="31263" xr:uid="{00000000-0005-0000-0000-0000277A0000}"/>
    <cellStyle name="sd 12" xfId="31264" xr:uid="{00000000-0005-0000-0000-0000287A0000}"/>
    <cellStyle name="sd 13" xfId="31265" xr:uid="{00000000-0005-0000-0000-0000297A0000}"/>
    <cellStyle name="sd 14" xfId="31266" xr:uid="{00000000-0005-0000-0000-00002A7A0000}"/>
    <cellStyle name="sd 15" xfId="31267" xr:uid="{00000000-0005-0000-0000-00002B7A0000}"/>
    <cellStyle name="sd 16" xfId="31268" xr:uid="{00000000-0005-0000-0000-00002C7A0000}"/>
    <cellStyle name="sd 17" xfId="31269" xr:uid="{00000000-0005-0000-0000-00002D7A0000}"/>
    <cellStyle name="sd 18" xfId="31270" xr:uid="{00000000-0005-0000-0000-00002E7A0000}"/>
    <cellStyle name="sd 19" xfId="31271" xr:uid="{00000000-0005-0000-0000-00002F7A0000}"/>
    <cellStyle name="sd 2" xfId="31272" xr:uid="{00000000-0005-0000-0000-0000307A0000}"/>
    <cellStyle name="sd 20" xfId="31273" xr:uid="{00000000-0005-0000-0000-0000317A0000}"/>
    <cellStyle name="sd 21" xfId="31274" xr:uid="{00000000-0005-0000-0000-0000327A0000}"/>
    <cellStyle name="sd 21 2" xfId="31275" xr:uid="{00000000-0005-0000-0000-0000337A0000}"/>
    <cellStyle name="sd 3" xfId="31276" xr:uid="{00000000-0005-0000-0000-0000347A0000}"/>
    <cellStyle name="sd 4" xfId="31277" xr:uid="{00000000-0005-0000-0000-0000357A0000}"/>
    <cellStyle name="sd 5" xfId="31278" xr:uid="{00000000-0005-0000-0000-0000367A0000}"/>
    <cellStyle name="sd 6" xfId="31279" xr:uid="{00000000-0005-0000-0000-0000377A0000}"/>
    <cellStyle name="sd 7" xfId="31280" xr:uid="{00000000-0005-0000-0000-0000387A0000}"/>
    <cellStyle name="sd 8" xfId="31281" xr:uid="{00000000-0005-0000-0000-0000397A0000}"/>
    <cellStyle name="sd 9" xfId="31282" xr:uid="{00000000-0005-0000-0000-00003A7A0000}"/>
    <cellStyle name="SectionHeaderNormal" xfId="31283" xr:uid="{00000000-0005-0000-0000-00003B7A0000}"/>
    <cellStyle name="SectionHeaderNormal 10" xfId="31284" xr:uid="{00000000-0005-0000-0000-00003C7A0000}"/>
    <cellStyle name="SectionHeaderNormal 11" xfId="31285" xr:uid="{00000000-0005-0000-0000-00003D7A0000}"/>
    <cellStyle name="SectionHeaderNormal 12" xfId="31286" xr:uid="{00000000-0005-0000-0000-00003E7A0000}"/>
    <cellStyle name="SectionHeaderNormal 13" xfId="31287" xr:uid="{00000000-0005-0000-0000-00003F7A0000}"/>
    <cellStyle name="SectionHeaderNormal 14" xfId="31288" xr:uid="{00000000-0005-0000-0000-0000407A0000}"/>
    <cellStyle name="SectionHeaderNormal 15" xfId="31289" xr:uid="{00000000-0005-0000-0000-0000417A0000}"/>
    <cellStyle name="SectionHeaderNormal 16" xfId="31290" xr:uid="{00000000-0005-0000-0000-0000427A0000}"/>
    <cellStyle name="SectionHeaderNormal 17" xfId="31291" xr:uid="{00000000-0005-0000-0000-0000437A0000}"/>
    <cellStyle name="SectionHeaderNormal 18" xfId="31292" xr:uid="{00000000-0005-0000-0000-0000447A0000}"/>
    <cellStyle name="SectionHeaderNormal 19" xfId="31293" xr:uid="{00000000-0005-0000-0000-0000457A0000}"/>
    <cellStyle name="SectionHeaderNormal 2" xfId="31294" xr:uid="{00000000-0005-0000-0000-0000467A0000}"/>
    <cellStyle name="SectionHeaderNormal 20" xfId="31295" xr:uid="{00000000-0005-0000-0000-0000477A0000}"/>
    <cellStyle name="SectionHeaderNormal 21" xfId="31296" xr:uid="{00000000-0005-0000-0000-0000487A0000}"/>
    <cellStyle name="SectionHeaderNormal 22" xfId="31297" xr:uid="{00000000-0005-0000-0000-0000497A0000}"/>
    <cellStyle name="SectionHeaderNormal 23" xfId="31298" xr:uid="{00000000-0005-0000-0000-00004A7A0000}"/>
    <cellStyle name="SectionHeaderNormal 23 2" xfId="31299" xr:uid="{00000000-0005-0000-0000-00004B7A0000}"/>
    <cellStyle name="SectionHeaderNormal 24" xfId="31300" xr:uid="{00000000-0005-0000-0000-00004C7A0000}"/>
    <cellStyle name="SectionHeaderNormal 24 2" xfId="31301" xr:uid="{00000000-0005-0000-0000-00004D7A0000}"/>
    <cellStyle name="SectionHeaderNormal 25" xfId="31302" xr:uid="{00000000-0005-0000-0000-00004E7A0000}"/>
    <cellStyle name="SectionHeaderNormal 26" xfId="31303" xr:uid="{00000000-0005-0000-0000-00004F7A0000}"/>
    <cellStyle name="SectionHeaderNormal 27" xfId="31304" xr:uid="{00000000-0005-0000-0000-0000507A0000}"/>
    <cellStyle name="SectionHeaderNormal 28" xfId="31305" xr:uid="{00000000-0005-0000-0000-0000517A0000}"/>
    <cellStyle name="SectionHeaderNormal 29" xfId="31306" xr:uid="{00000000-0005-0000-0000-0000527A0000}"/>
    <cellStyle name="SectionHeaderNormal 29 2" xfId="31307" xr:uid="{00000000-0005-0000-0000-0000537A0000}"/>
    <cellStyle name="SectionHeaderNormal 3" xfId="31308" xr:uid="{00000000-0005-0000-0000-0000547A0000}"/>
    <cellStyle name="SectionHeaderNormal 3 2" xfId="31309" xr:uid="{00000000-0005-0000-0000-0000557A0000}"/>
    <cellStyle name="SectionHeaderNormal 30" xfId="31310" xr:uid="{00000000-0005-0000-0000-0000567A0000}"/>
    <cellStyle name="SectionHeaderNormal 31" xfId="31311" xr:uid="{00000000-0005-0000-0000-0000577A0000}"/>
    <cellStyle name="SectionHeaderNormal 32" xfId="31312" xr:uid="{00000000-0005-0000-0000-0000587A0000}"/>
    <cellStyle name="SectionHeaderNormal 33" xfId="31313" xr:uid="{00000000-0005-0000-0000-0000597A0000}"/>
    <cellStyle name="SectionHeaderNormal 34" xfId="31314" xr:uid="{00000000-0005-0000-0000-00005A7A0000}"/>
    <cellStyle name="SectionHeaderNormal 35" xfId="31315" xr:uid="{00000000-0005-0000-0000-00005B7A0000}"/>
    <cellStyle name="SectionHeaderNormal 36" xfId="31316" xr:uid="{00000000-0005-0000-0000-00005C7A0000}"/>
    <cellStyle name="SectionHeaderNormal 37" xfId="31317" xr:uid="{00000000-0005-0000-0000-00005D7A0000}"/>
    <cellStyle name="SectionHeaderNormal 38" xfId="31318" xr:uid="{00000000-0005-0000-0000-00005E7A0000}"/>
    <cellStyle name="SectionHeaderNormal 4" xfId="31319" xr:uid="{00000000-0005-0000-0000-00005F7A0000}"/>
    <cellStyle name="SectionHeaderNormal 4 2" xfId="31320" xr:uid="{00000000-0005-0000-0000-0000607A0000}"/>
    <cellStyle name="SectionHeaderNormal 5" xfId="31321" xr:uid="{00000000-0005-0000-0000-0000617A0000}"/>
    <cellStyle name="SectionHeaderNormal 5 2" xfId="31322" xr:uid="{00000000-0005-0000-0000-0000627A0000}"/>
    <cellStyle name="SectionHeaderNormal 6" xfId="31323" xr:uid="{00000000-0005-0000-0000-0000637A0000}"/>
    <cellStyle name="SectionHeaderNormal 6 2" xfId="31324" xr:uid="{00000000-0005-0000-0000-0000647A0000}"/>
    <cellStyle name="SectionHeaderNormal 7" xfId="31325" xr:uid="{00000000-0005-0000-0000-0000657A0000}"/>
    <cellStyle name="SectionHeaderNormal 7 2" xfId="31326" xr:uid="{00000000-0005-0000-0000-0000667A0000}"/>
    <cellStyle name="SectionHeaderNormal 8" xfId="31327" xr:uid="{00000000-0005-0000-0000-0000677A0000}"/>
    <cellStyle name="SectionHeaderNormal 8 2" xfId="31328" xr:uid="{00000000-0005-0000-0000-0000687A0000}"/>
    <cellStyle name="SectionHeaderNormal 9" xfId="31329" xr:uid="{00000000-0005-0000-0000-0000697A0000}"/>
    <cellStyle name="SectionHeading" xfId="31330" xr:uid="{00000000-0005-0000-0000-00006A7A0000}"/>
    <cellStyle name="SectionHeading 10" xfId="31331" xr:uid="{00000000-0005-0000-0000-00006B7A0000}"/>
    <cellStyle name="SectionHeading 11" xfId="31332" xr:uid="{00000000-0005-0000-0000-00006C7A0000}"/>
    <cellStyle name="SectionHeading 12" xfId="31333" xr:uid="{00000000-0005-0000-0000-00006D7A0000}"/>
    <cellStyle name="SectionHeading 13" xfId="31334" xr:uid="{00000000-0005-0000-0000-00006E7A0000}"/>
    <cellStyle name="SectionHeading 14" xfId="31335" xr:uid="{00000000-0005-0000-0000-00006F7A0000}"/>
    <cellStyle name="SectionHeading 15" xfId="31336" xr:uid="{00000000-0005-0000-0000-0000707A0000}"/>
    <cellStyle name="SectionHeading 16" xfId="31337" xr:uid="{00000000-0005-0000-0000-0000717A0000}"/>
    <cellStyle name="SectionHeading 17" xfId="31338" xr:uid="{00000000-0005-0000-0000-0000727A0000}"/>
    <cellStyle name="SectionHeading 18" xfId="31339" xr:uid="{00000000-0005-0000-0000-0000737A0000}"/>
    <cellStyle name="SectionHeading 19" xfId="31340" xr:uid="{00000000-0005-0000-0000-0000747A0000}"/>
    <cellStyle name="SectionHeading 2" xfId="31341" xr:uid="{00000000-0005-0000-0000-0000757A0000}"/>
    <cellStyle name="SectionHeading 20" xfId="31342" xr:uid="{00000000-0005-0000-0000-0000767A0000}"/>
    <cellStyle name="SectionHeading 21" xfId="31343" xr:uid="{00000000-0005-0000-0000-0000777A0000}"/>
    <cellStyle name="SectionHeading 22" xfId="31344" xr:uid="{00000000-0005-0000-0000-0000787A0000}"/>
    <cellStyle name="SectionHeading 23" xfId="31345" xr:uid="{00000000-0005-0000-0000-0000797A0000}"/>
    <cellStyle name="SectionHeading 23 2" xfId="31346" xr:uid="{00000000-0005-0000-0000-00007A7A0000}"/>
    <cellStyle name="SectionHeading 24" xfId="31347" xr:uid="{00000000-0005-0000-0000-00007B7A0000}"/>
    <cellStyle name="SectionHeading 24 2" xfId="31348" xr:uid="{00000000-0005-0000-0000-00007C7A0000}"/>
    <cellStyle name="SectionHeading 25" xfId="31349" xr:uid="{00000000-0005-0000-0000-00007D7A0000}"/>
    <cellStyle name="SectionHeading 26" xfId="31350" xr:uid="{00000000-0005-0000-0000-00007E7A0000}"/>
    <cellStyle name="SectionHeading 27" xfId="31351" xr:uid="{00000000-0005-0000-0000-00007F7A0000}"/>
    <cellStyle name="SectionHeading 28" xfId="31352" xr:uid="{00000000-0005-0000-0000-0000807A0000}"/>
    <cellStyle name="SectionHeading 29" xfId="31353" xr:uid="{00000000-0005-0000-0000-0000817A0000}"/>
    <cellStyle name="SectionHeading 29 2" xfId="31354" xr:uid="{00000000-0005-0000-0000-0000827A0000}"/>
    <cellStyle name="SectionHeading 3" xfId="31355" xr:uid="{00000000-0005-0000-0000-0000837A0000}"/>
    <cellStyle name="SectionHeading 3 2" xfId="31356" xr:uid="{00000000-0005-0000-0000-0000847A0000}"/>
    <cellStyle name="SectionHeading 30" xfId="31357" xr:uid="{00000000-0005-0000-0000-0000857A0000}"/>
    <cellStyle name="SectionHeading 31" xfId="31358" xr:uid="{00000000-0005-0000-0000-0000867A0000}"/>
    <cellStyle name="SectionHeading 32" xfId="31359" xr:uid="{00000000-0005-0000-0000-0000877A0000}"/>
    <cellStyle name="SectionHeading 33" xfId="31360" xr:uid="{00000000-0005-0000-0000-0000887A0000}"/>
    <cellStyle name="SectionHeading 34" xfId="31361" xr:uid="{00000000-0005-0000-0000-0000897A0000}"/>
    <cellStyle name="SectionHeading 35" xfId="31362" xr:uid="{00000000-0005-0000-0000-00008A7A0000}"/>
    <cellStyle name="SectionHeading 36" xfId="31363" xr:uid="{00000000-0005-0000-0000-00008B7A0000}"/>
    <cellStyle name="SectionHeading 37" xfId="31364" xr:uid="{00000000-0005-0000-0000-00008C7A0000}"/>
    <cellStyle name="SectionHeading 38" xfId="31365" xr:uid="{00000000-0005-0000-0000-00008D7A0000}"/>
    <cellStyle name="SectionHeading 4" xfId="31366" xr:uid="{00000000-0005-0000-0000-00008E7A0000}"/>
    <cellStyle name="SectionHeading 4 2" xfId="31367" xr:uid="{00000000-0005-0000-0000-00008F7A0000}"/>
    <cellStyle name="SectionHeading 5" xfId="31368" xr:uid="{00000000-0005-0000-0000-0000907A0000}"/>
    <cellStyle name="SectionHeading 5 2" xfId="31369" xr:uid="{00000000-0005-0000-0000-0000917A0000}"/>
    <cellStyle name="SectionHeading 6" xfId="31370" xr:uid="{00000000-0005-0000-0000-0000927A0000}"/>
    <cellStyle name="SectionHeading 6 2" xfId="31371" xr:uid="{00000000-0005-0000-0000-0000937A0000}"/>
    <cellStyle name="SectionHeading 7" xfId="31372" xr:uid="{00000000-0005-0000-0000-0000947A0000}"/>
    <cellStyle name="SectionHeading 7 2" xfId="31373" xr:uid="{00000000-0005-0000-0000-0000957A0000}"/>
    <cellStyle name="SectionHeading 8" xfId="31374" xr:uid="{00000000-0005-0000-0000-0000967A0000}"/>
    <cellStyle name="SectionHeading 8 2" xfId="31375" xr:uid="{00000000-0005-0000-0000-0000977A0000}"/>
    <cellStyle name="SectionHeading 9" xfId="31376" xr:uid="{00000000-0005-0000-0000-0000987A0000}"/>
    <cellStyle name="sf" xfId="31377" xr:uid="{00000000-0005-0000-0000-0000997A0000}"/>
    <cellStyle name="sf 10" xfId="31378" xr:uid="{00000000-0005-0000-0000-00009A7A0000}"/>
    <cellStyle name="sf 11" xfId="31379" xr:uid="{00000000-0005-0000-0000-00009B7A0000}"/>
    <cellStyle name="sf 12" xfId="31380" xr:uid="{00000000-0005-0000-0000-00009C7A0000}"/>
    <cellStyle name="sf 13" xfId="31381" xr:uid="{00000000-0005-0000-0000-00009D7A0000}"/>
    <cellStyle name="sf 14" xfId="31382" xr:uid="{00000000-0005-0000-0000-00009E7A0000}"/>
    <cellStyle name="sf 15" xfId="31383" xr:uid="{00000000-0005-0000-0000-00009F7A0000}"/>
    <cellStyle name="sf 16" xfId="31384" xr:uid="{00000000-0005-0000-0000-0000A07A0000}"/>
    <cellStyle name="sf 17" xfId="31385" xr:uid="{00000000-0005-0000-0000-0000A17A0000}"/>
    <cellStyle name="sf 18" xfId="31386" xr:uid="{00000000-0005-0000-0000-0000A27A0000}"/>
    <cellStyle name="sf 19" xfId="31387" xr:uid="{00000000-0005-0000-0000-0000A37A0000}"/>
    <cellStyle name="sf 2" xfId="31388" xr:uid="{00000000-0005-0000-0000-0000A47A0000}"/>
    <cellStyle name="sf 20" xfId="31389" xr:uid="{00000000-0005-0000-0000-0000A57A0000}"/>
    <cellStyle name="sf 21" xfId="31390" xr:uid="{00000000-0005-0000-0000-0000A67A0000}"/>
    <cellStyle name="sf 21 2" xfId="31391" xr:uid="{00000000-0005-0000-0000-0000A77A0000}"/>
    <cellStyle name="sf 3" xfId="31392" xr:uid="{00000000-0005-0000-0000-0000A87A0000}"/>
    <cellStyle name="sf 4" xfId="31393" xr:uid="{00000000-0005-0000-0000-0000A97A0000}"/>
    <cellStyle name="sf 5" xfId="31394" xr:uid="{00000000-0005-0000-0000-0000AA7A0000}"/>
    <cellStyle name="sf 6" xfId="31395" xr:uid="{00000000-0005-0000-0000-0000AB7A0000}"/>
    <cellStyle name="sf 7" xfId="31396" xr:uid="{00000000-0005-0000-0000-0000AC7A0000}"/>
    <cellStyle name="sf 8" xfId="31397" xr:uid="{00000000-0005-0000-0000-0000AD7A0000}"/>
    <cellStyle name="sf 9" xfId="31398" xr:uid="{00000000-0005-0000-0000-0000AE7A0000}"/>
    <cellStyle name="sff" xfId="31399" xr:uid="{00000000-0005-0000-0000-0000AF7A0000}"/>
    <cellStyle name="sff 10" xfId="31400" xr:uid="{00000000-0005-0000-0000-0000B07A0000}"/>
    <cellStyle name="sff 11" xfId="31401" xr:uid="{00000000-0005-0000-0000-0000B17A0000}"/>
    <cellStyle name="sff 12" xfId="31402" xr:uid="{00000000-0005-0000-0000-0000B27A0000}"/>
    <cellStyle name="sff 13" xfId="31403" xr:uid="{00000000-0005-0000-0000-0000B37A0000}"/>
    <cellStyle name="sff 14" xfId="31404" xr:uid="{00000000-0005-0000-0000-0000B47A0000}"/>
    <cellStyle name="sff 15" xfId="31405" xr:uid="{00000000-0005-0000-0000-0000B57A0000}"/>
    <cellStyle name="sff 16" xfId="31406" xr:uid="{00000000-0005-0000-0000-0000B67A0000}"/>
    <cellStyle name="sff 17" xfId="31407" xr:uid="{00000000-0005-0000-0000-0000B77A0000}"/>
    <cellStyle name="sff 18" xfId="31408" xr:uid="{00000000-0005-0000-0000-0000B87A0000}"/>
    <cellStyle name="sff 19" xfId="31409" xr:uid="{00000000-0005-0000-0000-0000B97A0000}"/>
    <cellStyle name="sff 2" xfId="31410" xr:uid="{00000000-0005-0000-0000-0000BA7A0000}"/>
    <cellStyle name="sff 20" xfId="31411" xr:uid="{00000000-0005-0000-0000-0000BB7A0000}"/>
    <cellStyle name="sff 21" xfId="31412" xr:uid="{00000000-0005-0000-0000-0000BC7A0000}"/>
    <cellStyle name="sff 21 2" xfId="31413" xr:uid="{00000000-0005-0000-0000-0000BD7A0000}"/>
    <cellStyle name="sff 3" xfId="31414" xr:uid="{00000000-0005-0000-0000-0000BE7A0000}"/>
    <cellStyle name="sff 4" xfId="31415" xr:uid="{00000000-0005-0000-0000-0000BF7A0000}"/>
    <cellStyle name="sff 5" xfId="31416" xr:uid="{00000000-0005-0000-0000-0000C07A0000}"/>
    <cellStyle name="sff 6" xfId="31417" xr:uid="{00000000-0005-0000-0000-0000C17A0000}"/>
    <cellStyle name="sff 7" xfId="31418" xr:uid="{00000000-0005-0000-0000-0000C27A0000}"/>
    <cellStyle name="sff 8" xfId="31419" xr:uid="{00000000-0005-0000-0000-0000C37A0000}"/>
    <cellStyle name="sff 9" xfId="31420" xr:uid="{00000000-0005-0000-0000-0000C47A0000}"/>
    <cellStyle name="Shaded" xfId="31421" xr:uid="{00000000-0005-0000-0000-0000C57A0000}"/>
    <cellStyle name="Shaded 10" xfId="31422" xr:uid="{00000000-0005-0000-0000-0000C67A0000}"/>
    <cellStyle name="Shaded 11" xfId="31423" xr:uid="{00000000-0005-0000-0000-0000C77A0000}"/>
    <cellStyle name="Shaded 12" xfId="31424" xr:uid="{00000000-0005-0000-0000-0000C87A0000}"/>
    <cellStyle name="Shaded 13" xfId="31425" xr:uid="{00000000-0005-0000-0000-0000C97A0000}"/>
    <cellStyle name="Shaded 14" xfId="31426" xr:uid="{00000000-0005-0000-0000-0000CA7A0000}"/>
    <cellStyle name="Shaded 15" xfId="31427" xr:uid="{00000000-0005-0000-0000-0000CB7A0000}"/>
    <cellStyle name="Shaded 16" xfId="31428" xr:uid="{00000000-0005-0000-0000-0000CC7A0000}"/>
    <cellStyle name="Shaded 17" xfId="31429" xr:uid="{00000000-0005-0000-0000-0000CD7A0000}"/>
    <cellStyle name="Shaded 18" xfId="31430" xr:uid="{00000000-0005-0000-0000-0000CE7A0000}"/>
    <cellStyle name="Shaded 19" xfId="31431" xr:uid="{00000000-0005-0000-0000-0000CF7A0000}"/>
    <cellStyle name="Shaded 2" xfId="31432" xr:uid="{00000000-0005-0000-0000-0000D07A0000}"/>
    <cellStyle name="Shaded 2 2" xfId="31433" xr:uid="{00000000-0005-0000-0000-0000D17A0000}"/>
    <cellStyle name="Shaded 20" xfId="31434" xr:uid="{00000000-0005-0000-0000-0000D27A0000}"/>
    <cellStyle name="Shaded 21" xfId="31435" xr:uid="{00000000-0005-0000-0000-0000D37A0000}"/>
    <cellStyle name="Shaded 22" xfId="31436" xr:uid="{00000000-0005-0000-0000-0000D47A0000}"/>
    <cellStyle name="Shaded 23" xfId="31437" xr:uid="{00000000-0005-0000-0000-0000D57A0000}"/>
    <cellStyle name="Shaded 23 2" xfId="31438" xr:uid="{00000000-0005-0000-0000-0000D67A0000}"/>
    <cellStyle name="Shaded 3" xfId="31439" xr:uid="{00000000-0005-0000-0000-0000D77A0000}"/>
    <cellStyle name="Shaded 3 2" xfId="31440" xr:uid="{00000000-0005-0000-0000-0000D87A0000}"/>
    <cellStyle name="Shaded 4" xfId="31441" xr:uid="{00000000-0005-0000-0000-0000D97A0000}"/>
    <cellStyle name="Shaded 5" xfId="31442" xr:uid="{00000000-0005-0000-0000-0000DA7A0000}"/>
    <cellStyle name="Shaded 6" xfId="31443" xr:uid="{00000000-0005-0000-0000-0000DB7A0000}"/>
    <cellStyle name="Shaded 7" xfId="31444" xr:uid="{00000000-0005-0000-0000-0000DC7A0000}"/>
    <cellStyle name="Shaded 8" xfId="31445" xr:uid="{00000000-0005-0000-0000-0000DD7A0000}"/>
    <cellStyle name="Shaded 9" xfId="31446" xr:uid="{00000000-0005-0000-0000-0000DE7A0000}"/>
    <cellStyle name="SHADEDSTORES" xfId="31447" xr:uid="{00000000-0005-0000-0000-0000DF7A0000}"/>
    <cellStyle name="SHADEDSTORES 10" xfId="31448" xr:uid="{00000000-0005-0000-0000-0000E07A0000}"/>
    <cellStyle name="SHADEDSTORES 11" xfId="31449" xr:uid="{00000000-0005-0000-0000-0000E17A0000}"/>
    <cellStyle name="SHADEDSTORES 12" xfId="31450" xr:uid="{00000000-0005-0000-0000-0000E27A0000}"/>
    <cellStyle name="SHADEDSTORES 13" xfId="31451" xr:uid="{00000000-0005-0000-0000-0000E37A0000}"/>
    <cellStyle name="SHADEDSTORES 14" xfId="31452" xr:uid="{00000000-0005-0000-0000-0000E47A0000}"/>
    <cellStyle name="SHADEDSTORES 15" xfId="31453" xr:uid="{00000000-0005-0000-0000-0000E57A0000}"/>
    <cellStyle name="SHADEDSTORES 16" xfId="31454" xr:uid="{00000000-0005-0000-0000-0000E67A0000}"/>
    <cellStyle name="SHADEDSTORES 17" xfId="31455" xr:uid="{00000000-0005-0000-0000-0000E77A0000}"/>
    <cellStyle name="SHADEDSTORES 18" xfId="31456" xr:uid="{00000000-0005-0000-0000-0000E87A0000}"/>
    <cellStyle name="SHADEDSTORES 19" xfId="31457" xr:uid="{00000000-0005-0000-0000-0000E97A0000}"/>
    <cellStyle name="SHADEDSTORES 2" xfId="31458" xr:uid="{00000000-0005-0000-0000-0000EA7A0000}"/>
    <cellStyle name="SHADEDSTORES 20" xfId="31459" xr:uid="{00000000-0005-0000-0000-0000EB7A0000}"/>
    <cellStyle name="SHADEDSTORES 21" xfId="31460" xr:uid="{00000000-0005-0000-0000-0000EC7A0000}"/>
    <cellStyle name="SHADEDSTORES 21 2" xfId="31461" xr:uid="{00000000-0005-0000-0000-0000ED7A0000}"/>
    <cellStyle name="SHADEDSTORES 3" xfId="31462" xr:uid="{00000000-0005-0000-0000-0000EE7A0000}"/>
    <cellStyle name="SHADEDSTORES 4" xfId="31463" xr:uid="{00000000-0005-0000-0000-0000EF7A0000}"/>
    <cellStyle name="SHADEDSTORES 5" xfId="31464" xr:uid="{00000000-0005-0000-0000-0000F07A0000}"/>
    <cellStyle name="SHADEDSTORES 6" xfId="31465" xr:uid="{00000000-0005-0000-0000-0000F17A0000}"/>
    <cellStyle name="SHADEDSTORES 7" xfId="31466" xr:uid="{00000000-0005-0000-0000-0000F27A0000}"/>
    <cellStyle name="SHADEDSTORES 8" xfId="31467" xr:uid="{00000000-0005-0000-0000-0000F37A0000}"/>
    <cellStyle name="SHADEDSTORES 9" xfId="31468" xr:uid="{00000000-0005-0000-0000-0000F47A0000}"/>
    <cellStyle name="Shares" xfId="31469" xr:uid="{00000000-0005-0000-0000-0000F57A0000}"/>
    <cellStyle name="Shares 10" xfId="31470" xr:uid="{00000000-0005-0000-0000-0000F67A0000}"/>
    <cellStyle name="Shares 11" xfId="31471" xr:uid="{00000000-0005-0000-0000-0000F77A0000}"/>
    <cellStyle name="Shares 12" xfId="31472" xr:uid="{00000000-0005-0000-0000-0000F87A0000}"/>
    <cellStyle name="Shares 13" xfId="31473" xr:uid="{00000000-0005-0000-0000-0000F97A0000}"/>
    <cellStyle name="Shares 14" xfId="31474" xr:uid="{00000000-0005-0000-0000-0000FA7A0000}"/>
    <cellStyle name="Shares 15" xfId="31475" xr:uid="{00000000-0005-0000-0000-0000FB7A0000}"/>
    <cellStyle name="Shares 16" xfId="31476" xr:uid="{00000000-0005-0000-0000-0000FC7A0000}"/>
    <cellStyle name="Shares 17" xfId="31477" xr:uid="{00000000-0005-0000-0000-0000FD7A0000}"/>
    <cellStyle name="Shares 18" xfId="31478" xr:uid="{00000000-0005-0000-0000-0000FE7A0000}"/>
    <cellStyle name="Shares 19" xfId="31479" xr:uid="{00000000-0005-0000-0000-0000FF7A0000}"/>
    <cellStyle name="Shares 2" xfId="31480" xr:uid="{00000000-0005-0000-0000-0000007B0000}"/>
    <cellStyle name="Shares 20" xfId="31481" xr:uid="{00000000-0005-0000-0000-0000017B0000}"/>
    <cellStyle name="Shares 21" xfId="31482" xr:uid="{00000000-0005-0000-0000-0000027B0000}"/>
    <cellStyle name="Shares 3" xfId="31483" xr:uid="{00000000-0005-0000-0000-0000037B0000}"/>
    <cellStyle name="Shares 4" xfId="31484" xr:uid="{00000000-0005-0000-0000-0000047B0000}"/>
    <cellStyle name="Shares 5" xfId="31485" xr:uid="{00000000-0005-0000-0000-0000057B0000}"/>
    <cellStyle name="Shares 6" xfId="31486" xr:uid="{00000000-0005-0000-0000-0000067B0000}"/>
    <cellStyle name="Shares 7" xfId="31487" xr:uid="{00000000-0005-0000-0000-0000077B0000}"/>
    <cellStyle name="Shares 8" xfId="31488" xr:uid="{00000000-0005-0000-0000-0000087B0000}"/>
    <cellStyle name="Shares 9" xfId="31489" xr:uid="{00000000-0005-0000-0000-0000097B0000}"/>
    <cellStyle name="SheetHeader" xfId="31490" xr:uid="{00000000-0005-0000-0000-00000A7B0000}"/>
    <cellStyle name="SheetHeader 10" xfId="31491" xr:uid="{00000000-0005-0000-0000-00000B7B0000}"/>
    <cellStyle name="SheetHeader 11" xfId="31492" xr:uid="{00000000-0005-0000-0000-00000C7B0000}"/>
    <cellStyle name="SheetHeader 12" xfId="31493" xr:uid="{00000000-0005-0000-0000-00000D7B0000}"/>
    <cellStyle name="SheetHeader 13" xfId="31494" xr:uid="{00000000-0005-0000-0000-00000E7B0000}"/>
    <cellStyle name="SheetHeader 14" xfId="31495" xr:uid="{00000000-0005-0000-0000-00000F7B0000}"/>
    <cellStyle name="SheetHeader 15" xfId="31496" xr:uid="{00000000-0005-0000-0000-0000107B0000}"/>
    <cellStyle name="SheetHeader 16" xfId="31497" xr:uid="{00000000-0005-0000-0000-0000117B0000}"/>
    <cellStyle name="SheetHeader 17" xfId="31498" xr:uid="{00000000-0005-0000-0000-0000127B0000}"/>
    <cellStyle name="SheetHeader 18" xfId="31499" xr:uid="{00000000-0005-0000-0000-0000137B0000}"/>
    <cellStyle name="SheetHeader 19" xfId="31500" xr:uid="{00000000-0005-0000-0000-0000147B0000}"/>
    <cellStyle name="SheetHeader 2" xfId="31501" xr:uid="{00000000-0005-0000-0000-0000157B0000}"/>
    <cellStyle name="SheetHeader 20" xfId="31502" xr:uid="{00000000-0005-0000-0000-0000167B0000}"/>
    <cellStyle name="SheetHeader 21" xfId="31503" xr:uid="{00000000-0005-0000-0000-0000177B0000}"/>
    <cellStyle name="SheetHeader 21 2" xfId="31504" xr:uid="{00000000-0005-0000-0000-0000187B0000}"/>
    <cellStyle name="SheetHeader 3" xfId="31505" xr:uid="{00000000-0005-0000-0000-0000197B0000}"/>
    <cellStyle name="SheetHeader 4" xfId="31506" xr:uid="{00000000-0005-0000-0000-00001A7B0000}"/>
    <cellStyle name="SheetHeader 5" xfId="31507" xr:uid="{00000000-0005-0000-0000-00001B7B0000}"/>
    <cellStyle name="SheetHeader 6" xfId="31508" xr:uid="{00000000-0005-0000-0000-00001C7B0000}"/>
    <cellStyle name="SheetHeader 7" xfId="31509" xr:uid="{00000000-0005-0000-0000-00001D7B0000}"/>
    <cellStyle name="SheetHeader 8" xfId="31510" xr:uid="{00000000-0005-0000-0000-00001E7B0000}"/>
    <cellStyle name="SheetHeader 9" xfId="31511" xr:uid="{00000000-0005-0000-0000-00001F7B0000}"/>
    <cellStyle name="SheetHeaderLast" xfId="31512" xr:uid="{00000000-0005-0000-0000-0000207B0000}"/>
    <cellStyle name="SheetHeaderLast 10" xfId="31513" xr:uid="{00000000-0005-0000-0000-0000217B0000}"/>
    <cellStyle name="SheetHeaderLast 11" xfId="31514" xr:uid="{00000000-0005-0000-0000-0000227B0000}"/>
    <cellStyle name="SheetHeaderLast 12" xfId="31515" xr:uid="{00000000-0005-0000-0000-0000237B0000}"/>
    <cellStyle name="SheetHeaderLast 13" xfId="31516" xr:uid="{00000000-0005-0000-0000-0000247B0000}"/>
    <cellStyle name="SheetHeaderLast 14" xfId="31517" xr:uid="{00000000-0005-0000-0000-0000257B0000}"/>
    <cellStyle name="SheetHeaderLast 15" xfId="31518" xr:uid="{00000000-0005-0000-0000-0000267B0000}"/>
    <cellStyle name="SheetHeaderLast 16" xfId="31519" xr:uid="{00000000-0005-0000-0000-0000277B0000}"/>
    <cellStyle name="SheetHeaderLast 17" xfId="31520" xr:uid="{00000000-0005-0000-0000-0000287B0000}"/>
    <cellStyle name="SheetHeaderLast 18" xfId="31521" xr:uid="{00000000-0005-0000-0000-0000297B0000}"/>
    <cellStyle name="SheetHeaderLast 19" xfId="31522" xr:uid="{00000000-0005-0000-0000-00002A7B0000}"/>
    <cellStyle name="SheetHeaderLast 2" xfId="31523" xr:uid="{00000000-0005-0000-0000-00002B7B0000}"/>
    <cellStyle name="SheetHeaderLast 20" xfId="31524" xr:uid="{00000000-0005-0000-0000-00002C7B0000}"/>
    <cellStyle name="SheetHeaderLast 21" xfId="31525" xr:uid="{00000000-0005-0000-0000-00002D7B0000}"/>
    <cellStyle name="SheetHeaderLast 21 2" xfId="31526" xr:uid="{00000000-0005-0000-0000-00002E7B0000}"/>
    <cellStyle name="SheetHeaderLast 3" xfId="31527" xr:uid="{00000000-0005-0000-0000-00002F7B0000}"/>
    <cellStyle name="SheetHeaderLast 4" xfId="31528" xr:uid="{00000000-0005-0000-0000-0000307B0000}"/>
    <cellStyle name="SheetHeaderLast 5" xfId="31529" xr:uid="{00000000-0005-0000-0000-0000317B0000}"/>
    <cellStyle name="SheetHeaderLast 6" xfId="31530" xr:uid="{00000000-0005-0000-0000-0000327B0000}"/>
    <cellStyle name="SheetHeaderLast 7" xfId="31531" xr:uid="{00000000-0005-0000-0000-0000337B0000}"/>
    <cellStyle name="SheetHeaderLast 8" xfId="31532" xr:uid="{00000000-0005-0000-0000-0000347B0000}"/>
    <cellStyle name="SheetHeaderLast 9" xfId="31533" xr:uid="{00000000-0005-0000-0000-0000357B0000}"/>
    <cellStyle name="SideText1" xfId="31534" xr:uid="{00000000-0005-0000-0000-0000367B0000}"/>
    <cellStyle name="SideText1 10" xfId="31535" xr:uid="{00000000-0005-0000-0000-0000377B0000}"/>
    <cellStyle name="SideText1 11" xfId="31536" xr:uid="{00000000-0005-0000-0000-0000387B0000}"/>
    <cellStyle name="SideText1 12" xfId="31537" xr:uid="{00000000-0005-0000-0000-0000397B0000}"/>
    <cellStyle name="SideText1 13" xfId="31538" xr:uid="{00000000-0005-0000-0000-00003A7B0000}"/>
    <cellStyle name="SideText1 14" xfId="31539" xr:uid="{00000000-0005-0000-0000-00003B7B0000}"/>
    <cellStyle name="SideText1 15" xfId="31540" xr:uid="{00000000-0005-0000-0000-00003C7B0000}"/>
    <cellStyle name="SideText1 16" xfId="31541" xr:uid="{00000000-0005-0000-0000-00003D7B0000}"/>
    <cellStyle name="SideText1 17" xfId="31542" xr:uid="{00000000-0005-0000-0000-00003E7B0000}"/>
    <cellStyle name="SideText1 18" xfId="31543" xr:uid="{00000000-0005-0000-0000-00003F7B0000}"/>
    <cellStyle name="SideText1 19" xfId="31544" xr:uid="{00000000-0005-0000-0000-0000407B0000}"/>
    <cellStyle name="SideText1 2" xfId="31545" xr:uid="{00000000-0005-0000-0000-0000417B0000}"/>
    <cellStyle name="SideText1 20" xfId="31546" xr:uid="{00000000-0005-0000-0000-0000427B0000}"/>
    <cellStyle name="SideText1 21" xfId="31547" xr:uid="{00000000-0005-0000-0000-0000437B0000}"/>
    <cellStyle name="SideText1 22" xfId="31548" xr:uid="{00000000-0005-0000-0000-0000447B0000}"/>
    <cellStyle name="SideText1 23" xfId="31549" xr:uid="{00000000-0005-0000-0000-0000457B0000}"/>
    <cellStyle name="SideText1 23 2" xfId="31550" xr:uid="{00000000-0005-0000-0000-0000467B0000}"/>
    <cellStyle name="SideText1 24" xfId="31551" xr:uid="{00000000-0005-0000-0000-0000477B0000}"/>
    <cellStyle name="SideText1 24 2" xfId="31552" xr:uid="{00000000-0005-0000-0000-0000487B0000}"/>
    <cellStyle name="SideText1 25" xfId="31553" xr:uid="{00000000-0005-0000-0000-0000497B0000}"/>
    <cellStyle name="SideText1 26" xfId="31554" xr:uid="{00000000-0005-0000-0000-00004A7B0000}"/>
    <cellStyle name="SideText1 27" xfId="31555" xr:uid="{00000000-0005-0000-0000-00004B7B0000}"/>
    <cellStyle name="SideText1 28" xfId="31556" xr:uid="{00000000-0005-0000-0000-00004C7B0000}"/>
    <cellStyle name="SideText1 29" xfId="31557" xr:uid="{00000000-0005-0000-0000-00004D7B0000}"/>
    <cellStyle name="SideText1 3" xfId="31558" xr:uid="{00000000-0005-0000-0000-00004E7B0000}"/>
    <cellStyle name="SideText1 3 2" xfId="31559" xr:uid="{00000000-0005-0000-0000-00004F7B0000}"/>
    <cellStyle name="SideText1 30" xfId="31560" xr:uid="{00000000-0005-0000-0000-0000507B0000}"/>
    <cellStyle name="SideText1 31" xfId="31561" xr:uid="{00000000-0005-0000-0000-0000517B0000}"/>
    <cellStyle name="SideText1 32" xfId="31562" xr:uid="{00000000-0005-0000-0000-0000527B0000}"/>
    <cellStyle name="SideText1 33" xfId="31563" xr:uid="{00000000-0005-0000-0000-0000537B0000}"/>
    <cellStyle name="SideText1 34" xfId="31564" xr:uid="{00000000-0005-0000-0000-0000547B0000}"/>
    <cellStyle name="SideText1 35" xfId="31565" xr:uid="{00000000-0005-0000-0000-0000557B0000}"/>
    <cellStyle name="SideText1 36" xfId="31566" xr:uid="{00000000-0005-0000-0000-0000567B0000}"/>
    <cellStyle name="SideText1 37" xfId="31567" xr:uid="{00000000-0005-0000-0000-0000577B0000}"/>
    <cellStyle name="SideText1 38" xfId="31568" xr:uid="{00000000-0005-0000-0000-0000587B0000}"/>
    <cellStyle name="SideText1 4" xfId="31569" xr:uid="{00000000-0005-0000-0000-0000597B0000}"/>
    <cellStyle name="SideText1 4 2" xfId="31570" xr:uid="{00000000-0005-0000-0000-00005A7B0000}"/>
    <cellStyle name="SideText1 5" xfId="31571" xr:uid="{00000000-0005-0000-0000-00005B7B0000}"/>
    <cellStyle name="SideText1 5 2" xfId="31572" xr:uid="{00000000-0005-0000-0000-00005C7B0000}"/>
    <cellStyle name="SideText1 6" xfId="31573" xr:uid="{00000000-0005-0000-0000-00005D7B0000}"/>
    <cellStyle name="SideText1 6 2" xfId="31574" xr:uid="{00000000-0005-0000-0000-00005E7B0000}"/>
    <cellStyle name="SideText1 7" xfId="31575" xr:uid="{00000000-0005-0000-0000-00005F7B0000}"/>
    <cellStyle name="SideText1 7 2" xfId="31576" xr:uid="{00000000-0005-0000-0000-0000607B0000}"/>
    <cellStyle name="SideText1 8" xfId="31577" xr:uid="{00000000-0005-0000-0000-0000617B0000}"/>
    <cellStyle name="SideText1 8 2" xfId="31578" xr:uid="{00000000-0005-0000-0000-0000627B0000}"/>
    <cellStyle name="SideText1 9" xfId="31579" xr:uid="{00000000-0005-0000-0000-0000637B0000}"/>
    <cellStyle name="Single Accounting" xfId="31580" xr:uid="{00000000-0005-0000-0000-0000647B0000}"/>
    <cellStyle name="Single Accounting 10" xfId="31581" xr:uid="{00000000-0005-0000-0000-0000657B0000}"/>
    <cellStyle name="Single Accounting 11" xfId="31582" xr:uid="{00000000-0005-0000-0000-0000667B0000}"/>
    <cellStyle name="Single Accounting 12" xfId="31583" xr:uid="{00000000-0005-0000-0000-0000677B0000}"/>
    <cellStyle name="Single Accounting 13" xfId="31584" xr:uid="{00000000-0005-0000-0000-0000687B0000}"/>
    <cellStyle name="Single Accounting 14" xfId="31585" xr:uid="{00000000-0005-0000-0000-0000697B0000}"/>
    <cellStyle name="Single Accounting 15" xfId="31586" xr:uid="{00000000-0005-0000-0000-00006A7B0000}"/>
    <cellStyle name="Single Accounting 16" xfId="31587" xr:uid="{00000000-0005-0000-0000-00006B7B0000}"/>
    <cellStyle name="Single Accounting 17" xfId="31588" xr:uid="{00000000-0005-0000-0000-00006C7B0000}"/>
    <cellStyle name="Single Accounting 18" xfId="31589" xr:uid="{00000000-0005-0000-0000-00006D7B0000}"/>
    <cellStyle name="Single Accounting 19" xfId="31590" xr:uid="{00000000-0005-0000-0000-00006E7B0000}"/>
    <cellStyle name="Single Accounting 2" xfId="31591" xr:uid="{00000000-0005-0000-0000-00006F7B0000}"/>
    <cellStyle name="Single Accounting 20" xfId="31592" xr:uid="{00000000-0005-0000-0000-0000707B0000}"/>
    <cellStyle name="Single Accounting 21" xfId="31593" xr:uid="{00000000-0005-0000-0000-0000717B0000}"/>
    <cellStyle name="Single Accounting 21 2" xfId="31594" xr:uid="{00000000-0005-0000-0000-0000727B0000}"/>
    <cellStyle name="Single Accounting 3" xfId="31595" xr:uid="{00000000-0005-0000-0000-0000737B0000}"/>
    <cellStyle name="Single Accounting 4" xfId="31596" xr:uid="{00000000-0005-0000-0000-0000747B0000}"/>
    <cellStyle name="Single Accounting 5" xfId="31597" xr:uid="{00000000-0005-0000-0000-0000757B0000}"/>
    <cellStyle name="Single Accounting 6" xfId="31598" xr:uid="{00000000-0005-0000-0000-0000767B0000}"/>
    <cellStyle name="Single Accounting 7" xfId="31599" xr:uid="{00000000-0005-0000-0000-0000777B0000}"/>
    <cellStyle name="Single Accounting 8" xfId="31600" xr:uid="{00000000-0005-0000-0000-0000787B0000}"/>
    <cellStyle name="Single Accounting 9" xfId="31601" xr:uid="{00000000-0005-0000-0000-0000797B0000}"/>
    <cellStyle name="Small Page Heading" xfId="31602" xr:uid="{00000000-0005-0000-0000-00007A7B0000}"/>
    <cellStyle name="Source Hed" xfId="31603" xr:uid="{00000000-0005-0000-0000-00007B7B0000}"/>
    <cellStyle name="Source Hed 10" xfId="31604" xr:uid="{00000000-0005-0000-0000-00007C7B0000}"/>
    <cellStyle name="Source Hed 11" xfId="31605" xr:uid="{00000000-0005-0000-0000-00007D7B0000}"/>
    <cellStyle name="Source Hed 12" xfId="31606" xr:uid="{00000000-0005-0000-0000-00007E7B0000}"/>
    <cellStyle name="Source Hed 13" xfId="31607" xr:uid="{00000000-0005-0000-0000-00007F7B0000}"/>
    <cellStyle name="Source Hed 14" xfId="31608" xr:uid="{00000000-0005-0000-0000-0000807B0000}"/>
    <cellStyle name="Source Hed 15" xfId="31609" xr:uid="{00000000-0005-0000-0000-0000817B0000}"/>
    <cellStyle name="Source Hed 16" xfId="31610" xr:uid="{00000000-0005-0000-0000-0000827B0000}"/>
    <cellStyle name="Source Hed 17" xfId="31611" xr:uid="{00000000-0005-0000-0000-0000837B0000}"/>
    <cellStyle name="Source Hed 18" xfId="31612" xr:uid="{00000000-0005-0000-0000-0000847B0000}"/>
    <cellStyle name="Source Hed 19" xfId="31613" xr:uid="{00000000-0005-0000-0000-0000857B0000}"/>
    <cellStyle name="Source Hed 2" xfId="31614" xr:uid="{00000000-0005-0000-0000-0000867B0000}"/>
    <cellStyle name="Source Hed 20" xfId="31615" xr:uid="{00000000-0005-0000-0000-0000877B0000}"/>
    <cellStyle name="Source Hed 21" xfId="31616" xr:uid="{00000000-0005-0000-0000-0000887B0000}"/>
    <cellStyle name="Source Hed 21 2" xfId="31617" xr:uid="{00000000-0005-0000-0000-0000897B0000}"/>
    <cellStyle name="Source Hed 3" xfId="31618" xr:uid="{00000000-0005-0000-0000-00008A7B0000}"/>
    <cellStyle name="Source Hed 4" xfId="31619" xr:uid="{00000000-0005-0000-0000-00008B7B0000}"/>
    <cellStyle name="Source Hed 5" xfId="31620" xr:uid="{00000000-0005-0000-0000-00008C7B0000}"/>
    <cellStyle name="Source Hed 6" xfId="31621" xr:uid="{00000000-0005-0000-0000-00008D7B0000}"/>
    <cellStyle name="Source Hed 7" xfId="31622" xr:uid="{00000000-0005-0000-0000-00008E7B0000}"/>
    <cellStyle name="Source Hed 8" xfId="31623" xr:uid="{00000000-0005-0000-0000-00008F7B0000}"/>
    <cellStyle name="Source Hed 9" xfId="31624" xr:uid="{00000000-0005-0000-0000-0000907B0000}"/>
    <cellStyle name="Source Letter" xfId="31625" xr:uid="{00000000-0005-0000-0000-0000917B0000}"/>
    <cellStyle name="Source Letter 10" xfId="31626" xr:uid="{00000000-0005-0000-0000-0000927B0000}"/>
    <cellStyle name="Source Letter 11" xfId="31627" xr:uid="{00000000-0005-0000-0000-0000937B0000}"/>
    <cellStyle name="Source Letter 12" xfId="31628" xr:uid="{00000000-0005-0000-0000-0000947B0000}"/>
    <cellStyle name="Source Letter 13" xfId="31629" xr:uid="{00000000-0005-0000-0000-0000957B0000}"/>
    <cellStyle name="Source Letter 14" xfId="31630" xr:uid="{00000000-0005-0000-0000-0000967B0000}"/>
    <cellStyle name="Source Letter 15" xfId="31631" xr:uid="{00000000-0005-0000-0000-0000977B0000}"/>
    <cellStyle name="Source Letter 16" xfId="31632" xr:uid="{00000000-0005-0000-0000-0000987B0000}"/>
    <cellStyle name="Source Letter 17" xfId="31633" xr:uid="{00000000-0005-0000-0000-0000997B0000}"/>
    <cellStyle name="Source Letter 18" xfId="31634" xr:uid="{00000000-0005-0000-0000-00009A7B0000}"/>
    <cellStyle name="Source Letter 19" xfId="31635" xr:uid="{00000000-0005-0000-0000-00009B7B0000}"/>
    <cellStyle name="Source Letter 2" xfId="31636" xr:uid="{00000000-0005-0000-0000-00009C7B0000}"/>
    <cellStyle name="Source Letter 20" xfId="31637" xr:uid="{00000000-0005-0000-0000-00009D7B0000}"/>
    <cellStyle name="Source Letter 21" xfId="31638" xr:uid="{00000000-0005-0000-0000-00009E7B0000}"/>
    <cellStyle name="Source Letter 21 2" xfId="31639" xr:uid="{00000000-0005-0000-0000-00009F7B0000}"/>
    <cellStyle name="Source Letter 3" xfId="31640" xr:uid="{00000000-0005-0000-0000-0000A07B0000}"/>
    <cellStyle name="Source Letter 4" xfId="31641" xr:uid="{00000000-0005-0000-0000-0000A17B0000}"/>
    <cellStyle name="Source Letter 5" xfId="31642" xr:uid="{00000000-0005-0000-0000-0000A27B0000}"/>
    <cellStyle name="Source Letter 6" xfId="31643" xr:uid="{00000000-0005-0000-0000-0000A37B0000}"/>
    <cellStyle name="Source Letter 7" xfId="31644" xr:uid="{00000000-0005-0000-0000-0000A47B0000}"/>
    <cellStyle name="Source Letter 8" xfId="31645" xr:uid="{00000000-0005-0000-0000-0000A57B0000}"/>
    <cellStyle name="Source Letter 9" xfId="31646" xr:uid="{00000000-0005-0000-0000-0000A67B0000}"/>
    <cellStyle name="Source Superscript" xfId="31647" xr:uid="{00000000-0005-0000-0000-0000A77B0000}"/>
    <cellStyle name="Source Superscript 10" xfId="31648" xr:uid="{00000000-0005-0000-0000-0000A87B0000}"/>
    <cellStyle name="Source Superscript 11" xfId="31649" xr:uid="{00000000-0005-0000-0000-0000A97B0000}"/>
    <cellStyle name="Source Superscript 12" xfId="31650" xr:uid="{00000000-0005-0000-0000-0000AA7B0000}"/>
    <cellStyle name="Source Superscript 13" xfId="31651" xr:uid="{00000000-0005-0000-0000-0000AB7B0000}"/>
    <cellStyle name="Source Superscript 14" xfId="31652" xr:uid="{00000000-0005-0000-0000-0000AC7B0000}"/>
    <cellStyle name="Source Superscript 15" xfId="31653" xr:uid="{00000000-0005-0000-0000-0000AD7B0000}"/>
    <cellStyle name="Source Superscript 16" xfId="31654" xr:uid="{00000000-0005-0000-0000-0000AE7B0000}"/>
    <cellStyle name="Source Superscript 17" xfId="31655" xr:uid="{00000000-0005-0000-0000-0000AF7B0000}"/>
    <cellStyle name="Source Superscript 18" xfId="31656" xr:uid="{00000000-0005-0000-0000-0000B07B0000}"/>
    <cellStyle name="Source Superscript 19" xfId="31657" xr:uid="{00000000-0005-0000-0000-0000B17B0000}"/>
    <cellStyle name="Source Superscript 2" xfId="31658" xr:uid="{00000000-0005-0000-0000-0000B27B0000}"/>
    <cellStyle name="Source Superscript 20" xfId="31659" xr:uid="{00000000-0005-0000-0000-0000B37B0000}"/>
    <cellStyle name="Source Superscript 21" xfId="31660" xr:uid="{00000000-0005-0000-0000-0000B47B0000}"/>
    <cellStyle name="Source Superscript 21 2" xfId="31661" xr:uid="{00000000-0005-0000-0000-0000B57B0000}"/>
    <cellStyle name="Source Superscript 3" xfId="31662" xr:uid="{00000000-0005-0000-0000-0000B67B0000}"/>
    <cellStyle name="Source Superscript 4" xfId="31663" xr:uid="{00000000-0005-0000-0000-0000B77B0000}"/>
    <cellStyle name="Source Superscript 5" xfId="31664" xr:uid="{00000000-0005-0000-0000-0000B87B0000}"/>
    <cellStyle name="Source Superscript 6" xfId="31665" xr:uid="{00000000-0005-0000-0000-0000B97B0000}"/>
    <cellStyle name="Source Superscript 7" xfId="31666" xr:uid="{00000000-0005-0000-0000-0000BA7B0000}"/>
    <cellStyle name="Source Superscript 8" xfId="31667" xr:uid="{00000000-0005-0000-0000-0000BB7B0000}"/>
    <cellStyle name="Source Superscript 9" xfId="31668" xr:uid="{00000000-0005-0000-0000-0000BC7B0000}"/>
    <cellStyle name="Source Text" xfId="31669" xr:uid="{00000000-0005-0000-0000-0000BD7B0000}"/>
    <cellStyle name="Source Text 10" xfId="31670" xr:uid="{00000000-0005-0000-0000-0000BE7B0000}"/>
    <cellStyle name="Source Text 11" xfId="31671" xr:uid="{00000000-0005-0000-0000-0000BF7B0000}"/>
    <cellStyle name="Source Text 12" xfId="31672" xr:uid="{00000000-0005-0000-0000-0000C07B0000}"/>
    <cellStyle name="Source Text 13" xfId="31673" xr:uid="{00000000-0005-0000-0000-0000C17B0000}"/>
    <cellStyle name="Source Text 14" xfId="31674" xr:uid="{00000000-0005-0000-0000-0000C27B0000}"/>
    <cellStyle name="Source Text 15" xfId="31675" xr:uid="{00000000-0005-0000-0000-0000C37B0000}"/>
    <cellStyle name="Source Text 16" xfId="31676" xr:uid="{00000000-0005-0000-0000-0000C47B0000}"/>
    <cellStyle name="Source Text 17" xfId="31677" xr:uid="{00000000-0005-0000-0000-0000C57B0000}"/>
    <cellStyle name="Source Text 18" xfId="31678" xr:uid="{00000000-0005-0000-0000-0000C67B0000}"/>
    <cellStyle name="Source Text 19" xfId="31679" xr:uid="{00000000-0005-0000-0000-0000C77B0000}"/>
    <cellStyle name="Source Text 2" xfId="31680" xr:uid="{00000000-0005-0000-0000-0000C87B0000}"/>
    <cellStyle name="Source Text 20" xfId="31681" xr:uid="{00000000-0005-0000-0000-0000C97B0000}"/>
    <cellStyle name="Source Text 21" xfId="31682" xr:uid="{00000000-0005-0000-0000-0000CA7B0000}"/>
    <cellStyle name="Source Text 21 2" xfId="31683" xr:uid="{00000000-0005-0000-0000-0000CB7B0000}"/>
    <cellStyle name="Source Text 3" xfId="31684" xr:uid="{00000000-0005-0000-0000-0000CC7B0000}"/>
    <cellStyle name="Source Text 4" xfId="31685" xr:uid="{00000000-0005-0000-0000-0000CD7B0000}"/>
    <cellStyle name="Source Text 5" xfId="31686" xr:uid="{00000000-0005-0000-0000-0000CE7B0000}"/>
    <cellStyle name="Source Text 6" xfId="31687" xr:uid="{00000000-0005-0000-0000-0000CF7B0000}"/>
    <cellStyle name="Source Text 7" xfId="31688" xr:uid="{00000000-0005-0000-0000-0000D07B0000}"/>
    <cellStyle name="Source Text 8" xfId="31689" xr:uid="{00000000-0005-0000-0000-0000D17B0000}"/>
    <cellStyle name="Source Text 9" xfId="31690" xr:uid="{00000000-0005-0000-0000-0000D27B0000}"/>
    <cellStyle name="specstores" xfId="31691" xr:uid="{00000000-0005-0000-0000-0000D37B0000}"/>
    <cellStyle name="specstores 10" xfId="31692" xr:uid="{00000000-0005-0000-0000-0000D47B0000}"/>
    <cellStyle name="specstores 11" xfId="31693" xr:uid="{00000000-0005-0000-0000-0000D57B0000}"/>
    <cellStyle name="specstores 12" xfId="31694" xr:uid="{00000000-0005-0000-0000-0000D67B0000}"/>
    <cellStyle name="specstores 13" xfId="31695" xr:uid="{00000000-0005-0000-0000-0000D77B0000}"/>
    <cellStyle name="specstores 14" xfId="31696" xr:uid="{00000000-0005-0000-0000-0000D87B0000}"/>
    <cellStyle name="specstores 15" xfId="31697" xr:uid="{00000000-0005-0000-0000-0000D97B0000}"/>
    <cellStyle name="specstores 16" xfId="31698" xr:uid="{00000000-0005-0000-0000-0000DA7B0000}"/>
    <cellStyle name="specstores 17" xfId="31699" xr:uid="{00000000-0005-0000-0000-0000DB7B0000}"/>
    <cellStyle name="specstores 18" xfId="31700" xr:uid="{00000000-0005-0000-0000-0000DC7B0000}"/>
    <cellStyle name="specstores 19" xfId="31701" xr:uid="{00000000-0005-0000-0000-0000DD7B0000}"/>
    <cellStyle name="specstores 2" xfId="31702" xr:uid="{00000000-0005-0000-0000-0000DE7B0000}"/>
    <cellStyle name="specstores 20" xfId="31703" xr:uid="{00000000-0005-0000-0000-0000DF7B0000}"/>
    <cellStyle name="specstores 21" xfId="31704" xr:uid="{00000000-0005-0000-0000-0000E07B0000}"/>
    <cellStyle name="specstores 21 2" xfId="31705" xr:uid="{00000000-0005-0000-0000-0000E17B0000}"/>
    <cellStyle name="specstores 3" xfId="31706" xr:uid="{00000000-0005-0000-0000-0000E27B0000}"/>
    <cellStyle name="specstores 4" xfId="31707" xr:uid="{00000000-0005-0000-0000-0000E37B0000}"/>
    <cellStyle name="specstores 5" xfId="31708" xr:uid="{00000000-0005-0000-0000-0000E47B0000}"/>
    <cellStyle name="specstores 6" xfId="31709" xr:uid="{00000000-0005-0000-0000-0000E57B0000}"/>
    <cellStyle name="specstores 7" xfId="31710" xr:uid="{00000000-0005-0000-0000-0000E67B0000}"/>
    <cellStyle name="specstores 8" xfId="31711" xr:uid="{00000000-0005-0000-0000-0000E77B0000}"/>
    <cellStyle name="specstores 9" xfId="31712" xr:uid="{00000000-0005-0000-0000-0000E87B0000}"/>
    <cellStyle name="ss" xfId="31713" xr:uid="{00000000-0005-0000-0000-0000E97B0000}"/>
    <cellStyle name="ss 10" xfId="31714" xr:uid="{00000000-0005-0000-0000-0000EA7B0000}"/>
    <cellStyle name="ss 11" xfId="31715" xr:uid="{00000000-0005-0000-0000-0000EB7B0000}"/>
    <cellStyle name="ss 12" xfId="31716" xr:uid="{00000000-0005-0000-0000-0000EC7B0000}"/>
    <cellStyle name="ss 13" xfId="31717" xr:uid="{00000000-0005-0000-0000-0000ED7B0000}"/>
    <cellStyle name="ss 14" xfId="31718" xr:uid="{00000000-0005-0000-0000-0000EE7B0000}"/>
    <cellStyle name="ss 15" xfId="31719" xr:uid="{00000000-0005-0000-0000-0000EF7B0000}"/>
    <cellStyle name="ss 16" xfId="31720" xr:uid="{00000000-0005-0000-0000-0000F07B0000}"/>
    <cellStyle name="ss 17" xfId="31721" xr:uid="{00000000-0005-0000-0000-0000F17B0000}"/>
    <cellStyle name="ss 18" xfId="31722" xr:uid="{00000000-0005-0000-0000-0000F27B0000}"/>
    <cellStyle name="ss 19" xfId="31723" xr:uid="{00000000-0005-0000-0000-0000F37B0000}"/>
    <cellStyle name="ss 2" xfId="31724" xr:uid="{00000000-0005-0000-0000-0000F47B0000}"/>
    <cellStyle name="ss 20" xfId="31725" xr:uid="{00000000-0005-0000-0000-0000F57B0000}"/>
    <cellStyle name="ss 21" xfId="31726" xr:uid="{00000000-0005-0000-0000-0000F67B0000}"/>
    <cellStyle name="ss 21 2" xfId="31727" xr:uid="{00000000-0005-0000-0000-0000F77B0000}"/>
    <cellStyle name="ss 3" xfId="31728" xr:uid="{00000000-0005-0000-0000-0000F87B0000}"/>
    <cellStyle name="ss 4" xfId="31729" xr:uid="{00000000-0005-0000-0000-0000F97B0000}"/>
    <cellStyle name="ss 5" xfId="31730" xr:uid="{00000000-0005-0000-0000-0000FA7B0000}"/>
    <cellStyle name="ss 6" xfId="31731" xr:uid="{00000000-0005-0000-0000-0000FB7B0000}"/>
    <cellStyle name="ss 7" xfId="31732" xr:uid="{00000000-0005-0000-0000-0000FC7B0000}"/>
    <cellStyle name="ss 8" xfId="31733" xr:uid="{00000000-0005-0000-0000-0000FD7B0000}"/>
    <cellStyle name="ss 9" xfId="31734" xr:uid="{00000000-0005-0000-0000-0000FE7B0000}"/>
    <cellStyle name="SS Col Hdr" xfId="31735" xr:uid="{00000000-0005-0000-0000-0000FF7B0000}"/>
    <cellStyle name="SS Col Hdr 10" xfId="31736" xr:uid="{00000000-0005-0000-0000-0000007C0000}"/>
    <cellStyle name="SS Col Hdr 11" xfId="31737" xr:uid="{00000000-0005-0000-0000-0000017C0000}"/>
    <cellStyle name="SS Col Hdr 12" xfId="31738" xr:uid="{00000000-0005-0000-0000-0000027C0000}"/>
    <cellStyle name="SS Col Hdr 13" xfId="31739" xr:uid="{00000000-0005-0000-0000-0000037C0000}"/>
    <cellStyle name="SS Col Hdr 14" xfId="31740" xr:uid="{00000000-0005-0000-0000-0000047C0000}"/>
    <cellStyle name="SS Col Hdr 15" xfId="31741" xr:uid="{00000000-0005-0000-0000-0000057C0000}"/>
    <cellStyle name="SS Col Hdr 16" xfId="31742" xr:uid="{00000000-0005-0000-0000-0000067C0000}"/>
    <cellStyle name="SS Col Hdr 17" xfId="31743" xr:uid="{00000000-0005-0000-0000-0000077C0000}"/>
    <cellStyle name="SS Col Hdr 18" xfId="31744" xr:uid="{00000000-0005-0000-0000-0000087C0000}"/>
    <cellStyle name="SS Col Hdr 19" xfId="31745" xr:uid="{00000000-0005-0000-0000-0000097C0000}"/>
    <cellStyle name="SS Col Hdr 2" xfId="31746" xr:uid="{00000000-0005-0000-0000-00000A7C0000}"/>
    <cellStyle name="SS Col Hdr 20" xfId="31747" xr:uid="{00000000-0005-0000-0000-00000B7C0000}"/>
    <cellStyle name="SS Col Hdr 21" xfId="31748" xr:uid="{00000000-0005-0000-0000-00000C7C0000}"/>
    <cellStyle name="SS Col Hdr 21 2" xfId="31749" xr:uid="{00000000-0005-0000-0000-00000D7C0000}"/>
    <cellStyle name="SS Col Hdr 3" xfId="31750" xr:uid="{00000000-0005-0000-0000-00000E7C0000}"/>
    <cellStyle name="SS Col Hdr 4" xfId="31751" xr:uid="{00000000-0005-0000-0000-00000F7C0000}"/>
    <cellStyle name="SS Col Hdr 5" xfId="31752" xr:uid="{00000000-0005-0000-0000-0000107C0000}"/>
    <cellStyle name="SS Col Hdr 6" xfId="31753" xr:uid="{00000000-0005-0000-0000-0000117C0000}"/>
    <cellStyle name="SS Col Hdr 7" xfId="31754" xr:uid="{00000000-0005-0000-0000-0000127C0000}"/>
    <cellStyle name="SS Col Hdr 8" xfId="31755" xr:uid="{00000000-0005-0000-0000-0000137C0000}"/>
    <cellStyle name="SS Col Hdr 9" xfId="31756" xr:uid="{00000000-0005-0000-0000-0000147C0000}"/>
    <cellStyle name="SS Dim 1 Blank" xfId="31757" xr:uid="{00000000-0005-0000-0000-0000157C0000}"/>
    <cellStyle name="SS Dim 1 Blank 10" xfId="31758" xr:uid="{00000000-0005-0000-0000-0000167C0000}"/>
    <cellStyle name="SS Dim 1 Blank 11" xfId="31759" xr:uid="{00000000-0005-0000-0000-0000177C0000}"/>
    <cellStyle name="SS Dim 1 Blank 12" xfId="31760" xr:uid="{00000000-0005-0000-0000-0000187C0000}"/>
    <cellStyle name="SS Dim 1 Blank 13" xfId="31761" xr:uid="{00000000-0005-0000-0000-0000197C0000}"/>
    <cellStyle name="SS Dim 1 Blank 14" xfId="31762" xr:uid="{00000000-0005-0000-0000-00001A7C0000}"/>
    <cellStyle name="SS Dim 1 Blank 15" xfId="31763" xr:uid="{00000000-0005-0000-0000-00001B7C0000}"/>
    <cellStyle name="SS Dim 1 Blank 16" xfId="31764" xr:uid="{00000000-0005-0000-0000-00001C7C0000}"/>
    <cellStyle name="SS Dim 1 Blank 17" xfId="31765" xr:uid="{00000000-0005-0000-0000-00001D7C0000}"/>
    <cellStyle name="SS Dim 1 Blank 18" xfId="31766" xr:uid="{00000000-0005-0000-0000-00001E7C0000}"/>
    <cellStyle name="SS Dim 1 Blank 19" xfId="31767" xr:uid="{00000000-0005-0000-0000-00001F7C0000}"/>
    <cellStyle name="SS Dim 1 Blank 2" xfId="31768" xr:uid="{00000000-0005-0000-0000-0000207C0000}"/>
    <cellStyle name="SS Dim 1 Blank 20" xfId="31769" xr:uid="{00000000-0005-0000-0000-0000217C0000}"/>
    <cellStyle name="SS Dim 1 Blank 21" xfId="31770" xr:uid="{00000000-0005-0000-0000-0000227C0000}"/>
    <cellStyle name="SS Dim 1 Blank 21 2" xfId="31771" xr:uid="{00000000-0005-0000-0000-0000237C0000}"/>
    <cellStyle name="SS Dim 1 Blank 3" xfId="31772" xr:uid="{00000000-0005-0000-0000-0000247C0000}"/>
    <cellStyle name="SS Dim 1 Blank 4" xfId="31773" xr:uid="{00000000-0005-0000-0000-0000257C0000}"/>
    <cellStyle name="SS Dim 1 Blank 5" xfId="31774" xr:uid="{00000000-0005-0000-0000-0000267C0000}"/>
    <cellStyle name="SS Dim 1 Blank 6" xfId="31775" xr:uid="{00000000-0005-0000-0000-0000277C0000}"/>
    <cellStyle name="SS Dim 1 Blank 7" xfId="31776" xr:uid="{00000000-0005-0000-0000-0000287C0000}"/>
    <cellStyle name="SS Dim 1 Blank 8" xfId="31777" xr:uid="{00000000-0005-0000-0000-0000297C0000}"/>
    <cellStyle name="SS Dim 1 Blank 9" xfId="31778" xr:uid="{00000000-0005-0000-0000-00002A7C0000}"/>
    <cellStyle name="SS Dim 1 Title" xfId="31779" xr:uid="{00000000-0005-0000-0000-00002B7C0000}"/>
    <cellStyle name="SS Dim 1 Title 10" xfId="31780" xr:uid="{00000000-0005-0000-0000-00002C7C0000}"/>
    <cellStyle name="SS Dim 1 Title 11" xfId="31781" xr:uid="{00000000-0005-0000-0000-00002D7C0000}"/>
    <cellStyle name="SS Dim 1 Title 12" xfId="31782" xr:uid="{00000000-0005-0000-0000-00002E7C0000}"/>
    <cellStyle name="SS Dim 1 Title 13" xfId="31783" xr:uid="{00000000-0005-0000-0000-00002F7C0000}"/>
    <cellStyle name="SS Dim 1 Title 14" xfId="31784" xr:uid="{00000000-0005-0000-0000-0000307C0000}"/>
    <cellStyle name="SS Dim 1 Title 15" xfId="31785" xr:uid="{00000000-0005-0000-0000-0000317C0000}"/>
    <cellStyle name="SS Dim 1 Title 16" xfId="31786" xr:uid="{00000000-0005-0000-0000-0000327C0000}"/>
    <cellStyle name="SS Dim 1 Title 17" xfId="31787" xr:uid="{00000000-0005-0000-0000-0000337C0000}"/>
    <cellStyle name="SS Dim 1 Title 18" xfId="31788" xr:uid="{00000000-0005-0000-0000-0000347C0000}"/>
    <cellStyle name="SS Dim 1 Title 19" xfId="31789" xr:uid="{00000000-0005-0000-0000-0000357C0000}"/>
    <cellStyle name="SS Dim 1 Title 2" xfId="31790" xr:uid="{00000000-0005-0000-0000-0000367C0000}"/>
    <cellStyle name="SS Dim 1 Title 20" xfId="31791" xr:uid="{00000000-0005-0000-0000-0000377C0000}"/>
    <cellStyle name="SS Dim 1 Title 21" xfId="31792" xr:uid="{00000000-0005-0000-0000-0000387C0000}"/>
    <cellStyle name="SS Dim 1 Title 21 2" xfId="31793" xr:uid="{00000000-0005-0000-0000-0000397C0000}"/>
    <cellStyle name="SS Dim 1 Title 3" xfId="31794" xr:uid="{00000000-0005-0000-0000-00003A7C0000}"/>
    <cellStyle name="SS Dim 1 Title 4" xfId="31795" xr:uid="{00000000-0005-0000-0000-00003B7C0000}"/>
    <cellStyle name="SS Dim 1 Title 5" xfId="31796" xr:uid="{00000000-0005-0000-0000-00003C7C0000}"/>
    <cellStyle name="SS Dim 1 Title 6" xfId="31797" xr:uid="{00000000-0005-0000-0000-00003D7C0000}"/>
    <cellStyle name="SS Dim 1 Title 7" xfId="31798" xr:uid="{00000000-0005-0000-0000-00003E7C0000}"/>
    <cellStyle name="SS Dim 1 Title 8" xfId="31799" xr:uid="{00000000-0005-0000-0000-00003F7C0000}"/>
    <cellStyle name="SS Dim 1 Title 9" xfId="31800" xr:uid="{00000000-0005-0000-0000-0000407C0000}"/>
    <cellStyle name="SS Dim 1 Value" xfId="31801" xr:uid="{00000000-0005-0000-0000-0000417C0000}"/>
    <cellStyle name="SS Dim 1 Value 10" xfId="31802" xr:uid="{00000000-0005-0000-0000-0000427C0000}"/>
    <cellStyle name="SS Dim 1 Value 11" xfId="31803" xr:uid="{00000000-0005-0000-0000-0000437C0000}"/>
    <cellStyle name="SS Dim 1 Value 12" xfId="31804" xr:uid="{00000000-0005-0000-0000-0000447C0000}"/>
    <cellStyle name="SS Dim 1 Value 13" xfId="31805" xr:uid="{00000000-0005-0000-0000-0000457C0000}"/>
    <cellStyle name="SS Dim 1 Value 14" xfId="31806" xr:uid="{00000000-0005-0000-0000-0000467C0000}"/>
    <cellStyle name="SS Dim 1 Value 15" xfId="31807" xr:uid="{00000000-0005-0000-0000-0000477C0000}"/>
    <cellStyle name="SS Dim 1 Value 16" xfId="31808" xr:uid="{00000000-0005-0000-0000-0000487C0000}"/>
    <cellStyle name="SS Dim 1 Value 17" xfId="31809" xr:uid="{00000000-0005-0000-0000-0000497C0000}"/>
    <cellStyle name="SS Dim 1 Value 18" xfId="31810" xr:uid="{00000000-0005-0000-0000-00004A7C0000}"/>
    <cellStyle name="SS Dim 1 Value 19" xfId="31811" xr:uid="{00000000-0005-0000-0000-00004B7C0000}"/>
    <cellStyle name="SS Dim 1 Value 2" xfId="31812" xr:uid="{00000000-0005-0000-0000-00004C7C0000}"/>
    <cellStyle name="SS Dim 1 Value 2 2" xfId="31813" xr:uid="{00000000-0005-0000-0000-00004D7C0000}"/>
    <cellStyle name="SS Dim 1 Value 20" xfId="31814" xr:uid="{00000000-0005-0000-0000-00004E7C0000}"/>
    <cellStyle name="SS Dim 1 Value 21" xfId="31815" xr:uid="{00000000-0005-0000-0000-00004F7C0000}"/>
    <cellStyle name="SS Dim 1 Value 22" xfId="31816" xr:uid="{00000000-0005-0000-0000-0000507C0000}"/>
    <cellStyle name="SS Dim 1 Value 23" xfId="31817" xr:uid="{00000000-0005-0000-0000-0000517C0000}"/>
    <cellStyle name="SS Dim 1 Value 23 2" xfId="31818" xr:uid="{00000000-0005-0000-0000-0000527C0000}"/>
    <cellStyle name="SS Dim 1 Value 3" xfId="31819" xr:uid="{00000000-0005-0000-0000-0000537C0000}"/>
    <cellStyle name="SS Dim 1 Value 3 2" xfId="31820" xr:uid="{00000000-0005-0000-0000-0000547C0000}"/>
    <cellStyle name="SS Dim 1 Value 4" xfId="31821" xr:uid="{00000000-0005-0000-0000-0000557C0000}"/>
    <cellStyle name="SS Dim 1 Value 5" xfId="31822" xr:uid="{00000000-0005-0000-0000-0000567C0000}"/>
    <cellStyle name="SS Dim 1 Value 6" xfId="31823" xr:uid="{00000000-0005-0000-0000-0000577C0000}"/>
    <cellStyle name="SS Dim 1 Value 7" xfId="31824" xr:uid="{00000000-0005-0000-0000-0000587C0000}"/>
    <cellStyle name="SS Dim 1 Value 8" xfId="31825" xr:uid="{00000000-0005-0000-0000-0000597C0000}"/>
    <cellStyle name="SS Dim 1 Value 9" xfId="31826" xr:uid="{00000000-0005-0000-0000-00005A7C0000}"/>
    <cellStyle name="SS Dim 2 Blank" xfId="31827" xr:uid="{00000000-0005-0000-0000-00005B7C0000}"/>
    <cellStyle name="SS Dim 2 Blank 10" xfId="31828" xr:uid="{00000000-0005-0000-0000-00005C7C0000}"/>
    <cellStyle name="SS Dim 2 Blank 11" xfId="31829" xr:uid="{00000000-0005-0000-0000-00005D7C0000}"/>
    <cellStyle name="SS Dim 2 Blank 12" xfId="31830" xr:uid="{00000000-0005-0000-0000-00005E7C0000}"/>
    <cellStyle name="SS Dim 2 Blank 13" xfId="31831" xr:uid="{00000000-0005-0000-0000-00005F7C0000}"/>
    <cellStyle name="SS Dim 2 Blank 14" xfId="31832" xr:uid="{00000000-0005-0000-0000-0000607C0000}"/>
    <cellStyle name="SS Dim 2 Blank 15" xfId="31833" xr:uid="{00000000-0005-0000-0000-0000617C0000}"/>
    <cellStyle name="SS Dim 2 Blank 16" xfId="31834" xr:uid="{00000000-0005-0000-0000-0000627C0000}"/>
    <cellStyle name="SS Dim 2 Blank 17" xfId="31835" xr:uid="{00000000-0005-0000-0000-0000637C0000}"/>
    <cellStyle name="SS Dim 2 Blank 18" xfId="31836" xr:uid="{00000000-0005-0000-0000-0000647C0000}"/>
    <cellStyle name="SS Dim 2 Blank 19" xfId="31837" xr:uid="{00000000-0005-0000-0000-0000657C0000}"/>
    <cellStyle name="SS Dim 2 Blank 2" xfId="31838" xr:uid="{00000000-0005-0000-0000-0000667C0000}"/>
    <cellStyle name="SS Dim 2 Blank 2 2" xfId="31839" xr:uid="{00000000-0005-0000-0000-0000677C0000}"/>
    <cellStyle name="SS Dim 2 Blank 20" xfId="31840" xr:uid="{00000000-0005-0000-0000-0000687C0000}"/>
    <cellStyle name="SS Dim 2 Blank 21" xfId="31841" xr:uid="{00000000-0005-0000-0000-0000697C0000}"/>
    <cellStyle name="SS Dim 2 Blank 22" xfId="31842" xr:uid="{00000000-0005-0000-0000-00006A7C0000}"/>
    <cellStyle name="SS Dim 2 Blank 23" xfId="31843" xr:uid="{00000000-0005-0000-0000-00006B7C0000}"/>
    <cellStyle name="SS Dim 2 Blank 3" xfId="31844" xr:uid="{00000000-0005-0000-0000-00006C7C0000}"/>
    <cellStyle name="SS Dim 2 Blank 3 2" xfId="31845" xr:uid="{00000000-0005-0000-0000-00006D7C0000}"/>
    <cellStyle name="SS Dim 2 Blank 4" xfId="31846" xr:uid="{00000000-0005-0000-0000-00006E7C0000}"/>
    <cellStyle name="SS Dim 2 Blank 5" xfId="31847" xr:uid="{00000000-0005-0000-0000-00006F7C0000}"/>
    <cellStyle name="SS Dim 2 Blank 6" xfId="31848" xr:uid="{00000000-0005-0000-0000-0000707C0000}"/>
    <cellStyle name="SS Dim 2 Blank 7" xfId="31849" xr:uid="{00000000-0005-0000-0000-0000717C0000}"/>
    <cellStyle name="SS Dim 2 Blank 8" xfId="31850" xr:uid="{00000000-0005-0000-0000-0000727C0000}"/>
    <cellStyle name="SS Dim 2 Blank 9" xfId="31851" xr:uid="{00000000-0005-0000-0000-0000737C0000}"/>
    <cellStyle name="SS Dim 2 Title" xfId="31852" xr:uid="{00000000-0005-0000-0000-0000747C0000}"/>
    <cellStyle name="SS Dim 2 Title 10" xfId="31853" xr:uid="{00000000-0005-0000-0000-0000757C0000}"/>
    <cellStyle name="SS Dim 2 Title 11" xfId="31854" xr:uid="{00000000-0005-0000-0000-0000767C0000}"/>
    <cellStyle name="SS Dim 2 Title 12" xfId="31855" xr:uid="{00000000-0005-0000-0000-0000777C0000}"/>
    <cellStyle name="SS Dim 2 Title 13" xfId="31856" xr:uid="{00000000-0005-0000-0000-0000787C0000}"/>
    <cellStyle name="SS Dim 2 Title 14" xfId="31857" xr:uid="{00000000-0005-0000-0000-0000797C0000}"/>
    <cellStyle name="SS Dim 2 Title 15" xfId="31858" xr:uid="{00000000-0005-0000-0000-00007A7C0000}"/>
    <cellStyle name="SS Dim 2 Title 16" xfId="31859" xr:uid="{00000000-0005-0000-0000-00007B7C0000}"/>
    <cellStyle name="SS Dim 2 Title 17" xfId="31860" xr:uid="{00000000-0005-0000-0000-00007C7C0000}"/>
    <cellStyle name="SS Dim 2 Title 18" xfId="31861" xr:uid="{00000000-0005-0000-0000-00007D7C0000}"/>
    <cellStyle name="SS Dim 2 Title 19" xfId="31862" xr:uid="{00000000-0005-0000-0000-00007E7C0000}"/>
    <cellStyle name="SS Dim 2 Title 2" xfId="31863" xr:uid="{00000000-0005-0000-0000-00007F7C0000}"/>
    <cellStyle name="SS Dim 2 Title 20" xfId="31864" xr:uid="{00000000-0005-0000-0000-0000807C0000}"/>
    <cellStyle name="SS Dim 2 Title 21" xfId="31865" xr:uid="{00000000-0005-0000-0000-0000817C0000}"/>
    <cellStyle name="SS Dim 2 Title 21 2" xfId="31866" xr:uid="{00000000-0005-0000-0000-0000827C0000}"/>
    <cellStyle name="SS Dim 2 Title 3" xfId="31867" xr:uid="{00000000-0005-0000-0000-0000837C0000}"/>
    <cellStyle name="SS Dim 2 Title 4" xfId="31868" xr:uid="{00000000-0005-0000-0000-0000847C0000}"/>
    <cellStyle name="SS Dim 2 Title 5" xfId="31869" xr:uid="{00000000-0005-0000-0000-0000857C0000}"/>
    <cellStyle name="SS Dim 2 Title 6" xfId="31870" xr:uid="{00000000-0005-0000-0000-0000867C0000}"/>
    <cellStyle name="SS Dim 2 Title 7" xfId="31871" xr:uid="{00000000-0005-0000-0000-0000877C0000}"/>
    <cellStyle name="SS Dim 2 Title 8" xfId="31872" xr:uid="{00000000-0005-0000-0000-0000887C0000}"/>
    <cellStyle name="SS Dim 2 Title 9" xfId="31873" xr:uid="{00000000-0005-0000-0000-0000897C0000}"/>
    <cellStyle name="SS Dim 2 Value" xfId="31874" xr:uid="{00000000-0005-0000-0000-00008A7C0000}"/>
    <cellStyle name="SS Dim 2 Value 10" xfId="31875" xr:uid="{00000000-0005-0000-0000-00008B7C0000}"/>
    <cellStyle name="SS Dim 2 Value 11" xfId="31876" xr:uid="{00000000-0005-0000-0000-00008C7C0000}"/>
    <cellStyle name="SS Dim 2 Value 12" xfId="31877" xr:uid="{00000000-0005-0000-0000-00008D7C0000}"/>
    <cellStyle name="SS Dim 2 Value 13" xfId="31878" xr:uid="{00000000-0005-0000-0000-00008E7C0000}"/>
    <cellStyle name="SS Dim 2 Value 14" xfId="31879" xr:uid="{00000000-0005-0000-0000-00008F7C0000}"/>
    <cellStyle name="SS Dim 2 Value 15" xfId="31880" xr:uid="{00000000-0005-0000-0000-0000907C0000}"/>
    <cellStyle name="SS Dim 2 Value 16" xfId="31881" xr:uid="{00000000-0005-0000-0000-0000917C0000}"/>
    <cellStyle name="SS Dim 2 Value 17" xfId="31882" xr:uid="{00000000-0005-0000-0000-0000927C0000}"/>
    <cellStyle name="SS Dim 2 Value 18" xfId="31883" xr:uid="{00000000-0005-0000-0000-0000937C0000}"/>
    <cellStyle name="SS Dim 2 Value 19" xfId="31884" xr:uid="{00000000-0005-0000-0000-0000947C0000}"/>
    <cellStyle name="SS Dim 2 Value 2" xfId="31885" xr:uid="{00000000-0005-0000-0000-0000957C0000}"/>
    <cellStyle name="SS Dim 2 Value 2 2" xfId="31886" xr:uid="{00000000-0005-0000-0000-0000967C0000}"/>
    <cellStyle name="SS Dim 2 Value 20" xfId="31887" xr:uid="{00000000-0005-0000-0000-0000977C0000}"/>
    <cellStyle name="SS Dim 2 Value 21" xfId="31888" xr:uid="{00000000-0005-0000-0000-0000987C0000}"/>
    <cellStyle name="SS Dim 2 Value 22" xfId="31889" xr:uid="{00000000-0005-0000-0000-0000997C0000}"/>
    <cellStyle name="SS Dim 2 Value 23" xfId="31890" xr:uid="{00000000-0005-0000-0000-00009A7C0000}"/>
    <cellStyle name="SS Dim 2 Value 23 2" xfId="31891" xr:uid="{00000000-0005-0000-0000-00009B7C0000}"/>
    <cellStyle name="SS Dim 2 Value 3" xfId="31892" xr:uid="{00000000-0005-0000-0000-00009C7C0000}"/>
    <cellStyle name="SS Dim 2 Value 3 2" xfId="31893" xr:uid="{00000000-0005-0000-0000-00009D7C0000}"/>
    <cellStyle name="SS Dim 2 Value 4" xfId="31894" xr:uid="{00000000-0005-0000-0000-00009E7C0000}"/>
    <cellStyle name="SS Dim 2 Value 5" xfId="31895" xr:uid="{00000000-0005-0000-0000-00009F7C0000}"/>
    <cellStyle name="SS Dim 2 Value 6" xfId="31896" xr:uid="{00000000-0005-0000-0000-0000A07C0000}"/>
    <cellStyle name="SS Dim 2 Value 7" xfId="31897" xr:uid="{00000000-0005-0000-0000-0000A17C0000}"/>
    <cellStyle name="SS Dim 2 Value 8" xfId="31898" xr:uid="{00000000-0005-0000-0000-0000A27C0000}"/>
    <cellStyle name="SS Dim 2 Value 9" xfId="31899" xr:uid="{00000000-0005-0000-0000-0000A37C0000}"/>
    <cellStyle name="SS Dim 3 Blank" xfId="31900" xr:uid="{00000000-0005-0000-0000-0000A47C0000}"/>
    <cellStyle name="SS Dim 3 Blank 10" xfId="31901" xr:uid="{00000000-0005-0000-0000-0000A57C0000}"/>
    <cellStyle name="SS Dim 3 Blank 11" xfId="31902" xr:uid="{00000000-0005-0000-0000-0000A67C0000}"/>
    <cellStyle name="SS Dim 3 Blank 12" xfId="31903" xr:uid="{00000000-0005-0000-0000-0000A77C0000}"/>
    <cellStyle name="SS Dim 3 Blank 13" xfId="31904" xr:uid="{00000000-0005-0000-0000-0000A87C0000}"/>
    <cellStyle name="SS Dim 3 Blank 14" xfId="31905" xr:uid="{00000000-0005-0000-0000-0000A97C0000}"/>
    <cellStyle name="SS Dim 3 Blank 15" xfId="31906" xr:uid="{00000000-0005-0000-0000-0000AA7C0000}"/>
    <cellStyle name="SS Dim 3 Blank 16" xfId="31907" xr:uid="{00000000-0005-0000-0000-0000AB7C0000}"/>
    <cellStyle name="SS Dim 3 Blank 17" xfId="31908" xr:uid="{00000000-0005-0000-0000-0000AC7C0000}"/>
    <cellStyle name="SS Dim 3 Blank 18" xfId="31909" xr:uid="{00000000-0005-0000-0000-0000AD7C0000}"/>
    <cellStyle name="SS Dim 3 Blank 19" xfId="31910" xr:uid="{00000000-0005-0000-0000-0000AE7C0000}"/>
    <cellStyle name="SS Dim 3 Blank 2" xfId="31911" xr:uid="{00000000-0005-0000-0000-0000AF7C0000}"/>
    <cellStyle name="SS Dim 3 Blank 2 2" xfId="31912" xr:uid="{00000000-0005-0000-0000-0000B07C0000}"/>
    <cellStyle name="SS Dim 3 Blank 20" xfId="31913" xr:uid="{00000000-0005-0000-0000-0000B17C0000}"/>
    <cellStyle name="SS Dim 3 Blank 21" xfId="31914" xr:uid="{00000000-0005-0000-0000-0000B27C0000}"/>
    <cellStyle name="SS Dim 3 Blank 22" xfId="31915" xr:uid="{00000000-0005-0000-0000-0000B37C0000}"/>
    <cellStyle name="SS Dim 3 Blank 23" xfId="31916" xr:uid="{00000000-0005-0000-0000-0000B47C0000}"/>
    <cellStyle name="SS Dim 3 Blank 3" xfId="31917" xr:uid="{00000000-0005-0000-0000-0000B57C0000}"/>
    <cellStyle name="SS Dim 3 Blank 3 2" xfId="31918" xr:uid="{00000000-0005-0000-0000-0000B67C0000}"/>
    <cellStyle name="SS Dim 3 Blank 4" xfId="31919" xr:uid="{00000000-0005-0000-0000-0000B77C0000}"/>
    <cellStyle name="SS Dim 3 Blank 5" xfId="31920" xr:uid="{00000000-0005-0000-0000-0000B87C0000}"/>
    <cellStyle name="SS Dim 3 Blank 6" xfId="31921" xr:uid="{00000000-0005-0000-0000-0000B97C0000}"/>
    <cellStyle name="SS Dim 3 Blank 7" xfId="31922" xr:uid="{00000000-0005-0000-0000-0000BA7C0000}"/>
    <cellStyle name="SS Dim 3 Blank 8" xfId="31923" xr:uid="{00000000-0005-0000-0000-0000BB7C0000}"/>
    <cellStyle name="SS Dim 3 Blank 9" xfId="31924" xr:uid="{00000000-0005-0000-0000-0000BC7C0000}"/>
    <cellStyle name="SS Dim 3 Title" xfId="31925" xr:uid="{00000000-0005-0000-0000-0000BD7C0000}"/>
    <cellStyle name="SS Dim 3 Title 10" xfId="31926" xr:uid="{00000000-0005-0000-0000-0000BE7C0000}"/>
    <cellStyle name="SS Dim 3 Title 11" xfId="31927" xr:uid="{00000000-0005-0000-0000-0000BF7C0000}"/>
    <cellStyle name="SS Dim 3 Title 12" xfId="31928" xr:uid="{00000000-0005-0000-0000-0000C07C0000}"/>
    <cellStyle name="SS Dim 3 Title 13" xfId="31929" xr:uid="{00000000-0005-0000-0000-0000C17C0000}"/>
    <cellStyle name="SS Dim 3 Title 14" xfId="31930" xr:uid="{00000000-0005-0000-0000-0000C27C0000}"/>
    <cellStyle name="SS Dim 3 Title 15" xfId="31931" xr:uid="{00000000-0005-0000-0000-0000C37C0000}"/>
    <cellStyle name="SS Dim 3 Title 16" xfId="31932" xr:uid="{00000000-0005-0000-0000-0000C47C0000}"/>
    <cellStyle name="SS Dim 3 Title 17" xfId="31933" xr:uid="{00000000-0005-0000-0000-0000C57C0000}"/>
    <cellStyle name="SS Dim 3 Title 18" xfId="31934" xr:uid="{00000000-0005-0000-0000-0000C67C0000}"/>
    <cellStyle name="SS Dim 3 Title 19" xfId="31935" xr:uid="{00000000-0005-0000-0000-0000C77C0000}"/>
    <cellStyle name="SS Dim 3 Title 2" xfId="31936" xr:uid="{00000000-0005-0000-0000-0000C87C0000}"/>
    <cellStyle name="SS Dim 3 Title 2 2" xfId="31937" xr:uid="{00000000-0005-0000-0000-0000C97C0000}"/>
    <cellStyle name="SS Dim 3 Title 20" xfId="31938" xr:uid="{00000000-0005-0000-0000-0000CA7C0000}"/>
    <cellStyle name="SS Dim 3 Title 21" xfId="31939" xr:uid="{00000000-0005-0000-0000-0000CB7C0000}"/>
    <cellStyle name="SS Dim 3 Title 22" xfId="31940" xr:uid="{00000000-0005-0000-0000-0000CC7C0000}"/>
    <cellStyle name="SS Dim 3 Title 23" xfId="31941" xr:uid="{00000000-0005-0000-0000-0000CD7C0000}"/>
    <cellStyle name="SS Dim 3 Title 23 2" xfId="31942" xr:uid="{00000000-0005-0000-0000-0000CE7C0000}"/>
    <cellStyle name="SS Dim 3 Title 3" xfId="31943" xr:uid="{00000000-0005-0000-0000-0000CF7C0000}"/>
    <cellStyle name="SS Dim 3 Title 3 2" xfId="31944" xr:uid="{00000000-0005-0000-0000-0000D07C0000}"/>
    <cellStyle name="SS Dim 3 Title 4" xfId="31945" xr:uid="{00000000-0005-0000-0000-0000D17C0000}"/>
    <cellStyle name="SS Dim 3 Title 5" xfId="31946" xr:uid="{00000000-0005-0000-0000-0000D27C0000}"/>
    <cellStyle name="SS Dim 3 Title 6" xfId="31947" xr:uid="{00000000-0005-0000-0000-0000D37C0000}"/>
    <cellStyle name="SS Dim 3 Title 7" xfId="31948" xr:uid="{00000000-0005-0000-0000-0000D47C0000}"/>
    <cellStyle name="SS Dim 3 Title 8" xfId="31949" xr:uid="{00000000-0005-0000-0000-0000D57C0000}"/>
    <cellStyle name="SS Dim 3 Title 9" xfId="31950" xr:uid="{00000000-0005-0000-0000-0000D67C0000}"/>
    <cellStyle name="SS Dim 3 Value" xfId="31951" xr:uid="{00000000-0005-0000-0000-0000D77C0000}"/>
    <cellStyle name="SS Dim 3 Value 10" xfId="31952" xr:uid="{00000000-0005-0000-0000-0000D87C0000}"/>
    <cellStyle name="SS Dim 3 Value 11" xfId="31953" xr:uid="{00000000-0005-0000-0000-0000D97C0000}"/>
    <cellStyle name="SS Dim 3 Value 12" xfId="31954" xr:uid="{00000000-0005-0000-0000-0000DA7C0000}"/>
    <cellStyle name="SS Dim 3 Value 13" xfId="31955" xr:uid="{00000000-0005-0000-0000-0000DB7C0000}"/>
    <cellStyle name="SS Dim 3 Value 14" xfId="31956" xr:uid="{00000000-0005-0000-0000-0000DC7C0000}"/>
    <cellStyle name="SS Dim 3 Value 15" xfId="31957" xr:uid="{00000000-0005-0000-0000-0000DD7C0000}"/>
    <cellStyle name="SS Dim 3 Value 16" xfId="31958" xr:uid="{00000000-0005-0000-0000-0000DE7C0000}"/>
    <cellStyle name="SS Dim 3 Value 17" xfId="31959" xr:uid="{00000000-0005-0000-0000-0000DF7C0000}"/>
    <cellStyle name="SS Dim 3 Value 18" xfId="31960" xr:uid="{00000000-0005-0000-0000-0000E07C0000}"/>
    <cellStyle name="SS Dim 3 Value 19" xfId="31961" xr:uid="{00000000-0005-0000-0000-0000E17C0000}"/>
    <cellStyle name="SS Dim 3 Value 2" xfId="31962" xr:uid="{00000000-0005-0000-0000-0000E27C0000}"/>
    <cellStyle name="SS Dim 3 Value 20" xfId="31963" xr:uid="{00000000-0005-0000-0000-0000E37C0000}"/>
    <cellStyle name="SS Dim 3 Value 21" xfId="31964" xr:uid="{00000000-0005-0000-0000-0000E47C0000}"/>
    <cellStyle name="SS Dim 3 Value 21 2" xfId="31965" xr:uid="{00000000-0005-0000-0000-0000E57C0000}"/>
    <cellStyle name="SS Dim 3 Value 3" xfId="31966" xr:uid="{00000000-0005-0000-0000-0000E67C0000}"/>
    <cellStyle name="SS Dim 3 Value 4" xfId="31967" xr:uid="{00000000-0005-0000-0000-0000E77C0000}"/>
    <cellStyle name="SS Dim 3 Value 5" xfId="31968" xr:uid="{00000000-0005-0000-0000-0000E87C0000}"/>
    <cellStyle name="SS Dim 3 Value 6" xfId="31969" xr:uid="{00000000-0005-0000-0000-0000E97C0000}"/>
    <cellStyle name="SS Dim 3 Value 7" xfId="31970" xr:uid="{00000000-0005-0000-0000-0000EA7C0000}"/>
    <cellStyle name="SS Dim 3 Value 8" xfId="31971" xr:uid="{00000000-0005-0000-0000-0000EB7C0000}"/>
    <cellStyle name="SS Dim 3 Value 9" xfId="31972" xr:uid="{00000000-0005-0000-0000-0000EC7C0000}"/>
    <cellStyle name="SS Dim 4 Blank" xfId="31973" xr:uid="{00000000-0005-0000-0000-0000ED7C0000}"/>
    <cellStyle name="SS Dim 4 Blank 10" xfId="31974" xr:uid="{00000000-0005-0000-0000-0000EE7C0000}"/>
    <cellStyle name="SS Dim 4 Blank 11" xfId="31975" xr:uid="{00000000-0005-0000-0000-0000EF7C0000}"/>
    <cellStyle name="SS Dim 4 Blank 12" xfId="31976" xr:uid="{00000000-0005-0000-0000-0000F07C0000}"/>
    <cellStyle name="SS Dim 4 Blank 13" xfId="31977" xr:uid="{00000000-0005-0000-0000-0000F17C0000}"/>
    <cellStyle name="SS Dim 4 Blank 14" xfId="31978" xr:uid="{00000000-0005-0000-0000-0000F27C0000}"/>
    <cellStyle name="SS Dim 4 Blank 15" xfId="31979" xr:uid="{00000000-0005-0000-0000-0000F37C0000}"/>
    <cellStyle name="SS Dim 4 Blank 16" xfId="31980" xr:uid="{00000000-0005-0000-0000-0000F47C0000}"/>
    <cellStyle name="SS Dim 4 Blank 17" xfId="31981" xr:uid="{00000000-0005-0000-0000-0000F57C0000}"/>
    <cellStyle name="SS Dim 4 Blank 18" xfId="31982" xr:uid="{00000000-0005-0000-0000-0000F67C0000}"/>
    <cellStyle name="SS Dim 4 Blank 19" xfId="31983" xr:uid="{00000000-0005-0000-0000-0000F77C0000}"/>
    <cellStyle name="SS Dim 4 Blank 2" xfId="31984" xr:uid="{00000000-0005-0000-0000-0000F87C0000}"/>
    <cellStyle name="SS Dim 4 Blank 2 2" xfId="31985" xr:uid="{00000000-0005-0000-0000-0000F97C0000}"/>
    <cellStyle name="SS Dim 4 Blank 20" xfId="31986" xr:uid="{00000000-0005-0000-0000-0000FA7C0000}"/>
    <cellStyle name="SS Dim 4 Blank 21" xfId="31987" xr:uid="{00000000-0005-0000-0000-0000FB7C0000}"/>
    <cellStyle name="SS Dim 4 Blank 22" xfId="31988" xr:uid="{00000000-0005-0000-0000-0000FC7C0000}"/>
    <cellStyle name="SS Dim 4 Blank 23" xfId="31989" xr:uid="{00000000-0005-0000-0000-0000FD7C0000}"/>
    <cellStyle name="SS Dim 4 Blank 3" xfId="31990" xr:uid="{00000000-0005-0000-0000-0000FE7C0000}"/>
    <cellStyle name="SS Dim 4 Blank 3 2" xfId="31991" xr:uid="{00000000-0005-0000-0000-0000FF7C0000}"/>
    <cellStyle name="SS Dim 4 Blank 4" xfId="31992" xr:uid="{00000000-0005-0000-0000-0000007D0000}"/>
    <cellStyle name="SS Dim 4 Blank 5" xfId="31993" xr:uid="{00000000-0005-0000-0000-0000017D0000}"/>
    <cellStyle name="SS Dim 4 Blank 6" xfId="31994" xr:uid="{00000000-0005-0000-0000-0000027D0000}"/>
    <cellStyle name="SS Dim 4 Blank 7" xfId="31995" xr:uid="{00000000-0005-0000-0000-0000037D0000}"/>
    <cellStyle name="SS Dim 4 Blank 8" xfId="31996" xr:uid="{00000000-0005-0000-0000-0000047D0000}"/>
    <cellStyle name="SS Dim 4 Blank 9" xfId="31997" xr:uid="{00000000-0005-0000-0000-0000057D0000}"/>
    <cellStyle name="SS Dim 4 Title" xfId="31998" xr:uid="{00000000-0005-0000-0000-0000067D0000}"/>
    <cellStyle name="SS Dim 4 Title 10" xfId="31999" xr:uid="{00000000-0005-0000-0000-0000077D0000}"/>
    <cellStyle name="SS Dim 4 Title 11" xfId="32000" xr:uid="{00000000-0005-0000-0000-0000087D0000}"/>
    <cellStyle name="SS Dim 4 Title 12" xfId="32001" xr:uid="{00000000-0005-0000-0000-0000097D0000}"/>
    <cellStyle name="SS Dim 4 Title 13" xfId="32002" xr:uid="{00000000-0005-0000-0000-00000A7D0000}"/>
    <cellStyle name="SS Dim 4 Title 14" xfId="32003" xr:uid="{00000000-0005-0000-0000-00000B7D0000}"/>
    <cellStyle name="SS Dim 4 Title 15" xfId="32004" xr:uid="{00000000-0005-0000-0000-00000C7D0000}"/>
    <cellStyle name="SS Dim 4 Title 16" xfId="32005" xr:uid="{00000000-0005-0000-0000-00000D7D0000}"/>
    <cellStyle name="SS Dim 4 Title 17" xfId="32006" xr:uid="{00000000-0005-0000-0000-00000E7D0000}"/>
    <cellStyle name="SS Dim 4 Title 18" xfId="32007" xr:uid="{00000000-0005-0000-0000-00000F7D0000}"/>
    <cellStyle name="SS Dim 4 Title 19" xfId="32008" xr:uid="{00000000-0005-0000-0000-0000107D0000}"/>
    <cellStyle name="SS Dim 4 Title 2" xfId="32009" xr:uid="{00000000-0005-0000-0000-0000117D0000}"/>
    <cellStyle name="SS Dim 4 Title 20" xfId="32010" xr:uid="{00000000-0005-0000-0000-0000127D0000}"/>
    <cellStyle name="SS Dim 4 Title 21" xfId="32011" xr:uid="{00000000-0005-0000-0000-0000137D0000}"/>
    <cellStyle name="SS Dim 4 Title 21 2" xfId="32012" xr:uid="{00000000-0005-0000-0000-0000147D0000}"/>
    <cellStyle name="SS Dim 4 Title 3" xfId="32013" xr:uid="{00000000-0005-0000-0000-0000157D0000}"/>
    <cellStyle name="SS Dim 4 Title 4" xfId="32014" xr:uid="{00000000-0005-0000-0000-0000167D0000}"/>
    <cellStyle name="SS Dim 4 Title 5" xfId="32015" xr:uid="{00000000-0005-0000-0000-0000177D0000}"/>
    <cellStyle name="SS Dim 4 Title 6" xfId="32016" xr:uid="{00000000-0005-0000-0000-0000187D0000}"/>
    <cellStyle name="SS Dim 4 Title 7" xfId="32017" xr:uid="{00000000-0005-0000-0000-0000197D0000}"/>
    <cellStyle name="SS Dim 4 Title 8" xfId="32018" xr:uid="{00000000-0005-0000-0000-00001A7D0000}"/>
    <cellStyle name="SS Dim 4 Title 9" xfId="32019" xr:uid="{00000000-0005-0000-0000-00001B7D0000}"/>
    <cellStyle name="SS Dim 4 Value" xfId="32020" xr:uid="{00000000-0005-0000-0000-00001C7D0000}"/>
    <cellStyle name="SS Dim 4 Value 10" xfId="32021" xr:uid="{00000000-0005-0000-0000-00001D7D0000}"/>
    <cellStyle name="SS Dim 4 Value 11" xfId="32022" xr:uid="{00000000-0005-0000-0000-00001E7D0000}"/>
    <cellStyle name="SS Dim 4 Value 12" xfId="32023" xr:uid="{00000000-0005-0000-0000-00001F7D0000}"/>
    <cellStyle name="SS Dim 4 Value 13" xfId="32024" xr:uid="{00000000-0005-0000-0000-0000207D0000}"/>
    <cellStyle name="SS Dim 4 Value 14" xfId="32025" xr:uid="{00000000-0005-0000-0000-0000217D0000}"/>
    <cellStyle name="SS Dim 4 Value 15" xfId="32026" xr:uid="{00000000-0005-0000-0000-0000227D0000}"/>
    <cellStyle name="SS Dim 4 Value 16" xfId="32027" xr:uid="{00000000-0005-0000-0000-0000237D0000}"/>
    <cellStyle name="SS Dim 4 Value 17" xfId="32028" xr:uid="{00000000-0005-0000-0000-0000247D0000}"/>
    <cellStyle name="SS Dim 4 Value 18" xfId="32029" xr:uid="{00000000-0005-0000-0000-0000257D0000}"/>
    <cellStyle name="SS Dim 4 Value 19" xfId="32030" xr:uid="{00000000-0005-0000-0000-0000267D0000}"/>
    <cellStyle name="SS Dim 4 Value 2" xfId="32031" xr:uid="{00000000-0005-0000-0000-0000277D0000}"/>
    <cellStyle name="SS Dim 4 Value 20" xfId="32032" xr:uid="{00000000-0005-0000-0000-0000287D0000}"/>
    <cellStyle name="SS Dim 4 Value 21" xfId="32033" xr:uid="{00000000-0005-0000-0000-0000297D0000}"/>
    <cellStyle name="SS Dim 4 Value 21 2" xfId="32034" xr:uid="{00000000-0005-0000-0000-00002A7D0000}"/>
    <cellStyle name="SS Dim 4 Value 3" xfId="32035" xr:uid="{00000000-0005-0000-0000-00002B7D0000}"/>
    <cellStyle name="SS Dim 4 Value 4" xfId="32036" xr:uid="{00000000-0005-0000-0000-00002C7D0000}"/>
    <cellStyle name="SS Dim 4 Value 5" xfId="32037" xr:uid="{00000000-0005-0000-0000-00002D7D0000}"/>
    <cellStyle name="SS Dim 4 Value 6" xfId="32038" xr:uid="{00000000-0005-0000-0000-00002E7D0000}"/>
    <cellStyle name="SS Dim 4 Value 7" xfId="32039" xr:uid="{00000000-0005-0000-0000-00002F7D0000}"/>
    <cellStyle name="SS Dim 4 Value 8" xfId="32040" xr:uid="{00000000-0005-0000-0000-0000307D0000}"/>
    <cellStyle name="SS Dim 4 Value 9" xfId="32041" xr:uid="{00000000-0005-0000-0000-0000317D0000}"/>
    <cellStyle name="SS Dim 5 Blank" xfId="32042" xr:uid="{00000000-0005-0000-0000-0000327D0000}"/>
    <cellStyle name="SS Dim 5 Blank 10" xfId="32043" xr:uid="{00000000-0005-0000-0000-0000337D0000}"/>
    <cellStyle name="SS Dim 5 Blank 11" xfId="32044" xr:uid="{00000000-0005-0000-0000-0000347D0000}"/>
    <cellStyle name="SS Dim 5 Blank 12" xfId="32045" xr:uid="{00000000-0005-0000-0000-0000357D0000}"/>
    <cellStyle name="SS Dim 5 Blank 13" xfId="32046" xr:uid="{00000000-0005-0000-0000-0000367D0000}"/>
    <cellStyle name="SS Dim 5 Blank 14" xfId="32047" xr:uid="{00000000-0005-0000-0000-0000377D0000}"/>
    <cellStyle name="SS Dim 5 Blank 15" xfId="32048" xr:uid="{00000000-0005-0000-0000-0000387D0000}"/>
    <cellStyle name="SS Dim 5 Blank 16" xfId="32049" xr:uid="{00000000-0005-0000-0000-0000397D0000}"/>
    <cellStyle name="SS Dim 5 Blank 17" xfId="32050" xr:uid="{00000000-0005-0000-0000-00003A7D0000}"/>
    <cellStyle name="SS Dim 5 Blank 18" xfId="32051" xr:uid="{00000000-0005-0000-0000-00003B7D0000}"/>
    <cellStyle name="SS Dim 5 Blank 19" xfId="32052" xr:uid="{00000000-0005-0000-0000-00003C7D0000}"/>
    <cellStyle name="SS Dim 5 Blank 2" xfId="32053" xr:uid="{00000000-0005-0000-0000-00003D7D0000}"/>
    <cellStyle name="SS Dim 5 Blank 2 2" xfId="32054" xr:uid="{00000000-0005-0000-0000-00003E7D0000}"/>
    <cellStyle name="SS Dim 5 Blank 20" xfId="32055" xr:uid="{00000000-0005-0000-0000-00003F7D0000}"/>
    <cellStyle name="SS Dim 5 Blank 21" xfId="32056" xr:uid="{00000000-0005-0000-0000-0000407D0000}"/>
    <cellStyle name="SS Dim 5 Blank 22" xfId="32057" xr:uid="{00000000-0005-0000-0000-0000417D0000}"/>
    <cellStyle name="SS Dim 5 Blank 23" xfId="32058" xr:uid="{00000000-0005-0000-0000-0000427D0000}"/>
    <cellStyle name="SS Dim 5 Blank 3" xfId="32059" xr:uid="{00000000-0005-0000-0000-0000437D0000}"/>
    <cellStyle name="SS Dim 5 Blank 3 2" xfId="32060" xr:uid="{00000000-0005-0000-0000-0000447D0000}"/>
    <cellStyle name="SS Dim 5 Blank 4" xfId="32061" xr:uid="{00000000-0005-0000-0000-0000457D0000}"/>
    <cellStyle name="SS Dim 5 Blank 5" xfId="32062" xr:uid="{00000000-0005-0000-0000-0000467D0000}"/>
    <cellStyle name="SS Dim 5 Blank 6" xfId="32063" xr:uid="{00000000-0005-0000-0000-0000477D0000}"/>
    <cellStyle name="SS Dim 5 Blank 7" xfId="32064" xr:uid="{00000000-0005-0000-0000-0000487D0000}"/>
    <cellStyle name="SS Dim 5 Blank 8" xfId="32065" xr:uid="{00000000-0005-0000-0000-0000497D0000}"/>
    <cellStyle name="SS Dim 5 Blank 9" xfId="32066" xr:uid="{00000000-0005-0000-0000-00004A7D0000}"/>
    <cellStyle name="SS Dim 5 Title" xfId="32067" xr:uid="{00000000-0005-0000-0000-00004B7D0000}"/>
    <cellStyle name="SS Dim 5 Title 10" xfId="32068" xr:uid="{00000000-0005-0000-0000-00004C7D0000}"/>
    <cellStyle name="SS Dim 5 Title 11" xfId="32069" xr:uid="{00000000-0005-0000-0000-00004D7D0000}"/>
    <cellStyle name="SS Dim 5 Title 12" xfId="32070" xr:uid="{00000000-0005-0000-0000-00004E7D0000}"/>
    <cellStyle name="SS Dim 5 Title 13" xfId="32071" xr:uid="{00000000-0005-0000-0000-00004F7D0000}"/>
    <cellStyle name="SS Dim 5 Title 14" xfId="32072" xr:uid="{00000000-0005-0000-0000-0000507D0000}"/>
    <cellStyle name="SS Dim 5 Title 15" xfId="32073" xr:uid="{00000000-0005-0000-0000-0000517D0000}"/>
    <cellStyle name="SS Dim 5 Title 16" xfId="32074" xr:uid="{00000000-0005-0000-0000-0000527D0000}"/>
    <cellStyle name="SS Dim 5 Title 17" xfId="32075" xr:uid="{00000000-0005-0000-0000-0000537D0000}"/>
    <cellStyle name="SS Dim 5 Title 18" xfId="32076" xr:uid="{00000000-0005-0000-0000-0000547D0000}"/>
    <cellStyle name="SS Dim 5 Title 19" xfId="32077" xr:uid="{00000000-0005-0000-0000-0000557D0000}"/>
    <cellStyle name="SS Dim 5 Title 2" xfId="32078" xr:uid="{00000000-0005-0000-0000-0000567D0000}"/>
    <cellStyle name="SS Dim 5 Title 20" xfId="32079" xr:uid="{00000000-0005-0000-0000-0000577D0000}"/>
    <cellStyle name="SS Dim 5 Title 21" xfId="32080" xr:uid="{00000000-0005-0000-0000-0000587D0000}"/>
    <cellStyle name="SS Dim 5 Title 21 2" xfId="32081" xr:uid="{00000000-0005-0000-0000-0000597D0000}"/>
    <cellStyle name="SS Dim 5 Title 3" xfId="32082" xr:uid="{00000000-0005-0000-0000-00005A7D0000}"/>
    <cellStyle name="SS Dim 5 Title 4" xfId="32083" xr:uid="{00000000-0005-0000-0000-00005B7D0000}"/>
    <cellStyle name="SS Dim 5 Title 5" xfId="32084" xr:uid="{00000000-0005-0000-0000-00005C7D0000}"/>
    <cellStyle name="SS Dim 5 Title 6" xfId="32085" xr:uid="{00000000-0005-0000-0000-00005D7D0000}"/>
    <cellStyle name="SS Dim 5 Title 7" xfId="32086" xr:uid="{00000000-0005-0000-0000-00005E7D0000}"/>
    <cellStyle name="SS Dim 5 Title 8" xfId="32087" xr:uid="{00000000-0005-0000-0000-00005F7D0000}"/>
    <cellStyle name="SS Dim 5 Title 9" xfId="32088" xr:uid="{00000000-0005-0000-0000-0000607D0000}"/>
    <cellStyle name="SS Dim 5 Value" xfId="32089" xr:uid="{00000000-0005-0000-0000-0000617D0000}"/>
    <cellStyle name="SS Dim 5 Value 10" xfId="32090" xr:uid="{00000000-0005-0000-0000-0000627D0000}"/>
    <cellStyle name="SS Dim 5 Value 11" xfId="32091" xr:uid="{00000000-0005-0000-0000-0000637D0000}"/>
    <cellStyle name="SS Dim 5 Value 12" xfId="32092" xr:uid="{00000000-0005-0000-0000-0000647D0000}"/>
    <cellStyle name="SS Dim 5 Value 13" xfId="32093" xr:uid="{00000000-0005-0000-0000-0000657D0000}"/>
    <cellStyle name="SS Dim 5 Value 14" xfId="32094" xr:uid="{00000000-0005-0000-0000-0000667D0000}"/>
    <cellStyle name="SS Dim 5 Value 15" xfId="32095" xr:uid="{00000000-0005-0000-0000-0000677D0000}"/>
    <cellStyle name="SS Dim 5 Value 16" xfId="32096" xr:uid="{00000000-0005-0000-0000-0000687D0000}"/>
    <cellStyle name="SS Dim 5 Value 17" xfId="32097" xr:uid="{00000000-0005-0000-0000-0000697D0000}"/>
    <cellStyle name="SS Dim 5 Value 18" xfId="32098" xr:uid="{00000000-0005-0000-0000-00006A7D0000}"/>
    <cellStyle name="SS Dim 5 Value 19" xfId="32099" xr:uid="{00000000-0005-0000-0000-00006B7D0000}"/>
    <cellStyle name="SS Dim 5 Value 2" xfId="32100" xr:uid="{00000000-0005-0000-0000-00006C7D0000}"/>
    <cellStyle name="SS Dim 5 Value 20" xfId="32101" xr:uid="{00000000-0005-0000-0000-00006D7D0000}"/>
    <cellStyle name="SS Dim 5 Value 21" xfId="32102" xr:uid="{00000000-0005-0000-0000-00006E7D0000}"/>
    <cellStyle name="SS Dim 5 Value 21 2" xfId="32103" xr:uid="{00000000-0005-0000-0000-00006F7D0000}"/>
    <cellStyle name="SS Dim 5 Value 3" xfId="32104" xr:uid="{00000000-0005-0000-0000-0000707D0000}"/>
    <cellStyle name="SS Dim 5 Value 4" xfId="32105" xr:uid="{00000000-0005-0000-0000-0000717D0000}"/>
    <cellStyle name="SS Dim 5 Value 5" xfId="32106" xr:uid="{00000000-0005-0000-0000-0000727D0000}"/>
    <cellStyle name="SS Dim 5 Value 6" xfId="32107" xr:uid="{00000000-0005-0000-0000-0000737D0000}"/>
    <cellStyle name="SS Dim 5 Value 7" xfId="32108" xr:uid="{00000000-0005-0000-0000-0000747D0000}"/>
    <cellStyle name="SS Dim 5 Value 8" xfId="32109" xr:uid="{00000000-0005-0000-0000-0000757D0000}"/>
    <cellStyle name="SS Dim 5 Value 9" xfId="32110" xr:uid="{00000000-0005-0000-0000-0000767D0000}"/>
    <cellStyle name="SS Other Measure" xfId="32111" xr:uid="{00000000-0005-0000-0000-0000777D0000}"/>
    <cellStyle name="SS Other Measure 10" xfId="32112" xr:uid="{00000000-0005-0000-0000-0000787D0000}"/>
    <cellStyle name="SS Other Measure 11" xfId="32113" xr:uid="{00000000-0005-0000-0000-0000797D0000}"/>
    <cellStyle name="SS Other Measure 12" xfId="32114" xr:uid="{00000000-0005-0000-0000-00007A7D0000}"/>
    <cellStyle name="SS Other Measure 13" xfId="32115" xr:uid="{00000000-0005-0000-0000-00007B7D0000}"/>
    <cellStyle name="SS Other Measure 14" xfId="32116" xr:uid="{00000000-0005-0000-0000-00007C7D0000}"/>
    <cellStyle name="SS Other Measure 15" xfId="32117" xr:uid="{00000000-0005-0000-0000-00007D7D0000}"/>
    <cellStyle name="SS Other Measure 16" xfId="32118" xr:uid="{00000000-0005-0000-0000-00007E7D0000}"/>
    <cellStyle name="SS Other Measure 17" xfId="32119" xr:uid="{00000000-0005-0000-0000-00007F7D0000}"/>
    <cellStyle name="SS Other Measure 18" xfId="32120" xr:uid="{00000000-0005-0000-0000-0000807D0000}"/>
    <cellStyle name="SS Other Measure 19" xfId="32121" xr:uid="{00000000-0005-0000-0000-0000817D0000}"/>
    <cellStyle name="SS Other Measure 2" xfId="32122" xr:uid="{00000000-0005-0000-0000-0000827D0000}"/>
    <cellStyle name="SS Other Measure 20" xfId="32123" xr:uid="{00000000-0005-0000-0000-0000837D0000}"/>
    <cellStyle name="SS Other Measure 21" xfId="32124" xr:uid="{00000000-0005-0000-0000-0000847D0000}"/>
    <cellStyle name="SS Other Measure 21 2" xfId="32125" xr:uid="{00000000-0005-0000-0000-0000857D0000}"/>
    <cellStyle name="SS Other Measure 3" xfId="32126" xr:uid="{00000000-0005-0000-0000-0000867D0000}"/>
    <cellStyle name="SS Other Measure 4" xfId="32127" xr:uid="{00000000-0005-0000-0000-0000877D0000}"/>
    <cellStyle name="SS Other Measure 5" xfId="32128" xr:uid="{00000000-0005-0000-0000-0000887D0000}"/>
    <cellStyle name="SS Other Measure 6" xfId="32129" xr:uid="{00000000-0005-0000-0000-0000897D0000}"/>
    <cellStyle name="SS Other Measure 7" xfId="32130" xr:uid="{00000000-0005-0000-0000-00008A7D0000}"/>
    <cellStyle name="SS Other Measure 8" xfId="32131" xr:uid="{00000000-0005-0000-0000-00008B7D0000}"/>
    <cellStyle name="SS Other Measure 9" xfId="32132" xr:uid="{00000000-0005-0000-0000-00008C7D0000}"/>
    <cellStyle name="SS Sum Measure" xfId="32133" xr:uid="{00000000-0005-0000-0000-00008D7D0000}"/>
    <cellStyle name="SS Sum Measure 10" xfId="32134" xr:uid="{00000000-0005-0000-0000-00008E7D0000}"/>
    <cellStyle name="SS Sum Measure 11" xfId="32135" xr:uid="{00000000-0005-0000-0000-00008F7D0000}"/>
    <cellStyle name="SS Sum Measure 12" xfId="32136" xr:uid="{00000000-0005-0000-0000-0000907D0000}"/>
    <cellStyle name="SS Sum Measure 13" xfId="32137" xr:uid="{00000000-0005-0000-0000-0000917D0000}"/>
    <cellStyle name="SS Sum Measure 14" xfId="32138" xr:uid="{00000000-0005-0000-0000-0000927D0000}"/>
    <cellStyle name="SS Sum Measure 15" xfId="32139" xr:uid="{00000000-0005-0000-0000-0000937D0000}"/>
    <cellStyle name="SS Sum Measure 16" xfId="32140" xr:uid="{00000000-0005-0000-0000-0000947D0000}"/>
    <cellStyle name="SS Sum Measure 17" xfId="32141" xr:uid="{00000000-0005-0000-0000-0000957D0000}"/>
    <cellStyle name="SS Sum Measure 18" xfId="32142" xr:uid="{00000000-0005-0000-0000-0000967D0000}"/>
    <cellStyle name="SS Sum Measure 19" xfId="32143" xr:uid="{00000000-0005-0000-0000-0000977D0000}"/>
    <cellStyle name="SS Sum Measure 2" xfId="32144" xr:uid="{00000000-0005-0000-0000-0000987D0000}"/>
    <cellStyle name="SS Sum Measure 20" xfId="32145" xr:uid="{00000000-0005-0000-0000-0000997D0000}"/>
    <cellStyle name="SS Sum Measure 21" xfId="32146" xr:uid="{00000000-0005-0000-0000-00009A7D0000}"/>
    <cellStyle name="SS Sum Measure 21 2" xfId="32147" xr:uid="{00000000-0005-0000-0000-00009B7D0000}"/>
    <cellStyle name="SS Sum Measure 3" xfId="32148" xr:uid="{00000000-0005-0000-0000-00009C7D0000}"/>
    <cellStyle name="SS Sum Measure 4" xfId="32149" xr:uid="{00000000-0005-0000-0000-00009D7D0000}"/>
    <cellStyle name="SS Sum Measure 5" xfId="32150" xr:uid="{00000000-0005-0000-0000-00009E7D0000}"/>
    <cellStyle name="SS Sum Measure 6" xfId="32151" xr:uid="{00000000-0005-0000-0000-00009F7D0000}"/>
    <cellStyle name="SS Sum Measure 7" xfId="32152" xr:uid="{00000000-0005-0000-0000-0000A07D0000}"/>
    <cellStyle name="SS Sum Measure 8" xfId="32153" xr:uid="{00000000-0005-0000-0000-0000A17D0000}"/>
    <cellStyle name="SS Sum Measure 9" xfId="32154" xr:uid="{00000000-0005-0000-0000-0000A27D0000}"/>
    <cellStyle name="SS Unbound Dim" xfId="32155" xr:uid="{00000000-0005-0000-0000-0000A37D0000}"/>
    <cellStyle name="SS Unbound Dim 10" xfId="32156" xr:uid="{00000000-0005-0000-0000-0000A47D0000}"/>
    <cellStyle name="SS Unbound Dim 11" xfId="32157" xr:uid="{00000000-0005-0000-0000-0000A57D0000}"/>
    <cellStyle name="SS Unbound Dim 12" xfId="32158" xr:uid="{00000000-0005-0000-0000-0000A67D0000}"/>
    <cellStyle name="SS Unbound Dim 13" xfId="32159" xr:uid="{00000000-0005-0000-0000-0000A77D0000}"/>
    <cellStyle name="SS Unbound Dim 14" xfId="32160" xr:uid="{00000000-0005-0000-0000-0000A87D0000}"/>
    <cellStyle name="SS Unbound Dim 15" xfId="32161" xr:uid="{00000000-0005-0000-0000-0000A97D0000}"/>
    <cellStyle name="SS Unbound Dim 16" xfId="32162" xr:uid="{00000000-0005-0000-0000-0000AA7D0000}"/>
    <cellStyle name="SS Unbound Dim 17" xfId="32163" xr:uid="{00000000-0005-0000-0000-0000AB7D0000}"/>
    <cellStyle name="SS Unbound Dim 18" xfId="32164" xr:uid="{00000000-0005-0000-0000-0000AC7D0000}"/>
    <cellStyle name="SS Unbound Dim 19" xfId="32165" xr:uid="{00000000-0005-0000-0000-0000AD7D0000}"/>
    <cellStyle name="SS Unbound Dim 2" xfId="32166" xr:uid="{00000000-0005-0000-0000-0000AE7D0000}"/>
    <cellStyle name="SS Unbound Dim 20" xfId="32167" xr:uid="{00000000-0005-0000-0000-0000AF7D0000}"/>
    <cellStyle name="SS Unbound Dim 21" xfId="32168" xr:uid="{00000000-0005-0000-0000-0000B07D0000}"/>
    <cellStyle name="SS Unbound Dim 21 2" xfId="32169" xr:uid="{00000000-0005-0000-0000-0000B17D0000}"/>
    <cellStyle name="SS Unbound Dim 3" xfId="32170" xr:uid="{00000000-0005-0000-0000-0000B27D0000}"/>
    <cellStyle name="SS Unbound Dim 4" xfId="32171" xr:uid="{00000000-0005-0000-0000-0000B37D0000}"/>
    <cellStyle name="SS Unbound Dim 5" xfId="32172" xr:uid="{00000000-0005-0000-0000-0000B47D0000}"/>
    <cellStyle name="SS Unbound Dim 6" xfId="32173" xr:uid="{00000000-0005-0000-0000-0000B57D0000}"/>
    <cellStyle name="SS Unbound Dim 7" xfId="32174" xr:uid="{00000000-0005-0000-0000-0000B67D0000}"/>
    <cellStyle name="SS Unbound Dim 8" xfId="32175" xr:uid="{00000000-0005-0000-0000-0000B77D0000}"/>
    <cellStyle name="SS Unbound Dim 9" xfId="32176" xr:uid="{00000000-0005-0000-0000-0000B87D0000}"/>
    <cellStyle name="SS WAvg Measure" xfId="32177" xr:uid="{00000000-0005-0000-0000-0000B97D0000}"/>
    <cellStyle name="SS WAvg Measure 10" xfId="32178" xr:uid="{00000000-0005-0000-0000-0000BA7D0000}"/>
    <cellStyle name="SS WAvg Measure 11" xfId="32179" xr:uid="{00000000-0005-0000-0000-0000BB7D0000}"/>
    <cellStyle name="SS WAvg Measure 12" xfId="32180" xr:uid="{00000000-0005-0000-0000-0000BC7D0000}"/>
    <cellStyle name="SS WAvg Measure 13" xfId="32181" xr:uid="{00000000-0005-0000-0000-0000BD7D0000}"/>
    <cellStyle name="SS WAvg Measure 14" xfId="32182" xr:uid="{00000000-0005-0000-0000-0000BE7D0000}"/>
    <cellStyle name="SS WAvg Measure 15" xfId="32183" xr:uid="{00000000-0005-0000-0000-0000BF7D0000}"/>
    <cellStyle name="SS WAvg Measure 16" xfId="32184" xr:uid="{00000000-0005-0000-0000-0000C07D0000}"/>
    <cellStyle name="SS WAvg Measure 17" xfId="32185" xr:uid="{00000000-0005-0000-0000-0000C17D0000}"/>
    <cellStyle name="SS WAvg Measure 18" xfId="32186" xr:uid="{00000000-0005-0000-0000-0000C27D0000}"/>
    <cellStyle name="SS WAvg Measure 19" xfId="32187" xr:uid="{00000000-0005-0000-0000-0000C37D0000}"/>
    <cellStyle name="SS WAvg Measure 2" xfId="32188" xr:uid="{00000000-0005-0000-0000-0000C47D0000}"/>
    <cellStyle name="SS WAvg Measure 20" xfId="32189" xr:uid="{00000000-0005-0000-0000-0000C57D0000}"/>
    <cellStyle name="SS WAvg Measure 21" xfId="32190" xr:uid="{00000000-0005-0000-0000-0000C67D0000}"/>
    <cellStyle name="SS WAvg Measure 21 2" xfId="32191" xr:uid="{00000000-0005-0000-0000-0000C77D0000}"/>
    <cellStyle name="SS WAvg Measure 3" xfId="32192" xr:uid="{00000000-0005-0000-0000-0000C87D0000}"/>
    <cellStyle name="SS WAvg Measure 4" xfId="32193" xr:uid="{00000000-0005-0000-0000-0000C97D0000}"/>
    <cellStyle name="SS WAvg Measure 5" xfId="32194" xr:uid="{00000000-0005-0000-0000-0000CA7D0000}"/>
    <cellStyle name="SS WAvg Measure 6" xfId="32195" xr:uid="{00000000-0005-0000-0000-0000CB7D0000}"/>
    <cellStyle name="SS WAvg Measure 7" xfId="32196" xr:uid="{00000000-0005-0000-0000-0000CC7D0000}"/>
    <cellStyle name="SS WAvg Measure 8" xfId="32197" xr:uid="{00000000-0005-0000-0000-0000CD7D0000}"/>
    <cellStyle name="SS WAvg Measure 9" xfId="32198" xr:uid="{00000000-0005-0000-0000-0000CE7D0000}"/>
    <cellStyle name="ss_{6} Clawback" xfId="32199" xr:uid="{00000000-0005-0000-0000-0000CF7D0000}"/>
    <cellStyle name="st" xfId="32200" xr:uid="{00000000-0005-0000-0000-0000D07D0000}"/>
    <cellStyle name="st 10" xfId="32201" xr:uid="{00000000-0005-0000-0000-0000D17D0000}"/>
    <cellStyle name="st 11" xfId="32202" xr:uid="{00000000-0005-0000-0000-0000D27D0000}"/>
    <cellStyle name="st 12" xfId="32203" xr:uid="{00000000-0005-0000-0000-0000D37D0000}"/>
    <cellStyle name="st 13" xfId="32204" xr:uid="{00000000-0005-0000-0000-0000D47D0000}"/>
    <cellStyle name="st 14" xfId="32205" xr:uid="{00000000-0005-0000-0000-0000D57D0000}"/>
    <cellStyle name="st 15" xfId="32206" xr:uid="{00000000-0005-0000-0000-0000D67D0000}"/>
    <cellStyle name="st 16" xfId="32207" xr:uid="{00000000-0005-0000-0000-0000D77D0000}"/>
    <cellStyle name="st 17" xfId="32208" xr:uid="{00000000-0005-0000-0000-0000D87D0000}"/>
    <cellStyle name="st 18" xfId="32209" xr:uid="{00000000-0005-0000-0000-0000D97D0000}"/>
    <cellStyle name="st 19" xfId="32210" xr:uid="{00000000-0005-0000-0000-0000DA7D0000}"/>
    <cellStyle name="st 2" xfId="32211" xr:uid="{00000000-0005-0000-0000-0000DB7D0000}"/>
    <cellStyle name="st 2 2" xfId="32212" xr:uid="{00000000-0005-0000-0000-0000DC7D0000}"/>
    <cellStyle name="st 20" xfId="32213" xr:uid="{00000000-0005-0000-0000-0000DD7D0000}"/>
    <cellStyle name="st 21" xfId="32214" xr:uid="{00000000-0005-0000-0000-0000DE7D0000}"/>
    <cellStyle name="st 22" xfId="32215" xr:uid="{00000000-0005-0000-0000-0000DF7D0000}"/>
    <cellStyle name="st 23" xfId="32216" xr:uid="{00000000-0005-0000-0000-0000E07D0000}"/>
    <cellStyle name="st 23 2" xfId="32217" xr:uid="{00000000-0005-0000-0000-0000E17D0000}"/>
    <cellStyle name="st 3" xfId="32218" xr:uid="{00000000-0005-0000-0000-0000E27D0000}"/>
    <cellStyle name="st 3 2" xfId="32219" xr:uid="{00000000-0005-0000-0000-0000E37D0000}"/>
    <cellStyle name="st 4" xfId="32220" xr:uid="{00000000-0005-0000-0000-0000E47D0000}"/>
    <cellStyle name="st 5" xfId="32221" xr:uid="{00000000-0005-0000-0000-0000E57D0000}"/>
    <cellStyle name="st 6" xfId="32222" xr:uid="{00000000-0005-0000-0000-0000E67D0000}"/>
    <cellStyle name="st 7" xfId="32223" xr:uid="{00000000-0005-0000-0000-0000E77D0000}"/>
    <cellStyle name="st 8" xfId="32224" xr:uid="{00000000-0005-0000-0000-0000E87D0000}"/>
    <cellStyle name="st 9" xfId="32225" xr:uid="{00000000-0005-0000-0000-0000E97D0000}"/>
    <cellStyle name="Standaard_Blad1" xfId="32226" xr:uid="{00000000-0005-0000-0000-0000EA7D0000}"/>
    <cellStyle name="Standard_EM_GLOB" xfId="32227" xr:uid="{00000000-0005-0000-0000-0000EB7D0000}"/>
    <cellStyle name="Std Number" xfId="32228" xr:uid="{00000000-0005-0000-0000-0000EC7D0000}"/>
    <cellStyle name="Std Number 10" xfId="32229" xr:uid="{00000000-0005-0000-0000-0000ED7D0000}"/>
    <cellStyle name="Std Number 11" xfId="32230" xr:uid="{00000000-0005-0000-0000-0000EE7D0000}"/>
    <cellStyle name="Std Number 12" xfId="32231" xr:uid="{00000000-0005-0000-0000-0000EF7D0000}"/>
    <cellStyle name="Std Number 13" xfId="32232" xr:uid="{00000000-0005-0000-0000-0000F07D0000}"/>
    <cellStyle name="Std Number 14" xfId="32233" xr:uid="{00000000-0005-0000-0000-0000F17D0000}"/>
    <cellStyle name="Std Number 15" xfId="32234" xr:uid="{00000000-0005-0000-0000-0000F27D0000}"/>
    <cellStyle name="Std Number 16" xfId="32235" xr:uid="{00000000-0005-0000-0000-0000F37D0000}"/>
    <cellStyle name="Std Number 17" xfId="32236" xr:uid="{00000000-0005-0000-0000-0000F47D0000}"/>
    <cellStyle name="Std Number 18" xfId="32237" xr:uid="{00000000-0005-0000-0000-0000F57D0000}"/>
    <cellStyle name="Std Number 19" xfId="32238" xr:uid="{00000000-0005-0000-0000-0000F67D0000}"/>
    <cellStyle name="Std Number 2" xfId="32239" xr:uid="{00000000-0005-0000-0000-0000F77D0000}"/>
    <cellStyle name="Std Number 20" xfId="32240" xr:uid="{00000000-0005-0000-0000-0000F87D0000}"/>
    <cellStyle name="Std Number 21" xfId="32241" xr:uid="{00000000-0005-0000-0000-0000F97D0000}"/>
    <cellStyle name="Std Number 21 2" xfId="32242" xr:uid="{00000000-0005-0000-0000-0000FA7D0000}"/>
    <cellStyle name="Std Number 3" xfId="32243" xr:uid="{00000000-0005-0000-0000-0000FB7D0000}"/>
    <cellStyle name="Std Number 4" xfId="32244" xr:uid="{00000000-0005-0000-0000-0000FC7D0000}"/>
    <cellStyle name="Std Number 5" xfId="32245" xr:uid="{00000000-0005-0000-0000-0000FD7D0000}"/>
    <cellStyle name="Std Number 6" xfId="32246" xr:uid="{00000000-0005-0000-0000-0000FE7D0000}"/>
    <cellStyle name="Std Number 7" xfId="32247" xr:uid="{00000000-0005-0000-0000-0000FF7D0000}"/>
    <cellStyle name="Std Number 8" xfId="32248" xr:uid="{00000000-0005-0000-0000-0000007E0000}"/>
    <cellStyle name="Std Number 9" xfId="32249" xr:uid="{00000000-0005-0000-0000-0000017E0000}"/>
    <cellStyle name="STYL1 - Style1" xfId="32250" xr:uid="{00000000-0005-0000-0000-0000027E0000}"/>
    <cellStyle name="STYL1 - Style1 10" xfId="32251" xr:uid="{00000000-0005-0000-0000-0000037E0000}"/>
    <cellStyle name="STYL1 - Style1 11" xfId="32252" xr:uid="{00000000-0005-0000-0000-0000047E0000}"/>
    <cellStyle name="STYL1 - Style1 12" xfId="32253" xr:uid="{00000000-0005-0000-0000-0000057E0000}"/>
    <cellStyle name="STYL1 - Style1 13" xfId="32254" xr:uid="{00000000-0005-0000-0000-0000067E0000}"/>
    <cellStyle name="STYL1 - Style1 14" xfId="32255" xr:uid="{00000000-0005-0000-0000-0000077E0000}"/>
    <cellStyle name="STYL1 - Style1 15" xfId="32256" xr:uid="{00000000-0005-0000-0000-0000087E0000}"/>
    <cellStyle name="STYL1 - Style1 16" xfId="32257" xr:uid="{00000000-0005-0000-0000-0000097E0000}"/>
    <cellStyle name="STYL1 - Style1 17" xfId="32258" xr:uid="{00000000-0005-0000-0000-00000A7E0000}"/>
    <cellStyle name="STYL1 - Style1 18" xfId="32259" xr:uid="{00000000-0005-0000-0000-00000B7E0000}"/>
    <cellStyle name="STYL1 - Style1 19" xfId="32260" xr:uid="{00000000-0005-0000-0000-00000C7E0000}"/>
    <cellStyle name="STYL1 - Style1 2" xfId="32261" xr:uid="{00000000-0005-0000-0000-00000D7E0000}"/>
    <cellStyle name="STYL1 - Style1 20" xfId="32262" xr:uid="{00000000-0005-0000-0000-00000E7E0000}"/>
    <cellStyle name="STYL1 - Style1 21" xfId="32263" xr:uid="{00000000-0005-0000-0000-00000F7E0000}"/>
    <cellStyle name="STYL1 - Style1 21 2" xfId="32264" xr:uid="{00000000-0005-0000-0000-0000107E0000}"/>
    <cellStyle name="STYL1 - Style1 3" xfId="32265" xr:uid="{00000000-0005-0000-0000-0000117E0000}"/>
    <cellStyle name="STYL1 - Style1 4" xfId="32266" xr:uid="{00000000-0005-0000-0000-0000127E0000}"/>
    <cellStyle name="STYL1 - Style1 5" xfId="32267" xr:uid="{00000000-0005-0000-0000-0000137E0000}"/>
    <cellStyle name="STYL1 - Style1 6" xfId="32268" xr:uid="{00000000-0005-0000-0000-0000147E0000}"/>
    <cellStyle name="STYL1 - Style1 7" xfId="32269" xr:uid="{00000000-0005-0000-0000-0000157E0000}"/>
    <cellStyle name="STYL1 - Style1 8" xfId="32270" xr:uid="{00000000-0005-0000-0000-0000167E0000}"/>
    <cellStyle name="STYL1 - Style1 9" xfId="32271" xr:uid="{00000000-0005-0000-0000-0000177E0000}"/>
    <cellStyle name="STYL2 - Style2" xfId="32272" xr:uid="{00000000-0005-0000-0000-0000187E0000}"/>
    <cellStyle name="STYL2 - Style2 10" xfId="32273" xr:uid="{00000000-0005-0000-0000-0000197E0000}"/>
    <cellStyle name="STYL2 - Style2 11" xfId="32274" xr:uid="{00000000-0005-0000-0000-00001A7E0000}"/>
    <cellStyle name="STYL2 - Style2 12" xfId="32275" xr:uid="{00000000-0005-0000-0000-00001B7E0000}"/>
    <cellStyle name="STYL2 - Style2 13" xfId="32276" xr:uid="{00000000-0005-0000-0000-00001C7E0000}"/>
    <cellStyle name="STYL2 - Style2 14" xfId="32277" xr:uid="{00000000-0005-0000-0000-00001D7E0000}"/>
    <cellStyle name="STYL2 - Style2 15" xfId="32278" xr:uid="{00000000-0005-0000-0000-00001E7E0000}"/>
    <cellStyle name="STYL2 - Style2 16" xfId="32279" xr:uid="{00000000-0005-0000-0000-00001F7E0000}"/>
    <cellStyle name="STYL2 - Style2 17" xfId="32280" xr:uid="{00000000-0005-0000-0000-0000207E0000}"/>
    <cellStyle name="STYL2 - Style2 18" xfId="32281" xr:uid="{00000000-0005-0000-0000-0000217E0000}"/>
    <cellStyle name="STYL2 - Style2 19" xfId="32282" xr:uid="{00000000-0005-0000-0000-0000227E0000}"/>
    <cellStyle name="STYL2 - Style2 2" xfId="32283" xr:uid="{00000000-0005-0000-0000-0000237E0000}"/>
    <cellStyle name="STYL2 - Style2 20" xfId="32284" xr:uid="{00000000-0005-0000-0000-0000247E0000}"/>
    <cellStyle name="STYL2 - Style2 21" xfId="32285" xr:uid="{00000000-0005-0000-0000-0000257E0000}"/>
    <cellStyle name="STYL2 - Style2 21 2" xfId="32286" xr:uid="{00000000-0005-0000-0000-0000267E0000}"/>
    <cellStyle name="STYL2 - Style2 3" xfId="32287" xr:uid="{00000000-0005-0000-0000-0000277E0000}"/>
    <cellStyle name="STYL2 - Style2 4" xfId="32288" xr:uid="{00000000-0005-0000-0000-0000287E0000}"/>
    <cellStyle name="STYL2 - Style2 5" xfId="32289" xr:uid="{00000000-0005-0000-0000-0000297E0000}"/>
    <cellStyle name="STYL2 - Style2 6" xfId="32290" xr:uid="{00000000-0005-0000-0000-00002A7E0000}"/>
    <cellStyle name="STYL2 - Style2 7" xfId="32291" xr:uid="{00000000-0005-0000-0000-00002B7E0000}"/>
    <cellStyle name="STYL2 - Style2 8" xfId="32292" xr:uid="{00000000-0005-0000-0000-00002C7E0000}"/>
    <cellStyle name="STYL2 - Style2 9" xfId="32293" xr:uid="{00000000-0005-0000-0000-00002D7E0000}"/>
    <cellStyle name="STYL3 - Style3" xfId="32294" xr:uid="{00000000-0005-0000-0000-00002E7E0000}"/>
    <cellStyle name="STYL3 - Style3 10" xfId="32295" xr:uid="{00000000-0005-0000-0000-00002F7E0000}"/>
    <cellStyle name="STYL3 - Style3 11" xfId="32296" xr:uid="{00000000-0005-0000-0000-0000307E0000}"/>
    <cellStyle name="STYL3 - Style3 12" xfId="32297" xr:uid="{00000000-0005-0000-0000-0000317E0000}"/>
    <cellStyle name="STYL3 - Style3 13" xfId="32298" xr:uid="{00000000-0005-0000-0000-0000327E0000}"/>
    <cellStyle name="STYL3 - Style3 14" xfId="32299" xr:uid="{00000000-0005-0000-0000-0000337E0000}"/>
    <cellStyle name="STYL3 - Style3 15" xfId="32300" xr:uid="{00000000-0005-0000-0000-0000347E0000}"/>
    <cellStyle name="STYL3 - Style3 16" xfId="32301" xr:uid="{00000000-0005-0000-0000-0000357E0000}"/>
    <cellStyle name="STYL3 - Style3 17" xfId="32302" xr:uid="{00000000-0005-0000-0000-0000367E0000}"/>
    <cellStyle name="STYL3 - Style3 18" xfId="32303" xr:uid="{00000000-0005-0000-0000-0000377E0000}"/>
    <cellStyle name="STYL3 - Style3 19" xfId="32304" xr:uid="{00000000-0005-0000-0000-0000387E0000}"/>
    <cellStyle name="STYL3 - Style3 2" xfId="32305" xr:uid="{00000000-0005-0000-0000-0000397E0000}"/>
    <cellStyle name="STYL3 - Style3 20" xfId="32306" xr:uid="{00000000-0005-0000-0000-00003A7E0000}"/>
    <cellStyle name="STYL3 - Style3 21" xfId="32307" xr:uid="{00000000-0005-0000-0000-00003B7E0000}"/>
    <cellStyle name="STYL3 - Style3 21 2" xfId="32308" xr:uid="{00000000-0005-0000-0000-00003C7E0000}"/>
    <cellStyle name="STYL3 - Style3 3" xfId="32309" xr:uid="{00000000-0005-0000-0000-00003D7E0000}"/>
    <cellStyle name="STYL3 - Style3 4" xfId="32310" xr:uid="{00000000-0005-0000-0000-00003E7E0000}"/>
    <cellStyle name="STYL3 - Style3 5" xfId="32311" xr:uid="{00000000-0005-0000-0000-00003F7E0000}"/>
    <cellStyle name="STYL3 - Style3 6" xfId="32312" xr:uid="{00000000-0005-0000-0000-0000407E0000}"/>
    <cellStyle name="STYL3 - Style3 7" xfId="32313" xr:uid="{00000000-0005-0000-0000-0000417E0000}"/>
    <cellStyle name="STYL3 - Style3 8" xfId="32314" xr:uid="{00000000-0005-0000-0000-0000427E0000}"/>
    <cellStyle name="STYL3 - Style3 9" xfId="32315" xr:uid="{00000000-0005-0000-0000-0000437E0000}"/>
    <cellStyle name="STYL4 - Style4" xfId="32316" xr:uid="{00000000-0005-0000-0000-0000447E0000}"/>
    <cellStyle name="STYL4 - Style4 10" xfId="32317" xr:uid="{00000000-0005-0000-0000-0000457E0000}"/>
    <cellStyle name="STYL4 - Style4 11" xfId="32318" xr:uid="{00000000-0005-0000-0000-0000467E0000}"/>
    <cellStyle name="STYL4 - Style4 12" xfId="32319" xr:uid="{00000000-0005-0000-0000-0000477E0000}"/>
    <cellStyle name="STYL4 - Style4 13" xfId="32320" xr:uid="{00000000-0005-0000-0000-0000487E0000}"/>
    <cellStyle name="STYL4 - Style4 14" xfId="32321" xr:uid="{00000000-0005-0000-0000-0000497E0000}"/>
    <cellStyle name="STYL4 - Style4 15" xfId="32322" xr:uid="{00000000-0005-0000-0000-00004A7E0000}"/>
    <cellStyle name="STYL4 - Style4 16" xfId="32323" xr:uid="{00000000-0005-0000-0000-00004B7E0000}"/>
    <cellStyle name="STYL4 - Style4 17" xfId="32324" xr:uid="{00000000-0005-0000-0000-00004C7E0000}"/>
    <cellStyle name="STYL4 - Style4 18" xfId="32325" xr:uid="{00000000-0005-0000-0000-00004D7E0000}"/>
    <cellStyle name="STYL4 - Style4 19" xfId="32326" xr:uid="{00000000-0005-0000-0000-00004E7E0000}"/>
    <cellStyle name="STYL4 - Style4 2" xfId="32327" xr:uid="{00000000-0005-0000-0000-00004F7E0000}"/>
    <cellStyle name="STYL4 - Style4 20" xfId="32328" xr:uid="{00000000-0005-0000-0000-0000507E0000}"/>
    <cellStyle name="STYL4 - Style4 21" xfId="32329" xr:uid="{00000000-0005-0000-0000-0000517E0000}"/>
    <cellStyle name="STYL4 - Style4 21 2" xfId="32330" xr:uid="{00000000-0005-0000-0000-0000527E0000}"/>
    <cellStyle name="STYL4 - Style4 3" xfId="32331" xr:uid="{00000000-0005-0000-0000-0000537E0000}"/>
    <cellStyle name="STYL4 - Style4 4" xfId="32332" xr:uid="{00000000-0005-0000-0000-0000547E0000}"/>
    <cellStyle name="STYL4 - Style4 5" xfId="32333" xr:uid="{00000000-0005-0000-0000-0000557E0000}"/>
    <cellStyle name="STYL4 - Style4 6" xfId="32334" xr:uid="{00000000-0005-0000-0000-0000567E0000}"/>
    <cellStyle name="STYL4 - Style4 7" xfId="32335" xr:uid="{00000000-0005-0000-0000-0000577E0000}"/>
    <cellStyle name="STYL4 - Style4 8" xfId="32336" xr:uid="{00000000-0005-0000-0000-0000587E0000}"/>
    <cellStyle name="STYL4 - Style4 9" xfId="32337" xr:uid="{00000000-0005-0000-0000-0000597E0000}"/>
    <cellStyle name="STYL5 - Style5" xfId="32338" xr:uid="{00000000-0005-0000-0000-00005A7E0000}"/>
    <cellStyle name="STYL5 - Style5 10" xfId="32339" xr:uid="{00000000-0005-0000-0000-00005B7E0000}"/>
    <cellStyle name="STYL5 - Style5 11" xfId="32340" xr:uid="{00000000-0005-0000-0000-00005C7E0000}"/>
    <cellStyle name="STYL5 - Style5 12" xfId="32341" xr:uid="{00000000-0005-0000-0000-00005D7E0000}"/>
    <cellStyle name="STYL5 - Style5 13" xfId="32342" xr:uid="{00000000-0005-0000-0000-00005E7E0000}"/>
    <cellStyle name="STYL5 - Style5 14" xfId="32343" xr:uid="{00000000-0005-0000-0000-00005F7E0000}"/>
    <cellStyle name="STYL5 - Style5 15" xfId="32344" xr:uid="{00000000-0005-0000-0000-0000607E0000}"/>
    <cellStyle name="STYL5 - Style5 16" xfId="32345" xr:uid="{00000000-0005-0000-0000-0000617E0000}"/>
    <cellStyle name="STYL5 - Style5 17" xfId="32346" xr:uid="{00000000-0005-0000-0000-0000627E0000}"/>
    <cellStyle name="STYL5 - Style5 18" xfId="32347" xr:uid="{00000000-0005-0000-0000-0000637E0000}"/>
    <cellStyle name="STYL5 - Style5 19" xfId="32348" xr:uid="{00000000-0005-0000-0000-0000647E0000}"/>
    <cellStyle name="STYL5 - Style5 2" xfId="32349" xr:uid="{00000000-0005-0000-0000-0000657E0000}"/>
    <cellStyle name="STYL5 - Style5 20" xfId="32350" xr:uid="{00000000-0005-0000-0000-0000667E0000}"/>
    <cellStyle name="STYL5 - Style5 21" xfId="32351" xr:uid="{00000000-0005-0000-0000-0000677E0000}"/>
    <cellStyle name="STYL5 - Style5 21 2" xfId="32352" xr:uid="{00000000-0005-0000-0000-0000687E0000}"/>
    <cellStyle name="STYL5 - Style5 3" xfId="32353" xr:uid="{00000000-0005-0000-0000-0000697E0000}"/>
    <cellStyle name="STYL5 - Style5 4" xfId="32354" xr:uid="{00000000-0005-0000-0000-00006A7E0000}"/>
    <cellStyle name="STYL5 - Style5 5" xfId="32355" xr:uid="{00000000-0005-0000-0000-00006B7E0000}"/>
    <cellStyle name="STYL5 - Style5 6" xfId="32356" xr:uid="{00000000-0005-0000-0000-00006C7E0000}"/>
    <cellStyle name="STYL5 - Style5 7" xfId="32357" xr:uid="{00000000-0005-0000-0000-00006D7E0000}"/>
    <cellStyle name="STYL5 - Style5 8" xfId="32358" xr:uid="{00000000-0005-0000-0000-00006E7E0000}"/>
    <cellStyle name="STYL5 - Style5 9" xfId="32359" xr:uid="{00000000-0005-0000-0000-00006F7E0000}"/>
    <cellStyle name="Style 1" xfId="32360" xr:uid="{00000000-0005-0000-0000-0000707E0000}"/>
    <cellStyle name="Style 1 10" xfId="32361" xr:uid="{00000000-0005-0000-0000-0000717E0000}"/>
    <cellStyle name="Style 1 11" xfId="32362" xr:uid="{00000000-0005-0000-0000-0000727E0000}"/>
    <cellStyle name="Style 1 12" xfId="32363" xr:uid="{00000000-0005-0000-0000-0000737E0000}"/>
    <cellStyle name="Style 1 13" xfId="32364" xr:uid="{00000000-0005-0000-0000-0000747E0000}"/>
    <cellStyle name="Style 1 14" xfId="32365" xr:uid="{00000000-0005-0000-0000-0000757E0000}"/>
    <cellStyle name="Style 1 15" xfId="32366" xr:uid="{00000000-0005-0000-0000-0000767E0000}"/>
    <cellStyle name="Style 1 16" xfId="32367" xr:uid="{00000000-0005-0000-0000-0000777E0000}"/>
    <cellStyle name="Style 1 17" xfId="32368" xr:uid="{00000000-0005-0000-0000-0000787E0000}"/>
    <cellStyle name="Style 1 18" xfId="32369" xr:uid="{00000000-0005-0000-0000-0000797E0000}"/>
    <cellStyle name="Style 1 19" xfId="32370" xr:uid="{00000000-0005-0000-0000-00007A7E0000}"/>
    <cellStyle name="Style 1 2" xfId="32371" xr:uid="{00000000-0005-0000-0000-00007B7E0000}"/>
    <cellStyle name="Style 1 2 2" xfId="32372" xr:uid="{00000000-0005-0000-0000-00007C7E0000}"/>
    <cellStyle name="Style 1 20" xfId="32373" xr:uid="{00000000-0005-0000-0000-00007D7E0000}"/>
    <cellStyle name="Style 1 21" xfId="32374" xr:uid="{00000000-0005-0000-0000-00007E7E0000}"/>
    <cellStyle name="Style 1 22" xfId="32375" xr:uid="{00000000-0005-0000-0000-00007F7E0000}"/>
    <cellStyle name="Style 1 23" xfId="32376" xr:uid="{00000000-0005-0000-0000-0000807E0000}"/>
    <cellStyle name="Style 1 23 2" xfId="32377" xr:uid="{00000000-0005-0000-0000-0000817E0000}"/>
    <cellStyle name="Style 1 3" xfId="32378" xr:uid="{00000000-0005-0000-0000-0000827E0000}"/>
    <cellStyle name="Style 1 3 2" xfId="32379" xr:uid="{00000000-0005-0000-0000-0000837E0000}"/>
    <cellStyle name="Style 1 4" xfId="32380" xr:uid="{00000000-0005-0000-0000-0000847E0000}"/>
    <cellStyle name="Style 1 5" xfId="32381" xr:uid="{00000000-0005-0000-0000-0000857E0000}"/>
    <cellStyle name="Style 1 6" xfId="32382" xr:uid="{00000000-0005-0000-0000-0000867E0000}"/>
    <cellStyle name="Style 1 7" xfId="32383" xr:uid="{00000000-0005-0000-0000-0000877E0000}"/>
    <cellStyle name="Style 1 8" xfId="32384" xr:uid="{00000000-0005-0000-0000-0000887E0000}"/>
    <cellStyle name="Style 1 9" xfId="32385" xr:uid="{00000000-0005-0000-0000-0000897E0000}"/>
    <cellStyle name="Style 2" xfId="32386" xr:uid="{00000000-0005-0000-0000-00008A7E0000}"/>
    <cellStyle name="Style 2 10" xfId="32387" xr:uid="{00000000-0005-0000-0000-00008B7E0000}"/>
    <cellStyle name="Style 2 11" xfId="32388" xr:uid="{00000000-0005-0000-0000-00008C7E0000}"/>
    <cellStyle name="Style 2 12" xfId="32389" xr:uid="{00000000-0005-0000-0000-00008D7E0000}"/>
    <cellStyle name="Style 2 13" xfId="32390" xr:uid="{00000000-0005-0000-0000-00008E7E0000}"/>
    <cellStyle name="Style 2 14" xfId="32391" xr:uid="{00000000-0005-0000-0000-00008F7E0000}"/>
    <cellStyle name="Style 2 15" xfId="32392" xr:uid="{00000000-0005-0000-0000-0000907E0000}"/>
    <cellStyle name="Style 2 16" xfId="32393" xr:uid="{00000000-0005-0000-0000-0000917E0000}"/>
    <cellStyle name="Style 2 17" xfId="32394" xr:uid="{00000000-0005-0000-0000-0000927E0000}"/>
    <cellStyle name="Style 2 18" xfId="32395" xr:uid="{00000000-0005-0000-0000-0000937E0000}"/>
    <cellStyle name="Style 2 19" xfId="32396" xr:uid="{00000000-0005-0000-0000-0000947E0000}"/>
    <cellStyle name="Style 2 2" xfId="32397" xr:uid="{00000000-0005-0000-0000-0000957E0000}"/>
    <cellStyle name="Style 2 20" xfId="32398" xr:uid="{00000000-0005-0000-0000-0000967E0000}"/>
    <cellStyle name="Style 2 21" xfId="32399" xr:uid="{00000000-0005-0000-0000-0000977E0000}"/>
    <cellStyle name="Style 2 3" xfId="32400" xr:uid="{00000000-0005-0000-0000-0000987E0000}"/>
    <cellStyle name="Style 2 4" xfId="32401" xr:uid="{00000000-0005-0000-0000-0000997E0000}"/>
    <cellStyle name="Style 2 5" xfId="32402" xr:uid="{00000000-0005-0000-0000-00009A7E0000}"/>
    <cellStyle name="Style 2 6" xfId="32403" xr:uid="{00000000-0005-0000-0000-00009B7E0000}"/>
    <cellStyle name="Style 2 7" xfId="32404" xr:uid="{00000000-0005-0000-0000-00009C7E0000}"/>
    <cellStyle name="Style 2 8" xfId="32405" xr:uid="{00000000-0005-0000-0000-00009D7E0000}"/>
    <cellStyle name="Style 2 9" xfId="32406" xr:uid="{00000000-0005-0000-0000-00009E7E0000}"/>
    <cellStyle name="Style 21" xfId="32407" xr:uid="{00000000-0005-0000-0000-00009F7E0000}"/>
    <cellStyle name="Style 21 10" xfId="32408" xr:uid="{00000000-0005-0000-0000-0000A07E0000}"/>
    <cellStyle name="Style 21 11" xfId="32409" xr:uid="{00000000-0005-0000-0000-0000A17E0000}"/>
    <cellStyle name="Style 21 12" xfId="32410" xr:uid="{00000000-0005-0000-0000-0000A27E0000}"/>
    <cellStyle name="Style 21 13" xfId="32411" xr:uid="{00000000-0005-0000-0000-0000A37E0000}"/>
    <cellStyle name="Style 21 14" xfId="32412" xr:uid="{00000000-0005-0000-0000-0000A47E0000}"/>
    <cellStyle name="Style 21 15" xfId="32413" xr:uid="{00000000-0005-0000-0000-0000A57E0000}"/>
    <cellStyle name="Style 21 16" xfId="32414" xr:uid="{00000000-0005-0000-0000-0000A67E0000}"/>
    <cellStyle name="Style 21 17" xfId="32415" xr:uid="{00000000-0005-0000-0000-0000A77E0000}"/>
    <cellStyle name="Style 21 18" xfId="32416" xr:uid="{00000000-0005-0000-0000-0000A87E0000}"/>
    <cellStyle name="Style 21 19" xfId="32417" xr:uid="{00000000-0005-0000-0000-0000A97E0000}"/>
    <cellStyle name="Style 21 2" xfId="32418" xr:uid="{00000000-0005-0000-0000-0000AA7E0000}"/>
    <cellStyle name="Style 21 20" xfId="32419" xr:uid="{00000000-0005-0000-0000-0000AB7E0000}"/>
    <cellStyle name="Style 21 21" xfId="32420" xr:uid="{00000000-0005-0000-0000-0000AC7E0000}"/>
    <cellStyle name="Style 21 3" xfId="32421" xr:uid="{00000000-0005-0000-0000-0000AD7E0000}"/>
    <cellStyle name="Style 21 4" xfId="32422" xr:uid="{00000000-0005-0000-0000-0000AE7E0000}"/>
    <cellStyle name="Style 21 5" xfId="32423" xr:uid="{00000000-0005-0000-0000-0000AF7E0000}"/>
    <cellStyle name="Style 21 6" xfId="32424" xr:uid="{00000000-0005-0000-0000-0000B07E0000}"/>
    <cellStyle name="Style 21 7" xfId="32425" xr:uid="{00000000-0005-0000-0000-0000B17E0000}"/>
    <cellStyle name="Style 21 8" xfId="32426" xr:uid="{00000000-0005-0000-0000-0000B27E0000}"/>
    <cellStyle name="Style 21 9" xfId="32427" xr:uid="{00000000-0005-0000-0000-0000B37E0000}"/>
    <cellStyle name="Style 23" xfId="32428" xr:uid="{00000000-0005-0000-0000-0000B47E0000}"/>
    <cellStyle name="Style 23 10" xfId="32429" xr:uid="{00000000-0005-0000-0000-0000B57E0000}"/>
    <cellStyle name="Style 23 11" xfId="32430" xr:uid="{00000000-0005-0000-0000-0000B67E0000}"/>
    <cellStyle name="Style 23 12" xfId="32431" xr:uid="{00000000-0005-0000-0000-0000B77E0000}"/>
    <cellStyle name="Style 23 13" xfId="32432" xr:uid="{00000000-0005-0000-0000-0000B87E0000}"/>
    <cellStyle name="Style 23 14" xfId="32433" xr:uid="{00000000-0005-0000-0000-0000B97E0000}"/>
    <cellStyle name="Style 23 15" xfId="32434" xr:uid="{00000000-0005-0000-0000-0000BA7E0000}"/>
    <cellStyle name="Style 23 16" xfId="32435" xr:uid="{00000000-0005-0000-0000-0000BB7E0000}"/>
    <cellStyle name="Style 23 17" xfId="32436" xr:uid="{00000000-0005-0000-0000-0000BC7E0000}"/>
    <cellStyle name="Style 23 18" xfId="32437" xr:uid="{00000000-0005-0000-0000-0000BD7E0000}"/>
    <cellStyle name="Style 23 19" xfId="32438" xr:uid="{00000000-0005-0000-0000-0000BE7E0000}"/>
    <cellStyle name="Style 23 2" xfId="32439" xr:uid="{00000000-0005-0000-0000-0000BF7E0000}"/>
    <cellStyle name="Style 23 20" xfId="32440" xr:uid="{00000000-0005-0000-0000-0000C07E0000}"/>
    <cellStyle name="Style 23 21" xfId="32441" xr:uid="{00000000-0005-0000-0000-0000C17E0000}"/>
    <cellStyle name="Style 23 3" xfId="32442" xr:uid="{00000000-0005-0000-0000-0000C27E0000}"/>
    <cellStyle name="Style 23 4" xfId="32443" xr:uid="{00000000-0005-0000-0000-0000C37E0000}"/>
    <cellStyle name="Style 23 5" xfId="32444" xr:uid="{00000000-0005-0000-0000-0000C47E0000}"/>
    <cellStyle name="Style 23 6" xfId="32445" xr:uid="{00000000-0005-0000-0000-0000C57E0000}"/>
    <cellStyle name="Style 23 7" xfId="32446" xr:uid="{00000000-0005-0000-0000-0000C67E0000}"/>
    <cellStyle name="Style 23 8" xfId="32447" xr:uid="{00000000-0005-0000-0000-0000C77E0000}"/>
    <cellStyle name="Style 23 9" xfId="32448" xr:uid="{00000000-0005-0000-0000-0000C87E0000}"/>
    <cellStyle name="Style 27" xfId="32449" xr:uid="{00000000-0005-0000-0000-0000C97E0000}"/>
    <cellStyle name="Style 27 10" xfId="32450" xr:uid="{00000000-0005-0000-0000-0000CA7E0000}"/>
    <cellStyle name="Style 27 11" xfId="32451" xr:uid="{00000000-0005-0000-0000-0000CB7E0000}"/>
    <cellStyle name="Style 27 12" xfId="32452" xr:uid="{00000000-0005-0000-0000-0000CC7E0000}"/>
    <cellStyle name="Style 27 13" xfId="32453" xr:uid="{00000000-0005-0000-0000-0000CD7E0000}"/>
    <cellStyle name="Style 27 14" xfId="32454" xr:uid="{00000000-0005-0000-0000-0000CE7E0000}"/>
    <cellStyle name="Style 27 15" xfId="32455" xr:uid="{00000000-0005-0000-0000-0000CF7E0000}"/>
    <cellStyle name="Style 27 16" xfId="32456" xr:uid="{00000000-0005-0000-0000-0000D07E0000}"/>
    <cellStyle name="Style 27 17" xfId="32457" xr:uid="{00000000-0005-0000-0000-0000D17E0000}"/>
    <cellStyle name="Style 27 18" xfId="32458" xr:uid="{00000000-0005-0000-0000-0000D27E0000}"/>
    <cellStyle name="Style 27 19" xfId="32459" xr:uid="{00000000-0005-0000-0000-0000D37E0000}"/>
    <cellStyle name="Style 27 2" xfId="32460" xr:uid="{00000000-0005-0000-0000-0000D47E0000}"/>
    <cellStyle name="Style 27 20" xfId="32461" xr:uid="{00000000-0005-0000-0000-0000D57E0000}"/>
    <cellStyle name="Style 27 21" xfId="32462" xr:uid="{00000000-0005-0000-0000-0000D67E0000}"/>
    <cellStyle name="Style 27 3" xfId="32463" xr:uid="{00000000-0005-0000-0000-0000D77E0000}"/>
    <cellStyle name="Style 27 4" xfId="32464" xr:uid="{00000000-0005-0000-0000-0000D87E0000}"/>
    <cellStyle name="Style 27 5" xfId="32465" xr:uid="{00000000-0005-0000-0000-0000D97E0000}"/>
    <cellStyle name="Style 27 6" xfId="32466" xr:uid="{00000000-0005-0000-0000-0000DA7E0000}"/>
    <cellStyle name="Style 27 7" xfId="32467" xr:uid="{00000000-0005-0000-0000-0000DB7E0000}"/>
    <cellStyle name="Style 27 8" xfId="32468" xr:uid="{00000000-0005-0000-0000-0000DC7E0000}"/>
    <cellStyle name="Style 27 9" xfId="32469" xr:uid="{00000000-0005-0000-0000-0000DD7E0000}"/>
    <cellStyle name="Style 29" xfId="32470" xr:uid="{00000000-0005-0000-0000-0000DE7E0000}"/>
    <cellStyle name="Style 29 10" xfId="32471" xr:uid="{00000000-0005-0000-0000-0000DF7E0000}"/>
    <cellStyle name="Style 29 11" xfId="32472" xr:uid="{00000000-0005-0000-0000-0000E07E0000}"/>
    <cellStyle name="Style 29 12" xfId="32473" xr:uid="{00000000-0005-0000-0000-0000E17E0000}"/>
    <cellStyle name="Style 29 13" xfId="32474" xr:uid="{00000000-0005-0000-0000-0000E27E0000}"/>
    <cellStyle name="Style 29 14" xfId="32475" xr:uid="{00000000-0005-0000-0000-0000E37E0000}"/>
    <cellStyle name="Style 29 15" xfId="32476" xr:uid="{00000000-0005-0000-0000-0000E47E0000}"/>
    <cellStyle name="Style 29 16" xfId="32477" xr:uid="{00000000-0005-0000-0000-0000E57E0000}"/>
    <cellStyle name="Style 29 17" xfId="32478" xr:uid="{00000000-0005-0000-0000-0000E67E0000}"/>
    <cellStyle name="Style 29 18" xfId="32479" xr:uid="{00000000-0005-0000-0000-0000E77E0000}"/>
    <cellStyle name="Style 29 19" xfId="32480" xr:uid="{00000000-0005-0000-0000-0000E87E0000}"/>
    <cellStyle name="Style 29 2" xfId="32481" xr:uid="{00000000-0005-0000-0000-0000E97E0000}"/>
    <cellStyle name="Style 29 20" xfId="32482" xr:uid="{00000000-0005-0000-0000-0000EA7E0000}"/>
    <cellStyle name="Style 29 21" xfId="32483" xr:uid="{00000000-0005-0000-0000-0000EB7E0000}"/>
    <cellStyle name="Style 29 21 2" xfId="32484" xr:uid="{00000000-0005-0000-0000-0000EC7E0000}"/>
    <cellStyle name="Style 29 3" xfId="32485" xr:uid="{00000000-0005-0000-0000-0000ED7E0000}"/>
    <cellStyle name="Style 29 4" xfId="32486" xr:uid="{00000000-0005-0000-0000-0000EE7E0000}"/>
    <cellStyle name="Style 29 5" xfId="32487" xr:uid="{00000000-0005-0000-0000-0000EF7E0000}"/>
    <cellStyle name="Style 29 6" xfId="32488" xr:uid="{00000000-0005-0000-0000-0000F07E0000}"/>
    <cellStyle name="Style 29 7" xfId="32489" xr:uid="{00000000-0005-0000-0000-0000F17E0000}"/>
    <cellStyle name="Style 29 8" xfId="32490" xr:uid="{00000000-0005-0000-0000-0000F27E0000}"/>
    <cellStyle name="Style 29 9" xfId="32491" xr:uid="{00000000-0005-0000-0000-0000F37E0000}"/>
    <cellStyle name="Style 3" xfId="32492" xr:uid="{00000000-0005-0000-0000-0000F47E0000}"/>
    <cellStyle name="Style 3 10" xfId="32493" xr:uid="{00000000-0005-0000-0000-0000F57E0000}"/>
    <cellStyle name="Style 3 11" xfId="32494" xr:uid="{00000000-0005-0000-0000-0000F67E0000}"/>
    <cellStyle name="Style 3 12" xfId="32495" xr:uid="{00000000-0005-0000-0000-0000F77E0000}"/>
    <cellStyle name="Style 3 13" xfId="32496" xr:uid="{00000000-0005-0000-0000-0000F87E0000}"/>
    <cellStyle name="Style 3 14" xfId="32497" xr:uid="{00000000-0005-0000-0000-0000F97E0000}"/>
    <cellStyle name="Style 3 15" xfId="32498" xr:uid="{00000000-0005-0000-0000-0000FA7E0000}"/>
    <cellStyle name="Style 3 16" xfId="32499" xr:uid="{00000000-0005-0000-0000-0000FB7E0000}"/>
    <cellStyle name="Style 3 17" xfId="32500" xr:uid="{00000000-0005-0000-0000-0000FC7E0000}"/>
    <cellStyle name="Style 3 18" xfId="32501" xr:uid="{00000000-0005-0000-0000-0000FD7E0000}"/>
    <cellStyle name="Style 3 19" xfId="32502" xr:uid="{00000000-0005-0000-0000-0000FE7E0000}"/>
    <cellStyle name="Style 3 2" xfId="32503" xr:uid="{00000000-0005-0000-0000-0000FF7E0000}"/>
    <cellStyle name="Style 3 20" xfId="32504" xr:uid="{00000000-0005-0000-0000-0000007F0000}"/>
    <cellStyle name="Style 3 21" xfId="32505" xr:uid="{00000000-0005-0000-0000-0000017F0000}"/>
    <cellStyle name="Style 3 21 2" xfId="32506" xr:uid="{00000000-0005-0000-0000-0000027F0000}"/>
    <cellStyle name="Style 3 3" xfId="32507" xr:uid="{00000000-0005-0000-0000-0000037F0000}"/>
    <cellStyle name="Style 3 4" xfId="32508" xr:uid="{00000000-0005-0000-0000-0000047F0000}"/>
    <cellStyle name="Style 3 5" xfId="32509" xr:uid="{00000000-0005-0000-0000-0000057F0000}"/>
    <cellStyle name="Style 3 6" xfId="32510" xr:uid="{00000000-0005-0000-0000-0000067F0000}"/>
    <cellStyle name="Style 3 7" xfId="32511" xr:uid="{00000000-0005-0000-0000-0000077F0000}"/>
    <cellStyle name="Style 3 8" xfId="32512" xr:uid="{00000000-0005-0000-0000-0000087F0000}"/>
    <cellStyle name="Style 3 9" xfId="32513" xr:uid="{00000000-0005-0000-0000-0000097F0000}"/>
    <cellStyle name="Style 30" xfId="32514" xr:uid="{00000000-0005-0000-0000-00000A7F0000}"/>
    <cellStyle name="Style 30 10" xfId="32515" xr:uid="{00000000-0005-0000-0000-00000B7F0000}"/>
    <cellStyle name="Style 30 11" xfId="32516" xr:uid="{00000000-0005-0000-0000-00000C7F0000}"/>
    <cellStyle name="Style 30 12" xfId="32517" xr:uid="{00000000-0005-0000-0000-00000D7F0000}"/>
    <cellStyle name="Style 30 13" xfId="32518" xr:uid="{00000000-0005-0000-0000-00000E7F0000}"/>
    <cellStyle name="Style 30 14" xfId="32519" xr:uid="{00000000-0005-0000-0000-00000F7F0000}"/>
    <cellStyle name="Style 30 15" xfId="32520" xr:uid="{00000000-0005-0000-0000-0000107F0000}"/>
    <cellStyle name="Style 30 16" xfId="32521" xr:uid="{00000000-0005-0000-0000-0000117F0000}"/>
    <cellStyle name="Style 30 17" xfId="32522" xr:uid="{00000000-0005-0000-0000-0000127F0000}"/>
    <cellStyle name="Style 30 18" xfId="32523" xr:uid="{00000000-0005-0000-0000-0000137F0000}"/>
    <cellStyle name="Style 30 19" xfId="32524" xr:uid="{00000000-0005-0000-0000-0000147F0000}"/>
    <cellStyle name="Style 30 2" xfId="32525" xr:uid="{00000000-0005-0000-0000-0000157F0000}"/>
    <cellStyle name="Style 30 20" xfId="32526" xr:uid="{00000000-0005-0000-0000-0000167F0000}"/>
    <cellStyle name="Style 30 21" xfId="32527" xr:uid="{00000000-0005-0000-0000-0000177F0000}"/>
    <cellStyle name="Style 30 21 2" xfId="32528" xr:uid="{00000000-0005-0000-0000-0000187F0000}"/>
    <cellStyle name="Style 30 3" xfId="32529" xr:uid="{00000000-0005-0000-0000-0000197F0000}"/>
    <cellStyle name="Style 30 4" xfId="32530" xr:uid="{00000000-0005-0000-0000-00001A7F0000}"/>
    <cellStyle name="Style 30 5" xfId="32531" xr:uid="{00000000-0005-0000-0000-00001B7F0000}"/>
    <cellStyle name="Style 30 6" xfId="32532" xr:uid="{00000000-0005-0000-0000-00001C7F0000}"/>
    <cellStyle name="Style 30 7" xfId="32533" xr:uid="{00000000-0005-0000-0000-00001D7F0000}"/>
    <cellStyle name="Style 30 8" xfId="32534" xr:uid="{00000000-0005-0000-0000-00001E7F0000}"/>
    <cellStyle name="Style 30 9" xfId="32535" xr:uid="{00000000-0005-0000-0000-00001F7F0000}"/>
    <cellStyle name="Style 36" xfId="32536" xr:uid="{00000000-0005-0000-0000-0000207F0000}"/>
    <cellStyle name="Style 36 10" xfId="32537" xr:uid="{00000000-0005-0000-0000-0000217F0000}"/>
    <cellStyle name="Style 36 11" xfId="32538" xr:uid="{00000000-0005-0000-0000-0000227F0000}"/>
    <cellStyle name="Style 36 12" xfId="32539" xr:uid="{00000000-0005-0000-0000-0000237F0000}"/>
    <cellStyle name="Style 36 13" xfId="32540" xr:uid="{00000000-0005-0000-0000-0000247F0000}"/>
    <cellStyle name="Style 36 14" xfId="32541" xr:uid="{00000000-0005-0000-0000-0000257F0000}"/>
    <cellStyle name="Style 36 15" xfId="32542" xr:uid="{00000000-0005-0000-0000-0000267F0000}"/>
    <cellStyle name="Style 36 16" xfId="32543" xr:uid="{00000000-0005-0000-0000-0000277F0000}"/>
    <cellStyle name="Style 36 17" xfId="32544" xr:uid="{00000000-0005-0000-0000-0000287F0000}"/>
    <cellStyle name="Style 36 18" xfId="32545" xr:uid="{00000000-0005-0000-0000-0000297F0000}"/>
    <cellStyle name="Style 36 19" xfId="32546" xr:uid="{00000000-0005-0000-0000-00002A7F0000}"/>
    <cellStyle name="Style 36 2" xfId="32547" xr:uid="{00000000-0005-0000-0000-00002B7F0000}"/>
    <cellStyle name="Style 36 20" xfId="32548" xr:uid="{00000000-0005-0000-0000-00002C7F0000}"/>
    <cellStyle name="Style 36 21" xfId="32549" xr:uid="{00000000-0005-0000-0000-00002D7F0000}"/>
    <cellStyle name="Style 36 21 2" xfId="32550" xr:uid="{00000000-0005-0000-0000-00002E7F0000}"/>
    <cellStyle name="Style 36 3" xfId="32551" xr:uid="{00000000-0005-0000-0000-00002F7F0000}"/>
    <cellStyle name="Style 36 4" xfId="32552" xr:uid="{00000000-0005-0000-0000-0000307F0000}"/>
    <cellStyle name="Style 36 5" xfId="32553" xr:uid="{00000000-0005-0000-0000-0000317F0000}"/>
    <cellStyle name="Style 36 6" xfId="32554" xr:uid="{00000000-0005-0000-0000-0000327F0000}"/>
    <cellStyle name="Style 36 7" xfId="32555" xr:uid="{00000000-0005-0000-0000-0000337F0000}"/>
    <cellStyle name="Style 36 8" xfId="32556" xr:uid="{00000000-0005-0000-0000-0000347F0000}"/>
    <cellStyle name="Style 36 9" xfId="32557" xr:uid="{00000000-0005-0000-0000-0000357F0000}"/>
    <cellStyle name="Style 41" xfId="32558" xr:uid="{00000000-0005-0000-0000-0000367F0000}"/>
    <cellStyle name="Style 41 10" xfId="32559" xr:uid="{00000000-0005-0000-0000-0000377F0000}"/>
    <cellStyle name="Style 41 11" xfId="32560" xr:uid="{00000000-0005-0000-0000-0000387F0000}"/>
    <cellStyle name="Style 41 12" xfId="32561" xr:uid="{00000000-0005-0000-0000-0000397F0000}"/>
    <cellStyle name="Style 41 13" xfId="32562" xr:uid="{00000000-0005-0000-0000-00003A7F0000}"/>
    <cellStyle name="Style 41 14" xfId="32563" xr:uid="{00000000-0005-0000-0000-00003B7F0000}"/>
    <cellStyle name="Style 41 15" xfId="32564" xr:uid="{00000000-0005-0000-0000-00003C7F0000}"/>
    <cellStyle name="Style 41 16" xfId="32565" xr:uid="{00000000-0005-0000-0000-00003D7F0000}"/>
    <cellStyle name="Style 41 17" xfId="32566" xr:uid="{00000000-0005-0000-0000-00003E7F0000}"/>
    <cellStyle name="Style 41 18" xfId="32567" xr:uid="{00000000-0005-0000-0000-00003F7F0000}"/>
    <cellStyle name="Style 41 19" xfId="32568" xr:uid="{00000000-0005-0000-0000-0000407F0000}"/>
    <cellStyle name="Style 41 2" xfId="32569" xr:uid="{00000000-0005-0000-0000-0000417F0000}"/>
    <cellStyle name="Style 41 20" xfId="32570" xr:uid="{00000000-0005-0000-0000-0000427F0000}"/>
    <cellStyle name="Style 41 21" xfId="32571" xr:uid="{00000000-0005-0000-0000-0000437F0000}"/>
    <cellStyle name="Style 41 21 2" xfId="32572" xr:uid="{00000000-0005-0000-0000-0000447F0000}"/>
    <cellStyle name="Style 41 3" xfId="32573" xr:uid="{00000000-0005-0000-0000-0000457F0000}"/>
    <cellStyle name="Style 41 4" xfId="32574" xr:uid="{00000000-0005-0000-0000-0000467F0000}"/>
    <cellStyle name="Style 41 5" xfId="32575" xr:uid="{00000000-0005-0000-0000-0000477F0000}"/>
    <cellStyle name="Style 41 6" xfId="32576" xr:uid="{00000000-0005-0000-0000-0000487F0000}"/>
    <cellStyle name="Style 41 7" xfId="32577" xr:uid="{00000000-0005-0000-0000-0000497F0000}"/>
    <cellStyle name="Style 41 8" xfId="32578" xr:uid="{00000000-0005-0000-0000-00004A7F0000}"/>
    <cellStyle name="Style 41 9" xfId="32579" xr:uid="{00000000-0005-0000-0000-00004B7F0000}"/>
    <cellStyle name="Style 43" xfId="32580" xr:uid="{00000000-0005-0000-0000-00004C7F0000}"/>
    <cellStyle name="Style 43 10" xfId="32581" xr:uid="{00000000-0005-0000-0000-00004D7F0000}"/>
    <cellStyle name="Style 43 11" xfId="32582" xr:uid="{00000000-0005-0000-0000-00004E7F0000}"/>
    <cellStyle name="Style 43 12" xfId="32583" xr:uid="{00000000-0005-0000-0000-00004F7F0000}"/>
    <cellStyle name="Style 43 13" xfId="32584" xr:uid="{00000000-0005-0000-0000-0000507F0000}"/>
    <cellStyle name="Style 43 14" xfId="32585" xr:uid="{00000000-0005-0000-0000-0000517F0000}"/>
    <cellStyle name="Style 43 15" xfId="32586" xr:uid="{00000000-0005-0000-0000-0000527F0000}"/>
    <cellStyle name="Style 43 16" xfId="32587" xr:uid="{00000000-0005-0000-0000-0000537F0000}"/>
    <cellStyle name="Style 43 17" xfId="32588" xr:uid="{00000000-0005-0000-0000-0000547F0000}"/>
    <cellStyle name="Style 43 18" xfId="32589" xr:uid="{00000000-0005-0000-0000-0000557F0000}"/>
    <cellStyle name="Style 43 19" xfId="32590" xr:uid="{00000000-0005-0000-0000-0000567F0000}"/>
    <cellStyle name="Style 43 2" xfId="32591" xr:uid="{00000000-0005-0000-0000-0000577F0000}"/>
    <cellStyle name="Style 43 20" xfId="32592" xr:uid="{00000000-0005-0000-0000-0000587F0000}"/>
    <cellStyle name="Style 43 21" xfId="32593" xr:uid="{00000000-0005-0000-0000-0000597F0000}"/>
    <cellStyle name="Style 43 21 2" xfId="32594" xr:uid="{00000000-0005-0000-0000-00005A7F0000}"/>
    <cellStyle name="Style 43 3" xfId="32595" xr:uid="{00000000-0005-0000-0000-00005B7F0000}"/>
    <cellStyle name="Style 43 4" xfId="32596" xr:uid="{00000000-0005-0000-0000-00005C7F0000}"/>
    <cellStyle name="Style 43 5" xfId="32597" xr:uid="{00000000-0005-0000-0000-00005D7F0000}"/>
    <cellStyle name="Style 43 6" xfId="32598" xr:uid="{00000000-0005-0000-0000-00005E7F0000}"/>
    <cellStyle name="Style 43 7" xfId="32599" xr:uid="{00000000-0005-0000-0000-00005F7F0000}"/>
    <cellStyle name="Style 43 8" xfId="32600" xr:uid="{00000000-0005-0000-0000-0000607F0000}"/>
    <cellStyle name="Style 43 9" xfId="32601" xr:uid="{00000000-0005-0000-0000-0000617F0000}"/>
    <cellStyle name="STYLE1" xfId="32602" xr:uid="{00000000-0005-0000-0000-0000627F0000}"/>
    <cellStyle name="STYLE1 10" xfId="32603" xr:uid="{00000000-0005-0000-0000-0000637F0000}"/>
    <cellStyle name="STYLE1 11" xfId="32604" xr:uid="{00000000-0005-0000-0000-0000647F0000}"/>
    <cellStyle name="STYLE1 12" xfId="32605" xr:uid="{00000000-0005-0000-0000-0000657F0000}"/>
    <cellStyle name="STYLE1 13" xfId="32606" xr:uid="{00000000-0005-0000-0000-0000667F0000}"/>
    <cellStyle name="STYLE1 14" xfId="32607" xr:uid="{00000000-0005-0000-0000-0000677F0000}"/>
    <cellStyle name="STYLE1 15" xfId="32608" xr:uid="{00000000-0005-0000-0000-0000687F0000}"/>
    <cellStyle name="STYLE1 16" xfId="32609" xr:uid="{00000000-0005-0000-0000-0000697F0000}"/>
    <cellStyle name="STYLE1 17" xfId="32610" xr:uid="{00000000-0005-0000-0000-00006A7F0000}"/>
    <cellStyle name="STYLE1 18" xfId="32611" xr:uid="{00000000-0005-0000-0000-00006B7F0000}"/>
    <cellStyle name="STYLE1 19" xfId="32612" xr:uid="{00000000-0005-0000-0000-00006C7F0000}"/>
    <cellStyle name="STYLE1 2" xfId="32613" xr:uid="{00000000-0005-0000-0000-00006D7F0000}"/>
    <cellStyle name="STYLE1 2 2" xfId="32614" xr:uid="{00000000-0005-0000-0000-00006E7F0000}"/>
    <cellStyle name="STYLE1 20" xfId="32615" xr:uid="{00000000-0005-0000-0000-00006F7F0000}"/>
    <cellStyle name="STYLE1 21" xfId="32616" xr:uid="{00000000-0005-0000-0000-0000707F0000}"/>
    <cellStyle name="STYLE1 22" xfId="32617" xr:uid="{00000000-0005-0000-0000-0000717F0000}"/>
    <cellStyle name="STYLE1 23" xfId="32618" xr:uid="{00000000-0005-0000-0000-0000727F0000}"/>
    <cellStyle name="STYLE1 23 2" xfId="32619" xr:uid="{00000000-0005-0000-0000-0000737F0000}"/>
    <cellStyle name="STYLE1 3" xfId="32620" xr:uid="{00000000-0005-0000-0000-0000747F0000}"/>
    <cellStyle name="STYLE1 3 2" xfId="32621" xr:uid="{00000000-0005-0000-0000-0000757F0000}"/>
    <cellStyle name="STYLE1 4" xfId="32622" xr:uid="{00000000-0005-0000-0000-0000767F0000}"/>
    <cellStyle name="STYLE1 5" xfId="32623" xr:uid="{00000000-0005-0000-0000-0000777F0000}"/>
    <cellStyle name="STYLE1 6" xfId="32624" xr:uid="{00000000-0005-0000-0000-0000787F0000}"/>
    <cellStyle name="STYLE1 7" xfId="32625" xr:uid="{00000000-0005-0000-0000-0000797F0000}"/>
    <cellStyle name="STYLE1 8" xfId="32626" xr:uid="{00000000-0005-0000-0000-00007A7F0000}"/>
    <cellStyle name="STYLE1 9" xfId="32627" xr:uid="{00000000-0005-0000-0000-00007B7F0000}"/>
    <cellStyle name="STYLE2" xfId="32628" xr:uid="{00000000-0005-0000-0000-00007C7F0000}"/>
    <cellStyle name="STYLE2 10" xfId="32629" xr:uid="{00000000-0005-0000-0000-00007D7F0000}"/>
    <cellStyle name="STYLE2 11" xfId="32630" xr:uid="{00000000-0005-0000-0000-00007E7F0000}"/>
    <cellStyle name="STYLE2 12" xfId="32631" xr:uid="{00000000-0005-0000-0000-00007F7F0000}"/>
    <cellStyle name="STYLE2 13" xfId="32632" xr:uid="{00000000-0005-0000-0000-0000807F0000}"/>
    <cellStyle name="STYLE2 14" xfId="32633" xr:uid="{00000000-0005-0000-0000-0000817F0000}"/>
    <cellStyle name="STYLE2 15" xfId="32634" xr:uid="{00000000-0005-0000-0000-0000827F0000}"/>
    <cellStyle name="STYLE2 16" xfId="32635" xr:uid="{00000000-0005-0000-0000-0000837F0000}"/>
    <cellStyle name="STYLE2 17" xfId="32636" xr:uid="{00000000-0005-0000-0000-0000847F0000}"/>
    <cellStyle name="STYLE2 18" xfId="32637" xr:uid="{00000000-0005-0000-0000-0000857F0000}"/>
    <cellStyle name="STYLE2 19" xfId="32638" xr:uid="{00000000-0005-0000-0000-0000867F0000}"/>
    <cellStyle name="STYLE2 2" xfId="32639" xr:uid="{00000000-0005-0000-0000-0000877F0000}"/>
    <cellStyle name="STYLE2 20" xfId="32640" xr:uid="{00000000-0005-0000-0000-0000887F0000}"/>
    <cellStyle name="STYLE2 21" xfId="32641" xr:uid="{00000000-0005-0000-0000-0000897F0000}"/>
    <cellStyle name="STYLE2 21 2" xfId="32642" xr:uid="{00000000-0005-0000-0000-00008A7F0000}"/>
    <cellStyle name="STYLE2 3" xfId="32643" xr:uid="{00000000-0005-0000-0000-00008B7F0000}"/>
    <cellStyle name="STYLE2 4" xfId="32644" xr:uid="{00000000-0005-0000-0000-00008C7F0000}"/>
    <cellStyle name="STYLE2 5" xfId="32645" xr:uid="{00000000-0005-0000-0000-00008D7F0000}"/>
    <cellStyle name="STYLE2 6" xfId="32646" xr:uid="{00000000-0005-0000-0000-00008E7F0000}"/>
    <cellStyle name="STYLE2 7" xfId="32647" xr:uid="{00000000-0005-0000-0000-00008F7F0000}"/>
    <cellStyle name="STYLE2 8" xfId="32648" xr:uid="{00000000-0005-0000-0000-0000907F0000}"/>
    <cellStyle name="STYLE2 9" xfId="32649" xr:uid="{00000000-0005-0000-0000-0000917F0000}"/>
    <cellStyle name="STYLE3" xfId="32650" xr:uid="{00000000-0005-0000-0000-0000927F0000}"/>
    <cellStyle name="STYLE3 10" xfId="32651" xr:uid="{00000000-0005-0000-0000-0000937F0000}"/>
    <cellStyle name="STYLE3 11" xfId="32652" xr:uid="{00000000-0005-0000-0000-0000947F0000}"/>
    <cellStyle name="STYLE3 12" xfId="32653" xr:uid="{00000000-0005-0000-0000-0000957F0000}"/>
    <cellStyle name="STYLE3 13" xfId="32654" xr:uid="{00000000-0005-0000-0000-0000967F0000}"/>
    <cellStyle name="STYLE3 14" xfId="32655" xr:uid="{00000000-0005-0000-0000-0000977F0000}"/>
    <cellStyle name="STYLE3 15" xfId="32656" xr:uid="{00000000-0005-0000-0000-0000987F0000}"/>
    <cellStyle name="STYLE3 16" xfId="32657" xr:uid="{00000000-0005-0000-0000-0000997F0000}"/>
    <cellStyle name="STYLE3 17" xfId="32658" xr:uid="{00000000-0005-0000-0000-00009A7F0000}"/>
    <cellStyle name="STYLE3 18" xfId="32659" xr:uid="{00000000-0005-0000-0000-00009B7F0000}"/>
    <cellStyle name="STYLE3 19" xfId="32660" xr:uid="{00000000-0005-0000-0000-00009C7F0000}"/>
    <cellStyle name="STYLE3 2" xfId="32661" xr:uid="{00000000-0005-0000-0000-00009D7F0000}"/>
    <cellStyle name="STYLE3 20" xfId="32662" xr:uid="{00000000-0005-0000-0000-00009E7F0000}"/>
    <cellStyle name="STYLE3 21" xfId="32663" xr:uid="{00000000-0005-0000-0000-00009F7F0000}"/>
    <cellStyle name="STYLE3 21 2" xfId="32664" xr:uid="{00000000-0005-0000-0000-0000A07F0000}"/>
    <cellStyle name="STYLE3 3" xfId="32665" xr:uid="{00000000-0005-0000-0000-0000A17F0000}"/>
    <cellStyle name="STYLE3 4" xfId="32666" xr:uid="{00000000-0005-0000-0000-0000A27F0000}"/>
    <cellStyle name="STYLE3 5" xfId="32667" xr:uid="{00000000-0005-0000-0000-0000A37F0000}"/>
    <cellStyle name="STYLE3 6" xfId="32668" xr:uid="{00000000-0005-0000-0000-0000A47F0000}"/>
    <cellStyle name="STYLE3 7" xfId="32669" xr:uid="{00000000-0005-0000-0000-0000A57F0000}"/>
    <cellStyle name="STYLE3 8" xfId="32670" xr:uid="{00000000-0005-0000-0000-0000A67F0000}"/>
    <cellStyle name="STYLE3 9" xfId="32671" xr:uid="{00000000-0005-0000-0000-0000A77F0000}"/>
    <cellStyle name="STYLE4" xfId="32672" xr:uid="{00000000-0005-0000-0000-0000A87F0000}"/>
    <cellStyle name="STYLE4 10" xfId="32673" xr:uid="{00000000-0005-0000-0000-0000A97F0000}"/>
    <cellStyle name="STYLE4 11" xfId="32674" xr:uid="{00000000-0005-0000-0000-0000AA7F0000}"/>
    <cellStyle name="STYLE4 12" xfId="32675" xr:uid="{00000000-0005-0000-0000-0000AB7F0000}"/>
    <cellStyle name="STYLE4 13" xfId="32676" xr:uid="{00000000-0005-0000-0000-0000AC7F0000}"/>
    <cellStyle name="STYLE4 14" xfId="32677" xr:uid="{00000000-0005-0000-0000-0000AD7F0000}"/>
    <cellStyle name="STYLE4 15" xfId="32678" xr:uid="{00000000-0005-0000-0000-0000AE7F0000}"/>
    <cellStyle name="STYLE4 16" xfId="32679" xr:uid="{00000000-0005-0000-0000-0000AF7F0000}"/>
    <cellStyle name="STYLE4 17" xfId="32680" xr:uid="{00000000-0005-0000-0000-0000B07F0000}"/>
    <cellStyle name="STYLE4 18" xfId="32681" xr:uid="{00000000-0005-0000-0000-0000B17F0000}"/>
    <cellStyle name="STYLE4 19" xfId="32682" xr:uid="{00000000-0005-0000-0000-0000B27F0000}"/>
    <cellStyle name="STYLE4 2" xfId="32683" xr:uid="{00000000-0005-0000-0000-0000B37F0000}"/>
    <cellStyle name="STYLE4 20" xfId="32684" xr:uid="{00000000-0005-0000-0000-0000B47F0000}"/>
    <cellStyle name="STYLE4 21" xfId="32685" xr:uid="{00000000-0005-0000-0000-0000B57F0000}"/>
    <cellStyle name="STYLE4 21 2" xfId="32686" xr:uid="{00000000-0005-0000-0000-0000B67F0000}"/>
    <cellStyle name="STYLE4 3" xfId="32687" xr:uid="{00000000-0005-0000-0000-0000B77F0000}"/>
    <cellStyle name="STYLE4 4" xfId="32688" xr:uid="{00000000-0005-0000-0000-0000B87F0000}"/>
    <cellStyle name="STYLE4 5" xfId="32689" xr:uid="{00000000-0005-0000-0000-0000B97F0000}"/>
    <cellStyle name="STYLE4 6" xfId="32690" xr:uid="{00000000-0005-0000-0000-0000BA7F0000}"/>
    <cellStyle name="STYLE4 7" xfId="32691" xr:uid="{00000000-0005-0000-0000-0000BB7F0000}"/>
    <cellStyle name="STYLE4 8" xfId="32692" xr:uid="{00000000-0005-0000-0000-0000BC7F0000}"/>
    <cellStyle name="STYLE4 9" xfId="32693" xr:uid="{00000000-0005-0000-0000-0000BD7F0000}"/>
    <cellStyle name="Subhead" xfId="32694" xr:uid="{00000000-0005-0000-0000-0000BE7F0000}"/>
    <cellStyle name="Subhead 10" xfId="32695" xr:uid="{00000000-0005-0000-0000-0000BF7F0000}"/>
    <cellStyle name="Subhead 11" xfId="32696" xr:uid="{00000000-0005-0000-0000-0000C07F0000}"/>
    <cellStyle name="Subhead 12" xfId="32697" xr:uid="{00000000-0005-0000-0000-0000C17F0000}"/>
    <cellStyle name="Subhead 13" xfId="32698" xr:uid="{00000000-0005-0000-0000-0000C27F0000}"/>
    <cellStyle name="Subhead 14" xfId="32699" xr:uid="{00000000-0005-0000-0000-0000C37F0000}"/>
    <cellStyle name="Subhead 15" xfId="32700" xr:uid="{00000000-0005-0000-0000-0000C47F0000}"/>
    <cellStyle name="Subhead 16" xfId="32701" xr:uid="{00000000-0005-0000-0000-0000C57F0000}"/>
    <cellStyle name="Subhead 17" xfId="32702" xr:uid="{00000000-0005-0000-0000-0000C67F0000}"/>
    <cellStyle name="Subhead 18" xfId="32703" xr:uid="{00000000-0005-0000-0000-0000C77F0000}"/>
    <cellStyle name="Subhead 19" xfId="32704" xr:uid="{00000000-0005-0000-0000-0000C87F0000}"/>
    <cellStyle name="Subhead 2" xfId="32705" xr:uid="{00000000-0005-0000-0000-0000C97F0000}"/>
    <cellStyle name="Subhead 2 2" xfId="32706" xr:uid="{00000000-0005-0000-0000-0000CA7F0000}"/>
    <cellStyle name="Subhead 20" xfId="32707" xr:uid="{00000000-0005-0000-0000-0000CB7F0000}"/>
    <cellStyle name="Subhead 21" xfId="32708" xr:uid="{00000000-0005-0000-0000-0000CC7F0000}"/>
    <cellStyle name="Subhead 22" xfId="32709" xr:uid="{00000000-0005-0000-0000-0000CD7F0000}"/>
    <cellStyle name="Subhead 23" xfId="32710" xr:uid="{00000000-0005-0000-0000-0000CE7F0000}"/>
    <cellStyle name="Subhead 23 2" xfId="32711" xr:uid="{00000000-0005-0000-0000-0000CF7F0000}"/>
    <cellStyle name="Subhead 3" xfId="32712" xr:uid="{00000000-0005-0000-0000-0000D07F0000}"/>
    <cellStyle name="Subhead 3 2" xfId="32713" xr:uid="{00000000-0005-0000-0000-0000D17F0000}"/>
    <cellStyle name="Subhead 4" xfId="32714" xr:uid="{00000000-0005-0000-0000-0000D27F0000}"/>
    <cellStyle name="Subhead 5" xfId="32715" xr:uid="{00000000-0005-0000-0000-0000D37F0000}"/>
    <cellStyle name="Subhead 6" xfId="32716" xr:uid="{00000000-0005-0000-0000-0000D47F0000}"/>
    <cellStyle name="Subhead 7" xfId="32717" xr:uid="{00000000-0005-0000-0000-0000D57F0000}"/>
    <cellStyle name="Subhead 8" xfId="32718" xr:uid="{00000000-0005-0000-0000-0000D67F0000}"/>
    <cellStyle name="Subhead 9" xfId="32719" xr:uid="{00000000-0005-0000-0000-0000D77F0000}"/>
    <cellStyle name="SubScript" xfId="32720" xr:uid="{00000000-0005-0000-0000-0000D87F0000}"/>
    <cellStyle name="SubScript 10" xfId="32721" xr:uid="{00000000-0005-0000-0000-0000D97F0000}"/>
    <cellStyle name="SubScript 11" xfId="32722" xr:uid="{00000000-0005-0000-0000-0000DA7F0000}"/>
    <cellStyle name="SubScript 12" xfId="32723" xr:uid="{00000000-0005-0000-0000-0000DB7F0000}"/>
    <cellStyle name="SubScript 13" xfId="32724" xr:uid="{00000000-0005-0000-0000-0000DC7F0000}"/>
    <cellStyle name="SubScript 14" xfId="32725" xr:uid="{00000000-0005-0000-0000-0000DD7F0000}"/>
    <cellStyle name="SubScript 15" xfId="32726" xr:uid="{00000000-0005-0000-0000-0000DE7F0000}"/>
    <cellStyle name="SubScript 16" xfId="32727" xr:uid="{00000000-0005-0000-0000-0000DF7F0000}"/>
    <cellStyle name="SubScript 17" xfId="32728" xr:uid="{00000000-0005-0000-0000-0000E07F0000}"/>
    <cellStyle name="SubScript 18" xfId="32729" xr:uid="{00000000-0005-0000-0000-0000E17F0000}"/>
    <cellStyle name="SubScript 19" xfId="32730" xr:uid="{00000000-0005-0000-0000-0000E27F0000}"/>
    <cellStyle name="SubScript 2" xfId="32731" xr:uid="{00000000-0005-0000-0000-0000E37F0000}"/>
    <cellStyle name="SubScript 20" xfId="32732" xr:uid="{00000000-0005-0000-0000-0000E47F0000}"/>
    <cellStyle name="SubScript 21" xfId="32733" xr:uid="{00000000-0005-0000-0000-0000E57F0000}"/>
    <cellStyle name="SubScript 22" xfId="32734" xr:uid="{00000000-0005-0000-0000-0000E67F0000}"/>
    <cellStyle name="SubScript 23" xfId="32735" xr:uid="{00000000-0005-0000-0000-0000E77F0000}"/>
    <cellStyle name="SubScript 23 2" xfId="32736" xr:uid="{00000000-0005-0000-0000-0000E87F0000}"/>
    <cellStyle name="SubScript 24" xfId="32737" xr:uid="{00000000-0005-0000-0000-0000E97F0000}"/>
    <cellStyle name="SubScript 24 2" xfId="32738" xr:uid="{00000000-0005-0000-0000-0000EA7F0000}"/>
    <cellStyle name="SubScript 25" xfId="32739" xr:uid="{00000000-0005-0000-0000-0000EB7F0000}"/>
    <cellStyle name="SubScript 26" xfId="32740" xr:uid="{00000000-0005-0000-0000-0000EC7F0000}"/>
    <cellStyle name="SubScript 27" xfId="32741" xr:uid="{00000000-0005-0000-0000-0000ED7F0000}"/>
    <cellStyle name="SubScript 28" xfId="32742" xr:uid="{00000000-0005-0000-0000-0000EE7F0000}"/>
    <cellStyle name="SubScript 29" xfId="32743" xr:uid="{00000000-0005-0000-0000-0000EF7F0000}"/>
    <cellStyle name="SubScript 29 2" xfId="32744" xr:uid="{00000000-0005-0000-0000-0000F07F0000}"/>
    <cellStyle name="SubScript 3" xfId="32745" xr:uid="{00000000-0005-0000-0000-0000F17F0000}"/>
    <cellStyle name="SubScript 3 2" xfId="32746" xr:uid="{00000000-0005-0000-0000-0000F27F0000}"/>
    <cellStyle name="SubScript 30" xfId="32747" xr:uid="{00000000-0005-0000-0000-0000F37F0000}"/>
    <cellStyle name="SubScript 31" xfId="32748" xr:uid="{00000000-0005-0000-0000-0000F47F0000}"/>
    <cellStyle name="SubScript 32" xfId="32749" xr:uid="{00000000-0005-0000-0000-0000F57F0000}"/>
    <cellStyle name="SubScript 33" xfId="32750" xr:uid="{00000000-0005-0000-0000-0000F67F0000}"/>
    <cellStyle name="SubScript 34" xfId="32751" xr:uid="{00000000-0005-0000-0000-0000F77F0000}"/>
    <cellStyle name="SubScript 35" xfId="32752" xr:uid="{00000000-0005-0000-0000-0000F87F0000}"/>
    <cellStyle name="SubScript 36" xfId="32753" xr:uid="{00000000-0005-0000-0000-0000F97F0000}"/>
    <cellStyle name="SubScript 37" xfId="32754" xr:uid="{00000000-0005-0000-0000-0000FA7F0000}"/>
    <cellStyle name="SubScript 38" xfId="32755" xr:uid="{00000000-0005-0000-0000-0000FB7F0000}"/>
    <cellStyle name="SubScript 4" xfId="32756" xr:uid="{00000000-0005-0000-0000-0000FC7F0000}"/>
    <cellStyle name="SubScript 4 2" xfId="32757" xr:uid="{00000000-0005-0000-0000-0000FD7F0000}"/>
    <cellStyle name="SubScript 5" xfId="32758" xr:uid="{00000000-0005-0000-0000-0000FE7F0000}"/>
    <cellStyle name="SubScript 5 2" xfId="32759" xr:uid="{00000000-0005-0000-0000-0000FF7F0000}"/>
    <cellStyle name="SubScript 6" xfId="32760" xr:uid="{00000000-0005-0000-0000-000000800000}"/>
    <cellStyle name="SubScript 6 2" xfId="32761" xr:uid="{00000000-0005-0000-0000-000001800000}"/>
    <cellStyle name="SubScript 7" xfId="32762" xr:uid="{00000000-0005-0000-0000-000002800000}"/>
    <cellStyle name="SubScript 7 2" xfId="32763" xr:uid="{00000000-0005-0000-0000-000003800000}"/>
    <cellStyle name="SubScript 8" xfId="32764" xr:uid="{00000000-0005-0000-0000-000004800000}"/>
    <cellStyle name="SubScript 8 2" xfId="32765" xr:uid="{00000000-0005-0000-0000-000005800000}"/>
    <cellStyle name="SubScript 9" xfId="32766" xr:uid="{00000000-0005-0000-0000-000006800000}"/>
    <cellStyle name="Subtitle" xfId="32767" xr:uid="{00000000-0005-0000-0000-000007800000}"/>
    <cellStyle name="Subtitle 10" xfId="32768" xr:uid="{00000000-0005-0000-0000-000008800000}"/>
    <cellStyle name="Subtitle 11" xfId="32769" xr:uid="{00000000-0005-0000-0000-000009800000}"/>
    <cellStyle name="Subtitle 12" xfId="32770" xr:uid="{00000000-0005-0000-0000-00000A800000}"/>
    <cellStyle name="Subtitle 13" xfId="32771" xr:uid="{00000000-0005-0000-0000-00000B800000}"/>
    <cellStyle name="Subtitle 14" xfId="32772" xr:uid="{00000000-0005-0000-0000-00000C800000}"/>
    <cellStyle name="Subtitle 15" xfId="32773" xr:uid="{00000000-0005-0000-0000-00000D800000}"/>
    <cellStyle name="Subtitle 16" xfId="32774" xr:uid="{00000000-0005-0000-0000-00000E800000}"/>
    <cellStyle name="Subtitle 17" xfId="32775" xr:uid="{00000000-0005-0000-0000-00000F800000}"/>
    <cellStyle name="Subtitle 18" xfId="32776" xr:uid="{00000000-0005-0000-0000-000010800000}"/>
    <cellStyle name="Subtitle 19" xfId="32777" xr:uid="{00000000-0005-0000-0000-000011800000}"/>
    <cellStyle name="Subtitle 2" xfId="32778" xr:uid="{00000000-0005-0000-0000-000012800000}"/>
    <cellStyle name="Subtitle 2 2" xfId="32779" xr:uid="{00000000-0005-0000-0000-000013800000}"/>
    <cellStyle name="Subtitle 20" xfId="32780" xr:uid="{00000000-0005-0000-0000-000014800000}"/>
    <cellStyle name="Subtitle 21" xfId="32781" xr:uid="{00000000-0005-0000-0000-000015800000}"/>
    <cellStyle name="Subtitle 22" xfId="32782" xr:uid="{00000000-0005-0000-0000-000016800000}"/>
    <cellStyle name="Subtitle 23" xfId="32783" xr:uid="{00000000-0005-0000-0000-000017800000}"/>
    <cellStyle name="Subtitle 23 2" xfId="32784" xr:uid="{00000000-0005-0000-0000-000018800000}"/>
    <cellStyle name="Subtitle 3" xfId="32785" xr:uid="{00000000-0005-0000-0000-000019800000}"/>
    <cellStyle name="Subtitle 3 2" xfId="32786" xr:uid="{00000000-0005-0000-0000-00001A800000}"/>
    <cellStyle name="Subtitle 4" xfId="32787" xr:uid="{00000000-0005-0000-0000-00001B800000}"/>
    <cellStyle name="Subtitle 5" xfId="32788" xr:uid="{00000000-0005-0000-0000-00001C800000}"/>
    <cellStyle name="Subtitle 6" xfId="32789" xr:uid="{00000000-0005-0000-0000-00001D800000}"/>
    <cellStyle name="Subtitle 7" xfId="32790" xr:uid="{00000000-0005-0000-0000-00001E800000}"/>
    <cellStyle name="Subtitle 8" xfId="32791" xr:uid="{00000000-0005-0000-0000-00001F800000}"/>
    <cellStyle name="Subtitle 9" xfId="32792" xr:uid="{00000000-0005-0000-0000-000020800000}"/>
    <cellStyle name="Subtotal" xfId="32793" xr:uid="{00000000-0005-0000-0000-000021800000}"/>
    <cellStyle name="Subtotal 10" xfId="32794" xr:uid="{00000000-0005-0000-0000-000022800000}"/>
    <cellStyle name="Subtotal 11" xfId="32795" xr:uid="{00000000-0005-0000-0000-000023800000}"/>
    <cellStyle name="Subtotal 12" xfId="32796" xr:uid="{00000000-0005-0000-0000-000024800000}"/>
    <cellStyle name="Subtotal 13" xfId="32797" xr:uid="{00000000-0005-0000-0000-000025800000}"/>
    <cellStyle name="Subtotal 14" xfId="32798" xr:uid="{00000000-0005-0000-0000-000026800000}"/>
    <cellStyle name="Subtotal 15" xfId="32799" xr:uid="{00000000-0005-0000-0000-000027800000}"/>
    <cellStyle name="Subtotal 16" xfId="32800" xr:uid="{00000000-0005-0000-0000-000028800000}"/>
    <cellStyle name="Subtotal 17" xfId="32801" xr:uid="{00000000-0005-0000-0000-000029800000}"/>
    <cellStyle name="Subtotal 18" xfId="32802" xr:uid="{00000000-0005-0000-0000-00002A800000}"/>
    <cellStyle name="Subtotal 19" xfId="32803" xr:uid="{00000000-0005-0000-0000-00002B800000}"/>
    <cellStyle name="Subtotal 2" xfId="32804" xr:uid="{00000000-0005-0000-0000-00002C800000}"/>
    <cellStyle name="Subtotal 20" xfId="32805" xr:uid="{00000000-0005-0000-0000-00002D800000}"/>
    <cellStyle name="Subtotal 21" xfId="32806" xr:uid="{00000000-0005-0000-0000-00002E800000}"/>
    <cellStyle name="Subtotal 21 2" xfId="32807" xr:uid="{00000000-0005-0000-0000-00002F800000}"/>
    <cellStyle name="Subtotal 3" xfId="32808" xr:uid="{00000000-0005-0000-0000-000030800000}"/>
    <cellStyle name="Subtotal 4" xfId="32809" xr:uid="{00000000-0005-0000-0000-000031800000}"/>
    <cellStyle name="Subtotal 5" xfId="32810" xr:uid="{00000000-0005-0000-0000-000032800000}"/>
    <cellStyle name="Subtotal 6" xfId="32811" xr:uid="{00000000-0005-0000-0000-000033800000}"/>
    <cellStyle name="Subtotal 7" xfId="32812" xr:uid="{00000000-0005-0000-0000-000034800000}"/>
    <cellStyle name="Subtotal 8" xfId="32813" xr:uid="{00000000-0005-0000-0000-000035800000}"/>
    <cellStyle name="Subtotal 9" xfId="32814" xr:uid="{00000000-0005-0000-0000-000036800000}"/>
    <cellStyle name="Superscript" xfId="32815" xr:uid="{00000000-0005-0000-0000-000037800000}"/>
    <cellStyle name="Superscript 10" xfId="32816" xr:uid="{00000000-0005-0000-0000-000038800000}"/>
    <cellStyle name="Superscript 11" xfId="32817" xr:uid="{00000000-0005-0000-0000-000039800000}"/>
    <cellStyle name="Superscript 12" xfId="32818" xr:uid="{00000000-0005-0000-0000-00003A800000}"/>
    <cellStyle name="Superscript 13" xfId="32819" xr:uid="{00000000-0005-0000-0000-00003B800000}"/>
    <cellStyle name="Superscript 14" xfId="32820" xr:uid="{00000000-0005-0000-0000-00003C800000}"/>
    <cellStyle name="Superscript 15" xfId="32821" xr:uid="{00000000-0005-0000-0000-00003D800000}"/>
    <cellStyle name="Superscript 16" xfId="32822" xr:uid="{00000000-0005-0000-0000-00003E800000}"/>
    <cellStyle name="Superscript 17" xfId="32823" xr:uid="{00000000-0005-0000-0000-00003F800000}"/>
    <cellStyle name="Superscript 18" xfId="32824" xr:uid="{00000000-0005-0000-0000-000040800000}"/>
    <cellStyle name="Superscript 19" xfId="32825" xr:uid="{00000000-0005-0000-0000-000041800000}"/>
    <cellStyle name="Superscript 2" xfId="32826" xr:uid="{00000000-0005-0000-0000-000042800000}"/>
    <cellStyle name="Superscript 20" xfId="32827" xr:uid="{00000000-0005-0000-0000-000043800000}"/>
    <cellStyle name="Superscript 21" xfId="32828" xr:uid="{00000000-0005-0000-0000-000044800000}"/>
    <cellStyle name="Superscript 22" xfId="32829" xr:uid="{00000000-0005-0000-0000-000045800000}"/>
    <cellStyle name="SuperScript 23" xfId="32830" xr:uid="{00000000-0005-0000-0000-000046800000}"/>
    <cellStyle name="SuperScript 23 2" xfId="32831" xr:uid="{00000000-0005-0000-0000-000047800000}"/>
    <cellStyle name="SuperScript 24" xfId="32832" xr:uid="{00000000-0005-0000-0000-000048800000}"/>
    <cellStyle name="SuperScript 24 2" xfId="32833" xr:uid="{00000000-0005-0000-0000-000049800000}"/>
    <cellStyle name="Superscript 25" xfId="32834" xr:uid="{00000000-0005-0000-0000-00004A800000}"/>
    <cellStyle name="Superscript 26" xfId="32835" xr:uid="{00000000-0005-0000-0000-00004B800000}"/>
    <cellStyle name="Superscript 27" xfId="32836" xr:uid="{00000000-0005-0000-0000-00004C800000}"/>
    <cellStyle name="Superscript 28" xfId="32837" xr:uid="{00000000-0005-0000-0000-00004D800000}"/>
    <cellStyle name="Superscript 29" xfId="32838" xr:uid="{00000000-0005-0000-0000-00004E800000}"/>
    <cellStyle name="Superscript 29 2" xfId="32839" xr:uid="{00000000-0005-0000-0000-00004F800000}"/>
    <cellStyle name="SuperScript 3" xfId="32840" xr:uid="{00000000-0005-0000-0000-000050800000}"/>
    <cellStyle name="SuperScript 30" xfId="32841" xr:uid="{00000000-0005-0000-0000-000051800000}"/>
    <cellStyle name="SuperScript 31" xfId="32842" xr:uid="{00000000-0005-0000-0000-000052800000}"/>
    <cellStyle name="SuperScript 32" xfId="32843" xr:uid="{00000000-0005-0000-0000-000053800000}"/>
    <cellStyle name="SuperScript 33" xfId="32844" xr:uid="{00000000-0005-0000-0000-000054800000}"/>
    <cellStyle name="SuperScript 34" xfId="32845" xr:uid="{00000000-0005-0000-0000-000055800000}"/>
    <cellStyle name="SuperScript 35" xfId="32846" xr:uid="{00000000-0005-0000-0000-000056800000}"/>
    <cellStyle name="SuperScript 36" xfId="32847" xr:uid="{00000000-0005-0000-0000-000057800000}"/>
    <cellStyle name="SuperScript 37" xfId="32848" xr:uid="{00000000-0005-0000-0000-000058800000}"/>
    <cellStyle name="SuperScript 38" xfId="32849" xr:uid="{00000000-0005-0000-0000-000059800000}"/>
    <cellStyle name="SuperScript 4" xfId="32850" xr:uid="{00000000-0005-0000-0000-00005A800000}"/>
    <cellStyle name="SuperScript 5" xfId="32851" xr:uid="{00000000-0005-0000-0000-00005B800000}"/>
    <cellStyle name="SuperScript 6" xfId="32852" xr:uid="{00000000-0005-0000-0000-00005C800000}"/>
    <cellStyle name="SuperScript 7" xfId="32853" xr:uid="{00000000-0005-0000-0000-00005D800000}"/>
    <cellStyle name="SuperScript 7 2" xfId="32854" xr:uid="{00000000-0005-0000-0000-00005E800000}"/>
    <cellStyle name="SuperScript 8" xfId="32855" xr:uid="{00000000-0005-0000-0000-00005F800000}"/>
    <cellStyle name="SuperScript 8 2" xfId="32856" xr:uid="{00000000-0005-0000-0000-000060800000}"/>
    <cellStyle name="Superscript 9" xfId="32857" xr:uid="{00000000-0005-0000-0000-000061800000}"/>
    <cellStyle name="t" xfId="32858" xr:uid="{00000000-0005-0000-0000-000062800000}"/>
    <cellStyle name="t 10" xfId="32859" xr:uid="{00000000-0005-0000-0000-000063800000}"/>
    <cellStyle name="t 11" xfId="32860" xr:uid="{00000000-0005-0000-0000-000064800000}"/>
    <cellStyle name="t 12" xfId="32861" xr:uid="{00000000-0005-0000-0000-000065800000}"/>
    <cellStyle name="t 13" xfId="32862" xr:uid="{00000000-0005-0000-0000-000066800000}"/>
    <cellStyle name="t 14" xfId="32863" xr:uid="{00000000-0005-0000-0000-000067800000}"/>
    <cellStyle name="t 15" xfId="32864" xr:uid="{00000000-0005-0000-0000-000068800000}"/>
    <cellStyle name="t 16" xfId="32865" xr:uid="{00000000-0005-0000-0000-000069800000}"/>
    <cellStyle name="t 17" xfId="32866" xr:uid="{00000000-0005-0000-0000-00006A800000}"/>
    <cellStyle name="t 18" xfId="32867" xr:uid="{00000000-0005-0000-0000-00006B800000}"/>
    <cellStyle name="t 19" xfId="32868" xr:uid="{00000000-0005-0000-0000-00006C800000}"/>
    <cellStyle name="t 2" xfId="32869" xr:uid="{00000000-0005-0000-0000-00006D800000}"/>
    <cellStyle name="t 20" xfId="32870" xr:uid="{00000000-0005-0000-0000-00006E800000}"/>
    <cellStyle name="t 21" xfId="32871" xr:uid="{00000000-0005-0000-0000-00006F800000}"/>
    <cellStyle name="t 21 2" xfId="32872" xr:uid="{00000000-0005-0000-0000-000070800000}"/>
    <cellStyle name="t 3" xfId="32873" xr:uid="{00000000-0005-0000-0000-000071800000}"/>
    <cellStyle name="t 4" xfId="32874" xr:uid="{00000000-0005-0000-0000-000072800000}"/>
    <cellStyle name="t 5" xfId="32875" xr:uid="{00000000-0005-0000-0000-000073800000}"/>
    <cellStyle name="t 6" xfId="32876" xr:uid="{00000000-0005-0000-0000-000074800000}"/>
    <cellStyle name="t 7" xfId="32877" xr:uid="{00000000-0005-0000-0000-000075800000}"/>
    <cellStyle name="t 8" xfId="32878" xr:uid="{00000000-0005-0000-0000-000076800000}"/>
    <cellStyle name="t 9" xfId="32879" xr:uid="{00000000-0005-0000-0000-000077800000}"/>
    <cellStyle name="t#" xfId="32880" xr:uid="{00000000-0005-0000-0000-000078800000}"/>
    <cellStyle name="t# 10" xfId="32881" xr:uid="{00000000-0005-0000-0000-000079800000}"/>
    <cellStyle name="t# 11" xfId="32882" xr:uid="{00000000-0005-0000-0000-00007A800000}"/>
    <cellStyle name="t# 12" xfId="32883" xr:uid="{00000000-0005-0000-0000-00007B800000}"/>
    <cellStyle name="t# 13" xfId="32884" xr:uid="{00000000-0005-0000-0000-00007C800000}"/>
    <cellStyle name="t# 14" xfId="32885" xr:uid="{00000000-0005-0000-0000-00007D800000}"/>
    <cellStyle name="t# 15" xfId="32886" xr:uid="{00000000-0005-0000-0000-00007E800000}"/>
    <cellStyle name="t# 16" xfId="32887" xr:uid="{00000000-0005-0000-0000-00007F800000}"/>
    <cellStyle name="t# 17" xfId="32888" xr:uid="{00000000-0005-0000-0000-000080800000}"/>
    <cellStyle name="t# 18" xfId="32889" xr:uid="{00000000-0005-0000-0000-000081800000}"/>
    <cellStyle name="t# 19" xfId="32890" xr:uid="{00000000-0005-0000-0000-000082800000}"/>
    <cellStyle name="t# 2" xfId="32891" xr:uid="{00000000-0005-0000-0000-000083800000}"/>
    <cellStyle name="t# 20" xfId="32892" xr:uid="{00000000-0005-0000-0000-000084800000}"/>
    <cellStyle name="t# 21" xfId="32893" xr:uid="{00000000-0005-0000-0000-000085800000}"/>
    <cellStyle name="t# 21 2" xfId="32894" xr:uid="{00000000-0005-0000-0000-000086800000}"/>
    <cellStyle name="t# 3" xfId="32895" xr:uid="{00000000-0005-0000-0000-000087800000}"/>
    <cellStyle name="t# 4" xfId="32896" xr:uid="{00000000-0005-0000-0000-000088800000}"/>
    <cellStyle name="t# 5" xfId="32897" xr:uid="{00000000-0005-0000-0000-000089800000}"/>
    <cellStyle name="t# 6" xfId="32898" xr:uid="{00000000-0005-0000-0000-00008A800000}"/>
    <cellStyle name="t# 7" xfId="32899" xr:uid="{00000000-0005-0000-0000-00008B800000}"/>
    <cellStyle name="t# 8" xfId="32900" xr:uid="{00000000-0005-0000-0000-00008C800000}"/>
    <cellStyle name="t# 9" xfId="32901" xr:uid="{00000000-0005-0000-0000-00008D800000}"/>
    <cellStyle name="t_{6} Clawback" xfId="32902" xr:uid="{00000000-0005-0000-0000-00008E800000}"/>
    <cellStyle name="t_2007 Trans Fees for NMFI Calc" xfId="32903" xr:uid="{00000000-0005-0000-0000-00008F800000}"/>
    <cellStyle name="t_2007 Trans Fees for NMFI Calc 10" xfId="32904" xr:uid="{00000000-0005-0000-0000-000090800000}"/>
    <cellStyle name="t_2007 Trans Fees for NMFI Calc 11" xfId="32905" xr:uid="{00000000-0005-0000-0000-000091800000}"/>
    <cellStyle name="t_2007 Trans Fees for NMFI Calc 12" xfId="32906" xr:uid="{00000000-0005-0000-0000-000092800000}"/>
    <cellStyle name="t_2007 Trans Fees for NMFI Calc 13" xfId="32907" xr:uid="{00000000-0005-0000-0000-000093800000}"/>
    <cellStyle name="t_2007 Trans Fees for NMFI Calc 14" xfId="32908" xr:uid="{00000000-0005-0000-0000-000094800000}"/>
    <cellStyle name="t_2007 Trans Fees for NMFI Calc 15" xfId="32909" xr:uid="{00000000-0005-0000-0000-000095800000}"/>
    <cellStyle name="t_2007 Trans Fees for NMFI Calc 16" xfId="32910" xr:uid="{00000000-0005-0000-0000-000096800000}"/>
    <cellStyle name="t_2007 Trans Fees for NMFI Calc 17" xfId="32911" xr:uid="{00000000-0005-0000-0000-000097800000}"/>
    <cellStyle name="t_2007 Trans Fees for NMFI Calc 18" xfId="32912" xr:uid="{00000000-0005-0000-0000-000098800000}"/>
    <cellStyle name="t_2007 Trans Fees for NMFI Calc 19" xfId="32913" xr:uid="{00000000-0005-0000-0000-000099800000}"/>
    <cellStyle name="t_2007 Trans Fees for NMFI Calc 2" xfId="32914" xr:uid="{00000000-0005-0000-0000-00009A800000}"/>
    <cellStyle name="t_2007 Trans Fees for NMFI Calc 2 2" xfId="32915" xr:uid="{00000000-0005-0000-0000-00009B800000}"/>
    <cellStyle name="t_2007 Trans Fees for NMFI Calc 20" xfId="32916" xr:uid="{00000000-0005-0000-0000-00009C800000}"/>
    <cellStyle name="t_2007 Trans Fees for NMFI Calc 21" xfId="32917" xr:uid="{00000000-0005-0000-0000-00009D800000}"/>
    <cellStyle name="t_2007 Trans Fees for NMFI Calc 22" xfId="32918" xr:uid="{00000000-0005-0000-0000-00009E800000}"/>
    <cellStyle name="t_2007 Trans Fees for NMFI Calc 23" xfId="32919" xr:uid="{00000000-0005-0000-0000-00009F800000}"/>
    <cellStyle name="t_2007 Trans Fees for NMFI Calc 23 2" xfId="32920" xr:uid="{00000000-0005-0000-0000-0000A0800000}"/>
    <cellStyle name="t_2007 Trans Fees for NMFI Calc 3" xfId="32921" xr:uid="{00000000-0005-0000-0000-0000A1800000}"/>
    <cellStyle name="t_2007 Trans Fees for NMFI Calc 3 2" xfId="32922" xr:uid="{00000000-0005-0000-0000-0000A2800000}"/>
    <cellStyle name="t_2007 Trans Fees for NMFI Calc 4" xfId="32923" xr:uid="{00000000-0005-0000-0000-0000A3800000}"/>
    <cellStyle name="t_2007 Trans Fees for NMFI Calc 5" xfId="32924" xr:uid="{00000000-0005-0000-0000-0000A4800000}"/>
    <cellStyle name="t_2007 Trans Fees for NMFI Calc 6" xfId="32925" xr:uid="{00000000-0005-0000-0000-0000A5800000}"/>
    <cellStyle name="t_2007 Trans Fees for NMFI Calc 7" xfId="32926" xr:uid="{00000000-0005-0000-0000-0000A6800000}"/>
    <cellStyle name="t_2007 Trans Fees for NMFI Calc 8" xfId="32927" xr:uid="{00000000-0005-0000-0000-0000A7800000}"/>
    <cellStyle name="t_2007 Trans Fees for NMFI Calc 9" xfId="32928" xr:uid="{00000000-0005-0000-0000-0000A8800000}"/>
    <cellStyle name="t_2007 Trans Fees for NMFI Calc_AIF VI - BondcoVI_Entities Invested Capital (CURRENT)" xfId="32929" xr:uid="{00000000-0005-0000-0000-0000A9800000}"/>
    <cellStyle name="t_2007 Trans Fees for NMFI Calc_AIF VI Broadleaf Watefall Summary as of 6-30-09 FINAL" xfId="32930" xr:uid="{00000000-0005-0000-0000-0000AA800000}"/>
    <cellStyle name="t_2007 Trans Fees for NMFI Calc_AIF VI Broadleaf Watefall Summary as of 9-30-09" xfId="32931" xr:uid="{00000000-0005-0000-0000-0000AB800000}"/>
    <cellStyle name="t_2007 Trans Fees for NMFI Calc_Broadleaf Watefall 12-31-09" xfId="32932" xr:uid="{00000000-0005-0000-0000-0000AC800000}"/>
    <cellStyle name="t_2007 Trans Fees for NMFI Calc_Broadleaf Watefall 6-30-09" xfId="32933" xr:uid="{00000000-0005-0000-0000-0000AD800000}"/>
    <cellStyle name="t_2007 Trans Fees for NMFI Calc_Broadleaf Watefall 9-30-09" xfId="32934" xr:uid="{00000000-0005-0000-0000-0000AE800000}"/>
    <cellStyle name="t_2007 Trans Fees for NMFI Calc_IC Balance" xfId="32935" xr:uid="{00000000-0005-0000-0000-0000AF800000}"/>
    <cellStyle name="t_2007 Trans Fees for NMFI Calc_Invested Capital Debt Worksheet" xfId="32936" xr:uid="{00000000-0005-0000-0000-0000B0800000}"/>
    <cellStyle name="t_2007 Trans Fees for NMFI Calc_MMF Income" xfId="32937" xr:uid="{00000000-0005-0000-0000-0000B1800000}"/>
    <cellStyle name="t_2007 Trans Fees for NMFI Calc_Placement Fee Summary 05-14-09 - Current (2)" xfId="32938" xr:uid="{00000000-0005-0000-0000-0000B2800000}"/>
    <cellStyle name="t_3Q 07 Revenue Overview" xfId="32939" xr:uid="{00000000-0005-0000-0000-0000B3800000}"/>
    <cellStyle name="t_3Q 07 Revenue Overview 10" xfId="32940" xr:uid="{00000000-0005-0000-0000-0000B4800000}"/>
    <cellStyle name="t_3Q 07 Revenue Overview 11" xfId="32941" xr:uid="{00000000-0005-0000-0000-0000B5800000}"/>
    <cellStyle name="t_3Q 07 Revenue Overview 12" xfId="32942" xr:uid="{00000000-0005-0000-0000-0000B6800000}"/>
    <cellStyle name="t_3Q 07 Revenue Overview 13" xfId="32943" xr:uid="{00000000-0005-0000-0000-0000B7800000}"/>
    <cellStyle name="t_3Q 07 Revenue Overview 14" xfId="32944" xr:uid="{00000000-0005-0000-0000-0000B8800000}"/>
    <cellStyle name="t_3Q 07 Revenue Overview 15" xfId="32945" xr:uid="{00000000-0005-0000-0000-0000B9800000}"/>
    <cellStyle name="t_3Q 07 Revenue Overview 16" xfId="32946" xr:uid="{00000000-0005-0000-0000-0000BA800000}"/>
    <cellStyle name="t_3Q 07 Revenue Overview 17" xfId="32947" xr:uid="{00000000-0005-0000-0000-0000BB800000}"/>
    <cellStyle name="t_3Q 07 Revenue Overview 18" xfId="32948" xr:uid="{00000000-0005-0000-0000-0000BC800000}"/>
    <cellStyle name="t_3Q 07 Revenue Overview 19" xfId="32949" xr:uid="{00000000-0005-0000-0000-0000BD800000}"/>
    <cellStyle name="t_3Q 07 Revenue Overview 2" xfId="32950" xr:uid="{00000000-0005-0000-0000-0000BE800000}"/>
    <cellStyle name="t_3Q 07 Revenue Overview 20" xfId="32951" xr:uid="{00000000-0005-0000-0000-0000BF800000}"/>
    <cellStyle name="t_3Q 07 Revenue Overview 21" xfId="32952" xr:uid="{00000000-0005-0000-0000-0000C0800000}"/>
    <cellStyle name="t_3Q 07 Revenue Overview 21 2" xfId="32953" xr:uid="{00000000-0005-0000-0000-0000C1800000}"/>
    <cellStyle name="t_3Q 07 Revenue Overview 3" xfId="32954" xr:uid="{00000000-0005-0000-0000-0000C2800000}"/>
    <cellStyle name="t_3Q 07 Revenue Overview 4" xfId="32955" xr:uid="{00000000-0005-0000-0000-0000C3800000}"/>
    <cellStyle name="t_3Q 07 Revenue Overview 5" xfId="32956" xr:uid="{00000000-0005-0000-0000-0000C4800000}"/>
    <cellStyle name="t_3Q 07 Revenue Overview 6" xfId="32957" xr:uid="{00000000-0005-0000-0000-0000C5800000}"/>
    <cellStyle name="t_3Q 07 Revenue Overview 7" xfId="32958" xr:uid="{00000000-0005-0000-0000-0000C6800000}"/>
    <cellStyle name="t_3Q 07 Revenue Overview 8" xfId="32959" xr:uid="{00000000-0005-0000-0000-0000C7800000}"/>
    <cellStyle name="t_3Q 07 Revenue Overview 9" xfId="32960" xr:uid="{00000000-0005-0000-0000-0000C8800000}"/>
    <cellStyle name="t_3Q 07 Revenue Overview_Broadleaf Watefall 9-30-09" xfId="32961" xr:uid="{00000000-0005-0000-0000-0000C9800000}"/>
    <cellStyle name="t_3Q 07 Revenue Overview_Invested Capital Debt Worksheet" xfId="32962" xr:uid="{00000000-0005-0000-0000-0000CA800000}"/>
    <cellStyle name="t_Advisors Capital Rollforward 2008 Q2" xfId="32963" xr:uid="{00000000-0005-0000-0000-0000CB800000}"/>
    <cellStyle name="t_Advisors Capital Rollforward 2008 Q2 10" xfId="32964" xr:uid="{00000000-0005-0000-0000-0000CC800000}"/>
    <cellStyle name="t_Advisors Capital Rollforward 2008 Q2 11" xfId="32965" xr:uid="{00000000-0005-0000-0000-0000CD800000}"/>
    <cellStyle name="t_Advisors Capital Rollforward 2008 Q2 12" xfId="32966" xr:uid="{00000000-0005-0000-0000-0000CE800000}"/>
    <cellStyle name="t_Advisors Capital Rollforward 2008 Q2 13" xfId="32967" xr:uid="{00000000-0005-0000-0000-0000CF800000}"/>
    <cellStyle name="t_Advisors Capital Rollforward 2008 Q2 14" xfId="32968" xr:uid="{00000000-0005-0000-0000-0000D0800000}"/>
    <cellStyle name="t_Advisors Capital Rollforward 2008 Q2 15" xfId="32969" xr:uid="{00000000-0005-0000-0000-0000D1800000}"/>
    <cellStyle name="t_Advisors Capital Rollforward 2008 Q2 16" xfId="32970" xr:uid="{00000000-0005-0000-0000-0000D2800000}"/>
    <cellStyle name="t_Advisors Capital Rollforward 2008 Q2 17" xfId="32971" xr:uid="{00000000-0005-0000-0000-0000D3800000}"/>
    <cellStyle name="t_Advisors Capital Rollforward 2008 Q2 18" xfId="32972" xr:uid="{00000000-0005-0000-0000-0000D4800000}"/>
    <cellStyle name="t_Advisors Capital Rollforward 2008 Q2 19" xfId="32973" xr:uid="{00000000-0005-0000-0000-0000D5800000}"/>
    <cellStyle name="t_Advisors Capital Rollforward 2008 Q2 2" xfId="32974" xr:uid="{00000000-0005-0000-0000-0000D6800000}"/>
    <cellStyle name="t_Advisors Capital Rollforward 2008 Q2 20" xfId="32975" xr:uid="{00000000-0005-0000-0000-0000D7800000}"/>
    <cellStyle name="t_Advisors Capital Rollforward 2008 Q2 21" xfId="32976" xr:uid="{00000000-0005-0000-0000-0000D8800000}"/>
    <cellStyle name="t_Advisors Capital Rollforward 2008 Q2 3" xfId="32977" xr:uid="{00000000-0005-0000-0000-0000D9800000}"/>
    <cellStyle name="t_Advisors Capital Rollforward 2008 Q2 4" xfId="32978" xr:uid="{00000000-0005-0000-0000-0000DA800000}"/>
    <cellStyle name="t_Advisors Capital Rollforward 2008 Q2 5" xfId="32979" xr:uid="{00000000-0005-0000-0000-0000DB800000}"/>
    <cellStyle name="t_Advisors Capital Rollforward 2008 Q2 6" xfId="32980" xr:uid="{00000000-0005-0000-0000-0000DC800000}"/>
    <cellStyle name="t_Advisors Capital Rollforward 2008 Q2 7" xfId="32981" xr:uid="{00000000-0005-0000-0000-0000DD800000}"/>
    <cellStyle name="t_Advisors Capital Rollforward 2008 Q2 8" xfId="32982" xr:uid="{00000000-0005-0000-0000-0000DE800000}"/>
    <cellStyle name="t_Advisors Capital Rollforward 2008 Q2 9" xfId="32983" xr:uid="{00000000-0005-0000-0000-0000DF800000}"/>
    <cellStyle name="t_Advisors Capital Rollforward 2008 Q2_Broadleaf Watefall 9-30-09" xfId="32984" xr:uid="{00000000-0005-0000-0000-0000E0800000}"/>
    <cellStyle name="t_Advisors Capital Rollforward 2008 Q2_Invested Capital Debt Worksheet" xfId="32985" xr:uid="{00000000-0005-0000-0000-0000E1800000}"/>
    <cellStyle name="t_AGM Professional Fees (summary)" xfId="32986" xr:uid="{00000000-0005-0000-0000-0000E2800000}"/>
    <cellStyle name="t_AGM Professional Fees (summary) 10" xfId="32987" xr:uid="{00000000-0005-0000-0000-0000E3800000}"/>
    <cellStyle name="t_AGM Professional Fees (summary) 11" xfId="32988" xr:uid="{00000000-0005-0000-0000-0000E4800000}"/>
    <cellStyle name="t_AGM Professional Fees (summary) 12" xfId="32989" xr:uid="{00000000-0005-0000-0000-0000E5800000}"/>
    <cellStyle name="t_AGM Professional Fees (summary) 13" xfId="32990" xr:uid="{00000000-0005-0000-0000-0000E6800000}"/>
    <cellStyle name="t_AGM Professional Fees (summary) 14" xfId="32991" xr:uid="{00000000-0005-0000-0000-0000E7800000}"/>
    <cellStyle name="t_AGM Professional Fees (summary) 15" xfId="32992" xr:uid="{00000000-0005-0000-0000-0000E8800000}"/>
    <cellStyle name="t_AGM Professional Fees (summary) 16" xfId="32993" xr:uid="{00000000-0005-0000-0000-0000E9800000}"/>
    <cellStyle name="t_AGM Professional Fees (summary) 17" xfId="32994" xr:uid="{00000000-0005-0000-0000-0000EA800000}"/>
    <cellStyle name="t_AGM Professional Fees (summary) 18" xfId="32995" xr:uid="{00000000-0005-0000-0000-0000EB800000}"/>
    <cellStyle name="t_AGM Professional Fees (summary) 19" xfId="32996" xr:uid="{00000000-0005-0000-0000-0000EC800000}"/>
    <cellStyle name="t_AGM Professional Fees (summary) 2" xfId="32997" xr:uid="{00000000-0005-0000-0000-0000ED800000}"/>
    <cellStyle name="t_AGM Professional Fees (summary) 20" xfId="32998" xr:uid="{00000000-0005-0000-0000-0000EE800000}"/>
    <cellStyle name="t_AGM Professional Fees (summary) 21" xfId="32999" xr:uid="{00000000-0005-0000-0000-0000EF800000}"/>
    <cellStyle name="t_AGM Professional Fees (summary) 21 2" xfId="33000" xr:uid="{00000000-0005-0000-0000-0000F0800000}"/>
    <cellStyle name="t_AGM Professional Fees (summary) 3" xfId="33001" xr:uid="{00000000-0005-0000-0000-0000F1800000}"/>
    <cellStyle name="t_AGM Professional Fees (summary) 4" xfId="33002" xr:uid="{00000000-0005-0000-0000-0000F2800000}"/>
    <cellStyle name="t_AGM Professional Fees (summary) 5" xfId="33003" xr:uid="{00000000-0005-0000-0000-0000F3800000}"/>
    <cellStyle name="t_AGM Professional Fees (summary) 6" xfId="33004" xr:uid="{00000000-0005-0000-0000-0000F4800000}"/>
    <cellStyle name="t_AGM Professional Fees (summary) 7" xfId="33005" xr:uid="{00000000-0005-0000-0000-0000F5800000}"/>
    <cellStyle name="t_AGM Professional Fees (summary) 8" xfId="33006" xr:uid="{00000000-0005-0000-0000-0000F6800000}"/>
    <cellStyle name="t_AGM Professional Fees (summary) 9" xfId="33007" xr:uid="{00000000-0005-0000-0000-0000F7800000}"/>
    <cellStyle name="t_AGM Professional Fees (summary)_Broadleaf Watefall 9-30-09" xfId="33008" xr:uid="{00000000-0005-0000-0000-0000F8800000}"/>
    <cellStyle name="t_AGM Professional Fees (summary)_Invested Capital Debt Worksheet" xfId="33009" xr:uid="{00000000-0005-0000-0000-0000F9800000}"/>
    <cellStyle name="t_AGM YE NMFI (Estimated) 12-5-07 v1.3" xfId="33010" xr:uid="{00000000-0005-0000-0000-0000FA800000}"/>
    <cellStyle name="t_AGM YE NMFI (Estimated) 12-5-07 v1.3 10" xfId="33011" xr:uid="{00000000-0005-0000-0000-0000FB800000}"/>
    <cellStyle name="t_AGM YE NMFI (Estimated) 12-5-07 v1.3 11" xfId="33012" xr:uid="{00000000-0005-0000-0000-0000FC800000}"/>
    <cellStyle name="t_AGM YE NMFI (Estimated) 12-5-07 v1.3 12" xfId="33013" xr:uid="{00000000-0005-0000-0000-0000FD800000}"/>
    <cellStyle name="t_AGM YE NMFI (Estimated) 12-5-07 v1.3 13" xfId="33014" xr:uid="{00000000-0005-0000-0000-0000FE800000}"/>
    <cellStyle name="t_AGM YE NMFI (Estimated) 12-5-07 v1.3 14" xfId="33015" xr:uid="{00000000-0005-0000-0000-0000FF800000}"/>
    <cellStyle name="t_AGM YE NMFI (Estimated) 12-5-07 v1.3 15" xfId="33016" xr:uid="{00000000-0005-0000-0000-000000810000}"/>
    <cellStyle name="t_AGM YE NMFI (Estimated) 12-5-07 v1.3 16" xfId="33017" xr:uid="{00000000-0005-0000-0000-000001810000}"/>
    <cellStyle name="t_AGM YE NMFI (Estimated) 12-5-07 v1.3 17" xfId="33018" xr:uid="{00000000-0005-0000-0000-000002810000}"/>
    <cellStyle name="t_AGM YE NMFI (Estimated) 12-5-07 v1.3 18" xfId="33019" xr:uid="{00000000-0005-0000-0000-000003810000}"/>
    <cellStyle name="t_AGM YE NMFI (Estimated) 12-5-07 v1.3 19" xfId="33020" xr:uid="{00000000-0005-0000-0000-000004810000}"/>
    <cellStyle name="t_AGM YE NMFI (Estimated) 12-5-07 v1.3 2" xfId="33021" xr:uid="{00000000-0005-0000-0000-000005810000}"/>
    <cellStyle name="t_AGM YE NMFI (Estimated) 12-5-07 v1.3 2 2" xfId="33022" xr:uid="{00000000-0005-0000-0000-000006810000}"/>
    <cellStyle name="t_AGM YE NMFI (Estimated) 12-5-07 v1.3 20" xfId="33023" xr:uid="{00000000-0005-0000-0000-000007810000}"/>
    <cellStyle name="t_AGM YE NMFI (Estimated) 12-5-07 v1.3 21" xfId="33024" xr:uid="{00000000-0005-0000-0000-000008810000}"/>
    <cellStyle name="t_AGM YE NMFI (Estimated) 12-5-07 v1.3 22" xfId="33025" xr:uid="{00000000-0005-0000-0000-000009810000}"/>
    <cellStyle name="t_AGM YE NMFI (Estimated) 12-5-07 v1.3 23" xfId="33026" xr:uid="{00000000-0005-0000-0000-00000A810000}"/>
    <cellStyle name="t_AGM YE NMFI (Estimated) 12-5-07 v1.3 23 2" xfId="33027" xr:uid="{00000000-0005-0000-0000-00000B810000}"/>
    <cellStyle name="t_AGM YE NMFI (Estimated) 12-5-07 v1.3 3" xfId="33028" xr:uid="{00000000-0005-0000-0000-00000C810000}"/>
    <cellStyle name="t_AGM YE NMFI (Estimated) 12-5-07 v1.3 3 2" xfId="33029" xr:uid="{00000000-0005-0000-0000-00000D810000}"/>
    <cellStyle name="t_AGM YE NMFI (Estimated) 12-5-07 v1.3 4" xfId="33030" xr:uid="{00000000-0005-0000-0000-00000E810000}"/>
    <cellStyle name="t_AGM YE NMFI (Estimated) 12-5-07 v1.3 5" xfId="33031" xr:uid="{00000000-0005-0000-0000-00000F810000}"/>
    <cellStyle name="t_AGM YE NMFI (Estimated) 12-5-07 v1.3 6" xfId="33032" xr:uid="{00000000-0005-0000-0000-000010810000}"/>
    <cellStyle name="t_AGM YE NMFI (Estimated) 12-5-07 v1.3 7" xfId="33033" xr:uid="{00000000-0005-0000-0000-000011810000}"/>
    <cellStyle name="t_AGM YE NMFI (Estimated) 12-5-07 v1.3 8" xfId="33034" xr:uid="{00000000-0005-0000-0000-000012810000}"/>
    <cellStyle name="t_AGM YE NMFI (Estimated) 12-5-07 v1.3 9" xfId="33035" xr:uid="{00000000-0005-0000-0000-000013810000}"/>
    <cellStyle name="t_AGM YE NMFI (Estimated) 12-5-07 v1.3_AIF VI - BondcoVI_Entities Invested Capital (CURRENT)" xfId="33036" xr:uid="{00000000-0005-0000-0000-000014810000}"/>
    <cellStyle name="t_AGM YE NMFI (Estimated) 12-5-07 v1.3_AIF VI Broadleaf Watefall Summary as of 6-30-09 FINAL" xfId="33037" xr:uid="{00000000-0005-0000-0000-000015810000}"/>
    <cellStyle name="t_AGM YE NMFI (Estimated) 12-5-07 v1.3_AIF VI Broadleaf Watefall Summary as of 9-30-09" xfId="33038" xr:uid="{00000000-0005-0000-0000-000016810000}"/>
    <cellStyle name="t_AGM YE NMFI (Estimated) 12-5-07 v1.3_Broadleaf Watefall 12-31-09" xfId="33039" xr:uid="{00000000-0005-0000-0000-000017810000}"/>
    <cellStyle name="t_AGM YE NMFI (Estimated) 12-5-07 v1.3_Broadleaf Watefall 6-30-09" xfId="33040" xr:uid="{00000000-0005-0000-0000-000018810000}"/>
    <cellStyle name="t_AGM YE NMFI (Estimated) 12-5-07 v1.3_Broadleaf Watefall 9-30-09" xfId="33041" xr:uid="{00000000-0005-0000-0000-000019810000}"/>
    <cellStyle name="t_AGM YE NMFI (Estimated) 12-5-07 v1.3_IC Balance" xfId="33042" xr:uid="{00000000-0005-0000-0000-00001A810000}"/>
    <cellStyle name="t_AGM YE NMFI (Estimated) 12-5-07 v1.3_Invested Capital Debt Worksheet" xfId="33043" xr:uid="{00000000-0005-0000-0000-00001B810000}"/>
    <cellStyle name="t_AGM YE NMFI (Estimated) 12-5-07 v1.3_MMF Income" xfId="33044" xr:uid="{00000000-0005-0000-0000-00001C810000}"/>
    <cellStyle name="t_AGM YE NMFI (Estimated) 12-5-07 v1.3_Placement Fee Summary 05-14-09 - Current (2)" xfId="33045" xr:uid="{00000000-0005-0000-0000-00001D810000}"/>
    <cellStyle name="t_AIF IV Financial Highlights 12-31-08 v4" xfId="33046" xr:uid="{00000000-0005-0000-0000-00001E810000}"/>
    <cellStyle name="t_AIF IV Financial Highlights 12-31-08 v4_Apollo Investment Fund IV  Q3 2009 Capital Analysis CURRENT" xfId="33047" xr:uid="{00000000-0005-0000-0000-00001F810000}"/>
    <cellStyle name="t_AIF IV Financial Highlights 12-31-08 v4_Apollo Investment Fund IV  Q3 2009 Capital Analysis iPCS &amp; URI Distribution" xfId="33048" xr:uid="{00000000-0005-0000-0000-000020810000}"/>
    <cellStyle name="t_AIF IV Financial Highlights 12-31-08 v4_iPCs#1-Remaining" xfId="33049" xr:uid="{00000000-0005-0000-0000-000021810000}"/>
    <cellStyle name="t_AIF VI - BondcoVI_Entities Invested Capital (CURRENT)" xfId="33050" xr:uid="{00000000-0005-0000-0000-000022810000}"/>
    <cellStyle name="t_AIF VI  VII Summary Dec 2008 v3" xfId="33051" xr:uid="{00000000-0005-0000-0000-000023810000}"/>
    <cellStyle name="t_AIF VI  VII Summary Dec 2008 v3 10" xfId="33052" xr:uid="{00000000-0005-0000-0000-000024810000}"/>
    <cellStyle name="t_AIF VI  VII Summary Dec 2008 v3 11" xfId="33053" xr:uid="{00000000-0005-0000-0000-000025810000}"/>
    <cellStyle name="t_AIF VI  VII Summary Dec 2008 v3 12" xfId="33054" xr:uid="{00000000-0005-0000-0000-000026810000}"/>
    <cellStyle name="t_AIF VI  VII Summary Dec 2008 v3 13" xfId="33055" xr:uid="{00000000-0005-0000-0000-000027810000}"/>
    <cellStyle name="t_AIF VI  VII Summary Dec 2008 v3 14" xfId="33056" xr:uid="{00000000-0005-0000-0000-000028810000}"/>
    <cellStyle name="t_AIF VI  VII Summary Dec 2008 v3 15" xfId="33057" xr:uid="{00000000-0005-0000-0000-000029810000}"/>
    <cellStyle name="t_AIF VI  VII Summary Dec 2008 v3 16" xfId="33058" xr:uid="{00000000-0005-0000-0000-00002A810000}"/>
    <cellStyle name="t_AIF VI  VII Summary Dec 2008 v3 17" xfId="33059" xr:uid="{00000000-0005-0000-0000-00002B810000}"/>
    <cellStyle name="t_AIF VI  VII Summary Dec 2008 v3 18" xfId="33060" xr:uid="{00000000-0005-0000-0000-00002C810000}"/>
    <cellStyle name="t_AIF VI  VII Summary Dec 2008 v3 19" xfId="33061" xr:uid="{00000000-0005-0000-0000-00002D810000}"/>
    <cellStyle name="t_AIF VI  VII Summary Dec 2008 v3 2" xfId="33062" xr:uid="{00000000-0005-0000-0000-00002E810000}"/>
    <cellStyle name="t_AIF VI  VII Summary Dec 2008 v3 2 2" xfId="33063" xr:uid="{00000000-0005-0000-0000-00002F810000}"/>
    <cellStyle name="t_AIF VI  VII Summary Dec 2008 v3 20" xfId="33064" xr:uid="{00000000-0005-0000-0000-000030810000}"/>
    <cellStyle name="t_AIF VI  VII Summary Dec 2008 v3 21" xfId="33065" xr:uid="{00000000-0005-0000-0000-000031810000}"/>
    <cellStyle name="t_AIF VI  VII Summary Dec 2008 v3 22" xfId="33066" xr:uid="{00000000-0005-0000-0000-000032810000}"/>
    <cellStyle name="t_AIF VI  VII Summary Dec 2008 v3 23" xfId="33067" xr:uid="{00000000-0005-0000-0000-000033810000}"/>
    <cellStyle name="t_AIF VI  VII Summary Dec 2008 v3 3" xfId="33068" xr:uid="{00000000-0005-0000-0000-000034810000}"/>
    <cellStyle name="t_AIF VI  VII Summary Dec 2008 v3 3 2" xfId="33069" xr:uid="{00000000-0005-0000-0000-000035810000}"/>
    <cellStyle name="t_AIF VI  VII Summary Dec 2008 v3 4" xfId="33070" xr:uid="{00000000-0005-0000-0000-000036810000}"/>
    <cellStyle name="t_AIF VI  VII Summary Dec 2008 v3 5" xfId="33071" xr:uid="{00000000-0005-0000-0000-000037810000}"/>
    <cellStyle name="t_AIF VI  VII Summary Dec 2008 v3 6" xfId="33072" xr:uid="{00000000-0005-0000-0000-000038810000}"/>
    <cellStyle name="t_AIF VI  VII Summary Dec 2008 v3 7" xfId="33073" xr:uid="{00000000-0005-0000-0000-000039810000}"/>
    <cellStyle name="t_AIF VI  VII Summary Dec 2008 v3 8" xfId="33074" xr:uid="{00000000-0005-0000-0000-00003A810000}"/>
    <cellStyle name="t_AIF VI  VII Summary Dec 2008 v3 9" xfId="33075" xr:uid="{00000000-0005-0000-0000-00003B810000}"/>
    <cellStyle name="t_AIF VI  VII Summary Dec 2008 v3_AIF VI - BondcoVI_Entities Invested Capital (CURRENT)" xfId="33076" xr:uid="{00000000-0005-0000-0000-00003C810000}"/>
    <cellStyle name="t_AIF VI  VII Summary Dec 2008 v3_IC Balance" xfId="33077" xr:uid="{00000000-0005-0000-0000-00003D810000}"/>
    <cellStyle name="t_AIF VI  VII Summary Dec 2008 v3_MMF Income" xfId="33078" xr:uid="{00000000-0005-0000-0000-00003E810000}"/>
    <cellStyle name="t_AIF VI Broadleaf Watefall Summary as of 6-30-09 FINAL" xfId="33079" xr:uid="{00000000-0005-0000-0000-00003F810000}"/>
    <cellStyle name="t_AIF VI Broadleaf Watefall Summary as of 9-30-09" xfId="33080" xr:uid="{00000000-0005-0000-0000-000040810000}"/>
    <cellStyle name="t_AIF VI CBA 3.20.08" xfId="33081" xr:uid="{00000000-0005-0000-0000-000041810000}"/>
    <cellStyle name="t_AIF VI CBA 3.20.08 2" xfId="33082" xr:uid="{00000000-0005-0000-0000-000042810000}"/>
    <cellStyle name="t_AIF VI CBA 3.20.08 3" xfId="33083" xr:uid="{00000000-0005-0000-0000-000043810000}"/>
    <cellStyle name="t_AIF VI CBA 3.20.08_AIF VI - BondcoVI_Entities Invested Capital (CURRENT)" xfId="33084" xr:uid="{00000000-0005-0000-0000-000044810000}"/>
    <cellStyle name="t_AIF VI CBA 3.20.08_IC Balance" xfId="33085" xr:uid="{00000000-0005-0000-0000-000045810000}"/>
    <cellStyle name="t_AIF VI CBA 3.20.08_MMF Income" xfId="33086" xr:uid="{00000000-0005-0000-0000-000046810000}"/>
    <cellStyle name="t_AIF VII Capital Balance Analysis INCEPTION to 09-30-08 on 10-13-08 8am" xfId="33087" xr:uid="{00000000-0005-0000-0000-000047810000}"/>
    <cellStyle name="t_AIF VII Capital Balance Analysis INCEPTION to 09-30-08 on 10-13-08 8am 2" xfId="33088" xr:uid="{00000000-0005-0000-0000-000048810000}"/>
    <cellStyle name="t_Andy Affrick - Schedulev2" xfId="33089" xr:uid="{00000000-0005-0000-0000-000049810000}"/>
    <cellStyle name="t_Apollo Advisors IV 12-31-08 GAAP TB Final" xfId="33090" xr:uid="{00000000-0005-0000-0000-00004A810000}"/>
    <cellStyle name="t_Apollo Advisors IV 12-31-08 TB (Revised for Aggr PR)" xfId="33091" xr:uid="{00000000-0005-0000-0000-00004B810000}"/>
    <cellStyle name="t_Apollo Advisors IV 6-30-09 GAAP TB" xfId="33092" xr:uid="{00000000-0005-0000-0000-00004C810000}"/>
    <cellStyle name="t_Apollo Due from -Due to as of 12-31-07 (D) revised" xfId="33093" xr:uid="{00000000-0005-0000-0000-00004D810000}"/>
    <cellStyle name="t_Apollo Due from -Due to as of 12-31-07 (D) revised 10" xfId="33094" xr:uid="{00000000-0005-0000-0000-00004E810000}"/>
    <cellStyle name="t_Apollo Due from -Due to as of 12-31-07 (D) revised 11" xfId="33095" xr:uid="{00000000-0005-0000-0000-00004F810000}"/>
    <cellStyle name="t_Apollo Due from -Due to as of 12-31-07 (D) revised 12" xfId="33096" xr:uid="{00000000-0005-0000-0000-000050810000}"/>
    <cellStyle name="t_Apollo Due from -Due to as of 12-31-07 (D) revised 13" xfId="33097" xr:uid="{00000000-0005-0000-0000-000051810000}"/>
    <cellStyle name="t_Apollo Due from -Due to as of 12-31-07 (D) revised 14" xfId="33098" xr:uid="{00000000-0005-0000-0000-000052810000}"/>
    <cellStyle name="t_Apollo Due from -Due to as of 12-31-07 (D) revised 15" xfId="33099" xr:uid="{00000000-0005-0000-0000-000053810000}"/>
    <cellStyle name="t_Apollo Due from -Due to as of 12-31-07 (D) revised 16" xfId="33100" xr:uid="{00000000-0005-0000-0000-000054810000}"/>
    <cellStyle name="t_Apollo Due from -Due to as of 12-31-07 (D) revised 17" xfId="33101" xr:uid="{00000000-0005-0000-0000-000055810000}"/>
    <cellStyle name="t_Apollo Due from -Due to as of 12-31-07 (D) revised 18" xfId="33102" xr:uid="{00000000-0005-0000-0000-000056810000}"/>
    <cellStyle name="t_Apollo Due from -Due to as of 12-31-07 (D) revised 19" xfId="33103" xr:uid="{00000000-0005-0000-0000-000057810000}"/>
    <cellStyle name="t_Apollo Due from -Due to as of 12-31-07 (D) revised 2" xfId="33104" xr:uid="{00000000-0005-0000-0000-000058810000}"/>
    <cellStyle name="t_Apollo Due from -Due to as of 12-31-07 (D) revised 2 2" xfId="33105" xr:uid="{00000000-0005-0000-0000-000059810000}"/>
    <cellStyle name="t_Apollo Due from -Due to as of 12-31-07 (D) revised 20" xfId="33106" xr:uid="{00000000-0005-0000-0000-00005A810000}"/>
    <cellStyle name="t_Apollo Due from -Due to as of 12-31-07 (D) revised 21" xfId="33107" xr:uid="{00000000-0005-0000-0000-00005B810000}"/>
    <cellStyle name="t_Apollo Due from -Due to as of 12-31-07 (D) revised 22" xfId="33108" xr:uid="{00000000-0005-0000-0000-00005C810000}"/>
    <cellStyle name="t_Apollo Due from -Due to as of 12-31-07 (D) revised 23" xfId="33109" xr:uid="{00000000-0005-0000-0000-00005D810000}"/>
    <cellStyle name="t_Apollo Due from -Due to as of 12-31-07 (D) revised 3" xfId="33110" xr:uid="{00000000-0005-0000-0000-00005E810000}"/>
    <cellStyle name="t_Apollo Due from -Due to as of 12-31-07 (D) revised 3 2" xfId="33111" xr:uid="{00000000-0005-0000-0000-00005F810000}"/>
    <cellStyle name="t_Apollo Due from -Due to as of 12-31-07 (D) revised 4" xfId="33112" xr:uid="{00000000-0005-0000-0000-000060810000}"/>
    <cellStyle name="t_Apollo Due from -Due to as of 12-31-07 (D) revised 5" xfId="33113" xr:uid="{00000000-0005-0000-0000-000061810000}"/>
    <cellStyle name="t_Apollo Due from -Due to as of 12-31-07 (D) revised 6" xfId="33114" xr:uid="{00000000-0005-0000-0000-000062810000}"/>
    <cellStyle name="t_Apollo Due from -Due to as of 12-31-07 (D) revised 7" xfId="33115" xr:uid="{00000000-0005-0000-0000-000063810000}"/>
    <cellStyle name="t_Apollo Due from -Due to as of 12-31-07 (D) revised 8" xfId="33116" xr:uid="{00000000-0005-0000-0000-000064810000}"/>
    <cellStyle name="t_Apollo Due from -Due to as of 12-31-07 (D) revised 9" xfId="33117" xr:uid="{00000000-0005-0000-0000-000065810000}"/>
    <cellStyle name="t_Apollo Due from -Due to as of 12-31-07 (D) revised_AIF VI - BondcoVI_Entities Invested Capital (CURRENT)" xfId="33118" xr:uid="{00000000-0005-0000-0000-000066810000}"/>
    <cellStyle name="t_Apollo Due from -Due to as of 12-31-07 (D) revised_AIF VI Broadleaf Watefall Summary as of 6-30-09 FINAL" xfId="33119" xr:uid="{00000000-0005-0000-0000-000067810000}"/>
    <cellStyle name="t_Apollo Due from -Due to as of 12-31-07 (D) revised_AIF VI Broadleaf Watefall Summary as of 9-30-09" xfId="33120" xr:uid="{00000000-0005-0000-0000-000068810000}"/>
    <cellStyle name="t_Apollo Due from -Due to as of 12-31-07 (D) revised_Broadleaf Watefall 12-31-09" xfId="33121" xr:uid="{00000000-0005-0000-0000-000069810000}"/>
    <cellStyle name="t_Apollo Due from -Due to as of 12-31-07 (D) revised_Broadleaf Watefall 6-30-09" xfId="33122" xr:uid="{00000000-0005-0000-0000-00006A810000}"/>
    <cellStyle name="t_Apollo Due from -Due to as of 12-31-07 (D) revised_Broadleaf Watefall 9-30-09" xfId="33123" xr:uid="{00000000-0005-0000-0000-00006B810000}"/>
    <cellStyle name="t_Apollo Due from -Due to as of 12-31-07 (D) revised_IC Balance" xfId="33124" xr:uid="{00000000-0005-0000-0000-00006C810000}"/>
    <cellStyle name="t_Apollo Due from -Due to as of 12-31-07 (D) revised_Invested Capital Debt Worksheet" xfId="33125" xr:uid="{00000000-0005-0000-0000-00006D810000}"/>
    <cellStyle name="t_Apollo Due from -Due to as of 12-31-07 (D) revised_MMF Income" xfId="33126" xr:uid="{00000000-0005-0000-0000-00006E810000}"/>
    <cellStyle name="t_Apollo Investment Fund IV  April Priority Return" xfId="33127" xr:uid="{00000000-0005-0000-0000-00006F810000}"/>
    <cellStyle name="t_Apollo Investment Fund IV  Q1 2009 Capital Analysis 5-22-09 with GAAP" xfId="33128" xr:uid="{00000000-0005-0000-0000-000070810000}"/>
    <cellStyle name="t_Apollo Investment Fund IV  Q1 2009 Capital Analysis GAAP" xfId="33129" xr:uid="{00000000-0005-0000-0000-000071810000}"/>
    <cellStyle name="t_Apollo Investment Fund IV  Q2 2009 Capital Analysis CURRENT" xfId="33130" xr:uid="{00000000-0005-0000-0000-000072810000}"/>
    <cellStyle name="t_Apollo Investment Fund IV  Q3 2009 Capital Analysis CURRENT" xfId="33131" xr:uid="{00000000-0005-0000-0000-000073810000}"/>
    <cellStyle name="t_Apollo Investment Fund IV  Q3 2009 Capital Analysis iPCS &amp; URI Distribution" xfId="33132" xr:uid="{00000000-0005-0000-0000-000074810000}"/>
    <cellStyle name="t_Apollo Investment Fund IV Q1 2009 Capital Analysis PR CORRECTED 6-30-09" xfId="33133" xr:uid="{00000000-0005-0000-0000-000075810000}"/>
    <cellStyle name="t_Apollo Operating Group Control Schedule ver 2" xfId="33134" xr:uid="{00000000-0005-0000-0000-000076810000}"/>
    <cellStyle name="t_Broadleaf Watefall 12-31-09" xfId="33135" xr:uid="{00000000-0005-0000-0000-000077810000}"/>
    <cellStyle name="t_Broadleaf Watefall 6-30-09" xfId="33136" xr:uid="{00000000-0005-0000-0000-000078810000}"/>
    <cellStyle name="t_Broadleaf Watefall 9-30-09" xfId="33137" xr:uid="{00000000-0005-0000-0000-000079810000}"/>
    <cellStyle name="t_CALCS" xfId="33138" xr:uid="{00000000-0005-0000-0000-00007A810000}"/>
    <cellStyle name="t_CALCS 10" xfId="33139" xr:uid="{00000000-0005-0000-0000-00007B810000}"/>
    <cellStyle name="t_CALCS 11" xfId="33140" xr:uid="{00000000-0005-0000-0000-00007C810000}"/>
    <cellStyle name="t_CALCS 12" xfId="33141" xr:uid="{00000000-0005-0000-0000-00007D810000}"/>
    <cellStyle name="t_CALCS 13" xfId="33142" xr:uid="{00000000-0005-0000-0000-00007E810000}"/>
    <cellStyle name="t_CALCS 14" xfId="33143" xr:uid="{00000000-0005-0000-0000-00007F810000}"/>
    <cellStyle name="t_CALCS 15" xfId="33144" xr:uid="{00000000-0005-0000-0000-000080810000}"/>
    <cellStyle name="t_CALCS 16" xfId="33145" xr:uid="{00000000-0005-0000-0000-000081810000}"/>
    <cellStyle name="t_CALCS 17" xfId="33146" xr:uid="{00000000-0005-0000-0000-000082810000}"/>
    <cellStyle name="t_CALCS 18" xfId="33147" xr:uid="{00000000-0005-0000-0000-000083810000}"/>
    <cellStyle name="t_CALCS 19" xfId="33148" xr:uid="{00000000-0005-0000-0000-000084810000}"/>
    <cellStyle name="t_CALCS 2" xfId="33149" xr:uid="{00000000-0005-0000-0000-000085810000}"/>
    <cellStyle name="t_CALCS 20" xfId="33150" xr:uid="{00000000-0005-0000-0000-000086810000}"/>
    <cellStyle name="t_CALCS 21" xfId="33151" xr:uid="{00000000-0005-0000-0000-000087810000}"/>
    <cellStyle name="t_CALCS 3" xfId="33152" xr:uid="{00000000-0005-0000-0000-000088810000}"/>
    <cellStyle name="t_CALCS 4" xfId="33153" xr:uid="{00000000-0005-0000-0000-000089810000}"/>
    <cellStyle name="t_CALCS 5" xfId="33154" xr:uid="{00000000-0005-0000-0000-00008A810000}"/>
    <cellStyle name="t_CALCS 6" xfId="33155" xr:uid="{00000000-0005-0000-0000-00008B810000}"/>
    <cellStyle name="t_CALCS 7" xfId="33156" xr:uid="{00000000-0005-0000-0000-00008C810000}"/>
    <cellStyle name="t_CALCS 8" xfId="33157" xr:uid="{00000000-0005-0000-0000-00008D810000}"/>
    <cellStyle name="t_CALCS 9" xfId="33158" xr:uid="{00000000-0005-0000-0000-00008E810000}"/>
    <cellStyle name="t_CALCS_Broadleaf Watefall 9-30-09" xfId="33159" xr:uid="{00000000-0005-0000-0000-00008F810000}"/>
    <cellStyle name="t_CALCS_Invested Capital Debt Worksheet" xfId="33160" xr:uid="{00000000-0005-0000-0000-000090810000}"/>
    <cellStyle name="t_Carry Calculation" xfId="33161" xr:uid="{00000000-0005-0000-0000-000091810000}"/>
    <cellStyle name="t_Domestic FS 12-31-08 v3-20-09" xfId="33162" xr:uid="{00000000-0005-0000-0000-000092810000}"/>
    <cellStyle name="t_Fund IV" xfId="33163" xr:uid="{00000000-0005-0000-0000-000093810000}"/>
    <cellStyle name="t_Fund IV 9.30.08" xfId="33164" xr:uid="{00000000-0005-0000-0000-000094810000}"/>
    <cellStyle name="t_Fund IV_1" xfId="33165" xr:uid="{00000000-0005-0000-0000-000095810000}"/>
    <cellStyle name="t_Funds IV Clawback Adjustment Summary" xfId="33166" xr:uid="{00000000-0005-0000-0000-000096810000}"/>
    <cellStyle name="t_Funds IV Clawback Value Adjustment" xfId="33167" xr:uid="{00000000-0005-0000-0000-000097810000}"/>
    <cellStyle name="t_Hexicon Adj" xfId="33168" xr:uid="{00000000-0005-0000-0000-000098810000}"/>
    <cellStyle name="t_IC Balance" xfId="33169" xr:uid="{00000000-0005-0000-0000-000099810000}"/>
    <cellStyle name="t_Inv Cap Roll" xfId="33170" xr:uid="{00000000-0005-0000-0000-00009A810000}"/>
    <cellStyle name="t_Inv Cap Roll 2" xfId="33171" xr:uid="{00000000-0005-0000-0000-00009B810000}"/>
    <cellStyle name="t_Inv Cap Roll 2 2" xfId="33172" xr:uid="{00000000-0005-0000-0000-00009C810000}"/>
    <cellStyle name="t_Inv Cap Roll 3" xfId="33173" xr:uid="{00000000-0005-0000-0000-00009D810000}"/>
    <cellStyle name="t_Inv Cap Roll_AIF VI - BondcoVI_Entities Invested Capital (CURRENT)" xfId="33174" xr:uid="{00000000-0005-0000-0000-00009E810000}"/>
    <cellStyle name="t_Inv Cap Roll_IC Balance" xfId="33175" xr:uid="{00000000-0005-0000-0000-00009F810000}"/>
    <cellStyle name="t_Inv Cap Roll_MMF Income" xfId="33176" xr:uid="{00000000-0005-0000-0000-0000A0810000}"/>
    <cellStyle name="t_Invested Capital Debt Worksheet" xfId="33177" xr:uid="{00000000-0005-0000-0000-0000A1810000}"/>
    <cellStyle name="t_Invested Capital Debt Worksheet_1" xfId="33178" xr:uid="{00000000-0005-0000-0000-0000A2810000}"/>
    <cellStyle name="t_iPCs#1-Remaining" xfId="33179" xr:uid="{00000000-0005-0000-0000-0000A3810000}"/>
    <cellStyle name="t_MMF Income" xfId="33180" xr:uid="{00000000-0005-0000-0000-0000A4810000}"/>
    <cellStyle name="t_Partners Capital Q1 2009" xfId="33181" xr:uid="{00000000-0005-0000-0000-0000A5810000}"/>
    <cellStyle name="t_PF Model 8.2 v2" xfId="33182" xr:uid="{00000000-0005-0000-0000-0000A6810000}"/>
    <cellStyle name="t_PF Model 8.2 v2 10" xfId="33183" xr:uid="{00000000-0005-0000-0000-0000A7810000}"/>
    <cellStyle name="t_PF Model 8.2 v2 11" xfId="33184" xr:uid="{00000000-0005-0000-0000-0000A8810000}"/>
    <cellStyle name="t_PF Model 8.2 v2 12" xfId="33185" xr:uid="{00000000-0005-0000-0000-0000A9810000}"/>
    <cellStyle name="t_PF Model 8.2 v2 13" xfId="33186" xr:uid="{00000000-0005-0000-0000-0000AA810000}"/>
    <cellStyle name="t_PF Model 8.2 v2 14" xfId="33187" xr:uid="{00000000-0005-0000-0000-0000AB810000}"/>
    <cellStyle name="t_PF Model 8.2 v2 15" xfId="33188" xr:uid="{00000000-0005-0000-0000-0000AC810000}"/>
    <cellStyle name="t_PF Model 8.2 v2 16" xfId="33189" xr:uid="{00000000-0005-0000-0000-0000AD810000}"/>
    <cellStyle name="t_PF Model 8.2 v2 17" xfId="33190" xr:uid="{00000000-0005-0000-0000-0000AE810000}"/>
    <cellStyle name="t_PF Model 8.2 v2 18" xfId="33191" xr:uid="{00000000-0005-0000-0000-0000AF810000}"/>
    <cellStyle name="t_PF Model 8.2 v2 19" xfId="33192" xr:uid="{00000000-0005-0000-0000-0000B0810000}"/>
    <cellStyle name="t_PF Model 8.2 v2 2" xfId="33193" xr:uid="{00000000-0005-0000-0000-0000B1810000}"/>
    <cellStyle name="t_PF Model 8.2 v2 2 2" xfId="33194" xr:uid="{00000000-0005-0000-0000-0000B2810000}"/>
    <cellStyle name="t_PF Model 8.2 v2 20" xfId="33195" xr:uid="{00000000-0005-0000-0000-0000B3810000}"/>
    <cellStyle name="t_PF Model 8.2 v2 21" xfId="33196" xr:uid="{00000000-0005-0000-0000-0000B4810000}"/>
    <cellStyle name="t_PF Model 8.2 v2 22" xfId="33197" xr:uid="{00000000-0005-0000-0000-0000B5810000}"/>
    <cellStyle name="t_PF Model 8.2 v2 23" xfId="33198" xr:uid="{00000000-0005-0000-0000-0000B6810000}"/>
    <cellStyle name="t_PF Model 8.2 v2 23 2" xfId="33199" xr:uid="{00000000-0005-0000-0000-0000B7810000}"/>
    <cellStyle name="t_PF Model 8.2 v2 3" xfId="33200" xr:uid="{00000000-0005-0000-0000-0000B8810000}"/>
    <cellStyle name="t_PF Model 8.2 v2 3 2" xfId="33201" xr:uid="{00000000-0005-0000-0000-0000B9810000}"/>
    <cellStyle name="t_PF Model 8.2 v2 4" xfId="33202" xr:uid="{00000000-0005-0000-0000-0000BA810000}"/>
    <cellStyle name="t_PF Model 8.2 v2 5" xfId="33203" xr:uid="{00000000-0005-0000-0000-0000BB810000}"/>
    <cellStyle name="t_PF Model 8.2 v2 6" xfId="33204" xr:uid="{00000000-0005-0000-0000-0000BC810000}"/>
    <cellStyle name="t_PF Model 8.2 v2 7" xfId="33205" xr:uid="{00000000-0005-0000-0000-0000BD810000}"/>
    <cellStyle name="t_PF Model 8.2 v2 8" xfId="33206" xr:uid="{00000000-0005-0000-0000-0000BE810000}"/>
    <cellStyle name="t_PF Model 8.2 v2 9" xfId="33207" xr:uid="{00000000-0005-0000-0000-0000BF810000}"/>
    <cellStyle name="t_PF Model 8.2 v2_AIF VI - BondcoVI_Entities Invested Capital (CURRENT)" xfId="33208" xr:uid="{00000000-0005-0000-0000-0000C0810000}"/>
    <cellStyle name="t_PF Model 8.2 v2_AIF VI Broadleaf Watefall Summary as of 6-30-09 FINAL" xfId="33209" xr:uid="{00000000-0005-0000-0000-0000C1810000}"/>
    <cellStyle name="t_PF Model 8.2 v2_AIF VI Broadleaf Watefall Summary as of 9-30-09" xfId="33210" xr:uid="{00000000-0005-0000-0000-0000C2810000}"/>
    <cellStyle name="t_PF Model 8.2 v2_Broadleaf Watefall 12-31-09" xfId="33211" xr:uid="{00000000-0005-0000-0000-0000C3810000}"/>
    <cellStyle name="t_PF Model 8.2 v2_Broadleaf Watefall 6-30-09" xfId="33212" xr:uid="{00000000-0005-0000-0000-0000C4810000}"/>
    <cellStyle name="t_PF Model 8.2 v2_Broadleaf Watefall 9-30-09" xfId="33213" xr:uid="{00000000-0005-0000-0000-0000C5810000}"/>
    <cellStyle name="t_PF Model 8.2 v2_IC Balance" xfId="33214" xr:uid="{00000000-0005-0000-0000-0000C6810000}"/>
    <cellStyle name="t_PF Model 8.2 v2_Invested Capital Debt Worksheet" xfId="33215" xr:uid="{00000000-0005-0000-0000-0000C7810000}"/>
    <cellStyle name="t_PF Model 8.2 v2_MMF Income" xfId="33216" xr:uid="{00000000-0005-0000-0000-0000C8810000}"/>
    <cellStyle name="t_PR Calc" xfId="33217" xr:uid="{00000000-0005-0000-0000-0000C9810000}"/>
    <cellStyle name="t_Priority Return" xfId="33218" xr:uid="{00000000-0005-0000-0000-0000CA810000}"/>
    <cellStyle name="t_Priority Return 10" xfId="33219" xr:uid="{00000000-0005-0000-0000-0000CB810000}"/>
    <cellStyle name="t_Priority Return 11" xfId="33220" xr:uid="{00000000-0005-0000-0000-0000CC810000}"/>
    <cellStyle name="t_Priority Return 12" xfId="33221" xr:uid="{00000000-0005-0000-0000-0000CD810000}"/>
    <cellStyle name="t_Priority Return 13" xfId="33222" xr:uid="{00000000-0005-0000-0000-0000CE810000}"/>
    <cellStyle name="t_Priority Return 14" xfId="33223" xr:uid="{00000000-0005-0000-0000-0000CF810000}"/>
    <cellStyle name="t_Priority Return 15" xfId="33224" xr:uid="{00000000-0005-0000-0000-0000D0810000}"/>
    <cellStyle name="t_Priority Return 16" xfId="33225" xr:uid="{00000000-0005-0000-0000-0000D1810000}"/>
    <cellStyle name="t_Priority Return 17" xfId="33226" xr:uid="{00000000-0005-0000-0000-0000D2810000}"/>
    <cellStyle name="t_Priority Return 18" xfId="33227" xr:uid="{00000000-0005-0000-0000-0000D3810000}"/>
    <cellStyle name="t_Priority Return 19" xfId="33228" xr:uid="{00000000-0005-0000-0000-0000D4810000}"/>
    <cellStyle name="t_Priority Return 2" xfId="33229" xr:uid="{00000000-0005-0000-0000-0000D5810000}"/>
    <cellStyle name="t_Priority Return 20" xfId="33230" xr:uid="{00000000-0005-0000-0000-0000D6810000}"/>
    <cellStyle name="t_Priority Return 21" xfId="33231" xr:uid="{00000000-0005-0000-0000-0000D7810000}"/>
    <cellStyle name="t_Priority Return 3" xfId="33232" xr:uid="{00000000-0005-0000-0000-0000D8810000}"/>
    <cellStyle name="t_Priority Return 4" xfId="33233" xr:uid="{00000000-0005-0000-0000-0000D9810000}"/>
    <cellStyle name="t_Priority Return 5" xfId="33234" xr:uid="{00000000-0005-0000-0000-0000DA810000}"/>
    <cellStyle name="t_Priority Return 6" xfId="33235" xr:uid="{00000000-0005-0000-0000-0000DB810000}"/>
    <cellStyle name="t_Priority Return 7" xfId="33236" xr:uid="{00000000-0005-0000-0000-0000DC810000}"/>
    <cellStyle name="t_Priority Return 8" xfId="33237" xr:uid="{00000000-0005-0000-0000-0000DD810000}"/>
    <cellStyle name="t_Priority Return 9" xfId="33238" xr:uid="{00000000-0005-0000-0000-0000DE810000}"/>
    <cellStyle name="t_Priority Return_Broadleaf Watefall 9-30-09" xfId="33239" xr:uid="{00000000-0005-0000-0000-0000DF810000}"/>
    <cellStyle name="t_Priority Return_Invested Capital Debt Worksheet" xfId="33240" xr:uid="{00000000-0005-0000-0000-0000E0810000}"/>
    <cellStyle name="t_RCIV Q3 2009 Capital Analysis CURRENT" xfId="33241" xr:uid="{00000000-0005-0000-0000-0000E1810000}"/>
    <cellStyle name="t_Sheet1" xfId="33242" xr:uid="{00000000-0005-0000-0000-0000E2810000}"/>
    <cellStyle name="t_Sheet1 10" xfId="33243" xr:uid="{00000000-0005-0000-0000-0000E3810000}"/>
    <cellStyle name="t_Sheet1 11" xfId="33244" xr:uid="{00000000-0005-0000-0000-0000E4810000}"/>
    <cellStyle name="t_Sheet1 12" xfId="33245" xr:uid="{00000000-0005-0000-0000-0000E5810000}"/>
    <cellStyle name="t_Sheet1 13" xfId="33246" xr:uid="{00000000-0005-0000-0000-0000E6810000}"/>
    <cellStyle name="t_Sheet1 14" xfId="33247" xr:uid="{00000000-0005-0000-0000-0000E7810000}"/>
    <cellStyle name="t_Sheet1 15" xfId="33248" xr:uid="{00000000-0005-0000-0000-0000E8810000}"/>
    <cellStyle name="t_Sheet1 16" xfId="33249" xr:uid="{00000000-0005-0000-0000-0000E9810000}"/>
    <cellStyle name="t_Sheet1 17" xfId="33250" xr:uid="{00000000-0005-0000-0000-0000EA810000}"/>
    <cellStyle name="t_Sheet1 18" xfId="33251" xr:uid="{00000000-0005-0000-0000-0000EB810000}"/>
    <cellStyle name="t_Sheet1 19" xfId="33252" xr:uid="{00000000-0005-0000-0000-0000EC810000}"/>
    <cellStyle name="t_Sheet1 2" xfId="33253" xr:uid="{00000000-0005-0000-0000-0000ED810000}"/>
    <cellStyle name="t_Sheet1 20" xfId="33254" xr:uid="{00000000-0005-0000-0000-0000EE810000}"/>
    <cellStyle name="t_Sheet1 21" xfId="33255" xr:uid="{00000000-0005-0000-0000-0000EF810000}"/>
    <cellStyle name="t_Sheet1 3" xfId="33256" xr:uid="{00000000-0005-0000-0000-0000F0810000}"/>
    <cellStyle name="t_Sheet1 4" xfId="33257" xr:uid="{00000000-0005-0000-0000-0000F1810000}"/>
    <cellStyle name="t_Sheet1 5" xfId="33258" xr:uid="{00000000-0005-0000-0000-0000F2810000}"/>
    <cellStyle name="t_Sheet1 6" xfId="33259" xr:uid="{00000000-0005-0000-0000-0000F3810000}"/>
    <cellStyle name="t_Sheet1 7" xfId="33260" xr:uid="{00000000-0005-0000-0000-0000F4810000}"/>
    <cellStyle name="t_Sheet1 8" xfId="33261" xr:uid="{00000000-0005-0000-0000-0000F5810000}"/>
    <cellStyle name="t_Sheet1 9" xfId="33262" xr:uid="{00000000-0005-0000-0000-0000F6810000}"/>
    <cellStyle name="t_Sheet1_Broadleaf Watefall 9-30-09" xfId="33263" xr:uid="{00000000-0005-0000-0000-0000F7810000}"/>
    <cellStyle name="t_Sheet1_Invested Capital Debt Worksheet" xfId="33264" xr:uid="{00000000-0005-0000-0000-0000F8810000}"/>
    <cellStyle name="t_Sheet2" xfId="33265" xr:uid="{00000000-0005-0000-0000-0000F9810000}"/>
    <cellStyle name="t_Sheet2 10" xfId="33266" xr:uid="{00000000-0005-0000-0000-0000FA810000}"/>
    <cellStyle name="t_Sheet2 11" xfId="33267" xr:uid="{00000000-0005-0000-0000-0000FB810000}"/>
    <cellStyle name="t_Sheet2 12" xfId="33268" xr:uid="{00000000-0005-0000-0000-0000FC810000}"/>
    <cellStyle name="t_Sheet2 13" xfId="33269" xr:uid="{00000000-0005-0000-0000-0000FD810000}"/>
    <cellStyle name="t_Sheet2 14" xfId="33270" xr:uid="{00000000-0005-0000-0000-0000FE810000}"/>
    <cellStyle name="t_Sheet2 15" xfId="33271" xr:uid="{00000000-0005-0000-0000-0000FF810000}"/>
    <cellStyle name="t_Sheet2 16" xfId="33272" xr:uid="{00000000-0005-0000-0000-000000820000}"/>
    <cellStyle name="t_Sheet2 17" xfId="33273" xr:uid="{00000000-0005-0000-0000-000001820000}"/>
    <cellStyle name="t_Sheet2 18" xfId="33274" xr:uid="{00000000-0005-0000-0000-000002820000}"/>
    <cellStyle name="t_Sheet2 19" xfId="33275" xr:uid="{00000000-0005-0000-0000-000003820000}"/>
    <cellStyle name="t_Sheet2 2" xfId="33276" xr:uid="{00000000-0005-0000-0000-000004820000}"/>
    <cellStyle name="t_Sheet2 20" xfId="33277" xr:uid="{00000000-0005-0000-0000-000005820000}"/>
    <cellStyle name="t_Sheet2 21" xfId="33278" xr:uid="{00000000-0005-0000-0000-000006820000}"/>
    <cellStyle name="t_Sheet2 3" xfId="33279" xr:uid="{00000000-0005-0000-0000-000007820000}"/>
    <cellStyle name="t_Sheet2 4" xfId="33280" xr:uid="{00000000-0005-0000-0000-000008820000}"/>
    <cellStyle name="t_Sheet2 5" xfId="33281" xr:uid="{00000000-0005-0000-0000-000009820000}"/>
    <cellStyle name="t_Sheet2 6" xfId="33282" xr:uid="{00000000-0005-0000-0000-00000A820000}"/>
    <cellStyle name="t_Sheet2 7" xfId="33283" xr:uid="{00000000-0005-0000-0000-00000B820000}"/>
    <cellStyle name="t_Sheet2 8" xfId="33284" xr:uid="{00000000-0005-0000-0000-00000C820000}"/>
    <cellStyle name="t_Sheet2 9" xfId="33285" xr:uid="{00000000-0005-0000-0000-00000D820000}"/>
    <cellStyle name="t_Sheet2_Broadleaf Watefall 9-30-09" xfId="33286" xr:uid="{00000000-0005-0000-0000-00000E820000}"/>
    <cellStyle name="t_Sheet2_Invested Capital Debt Worksheet" xfId="33287" xr:uid="{00000000-0005-0000-0000-00000F820000}"/>
    <cellStyle name="t_Sheet3" xfId="33288" xr:uid="{00000000-0005-0000-0000-000010820000}"/>
    <cellStyle name="t_Sheet3 2" xfId="33289" xr:uid="{00000000-0005-0000-0000-000011820000}"/>
    <cellStyle name="t_Sheet3 2 2" xfId="33290" xr:uid="{00000000-0005-0000-0000-000012820000}"/>
    <cellStyle name="t_Sheet3 3" xfId="33291" xr:uid="{00000000-0005-0000-0000-000013820000}"/>
    <cellStyle name="t_Sheet3_AIF VI - BondcoVI_Entities Invested Capital (CURRENT)" xfId="33292" xr:uid="{00000000-0005-0000-0000-000014820000}"/>
    <cellStyle name="t_Sheet3_IC Balance" xfId="33293" xr:uid="{00000000-0005-0000-0000-000015820000}"/>
    <cellStyle name="t_Sheet3_MMF Income" xfId="33294" xr:uid="{00000000-0005-0000-0000-000016820000}"/>
    <cellStyle name="t_Summary" xfId="33295" xr:uid="{00000000-0005-0000-0000-000017820000}"/>
    <cellStyle name="t_Summary 2" xfId="33296" xr:uid="{00000000-0005-0000-0000-000018820000}"/>
    <cellStyle name="t_Summary 2 2" xfId="33297" xr:uid="{00000000-0005-0000-0000-000019820000}"/>
    <cellStyle name="t_Summary 3" xfId="33298" xr:uid="{00000000-0005-0000-0000-00001A820000}"/>
    <cellStyle name="t_Summary_AIF VI - BondcoVI_Entities Invested Capital (CURRENT)" xfId="33299" xr:uid="{00000000-0005-0000-0000-00001B820000}"/>
    <cellStyle name="t_Summary_IC Balance" xfId="33300" xr:uid="{00000000-0005-0000-0000-00001C820000}"/>
    <cellStyle name="t_Summary_MMF Income" xfId="33301" xr:uid="{00000000-0005-0000-0000-00001D820000}"/>
    <cellStyle name="t1" xfId="33302" xr:uid="{00000000-0005-0000-0000-00001E820000}"/>
    <cellStyle name="t1 10" xfId="33303" xr:uid="{00000000-0005-0000-0000-00001F820000}"/>
    <cellStyle name="t1 11" xfId="33304" xr:uid="{00000000-0005-0000-0000-000020820000}"/>
    <cellStyle name="t1 12" xfId="33305" xr:uid="{00000000-0005-0000-0000-000021820000}"/>
    <cellStyle name="t1 13" xfId="33306" xr:uid="{00000000-0005-0000-0000-000022820000}"/>
    <cellStyle name="t1 14" xfId="33307" xr:uid="{00000000-0005-0000-0000-000023820000}"/>
    <cellStyle name="t1 15" xfId="33308" xr:uid="{00000000-0005-0000-0000-000024820000}"/>
    <cellStyle name="t1 16" xfId="33309" xr:uid="{00000000-0005-0000-0000-000025820000}"/>
    <cellStyle name="t1 17" xfId="33310" xr:uid="{00000000-0005-0000-0000-000026820000}"/>
    <cellStyle name="t1 18" xfId="33311" xr:uid="{00000000-0005-0000-0000-000027820000}"/>
    <cellStyle name="t1 19" xfId="33312" xr:uid="{00000000-0005-0000-0000-000028820000}"/>
    <cellStyle name="t1 2" xfId="33313" xr:uid="{00000000-0005-0000-0000-000029820000}"/>
    <cellStyle name="t1 2 2" xfId="33314" xr:uid="{00000000-0005-0000-0000-00002A820000}"/>
    <cellStyle name="t1 20" xfId="33315" xr:uid="{00000000-0005-0000-0000-00002B820000}"/>
    <cellStyle name="t1 21" xfId="33316" xr:uid="{00000000-0005-0000-0000-00002C820000}"/>
    <cellStyle name="t1 22" xfId="33317" xr:uid="{00000000-0005-0000-0000-00002D820000}"/>
    <cellStyle name="t1 23" xfId="33318" xr:uid="{00000000-0005-0000-0000-00002E820000}"/>
    <cellStyle name="t1 23 2" xfId="33319" xr:uid="{00000000-0005-0000-0000-00002F820000}"/>
    <cellStyle name="t1 3" xfId="33320" xr:uid="{00000000-0005-0000-0000-000030820000}"/>
    <cellStyle name="t1 3 2" xfId="33321" xr:uid="{00000000-0005-0000-0000-000031820000}"/>
    <cellStyle name="t1 4" xfId="33322" xr:uid="{00000000-0005-0000-0000-000032820000}"/>
    <cellStyle name="t1 5" xfId="33323" xr:uid="{00000000-0005-0000-0000-000033820000}"/>
    <cellStyle name="t1 6" xfId="33324" xr:uid="{00000000-0005-0000-0000-000034820000}"/>
    <cellStyle name="t1 7" xfId="33325" xr:uid="{00000000-0005-0000-0000-000035820000}"/>
    <cellStyle name="t1 8" xfId="33326" xr:uid="{00000000-0005-0000-0000-000036820000}"/>
    <cellStyle name="t1 9" xfId="33327" xr:uid="{00000000-0005-0000-0000-000037820000}"/>
    <cellStyle name="Table Col Head" xfId="33328" xr:uid="{00000000-0005-0000-0000-000038820000}"/>
    <cellStyle name="Table Col Head 10" xfId="33329" xr:uid="{00000000-0005-0000-0000-000039820000}"/>
    <cellStyle name="Table Col Head 11" xfId="33330" xr:uid="{00000000-0005-0000-0000-00003A820000}"/>
    <cellStyle name="Table Col Head 12" xfId="33331" xr:uid="{00000000-0005-0000-0000-00003B820000}"/>
    <cellStyle name="Table Col Head 13" xfId="33332" xr:uid="{00000000-0005-0000-0000-00003C820000}"/>
    <cellStyle name="Table Col Head 14" xfId="33333" xr:uid="{00000000-0005-0000-0000-00003D820000}"/>
    <cellStyle name="Table Col Head 15" xfId="33334" xr:uid="{00000000-0005-0000-0000-00003E820000}"/>
    <cellStyle name="Table Col Head 16" xfId="33335" xr:uid="{00000000-0005-0000-0000-00003F820000}"/>
    <cellStyle name="Table Col Head 17" xfId="33336" xr:uid="{00000000-0005-0000-0000-000040820000}"/>
    <cellStyle name="Table Col Head 18" xfId="33337" xr:uid="{00000000-0005-0000-0000-000041820000}"/>
    <cellStyle name="Table Col Head 19" xfId="33338" xr:uid="{00000000-0005-0000-0000-000042820000}"/>
    <cellStyle name="Table Col Head 2" xfId="33339" xr:uid="{00000000-0005-0000-0000-000043820000}"/>
    <cellStyle name="Table Col Head 20" xfId="33340" xr:uid="{00000000-0005-0000-0000-000044820000}"/>
    <cellStyle name="Table Col Head 21" xfId="33341" xr:uid="{00000000-0005-0000-0000-000045820000}"/>
    <cellStyle name="Table Col Head 21 2" xfId="33342" xr:uid="{00000000-0005-0000-0000-000046820000}"/>
    <cellStyle name="Table Col Head 3" xfId="33343" xr:uid="{00000000-0005-0000-0000-000047820000}"/>
    <cellStyle name="Table Col Head 4" xfId="33344" xr:uid="{00000000-0005-0000-0000-000048820000}"/>
    <cellStyle name="Table Col Head 5" xfId="33345" xr:uid="{00000000-0005-0000-0000-000049820000}"/>
    <cellStyle name="Table Col Head 6" xfId="33346" xr:uid="{00000000-0005-0000-0000-00004A820000}"/>
    <cellStyle name="Table Col Head 7" xfId="33347" xr:uid="{00000000-0005-0000-0000-00004B820000}"/>
    <cellStyle name="Table Col Head 8" xfId="33348" xr:uid="{00000000-0005-0000-0000-00004C820000}"/>
    <cellStyle name="Table Col Head 9" xfId="33349" xr:uid="{00000000-0005-0000-0000-00004D820000}"/>
    <cellStyle name="Table Data" xfId="33350" xr:uid="{00000000-0005-0000-0000-00004E820000}"/>
    <cellStyle name="Table Data 10" xfId="33351" xr:uid="{00000000-0005-0000-0000-00004F820000}"/>
    <cellStyle name="Table Data 11" xfId="33352" xr:uid="{00000000-0005-0000-0000-000050820000}"/>
    <cellStyle name="Table Data 12" xfId="33353" xr:uid="{00000000-0005-0000-0000-000051820000}"/>
    <cellStyle name="Table Data 13" xfId="33354" xr:uid="{00000000-0005-0000-0000-000052820000}"/>
    <cellStyle name="Table Data 14" xfId="33355" xr:uid="{00000000-0005-0000-0000-000053820000}"/>
    <cellStyle name="Table Data 15" xfId="33356" xr:uid="{00000000-0005-0000-0000-000054820000}"/>
    <cellStyle name="Table Data 16" xfId="33357" xr:uid="{00000000-0005-0000-0000-000055820000}"/>
    <cellStyle name="Table Data 17" xfId="33358" xr:uid="{00000000-0005-0000-0000-000056820000}"/>
    <cellStyle name="Table Data 18" xfId="33359" xr:uid="{00000000-0005-0000-0000-000057820000}"/>
    <cellStyle name="Table Data 19" xfId="33360" xr:uid="{00000000-0005-0000-0000-000058820000}"/>
    <cellStyle name="Table Data 2" xfId="33361" xr:uid="{00000000-0005-0000-0000-000059820000}"/>
    <cellStyle name="Table Data 2 2" xfId="33362" xr:uid="{00000000-0005-0000-0000-00005A820000}"/>
    <cellStyle name="Table Data 20" xfId="33363" xr:uid="{00000000-0005-0000-0000-00005B820000}"/>
    <cellStyle name="Table Data 21" xfId="33364" xr:uid="{00000000-0005-0000-0000-00005C820000}"/>
    <cellStyle name="Table Data 22" xfId="33365" xr:uid="{00000000-0005-0000-0000-00005D820000}"/>
    <cellStyle name="Table Data 22 2" xfId="33366" xr:uid="{00000000-0005-0000-0000-00005E820000}"/>
    <cellStyle name="Table Data 3" xfId="33367" xr:uid="{00000000-0005-0000-0000-00005F820000}"/>
    <cellStyle name="Table Data 4" xfId="33368" xr:uid="{00000000-0005-0000-0000-000060820000}"/>
    <cellStyle name="Table Data 5" xfId="33369" xr:uid="{00000000-0005-0000-0000-000061820000}"/>
    <cellStyle name="Table Data 6" xfId="33370" xr:uid="{00000000-0005-0000-0000-000062820000}"/>
    <cellStyle name="Table Data 7" xfId="33371" xr:uid="{00000000-0005-0000-0000-000063820000}"/>
    <cellStyle name="Table Data 8" xfId="33372" xr:uid="{00000000-0005-0000-0000-000064820000}"/>
    <cellStyle name="Table Data 9" xfId="33373" xr:uid="{00000000-0005-0000-0000-000065820000}"/>
    <cellStyle name="Table Head" xfId="33374" xr:uid="{00000000-0005-0000-0000-000066820000}"/>
    <cellStyle name="Table Head 10" xfId="33375" xr:uid="{00000000-0005-0000-0000-000067820000}"/>
    <cellStyle name="Table Head 11" xfId="33376" xr:uid="{00000000-0005-0000-0000-000068820000}"/>
    <cellStyle name="Table Head 12" xfId="33377" xr:uid="{00000000-0005-0000-0000-000069820000}"/>
    <cellStyle name="Table Head 13" xfId="33378" xr:uid="{00000000-0005-0000-0000-00006A820000}"/>
    <cellStyle name="Table Head 14" xfId="33379" xr:uid="{00000000-0005-0000-0000-00006B820000}"/>
    <cellStyle name="Table Head 15" xfId="33380" xr:uid="{00000000-0005-0000-0000-00006C820000}"/>
    <cellStyle name="Table Head 16" xfId="33381" xr:uid="{00000000-0005-0000-0000-00006D820000}"/>
    <cellStyle name="Table Head 17" xfId="33382" xr:uid="{00000000-0005-0000-0000-00006E820000}"/>
    <cellStyle name="Table Head 18" xfId="33383" xr:uid="{00000000-0005-0000-0000-00006F820000}"/>
    <cellStyle name="Table Head 19" xfId="33384" xr:uid="{00000000-0005-0000-0000-000070820000}"/>
    <cellStyle name="Table Head 2" xfId="33385" xr:uid="{00000000-0005-0000-0000-000071820000}"/>
    <cellStyle name="Table Head 20" xfId="33386" xr:uid="{00000000-0005-0000-0000-000072820000}"/>
    <cellStyle name="Table Head 21" xfId="33387" xr:uid="{00000000-0005-0000-0000-000073820000}"/>
    <cellStyle name="Table Head 21 2" xfId="33388" xr:uid="{00000000-0005-0000-0000-000074820000}"/>
    <cellStyle name="Table Head 3" xfId="33389" xr:uid="{00000000-0005-0000-0000-000075820000}"/>
    <cellStyle name="Table Head 4" xfId="33390" xr:uid="{00000000-0005-0000-0000-000076820000}"/>
    <cellStyle name="Table Head 5" xfId="33391" xr:uid="{00000000-0005-0000-0000-000077820000}"/>
    <cellStyle name="Table Head 6" xfId="33392" xr:uid="{00000000-0005-0000-0000-000078820000}"/>
    <cellStyle name="Table Head 7" xfId="33393" xr:uid="{00000000-0005-0000-0000-000079820000}"/>
    <cellStyle name="Table Head 8" xfId="33394" xr:uid="{00000000-0005-0000-0000-00007A820000}"/>
    <cellStyle name="Table Head 9" xfId="33395" xr:uid="{00000000-0005-0000-0000-00007B820000}"/>
    <cellStyle name="Table Head Aligned" xfId="33396" xr:uid="{00000000-0005-0000-0000-00007C820000}"/>
    <cellStyle name="Table Head Aligned 10" xfId="33397" xr:uid="{00000000-0005-0000-0000-00007D820000}"/>
    <cellStyle name="Table Head Aligned 11" xfId="33398" xr:uid="{00000000-0005-0000-0000-00007E820000}"/>
    <cellStyle name="Table Head Aligned 12" xfId="33399" xr:uid="{00000000-0005-0000-0000-00007F820000}"/>
    <cellStyle name="Table Head Aligned 13" xfId="33400" xr:uid="{00000000-0005-0000-0000-000080820000}"/>
    <cellStyle name="Table Head Aligned 14" xfId="33401" xr:uid="{00000000-0005-0000-0000-000081820000}"/>
    <cellStyle name="Table Head Aligned 15" xfId="33402" xr:uid="{00000000-0005-0000-0000-000082820000}"/>
    <cellStyle name="Table Head Aligned 16" xfId="33403" xr:uid="{00000000-0005-0000-0000-000083820000}"/>
    <cellStyle name="Table Head Aligned 17" xfId="33404" xr:uid="{00000000-0005-0000-0000-000084820000}"/>
    <cellStyle name="Table Head Aligned 18" xfId="33405" xr:uid="{00000000-0005-0000-0000-000085820000}"/>
    <cellStyle name="Table Head Aligned 19" xfId="33406" xr:uid="{00000000-0005-0000-0000-000086820000}"/>
    <cellStyle name="Table Head Aligned 2" xfId="33407" xr:uid="{00000000-0005-0000-0000-000087820000}"/>
    <cellStyle name="Table Head Aligned 20" xfId="33408" xr:uid="{00000000-0005-0000-0000-000088820000}"/>
    <cellStyle name="Table Head Aligned 21" xfId="33409" xr:uid="{00000000-0005-0000-0000-000089820000}"/>
    <cellStyle name="Table Head Aligned 21 2" xfId="33410" xr:uid="{00000000-0005-0000-0000-00008A820000}"/>
    <cellStyle name="Table Head Aligned 3" xfId="33411" xr:uid="{00000000-0005-0000-0000-00008B820000}"/>
    <cellStyle name="Table Head Aligned 4" xfId="33412" xr:uid="{00000000-0005-0000-0000-00008C820000}"/>
    <cellStyle name="Table Head Aligned 5" xfId="33413" xr:uid="{00000000-0005-0000-0000-00008D820000}"/>
    <cellStyle name="Table Head Aligned 6" xfId="33414" xr:uid="{00000000-0005-0000-0000-00008E820000}"/>
    <cellStyle name="Table Head Aligned 7" xfId="33415" xr:uid="{00000000-0005-0000-0000-00008F820000}"/>
    <cellStyle name="Table Head Aligned 8" xfId="33416" xr:uid="{00000000-0005-0000-0000-000090820000}"/>
    <cellStyle name="Table Head Aligned 9" xfId="33417" xr:uid="{00000000-0005-0000-0000-000091820000}"/>
    <cellStyle name="Table Head Blue" xfId="33418" xr:uid="{00000000-0005-0000-0000-000092820000}"/>
    <cellStyle name="Table Head Blue 10" xfId="33419" xr:uid="{00000000-0005-0000-0000-000093820000}"/>
    <cellStyle name="Table Head Blue 11" xfId="33420" xr:uid="{00000000-0005-0000-0000-000094820000}"/>
    <cellStyle name="Table Head Blue 12" xfId="33421" xr:uid="{00000000-0005-0000-0000-000095820000}"/>
    <cellStyle name="Table Head Blue 13" xfId="33422" xr:uid="{00000000-0005-0000-0000-000096820000}"/>
    <cellStyle name="Table Head Blue 14" xfId="33423" xr:uid="{00000000-0005-0000-0000-000097820000}"/>
    <cellStyle name="Table Head Blue 15" xfId="33424" xr:uid="{00000000-0005-0000-0000-000098820000}"/>
    <cellStyle name="Table Head Blue 16" xfId="33425" xr:uid="{00000000-0005-0000-0000-000099820000}"/>
    <cellStyle name="Table Head Blue 17" xfId="33426" xr:uid="{00000000-0005-0000-0000-00009A820000}"/>
    <cellStyle name="Table Head Blue 18" xfId="33427" xr:uid="{00000000-0005-0000-0000-00009B820000}"/>
    <cellStyle name="Table Head Blue 19" xfId="33428" xr:uid="{00000000-0005-0000-0000-00009C820000}"/>
    <cellStyle name="Table Head Blue 2" xfId="33429" xr:uid="{00000000-0005-0000-0000-00009D820000}"/>
    <cellStyle name="Table Head Blue 20" xfId="33430" xr:uid="{00000000-0005-0000-0000-00009E820000}"/>
    <cellStyle name="Table Head Blue 21" xfId="33431" xr:uid="{00000000-0005-0000-0000-00009F820000}"/>
    <cellStyle name="Table Head Blue 21 2" xfId="33432" xr:uid="{00000000-0005-0000-0000-0000A0820000}"/>
    <cellStyle name="Table Head Blue 3" xfId="33433" xr:uid="{00000000-0005-0000-0000-0000A1820000}"/>
    <cellStyle name="Table Head Blue 4" xfId="33434" xr:uid="{00000000-0005-0000-0000-0000A2820000}"/>
    <cellStyle name="Table Head Blue 5" xfId="33435" xr:uid="{00000000-0005-0000-0000-0000A3820000}"/>
    <cellStyle name="Table Head Blue 6" xfId="33436" xr:uid="{00000000-0005-0000-0000-0000A4820000}"/>
    <cellStyle name="Table Head Blue 7" xfId="33437" xr:uid="{00000000-0005-0000-0000-0000A5820000}"/>
    <cellStyle name="Table Head Blue 8" xfId="33438" xr:uid="{00000000-0005-0000-0000-0000A6820000}"/>
    <cellStyle name="Table Head Blue 9" xfId="33439" xr:uid="{00000000-0005-0000-0000-0000A7820000}"/>
    <cellStyle name="Table Head Green" xfId="33440" xr:uid="{00000000-0005-0000-0000-0000A8820000}"/>
    <cellStyle name="Table Head Green 10" xfId="33441" xr:uid="{00000000-0005-0000-0000-0000A9820000}"/>
    <cellStyle name="Table Head Green 11" xfId="33442" xr:uid="{00000000-0005-0000-0000-0000AA820000}"/>
    <cellStyle name="Table Head Green 12" xfId="33443" xr:uid="{00000000-0005-0000-0000-0000AB820000}"/>
    <cellStyle name="Table Head Green 13" xfId="33444" xr:uid="{00000000-0005-0000-0000-0000AC820000}"/>
    <cellStyle name="Table Head Green 14" xfId="33445" xr:uid="{00000000-0005-0000-0000-0000AD820000}"/>
    <cellStyle name="Table Head Green 15" xfId="33446" xr:uid="{00000000-0005-0000-0000-0000AE820000}"/>
    <cellStyle name="Table Head Green 16" xfId="33447" xr:uid="{00000000-0005-0000-0000-0000AF820000}"/>
    <cellStyle name="Table Head Green 17" xfId="33448" xr:uid="{00000000-0005-0000-0000-0000B0820000}"/>
    <cellStyle name="Table Head Green 18" xfId="33449" xr:uid="{00000000-0005-0000-0000-0000B1820000}"/>
    <cellStyle name="Table Head Green 19" xfId="33450" xr:uid="{00000000-0005-0000-0000-0000B2820000}"/>
    <cellStyle name="Table Head Green 2" xfId="33451" xr:uid="{00000000-0005-0000-0000-0000B3820000}"/>
    <cellStyle name="Table Head Green 20" xfId="33452" xr:uid="{00000000-0005-0000-0000-0000B4820000}"/>
    <cellStyle name="Table Head Green 21" xfId="33453" xr:uid="{00000000-0005-0000-0000-0000B5820000}"/>
    <cellStyle name="Table Head Green 21 2" xfId="33454" xr:uid="{00000000-0005-0000-0000-0000B6820000}"/>
    <cellStyle name="Table Head Green 3" xfId="33455" xr:uid="{00000000-0005-0000-0000-0000B7820000}"/>
    <cellStyle name="Table Head Green 4" xfId="33456" xr:uid="{00000000-0005-0000-0000-0000B8820000}"/>
    <cellStyle name="Table Head Green 5" xfId="33457" xr:uid="{00000000-0005-0000-0000-0000B9820000}"/>
    <cellStyle name="Table Head Green 6" xfId="33458" xr:uid="{00000000-0005-0000-0000-0000BA820000}"/>
    <cellStyle name="Table Head Green 7" xfId="33459" xr:uid="{00000000-0005-0000-0000-0000BB820000}"/>
    <cellStyle name="Table Head Green 8" xfId="33460" xr:uid="{00000000-0005-0000-0000-0000BC820000}"/>
    <cellStyle name="Table Head Green 9" xfId="33461" xr:uid="{00000000-0005-0000-0000-0000BD820000}"/>
    <cellStyle name="Table Head Top" xfId="33462" xr:uid="{00000000-0005-0000-0000-0000BE820000}"/>
    <cellStyle name="Table Head Top 10" xfId="33463" xr:uid="{00000000-0005-0000-0000-0000BF820000}"/>
    <cellStyle name="Table Head Top 11" xfId="33464" xr:uid="{00000000-0005-0000-0000-0000C0820000}"/>
    <cellStyle name="Table Head Top 12" xfId="33465" xr:uid="{00000000-0005-0000-0000-0000C1820000}"/>
    <cellStyle name="Table Head Top 13" xfId="33466" xr:uid="{00000000-0005-0000-0000-0000C2820000}"/>
    <cellStyle name="Table Head Top 14" xfId="33467" xr:uid="{00000000-0005-0000-0000-0000C3820000}"/>
    <cellStyle name="Table Head Top 15" xfId="33468" xr:uid="{00000000-0005-0000-0000-0000C4820000}"/>
    <cellStyle name="Table Head Top 16" xfId="33469" xr:uid="{00000000-0005-0000-0000-0000C5820000}"/>
    <cellStyle name="Table Head Top 17" xfId="33470" xr:uid="{00000000-0005-0000-0000-0000C6820000}"/>
    <cellStyle name="Table Head Top 18" xfId="33471" xr:uid="{00000000-0005-0000-0000-0000C7820000}"/>
    <cellStyle name="Table Head Top 19" xfId="33472" xr:uid="{00000000-0005-0000-0000-0000C8820000}"/>
    <cellStyle name="Table Head Top 2" xfId="33473" xr:uid="{00000000-0005-0000-0000-0000C9820000}"/>
    <cellStyle name="Table Head Top 20" xfId="33474" xr:uid="{00000000-0005-0000-0000-0000CA820000}"/>
    <cellStyle name="Table Head Top 21" xfId="33475" xr:uid="{00000000-0005-0000-0000-0000CB820000}"/>
    <cellStyle name="Table Head Top 21 2" xfId="33476" xr:uid="{00000000-0005-0000-0000-0000CC820000}"/>
    <cellStyle name="Table Head Top 3" xfId="33477" xr:uid="{00000000-0005-0000-0000-0000CD820000}"/>
    <cellStyle name="Table Head Top 4" xfId="33478" xr:uid="{00000000-0005-0000-0000-0000CE820000}"/>
    <cellStyle name="Table Head Top 5" xfId="33479" xr:uid="{00000000-0005-0000-0000-0000CF820000}"/>
    <cellStyle name="Table Head Top 6" xfId="33480" xr:uid="{00000000-0005-0000-0000-0000D0820000}"/>
    <cellStyle name="Table Head Top 7" xfId="33481" xr:uid="{00000000-0005-0000-0000-0000D1820000}"/>
    <cellStyle name="Table Head Top 8" xfId="33482" xr:uid="{00000000-0005-0000-0000-0000D2820000}"/>
    <cellStyle name="Table Head Top 9" xfId="33483" xr:uid="{00000000-0005-0000-0000-0000D3820000}"/>
    <cellStyle name="Table Heading" xfId="33484" xr:uid="{00000000-0005-0000-0000-0000D4820000}"/>
    <cellStyle name="Table Heading 10" xfId="33485" xr:uid="{00000000-0005-0000-0000-0000D5820000}"/>
    <cellStyle name="Table Heading 11" xfId="33486" xr:uid="{00000000-0005-0000-0000-0000D6820000}"/>
    <cellStyle name="Table Heading 12" xfId="33487" xr:uid="{00000000-0005-0000-0000-0000D7820000}"/>
    <cellStyle name="Table Heading 13" xfId="33488" xr:uid="{00000000-0005-0000-0000-0000D8820000}"/>
    <cellStyle name="Table Heading 14" xfId="33489" xr:uid="{00000000-0005-0000-0000-0000D9820000}"/>
    <cellStyle name="Table Heading 15" xfId="33490" xr:uid="{00000000-0005-0000-0000-0000DA820000}"/>
    <cellStyle name="Table Heading 16" xfId="33491" xr:uid="{00000000-0005-0000-0000-0000DB820000}"/>
    <cellStyle name="Table Heading 17" xfId="33492" xr:uid="{00000000-0005-0000-0000-0000DC820000}"/>
    <cellStyle name="Table Heading 18" xfId="33493" xr:uid="{00000000-0005-0000-0000-0000DD820000}"/>
    <cellStyle name="Table Heading 19" xfId="33494" xr:uid="{00000000-0005-0000-0000-0000DE820000}"/>
    <cellStyle name="Table Heading 2" xfId="33495" xr:uid="{00000000-0005-0000-0000-0000DF820000}"/>
    <cellStyle name="Table Heading 2 2" xfId="33496" xr:uid="{00000000-0005-0000-0000-0000E0820000}"/>
    <cellStyle name="Table Heading 20" xfId="33497" xr:uid="{00000000-0005-0000-0000-0000E1820000}"/>
    <cellStyle name="Table Heading 21" xfId="33498" xr:uid="{00000000-0005-0000-0000-0000E2820000}"/>
    <cellStyle name="Table Heading 22" xfId="33499" xr:uid="{00000000-0005-0000-0000-0000E3820000}"/>
    <cellStyle name="Table Heading 23" xfId="33500" xr:uid="{00000000-0005-0000-0000-0000E4820000}"/>
    <cellStyle name="Table Heading 23 2" xfId="33501" xr:uid="{00000000-0005-0000-0000-0000E5820000}"/>
    <cellStyle name="Table Heading 3" xfId="33502" xr:uid="{00000000-0005-0000-0000-0000E6820000}"/>
    <cellStyle name="Table Heading 3 2" xfId="33503" xr:uid="{00000000-0005-0000-0000-0000E7820000}"/>
    <cellStyle name="Table Heading 4" xfId="33504" xr:uid="{00000000-0005-0000-0000-0000E8820000}"/>
    <cellStyle name="Table Heading 5" xfId="33505" xr:uid="{00000000-0005-0000-0000-0000E9820000}"/>
    <cellStyle name="Table Heading 6" xfId="33506" xr:uid="{00000000-0005-0000-0000-0000EA820000}"/>
    <cellStyle name="Table Heading 7" xfId="33507" xr:uid="{00000000-0005-0000-0000-0000EB820000}"/>
    <cellStyle name="Table Heading 8" xfId="33508" xr:uid="{00000000-0005-0000-0000-0000EC820000}"/>
    <cellStyle name="Table Heading 9" xfId="33509" xr:uid="{00000000-0005-0000-0000-0000ED820000}"/>
    <cellStyle name="Table Hed Side" xfId="33510" xr:uid="{00000000-0005-0000-0000-0000EE820000}"/>
    <cellStyle name="Table Hed Side 10" xfId="33511" xr:uid="{00000000-0005-0000-0000-0000EF820000}"/>
    <cellStyle name="Table Hed Side 11" xfId="33512" xr:uid="{00000000-0005-0000-0000-0000F0820000}"/>
    <cellStyle name="Table Hed Side 12" xfId="33513" xr:uid="{00000000-0005-0000-0000-0000F1820000}"/>
    <cellStyle name="Table Hed Side 13" xfId="33514" xr:uid="{00000000-0005-0000-0000-0000F2820000}"/>
    <cellStyle name="Table Hed Side 14" xfId="33515" xr:uid="{00000000-0005-0000-0000-0000F3820000}"/>
    <cellStyle name="Table Hed Side 15" xfId="33516" xr:uid="{00000000-0005-0000-0000-0000F4820000}"/>
    <cellStyle name="Table Hed Side 16" xfId="33517" xr:uid="{00000000-0005-0000-0000-0000F5820000}"/>
    <cellStyle name="Table Hed Side 17" xfId="33518" xr:uid="{00000000-0005-0000-0000-0000F6820000}"/>
    <cellStyle name="Table Hed Side 18" xfId="33519" xr:uid="{00000000-0005-0000-0000-0000F7820000}"/>
    <cellStyle name="Table Hed Side 19" xfId="33520" xr:uid="{00000000-0005-0000-0000-0000F8820000}"/>
    <cellStyle name="Table Hed Side 2" xfId="33521" xr:uid="{00000000-0005-0000-0000-0000F9820000}"/>
    <cellStyle name="Table Hed Side 20" xfId="33522" xr:uid="{00000000-0005-0000-0000-0000FA820000}"/>
    <cellStyle name="Table Hed Side 21" xfId="33523" xr:uid="{00000000-0005-0000-0000-0000FB820000}"/>
    <cellStyle name="Table Hed Side 21 2" xfId="33524" xr:uid="{00000000-0005-0000-0000-0000FC820000}"/>
    <cellStyle name="Table Hed Side 3" xfId="33525" xr:uid="{00000000-0005-0000-0000-0000FD820000}"/>
    <cellStyle name="Table Hed Side 4" xfId="33526" xr:uid="{00000000-0005-0000-0000-0000FE820000}"/>
    <cellStyle name="Table Hed Side 5" xfId="33527" xr:uid="{00000000-0005-0000-0000-0000FF820000}"/>
    <cellStyle name="Table Hed Side 6" xfId="33528" xr:uid="{00000000-0005-0000-0000-000000830000}"/>
    <cellStyle name="Table Hed Side 7" xfId="33529" xr:uid="{00000000-0005-0000-0000-000001830000}"/>
    <cellStyle name="Table Hed Side 8" xfId="33530" xr:uid="{00000000-0005-0000-0000-000002830000}"/>
    <cellStyle name="Table Hed Side 9" xfId="33531" xr:uid="{00000000-0005-0000-0000-000003830000}"/>
    <cellStyle name="Table Sub Head" xfId="33532" xr:uid="{00000000-0005-0000-0000-000004830000}"/>
    <cellStyle name="Table Sub Head 10" xfId="33533" xr:uid="{00000000-0005-0000-0000-000005830000}"/>
    <cellStyle name="Table Sub Head 11" xfId="33534" xr:uid="{00000000-0005-0000-0000-000006830000}"/>
    <cellStyle name="Table Sub Head 12" xfId="33535" xr:uid="{00000000-0005-0000-0000-000007830000}"/>
    <cellStyle name="Table Sub Head 13" xfId="33536" xr:uid="{00000000-0005-0000-0000-000008830000}"/>
    <cellStyle name="Table Sub Head 14" xfId="33537" xr:uid="{00000000-0005-0000-0000-000009830000}"/>
    <cellStyle name="Table Sub Head 15" xfId="33538" xr:uid="{00000000-0005-0000-0000-00000A830000}"/>
    <cellStyle name="Table Sub Head 16" xfId="33539" xr:uid="{00000000-0005-0000-0000-00000B830000}"/>
    <cellStyle name="Table Sub Head 17" xfId="33540" xr:uid="{00000000-0005-0000-0000-00000C830000}"/>
    <cellStyle name="Table Sub Head 18" xfId="33541" xr:uid="{00000000-0005-0000-0000-00000D830000}"/>
    <cellStyle name="Table Sub Head 19" xfId="33542" xr:uid="{00000000-0005-0000-0000-00000E830000}"/>
    <cellStyle name="Table Sub Head 2" xfId="33543" xr:uid="{00000000-0005-0000-0000-00000F830000}"/>
    <cellStyle name="Table Sub Head 20" xfId="33544" xr:uid="{00000000-0005-0000-0000-000010830000}"/>
    <cellStyle name="Table Sub Head 21" xfId="33545" xr:uid="{00000000-0005-0000-0000-000011830000}"/>
    <cellStyle name="Table Sub Head 21 2" xfId="33546" xr:uid="{00000000-0005-0000-0000-000012830000}"/>
    <cellStyle name="Table Sub Head 3" xfId="33547" xr:uid="{00000000-0005-0000-0000-000013830000}"/>
    <cellStyle name="Table Sub Head 4" xfId="33548" xr:uid="{00000000-0005-0000-0000-000014830000}"/>
    <cellStyle name="Table Sub Head 5" xfId="33549" xr:uid="{00000000-0005-0000-0000-000015830000}"/>
    <cellStyle name="Table Sub Head 6" xfId="33550" xr:uid="{00000000-0005-0000-0000-000016830000}"/>
    <cellStyle name="Table Sub Head 7" xfId="33551" xr:uid="{00000000-0005-0000-0000-000017830000}"/>
    <cellStyle name="Table Sub Head 8" xfId="33552" xr:uid="{00000000-0005-0000-0000-000018830000}"/>
    <cellStyle name="Table Sub Head 9" xfId="33553" xr:uid="{00000000-0005-0000-0000-000019830000}"/>
    <cellStyle name="Table Sub Heading" xfId="33554" xr:uid="{00000000-0005-0000-0000-00001A830000}"/>
    <cellStyle name="Table Sub Heading 10" xfId="33555" xr:uid="{00000000-0005-0000-0000-00001B830000}"/>
    <cellStyle name="Table Sub Heading 11" xfId="33556" xr:uid="{00000000-0005-0000-0000-00001C830000}"/>
    <cellStyle name="Table Sub Heading 12" xfId="33557" xr:uid="{00000000-0005-0000-0000-00001D830000}"/>
    <cellStyle name="Table Sub Heading 13" xfId="33558" xr:uid="{00000000-0005-0000-0000-00001E830000}"/>
    <cellStyle name="Table Sub Heading 14" xfId="33559" xr:uid="{00000000-0005-0000-0000-00001F830000}"/>
    <cellStyle name="Table Sub Heading 15" xfId="33560" xr:uid="{00000000-0005-0000-0000-000020830000}"/>
    <cellStyle name="Table Sub Heading 16" xfId="33561" xr:uid="{00000000-0005-0000-0000-000021830000}"/>
    <cellStyle name="Table Sub Heading 17" xfId="33562" xr:uid="{00000000-0005-0000-0000-000022830000}"/>
    <cellStyle name="Table Sub Heading 18" xfId="33563" xr:uid="{00000000-0005-0000-0000-000023830000}"/>
    <cellStyle name="Table Sub Heading 19" xfId="33564" xr:uid="{00000000-0005-0000-0000-000024830000}"/>
    <cellStyle name="Table Sub Heading 2" xfId="33565" xr:uid="{00000000-0005-0000-0000-000025830000}"/>
    <cellStyle name="Table Sub Heading 20" xfId="33566" xr:uid="{00000000-0005-0000-0000-000026830000}"/>
    <cellStyle name="Table Sub Heading 21" xfId="33567" xr:uid="{00000000-0005-0000-0000-000027830000}"/>
    <cellStyle name="Table Sub Heading 21 2" xfId="33568" xr:uid="{00000000-0005-0000-0000-000028830000}"/>
    <cellStyle name="Table Sub Heading 3" xfId="33569" xr:uid="{00000000-0005-0000-0000-000029830000}"/>
    <cellStyle name="Table Sub Heading 4" xfId="33570" xr:uid="{00000000-0005-0000-0000-00002A830000}"/>
    <cellStyle name="Table Sub Heading 5" xfId="33571" xr:uid="{00000000-0005-0000-0000-00002B830000}"/>
    <cellStyle name="Table Sub Heading 6" xfId="33572" xr:uid="{00000000-0005-0000-0000-00002C830000}"/>
    <cellStyle name="Table Sub Heading 7" xfId="33573" xr:uid="{00000000-0005-0000-0000-00002D830000}"/>
    <cellStyle name="Table Sub Heading 8" xfId="33574" xr:uid="{00000000-0005-0000-0000-00002E830000}"/>
    <cellStyle name="Table Sub Heading 9" xfId="33575" xr:uid="{00000000-0005-0000-0000-00002F830000}"/>
    <cellStyle name="Table Title" xfId="33576" xr:uid="{00000000-0005-0000-0000-000030830000}"/>
    <cellStyle name="Table Title 10" xfId="33577" xr:uid="{00000000-0005-0000-0000-000031830000}"/>
    <cellStyle name="Table Title 11" xfId="33578" xr:uid="{00000000-0005-0000-0000-000032830000}"/>
    <cellStyle name="Table Title 12" xfId="33579" xr:uid="{00000000-0005-0000-0000-000033830000}"/>
    <cellStyle name="Table Title 13" xfId="33580" xr:uid="{00000000-0005-0000-0000-000034830000}"/>
    <cellStyle name="Table Title 14" xfId="33581" xr:uid="{00000000-0005-0000-0000-000035830000}"/>
    <cellStyle name="Table Title 15" xfId="33582" xr:uid="{00000000-0005-0000-0000-000036830000}"/>
    <cellStyle name="Table Title 16" xfId="33583" xr:uid="{00000000-0005-0000-0000-000037830000}"/>
    <cellStyle name="Table Title 17" xfId="33584" xr:uid="{00000000-0005-0000-0000-000038830000}"/>
    <cellStyle name="Table Title 18" xfId="33585" xr:uid="{00000000-0005-0000-0000-000039830000}"/>
    <cellStyle name="Table Title 19" xfId="33586" xr:uid="{00000000-0005-0000-0000-00003A830000}"/>
    <cellStyle name="Table Title 2" xfId="33587" xr:uid="{00000000-0005-0000-0000-00003B830000}"/>
    <cellStyle name="Table Title 20" xfId="33588" xr:uid="{00000000-0005-0000-0000-00003C830000}"/>
    <cellStyle name="Table Title 21" xfId="33589" xr:uid="{00000000-0005-0000-0000-00003D830000}"/>
    <cellStyle name="Table Title 21 2" xfId="33590" xr:uid="{00000000-0005-0000-0000-00003E830000}"/>
    <cellStyle name="Table Title 3" xfId="33591" xr:uid="{00000000-0005-0000-0000-00003F830000}"/>
    <cellStyle name="Table Title 4" xfId="33592" xr:uid="{00000000-0005-0000-0000-000040830000}"/>
    <cellStyle name="Table Title 5" xfId="33593" xr:uid="{00000000-0005-0000-0000-000041830000}"/>
    <cellStyle name="Table Title 6" xfId="33594" xr:uid="{00000000-0005-0000-0000-000042830000}"/>
    <cellStyle name="Table Title 7" xfId="33595" xr:uid="{00000000-0005-0000-0000-000043830000}"/>
    <cellStyle name="Table Title 8" xfId="33596" xr:uid="{00000000-0005-0000-0000-000044830000}"/>
    <cellStyle name="Table Title 9" xfId="33597" xr:uid="{00000000-0005-0000-0000-000045830000}"/>
    <cellStyle name="Table Units" xfId="33598" xr:uid="{00000000-0005-0000-0000-000046830000}"/>
    <cellStyle name="Table Units 10" xfId="33599" xr:uid="{00000000-0005-0000-0000-000047830000}"/>
    <cellStyle name="Table Units 11" xfId="33600" xr:uid="{00000000-0005-0000-0000-000048830000}"/>
    <cellStyle name="Table Units 12" xfId="33601" xr:uid="{00000000-0005-0000-0000-000049830000}"/>
    <cellStyle name="Table Units 13" xfId="33602" xr:uid="{00000000-0005-0000-0000-00004A830000}"/>
    <cellStyle name="Table Units 14" xfId="33603" xr:uid="{00000000-0005-0000-0000-00004B830000}"/>
    <cellStyle name="Table Units 15" xfId="33604" xr:uid="{00000000-0005-0000-0000-00004C830000}"/>
    <cellStyle name="Table Units 16" xfId="33605" xr:uid="{00000000-0005-0000-0000-00004D830000}"/>
    <cellStyle name="Table Units 17" xfId="33606" xr:uid="{00000000-0005-0000-0000-00004E830000}"/>
    <cellStyle name="Table Units 18" xfId="33607" xr:uid="{00000000-0005-0000-0000-00004F830000}"/>
    <cellStyle name="Table Units 19" xfId="33608" xr:uid="{00000000-0005-0000-0000-000050830000}"/>
    <cellStyle name="Table Units 2" xfId="33609" xr:uid="{00000000-0005-0000-0000-000051830000}"/>
    <cellStyle name="Table Units 20" xfId="33610" xr:uid="{00000000-0005-0000-0000-000052830000}"/>
    <cellStyle name="Table Units 21" xfId="33611" xr:uid="{00000000-0005-0000-0000-000053830000}"/>
    <cellStyle name="Table Units 21 2" xfId="33612" xr:uid="{00000000-0005-0000-0000-000054830000}"/>
    <cellStyle name="Table Units 3" xfId="33613" xr:uid="{00000000-0005-0000-0000-000055830000}"/>
    <cellStyle name="Table Units 4" xfId="33614" xr:uid="{00000000-0005-0000-0000-000056830000}"/>
    <cellStyle name="Table Units 5" xfId="33615" xr:uid="{00000000-0005-0000-0000-000057830000}"/>
    <cellStyle name="Table Units 6" xfId="33616" xr:uid="{00000000-0005-0000-0000-000058830000}"/>
    <cellStyle name="Table Units 7" xfId="33617" xr:uid="{00000000-0005-0000-0000-000059830000}"/>
    <cellStyle name="Table Units 8" xfId="33618" xr:uid="{00000000-0005-0000-0000-00005A830000}"/>
    <cellStyle name="Table Units 9" xfId="33619" xr:uid="{00000000-0005-0000-0000-00005B830000}"/>
    <cellStyle name="Table_Header" xfId="33620" xr:uid="{00000000-0005-0000-0000-00005C830000}"/>
    <cellStyle name="TableColumnHeading" xfId="33621" xr:uid="{00000000-0005-0000-0000-00005D830000}"/>
    <cellStyle name="TableColumnHeading 10" xfId="33622" xr:uid="{00000000-0005-0000-0000-00005E830000}"/>
    <cellStyle name="TableColumnHeading 11" xfId="33623" xr:uid="{00000000-0005-0000-0000-00005F830000}"/>
    <cellStyle name="TableColumnHeading 12" xfId="33624" xr:uid="{00000000-0005-0000-0000-000060830000}"/>
    <cellStyle name="TableColumnHeading 13" xfId="33625" xr:uid="{00000000-0005-0000-0000-000061830000}"/>
    <cellStyle name="TableColumnHeading 14" xfId="33626" xr:uid="{00000000-0005-0000-0000-000062830000}"/>
    <cellStyle name="TableColumnHeading 15" xfId="33627" xr:uid="{00000000-0005-0000-0000-000063830000}"/>
    <cellStyle name="TableColumnHeading 16" xfId="33628" xr:uid="{00000000-0005-0000-0000-000064830000}"/>
    <cellStyle name="TableColumnHeading 17" xfId="33629" xr:uid="{00000000-0005-0000-0000-000065830000}"/>
    <cellStyle name="TableColumnHeading 18" xfId="33630" xr:uid="{00000000-0005-0000-0000-000066830000}"/>
    <cellStyle name="TableColumnHeading 19" xfId="33631" xr:uid="{00000000-0005-0000-0000-000067830000}"/>
    <cellStyle name="TableColumnHeading 2" xfId="33632" xr:uid="{00000000-0005-0000-0000-000068830000}"/>
    <cellStyle name="TableColumnHeading 20" xfId="33633" xr:uid="{00000000-0005-0000-0000-000069830000}"/>
    <cellStyle name="TableColumnHeading 21" xfId="33634" xr:uid="{00000000-0005-0000-0000-00006A830000}"/>
    <cellStyle name="TableColumnHeading 21 2" xfId="33635" xr:uid="{00000000-0005-0000-0000-00006B830000}"/>
    <cellStyle name="TableColumnHeading 3" xfId="33636" xr:uid="{00000000-0005-0000-0000-00006C830000}"/>
    <cellStyle name="TableColumnHeading 4" xfId="33637" xr:uid="{00000000-0005-0000-0000-00006D830000}"/>
    <cellStyle name="TableColumnHeading 5" xfId="33638" xr:uid="{00000000-0005-0000-0000-00006E830000}"/>
    <cellStyle name="TableColumnHeading 6" xfId="33639" xr:uid="{00000000-0005-0000-0000-00006F830000}"/>
    <cellStyle name="TableColumnHeading 7" xfId="33640" xr:uid="{00000000-0005-0000-0000-000070830000}"/>
    <cellStyle name="TableColumnHeading 8" xfId="33641" xr:uid="{00000000-0005-0000-0000-000071830000}"/>
    <cellStyle name="TableColumnHeading 9" xfId="33642" xr:uid="{00000000-0005-0000-0000-000072830000}"/>
    <cellStyle name="TableHead" xfId="33643" xr:uid="{00000000-0005-0000-0000-000073830000}"/>
    <cellStyle name="TableHead 10" xfId="33644" xr:uid="{00000000-0005-0000-0000-000074830000}"/>
    <cellStyle name="TableHead 11" xfId="33645" xr:uid="{00000000-0005-0000-0000-000075830000}"/>
    <cellStyle name="TableHead 12" xfId="33646" xr:uid="{00000000-0005-0000-0000-000076830000}"/>
    <cellStyle name="TableHead 13" xfId="33647" xr:uid="{00000000-0005-0000-0000-000077830000}"/>
    <cellStyle name="TableHead 14" xfId="33648" xr:uid="{00000000-0005-0000-0000-000078830000}"/>
    <cellStyle name="TableHead 15" xfId="33649" xr:uid="{00000000-0005-0000-0000-000079830000}"/>
    <cellStyle name="TableHead 16" xfId="33650" xr:uid="{00000000-0005-0000-0000-00007A830000}"/>
    <cellStyle name="TableHead 17" xfId="33651" xr:uid="{00000000-0005-0000-0000-00007B830000}"/>
    <cellStyle name="TableHead 18" xfId="33652" xr:uid="{00000000-0005-0000-0000-00007C830000}"/>
    <cellStyle name="TableHead 19" xfId="33653" xr:uid="{00000000-0005-0000-0000-00007D830000}"/>
    <cellStyle name="TableHead 2" xfId="33654" xr:uid="{00000000-0005-0000-0000-00007E830000}"/>
    <cellStyle name="TableHead 20" xfId="33655" xr:uid="{00000000-0005-0000-0000-00007F830000}"/>
    <cellStyle name="TableHead 21" xfId="33656" xr:uid="{00000000-0005-0000-0000-000080830000}"/>
    <cellStyle name="TableHead 21 2" xfId="33657" xr:uid="{00000000-0005-0000-0000-000081830000}"/>
    <cellStyle name="TableHead 3" xfId="33658" xr:uid="{00000000-0005-0000-0000-000082830000}"/>
    <cellStyle name="TableHead 4" xfId="33659" xr:uid="{00000000-0005-0000-0000-000083830000}"/>
    <cellStyle name="TableHead 5" xfId="33660" xr:uid="{00000000-0005-0000-0000-000084830000}"/>
    <cellStyle name="TableHead 6" xfId="33661" xr:uid="{00000000-0005-0000-0000-000085830000}"/>
    <cellStyle name="TableHead 7" xfId="33662" xr:uid="{00000000-0005-0000-0000-000086830000}"/>
    <cellStyle name="TableHead 8" xfId="33663" xr:uid="{00000000-0005-0000-0000-000087830000}"/>
    <cellStyle name="TableHead 9" xfId="33664" xr:uid="{00000000-0005-0000-0000-000088830000}"/>
    <cellStyle name="TableSubTitleItalic" xfId="33665" xr:uid="{00000000-0005-0000-0000-000089830000}"/>
    <cellStyle name="TableSubTitleItalic 10" xfId="33666" xr:uid="{00000000-0005-0000-0000-00008A830000}"/>
    <cellStyle name="TableSubTitleItalic 11" xfId="33667" xr:uid="{00000000-0005-0000-0000-00008B830000}"/>
    <cellStyle name="TableSubTitleItalic 12" xfId="33668" xr:uid="{00000000-0005-0000-0000-00008C830000}"/>
    <cellStyle name="TableSubTitleItalic 13" xfId="33669" xr:uid="{00000000-0005-0000-0000-00008D830000}"/>
    <cellStyle name="TableSubTitleItalic 14" xfId="33670" xr:uid="{00000000-0005-0000-0000-00008E830000}"/>
    <cellStyle name="TableSubTitleItalic 15" xfId="33671" xr:uid="{00000000-0005-0000-0000-00008F830000}"/>
    <cellStyle name="TableSubTitleItalic 16" xfId="33672" xr:uid="{00000000-0005-0000-0000-000090830000}"/>
    <cellStyle name="TableSubTitleItalic 17" xfId="33673" xr:uid="{00000000-0005-0000-0000-000091830000}"/>
    <cellStyle name="TableSubTitleItalic 18" xfId="33674" xr:uid="{00000000-0005-0000-0000-000092830000}"/>
    <cellStyle name="TableSubTitleItalic 19" xfId="33675" xr:uid="{00000000-0005-0000-0000-000093830000}"/>
    <cellStyle name="TableSubTitleItalic 2" xfId="33676" xr:uid="{00000000-0005-0000-0000-000094830000}"/>
    <cellStyle name="TableSubTitleItalic 20" xfId="33677" xr:uid="{00000000-0005-0000-0000-000095830000}"/>
    <cellStyle name="TableSubTitleItalic 21" xfId="33678" xr:uid="{00000000-0005-0000-0000-000096830000}"/>
    <cellStyle name="TableSubTitleItalic 21 2" xfId="33679" xr:uid="{00000000-0005-0000-0000-000097830000}"/>
    <cellStyle name="TableSubTitleItalic 3" xfId="33680" xr:uid="{00000000-0005-0000-0000-000098830000}"/>
    <cellStyle name="TableSubTitleItalic 4" xfId="33681" xr:uid="{00000000-0005-0000-0000-000099830000}"/>
    <cellStyle name="TableSubTitleItalic 5" xfId="33682" xr:uid="{00000000-0005-0000-0000-00009A830000}"/>
    <cellStyle name="TableSubTitleItalic 6" xfId="33683" xr:uid="{00000000-0005-0000-0000-00009B830000}"/>
    <cellStyle name="TableSubTitleItalic 7" xfId="33684" xr:uid="{00000000-0005-0000-0000-00009C830000}"/>
    <cellStyle name="TableSubTitleItalic 8" xfId="33685" xr:uid="{00000000-0005-0000-0000-00009D830000}"/>
    <cellStyle name="TableSubTitleItalic 9" xfId="33686" xr:uid="{00000000-0005-0000-0000-00009E830000}"/>
    <cellStyle name="TableText" xfId="33687" xr:uid="{00000000-0005-0000-0000-00009F830000}"/>
    <cellStyle name="TableText 10" xfId="33688" xr:uid="{00000000-0005-0000-0000-0000A0830000}"/>
    <cellStyle name="TableText 11" xfId="33689" xr:uid="{00000000-0005-0000-0000-0000A1830000}"/>
    <cellStyle name="TableText 12" xfId="33690" xr:uid="{00000000-0005-0000-0000-0000A2830000}"/>
    <cellStyle name="TableText 13" xfId="33691" xr:uid="{00000000-0005-0000-0000-0000A3830000}"/>
    <cellStyle name="TableText 14" xfId="33692" xr:uid="{00000000-0005-0000-0000-0000A4830000}"/>
    <cellStyle name="TableText 15" xfId="33693" xr:uid="{00000000-0005-0000-0000-0000A5830000}"/>
    <cellStyle name="TableText 16" xfId="33694" xr:uid="{00000000-0005-0000-0000-0000A6830000}"/>
    <cellStyle name="TableText 17" xfId="33695" xr:uid="{00000000-0005-0000-0000-0000A7830000}"/>
    <cellStyle name="TableText 18" xfId="33696" xr:uid="{00000000-0005-0000-0000-0000A8830000}"/>
    <cellStyle name="TableText 19" xfId="33697" xr:uid="{00000000-0005-0000-0000-0000A9830000}"/>
    <cellStyle name="TableText 2" xfId="33698" xr:uid="{00000000-0005-0000-0000-0000AA830000}"/>
    <cellStyle name="TableText 20" xfId="33699" xr:uid="{00000000-0005-0000-0000-0000AB830000}"/>
    <cellStyle name="TableText 21" xfId="33700" xr:uid="{00000000-0005-0000-0000-0000AC830000}"/>
    <cellStyle name="TableText 21 2" xfId="33701" xr:uid="{00000000-0005-0000-0000-0000AD830000}"/>
    <cellStyle name="TableText 3" xfId="33702" xr:uid="{00000000-0005-0000-0000-0000AE830000}"/>
    <cellStyle name="TableText 4" xfId="33703" xr:uid="{00000000-0005-0000-0000-0000AF830000}"/>
    <cellStyle name="TableText 5" xfId="33704" xr:uid="{00000000-0005-0000-0000-0000B0830000}"/>
    <cellStyle name="TableText 6" xfId="33705" xr:uid="{00000000-0005-0000-0000-0000B1830000}"/>
    <cellStyle name="TableText 7" xfId="33706" xr:uid="{00000000-0005-0000-0000-0000B2830000}"/>
    <cellStyle name="TableText 8" xfId="33707" xr:uid="{00000000-0005-0000-0000-0000B3830000}"/>
    <cellStyle name="TableText 9" xfId="33708" xr:uid="{00000000-0005-0000-0000-0000B4830000}"/>
    <cellStyle name="TableTitle" xfId="33709" xr:uid="{00000000-0005-0000-0000-0000B5830000}"/>
    <cellStyle name="TableTitle 10" xfId="33710" xr:uid="{00000000-0005-0000-0000-0000B6830000}"/>
    <cellStyle name="TableTitle 11" xfId="33711" xr:uid="{00000000-0005-0000-0000-0000B7830000}"/>
    <cellStyle name="TableTitle 12" xfId="33712" xr:uid="{00000000-0005-0000-0000-0000B8830000}"/>
    <cellStyle name="TableTitle 13" xfId="33713" xr:uid="{00000000-0005-0000-0000-0000B9830000}"/>
    <cellStyle name="TableTitle 14" xfId="33714" xr:uid="{00000000-0005-0000-0000-0000BA830000}"/>
    <cellStyle name="TableTitle 15" xfId="33715" xr:uid="{00000000-0005-0000-0000-0000BB830000}"/>
    <cellStyle name="TableTitle 16" xfId="33716" xr:uid="{00000000-0005-0000-0000-0000BC830000}"/>
    <cellStyle name="TableTitle 17" xfId="33717" xr:uid="{00000000-0005-0000-0000-0000BD830000}"/>
    <cellStyle name="TableTitle 18" xfId="33718" xr:uid="{00000000-0005-0000-0000-0000BE830000}"/>
    <cellStyle name="TableTitle 19" xfId="33719" xr:uid="{00000000-0005-0000-0000-0000BF830000}"/>
    <cellStyle name="TableTitle 2" xfId="33720" xr:uid="{00000000-0005-0000-0000-0000C0830000}"/>
    <cellStyle name="TableTitle 20" xfId="33721" xr:uid="{00000000-0005-0000-0000-0000C1830000}"/>
    <cellStyle name="TableTitle 21" xfId="33722" xr:uid="{00000000-0005-0000-0000-0000C2830000}"/>
    <cellStyle name="TableTitle 21 2" xfId="33723" xr:uid="{00000000-0005-0000-0000-0000C3830000}"/>
    <cellStyle name="TableTitle 3" xfId="33724" xr:uid="{00000000-0005-0000-0000-0000C4830000}"/>
    <cellStyle name="TableTitle 4" xfId="33725" xr:uid="{00000000-0005-0000-0000-0000C5830000}"/>
    <cellStyle name="TableTitle 5" xfId="33726" xr:uid="{00000000-0005-0000-0000-0000C6830000}"/>
    <cellStyle name="TableTitle 6" xfId="33727" xr:uid="{00000000-0005-0000-0000-0000C7830000}"/>
    <cellStyle name="TableTitle 7" xfId="33728" xr:uid="{00000000-0005-0000-0000-0000C8830000}"/>
    <cellStyle name="TableTitle 8" xfId="33729" xr:uid="{00000000-0005-0000-0000-0000C9830000}"/>
    <cellStyle name="TableTitle 9" xfId="33730" xr:uid="{00000000-0005-0000-0000-0000CA830000}"/>
    <cellStyle name="Text" xfId="33731" xr:uid="{00000000-0005-0000-0000-0000CB830000}"/>
    <cellStyle name="Text 8" xfId="33732" xr:uid="{00000000-0005-0000-0000-0000CC830000}"/>
    <cellStyle name="Text 8 10" xfId="33733" xr:uid="{00000000-0005-0000-0000-0000CD830000}"/>
    <cellStyle name="Text 8 11" xfId="33734" xr:uid="{00000000-0005-0000-0000-0000CE830000}"/>
    <cellStyle name="Text 8 12" xfId="33735" xr:uid="{00000000-0005-0000-0000-0000CF830000}"/>
    <cellStyle name="Text 8 13" xfId="33736" xr:uid="{00000000-0005-0000-0000-0000D0830000}"/>
    <cellStyle name="Text 8 14" xfId="33737" xr:uid="{00000000-0005-0000-0000-0000D1830000}"/>
    <cellStyle name="Text 8 15" xfId="33738" xr:uid="{00000000-0005-0000-0000-0000D2830000}"/>
    <cellStyle name="Text 8 16" xfId="33739" xr:uid="{00000000-0005-0000-0000-0000D3830000}"/>
    <cellStyle name="Text 8 17" xfId="33740" xr:uid="{00000000-0005-0000-0000-0000D4830000}"/>
    <cellStyle name="Text 8 18" xfId="33741" xr:uid="{00000000-0005-0000-0000-0000D5830000}"/>
    <cellStyle name="Text 8 19" xfId="33742" xr:uid="{00000000-0005-0000-0000-0000D6830000}"/>
    <cellStyle name="Text 8 2" xfId="33743" xr:uid="{00000000-0005-0000-0000-0000D7830000}"/>
    <cellStyle name="Text 8 20" xfId="33744" xr:uid="{00000000-0005-0000-0000-0000D8830000}"/>
    <cellStyle name="Text 8 21" xfId="33745" xr:uid="{00000000-0005-0000-0000-0000D9830000}"/>
    <cellStyle name="Text 8 21 2" xfId="33746" xr:uid="{00000000-0005-0000-0000-0000DA830000}"/>
    <cellStyle name="Text 8 3" xfId="33747" xr:uid="{00000000-0005-0000-0000-0000DB830000}"/>
    <cellStyle name="Text 8 4" xfId="33748" xr:uid="{00000000-0005-0000-0000-0000DC830000}"/>
    <cellStyle name="Text 8 5" xfId="33749" xr:uid="{00000000-0005-0000-0000-0000DD830000}"/>
    <cellStyle name="Text 8 6" xfId="33750" xr:uid="{00000000-0005-0000-0000-0000DE830000}"/>
    <cellStyle name="Text 8 7" xfId="33751" xr:uid="{00000000-0005-0000-0000-0000DF830000}"/>
    <cellStyle name="Text 8 8" xfId="33752" xr:uid="{00000000-0005-0000-0000-0000E0830000}"/>
    <cellStyle name="Text 8 9" xfId="33753" xr:uid="{00000000-0005-0000-0000-0000E1830000}"/>
    <cellStyle name="Text Block" xfId="33754" xr:uid="{00000000-0005-0000-0000-0000E2830000}"/>
    <cellStyle name="Text Block 10" xfId="33755" xr:uid="{00000000-0005-0000-0000-0000E3830000}"/>
    <cellStyle name="Text Block 11" xfId="33756" xr:uid="{00000000-0005-0000-0000-0000E4830000}"/>
    <cellStyle name="Text Block 12" xfId="33757" xr:uid="{00000000-0005-0000-0000-0000E5830000}"/>
    <cellStyle name="Text Block 13" xfId="33758" xr:uid="{00000000-0005-0000-0000-0000E6830000}"/>
    <cellStyle name="Text Block 14" xfId="33759" xr:uid="{00000000-0005-0000-0000-0000E7830000}"/>
    <cellStyle name="Text Block 15" xfId="33760" xr:uid="{00000000-0005-0000-0000-0000E8830000}"/>
    <cellStyle name="Text Block 16" xfId="33761" xr:uid="{00000000-0005-0000-0000-0000E9830000}"/>
    <cellStyle name="Text Block 17" xfId="33762" xr:uid="{00000000-0005-0000-0000-0000EA830000}"/>
    <cellStyle name="Text Block 18" xfId="33763" xr:uid="{00000000-0005-0000-0000-0000EB830000}"/>
    <cellStyle name="Text Block 19" xfId="33764" xr:uid="{00000000-0005-0000-0000-0000EC830000}"/>
    <cellStyle name="Text Block 2" xfId="33765" xr:uid="{00000000-0005-0000-0000-0000ED830000}"/>
    <cellStyle name="Text Block 20" xfId="33766" xr:uid="{00000000-0005-0000-0000-0000EE830000}"/>
    <cellStyle name="Text Block 21" xfId="33767" xr:uid="{00000000-0005-0000-0000-0000EF830000}"/>
    <cellStyle name="Text Block 21 2" xfId="33768" xr:uid="{00000000-0005-0000-0000-0000F0830000}"/>
    <cellStyle name="Text Block 3" xfId="33769" xr:uid="{00000000-0005-0000-0000-0000F1830000}"/>
    <cellStyle name="Text Block 4" xfId="33770" xr:uid="{00000000-0005-0000-0000-0000F2830000}"/>
    <cellStyle name="Text Block 5" xfId="33771" xr:uid="{00000000-0005-0000-0000-0000F3830000}"/>
    <cellStyle name="Text Block 6" xfId="33772" xr:uid="{00000000-0005-0000-0000-0000F4830000}"/>
    <cellStyle name="Text Block 7" xfId="33773" xr:uid="{00000000-0005-0000-0000-0000F5830000}"/>
    <cellStyle name="Text Block 8" xfId="33774" xr:uid="{00000000-0005-0000-0000-0000F6830000}"/>
    <cellStyle name="Text Block 9" xfId="33775" xr:uid="{00000000-0005-0000-0000-0000F7830000}"/>
    <cellStyle name="Text Indent A" xfId="33776" xr:uid="{00000000-0005-0000-0000-0000F8830000}"/>
    <cellStyle name="Text Indent A 10" xfId="33777" xr:uid="{00000000-0005-0000-0000-0000F9830000}"/>
    <cellStyle name="Text Indent A 11" xfId="33778" xr:uid="{00000000-0005-0000-0000-0000FA830000}"/>
    <cellStyle name="Text Indent A 12" xfId="33779" xr:uid="{00000000-0005-0000-0000-0000FB830000}"/>
    <cellStyle name="Text Indent A 13" xfId="33780" xr:uid="{00000000-0005-0000-0000-0000FC830000}"/>
    <cellStyle name="Text Indent A 14" xfId="33781" xr:uid="{00000000-0005-0000-0000-0000FD830000}"/>
    <cellStyle name="Text Indent A 15" xfId="33782" xr:uid="{00000000-0005-0000-0000-0000FE830000}"/>
    <cellStyle name="Text Indent A 16" xfId="33783" xr:uid="{00000000-0005-0000-0000-0000FF830000}"/>
    <cellStyle name="Text Indent A 17" xfId="33784" xr:uid="{00000000-0005-0000-0000-000000840000}"/>
    <cellStyle name="Text Indent A 18" xfId="33785" xr:uid="{00000000-0005-0000-0000-000001840000}"/>
    <cellStyle name="Text Indent A 19" xfId="33786" xr:uid="{00000000-0005-0000-0000-000002840000}"/>
    <cellStyle name="Text Indent A 2" xfId="33787" xr:uid="{00000000-0005-0000-0000-000003840000}"/>
    <cellStyle name="Text Indent A 2 2" xfId="33788" xr:uid="{00000000-0005-0000-0000-000004840000}"/>
    <cellStyle name="Text Indent A 20" xfId="33789" xr:uid="{00000000-0005-0000-0000-000005840000}"/>
    <cellStyle name="Text Indent A 21" xfId="33790" xr:uid="{00000000-0005-0000-0000-000006840000}"/>
    <cellStyle name="Text Indent A 22" xfId="33791" xr:uid="{00000000-0005-0000-0000-000007840000}"/>
    <cellStyle name="Text Indent A 23" xfId="33792" xr:uid="{00000000-0005-0000-0000-000008840000}"/>
    <cellStyle name="Text Indent A 24" xfId="33793" xr:uid="{00000000-0005-0000-0000-000009840000}"/>
    <cellStyle name="Text Indent A 25" xfId="33794" xr:uid="{00000000-0005-0000-0000-00000A840000}"/>
    <cellStyle name="Text Indent A 26" xfId="33795" xr:uid="{00000000-0005-0000-0000-00000B840000}"/>
    <cellStyle name="Text Indent A 27" xfId="33796" xr:uid="{00000000-0005-0000-0000-00000C840000}"/>
    <cellStyle name="Text Indent A 28" xfId="33797" xr:uid="{00000000-0005-0000-0000-00000D840000}"/>
    <cellStyle name="Text Indent A 29" xfId="33798" xr:uid="{00000000-0005-0000-0000-00000E840000}"/>
    <cellStyle name="Text Indent A 3" xfId="33799" xr:uid="{00000000-0005-0000-0000-00000F840000}"/>
    <cellStyle name="Text Indent A 3 2" xfId="33800" xr:uid="{00000000-0005-0000-0000-000010840000}"/>
    <cellStyle name="Text Indent A 30" xfId="33801" xr:uid="{00000000-0005-0000-0000-000011840000}"/>
    <cellStyle name="Text Indent A 31" xfId="33802" xr:uid="{00000000-0005-0000-0000-000012840000}"/>
    <cellStyle name="Text Indent A 31 2" xfId="33803" xr:uid="{00000000-0005-0000-0000-000013840000}"/>
    <cellStyle name="Text Indent A 32" xfId="33804" xr:uid="{00000000-0005-0000-0000-000014840000}"/>
    <cellStyle name="Text Indent A 33" xfId="33805" xr:uid="{00000000-0005-0000-0000-000015840000}"/>
    <cellStyle name="Text Indent A 34" xfId="33806" xr:uid="{00000000-0005-0000-0000-000016840000}"/>
    <cellStyle name="Text Indent A 35" xfId="33807" xr:uid="{00000000-0005-0000-0000-000017840000}"/>
    <cellStyle name="Text Indent A 36" xfId="33808" xr:uid="{00000000-0005-0000-0000-000018840000}"/>
    <cellStyle name="Text Indent A 37" xfId="33809" xr:uid="{00000000-0005-0000-0000-000019840000}"/>
    <cellStyle name="Text Indent A 38" xfId="33810" xr:uid="{00000000-0005-0000-0000-00001A840000}"/>
    <cellStyle name="Text Indent A 39" xfId="33811" xr:uid="{00000000-0005-0000-0000-00001B840000}"/>
    <cellStyle name="Text Indent A 4" xfId="33812" xr:uid="{00000000-0005-0000-0000-00001C840000}"/>
    <cellStyle name="Text Indent A 40" xfId="33813" xr:uid="{00000000-0005-0000-0000-00001D840000}"/>
    <cellStyle name="Text Indent A 5" xfId="33814" xr:uid="{00000000-0005-0000-0000-00001E840000}"/>
    <cellStyle name="Text Indent A 6" xfId="33815" xr:uid="{00000000-0005-0000-0000-00001F840000}"/>
    <cellStyle name="Text Indent A 7" xfId="33816" xr:uid="{00000000-0005-0000-0000-000020840000}"/>
    <cellStyle name="Text Indent A 8" xfId="33817" xr:uid="{00000000-0005-0000-0000-000021840000}"/>
    <cellStyle name="Text Indent A 9" xfId="33818" xr:uid="{00000000-0005-0000-0000-000022840000}"/>
    <cellStyle name="Text Indent B" xfId="33819" xr:uid="{00000000-0005-0000-0000-000023840000}"/>
    <cellStyle name="Text Indent B 10" xfId="33820" xr:uid="{00000000-0005-0000-0000-000024840000}"/>
    <cellStyle name="Text Indent B 11" xfId="33821" xr:uid="{00000000-0005-0000-0000-000025840000}"/>
    <cellStyle name="Text Indent B 12" xfId="33822" xr:uid="{00000000-0005-0000-0000-000026840000}"/>
    <cellStyle name="Text Indent B 13" xfId="33823" xr:uid="{00000000-0005-0000-0000-000027840000}"/>
    <cellStyle name="Text Indent B 14" xfId="33824" xr:uid="{00000000-0005-0000-0000-000028840000}"/>
    <cellStyle name="Text Indent B 15" xfId="33825" xr:uid="{00000000-0005-0000-0000-000029840000}"/>
    <cellStyle name="Text Indent B 16" xfId="33826" xr:uid="{00000000-0005-0000-0000-00002A840000}"/>
    <cellStyle name="Text Indent B 17" xfId="33827" xr:uid="{00000000-0005-0000-0000-00002B840000}"/>
    <cellStyle name="Text Indent B 18" xfId="33828" xr:uid="{00000000-0005-0000-0000-00002C840000}"/>
    <cellStyle name="Text Indent B 19" xfId="33829" xr:uid="{00000000-0005-0000-0000-00002D840000}"/>
    <cellStyle name="Text Indent B 2" xfId="33830" xr:uid="{00000000-0005-0000-0000-00002E840000}"/>
    <cellStyle name="Text Indent B 2 2" xfId="33831" xr:uid="{00000000-0005-0000-0000-00002F840000}"/>
    <cellStyle name="Text Indent B 20" xfId="33832" xr:uid="{00000000-0005-0000-0000-000030840000}"/>
    <cellStyle name="Text Indent B 21" xfId="33833" xr:uid="{00000000-0005-0000-0000-000031840000}"/>
    <cellStyle name="Text Indent B 22" xfId="33834" xr:uid="{00000000-0005-0000-0000-000032840000}"/>
    <cellStyle name="Text Indent B 23" xfId="33835" xr:uid="{00000000-0005-0000-0000-000033840000}"/>
    <cellStyle name="Text Indent B 23 2" xfId="33836" xr:uid="{00000000-0005-0000-0000-000034840000}"/>
    <cellStyle name="Text Indent B 3" xfId="33837" xr:uid="{00000000-0005-0000-0000-000035840000}"/>
    <cellStyle name="Text Indent B 3 2" xfId="33838" xr:uid="{00000000-0005-0000-0000-000036840000}"/>
    <cellStyle name="Text Indent B 4" xfId="33839" xr:uid="{00000000-0005-0000-0000-000037840000}"/>
    <cellStyle name="Text Indent B 5" xfId="33840" xr:uid="{00000000-0005-0000-0000-000038840000}"/>
    <cellStyle name="Text Indent B 6" xfId="33841" xr:uid="{00000000-0005-0000-0000-000039840000}"/>
    <cellStyle name="Text Indent B 7" xfId="33842" xr:uid="{00000000-0005-0000-0000-00003A840000}"/>
    <cellStyle name="Text Indent B 8" xfId="33843" xr:uid="{00000000-0005-0000-0000-00003B840000}"/>
    <cellStyle name="Text Indent B 9" xfId="33844" xr:uid="{00000000-0005-0000-0000-00003C840000}"/>
    <cellStyle name="Text Indent C" xfId="33845" xr:uid="{00000000-0005-0000-0000-00003D840000}"/>
    <cellStyle name="Text Indent C 10" xfId="33846" xr:uid="{00000000-0005-0000-0000-00003E840000}"/>
    <cellStyle name="Text Indent C 11" xfId="33847" xr:uid="{00000000-0005-0000-0000-00003F840000}"/>
    <cellStyle name="Text Indent C 12" xfId="33848" xr:uid="{00000000-0005-0000-0000-000040840000}"/>
    <cellStyle name="Text Indent C 13" xfId="33849" xr:uid="{00000000-0005-0000-0000-000041840000}"/>
    <cellStyle name="Text Indent C 14" xfId="33850" xr:uid="{00000000-0005-0000-0000-000042840000}"/>
    <cellStyle name="Text Indent C 15" xfId="33851" xr:uid="{00000000-0005-0000-0000-000043840000}"/>
    <cellStyle name="Text Indent C 16" xfId="33852" xr:uid="{00000000-0005-0000-0000-000044840000}"/>
    <cellStyle name="Text Indent C 17" xfId="33853" xr:uid="{00000000-0005-0000-0000-000045840000}"/>
    <cellStyle name="Text Indent C 18" xfId="33854" xr:uid="{00000000-0005-0000-0000-000046840000}"/>
    <cellStyle name="Text Indent C 19" xfId="33855" xr:uid="{00000000-0005-0000-0000-000047840000}"/>
    <cellStyle name="Text Indent C 2" xfId="33856" xr:uid="{00000000-0005-0000-0000-000048840000}"/>
    <cellStyle name="Text Indent C 2 2" xfId="33857" xr:uid="{00000000-0005-0000-0000-000049840000}"/>
    <cellStyle name="Text Indent C 20" xfId="33858" xr:uid="{00000000-0005-0000-0000-00004A840000}"/>
    <cellStyle name="Text Indent C 21" xfId="33859" xr:uid="{00000000-0005-0000-0000-00004B840000}"/>
    <cellStyle name="Text Indent C 22" xfId="33860" xr:uid="{00000000-0005-0000-0000-00004C840000}"/>
    <cellStyle name="Text Indent C 22 2" xfId="33861" xr:uid="{00000000-0005-0000-0000-00004D840000}"/>
    <cellStyle name="Text Indent C 3" xfId="33862" xr:uid="{00000000-0005-0000-0000-00004E840000}"/>
    <cellStyle name="Text Indent C 4" xfId="33863" xr:uid="{00000000-0005-0000-0000-00004F840000}"/>
    <cellStyle name="Text Indent C 5" xfId="33864" xr:uid="{00000000-0005-0000-0000-000050840000}"/>
    <cellStyle name="Text Indent C 6" xfId="33865" xr:uid="{00000000-0005-0000-0000-000051840000}"/>
    <cellStyle name="Text Indent C 7" xfId="33866" xr:uid="{00000000-0005-0000-0000-000052840000}"/>
    <cellStyle name="Text Indent C 8" xfId="33867" xr:uid="{00000000-0005-0000-0000-000053840000}"/>
    <cellStyle name="Text Indent C 9" xfId="33868" xr:uid="{00000000-0005-0000-0000-000054840000}"/>
    <cellStyle name="TextBold" xfId="33869" xr:uid="{00000000-0005-0000-0000-000055840000}"/>
    <cellStyle name="TextBold 10" xfId="33870" xr:uid="{00000000-0005-0000-0000-000056840000}"/>
    <cellStyle name="TextBold 11" xfId="33871" xr:uid="{00000000-0005-0000-0000-000057840000}"/>
    <cellStyle name="TextBold 12" xfId="33872" xr:uid="{00000000-0005-0000-0000-000058840000}"/>
    <cellStyle name="TextBold 13" xfId="33873" xr:uid="{00000000-0005-0000-0000-000059840000}"/>
    <cellStyle name="TextBold 14" xfId="33874" xr:uid="{00000000-0005-0000-0000-00005A840000}"/>
    <cellStyle name="TextBold 15" xfId="33875" xr:uid="{00000000-0005-0000-0000-00005B840000}"/>
    <cellStyle name="TextBold 16" xfId="33876" xr:uid="{00000000-0005-0000-0000-00005C840000}"/>
    <cellStyle name="TextBold 17" xfId="33877" xr:uid="{00000000-0005-0000-0000-00005D840000}"/>
    <cellStyle name="TextBold 18" xfId="33878" xr:uid="{00000000-0005-0000-0000-00005E840000}"/>
    <cellStyle name="TextBold 19" xfId="33879" xr:uid="{00000000-0005-0000-0000-00005F840000}"/>
    <cellStyle name="TextBold 2" xfId="33880" xr:uid="{00000000-0005-0000-0000-000060840000}"/>
    <cellStyle name="TextBold 20" xfId="33881" xr:uid="{00000000-0005-0000-0000-000061840000}"/>
    <cellStyle name="TextBold 21" xfId="33882" xr:uid="{00000000-0005-0000-0000-000062840000}"/>
    <cellStyle name="TextBold 22" xfId="33883" xr:uid="{00000000-0005-0000-0000-000063840000}"/>
    <cellStyle name="TextBold 23" xfId="33884" xr:uid="{00000000-0005-0000-0000-000064840000}"/>
    <cellStyle name="TextBold 23 2" xfId="33885" xr:uid="{00000000-0005-0000-0000-000065840000}"/>
    <cellStyle name="TextBold 24" xfId="33886" xr:uid="{00000000-0005-0000-0000-000066840000}"/>
    <cellStyle name="TextBold 24 2" xfId="33887" xr:uid="{00000000-0005-0000-0000-000067840000}"/>
    <cellStyle name="TextBold 25" xfId="33888" xr:uid="{00000000-0005-0000-0000-000068840000}"/>
    <cellStyle name="TextBold 26" xfId="33889" xr:uid="{00000000-0005-0000-0000-000069840000}"/>
    <cellStyle name="TextBold 27" xfId="33890" xr:uid="{00000000-0005-0000-0000-00006A840000}"/>
    <cellStyle name="TextBold 28" xfId="33891" xr:uid="{00000000-0005-0000-0000-00006B840000}"/>
    <cellStyle name="TextBold 29" xfId="33892" xr:uid="{00000000-0005-0000-0000-00006C840000}"/>
    <cellStyle name="TextBold 29 2" xfId="33893" xr:uid="{00000000-0005-0000-0000-00006D840000}"/>
    <cellStyle name="TextBold 3" xfId="33894" xr:uid="{00000000-0005-0000-0000-00006E840000}"/>
    <cellStyle name="TextBold 3 2" xfId="33895" xr:uid="{00000000-0005-0000-0000-00006F840000}"/>
    <cellStyle name="TextBold 30" xfId="33896" xr:uid="{00000000-0005-0000-0000-000070840000}"/>
    <cellStyle name="TextBold 31" xfId="33897" xr:uid="{00000000-0005-0000-0000-000071840000}"/>
    <cellStyle name="TextBold 32" xfId="33898" xr:uid="{00000000-0005-0000-0000-000072840000}"/>
    <cellStyle name="TextBold 33" xfId="33899" xr:uid="{00000000-0005-0000-0000-000073840000}"/>
    <cellStyle name="TextBold 34" xfId="33900" xr:uid="{00000000-0005-0000-0000-000074840000}"/>
    <cellStyle name="TextBold 35" xfId="33901" xr:uid="{00000000-0005-0000-0000-000075840000}"/>
    <cellStyle name="TextBold 36" xfId="33902" xr:uid="{00000000-0005-0000-0000-000076840000}"/>
    <cellStyle name="TextBold 37" xfId="33903" xr:uid="{00000000-0005-0000-0000-000077840000}"/>
    <cellStyle name="TextBold 38" xfId="33904" xr:uid="{00000000-0005-0000-0000-000078840000}"/>
    <cellStyle name="TextBold 4" xfId="33905" xr:uid="{00000000-0005-0000-0000-000079840000}"/>
    <cellStyle name="TextBold 4 2" xfId="33906" xr:uid="{00000000-0005-0000-0000-00007A840000}"/>
    <cellStyle name="TextBold 5" xfId="33907" xr:uid="{00000000-0005-0000-0000-00007B840000}"/>
    <cellStyle name="TextBold 5 2" xfId="33908" xr:uid="{00000000-0005-0000-0000-00007C840000}"/>
    <cellStyle name="TextBold 6" xfId="33909" xr:uid="{00000000-0005-0000-0000-00007D840000}"/>
    <cellStyle name="TextBold 6 2" xfId="33910" xr:uid="{00000000-0005-0000-0000-00007E840000}"/>
    <cellStyle name="TextBold 7" xfId="33911" xr:uid="{00000000-0005-0000-0000-00007F840000}"/>
    <cellStyle name="TextBold 7 2" xfId="33912" xr:uid="{00000000-0005-0000-0000-000080840000}"/>
    <cellStyle name="TextBold 8" xfId="33913" xr:uid="{00000000-0005-0000-0000-000081840000}"/>
    <cellStyle name="TextBold 8 2" xfId="33914" xr:uid="{00000000-0005-0000-0000-000082840000}"/>
    <cellStyle name="TextBold 9" xfId="33915" xr:uid="{00000000-0005-0000-0000-000083840000}"/>
    <cellStyle name="TextItalic" xfId="33916" xr:uid="{00000000-0005-0000-0000-000084840000}"/>
    <cellStyle name="TextItalic 10" xfId="33917" xr:uid="{00000000-0005-0000-0000-000085840000}"/>
    <cellStyle name="TextItalic 11" xfId="33918" xr:uid="{00000000-0005-0000-0000-000086840000}"/>
    <cellStyle name="TextItalic 12" xfId="33919" xr:uid="{00000000-0005-0000-0000-000087840000}"/>
    <cellStyle name="TextItalic 13" xfId="33920" xr:uid="{00000000-0005-0000-0000-000088840000}"/>
    <cellStyle name="TextItalic 14" xfId="33921" xr:uid="{00000000-0005-0000-0000-000089840000}"/>
    <cellStyle name="TextItalic 15" xfId="33922" xr:uid="{00000000-0005-0000-0000-00008A840000}"/>
    <cellStyle name="TextItalic 16" xfId="33923" xr:uid="{00000000-0005-0000-0000-00008B840000}"/>
    <cellStyle name="TextItalic 17" xfId="33924" xr:uid="{00000000-0005-0000-0000-00008C840000}"/>
    <cellStyle name="TextItalic 18" xfId="33925" xr:uid="{00000000-0005-0000-0000-00008D840000}"/>
    <cellStyle name="TextItalic 19" xfId="33926" xr:uid="{00000000-0005-0000-0000-00008E840000}"/>
    <cellStyle name="TextItalic 2" xfId="33927" xr:uid="{00000000-0005-0000-0000-00008F840000}"/>
    <cellStyle name="TextItalic 20" xfId="33928" xr:uid="{00000000-0005-0000-0000-000090840000}"/>
    <cellStyle name="TextItalic 21" xfId="33929" xr:uid="{00000000-0005-0000-0000-000091840000}"/>
    <cellStyle name="TextItalic 22" xfId="33930" xr:uid="{00000000-0005-0000-0000-000092840000}"/>
    <cellStyle name="TextItalic 23" xfId="33931" xr:uid="{00000000-0005-0000-0000-000093840000}"/>
    <cellStyle name="TextItalic 23 2" xfId="33932" xr:uid="{00000000-0005-0000-0000-000094840000}"/>
    <cellStyle name="TextItalic 24" xfId="33933" xr:uid="{00000000-0005-0000-0000-000095840000}"/>
    <cellStyle name="TextItalic 24 2" xfId="33934" xr:uid="{00000000-0005-0000-0000-000096840000}"/>
    <cellStyle name="TextItalic 25" xfId="33935" xr:uid="{00000000-0005-0000-0000-000097840000}"/>
    <cellStyle name="TextItalic 26" xfId="33936" xr:uid="{00000000-0005-0000-0000-000098840000}"/>
    <cellStyle name="TextItalic 27" xfId="33937" xr:uid="{00000000-0005-0000-0000-000099840000}"/>
    <cellStyle name="TextItalic 28" xfId="33938" xr:uid="{00000000-0005-0000-0000-00009A840000}"/>
    <cellStyle name="TextItalic 29" xfId="33939" xr:uid="{00000000-0005-0000-0000-00009B840000}"/>
    <cellStyle name="TextItalic 29 2" xfId="33940" xr:uid="{00000000-0005-0000-0000-00009C840000}"/>
    <cellStyle name="TextItalic 3" xfId="33941" xr:uid="{00000000-0005-0000-0000-00009D840000}"/>
    <cellStyle name="TextItalic 3 2" xfId="33942" xr:uid="{00000000-0005-0000-0000-00009E840000}"/>
    <cellStyle name="TextItalic 30" xfId="33943" xr:uid="{00000000-0005-0000-0000-00009F840000}"/>
    <cellStyle name="TextItalic 31" xfId="33944" xr:uid="{00000000-0005-0000-0000-0000A0840000}"/>
    <cellStyle name="TextItalic 32" xfId="33945" xr:uid="{00000000-0005-0000-0000-0000A1840000}"/>
    <cellStyle name="TextItalic 33" xfId="33946" xr:uid="{00000000-0005-0000-0000-0000A2840000}"/>
    <cellStyle name="TextItalic 34" xfId="33947" xr:uid="{00000000-0005-0000-0000-0000A3840000}"/>
    <cellStyle name="TextItalic 35" xfId="33948" xr:uid="{00000000-0005-0000-0000-0000A4840000}"/>
    <cellStyle name="TextItalic 36" xfId="33949" xr:uid="{00000000-0005-0000-0000-0000A5840000}"/>
    <cellStyle name="TextItalic 37" xfId="33950" xr:uid="{00000000-0005-0000-0000-0000A6840000}"/>
    <cellStyle name="TextItalic 38" xfId="33951" xr:uid="{00000000-0005-0000-0000-0000A7840000}"/>
    <cellStyle name="TextItalic 4" xfId="33952" xr:uid="{00000000-0005-0000-0000-0000A8840000}"/>
    <cellStyle name="TextItalic 4 2" xfId="33953" xr:uid="{00000000-0005-0000-0000-0000A9840000}"/>
    <cellStyle name="TextItalic 5" xfId="33954" xr:uid="{00000000-0005-0000-0000-0000AA840000}"/>
    <cellStyle name="TextItalic 5 2" xfId="33955" xr:uid="{00000000-0005-0000-0000-0000AB840000}"/>
    <cellStyle name="TextItalic 6" xfId="33956" xr:uid="{00000000-0005-0000-0000-0000AC840000}"/>
    <cellStyle name="TextItalic 6 2" xfId="33957" xr:uid="{00000000-0005-0000-0000-0000AD840000}"/>
    <cellStyle name="TextItalic 7" xfId="33958" xr:uid="{00000000-0005-0000-0000-0000AE840000}"/>
    <cellStyle name="TextItalic 7 2" xfId="33959" xr:uid="{00000000-0005-0000-0000-0000AF840000}"/>
    <cellStyle name="TextItalic 8" xfId="33960" xr:uid="{00000000-0005-0000-0000-0000B0840000}"/>
    <cellStyle name="TextItalic 8 2" xfId="33961" xr:uid="{00000000-0005-0000-0000-0000B1840000}"/>
    <cellStyle name="TextItalic 9" xfId="33962" xr:uid="{00000000-0005-0000-0000-0000B2840000}"/>
    <cellStyle name="TextNormal" xfId="33963" xr:uid="{00000000-0005-0000-0000-0000B3840000}"/>
    <cellStyle name="TextNormal 10" xfId="33964" xr:uid="{00000000-0005-0000-0000-0000B4840000}"/>
    <cellStyle name="TextNormal 10 2" xfId="33965" xr:uid="{00000000-0005-0000-0000-0000B5840000}"/>
    <cellStyle name="TextNormal 11" xfId="33966" xr:uid="{00000000-0005-0000-0000-0000B6840000}"/>
    <cellStyle name="TextNormal 12" xfId="33967" xr:uid="{00000000-0005-0000-0000-0000B7840000}"/>
    <cellStyle name="TextNormal 13" xfId="33968" xr:uid="{00000000-0005-0000-0000-0000B8840000}"/>
    <cellStyle name="TextNormal 14" xfId="33969" xr:uid="{00000000-0005-0000-0000-0000B9840000}"/>
    <cellStyle name="TextNormal 15" xfId="33970" xr:uid="{00000000-0005-0000-0000-0000BA840000}"/>
    <cellStyle name="TextNormal 16" xfId="33971" xr:uid="{00000000-0005-0000-0000-0000BB840000}"/>
    <cellStyle name="TextNormal 17" xfId="33972" xr:uid="{00000000-0005-0000-0000-0000BC840000}"/>
    <cellStyle name="TextNormal 18" xfId="33973" xr:uid="{00000000-0005-0000-0000-0000BD840000}"/>
    <cellStyle name="TextNormal 19" xfId="33974" xr:uid="{00000000-0005-0000-0000-0000BE840000}"/>
    <cellStyle name="TextNormal 2" xfId="33975" xr:uid="{00000000-0005-0000-0000-0000BF840000}"/>
    <cellStyle name="TextNormal 2 2" xfId="33976" xr:uid="{00000000-0005-0000-0000-0000C0840000}"/>
    <cellStyle name="TextNormal 20" xfId="33977" xr:uid="{00000000-0005-0000-0000-0000C1840000}"/>
    <cellStyle name="TextNormal 21" xfId="33978" xr:uid="{00000000-0005-0000-0000-0000C2840000}"/>
    <cellStyle name="TextNormal 22" xfId="33979" xr:uid="{00000000-0005-0000-0000-0000C3840000}"/>
    <cellStyle name="TextNormal 23" xfId="33980" xr:uid="{00000000-0005-0000-0000-0000C4840000}"/>
    <cellStyle name="TextNormal 24" xfId="33981" xr:uid="{00000000-0005-0000-0000-0000C5840000}"/>
    <cellStyle name="TextNormal 25" xfId="33982" xr:uid="{00000000-0005-0000-0000-0000C6840000}"/>
    <cellStyle name="TextNormal 25 2" xfId="33983" xr:uid="{00000000-0005-0000-0000-0000C7840000}"/>
    <cellStyle name="TextNormal 26" xfId="33984" xr:uid="{00000000-0005-0000-0000-0000C8840000}"/>
    <cellStyle name="TextNormal 26 2" xfId="33985" xr:uid="{00000000-0005-0000-0000-0000C9840000}"/>
    <cellStyle name="TextNormal 27" xfId="33986" xr:uid="{00000000-0005-0000-0000-0000CA840000}"/>
    <cellStyle name="TextNormal 28" xfId="33987" xr:uid="{00000000-0005-0000-0000-0000CB840000}"/>
    <cellStyle name="TextNormal 29" xfId="33988" xr:uid="{00000000-0005-0000-0000-0000CC840000}"/>
    <cellStyle name="TextNormal 3" xfId="33989" xr:uid="{00000000-0005-0000-0000-0000CD840000}"/>
    <cellStyle name="TextNormal 3 2" xfId="33990" xr:uid="{00000000-0005-0000-0000-0000CE840000}"/>
    <cellStyle name="TextNormal 30" xfId="33991" xr:uid="{00000000-0005-0000-0000-0000CF840000}"/>
    <cellStyle name="TextNormal 31" xfId="33992" xr:uid="{00000000-0005-0000-0000-0000D0840000}"/>
    <cellStyle name="TextNormal 31 2" xfId="33993" xr:uid="{00000000-0005-0000-0000-0000D1840000}"/>
    <cellStyle name="TextNormal 32" xfId="33994" xr:uid="{00000000-0005-0000-0000-0000D2840000}"/>
    <cellStyle name="TextNormal 33" xfId="33995" xr:uid="{00000000-0005-0000-0000-0000D3840000}"/>
    <cellStyle name="TextNormal 34" xfId="33996" xr:uid="{00000000-0005-0000-0000-0000D4840000}"/>
    <cellStyle name="TextNormal 35" xfId="33997" xr:uid="{00000000-0005-0000-0000-0000D5840000}"/>
    <cellStyle name="TextNormal 36" xfId="33998" xr:uid="{00000000-0005-0000-0000-0000D6840000}"/>
    <cellStyle name="TextNormal 37" xfId="33999" xr:uid="{00000000-0005-0000-0000-0000D7840000}"/>
    <cellStyle name="TextNormal 38" xfId="34000" xr:uid="{00000000-0005-0000-0000-0000D8840000}"/>
    <cellStyle name="TextNormal 39" xfId="34001" xr:uid="{00000000-0005-0000-0000-0000D9840000}"/>
    <cellStyle name="TextNormal 4" xfId="34002" xr:uid="{00000000-0005-0000-0000-0000DA840000}"/>
    <cellStyle name="TextNormal 40" xfId="34003" xr:uid="{00000000-0005-0000-0000-0000DB840000}"/>
    <cellStyle name="TextNormal 5" xfId="34004" xr:uid="{00000000-0005-0000-0000-0000DC840000}"/>
    <cellStyle name="TextNormal 5 2" xfId="34005" xr:uid="{00000000-0005-0000-0000-0000DD840000}"/>
    <cellStyle name="TextNormal 6" xfId="34006" xr:uid="{00000000-0005-0000-0000-0000DE840000}"/>
    <cellStyle name="TextNormal 6 2" xfId="34007" xr:uid="{00000000-0005-0000-0000-0000DF840000}"/>
    <cellStyle name="TextNormal 7" xfId="34008" xr:uid="{00000000-0005-0000-0000-0000E0840000}"/>
    <cellStyle name="TextNormal 7 2" xfId="34009" xr:uid="{00000000-0005-0000-0000-0000E1840000}"/>
    <cellStyle name="TextNormal 8" xfId="34010" xr:uid="{00000000-0005-0000-0000-0000E2840000}"/>
    <cellStyle name="TextNormal 8 2" xfId="34011" xr:uid="{00000000-0005-0000-0000-0000E3840000}"/>
    <cellStyle name="TextNormal 9" xfId="34012" xr:uid="{00000000-0005-0000-0000-0000E4840000}"/>
    <cellStyle name="TextNormal 9 2" xfId="34013" xr:uid="{00000000-0005-0000-0000-0000E5840000}"/>
    <cellStyle name="TextStyle" xfId="34014" xr:uid="{00000000-0005-0000-0000-0000E6840000}"/>
    <cellStyle name="TextStyle 10" xfId="34015" xr:uid="{00000000-0005-0000-0000-0000E7840000}"/>
    <cellStyle name="TextStyle 11" xfId="34016" xr:uid="{00000000-0005-0000-0000-0000E8840000}"/>
    <cellStyle name="TextStyle 12" xfId="34017" xr:uid="{00000000-0005-0000-0000-0000E9840000}"/>
    <cellStyle name="TextStyle 13" xfId="34018" xr:uid="{00000000-0005-0000-0000-0000EA840000}"/>
    <cellStyle name="TextStyle 14" xfId="34019" xr:uid="{00000000-0005-0000-0000-0000EB840000}"/>
    <cellStyle name="TextStyle 15" xfId="34020" xr:uid="{00000000-0005-0000-0000-0000EC840000}"/>
    <cellStyle name="TextStyle 16" xfId="34021" xr:uid="{00000000-0005-0000-0000-0000ED840000}"/>
    <cellStyle name="TextStyle 17" xfId="34022" xr:uid="{00000000-0005-0000-0000-0000EE840000}"/>
    <cellStyle name="TextStyle 18" xfId="34023" xr:uid="{00000000-0005-0000-0000-0000EF840000}"/>
    <cellStyle name="TextStyle 19" xfId="34024" xr:uid="{00000000-0005-0000-0000-0000F0840000}"/>
    <cellStyle name="TextStyle 2" xfId="34025" xr:uid="{00000000-0005-0000-0000-0000F1840000}"/>
    <cellStyle name="TextStyle 20" xfId="34026" xr:uid="{00000000-0005-0000-0000-0000F2840000}"/>
    <cellStyle name="TextStyle 21" xfId="34027" xr:uid="{00000000-0005-0000-0000-0000F3840000}"/>
    <cellStyle name="TextStyle 3" xfId="34028" xr:uid="{00000000-0005-0000-0000-0000F4840000}"/>
    <cellStyle name="TextStyle 4" xfId="34029" xr:uid="{00000000-0005-0000-0000-0000F5840000}"/>
    <cellStyle name="TextStyle 5" xfId="34030" xr:uid="{00000000-0005-0000-0000-0000F6840000}"/>
    <cellStyle name="TextStyle 6" xfId="34031" xr:uid="{00000000-0005-0000-0000-0000F7840000}"/>
    <cellStyle name="TextStyle 7" xfId="34032" xr:uid="{00000000-0005-0000-0000-0000F8840000}"/>
    <cellStyle name="TextStyle 8" xfId="34033" xr:uid="{00000000-0005-0000-0000-0000F9840000}"/>
    <cellStyle name="TextStyle 9" xfId="34034" xr:uid="{00000000-0005-0000-0000-0000FA840000}"/>
    <cellStyle name="Tickmark" xfId="34035" xr:uid="{00000000-0005-0000-0000-0000FB840000}"/>
    <cellStyle name="Tickmark 10" xfId="34036" xr:uid="{00000000-0005-0000-0000-0000FC840000}"/>
    <cellStyle name="Tickmark 11" xfId="34037" xr:uid="{00000000-0005-0000-0000-0000FD840000}"/>
    <cellStyle name="Tickmark 12" xfId="34038" xr:uid="{00000000-0005-0000-0000-0000FE840000}"/>
    <cellStyle name="Tickmark 13" xfId="34039" xr:uid="{00000000-0005-0000-0000-0000FF840000}"/>
    <cellStyle name="Tickmark 14" xfId="34040" xr:uid="{00000000-0005-0000-0000-000000850000}"/>
    <cellStyle name="Tickmark 15" xfId="34041" xr:uid="{00000000-0005-0000-0000-000001850000}"/>
    <cellStyle name="Tickmark 16" xfId="34042" xr:uid="{00000000-0005-0000-0000-000002850000}"/>
    <cellStyle name="Tickmark 17" xfId="34043" xr:uid="{00000000-0005-0000-0000-000003850000}"/>
    <cellStyle name="Tickmark 18" xfId="34044" xr:uid="{00000000-0005-0000-0000-000004850000}"/>
    <cellStyle name="Tickmark 19" xfId="34045" xr:uid="{00000000-0005-0000-0000-000005850000}"/>
    <cellStyle name="Tickmark 2" xfId="34046" xr:uid="{00000000-0005-0000-0000-000006850000}"/>
    <cellStyle name="Tickmark 20" xfId="34047" xr:uid="{00000000-0005-0000-0000-000007850000}"/>
    <cellStyle name="Tickmark 21" xfId="34048" xr:uid="{00000000-0005-0000-0000-000008850000}"/>
    <cellStyle name="Tickmark 22" xfId="34049" xr:uid="{00000000-0005-0000-0000-000009850000}"/>
    <cellStyle name="Tickmark 23" xfId="34050" xr:uid="{00000000-0005-0000-0000-00000A850000}"/>
    <cellStyle name="Tickmark 24" xfId="34051" xr:uid="{00000000-0005-0000-0000-00000B850000}"/>
    <cellStyle name="Tickmark 25" xfId="34052" xr:uid="{00000000-0005-0000-0000-00000C850000}"/>
    <cellStyle name="Tickmark 26" xfId="34053" xr:uid="{00000000-0005-0000-0000-00000D850000}"/>
    <cellStyle name="Tickmark 27" xfId="34054" xr:uid="{00000000-0005-0000-0000-00000E850000}"/>
    <cellStyle name="Tickmark 28" xfId="34055" xr:uid="{00000000-0005-0000-0000-00000F850000}"/>
    <cellStyle name="Tickmark 29" xfId="34056" xr:uid="{00000000-0005-0000-0000-000010850000}"/>
    <cellStyle name="Tickmark 29 2" xfId="34057" xr:uid="{00000000-0005-0000-0000-000011850000}"/>
    <cellStyle name="Tickmark 3" xfId="34058" xr:uid="{00000000-0005-0000-0000-000012850000}"/>
    <cellStyle name="Tickmark 30" xfId="34059" xr:uid="{00000000-0005-0000-0000-000013850000}"/>
    <cellStyle name="Tickmark 31" xfId="34060" xr:uid="{00000000-0005-0000-0000-000014850000}"/>
    <cellStyle name="Tickmark 32" xfId="34061" xr:uid="{00000000-0005-0000-0000-000015850000}"/>
    <cellStyle name="Tickmark 33" xfId="34062" xr:uid="{00000000-0005-0000-0000-000016850000}"/>
    <cellStyle name="Tickmark 34" xfId="34063" xr:uid="{00000000-0005-0000-0000-000017850000}"/>
    <cellStyle name="Tickmark 35" xfId="34064" xr:uid="{00000000-0005-0000-0000-000018850000}"/>
    <cellStyle name="Tickmark 36" xfId="34065" xr:uid="{00000000-0005-0000-0000-000019850000}"/>
    <cellStyle name="Tickmark 37" xfId="34066" xr:uid="{00000000-0005-0000-0000-00001A850000}"/>
    <cellStyle name="Tickmark 38" xfId="34067" xr:uid="{00000000-0005-0000-0000-00001B850000}"/>
    <cellStyle name="Tickmark 4" xfId="34068" xr:uid="{00000000-0005-0000-0000-00001C850000}"/>
    <cellStyle name="Tickmark 5" xfId="34069" xr:uid="{00000000-0005-0000-0000-00001D850000}"/>
    <cellStyle name="Tickmark 6" xfId="34070" xr:uid="{00000000-0005-0000-0000-00001E850000}"/>
    <cellStyle name="Tickmark 7" xfId="34071" xr:uid="{00000000-0005-0000-0000-00001F850000}"/>
    <cellStyle name="Tickmark 8" xfId="34072" xr:uid="{00000000-0005-0000-0000-000020850000}"/>
    <cellStyle name="Tickmark 9" xfId="34073" xr:uid="{00000000-0005-0000-0000-000021850000}"/>
    <cellStyle name="Tilbod" xfId="34074" xr:uid="{00000000-0005-0000-0000-000022850000}"/>
    <cellStyle name="Tilbod 10" xfId="34075" xr:uid="{00000000-0005-0000-0000-000023850000}"/>
    <cellStyle name="Tilbod 11" xfId="34076" xr:uid="{00000000-0005-0000-0000-000024850000}"/>
    <cellStyle name="Tilbod 12" xfId="34077" xr:uid="{00000000-0005-0000-0000-000025850000}"/>
    <cellStyle name="Tilbod 13" xfId="34078" xr:uid="{00000000-0005-0000-0000-000026850000}"/>
    <cellStyle name="Tilbod 14" xfId="34079" xr:uid="{00000000-0005-0000-0000-000027850000}"/>
    <cellStyle name="Tilbod 15" xfId="34080" xr:uid="{00000000-0005-0000-0000-000028850000}"/>
    <cellStyle name="Tilbod 16" xfId="34081" xr:uid="{00000000-0005-0000-0000-000029850000}"/>
    <cellStyle name="Tilbod 17" xfId="34082" xr:uid="{00000000-0005-0000-0000-00002A850000}"/>
    <cellStyle name="Tilbod 18" xfId="34083" xr:uid="{00000000-0005-0000-0000-00002B850000}"/>
    <cellStyle name="Tilbod 19" xfId="34084" xr:uid="{00000000-0005-0000-0000-00002C850000}"/>
    <cellStyle name="Tilbod 2" xfId="34085" xr:uid="{00000000-0005-0000-0000-00002D850000}"/>
    <cellStyle name="Tilbod 2 2" xfId="34086" xr:uid="{00000000-0005-0000-0000-00002E850000}"/>
    <cellStyle name="Tilbod 20" xfId="34087" xr:uid="{00000000-0005-0000-0000-00002F850000}"/>
    <cellStyle name="Tilbod 21" xfId="34088" xr:uid="{00000000-0005-0000-0000-000030850000}"/>
    <cellStyle name="Tilbod 22" xfId="34089" xr:uid="{00000000-0005-0000-0000-000031850000}"/>
    <cellStyle name="Tilbod 22 2" xfId="34090" xr:uid="{00000000-0005-0000-0000-000032850000}"/>
    <cellStyle name="Tilbod 3" xfId="34091" xr:uid="{00000000-0005-0000-0000-000033850000}"/>
    <cellStyle name="Tilbod 4" xfId="34092" xr:uid="{00000000-0005-0000-0000-000034850000}"/>
    <cellStyle name="Tilbod 5" xfId="34093" xr:uid="{00000000-0005-0000-0000-000035850000}"/>
    <cellStyle name="Tilbod 6" xfId="34094" xr:uid="{00000000-0005-0000-0000-000036850000}"/>
    <cellStyle name="Tilbod 7" xfId="34095" xr:uid="{00000000-0005-0000-0000-000037850000}"/>
    <cellStyle name="Tilbod 8" xfId="34096" xr:uid="{00000000-0005-0000-0000-000038850000}"/>
    <cellStyle name="Tilbod 9" xfId="34097" xr:uid="{00000000-0005-0000-0000-000039850000}"/>
    <cellStyle name="Times 10" xfId="34098" xr:uid="{00000000-0005-0000-0000-00003A850000}"/>
    <cellStyle name="Times 10 10" xfId="34099" xr:uid="{00000000-0005-0000-0000-00003B850000}"/>
    <cellStyle name="Times 10 11" xfId="34100" xr:uid="{00000000-0005-0000-0000-00003C850000}"/>
    <cellStyle name="Times 10 12" xfId="34101" xr:uid="{00000000-0005-0000-0000-00003D850000}"/>
    <cellStyle name="Times 10 13" xfId="34102" xr:uid="{00000000-0005-0000-0000-00003E850000}"/>
    <cellStyle name="Times 10 14" xfId="34103" xr:uid="{00000000-0005-0000-0000-00003F850000}"/>
    <cellStyle name="Times 10 15" xfId="34104" xr:uid="{00000000-0005-0000-0000-000040850000}"/>
    <cellStyle name="Times 10 16" xfId="34105" xr:uid="{00000000-0005-0000-0000-000041850000}"/>
    <cellStyle name="Times 10 17" xfId="34106" xr:uid="{00000000-0005-0000-0000-000042850000}"/>
    <cellStyle name="Times 10 18" xfId="34107" xr:uid="{00000000-0005-0000-0000-000043850000}"/>
    <cellStyle name="Times 10 19" xfId="34108" xr:uid="{00000000-0005-0000-0000-000044850000}"/>
    <cellStyle name="Times 10 2" xfId="34109" xr:uid="{00000000-0005-0000-0000-000045850000}"/>
    <cellStyle name="Times 10 2 2" xfId="34110" xr:uid="{00000000-0005-0000-0000-000046850000}"/>
    <cellStyle name="Times 10 20" xfId="34111" xr:uid="{00000000-0005-0000-0000-000047850000}"/>
    <cellStyle name="Times 10 21" xfId="34112" xr:uid="{00000000-0005-0000-0000-000048850000}"/>
    <cellStyle name="Times 10 22" xfId="34113" xr:uid="{00000000-0005-0000-0000-000049850000}"/>
    <cellStyle name="Times 10 23" xfId="34114" xr:uid="{00000000-0005-0000-0000-00004A850000}"/>
    <cellStyle name="Times 10 23 2" xfId="34115" xr:uid="{00000000-0005-0000-0000-00004B850000}"/>
    <cellStyle name="Times 10 3" xfId="34116" xr:uid="{00000000-0005-0000-0000-00004C850000}"/>
    <cellStyle name="Times 10 3 2" xfId="34117" xr:uid="{00000000-0005-0000-0000-00004D850000}"/>
    <cellStyle name="Times 10 4" xfId="34118" xr:uid="{00000000-0005-0000-0000-00004E850000}"/>
    <cellStyle name="Times 10 5" xfId="34119" xr:uid="{00000000-0005-0000-0000-00004F850000}"/>
    <cellStyle name="Times 10 6" xfId="34120" xr:uid="{00000000-0005-0000-0000-000050850000}"/>
    <cellStyle name="Times 10 7" xfId="34121" xr:uid="{00000000-0005-0000-0000-000051850000}"/>
    <cellStyle name="Times 10 8" xfId="34122" xr:uid="{00000000-0005-0000-0000-000052850000}"/>
    <cellStyle name="Times 10 9" xfId="34123" xr:uid="{00000000-0005-0000-0000-000053850000}"/>
    <cellStyle name="Times 12" xfId="34124" xr:uid="{00000000-0005-0000-0000-000054850000}"/>
    <cellStyle name="Times 12 10" xfId="34125" xr:uid="{00000000-0005-0000-0000-000055850000}"/>
    <cellStyle name="Times 12 11" xfId="34126" xr:uid="{00000000-0005-0000-0000-000056850000}"/>
    <cellStyle name="Times 12 12" xfId="34127" xr:uid="{00000000-0005-0000-0000-000057850000}"/>
    <cellStyle name="Times 12 13" xfId="34128" xr:uid="{00000000-0005-0000-0000-000058850000}"/>
    <cellStyle name="Times 12 14" xfId="34129" xr:uid="{00000000-0005-0000-0000-000059850000}"/>
    <cellStyle name="Times 12 15" xfId="34130" xr:uid="{00000000-0005-0000-0000-00005A850000}"/>
    <cellStyle name="Times 12 16" xfId="34131" xr:uid="{00000000-0005-0000-0000-00005B850000}"/>
    <cellStyle name="Times 12 17" xfId="34132" xr:uid="{00000000-0005-0000-0000-00005C850000}"/>
    <cellStyle name="Times 12 18" xfId="34133" xr:uid="{00000000-0005-0000-0000-00005D850000}"/>
    <cellStyle name="Times 12 19" xfId="34134" xr:uid="{00000000-0005-0000-0000-00005E850000}"/>
    <cellStyle name="Times 12 2" xfId="34135" xr:uid="{00000000-0005-0000-0000-00005F850000}"/>
    <cellStyle name="Times 12 2 2" xfId="34136" xr:uid="{00000000-0005-0000-0000-000060850000}"/>
    <cellStyle name="Times 12 20" xfId="34137" xr:uid="{00000000-0005-0000-0000-000061850000}"/>
    <cellStyle name="Times 12 21" xfId="34138" xr:uid="{00000000-0005-0000-0000-000062850000}"/>
    <cellStyle name="Times 12 22" xfId="34139" xr:uid="{00000000-0005-0000-0000-000063850000}"/>
    <cellStyle name="Times 12 23" xfId="34140" xr:uid="{00000000-0005-0000-0000-000064850000}"/>
    <cellStyle name="Times 12 23 2" xfId="34141" xr:uid="{00000000-0005-0000-0000-000065850000}"/>
    <cellStyle name="Times 12 3" xfId="34142" xr:uid="{00000000-0005-0000-0000-000066850000}"/>
    <cellStyle name="Times 12 3 2" xfId="34143" xr:uid="{00000000-0005-0000-0000-000067850000}"/>
    <cellStyle name="Times 12 4" xfId="34144" xr:uid="{00000000-0005-0000-0000-000068850000}"/>
    <cellStyle name="Times 12 5" xfId="34145" xr:uid="{00000000-0005-0000-0000-000069850000}"/>
    <cellStyle name="Times 12 6" xfId="34146" xr:uid="{00000000-0005-0000-0000-00006A850000}"/>
    <cellStyle name="Times 12 7" xfId="34147" xr:uid="{00000000-0005-0000-0000-00006B850000}"/>
    <cellStyle name="Times 12 8" xfId="34148" xr:uid="{00000000-0005-0000-0000-00006C850000}"/>
    <cellStyle name="Times 12 9" xfId="34149" xr:uid="{00000000-0005-0000-0000-00006D850000}"/>
    <cellStyle name="Times New Roman" xfId="34150" xr:uid="{00000000-0005-0000-0000-00006E850000}"/>
    <cellStyle name="Times New Roman 10" xfId="34151" xr:uid="{00000000-0005-0000-0000-00006F850000}"/>
    <cellStyle name="Times New Roman 11" xfId="34152" xr:uid="{00000000-0005-0000-0000-000070850000}"/>
    <cellStyle name="Times New Roman 12" xfId="34153" xr:uid="{00000000-0005-0000-0000-000071850000}"/>
    <cellStyle name="Times New Roman 13" xfId="34154" xr:uid="{00000000-0005-0000-0000-000072850000}"/>
    <cellStyle name="Times New Roman 14" xfId="34155" xr:uid="{00000000-0005-0000-0000-000073850000}"/>
    <cellStyle name="Times New Roman 15" xfId="34156" xr:uid="{00000000-0005-0000-0000-000074850000}"/>
    <cellStyle name="Times New Roman 16" xfId="34157" xr:uid="{00000000-0005-0000-0000-000075850000}"/>
    <cellStyle name="Times New Roman 17" xfId="34158" xr:uid="{00000000-0005-0000-0000-000076850000}"/>
    <cellStyle name="Times New Roman 18" xfId="34159" xr:uid="{00000000-0005-0000-0000-000077850000}"/>
    <cellStyle name="Times New Roman 19" xfId="34160" xr:uid="{00000000-0005-0000-0000-000078850000}"/>
    <cellStyle name="Times New Roman 2" xfId="34161" xr:uid="{00000000-0005-0000-0000-000079850000}"/>
    <cellStyle name="Times New Roman 20" xfId="34162" xr:uid="{00000000-0005-0000-0000-00007A850000}"/>
    <cellStyle name="Times New Roman 21" xfId="34163" xr:uid="{00000000-0005-0000-0000-00007B850000}"/>
    <cellStyle name="Times New Roman 21 2" xfId="34164" xr:uid="{00000000-0005-0000-0000-00007C850000}"/>
    <cellStyle name="Times New Roman 3" xfId="34165" xr:uid="{00000000-0005-0000-0000-00007D850000}"/>
    <cellStyle name="Times New Roman 4" xfId="34166" xr:uid="{00000000-0005-0000-0000-00007E850000}"/>
    <cellStyle name="Times New Roman 5" xfId="34167" xr:uid="{00000000-0005-0000-0000-00007F850000}"/>
    <cellStyle name="Times New Roman 6" xfId="34168" xr:uid="{00000000-0005-0000-0000-000080850000}"/>
    <cellStyle name="Times New Roman 7" xfId="34169" xr:uid="{00000000-0005-0000-0000-000081850000}"/>
    <cellStyle name="Times New Roman 8" xfId="34170" xr:uid="{00000000-0005-0000-0000-000082850000}"/>
    <cellStyle name="Times New Roman 9" xfId="34171" xr:uid="{00000000-0005-0000-0000-000083850000}"/>
    <cellStyle name="Tina" xfId="34172" xr:uid="{00000000-0005-0000-0000-000084850000}"/>
    <cellStyle name="Tina 10" xfId="34173" xr:uid="{00000000-0005-0000-0000-000085850000}"/>
    <cellStyle name="Tina 11" xfId="34174" xr:uid="{00000000-0005-0000-0000-000086850000}"/>
    <cellStyle name="Tina 12" xfId="34175" xr:uid="{00000000-0005-0000-0000-000087850000}"/>
    <cellStyle name="Tina 13" xfId="34176" xr:uid="{00000000-0005-0000-0000-000088850000}"/>
    <cellStyle name="Tina 14" xfId="34177" xr:uid="{00000000-0005-0000-0000-000089850000}"/>
    <cellStyle name="Tina 15" xfId="34178" xr:uid="{00000000-0005-0000-0000-00008A850000}"/>
    <cellStyle name="Tina 16" xfId="34179" xr:uid="{00000000-0005-0000-0000-00008B850000}"/>
    <cellStyle name="Tina 17" xfId="34180" xr:uid="{00000000-0005-0000-0000-00008C850000}"/>
    <cellStyle name="Tina 18" xfId="34181" xr:uid="{00000000-0005-0000-0000-00008D850000}"/>
    <cellStyle name="Tina 19" xfId="34182" xr:uid="{00000000-0005-0000-0000-00008E850000}"/>
    <cellStyle name="Tina 2" xfId="34183" xr:uid="{00000000-0005-0000-0000-00008F850000}"/>
    <cellStyle name="Tina 2 2" xfId="34184" xr:uid="{00000000-0005-0000-0000-000090850000}"/>
    <cellStyle name="Tina 20" xfId="34185" xr:uid="{00000000-0005-0000-0000-000091850000}"/>
    <cellStyle name="Tina 21" xfId="34186" xr:uid="{00000000-0005-0000-0000-000092850000}"/>
    <cellStyle name="Tina 22" xfId="34187" xr:uid="{00000000-0005-0000-0000-000093850000}"/>
    <cellStyle name="Tina 23" xfId="34188" xr:uid="{00000000-0005-0000-0000-000094850000}"/>
    <cellStyle name="Tina 24" xfId="34189" xr:uid="{00000000-0005-0000-0000-000095850000}"/>
    <cellStyle name="Tina 25" xfId="34190" xr:uid="{00000000-0005-0000-0000-000096850000}"/>
    <cellStyle name="Tina 26" xfId="34191" xr:uid="{00000000-0005-0000-0000-000097850000}"/>
    <cellStyle name="Tina 27" xfId="34192" xr:uid="{00000000-0005-0000-0000-000098850000}"/>
    <cellStyle name="Tina 28" xfId="34193" xr:uid="{00000000-0005-0000-0000-000099850000}"/>
    <cellStyle name="Tina 29" xfId="34194" xr:uid="{00000000-0005-0000-0000-00009A850000}"/>
    <cellStyle name="Tina 3" xfId="34195" xr:uid="{00000000-0005-0000-0000-00009B850000}"/>
    <cellStyle name="Tina 3 2" xfId="34196" xr:uid="{00000000-0005-0000-0000-00009C850000}"/>
    <cellStyle name="Tina 30" xfId="34197" xr:uid="{00000000-0005-0000-0000-00009D850000}"/>
    <cellStyle name="Tina 31" xfId="34198" xr:uid="{00000000-0005-0000-0000-00009E850000}"/>
    <cellStyle name="Tina 31 2" xfId="34199" xr:uid="{00000000-0005-0000-0000-00009F850000}"/>
    <cellStyle name="Tina 32" xfId="34200" xr:uid="{00000000-0005-0000-0000-0000A0850000}"/>
    <cellStyle name="Tina 33" xfId="34201" xr:uid="{00000000-0005-0000-0000-0000A1850000}"/>
    <cellStyle name="Tina 34" xfId="34202" xr:uid="{00000000-0005-0000-0000-0000A2850000}"/>
    <cellStyle name="Tina 35" xfId="34203" xr:uid="{00000000-0005-0000-0000-0000A3850000}"/>
    <cellStyle name="Tina 36" xfId="34204" xr:uid="{00000000-0005-0000-0000-0000A4850000}"/>
    <cellStyle name="Tina 37" xfId="34205" xr:uid="{00000000-0005-0000-0000-0000A5850000}"/>
    <cellStyle name="Tina 38" xfId="34206" xr:uid="{00000000-0005-0000-0000-0000A6850000}"/>
    <cellStyle name="Tina 39" xfId="34207" xr:uid="{00000000-0005-0000-0000-0000A7850000}"/>
    <cellStyle name="Tina 4" xfId="34208" xr:uid="{00000000-0005-0000-0000-0000A8850000}"/>
    <cellStyle name="Tina 40" xfId="34209" xr:uid="{00000000-0005-0000-0000-0000A9850000}"/>
    <cellStyle name="Tina 5" xfId="34210" xr:uid="{00000000-0005-0000-0000-0000AA850000}"/>
    <cellStyle name="Tina 6" xfId="34211" xr:uid="{00000000-0005-0000-0000-0000AB850000}"/>
    <cellStyle name="Tina 7" xfId="34212" xr:uid="{00000000-0005-0000-0000-0000AC850000}"/>
    <cellStyle name="Tina 8" xfId="34213" xr:uid="{00000000-0005-0000-0000-0000AD850000}"/>
    <cellStyle name="Tina 9" xfId="34214" xr:uid="{00000000-0005-0000-0000-0000AE850000}"/>
    <cellStyle name="Title" xfId="35689" builtinId="15" customBuiltin="1"/>
    <cellStyle name="Title - Underline" xfId="34215" xr:uid="{00000000-0005-0000-0000-0000AF850000}"/>
    <cellStyle name="Title - Underline 10" xfId="34216" xr:uid="{00000000-0005-0000-0000-0000B0850000}"/>
    <cellStyle name="Title - Underline 11" xfId="34217" xr:uid="{00000000-0005-0000-0000-0000B1850000}"/>
    <cellStyle name="Title - Underline 12" xfId="34218" xr:uid="{00000000-0005-0000-0000-0000B2850000}"/>
    <cellStyle name="Title - Underline 13" xfId="34219" xr:uid="{00000000-0005-0000-0000-0000B3850000}"/>
    <cellStyle name="Title - Underline 14" xfId="34220" xr:uid="{00000000-0005-0000-0000-0000B4850000}"/>
    <cellStyle name="Title - Underline 15" xfId="34221" xr:uid="{00000000-0005-0000-0000-0000B5850000}"/>
    <cellStyle name="Title - Underline 16" xfId="34222" xr:uid="{00000000-0005-0000-0000-0000B6850000}"/>
    <cellStyle name="Title - Underline 17" xfId="34223" xr:uid="{00000000-0005-0000-0000-0000B7850000}"/>
    <cellStyle name="Title - Underline 18" xfId="34224" xr:uid="{00000000-0005-0000-0000-0000B8850000}"/>
    <cellStyle name="Title - Underline 19" xfId="34225" xr:uid="{00000000-0005-0000-0000-0000B9850000}"/>
    <cellStyle name="Title - Underline 2" xfId="34226" xr:uid="{00000000-0005-0000-0000-0000BA850000}"/>
    <cellStyle name="Title - Underline 20" xfId="34227" xr:uid="{00000000-0005-0000-0000-0000BB850000}"/>
    <cellStyle name="Title - Underline 21" xfId="34228" xr:uid="{00000000-0005-0000-0000-0000BC850000}"/>
    <cellStyle name="Title - Underline 22" xfId="34229" xr:uid="{00000000-0005-0000-0000-0000BD850000}"/>
    <cellStyle name="Title - Underline 23" xfId="34230" xr:uid="{00000000-0005-0000-0000-0000BE850000}"/>
    <cellStyle name="Title - Underline 23 2" xfId="34231" xr:uid="{00000000-0005-0000-0000-0000BF850000}"/>
    <cellStyle name="Title - Underline 24" xfId="34232" xr:uid="{00000000-0005-0000-0000-0000C0850000}"/>
    <cellStyle name="Title - Underline 24 2" xfId="34233" xr:uid="{00000000-0005-0000-0000-0000C1850000}"/>
    <cellStyle name="Title - Underline 25" xfId="34234" xr:uid="{00000000-0005-0000-0000-0000C2850000}"/>
    <cellStyle name="Title - Underline 26" xfId="34235" xr:uid="{00000000-0005-0000-0000-0000C3850000}"/>
    <cellStyle name="Title - Underline 27" xfId="34236" xr:uid="{00000000-0005-0000-0000-0000C4850000}"/>
    <cellStyle name="Title - Underline 28" xfId="34237" xr:uid="{00000000-0005-0000-0000-0000C5850000}"/>
    <cellStyle name="Title - Underline 29" xfId="34238" xr:uid="{00000000-0005-0000-0000-0000C6850000}"/>
    <cellStyle name="Title - Underline 29 2" xfId="34239" xr:uid="{00000000-0005-0000-0000-0000C7850000}"/>
    <cellStyle name="Title - Underline 3" xfId="34240" xr:uid="{00000000-0005-0000-0000-0000C8850000}"/>
    <cellStyle name="Title - Underline 3 2" xfId="34241" xr:uid="{00000000-0005-0000-0000-0000C9850000}"/>
    <cellStyle name="Title - Underline 30" xfId="34242" xr:uid="{00000000-0005-0000-0000-0000CA850000}"/>
    <cellStyle name="Title - Underline 31" xfId="34243" xr:uid="{00000000-0005-0000-0000-0000CB850000}"/>
    <cellStyle name="Title - Underline 32" xfId="34244" xr:uid="{00000000-0005-0000-0000-0000CC850000}"/>
    <cellStyle name="Title - Underline 33" xfId="34245" xr:uid="{00000000-0005-0000-0000-0000CD850000}"/>
    <cellStyle name="Title - Underline 34" xfId="34246" xr:uid="{00000000-0005-0000-0000-0000CE850000}"/>
    <cellStyle name="Title - Underline 35" xfId="34247" xr:uid="{00000000-0005-0000-0000-0000CF850000}"/>
    <cellStyle name="Title - Underline 36" xfId="34248" xr:uid="{00000000-0005-0000-0000-0000D0850000}"/>
    <cellStyle name="Title - Underline 37" xfId="34249" xr:uid="{00000000-0005-0000-0000-0000D1850000}"/>
    <cellStyle name="Title - Underline 38" xfId="34250" xr:uid="{00000000-0005-0000-0000-0000D2850000}"/>
    <cellStyle name="Title - Underline 4" xfId="34251" xr:uid="{00000000-0005-0000-0000-0000D3850000}"/>
    <cellStyle name="Title - Underline 4 2" xfId="34252" xr:uid="{00000000-0005-0000-0000-0000D4850000}"/>
    <cellStyle name="Title - Underline 5" xfId="34253" xr:uid="{00000000-0005-0000-0000-0000D5850000}"/>
    <cellStyle name="Title - Underline 5 2" xfId="34254" xr:uid="{00000000-0005-0000-0000-0000D6850000}"/>
    <cellStyle name="Title - Underline 6" xfId="34255" xr:uid="{00000000-0005-0000-0000-0000D7850000}"/>
    <cellStyle name="Title - Underline 6 2" xfId="34256" xr:uid="{00000000-0005-0000-0000-0000D8850000}"/>
    <cellStyle name="Title - Underline 7" xfId="34257" xr:uid="{00000000-0005-0000-0000-0000D9850000}"/>
    <cellStyle name="Title - Underline 7 2" xfId="34258" xr:uid="{00000000-0005-0000-0000-0000DA850000}"/>
    <cellStyle name="Title - Underline 8" xfId="34259" xr:uid="{00000000-0005-0000-0000-0000DB850000}"/>
    <cellStyle name="Title - Underline 8 2" xfId="34260" xr:uid="{00000000-0005-0000-0000-0000DC850000}"/>
    <cellStyle name="Title - Underline 9" xfId="34261" xr:uid="{00000000-0005-0000-0000-0000DD850000}"/>
    <cellStyle name="Title 10" xfId="34262" xr:uid="{00000000-0005-0000-0000-0000DE850000}"/>
    <cellStyle name="Title 11" xfId="34263" xr:uid="{00000000-0005-0000-0000-0000DF850000}"/>
    <cellStyle name="Title 12" xfId="34264" xr:uid="{00000000-0005-0000-0000-0000E0850000}"/>
    <cellStyle name="Title 13" xfId="34265" xr:uid="{00000000-0005-0000-0000-0000E1850000}"/>
    <cellStyle name="Title 14" xfId="34266" xr:uid="{00000000-0005-0000-0000-0000E2850000}"/>
    <cellStyle name="Title 15" xfId="34267" xr:uid="{00000000-0005-0000-0000-0000E3850000}"/>
    <cellStyle name="Title 16" xfId="34268" xr:uid="{00000000-0005-0000-0000-0000E4850000}"/>
    <cellStyle name="Title 17" xfId="34269" xr:uid="{00000000-0005-0000-0000-0000E5850000}"/>
    <cellStyle name="Title 18" xfId="34270" xr:uid="{00000000-0005-0000-0000-0000E6850000}"/>
    <cellStyle name="Title 19" xfId="34271" xr:uid="{00000000-0005-0000-0000-0000E7850000}"/>
    <cellStyle name="Title 2" xfId="34272" xr:uid="{00000000-0005-0000-0000-0000E8850000}"/>
    <cellStyle name="Title 2 2" xfId="34273" xr:uid="{00000000-0005-0000-0000-0000E9850000}"/>
    <cellStyle name="Title 20" xfId="34274" xr:uid="{00000000-0005-0000-0000-0000EA850000}"/>
    <cellStyle name="Title 21" xfId="34275" xr:uid="{00000000-0005-0000-0000-0000EB850000}"/>
    <cellStyle name="Title 22" xfId="34276" xr:uid="{00000000-0005-0000-0000-0000EC850000}"/>
    <cellStyle name="Title Text" xfId="34277" xr:uid="{00000000-0005-0000-0000-0000ED850000}"/>
    <cellStyle name="Title Text 1" xfId="34278" xr:uid="{00000000-0005-0000-0000-0000EE850000}"/>
    <cellStyle name="Title Text 2" xfId="34279" xr:uid="{00000000-0005-0000-0000-0000EF850000}"/>
    <cellStyle name="title1" xfId="34280" xr:uid="{00000000-0005-0000-0000-0000F0850000}"/>
    <cellStyle name="Title-1" xfId="34281" xr:uid="{00000000-0005-0000-0000-0000F1850000}"/>
    <cellStyle name="Title10" xfId="34282" xr:uid="{00000000-0005-0000-0000-0000F2850000}"/>
    <cellStyle name="Title10 2" xfId="34283" xr:uid="{00000000-0005-0000-0000-0000F3850000}"/>
    <cellStyle name="Title10 3" xfId="34284" xr:uid="{00000000-0005-0000-0000-0000F4850000}"/>
    <cellStyle name="title2" xfId="34285" xr:uid="{00000000-0005-0000-0000-0000F5850000}"/>
    <cellStyle name="Title-2" xfId="34286" xr:uid="{00000000-0005-0000-0000-0000F6850000}"/>
    <cellStyle name="Title-3" xfId="34287" xr:uid="{00000000-0005-0000-0000-0000F7850000}"/>
    <cellStyle name="Title8" xfId="34288" xr:uid="{00000000-0005-0000-0000-0000F8850000}"/>
    <cellStyle name="Title8 2" xfId="34289" xr:uid="{00000000-0005-0000-0000-0000F9850000}"/>
    <cellStyle name="Title8Left" xfId="34290" xr:uid="{00000000-0005-0000-0000-0000FA850000}"/>
    <cellStyle name="Title8Left 2" xfId="34291" xr:uid="{00000000-0005-0000-0000-0000FB850000}"/>
    <cellStyle name="TitleCenter" xfId="34292" xr:uid="{00000000-0005-0000-0000-0000FC850000}"/>
    <cellStyle name="TitleLeft" xfId="34293" xr:uid="{00000000-0005-0000-0000-0000FD850000}"/>
    <cellStyle name="TitleNormal" xfId="34294" xr:uid="{00000000-0005-0000-0000-0000FE850000}"/>
    <cellStyle name="Titles" xfId="34295" xr:uid="{00000000-0005-0000-0000-0000FF850000}"/>
    <cellStyle name="Titles - Other" xfId="34296" xr:uid="{00000000-0005-0000-0000-000000860000}"/>
    <cellStyle name="Titles - Other 2" xfId="34297" xr:uid="{00000000-0005-0000-0000-000001860000}"/>
    <cellStyle name="Titles - Other 3" xfId="34298" xr:uid="{00000000-0005-0000-0000-000002860000}"/>
    <cellStyle name="Titles_MMF Income" xfId="34299" xr:uid="{00000000-0005-0000-0000-000003860000}"/>
    <cellStyle name="TitleStyle" xfId="34300" xr:uid="{00000000-0005-0000-0000-000004860000}"/>
    <cellStyle name="tom" xfId="34301" xr:uid="{00000000-0005-0000-0000-000005860000}"/>
    <cellStyle name="Top Line" xfId="34302" xr:uid="{00000000-0005-0000-0000-000006860000}"/>
    <cellStyle name="topline" xfId="34303" xr:uid="{00000000-0005-0000-0000-000007860000}"/>
    <cellStyle name="Total" xfId="35705" builtinId="25" customBuiltin="1"/>
    <cellStyle name="TransVal" xfId="34304" xr:uid="{00000000-0005-0000-0000-000008860000}"/>
    <cellStyle name="TransVal 2" xfId="34305" xr:uid="{00000000-0005-0000-0000-000009860000}"/>
    <cellStyle name="TransVal 3" xfId="34306" xr:uid="{00000000-0005-0000-0000-00000A860000}"/>
    <cellStyle name="tt" xfId="34307" xr:uid="{00000000-0005-0000-0000-00000B860000}"/>
    <cellStyle name="tt 2" xfId="34308" xr:uid="{00000000-0005-0000-0000-00000C860000}"/>
    <cellStyle name="tt 3" xfId="34309" xr:uid="{00000000-0005-0000-0000-00000D860000}"/>
    <cellStyle name="u" xfId="34310" xr:uid="{00000000-0005-0000-0000-00000E860000}"/>
    <cellStyle name="u_2007 Trans Fees for NMFI Calc" xfId="34311" xr:uid="{00000000-0005-0000-0000-00000F860000}"/>
    <cellStyle name="u_3Q 07 Revenue Overview" xfId="34312" xr:uid="{00000000-0005-0000-0000-000010860000}"/>
    <cellStyle name="u_Advisors Capital Rollforward 2008 Q2" xfId="34313" xr:uid="{00000000-0005-0000-0000-000011860000}"/>
    <cellStyle name="u_AGM Professional Fees (summary)" xfId="34314" xr:uid="{00000000-0005-0000-0000-000012860000}"/>
    <cellStyle name="u_AGM YE NMFI (Estimated) 12-5-07 v1.3" xfId="34315" xr:uid="{00000000-0005-0000-0000-000013860000}"/>
    <cellStyle name="u_AIF VI  VII Summary Dec 2008 v3" xfId="34316" xr:uid="{00000000-0005-0000-0000-000014860000}"/>
    <cellStyle name="u_AIF VI CBA 3.20.08" xfId="34317" xr:uid="{00000000-0005-0000-0000-000015860000}"/>
    <cellStyle name="u_AIF VII Capital Balance Analysis INCEPTION to 09-30-08 on 10-13-08 8am" xfId="34318" xr:uid="{00000000-0005-0000-0000-000016860000}"/>
    <cellStyle name="u_Apollo Due from -Due to as of 12-31-07 (D) revised" xfId="34319" xr:uid="{00000000-0005-0000-0000-000017860000}"/>
    <cellStyle name="u_CALCS" xfId="34320" xr:uid="{00000000-0005-0000-0000-000018860000}"/>
    <cellStyle name="u_Domestic FS 12-31-08 v3-20-09" xfId="34321" xr:uid="{00000000-0005-0000-0000-000019860000}"/>
    <cellStyle name="u_Inv Cap Roll" xfId="34322" xr:uid="{00000000-0005-0000-0000-00001A860000}"/>
    <cellStyle name="u_PF Model 8.2 v2" xfId="34323" xr:uid="{00000000-0005-0000-0000-00001B860000}"/>
    <cellStyle name="u_Priority Return" xfId="34324" xr:uid="{00000000-0005-0000-0000-00001C860000}"/>
    <cellStyle name="u_Sheet1" xfId="34325" xr:uid="{00000000-0005-0000-0000-00001D860000}"/>
    <cellStyle name="u_Sheet2" xfId="34326" xr:uid="{00000000-0005-0000-0000-00001E860000}"/>
    <cellStyle name="u_Sheet3" xfId="34327" xr:uid="{00000000-0005-0000-0000-00001F860000}"/>
    <cellStyle name="u_Summary" xfId="34328" xr:uid="{00000000-0005-0000-0000-000020860000}"/>
    <cellStyle name="Underline_Double" xfId="34329" xr:uid="{00000000-0005-0000-0000-000021860000}"/>
    <cellStyle name="Upload Only" xfId="34330" xr:uid="{00000000-0005-0000-0000-000022860000}"/>
    <cellStyle name="Upload Only 2" xfId="34331" xr:uid="{00000000-0005-0000-0000-000023860000}"/>
    <cellStyle name="Upload Only 3" xfId="34332" xr:uid="{00000000-0005-0000-0000-000024860000}"/>
    <cellStyle name="Valuta (0)_07 Deut - FS0699HY" xfId="34333" xr:uid="{00000000-0005-0000-0000-000025860000}"/>
    <cellStyle name="Valuta [0]_Blad1" xfId="34334" xr:uid="{00000000-0005-0000-0000-000026860000}"/>
    <cellStyle name="Valuta_07 Deut - FS0699HY" xfId="34335" xr:uid="{00000000-0005-0000-0000-000027860000}"/>
    <cellStyle name="vil" xfId="34336" xr:uid="{00000000-0005-0000-0000-000028860000}"/>
    <cellStyle name="w" xfId="34337" xr:uid="{00000000-0005-0000-0000-000029860000}"/>
    <cellStyle name="w_Annual Report Comps v3" xfId="34338" xr:uid="{00000000-0005-0000-0000-00002A860000}"/>
    <cellStyle name="w_IC Balance" xfId="34339" xr:uid="{00000000-0005-0000-0000-00002B860000}"/>
    <cellStyle name="Währung [0]_EM_GLOB" xfId="34340" xr:uid="{00000000-0005-0000-0000-00002C860000}"/>
    <cellStyle name="Währung_EM_GLOB" xfId="34341" xr:uid="{00000000-0005-0000-0000-00002D860000}"/>
    <cellStyle name="Warning Text" xfId="35702" builtinId="11" customBuiltin="1"/>
    <cellStyle name="Warning Text 2" xfId="34342" xr:uid="{00000000-0005-0000-0000-00002E860000}"/>
    <cellStyle name="weekly" xfId="34343" xr:uid="{00000000-0005-0000-0000-00002F860000}"/>
    <cellStyle name="WingDing" xfId="34344" xr:uid="{00000000-0005-0000-0000-000030860000}"/>
    <cellStyle name="Wrap" xfId="34345" xr:uid="{00000000-0005-0000-0000-000031860000}"/>
    <cellStyle name="Wrap Bold" xfId="34346" xr:uid="{00000000-0005-0000-0000-000032860000}"/>
    <cellStyle name="Wrap Title" xfId="34347" xr:uid="{00000000-0005-0000-0000-000033860000}"/>
    <cellStyle name="Wrap_Fund VI Tax to GAAP TB 6-30-08" xfId="34348" xr:uid="{00000000-0005-0000-0000-000034860000}"/>
    <cellStyle name="X" xfId="34349" xr:uid="{00000000-0005-0000-0000-000035860000}"/>
    <cellStyle name="X - None" xfId="34350" xr:uid="{00000000-0005-0000-0000-000036860000}"/>
    <cellStyle name="X_2008 Deposit Liability Roll-forward (Q1 08)revised 5-13-08 (4)" xfId="34351" xr:uid="{00000000-0005-0000-0000-000037860000}"/>
    <cellStyle name="X_2008 Deposit Liability Roll-forward (Q1 08)revised 5-13-08 (4)_Data Q1" xfId="34352" xr:uid="{00000000-0005-0000-0000-000038860000}"/>
    <cellStyle name="X_2008 Deposit Liability Roll-forward (Q1 08)revised 5-13-08 (4)_Domestic TB" xfId="34353" xr:uid="{00000000-0005-0000-0000-000039860000}"/>
    <cellStyle name="X_2008 Deposit Liability Roll-forward (Q1 08)revised 5-13-08 (4)_Overseas Delaware TB" xfId="34354" xr:uid="{00000000-0005-0000-0000-00003A860000}"/>
    <cellStyle name="X_2008 Deposit Liability Roll-forward (Q1 08)revised 5-13-08 (4)_Overseas TB" xfId="34355" xr:uid="{00000000-0005-0000-0000-00003B860000}"/>
    <cellStyle name="X_AIF VI  VII Summary Dec 2008 v3" xfId="34356" xr:uid="{00000000-0005-0000-0000-00003C860000}"/>
    <cellStyle name="X_AIF VI  VII Summary Dec 2008 v3_Data Q1" xfId="34357" xr:uid="{00000000-0005-0000-0000-00003D860000}"/>
    <cellStyle name="X_AIF VI  VII Summary Dec 2008 v3_Domestic TB" xfId="34358" xr:uid="{00000000-0005-0000-0000-00003E860000}"/>
    <cellStyle name="X_AIF VI  VII Summary Dec 2008 v3_Overseas Delaware TB" xfId="34359" xr:uid="{00000000-0005-0000-0000-00003F860000}"/>
    <cellStyle name="X_AIF VI  VII Summary Dec 2008 v3_Overseas TB" xfId="34360" xr:uid="{00000000-0005-0000-0000-000040860000}"/>
    <cellStyle name="X_AIF VI CBA  11-19-08 V5" xfId="34361" xr:uid="{00000000-0005-0000-0000-000041860000}"/>
    <cellStyle name="X_AIF VI CBA  11-19-08 V5_Data Q1" xfId="34362" xr:uid="{00000000-0005-0000-0000-000042860000}"/>
    <cellStyle name="X_AIF VI CBA  11-19-08 V5_Domestic TB" xfId="34363" xr:uid="{00000000-0005-0000-0000-000043860000}"/>
    <cellStyle name="X_AIF VI CBA  11-19-08 V5_Overseas Delaware TB" xfId="34364" xr:uid="{00000000-0005-0000-0000-000044860000}"/>
    <cellStyle name="X_AIF VI CBA  11-19-08 V5_Overseas TB" xfId="34365" xr:uid="{00000000-0005-0000-0000-000045860000}"/>
    <cellStyle name="X_AIF VI CBA 3.20.08" xfId="34366" xr:uid="{00000000-0005-0000-0000-000046860000}"/>
    <cellStyle name="X_AIF VI CBA 3.20.08_Data Q1" xfId="34367" xr:uid="{00000000-0005-0000-0000-000047860000}"/>
    <cellStyle name="X_AIF VI CBA 3.20.08_Domestic TB" xfId="34368" xr:uid="{00000000-0005-0000-0000-000048860000}"/>
    <cellStyle name="X_AIF VI CBA 3.20.08_Overseas Delaware TB" xfId="34369" xr:uid="{00000000-0005-0000-0000-000049860000}"/>
    <cellStyle name="X_AIF VI CBA 3.20.08_Overseas TB" xfId="34370" xr:uid="{00000000-0005-0000-0000-00004A860000}"/>
    <cellStyle name="X_AIF VII ALL Entities" xfId="34371" xr:uid="{00000000-0005-0000-0000-00004B860000}"/>
    <cellStyle name="X_AIF VII ALL Entities_AIF VII 51.6M Mgt Fee Cap Call Due 1-8-09 on 12-22-08 6pm To JOE G" xfId="34372" xr:uid="{00000000-0005-0000-0000-00004C860000}"/>
    <cellStyle name="X_AIF VII ALL Entities_AIF VII 51.6M Mgt Fee Cap Call Due 1-8-09 on 12-22-08 6pm To JOE G_Data Q1" xfId="34373" xr:uid="{00000000-0005-0000-0000-00004D860000}"/>
    <cellStyle name="X_AIF VII ALL Entities_AIF VII 51.6M Mgt Fee Cap Call Due 1-8-09 on 12-22-08 6pm To JOE G_Domestic TB" xfId="34374" xr:uid="{00000000-0005-0000-0000-00004E860000}"/>
    <cellStyle name="X_AIF VII ALL Entities_AIF VII 51.6M Mgt Fee Cap Call Due 1-8-09 on 12-22-08 6pm To JOE G_Overseas Delaware TB" xfId="34375" xr:uid="{00000000-0005-0000-0000-00004F860000}"/>
    <cellStyle name="X_AIF VII ALL Entities_AIF VII 51.6M Mgt Fee Cap Call Due 1-8-09 on 12-22-08 6pm To JOE G_Overseas TB" xfId="34376" xr:uid="{00000000-0005-0000-0000-000050860000}"/>
    <cellStyle name="X_AIF VII ALL Entities_AIF VII ALL Entities" xfId="34377" xr:uid="{00000000-0005-0000-0000-000051860000}"/>
    <cellStyle name="X_AIF VII ALL Entities_AIF VII Cap Call Due 1-26-09 Reconciliation 1-22-09" xfId="34378" xr:uid="{00000000-0005-0000-0000-000052860000}"/>
    <cellStyle name="X_AIF VII ALL Entities_AIF VII Cap Call Due 1-26-09 Reconciliation 1-22-09_Data Q1" xfId="34379" xr:uid="{00000000-0005-0000-0000-000053860000}"/>
    <cellStyle name="X_AIF VII ALL Entities_AIF VII Cap Call Due 1-26-09 Reconciliation 1-22-09_Domestic TB" xfId="34380" xr:uid="{00000000-0005-0000-0000-000054860000}"/>
    <cellStyle name="X_AIF VII ALL Entities_AIF VII Cap Call Due 1-26-09 Reconciliation 1-22-09_Overseas Delaware TB" xfId="34381" xr:uid="{00000000-0005-0000-0000-000055860000}"/>
    <cellStyle name="X_AIF VII ALL Entities_AIF VII Cap Call Due 1-26-09 Reconciliation 1-22-09_Overseas TB" xfId="34382" xr:uid="{00000000-0005-0000-0000-000056860000}"/>
    <cellStyle name="X_AIF VII ALL Entities_AIF VII Cap Call Due 1-26-09 Reconciliation 1-23-09" xfId="34383" xr:uid="{00000000-0005-0000-0000-000057860000}"/>
    <cellStyle name="X_AIF VII ALL Entities_AIF VII Cap Call Due 1-26-09 Reconciliation 1-23-09_Data Q1" xfId="34384" xr:uid="{00000000-0005-0000-0000-000058860000}"/>
    <cellStyle name="X_AIF VII ALL Entities_AIF VII Cap Call Due 1-26-09 Reconciliation 1-23-09_Domestic TB" xfId="34385" xr:uid="{00000000-0005-0000-0000-000059860000}"/>
    <cellStyle name="X_AIF VII ALL Entities_AIF VII Cap Call Due 1-26-09 Reconciliation 1-23-09_Overseas Delaware TB" xfId="34386" xr:uid="{00000000-0005-0000-0000-00005A860000}"/>
    <cellStyle name="X_AIF VII ALL Entities_AIF VII Cap Call Due 1-26-09 Reconciliation 1-23-09_Overseas TB" xfId="34387" xr:uid="{00000000-0005-0000-0000-00005B860000}"/>
    <cellStyle name="X_AIF VII ALL Entities_AIF VII Cap Call Due 1-26-09 Reconciliation 1-26-09 revised" xfId="34388" xr:uid="{00000000-0005-0000-0000-00005C860000}"/>
    <cellStyle name="X_AIF VII ALL Entities_AIF VII Cap Call Due 1-26-09 Reconciliation 1-26-09 revised_Data Q1" xfId="34389" xr:uid="{00000000-0005-0000-0000-00005D860000}"/>
    <cellStyle name="X_AIF VII ALL Entities_AIF VII Cap Call Due 1-26-09 Reconciliation 1-26-09 revised_Domestic TB" xfId="34390" xr:uid="{00000000-0005-0000-0000-00005E860000}"/>
    <cellStyle name="X_AIF VII ALL Entities_AIF VII Cap Call Due 1-26-09 Reconciliation 1-26-09 revised_Overseas Delaware TB" xfId="34391" xr:uid="{00000000-0005-0000-0000-00005F860000}"/>
    <cellStyle name="X_AIF VII ALL Entities_AIF VII Cap Call Due 1-26-09 Reconciliation 1-26-09 revised_Overseas TB" xfId="34392" xr:uid="{00000000-0005-0000-0000-000060860000}"/>
    <cellStyle name="X_AIF VII ALL Entities_AIF VII Cap Call Due 1-26-09 Reconciliation 2-6-09" xfId="34393" xr:uid="{00000000-0005-0000-0000-000061860000}"/>
    <cellStyle name="X_AIF VII ALL Entities_AIF VII Cap Call Due 1-26-09 Reconciliation 2-6-09_Data Q1" xfId="34394" xr:uid="{00000000-0005-0000-0000-000062860000}"/>
    <cellStyle name="X_AIF VII ALL Entities_AIF VII Cap Call Due 1-26-09 Reconciliation 2-6-09_Domestic TB" xfId="34395" xr:uid="{00000000-0005-0000-0000-000063860000}"/>
    <cellStyle name="X_AIF VII ALL Entities_AIF VII Cap Call Due 1-26-09 Reconciliation 2-6-09_Overseas Delaware TB" xfId="34396" xr:uid="{00000000-0005-0000-0000-000064860000}"/>
    <cellStyle name="X_AIF VII ALL Entities_AIF VII Cap Call Due 1-26-09 Reconciliation 2-6-09_Overseas TB" xfId="34397" xr:uid="{00000000-0005-0000-0000-000065860000}"/>
    <cellStyle name="X_AIF VII ALL Entities_AIF VII Cap Call Due 9-26-08 Recon on 10-23-08" xfId="34398" xr:uid="{00000000-0005-0000-0000-000066860000}"/>
    <cellStyle name="X_AIF VII ALL Entities_AIF VII SCPC Q3 11-21-09 used contributed capital 10pm" xfId="34399" xr:uid="{00000000-0005-0000-0000-000067860000}"/>
    <cellStyle name="X_AIF VII ALL Entities_AIF VII Tax Distribution Due 1-6-09 Recon as of 1-30-09" xfId="34400" xr:uid="{00000000-0005-0000-0000-000068860000}"/>
    <cellStyle name="X_AIF VII ALL Entities_Bank Fee Acrl" xfId="34401" xr:uid="{00000000-0005-0000-0000-000069860000}"/>
    <cellStyle name="X_AIF VII ALL Entities_Carry Due Mgmt Co" xfId="34402" xr:uid="{00000000-0005-0000-0000-00006A860000}"/>
    <cellStyle name="X_AIF VII ALL Entities_Cash" xfId="34403" xr:uid="{00000000-0005-0000-0000-00006B860000}"/>
    <cellStyle name="X_AIF VII ALL Entities_Daily Summary - Main Accounts" xfId="34404" xr:uid="{00000000-0005-0000-0000-00006C860000}"/>
    <cellStyle name="X_AIF VII ALL Entities_Daily Summary - Main Accounts_Data Q1" xfId="34405" xr:uid="{00000000-0005-0000-0000-00006D860000}"/>
    <cellStyle name="X_AIF VII ALL Entities_Daily Summary - Main Accounts_Domestic TB" xfId="34406" xr:uid="{00000000-0005-0000-0000-00006E860000}"/>
    <cellStyle name="X_AIF VII ALL Entities_Daily Summary - Main Accounts_Overseas Delaware TB" xfId="34407" xr:uid="{00000000-0005-0000-0000-00006F860000}"/>
    <cellStyle name="X_AIF VII ALL Entities_Daily Summary - Main Accounts_Overseas TB" xfId="34408" xr:uid="{00000000-0005-0000-0000-000070860000}"/>
    <cellStyle name="X_AIF VII ALL Entities_Data Q1" xfId="34409" xr:uid="{00000000-0005-0000-0000-000071860000}"/>
    <cellStyle name="X_AIF VII ALL Entities_Dec 08 Invested Capital on 2-3-09 11am" xfId="34410" xr:uid="{00000000-0005-0000-0000-000072860000}"/>
    <cellStyle name="X_AIF VII ALL Entities_Dep Liab Rec" xfId="34411" xr:uid="{00000000-0005-0000-0000-000073860000}"/>
    <cellStyle name="X_AIF VII ALL Entities_Domestic TB" xfId="34412" xr:uid="{00000000-0005-0000-0000-000074860000}"/>
    <cellStyle name="X_AIF VII ALL Entities_Due Fr VI" xfId="34413" xr:uid="{00000000-0005-0000-0000-000075860000}"/>
    <cellStyle name="X_AIF VII ALL Entities_Due To-From" xfId="34414" xr:uid="{00000000-0005-0000-0000-000076860000}"/>
    <cellStyle name="X_AIF VII ALL Entities_Due To-From_AIF VII 51.6M Mgt Fee Cap Call Due 1-8-09 on 12-22-08 6pm To JOE G" xfId="34415" xr:uid="{00000000-0005-0000-0000-000077860000}"/>
    <cellStyle name="X_AIF VII ALL Entities_Due To-From_AIF VII 51.6M Mgt Fee Cap Call Due 1-8-09 on 12-22-08 6pm To JOE G_Data Q1" xfId="34416" xr:uid="{00000000-0005-0000-0000-000078860000}"/>
    <cellStyle name="X_AIF VII ALL Entities_Due To-From_AIF VII 51.6M Mgt Fee Cap Call Due 1-8-09 on 12-22-08 6pm To JOE G_Domestic TB" xfId="34417" xr:uid="{00000000-0005-0000-0000-000079860000}"/>
    <cellStyle name="X_AIF VII ALL Entities_Due To-From_AIF VII 51.6M Mgt Fee Cap Call Due 1-8-09 on 12-22-08 6pm To JOE G_Overseas Delaware TB" xfId="34418" xr:uid="{00000000-0005-0000-0000-00007A860000}"/>
    <cellStyle name="X_AIF VII ALL Entities_Due To-From_AIF VII 51.6M Mgt Fee Cap Call Due 1-8-09 on 12-22-08 6pm To JOE G_Overseas TB" xfId="34419" xr:uid="{00000000-0005-0000-0000-00007B860000}"/>
    <cellStyle name="X_AIF VII ALL Entities_Due To-From_AIF VII Cap Call Due 1-26-09 Reconciliation 1-22-09" xfId="34420" xr:uid="{00000000-0005-0000-0000-00007C860000}"/>
    <cellStyle name="X_AIF VII ALL Entities_Due To-From_AIF VII Cap Call Due 1-26-09 Reconciliation 1-22-09_Data Q1" xfId="34421" xr:uid="{00000000-0005-0000-0000-00007D860000}"/>
    <cellStyle name="X_AIF VII ALL Entities_Due To-From_AIF VII Cap Call Due 1-26-09 Reconciliation 1-22-09_Domestic TB" xfId="34422" xr:uid="{00000000-0005-0000-0000-00007E860000}"/>
    <cellStyle name="X_AIF VII ALL Entities_Due To-From_AIF VII Cap Call Due 1-26-09 Reconciliation 1-22-09_Overseas Delaware TB" xfId="34423" xr:uid="{00000000-0005-0000-0000-00007F860000}"/>
    <cellStyle name="X_AIF VII ALL Entities_Due To-From_AIF VII Cap Call Due 1-26-09 Reconciliation 1-22-09_Overseas TB" xfId="34424" xr:uid="{00000000-0005-0000-0000-000080860000}"/>
    <cellStyle name="X_AIF VII ALL Entities_Due To-From_AIF VII Cap Call Due 1-26-09 Reconciliation 1-23-09" xfId="34425" xr:uid="{00000000-0005-0000-0000-000081860000}"/>
    <cellStyle name="X_AIF VII ALL Entities_Due To-From_AIF VII Cap Call Due 1-26-09 Reconciliation 1-23-09_Data Q1" xfId="34426" xr:uid="{00000000-0005-0000-0000-000082860000}"/>
    <cellStyle name="X_AIF VII ALL Entities_Due To-From_AIF VII Cap Call Due 1-26-09 Reconciliation 1-23-09_Domestic TB" xfId="34427" xr:uid="{00000000-0005-0000-0000-000083860000}"/>
    <cellStyle name="X_AIF VII ALL Entities_Due To-From_AIF VII Cap Call Due 1-26-09 Reconciliation 1-23-09_Overseas Delaware TB" xfId="34428" xr:uid="{00000000-0005-0000-0000-000084860000}"/>
    <cellStyle name="X_AIF VII ALL Entities_Due To-From_AIF VII Cap Call Due 1-26-09 Reconciliation 1-23-09_Overseas TB" xfId="34429" xr:uid="{00000000-0005-0000-0000-000085860000}"/>
    <cellStyle name="X_AIF VII ALL Entities_Due To-From_AIF VII Cap Call Due 1-26-09 Reconciliation 1-26-09 revised" xfId="34430" xr:uid="{00000000-0005-0000-0000-000086860000}"/>
    <cellStyle name="X_AIF VII ALL Entities_Due To-From_AIF VII Cap Call Due 1-26-09 Reconciliation 1-26-09 revised_Data Q1" xfId="34431" xr:uid="{00000000-0005-0000-0000-000087860000}"/>
    <cellStyle name="X_AIF VII ALL Entities_Due To-From_AIF VII Cap Call Due 1-26-09 Reconciliation 1-26-09 revised_Domestic TB" xfId="34432" xr:uid="{00000000-0005-0000-0000-000088860000}"/>
    <cellStyle name="X_AIF VII ALL Entities_Due To-From_AIF VII Cap Call Due 1-26-09 Reconciliation 1-26-09 revised_Overseas Delaware TB" xfId="34433" xr:uid="{00000000-0005-0000-0000-000089860000}"/>
    <cellStyle name="X_AIF VII ALL Entities_Due To-From_AIF VII Cap Call Due 1-26-09 Reconciliation 1-26-09 revised_Overseas TB" xfId="34434" xr:uid="{00000000-0005-0000-0000-00008A860000}"/>
    <cellStyle name="X_AIF VII ALL Entities_Due To-From_AIF VII Cap Call Due 1-26-09 Reconciliation 2-6-09" xfId="34435" xr:uid="{00000000-0005-0000-0000-00008B860000}"/>
    <cellStyle name="X_AIF VII ALL Entities_Due To-From_AIF VII Cap Call Due 1-26-09 Reconciliation 2-6-09_Data Q1" xfId="34436" xr:uid="{00000000-0005-0000-0000-00008C860000}"/>
    <cellStyle name="X_AIF VII ALL Entities_Due To-From_AIF VII Cap Call Due 1-26-09 Reconciliation 2-6-09_Domestic TB" xfId="34437" xr:uid="{00000000-0005-0000-0000-00008D860000}"/>
    <cellStyle name="X_AIF VII ALL Entities_Due To-From_AIF VII Cap Call Due 1-26-09 Reconciliation 2-6-09_Overseas Delaware TB" xfId="34438" xr:uid="{00000000-0005-0000-0000-00008E860000}"/>
    <cellStyle name="X_AIF VII ALL Entities_Due To-From_AIF VII Cap Call Due 1-26-09 Reconciliation 2-6-09_Overseas TB" xfId="34439" xr:uid="{00000000-0005-0000-0000-00008F860000}"/>
    <cellStyle name="X_AIF VII ALL Entities_Due To-From_AIF VII Cap Call Due 9-26-08 Recon on 10-23-08" xfId="34440" xr:uid="{00000000-0005-0000-0000-000090860000}"/>
    <cellStyle name="X_AIF VII ALL Entities_Due To-From_AIF VII SCPC Q3 11-21-09 used contributed capital 10pm" xfId="34441" xr:uid="{00000000-0005-0000-0000-000091860000}"/>
    <cellStyle name="X_AIF VII ALL Entities_Due To-From_AIF VII Tax Distribution Due 1-6-09 Recon as of 1-30-09" xfId="34442" xr:uid="{00000000-0005-0000-0000-000092860000}"/>
    <cellStyle name="X_AIF VII ALL Entities_Due To-From_Bank Fee Acrl" xfId="34443" xr:uid="{00000000-0005-0000-0000-000093860000}"/>
    <cellStyle name="X_AIF VII ALL Entities_Due To-From_Carry Due Mgmt Co" xfId="34444" xr:uid="{00000000-0005-0000-0000-000094860000}"/>
    <cellStyle name="X_AIF VII ALL Entities_Due To-From_Cash" xfId="34445" xr:uid="{00000000-0005-0000-0000-000095860000}"/>
    <cellStyle name="X_AIF VII ALL Entities_Due To-From_Daily Summary - Main Accounts" xfId="34446" xr:uid="{00000000-0005-0000-0000-000096860000}"/>
    <cellStyle name="X_AIF VII ALL Entities_Due To-From_Daily Summary - Main Accounts_Data Q1" xfId="34447" xr:uid="{00000000-0005-0000-0000-000097860000}"/>
    <cellStyle name="X_AIF VII ALL Entities_Due To-From_Daily Summary - Main Accounts_Domestic TB" xfId="34448" xr:uid="{00000000-0005-0000-0000-000098860000}"/>
    <cellStyle name="X_AIF VII ALL Entities_Due To-From_Daily Summary - Main Accounts_Overseas Delaware TB" xfId="34449" xr:uid="{00000000-0005-0000-0000-000099860000}"/>
    <cellStyle name="X_AIF VII ALL Entities_Due To-From_Daily Summary - Main Accounts_Overseas TB" xfId="34450" xr:uid="{00000000-0005-0000-0000-00009A860000}"/>
    <cellStyle name="X_AIF VII ALL Entities_Due To-From_Data Q1" xfId="34451" xr:uid="{00000000-0005-0000-0000-00009B860000}"/>
    <cellStyle name="X_AIF VII ALL Entities_Due To-From_Dec 08 Invested Capital on 2-3-09 11am" xfId="34452" xr:uid="{00000000-0005-0000-0000-00009C860000}"/>
    <cellStyle name="X_AIF VII ALL Entities_Due To-From_Dep Liab Rec" xfId="34453" xr:uid="{00000000-0005-0000-0000-00009D860000}"/>
    <cellStyle name="X_AIF VII ALL Entities_Due To-From_Domestic TB" xfId="34454" xr:uid="{00000000-0005-0000-0000-00009E860000}"/>
    <cellStyle name="X_AIF VII ALL Entities_Due To-From_Due Fr VI" xfId="34455" xr:uid="{00000000-0005-0000-0000-00009F860000}"/>
    <cellStyle name="X_AIF VII ALL Entities_Due To-From_Fee Calc" xfId="34456" xr:uid="{00000000-0005-0000-0000-0000A0860000}"/>
    <cellStyle name="X_AIF VII ALL Entities_Due To-From_Fund VII 12-31-2008 Receivables and Payables as of 2-11-09" xfId="34457" xr:uid="{00000000-0005-0000-0000-0000A1860000}"/>
    <cellStyle name="X_AIF VII ALL Entities_Due To-From_Incep to Q3" xfId="34458" xr:uid="{00000000-0005-0000-0000-0000A2860000}"/>
    <cellStyle name="X_AIF VII ALL Entities_Due To-From_Incep to Q3_Data Q1" xfId="34459" xr:uid="{00000000-0005-0000-0000-0000A3860000}"/>
    <cellStyle name="X_AIF VII ALL Entities_Due To-From_Incep to Q3_Domestic TB" xfId="34460" xr:uid="{00000000-0005-0000-0000-0000A4860000}"/>
    <cellStyle name="X_AIF VII ALL Entities_Due To-From_Incep to Q3_Overseas Delaware TB" xfId="34461" xr:uid="{00000000-0005-0000-0000-0000A5860000}"/>
    <cellStyle name="X_AIF VII ALL Entities_Due To-From_Incep to Q3_Overseas TB" xfId="34462" xr:uid="{00000000-0005-0000-0000-0000A6860000}"/>
    <cellStyle name="X_AIF VII ALL Entities_Due To-From_Inv Cap" xfId="34463" xr:uid="{00000000-0005-0000-0000-0000A7860000}"/>
    <cellStyle name="X_AIF VII ALL Entities_Due To-From_Inv Cap Roll" xfId="34464" xr:uid="{00000000-0005-0000-0000-0000A8860000}"/>
    <cellStyle name="X_AIF VII ALL Entities_Due To-From_Invested Cap Roll CASH" xfId="34465" xr:uid="{00000000-0005-0000-0000-0000A9860000}"/>
    <cellStyle name="X_AIF VII ALL Entities_Due To-From_JPMorgan Actual Cash" xfId="34466" xr:uid="{00000000-0005-0000-0000-0000AA860000}"/>
    <cellStyle name="X_AIF VII ALL Entities_Due To-From_Overseas Delaware TB" xfId="34467" xr:uid="{00000000-0005-0000-0000-0000AB860000}"/>
    <cellStyle name="X_AIF VII ALL Entities_Due To-From_Overseas TB" xfId="34468" xr:uid="{00000000-0005-0000-0000-0000AC860000}"/>
    <cellStyle name="X_AIF VII ALL Entities_Due To-From_p.1 Receivable" xfId="34469" xr:uid="{00000000-0005-0000-0000-0000AD860000}"/>
    <cellStyle name="X_AIF VII ALL Entities_Due To-From_p.1 Receivable_Data Q1" xfId="34470" xr:uid="{00000000-0005-0000-0000-0000AE860000}"/>
    <cellStyle name="X_AIF VII ALL Entities_Due To-From_p.1 Receivable_Domestic TB" xfId="34471" xr:uid="{00000000-0005-0000-0000-0000AF860000}"/>
    <cellStyle name="X_AIF VII ALL Entities_Due To-From_p.1 Receivable_Overseas Delaware TB" xfId="34472" xr:uid="{00000000-0005-0000-0000-0000B0860000}"/>
    <cellStyle name="X_AIF VII ALL Entities_Due To-From_p.1 Receivable_Overseas TB" xfId="34473" xr:uid="{00000000-0005-0000-0000-0000B1860000}"/>
    <cellStyle name="X_AIF VII ALL Entities_Due To-From_Sheet1" xfId="34474" xr:uid="{00000000-0005-0000-0000-0000B2860000}"/>
    <cellStyle name="X_AIF VII ALL Entities_Due To-From_Sheet3" xfId="34475" xr:uid="{00000000-0005-0000-0000-0000B3860000}"/>
    <cellStyle name="X_AIF VII ALL Entities_Due To-From_Sheet3_Data Q1" xfId="34476" xr:uid="{00000000-0005-0000-0000-0000B4860000}"/>
    <cellStyle name="X_AIF VII ALL Entities_Due To-From_Sheet3_Domestic TB" xfId="34477" xr:uid="{00000000-0005-0000-0000-0000B5860000}"/>
    <cellStyle name="X_AIF VII ALL Entities_Due To-From_Sheet3_Overseas Delaware TB" xfId="34478" xr:uid="{00000000-0005-0000-0000-0000B6860000}"/>
    <cellStyle name="X_AIF VII ALL Entities_Due To-From_Sheet3_Overseas TB" xfId="34479" xr:uid="{00000000-0005-0000-0000-0000B7860000}"/>
    <cellStyle name="X_AIF VII ALL Entities_Due To-From_Sheet6" xfId="34480" xr:uid="{00000000-0005-0000-0000-0000B8860000}"/>
    <cellStyle name="X_AIF VII ALL Entities_Due To-From_Sheet6_Data Q1" xfId="34481" xr:uid="{00000000-0005-0000-0000-0000B9860000}"/>
    <cellStyle name="X_AIF VII ALL Entities_Due To-From_Sheet6_Domestic TB" xfId="34482" xr:uid="{00000000-0005-0000-0000-0000BA860000}"/>
    <cellStyle name="X_AIF VII ALL Entities_Due To-From_Sheet6_Overseas Delaware TB" xfId="34483" xr:uid="{00000000-0005-0000-0000-0000BB860000}"/>
    <cellStyle name="X_AIF VII ALL Entities_Due To-From_Sheet6_Overseas TB" xfId="34484" xr:uid="{00000000-0005-0000-0000-0000BC860000}"/>
    <cellStyle name="X_AIF VII ALL Entities_Fee Calc" xfId="34485" xr:uid="{00000000-0005-0000-0000-0000BD860000}"/>
    <cellStyle name="X_AIF VII ALL Entities_Fund VII 12-31-2008 Receivables and Payables as of 2-11-09" xfId="34486" xr:uid="{00000000-0005-0000-0000-0000BE860000}"/>
    <cellStyle name="X_AIF VII ALL Entities_Incep to Q3" xfId="34487" xr:uid="{00000000-0005-0000-0000-0000BF860000}"/>
    <cellStyle name="X_AIF VII ALL Entities_Incep to Q3_Data Q1" xfId="34488" xr:uid="{00000000-0005-0000-0000-0000C0860000}"/>
    <cellStyle name="X_AIF VII ALL Entities_Incep to Q3_Domestic TB" xfId="34489" xr:uid="{00000000-0005-0000-0000-0000C1860000}"/>
    <cellStyle name="X_AIF VII ALL Entities_Incep to Q3_Overseas Delaware TB" xfId="34490" xr:uid="{00000000-0005-0000-0000-0000C2860000}"/>
    <cellStyle name="X_AIF VII ALL Entities_Incep to Q3_Overseas TB" xfId="34491" xr:uid="{00000000-0005-0000-0000-0000C3860000}"/>
    <cellStyle name="X_AIF VII ALL Entities_Inv Cap" xfId="34492" xr:uid="{00000000-0005-0000-0000-0000C4860000}"/>
    <cellStyle name="X_AIF VII ALL Entities_Inv Cap Roll" xfId="34493" xr:uid="{00000000-0005-0000-0000-0000C5860000}"/>
    <cellStyle name="X_AIF VII ALL Entities_Invested Cap Roll CASH" xfId="34494" xr:uid="{00000000-0005-0000-0000-0000C6860000}"/>
    <cellStyle name="X_AIF VII ALL Entities_JPMorgan Actual Cash" xfId="34495" xr:uid="{00000000-0005-0000-0000-0000C7860000}"/>
    <cellStyle name="X_AIF VII ALL Entities_Mgmt Fee Reallocation" xfId="34496" xr:uid="{00000000-0005-0000-0000-0000C8860000}"/>
    <cellStyle name="X_AIF VII ALL Entities_Mgmt Fee Reallocation_AIF VII 51.6M Mgt Fee Cap Call Due 1-8-09 on 12-22-08 6pm To JOE G" xfId="34497" xr:uid="{00000000-0005-0000-0000-0000C9860000}"/>
    <cellStyle name="X_AIF VII ALL Entities_Mgmt Fee Reallocation_AIF VII 51.6M Mgt Fee Cap Call Due 1-8-09 on 12-22-08 6pm To JOE G_Data Q1" xfId="34498" xr:uid="{00000000-0005-0000-0000-0000CA860000}"/>
    <cellStyle name="X_AIF VII ALL Entities_Mgmt Fee Reallocation_AIF VII 51.6M Mgt Fee Cap Call Due 1-8-09 on 12-22-08 6pm To JOE G_Domestic TB" xfId="34499" xr:uid="{00000000-0005-0000-0000-0000CB860000}"/>
    <cellStyle name="X_AIF VII ALL Entities_Mgmt Fee Reallocation_AIF VII 51.6M Mgt Fee Cap Call Due 1-8-09 on 12-22-08 6pm To JOE G_Overseas Delaware TB" xfId="34500" xr:uid="{00000000-0005-0000-0000-0000CC860000}"/>
    <cellStyle name="X_AIF VII ALL Entities_Mgmt Fee Reallocation_AIF VII 51.6M Mgt Fee Cap Call Due 1-8-09 on 12-22-08 6pm To JOE G_Overseas TB" xfId="34501" xr:uid="{00000000-0005-0000-0000-0000CD860000}"/>
    <cellStyle name="X_AIF VII ALL Entities_Mgmt Fee Reallocation_AIF VII Cap Call Due 1-26-09 Reconciliation 1-22-09" xfId="34502" xr:uid="{00000000-0005-0000-0000-0000CE860000}"/>
    <cellStyle name="X_AIF VII ALL Entities_Mgmt Fee Reallocation_AIF VII Cap Call Due 1-26-09 Reconciliation 1-22-09_Data Q1" xfId="34503" xr:uid="{00000000-0005-0000-0000-0000CF860000}"/>
    <cellStyle name="X_AIF VII ALL Entities_Mgmt Fee Reallocation_AIF VII Cap Call Due 1-26-09 Reconciliation 1-22-09_Domestic TB" xfId="34504" xr:uid="{00000000-0005-0000-0000-0000D0860000}"/>
    <cellStyle name="X_AIF VII ALL Entities_Mgmt Fee Reallocation_AIF VII Cap Call Due 1-26-09 Reconciliation 1-22-09_Overseas Delaware TB" xfId="34505" xr:uid="{00000000-0005-0000-0000-0000D1860000}"/>
    <cellStyle name="X_AIF VII ALL Entities_Mgmt Fee Reallocation_AIF VII Cap Call Due 1-26-09 Reconciliation 1-22-09_Overseas TB" xfId="34506" xr:uid="{00000000-0005-0000-0000-0000D2860000}"/>
    <cellStyle name="X_AIF VII ALL Entities_Mgmt Fee Reallocation_AIF VII Cap Call Due 1-26-09 Reconciliation 1-23-09" xfId="34507" xr:uid="{00000000-0005-0000-0000-0000D3860000}"/>
    <cellStyle name="X_AIF VII ALL Entities_Mgmt Fee Reallocation_AIF VII Cap Call Due 1-26-09 Reconciliation 1-23-09_Data Q1" xfId="34508" xr:uid="{00000000-0005-0000-0000-0000D4860000}"/>
    <cellStyle name="X_AIF VII ALL Entities_Mgmt Fee Reallocation_AIF VII Cap Call Due 1-26-09 Reconciliation 1-23-09_Domestic TB" xfId="34509" xr:uid="{00000000-0005-0000-0000-0000D5860000}"/>
    <cellStyle name="X_AIF VII ALL Entities_Mgmt Fee Reallocation_AIF VII Cap Call Due 1-26-09 Reconciliation 1-23-09_Overseas Delaware TB" xfId="34510" xr:uid="{00000000-0005-0000-0000-0000D6860000}"/>
    <cellStyle name="X_AIF VII ALL Entities_Mgmt Fee Reallocation_AIF VII Cap Call Due 1-26-09 Reconciliation 1-23-09_Overseas TB" xfId="34511" xr:uid="{00000000-0005-0000-0000-0000D7860000}"/>
    <cellStyle name="X_AIF VII ALL Entities_Mgmt Fee Reallocation_AIF VII Cap Call Due 1-26-09 Reconciliation 1-26-09 revised" xfId="34512" xr:uid="{00000000-0005-0000-0000-0000D8860000}"/>
    <cellStyle name="X_AIF VII ALL Entities_Mgmt Fee Reallocation_AIF VII Cap Call Due 1-26-09 Reconciliation 1-26-09 revised_Data Q1" xfId="34513" xr:uid="{00000000-0005-0000-0000-0000D9860000}"/>
    <cellStyle name="X_AIF VII ALL Entities_Mgmt Fee Reallocation_AIF VII Cap Call Due 1-26-09 Reconciliation 1-26-09 revised_Domestic TB" xfId="34514" xr:uid="{00000000-0005-0000-0000-0000DA860000}"/>
    <cellStyle name="X_AIF VII ALL Entities_Mgmt Fee Reallocation_AIF VII Cap Call Due 1-26-09 Reconciliation 1-26-09 revised_Overseas Delaware TB" xfId="34515" xr:uid="{00000000-0005-0000-0000-0000DB860000}"/>
    <cellStyle name="X_AIF VII ALL Entities_Mgmt Fee Reallocation_AIF VII Cap Call Due 1-26-09 Reconciliation 1-26-09 revised_Overseas TB" xfId="34516" xr:uid="{00000000-0005-0000-0000-0000DC860000}"/>
    <cellStyle name="X_AIF VII ALL Entities_Mgmt Fee Reallocation_AIF VII Cap Call Due 1-26-09 Reconciliation 2-6-09" xfId="34517" xr:uid="{00000000-0005-0000-0000-0000DD860000}"/>
    <cellStyle name="X_AIF VII ALL Entities_Mgmt Fee Reallocation_AIF VII Cap Call Due 1-26-09 Reconciliation 2-6-09_Data Q1" xfId="34518" xr:uid="{00000000-0005-0000-0000-0000DE860000}"/>
    <cellStyle name="X_AIF VII ALL Entities_Mgmt Fee Reallocation_AIF VII Cap Call Due 1-26-09 Reconciliation 2-6-09_Domestic TB" xfId="34519" xr:uid="{00000000-0005-0000-0000-0000DF860000}"/>
    <cellStyle name="X_AIF VII ALL Entities_Mgmt Fee Reallocation_AIF VII Cap Call Due 1-26-09 Reconciliation 2-6-09_Overseas Delaware TB" xfId="34520" xr:uid="{00000000-0005-0000-0000-0000E0860000}"/>
    <cellStyle name="X_AIF VII ALL Entities_Mgmt Fee Reallocation_AIF VII Cap Call Due 1-26-09 Reconciliation 2-6-09_Overseas TB" xfId="34521" xr:uid="{00000000-0005-0000-0000-0000E1860000}"/>
    <cellStyle name="X_AIF VII ALL Entities_Mgmt Fee Reallocation_AIF VII Cap Call Due 9-26-08 Recon on 10-23-08" xfId="34522" xr:uid="{00000000-0005-0000-0000-0000E2860000}"/>
    <cellStyle name="X_AIF VII ALL Entities_Mgmt Fee Reallocation_AIF VII SCPC Q3 11-21-09 used contributed capital 10pm" xfId="34523" xr:uid="{00000000-0005-0000-0000-0000E3860000}"/>
    <cellStyle name="X_AIF VII ALL Entities_Mgmt Fee Reallocation_AIF VII Tax Distribution Due 1-6-09 Recon as of 1-30-09" xfId="34524" xr:uid="{00000000-0005-0000-0000-0000E4860000}"/>
    <cellStyle name="X_AIF VII ALL Entities_Mgmt Fee Reallocation_Bank Fee Acrl" xfId="34525" xr:uid="{00000000-0005-0000-0000-0000E5860000}"/>
    <cellStyle name="X_AIF VII ALL Entities_Mgmt Fee Reallocation_Carry Due Mgmt Co" xfId="34526" xr:uid="{00000000-0005-0000-0000-0000E6860000}"/>
    <cellStyle name="X_AIF VII ALL Entities_Mgmt Fee Reallocation_Cash" xfId="34527" xr:uid="{00000000-0005-0000-0000-0000E7860000}"/>
    <cellStyle name="X_AIF VII ALL Entities_Mgmt Fee Reallocation_Daily Summary - Main Accounts" xfId="34528" xr:uid="{00000000-0005-0000-0000-0000E8860000}"/>
    <cellStyle name="X_AIF VII ALL Entities_Mgmt Fee Reallocation_Daily Summary - Main Accounts_Data Q1" xfId="34529" xr:uid="{00000000-0005-0000-0000-0000E9860000}"/>
    <cellStyle name="X_AIF VII ALL Entities_Mgmt Fee Reallocation_Daily Summary - Main Accounts_Domestic TB" xfId="34530" xr:uid="{00000000-0005-0000-0000-0000EA860000}"/>
    <cellStyle name="X_AIF VII ALL Entities_Mgmt Fee Reallocation_Daily Summary - Main Accounts_Overseas Delaware TB" xfId="34531" xr:uid="{00000000-0005-0000-0000-0000EB860000}"/>
    <cellStyle name="X_AIF VII ALL Entities_Mgmt Fee Reallocation_Daily Summary - Main Accounts_Overseas TB" xfId="34532" xr:uid="{00000000-0005-0000-0000-0000EC860000}"/>
    <cellStyle name="X_AIF VII ALL Entities_Mgmt Fee Reallocation_Data Q1" xfId="34533" xr:uid="{00000000-0005-0000-0000-0000ED860000}"/>
    <cellStyle name="X_AIF VII ALL Entities_Mgmt Fee Reallocation_Dec 08 Invested Capital on 2-3-09 11am" xfId="34534" xr:uid="{00000000-0005-0000-0000-0000EE860000}"/>
    <cellStyle name="X_AIF VII ALL Entities_Mgmt Fee Reallocation_Dep Liab Rec" xfId="34535" xr:uid="{00000000-0005-0000-0000-0000EF860000}"/>
    <cellStyle name="X_AIF VII ALL Entities_Mgmt Fee Reallocation_Domestic TB" xfId="34536" xr:uid="{00000000-0005-0000-0000-0000F0860000}"/>
    <cellStyle name="X_AIF VII ALL Entities_Mgmt Fee Reallocation_Due Fr VI" xfId="34537" xr:uid="{00000000-0005-0000-0000-0000F1860000}"/>
    <cellStyle name="X_AIF VII ALL Entities_Mgmt Fee Reallocation_Fee Calc" xfId="34538" xr:uid="{00000000-0005-0000-0000-0000F2860000}"/>
    <cellStyle name="X_AIF VII ALL Entities_Mgmt Fee Reallocation_Fund VII 12-31-2008 Receivables and Payables as of 2-11-09" xfId="34539" xr:uid="{00000000-0005-0000-0000-0000F3860000}"/>
    <cellStyle name="X_AIF VII ALL Entities_Mgmt Fee Reallocation_Incep to Q3" xfId="34540" xr:uid="{00000000-0005-0000-0000-0000F4860000}"/>
    <cellStyle name="X_AIF VII ALL Entities_Mgmt Fee Reallocation_Incep to Q3_Data Q1" xfId="34541" xr:uid="{00000000-0005-0000-0000-0000F5860000}"/>
    <cellStyle name="X_AIF VII ALL Entities_Mgmt Fee Reallocation_Incep to Q3_Domestic TB" xfId="34542" xr:uid="{00000000-0005-0000-0000-0000F6860000}"/>
    <cellStyle name="X_AIF VII ALL Entities_Mgmt Fee Reallocation_Incep to Q3_Overseas Delaware TB" xfId="34543" xr:uid="{00000000-0005-0000-0000-0000F7860000}"/>
    <cellStyle name="X_AIF VII ALL Entities_Mgmt Fee Reallocation_Incep to Q3_Overseas TB" xfId="34544" xr:uid="{00000000-0005-0000-0000-0000F8860000}"/>
    <cellStyle name="X_AIF VII ALL Entities_Mgmt Fee Reallocation_Inv Cap" xfId="34545" xr:uid="{00000000-0005-0000-0000-0000F9860000}"/>
    <cellStyle name="X_AIF VII ALL Entities_Mgmt Fee Reallocation_Inv Cap Roll" xfId="34546" xr:uid="{00000000-0005-0000-0000-0000FA860000}"/>
    <cellStyle name="X_AIF VII ALL Entities_Mgmt Fee Reallocation_Invested Cap Roll CASH" xfId="34547" xr:uid="{00000000-0005-0000-0000-0000FB860000}"/>
    <cellStyle name="X_AIF VII ALL Entities_Mgmt Fee Reallocation_JPMorgan Actual Cash" xfId="34548" xr:uid="{00000000-0005-0000-0000-0000FC860000}"/>
    <cellStyle name="X_AIF VII ALL Entities_Mgmt Fee Reallocation_Overseas Delaware TB" xfId="34549" xr:uid="{00000000-0005-0000-0000-0000FD860000}"/>
    <cellStyle name="X_AIF VII ALL Entities_Mgmt Fee Reallocation_Overseas TB" xfId="34550" xr:uid="{00000000-0005-0000-0000-0000FE860000}"/>
    <cellStyle name="X_AIF VII ALL Entities_Mgmt Fee Reallocation_p.1 Receivable" xfId="34551" xr:uid="{00000000-0005-0000-0000-0000FF860000}"/>
    <cellStyle name="X_AIF VII ALL Entities_Mgmt Fee Reallocation_p.1 Receivable_Data Q1" xfId="34552" xr:uid="{00000000-0005-0000-0000-000000870000}"/>
    <cellStyle name="X_AIF VII ALL Entities_Mgmt Fee Reallocation_p.1 Receivable_Domestic TB" xfId="34553" xr:uid="{00000000-0005-0000-0000-000001870000}"/>
    <cellStyle name="X_AIF VII ALL Entities_Mgmt Fee Reallocation_p.1 Receivable_Overseas Delaware TB" xfId="34554" xr:uid="{00000000-0005-0000-0000-000002870000}"/>
    <cellStyle name="X_AIF VII ALL Entities_Mgmt Fee Reallocation_p.1 Receivable_Overseas TB" xfId="34555" xr:uid="{00000000-0005-0000-0000-000003870000}"/>
    <cellStyle name="X_AIF VII ALL Entities_Mgmt Fee Reallocation_Sheet1" xfId="34556" xr:uid="{00000000-0005-0000-0000-000004870000}"/>
    <cellStyle name="X_AIF VII ALL Entities_Mgmt Fee Reallocation_Sheet3" xfId="34557" xr:uid="{00000000-0005-0000-0000-000005870000}"/>
    <cellStyle name="X_AIF VII ALL Entities_Mgmt Fee Reallocation_Sheet3_Data Q1" xfId="34558" xr:uid="{00000000-0005-0000-0000-000006870000}"/>
    <cellStyle name="X_AIF VII ALL Entities_Mgmt Fee Reallocation_Sheet3_Domestic TB" xfId="34559" xr:uid="{00000000-0005-0000-0000-000007870000}"/>
    <cellStyle name="X_AIF VII ALL Entities_Mgmt Fee Reallocation_Sheet3_Overseas Delaware TB" xfId="34560" xr:uid="{00000000-0005-0000-0000-000008870000}"/>
    <cellStyle name="X_AIF VII ALL Entities_Mgmt Fee Reallocation_Sheet3_Overseas TB" xfId="34561" xr:uid="{00000000-0005-0000-0000-000009870000}"/>
    <cellStyle name="X_AIF VII ALL Entities_Mgmt Fee Reallocation_Sheet6" xfId="34562" xr:uid="{00000000-0005-0000-0000-00000A870000}"/>
    <cellStyle name="X_AIF VII ALL Entities_Mgmt Fee Reallocation_Sheet6_Data Q1" xfId="34563" xr:uid="{00000000-0005-0000-0000-00000B870000}"/>
    <cellStyle name="X_AIF VII ALL Entities_Mgmt Fee Reallocation_Sheet6_Domestic TB" xfId="34564" xr:uid="{00000000-0005-0000-0000-00000C870000}"/>
    <cellStyle name="X_AIF VII ALL Entities_Mgmt Fee Reallocation_Sheet6_Overseas Delaware TB" xfId="34565" xr:uid="{00000000-0005-0000-0000-00000D870000}"/>
    <cellStyle name="X_AIF VII ALL Entities_Mgmt Fee Reallocation_Sheet6_Overseas TB" xfId="34566" xr:uid="{00000000-0005-0000-0000-00000E870000}"/>
    <cellStyle name="X_AIF VII ALL Entities_Mgt FEE" xfId="34567" xr:uid="{00000000-0005-0000-0000-00000F870000}"/>
    <cellStyle name="X_AIF VII ALL Entities_Overseas Delaware TB" xfId="34568" xr:uid="{00000000-0005-0000-0000-000010870000}"/>
    <cellStyle name="X_AIF VII ALL Entities_Overseas TB" xfId="34569" xr:uid="{00000000-0005-0000-0000-000011870000}"/>
    <cellStyle name="X_AIF VII ALL Entities_p.1 Receivable" xfId="34570" xr:uid="{00000000-0005-0000-0000-000012870000}"/>
    <cellStyle name="X_AIF VII ALL Entities_p.1 Receivable_Data Q1" xfId="34571" xr:uid="{00000000-0005-0000-0000-000013870000}"/>
    <cellStyle name="X_AIF VII ALL Entities_p.1 Receivable_Domestic TB" xfId="34572" xr:uid="{00000000-0005-0000-0000-000014870000}"/>
    <cellStyle name="X_AIF VII ALL Entities_p.1 Receivable_Overseas Delaware TB" xfId="34573" xr:uid="{00000000-0005-0000-0000-000015870000}"/>
    <cellStyle name="X_AIF VII ALL Entities_p.1 Receivable_Overseas TB" xfId="34574" xr:uid="{00000000-0005-0000-0000-000016870000}"/>
    <cellStyle name="X_AIF VII ALL Entities_Partners Capital" xfId="34575" xr:uid="{00000000-0005-0000-0000-000017870000}"/>
    <cellStyle name="X_AIF VII ALL Entities_Partners Capital_AIF VII 51.6M Mgt Fee Cap Call Due 1-8-09 on 12-22-08 6pm To JOE G" xfId="34576" xr:uid="{00000000-0005-0000-0000-000018870000}"/>
    <cellStyle name="X_AIF VII ALL Entities_Partners Capital_AIF VII 51.6M Mgt Fee Cap Call Due 1-8-09 on 12-22-08 6pm To JOE G_Data Q1" xfId="34577" xr:uid="{00000000-0005-0000-0000-000019870000}"/>
    <cellStyle name="X_AIF VII ALL Entities_Partners Capital_AIF VII 51.6M Mgt Fee Cap Call Due 1-8-09 on 12-22-08 6pm To JOE G_Domestic TB" xfId="34578" xr:uid="{00000000-0005-0000-0000-00001A870000}"/>
    <cellStyle name="X_AIF VII ALL Entities_Partners Capital_AIF VII 51.6M Mgt Fee Cap Call Due 1-8-09 on 12-22-08 6pm To JOE G_Overseas Delaware TB" xfId="34579" xr:uid="{00000000-0005-0000-0000-00001B870000}"/>
    <cellStyle name="X_AIF VII ALL Entities_Partners Capital_AIF VII 51.6M Mgt Fee Cap Call Due 1-8-09 on 12-22-08 6pm To JOE G_Overseas TB" xfId="34580" xr:uid="{00000000-0005-0000-0000-00001C870000}"/>
    <cellStyle name="X_AIF VII ALL Entities_Partners Capital_AIF VII Cap Call Due 1-26-09 Reconciliation 1-22-09" xfId="34581" xr:uid="{00000000-0005-0000-0000-00001D870000}"/>
    <cellStyle name="X_AIF VII ALL Entities_Partners Capital_AIF VII Cap Call Due 1-26-09 Reconciliation 1-22-09_Data Q1" xfId="34582" xr:uid="{00000000-0005-0000-0000-00001E870000}"/>
    <cellStyle name="X_AIF VII ALL Entities_Partners Capital_AIF VII Cap Call Due 1-26-09 Reconciliation 1-22-09_Domestic TB" xfId="34583" xr:uid="{00000000-0005-0000-0000-00001F870000}"/>
    <cellStyle name="X_AIF VII ALL Entities_Partners Capital_AIF VII Cap Call Due 1-26-09 Reconciliation 1-22-09_Overseas Delaware TB" xfId="34584" xr:uid="{00000000-0005-0000-0000-000020870000}"/>
    <cellStyle name="X_AIF VII ALL Entities_Partners Capital_AIF VII Cap Call Due 1-26-09 Reconciliation 1-22-09_Overseas TB" xfId="34585" xr:uid="{00000000-0005-0000-0000-000021870000}"/>
    <cellStyle name="X_AIF VII ALL Entities_Partners Capital_AIF VII Cap Call Due 1-26-09 Reconciliation 1-23-09" xfId="34586" xr:uid="{00000000-0005-0000-0000-000022870000}"/>
    <cellStyle name="X_AIF VII ALL Entities_Partners Capital_AIF VII Cap Call Due 1-26-09 Reconciliation 1-23-09_Data Q1" xfId="34587" xr:uid="{00000000-0005-0000-0000-000023870000}"/>
    <cellStyle name="X_AIF VII ALL Entities_Partners Capital_AIF VII Cap Call Due 1-26-09 Reconciliation 1-23-09_Domestic TB" xfId="34588" xr:uid="{00000000-0005-0000-0000-000024870000}"/>
    <cellStyle name="X_AIF VII ALL Entities_Partners Capital_AIF VII Cap Call Due 1-26-09 Reconciliation 1-23-09_Overseas Delaware TB" xfId="34589" xr:uid="{00000000-0005-0000-0000-000025870000}"/>
    <cellStyle name="X_AIF VII ALL Entities_Partners Capital_AIF VII Cap Call Due 1-26-09 Reconciliation 1-23-09_Overseas TB" xfId="34590" xr:uid="{00000000-0005-0000-0000-000026870000}"/>
    <cellStyle name="X_AIF VII ALL Entities_Partners Capital_AIF VII Cap Call Due 1-26-09 Reconciliation 1-26-09 revised" xfId="34591" xr:uid="{00000000-0005-0000-0000-000027870000}"/>
    <cellStyle name="X_AIF VII ALL Entities_Partners Capital_AIF VII Cap Call Due 1-26-09 Reconciliation 1-26-09 revised_Data Q1" xfId="34592" xr:uid="{00000000-0005-0000-0000-000028870000}"/>
    <cellStyle name="X_AIF VII ALL Entities_Partners Capital_AIF VII Cap Call Due 1-26-09 Reconciliation 1-26-09 revised_Domestic TB" xfId="34593" xr:uid="{00000000-0005-0000-0000-000029870000}"/>
    <cellStyle name="X_AIF VII ALL Entities_Partners Capital_AIF VII Cap Call Due 1-26-09 Reconciliation 1-26-09 revised_Overseas Delaware TB" xfId="34594" xr:uid="{00000000-0005-0000-0000-00002A870000}"/>
    <cellStyle name="X_AIF VII ALL Entities_Partners Capital_AIF VII Cap Call Due 1-26-09 Reconciliation 1-26-09 revised_Overseas TB" xfId="34595" xr:uid="{00000000-0005-0000-0000-00002B870000}"/>
    <cellStyle name="X_AIF VII ALL Entities_Partners Capital_AIF VII Cap Call Due 1-26-09 Reconciliation 2-6-09" xfId="34596" xr:uid="{00000000-0005-0000-0000-00002C870000}"/>
    <cellStyle name="X_AIF VII ALL Entities_Partners Capital_AIF VII Cap Call Due 1-26-09 Reconciliation 2-6-09_Data Q1" xfId="34597" xr:uid="{00000000-0005-0000-0000-00002D870000}"/>
    <cellStyle name="X_AIF VII ALL Entities_Partners Capital_AIF VII Cap Call Due 1-26-09 Reconciliation 2-6-09_Domestic TB" xfId="34598" xr:uid="{00000000-0005-0000-0000-00002E870000}"/>
    <cellStyle name="X_AIF VII ALL Entities_Partners Capital_AIF VII Cap Call Due 1-26-09 Reconciliation 2-6-09_Overseas Delaware TB" xfId="34599" xr:uid="{00000000-0005-0000-0000-00002F870000}"/>
    <cellStyle name="X_AIF VII ALL Entities_Partners Capital_AIF VII Cap Call Due 1-26-09 Reconciliation 2-6-09_Overseas TB" xfId="34600" xr:uid="{00000000-0005-0000-0000-000030870000}"/>
    <cellStyle name="X_AIF VII ALL Entities_Partners Capital_AIF VII Cap Call Due 9-26-08 Recon on 10-23-08" xfId="34601" xr:uid="{00000000-0005-0000-0000-000031870000}"/>
    <cellStyle name="X_AIF VII ALL Entities_Partners Capital_AIF VII SCPC Q3 11-21-09 used contributed capital 10pm" xfId="34602" xr:uid="{00000000-0005-0000-0000-000032870000}"/>
    <cellStyle name="X_AIF VII ALL Entities_Partners Capital_AIF VII Tax Distribution Due 1-6-09 Recon as of 1-30-09" xfId="34603" xr:uid="{00000000-0005-0000-0000-000033870000}"/>
    <cellStyle name="X_AIF VII ALL Entities_Partners Capital_Bank Fee Acrl" xfId="34604" xr:uid="{00000000-0005-0000-0000-000034870000}"/>
    <cellStyle name="X_AIF VII ALL Entities_Partners Capital_Carry Due Mgmt Co" xfId="34605" xr:uid="{00000000-0005-0000-0000-000035870000}"/>
    <cellStyle name="X_AIF VII ALL Entities_Partners Capital_Cash" xfId="34606" xr:uid="{00000000-0005-0000-0000-000036870000}"/>
    <cellStyle name="X_AIF VII ALL Entities_Partners Capital_Daily Summary - Main Accounts" xfId="34607" xr:uid="{00000000-0005-0000-0000-000037870000}"/>
    <cellStyle name="X_AIF VII ALL Entities_Partners Capital_Daily Summary - Main Accounts_Data Q1" xfId="34608" xr:uid="{00000000-0005-0000-0000-000038870000}"/>
    <cellStyle name="X_AIF VII ALL Entities_Partners Capital_Daily Summary - Main Accounts_Domestic TB" xfId="34609" xr:uid="{00000000-0005-0000-0000-000039870000}"/>
    <cellStyle name="X_AIF VII ALL Entities_Partners Capital_Daily Summary - Main Accounts_Overseas Delaware TB" xfId="34610" xr:uid="{00000000-0005-0000-0000-00003A870000}"/>
    <cellStyle name="X_AIF VII ALL Entities_Partners Capital_Daily Summary - Main Accounts_Overseas TB" xfId="34611" xr:uid="{00000000-0005-0000-0000-00003B870000}"/>
    <cellStyle name="X_AIF VII ALL Entities_Partners Capital_Data Q1" xfId="34612" xr:uid="{00000000-0005-0000-0000-00003C870000}"/>
    <cellStyle name="X_AIF VII ALL Entities_Partners Capital_Dec 08 Invested Capital on 2-3-09 11am" xfId="34613" xr:uid="{00000000-0005-0000-0000-00003D870000}"/>
    <cellStyle name="X_AIF VII ALL Entities_Partners Capital_Dep Liab Rec" xfId="34614" xr:uid="{00000000-0005-0000-0000-00003E870000}"/>
    <cellStyle name="X_AIF VII ALL Entities_Partners Capital_Domestic TB" xfId="34615" xr:uid="{00000000-0005-0000-0000-00003F870000}"/>
    <cellStyle name="X_AIF VII ALL Entities_Partners Capital_Due Fr VI" xfId="34616" xr:uid="{00000000-0005-0000-0000-000040870000}"/>
    <cellStyle name="X_AIF VII ALL Entities_Partners Capital_Fee Calc" xfId="34617" xr:uid="{00000000-0005-0000-0000-000041870000}"/>
    <cellStyle name="X_AIF VII ALL Entities_Partners Capital_Fund VII 12-31-2008 Receivables and Payables as of 2-11-09" xfId="34618" xr:uid="{00000000-0005-0000-0000-000042870000}"/>
    <cellStyle name="X_AIF VII ALL Entities_Partners Capital_Incep to Q3" xfId="34619" xr:uid="{00000000-0005-0000-0000-000043870000}"/>
    <cellStyle name="X_AIF VII ALL Entities_Partners Capital_Incep to Q3_Data Q1" xfId="34620" xr:uid="{00000000-0005-0000-0000-000044870000}"/>
    <cellStyle name="X_AIF VII ALL Entities_Partners Capital_Incep to Q3_Domestic TB" xfId="34621" xr:uid="{00000000-0005-0000-0000-000045870000}"/>
    <cellStyle name="X_AIF VII ALL Entities_Partners Capital_Incep to Q3_Overseas Delaware TB" xfId="34622" xr:uid="{00000000-0005-0000-0000-000046870000}"/>
    <cellStyle name="X_AIF VII ALL Entities_Partners Capital_Incep to Q3_Overseas TB" xfId="34623" xr:uid="{00000000-0005-0000-0000-000047870000}"/>
    <cellStyle name="X_AIF VII ALL Entities_Partners Capital_Inv Cap" xfId="34624" xr:uid="{00000000-0005-0000-0000-000048870000}"/>
    <cellStyle name="X_AIF VII ALL Entities_Partners Capital_Inv Cap Roll" xfId="34625" xr:uid="{00000000-0005-0000-0000-000049870000}"/>
    <cellStyle name="X_AIF VII ALL Entities_Partners Capital_Invested Cap Roll CASH" xfId="34626" xr:uid="{00000000-0005-0000-0000-00004A870000}"/>
    <cellStyle name="X_AIF VII ALL Entities_Partners Capital_JPMorgan Actual Cash" xfId="34627" xr:uid="{00000000-0005-0000-0000-00004B870000}"/>
    <cellStyle name="X_AIF VII ALL Entities_Partners Capital_Overseas Delaware TB" xfId="34628" xr:uid="{00000000-0005-0000-0000-00004C870000}"/>
    <cellStyle name="X_AIF VII ALL Entities_Partners Capital_Overseas TB" xfId="34629" xr:uid="{00000000-0005-0000-0000-00004D870000}"/>
    <cellStyle name="X_AIF VII ALL Entities_Partners Capital_p.1 Receivable" xfId="34630" xr:uid="{00000000-0005-0000-0000-00004E870000}"/>
    <cellStyle name="X_AIF VII ALL Entities_Partners Capital_p.1 Receivable_Data Q1" xfId="34631" xr:uid="{00000000-0005-0000-0000-00004F870000}"/>
    <cellStyle name="X_AIF VII ALL Entities_Partners Capital_p.1 Receivable_Domestic TB" xfId="34632" xr:uid="{00000000-0005-0000-0000-000050870000}"/>
    <cellStyle name="X_AIF VII ALL Entities_Partners Capital_p.1 Receivable_Overseas Delaware TB" xfId="34633" xr:uid="{00000000-0005-0000-0000-000051870000}"/>
    <cellStyle name="X_AIF VII ALL Entities_Partners Capital_p.1 Receivable_Overseas TB" xfId="34634" xr:uid="{00000000-0005-0000-0000-000052870000}"/>
    <cellStyle name="X_AIF VII ALL Entities_Partners Capital_Sheet1" xfId="34635" xr:uid="{00000000-0005-0000-0000-000053870000}"/>
    <cellStyle name="X_AIF VII ALL Entities_Partners Capital_Sheet3" xfId="34636" xr:uid="{00000000-0005-0000-0000-000054870000}"/>
    <cellStyle name="X_AIF VII ALL Entities_Partners Capital_Sheet3_Data Q1" xfId="34637" xr:uid="{00000000-0005-0000-0000-000055870000}"/>
    <cellStyle name="X_AIF VII ALL Entities_Partners Capital_Sheet3_Domestic TB" xfId="34638" xr:uid="{00000000-0005-0000-0000-000056870000}"/>
    <cellStyle name="X_AIF VII ALL Entities_Partners Capital_Sheet3_Overseas Delaware TB" xfId="34639" xr:uid="{00000000-0005-0000-0000-000057870000}"/>
    <cellStyle name="X_AIF VII ALL Entities_Partners Capital_Sheet3_Overseas TB" xfId="34640" xr:uid="{00000000-0005-0000-0000-000058870000}"/>
    <cellStyle name="X_AIF VII ALL Entities_Partners Capital_Sheet6" xfId="34641" xr:uid="{00000000-0005-0000-0000-000059870000}"/>
    <cellStyle name="X_AIF VII ALL Entities_Partners Capital_Sheet6_Data Q1" xfId="34642" xr:uid="{00000000-0005-0000-0000-00005A870000}"/>
    <cellStyle name="X_AIF VII ALL Entities_Partners Capital_Sheet6_Domestic TB" xfId="34643" xr:uid="{00000000-0005-0000-0000-00005B870000}"/>
    <cellStyle name="X_AIF VII ALL Entities_Partners Capital_Sheet6_Overseas Delaware TB" xfId="34644" xr:uid="{00000000-0005-0000-0000-00005C870000}"/>
    <cellStyle name="X_AIF VII ALL Entities_Partners Capital_Sheet6_Overseas TB" xfId="34645" xr:uid="{00000000-0005-0000-0000-00005D870000}"/>
    <cellStyle name="X_AIF VII ALL Entities_Prepaid Mgmt Fee" xfId="34646" xr:uid="{00000000-0005-0000-0000-00005E870000}"/>
    <cellStyle name="X_AIF VII ALL Entities_Prepaid Mgmt Fee_1" xfId="34647" xr:uid="{00000000-0005-0000-0000-00005F870000}"/>
    <cellStyle name="X_AIF VII ALL Entities_Prepaid Mgmt Fee_1_AIF VII 51.6M Mgt Fee Cap Call Due 1-8-09 on 12-22-08 6pm To JOE G" xfId="34648" xr:uid="{00000000-0005-0000-0000-000060870000}"/>
    <cellStyle name="X_AIF VII ALL Entities_Prepaid Mgmt Fee_1_AIF VII 51.6M Mgt Fee Cap Call Due 1-8-09 on 12-22-08 6pm To JOE G_Data Q1" xfId="34649" xr:uid="{00000000-0005-0000-0000-000061870000}"/>
    <cellStyle name="X_AIF VII ALL Entities_Prepaid Mgmt Fee_1_AIF VII 51.6M Mgt Fee Cap Call Due 1-8-09 on 12-22-08 6pm To JOE G_Domestic TB" xfId="34650" xr:uid="{00000000-0005-0000-0000-000062870000}"/>
    <cellStyle name="X_AIF VII ALL Entities_Prepaid Mgmt Fee_1_AIF VII 51.6M Mgt Fee Cap Call Due 1-8-09 on 12-22-08 6pm To JOE G_Overseas Delaware TB" xfId="34651" xr:uid="{00000000-0005-0000-0000-000063870000}"/>
    <cellStyle name="X_AIF VII ALL Entities_Prepaid Mgmt Fee_1_AIF VII 51.6M Mgt Fee Cap Call Due 1-8-09 on 12-22-08 6pm To JOE G_Overseas TB" xfId="34652" xr:uid="{00000000-0005-0000-0000-000064870000}"/>
    <cellStyle name="X_AIF VII ALL Entities_Prepaid Mgmt Fee_1_AIF VII Cap Call Due 1-26-09 Reconciliation 1-22-09" xfId="34653" xr:uid="{00000000-0005-0000-0000-000065870000}"/>
    <cellStyle name="X_AIF VII ALL Entities_Prepaid Mgmt Fee_1_AIF VII Cap Call Due 1-26-09 Reconciliation 1-22-09_Data Q1" xfId="34654" xr:uid="{00000000-0005-0000-0000-000066870000}"/>
    <cellStyle name="X_AIF VII ALL Entities_Prepaid Mgmt Fee_1_AIF VII Cap Call Due 1-26-09 Reconciliation 1-22-09_Domestic TB" xfId="34655" xr:uid="{00000000-0005-0000-0000-000067870000}"/>
    <cellStyle name="X_AIF VII ALL Entities_Prepaid Mgmt Fee_1_AIF VII Cap Call Due 1-26-09 Reconciliation 1-22-09_Overseas Delaware TB" xfId="34656" xr:uid="{00000000-0005-0000-0000-000068870000}"/>
    <cellStyle name="X_AIF VII ALL Entities_Prepaid Mgmt Fee_1_AIF VII Cap Call Due 1-26-09 Reconciliation 1-22-09_Overseas TB" xfId="34657" xr:uid="{00000000-0005-0000-0000-000069870000}"/>
    <cellStyle name="X_AIF VII ALL Entities_Prepaid Mgmt Fee_1_AIF VII Cap Call Due 1-26-09 Reconciliation 1-23-09" xfId="34658" xr:uid="{00000000-0005-0000-0000-00006A870000}"/>
    <cellStyle name="X_AIF VII ALL Entities_Prepaid Mgmt Fee_1_AIF VII Cap Call Due 1-26-09 Reconciliation 1-23-09_Data Q1" xfId="34659" xr:uid="{00000000-0005-0000-0000-00006B870000}"/>
    <cellStyle name="X_AIF VII ALL Entities_Prepaid Mgmt Fee_1_AIF VII Cap Call Due 1-26-09 Reconciliation 1-23-09_Domestic TB" xfId="34660" xr:uid="{00000000-0005-0000-0000-00006C870000}"/>
    <cellStyle name="X_AIF VII ALL Entities_Prepaid Mgmt Fee_1_AIF VII Cap Call Due 1-26-09 Reconciliation 1-23-09_Overseas Delaware TB" xfId="34661" xr:uid="{00000000-0005-0000-0000-00006D870000}"/>
    <cellStyle name="X_AIF VII ALL Entities_Prepaid Mgmt Fee_1_AIF VII Cap Call Due 1-26-09 Reconciliation 1-23-09_Overseas TB" xfId="34662" xr:uid="{00000000-0005-0000-0000-00006E870000}"/>
    <cellStyle name="X_AIF VII ALL Entities_Prepaid Mgmt Fee_1_AIF VII Cap Call Due 1-26-09 Reconciliation 1-26-09 revised" xfId="34663" xr:uid="{00000000-0005-0000-0000-00006F870000}"/>
    <cellStyle name="X_AIF VII ALL Entities_Prepaid Mgmt Fee_1_AIF VII Cap Call Due 1-26-09 Reconciliation 1-26-09 revised_Data Q1" xfId="34664" xr:uid="{00000000-0005-0000-0000-000070870000}"/>
    <cellStyle name="X_AIF VII ALL Entities_Prepaid Mgmt Fee_1_AIF VII Cap Call Due 1-26-09 Reconciliation 1-26-09 revised_Domestic TB" xfId="34665" xr:uid="{00000000-0005-0000-0000-000071870000}"/>
    <cellStyle name="X_AIF VII ALL Entities_Prepaid Mgmt Fee_1_AIF VII Cap Call Due 1-26-09 Reconciliation 1-26-09 revised_Overseas Delaware TB" xfId="34666" xr:uid="{00000000-0005-0000-0000-000072870000}"/>
    <cellStyle name="X_AIF VII ALL Entities_Prepaid Mgmt Fee_1_AIF VII Cap Call Due 1-26-09 Reconciliation 1-26-09 revised_Overseas TB" xfId="34667" xr:uid="{00000000-0005-0000-0000-000073870000}"/>
    <cellStyle name="X_AIF VII ALL Entities_Prepaid Mgmt Fee_1_AIF VII Cap Call Due 1-26-09 Reconciliation 2-6-09" xfId="34668" xr:uid="{00000000-0005-0000-0000-000074870000}"/>
    <cellStyle name="X_AIF VII ALL Entities_Prepaid Mgmt Fee_1_AIF VII Cap Call Due 1-26-09 Reconciliation 2-6-09_Data Q1" xfId="34669" xr:uid="{00000000-0005-0000-0000-000075870000}"/>
    <cellStyle name="X_AIF VII ALL Entities_Prepaid Mgmt Fee_1_AIF VII Cap Call Due 1-26-09 Reconciliation 2-6-09_Domestic TB" xfId="34670" xr:uid="{00000000-0005-0000-0000-000076870000}"/>
    <cellStyle name="X_AIF VII ALL Entities_Prepaid Mgmt Fee_1_AIF VII Cap Call Due 1-26-09 Reconciliation 2-6-09_Overseas Delaware TB" xfId="34671" xr:uid="{00000000-0005-0000-0000-000077870000}"/>
    <cellStyle name="X_AIF VII ALL Entities_Prepaid Mgmt Fee_1_AIF VII Cap Call Due 1-26-09 Reconciliation 2-6-09_Overseas TB" xfId="34672" xr:uid="{00000000-0005-0000-0000-000078870000}"/>
    <cellStyle name="X_AIF VII ALL Entities_Prepaid Mgmt Fee_1_AIF VII Cap Call Due 9-26-08 Recon on 10-23-08" xfId="34673" xr:uid="{00000000-0005-0000-0000-000079870000}"/>
    <cellStyle name="X_AIF VII ALL Entities_Prepaid Mgmt Fee_1_AIF VII SCPC Q3 11-21-09 used contributed capital 10pm" xfId="34674" xr:uid="{00000000-0005-0000-0000-00007A870000}"/>
    <cellStyle name="X_AIF VII ALL Entities_Prepaid Mgmt Fee_1_AIF VII Tax Distribution Due 1-6-09 Recon as of 1-30-09" xfId="34675" xr:uid="{00000000-0005-0000-0000-00007B870000}"/>
    <cellStyle name="X_AIF VII ALL Entities_Prepaid Mgmt Fee_1_Bank Fee Acrl" xfId="34676" xr:uid="{00000000-0005-0000-0000-00007C870000}"/>
    <cellStyle name="X_AIF VII ALL Entities_Prepaid Mgmt Fee_1_Carry Due Mgmt Co" xfId="34677" xr:uid="{00000000-0005-0000-0000-00007D870000}"/>
    <cellStyle name="X_AIF VII ALL Entities_Prepaid Mgmt Fee_1_Cash" xfId="34678" xr:uid="{00000000-0005-0000-0000-00007E870000}"/>
    <cellStyle name="X_AIF VII ALL Entities_Prepaid Mgmt Fee_1_Daily Summary - Main Accounts" xfId="34679" xr:uid="{00000000-0005-0000-0000-00007F870000}"/>
    <cellStyle name="X_AIF VII ALL Entities_Prepaid Mgmt Fee_1_Daily Summary - Main Accounts_Data Q1" xfId="34680" xr:uid="{00000000-0005-0000-0000-000080870000}"/>
    <cellStyle name="X_AIF VII ALL Entities_Prepaid Mgmt Fee_1_Daily Summary - Main Accounts_Domestic TB" xfId="34681" xr:uid="{00000000-0005-0000-0000-000081870000}"/>
    <cellStyle name="X_AIF VII ALL Entities_Prepaid Mgmt Fee_1_Daily Summary - Main Accounts_Overseas Delaware TB" xfId="34682" xr:uid="{00000000-0005-0000-0000-000082870000}"/>
    <cellStyle name="X_AIF VII ALL Entities_Prepaid Mgmt Fee_1_Daily Summary - Main Accounts_Overseas TB" xfId="34683" xr:uid="{00000000-0005-0000-0000-000083870000}"/>
    <cellStyle name="X_AIF VII ALL Entities_Prepaid Mgmt Fee_1_Data Q1" xfId="34684" xr:uid="{00000000-0005-0000-0000-000084870000}"/>
    <cellStyle name="X_AIF VII ALL Entities_Prepaid Mgmt Fee_1_Dec 08 Invested Capital on 2-3-09 11am" xfId="34685" xr:uid="{00000000-0005-0000-0000-000085870000}"/>
    <cellStyle name="X_AIF VII ALL Entities_Prepaid Mgmt Fee_1_Dep Liab Rec" xfId="34686" xr:uid="{00000000-0005-0000-0000-000086870000}"/>
    <cellStyle name="X_AIF VII ALL Entities_Prepaid Mgmt Fee_1_Domestic TB" xfId="34687" xr:uid="{00000000-0005-0000-0000-000087870000}"/>
    <cellStyle name="X_AIF VII ALL Entities_Prepaid Mgmt Fee_1_Due Fr VI" xfId="34688" xr:uid="{00000000-0005-0000-0000-000088870000}"/>
    <cellStyle name="X_AIF VII ALL Entities_Prepaid Mgmt Fee_1_Fee Calc" xfId="34689" xr:uid="{00000000-0005-0000-0000-000089870000}"/>
    <cellStyle name="X_AIF VII ALL Entities_Prepaid Mgmt Fee_1_Fund VII 12-31-2008 Receivables and Payables as of 2-11-09" xfId="34690" xr:uid="{00000000-0005-0000-0000-00008A870000}"/>
    <cellStyle name="X_AIF VII ALL Entities_Prepaid Mgmt Fee_1_Incep to Q3" xfId="34691" xr:uid="{00000000-0005-0000-0000-00008B870000}"/>
    <cellStyle name="X_AIF VII ALL Entities_Prepaid Mgmt Fee_1_Incep to Q3_Data Q1" xfId="34692" xr:uid="{00000000-0005-0000-0000-00008C870000}"/>
    <cellStyle name="X_AIF VII ALL Entities_Prepaid Mgmt Fee_1_Incep to Q3_Domestic TB" xfId="34693" xr:uid="{00000000-0005-0000-0000-00008D870000}"/>
    <cellStyle name="X_AIF VII ALL Entities_Prepaid Mgmt Fee_1_Incep to Q3_Overseas Delaware TB" xfId="34694" xr:uid="{00000000-0005-0000-0000-00008E870000}"/>
    <cellStyle name="X_AIF VII ALL Entities_Prepaid Mgmt Fee_1_Incep to Q3_Overseas TB" xfId="34695" xr:uid="{00000000-0005-0000-0000-00008F870000}"/>
    <cellStyle name="X_AIF VII ALL Entities_Prepaid Mgmt Fee_1_Inv Cap" xfId="34696" xr:uid="{00000000-0005-0000-0000-000090870000}"/>
    <cellStyle name="X_AIF VII ALL Entities_Prepaid Mgmt Fee_1_Inv Cap Roll" xfId="34697" xr:uid="{00000000-0005-0000-0000-000091870000}"/>
    <cellStyle name="X_AIF VII ALL Entities_Prepaid Mgmt Fee_1_Invested Cap Roll CASH" xfId="34698" xr:uid="{00000000-0005-0000-0000-000092870000}"/>
    <cellStyle name="X_AIF VII ALL Entities_Prepaid Mgmt Fee_1_JPMorgan Actual Cash" xfId="34699" xr:uid="{00000000-0005-0000-0000-000093870000}"/>
    <cellStyle name="X_AIF VII ALL Entities_Prepaid Mgmt Fee_1_Overseas Delaware TB" xfId="34700" xr:uid="{00000000-0005-0000-0000-000094870000}"/>
    <cellStyle name="X_AIF VII ALL Entities_Prepaid Mgmt Fee_1_Overseas TB" xfId="34701" xr:uid="{00000000-0005-0000-0000-000095870000}"/>
    <cellStyle name="X_AIF VII ALL Entities_Prepaid Mgmt Fee_1_p.1 Receivable" xfId="34702" xr:uid="{00000000-0005-0000-0000-000096870000}"/>
    <cellStyle name="X_AIF VII ALL Entities_Prepaid Mgmt Fee_1_p.1 Receivable_Data Q1" xfId="34703" xr:uid="{00000000-0005-0000-0000-000097870000}"/>
    <cellStyle name="X_AIF VII ALL Entities_Prepaid Mgmt Fee_1_p.1 Receivable_Domestic TB" xfId="34704" xr:uid="{00000000-0005-0000-0000-000098870000}"/>
    <cellStyle name="X_AIF VII ALL Entities_Prepaid Mgmt Fee_1_p.1 Receivable_Overseas Delaware TB" xfId="34705" xr:uid="{00000000-0005-0000-0000-000099870000}"/>
    <cellStyle name="X_AIF VII ALL Entities_Prepaid Mgmt Fee_1_p.1 Receivable_Overseas TB" xfId="34706" xr:uid="{00000000-0005-0000-0000-00009A870000}"/>
    <cellStyle name="X_AIF VII ALL Entities_Prepaid Mgmt Fee_1_Sheet1" xfId="34707" xr:uid="{00000000-0005-0000-0000-00009B870000}"/>
    <cellStyle name="X_AIF VII ALL Entities_Prepaid Mgmt Fee_1_Sheet3" xfId="34708" xr:uid="{00000000-0005-0000-0000-00009C870000}"/>
    <cellStyle name="X_AIF VII ALL Entities_Prepaid Mgmt Fee_1_Sheet3_Data Q1" xfId="34709" xr:uid="{00000000-0005-0000-0000-00009D870000}"/>
    <cellStyle name="X_AIF VII ALL Entities_Prepaid Mgmt Fee_1_Sheet3_Domestic TB" xfId="34710" xr:uid="{00000000-0005-0000-0000-00009E870000}"/>
    <cellStyle name="X_AIF VII ALL Entities_Prepaid Mgmt Fee_1_Sheet3_Overseas Delaware TB" xfId="34711" xr:uid="{00000000-0005-0000-0000-00009F870000}"/>
    <cellStyle name="X_AIF VII ALL Entities_Prepaid Mgmt Fee_1_Sheet3_Overseas TB" xfId="34712" xr:uid="{00000000-0005-0000-0000-0000A0870000}"/>
    <cellStyle name="X_AIF VII ALL Entities_Prepaid Mgmt Fee_1_Sheet6" xfId="34713" xr:uid="{00000000-0005-0000-0000-0000A1870000}"/>
    <cellStyle name="X_AIF VII ALL Entities_Prepaid Mgmt Fee_1_Sheet6_Data Q1" xfId="34714" xr:uid="{00000000-0005-0000-0000-0000A2870000}"/>
    <cellStyle name="X_AIF VII ALL Entities_Prepaid Mgmt Fee_1_Sheet6_Domestic TB" xfId="34715" xr:uid="{00000000-0005-0000-0000-0000A3870000}"/>
    <cellStyle name="X_AIF VII ALL Entities_Prepaid Mgmt Fee_1_Sheet6_Overseas Delaware TB" xfId="34716" xr:uid="{00000000-0005-0000-0000-0000A4870000}"/>
    <cellStyle name="X_AIF VII ALL Entities_Prepaid Mgmt Fee_1_Sheet6_Overseas TB" xfId="34717" xr:uid="{00000000-0005-0000-0000-0000A5870000}"/>
    <cellStyle name="X_AIF VII ALL Entities_Sheet1" xfId="34718" xr:uid="{00000000-0005-0000-0000-0000A6870000}"/>
    <cellStyle name="X_AIF VII ALL Entities_Sheet1_1" xfId="34719" xr:uid="{00000000-0005-0000-0000-0000A7870000}"/>
    <cellStyle name="X_AIF VII ALL Entities_Sheet1_AIF VII 51.6M Mgt Fee Cap Call Due 1-8-09 on 12-22-08 6pm To JOE G" xfId="34720" xr:uid="{00000000-0005-0000-0000-0000A8870000}"/>
    <cellStyle name="X_AIF VII ALL Entities_Sheet1_AIF VII 51.6M Mgt Fee Cap Call Due 1-8-09 on 12-22-08 6pm To JOE G_Data Q1" xfId="34721" xr:uid="{00000000-0005-0000-0000-0000A9870000}"/>
    <cellStyle name="X_AIF VII ALL Entities_Sheet1_AIF VII 51.6M Mgt Fee Cap Call Due 1-8-09 on 12-22-08 6pm To JOE G_Domestic TB" xfId="34722" xr:uid="{00000000-0005-0000-0000-0000AA870000}"/>
    <cellStyle name="X_AIF VII ALL Entities_Sheet1_AIF VII 51.6M Mgt Fee Cap Call Due 1-8-09 on 12-22-08 6pm To JOE G_Overseas Delaware TB" xfId="34723" xr:uid="{00000000-0005-0000-0000-0000AB870000}"/>
    <cellStyle name="X_AIF VII ALL Entities_Sheet1_AIF VII 51.6M Mgt Fee Cap Call Due 1-8-09 on 12-22-08 6pm To JOE G_Overseas TB" xfId="34724" xr:uid="{00000000-0005-0000-0000-0000AC870000}"/>
    <cellStyle name="X_AIF VII ALL Entities_Sheet1_AIF VII Cap Call Due 1-26-09 Reconciliation 1-22-09" xfId="34725" xr:uid="{00000000-0005-0000-0000-0000AD870000}"/>
    <cellStyle name="X_AIF VII ALL Entities_Sheet1_AIF VII Cap Call Due 1-26-09 Reconciliation 1-22-09_Data Q1" xfId="34726" xr:uid="{00000000-0005-0000-0000-0000AE870000}"/>
    <cellStyle name="X_AIF VII ALL Entities_Sheet1_AIF VII Cap Call Due 1-26-09 Reconciliation 1-22-09_Domestic TB" xfId="34727" xr:uid="{00000000-0005-0000-0000-0000AF870000}"/>
    <cellStyle name="X_AIF VII ALL Entities_Sheet1_AIF VII Cap Call Due 1-26-09 Reconciliation 1-22-09_Overseas Delaware TB" xfId="34728" xr:uid="{00000000-0005-0000-0000-0000B0870000}"/>
    <cellStyle name="X_AIF VII ALL Entities_Sheet1_AIF VII Cap Call Due 1-26-09 Reconciliation 1-22-09_Overseas TB" xfId="34729" xr:uid="{00000000-0005-0000-0000-0000B1870000}"/>
    <cellStyle name="X_AIF VII ALL Entities_Sheet1_AIF VII Cap Call Due 1-26-09 Reconciliation 1-23-09" xfId="34730" xr:uid="{00000000-0005-0000-0000-0000B2870000}"/>
    <cellStyle name="X_AIF VII ALL Entities_Sheet1_AIF VII Cap Call Due 1-26-09 Reconciliation 1-23-09_Data Q1" xfId="34731" xr:uid="{00000000-0005-0000-0000-0000B3870000}"/>
    <cellStyle name="X_AIF VII ALL Entities_Sheet1_AIF VII Cap Call Due 1-26-09 Reconciliation 1-23-09_Domestic TB" xfId="34732" xr:uid="{00000000-0005-0000-0000-0000B4870000}"/>
    <cellStyle name="X_AIF VII ALL Entities_Sheet1_AIF VII Cap Call Due 1-26-09 Reconciliation 1-23-09_Overseas Delaware TB" xfId="34733" xr:uid="{00000000-0005-0000-0000-0000B5870000}"/>
    <cellStyle name="X_AIF VII ALL Entities_Sheet1_AIF VII Cap Call Due 1-26-09 Reconciliation 1-23-09_Overseas TB" xfId="34734" xr:uid="{00000000-0005-0000-0000-0000B6870000}"/>
    <cellStyle name="X_AIF VII ALL Entities_Sheet1_AIF VII Cap Call Due 1-26-09 Reconciliation 1-26-09 revised" xfId="34735" xr:uid="{00000000-0005-0000-0000-0000B7870000}"/>
    <cellStyle name="X_AIF VII ALL Entities_Sheet1_AIF VII Cap Call Due 1-26-09 Reconciliation 1-26-09 revised_Data Q1" xfId="34736" xr:uid="{00000000-0005-0000-0000-0000B8870000}"/>
    <cellStyle name="X_AIF VII ALL Entities_Sheet1_AIF VII Cap Call Due 1-26-09 Reconciliation 1-26-09 revised_Domestic TB" xfId="34737" xr:uid="{00000000-0005-0000-0000-0000B9870000}"/>
    <cellStyle name="X_AIF VII ALL Entities_Sheet1_AIF VII Cap Call Due 1-26-09 Reconciliation 1-26-09 revised_Overseas Delaware TB" xfId="34738" xr:uid="{00000000-0005-0000-0000-0000BA870000}"/>
    <cellStyle name="X_AIF VII ALL Entities_Sheet1_AIF VII Cap Call Due 1-26-09 Reconciliation 1-26-09 revised_Overseas TB" xfId="34739" xr:uid="{00000000-0005-0000-0000-0000BB870000}"/>
    <cellStyle name="X_AIF VII ALL Entities_Sheet1_AIF VII Cap Call Due 1-26-09 Reconciliation 2-6-09" xfId="34740" xr:uid="{00000000-0005-0000-0000-0000BC870000}"/>
    <cellStyle name="X_AIF VII ALL Entities_Sheet1_AIF VII Cap Call Due 1-26-09 Reconciliation 2-6-09_Data Q1" xfId="34741" xr:uid="{00000000-0005-0000-0000-0000BD870000}"/>
    <cellStyle name="X_AIF VII ALL Entities_Sheet1_AIF VII Cap Call Due 1-26-09 Reconciliation 2-6-09_Domestic TB" xfId="34742" xr:uid="{00000000-0005-0000-0000-0000BE870000}"/>
    <cellStyle name="X_AIF VII ALL Entities_Sheet1_AIF VII Cap Call Due 1-26-09 Reconciliation 2-6-09_Overseas Delaware TB" xfId="34743" xr:uid="{00000000-0005-0000-0000-0000BF870000}"/>
    <cellStyle name="X_AIF VII ALL Entities_Sheet1_AIF VII Cap Call Due 1-26-09 Reconciliation 2-6-09_Overseas TB" xfId="34744" xr:uid="{00000000-0005-0000-0000-0000C0870000}"/>
    <cellStyle name="X_AIF VII ALL Entities_Sheet1_AIF VII Cap Call Due 9-26-08 Recon on 10-23-08" xfId="34745" xr:uid="{00000000-0005-0000-0000-0000C1870000}"/>
    <cellStyle name="X_AIF VII ALL Entities_Sheet1_AIF VII SCPC Q3 11-21-09 used contributed capital 10pm" xfId="34746" xr:uid="{00000000-0005-0000-0000-0000C2870000}"/>
    <cellStyle name="X_AIF VII ALL Entities_Sheet1_AIF VII Tax Distribution Due 1-6-09 Recon as of 1-30-09" xfId="34747" xr:uid="{00000000-0005-0000-0000-0000C3870000}"/>
    <cellStyle name="X_AIF VII ALL Entities_Sheet1_Bank Fee Acrl" xfId="34748" xr:uid="{00000000-0005-0000-0000-0000C4870000}"/>
    <cellStyle name="X_AIF VII ALL Entities_Sheet1_Carry Due Mgmt Co" xfId="34749" xr:uid="{00000000-0005-0000-0000-0000C5870000}"/>
    <cellStyle name="X_AIF VII ALL Entities_Sheet1_Cash" xfId="34750" xr:uid="{00000000-0005-0000-0000-0000C6870000}"/>
    <cellStyle name="X_AIF VII ALL Entities_Sheet1_Daily Summary - Main Accounts" xfId="34751" xr:uid="{00000000-0005-0000-0000-0000C7870000}"/>
    <cellStyle name="X_AIF VII ALL Entities_Sheet1_Daily Summary - Main Accounts_Data Q1" xfId="34752" xr:uid="{00000000-0005-0000-0000-0000C8870000}"/>
    <cellStyle name="X_AIF VII ALL Entities_Sheet1_Daily Summary - Main Accounts_Domestic TB" xfId="34753" xr:uid="{00000000-0005-0000-0000-0000C9870000}"/>
    <cellStyle name="X_AIF VII ALL Entities_Sheet1_Daily Summary - Main Accounts_Overseas Delaware TB" xfId="34754" xr:uid="{00000000-0005-0000-0000-0000CA870000}"/>
    <cellStyle name="X_AIF VII ALL Entities_Sheet1_Daily Summary - Main Accounts_Overseas TB" xfId="34755" xr:uid="{00000000-0005-0000-0000-0000CB870000}"/>
    <cellStyle name="X_AIF VII ALL Entities_Sheet1_Data Q1" xfId="34756" xr:uid="{00000000-0005-0000-0000-0000CC870000}"/>
    <cellStyle name="X_AIF VII ALL Entities_Sheet1_Dec 08 Invested Capital on 2-3-09 11am" xfId="34757" xr:uid="{00000000-0005-0000-0000-0000CD870000}"/>
    <cellStyle name="X_AIF VII ALL Entities_Sheet1_Dep Liab Rec" xfId="34758" xr:uid="{00000000-0005-0000-0000-0000CE870000}"/>
    <cellStyle name="X_AIF VII ALL Entities_Sheet1_Domestic TB" xfId="34759" xr:uid="{00000000-0005-0000-0000-0000CF870000}"/>
    <cellStyle name="X_AIF VII ALL Entities_Sheet1_Due Fr VI" xfId="34760" xr:uid="{00000000-0005-0000-0000-0000D0870000}"/>
    <cellStyle name="X_AIF VII ALL Entities_Sheet1_Fee Calc" xfId="34761" xr:uid="{00000000-0005-0000-0000-0000D1870000}"/>
    <cellStyle name="X_AIF VII ALL Entities_Sheet1_Fund VII 12-31-2008 Receivables and Payables as of 2-11-09" xfId="34762" xr:uid="{00000000-0005-0000-0000-0000D2870000}"/>
    <cellStyle name="X_AIF VII ALL Entities_Sheet1_Incep to Q3" xfId="34763" xr:uid="{00000000-0005-0000-0000-0000D3870000}"/>
    <cellStyle name="X_AIF VII ALL Entities_Sheet1_Incep to Q3_Data Q1" xfId="34764" xr:uid="{00000000-0005-0000-0000-0000D4870000}"/>
    <cellStyle name="X_AIF VII ALL Entities_Sheet1_Incep to Q3_Domestic TB" xfId="34765" xr:uid="{00000000-0005-0000-0000-0000D5870000}"/>
    <cellStyle name="X_AIF VII ALL Entities_Sheet1_Incep to Q3_Overseas Delaware TB" xfId="34766" xr:uid="{00000000-0005-0000-0000-0000D6870000}"/>
    <cellStyle name="X_AIF VII ALL Entities_Sheet1_Incep to Q3_Overseas TB" xfId="34767" xr:uid="{00000000-0005-0000-0000-0000D7870000}"/>
    <cellStyle name="X_AIF VII ALL Entities_Sheet1_Inv Cap" xfId="34768" xr:uid="{00000000-0005-0000-0000-0000D8870000}"/>
    <cellStyle name="X_AIF VII ALL Entities_Sheet1_Inv Cap Roll" xfId="34769" xr:uid="{00000000-0005-0000-0000-0000D9870000}"/>
    <cellStyle name="X_AIF VII ALL Entities_Sheet1_Invested Cap Roll CASH" xfId="34770" xr:uid="{00000000-0005-0000-0000-0000DA870000}"/>
    <cellStyle name="X_AIF VII ALL Entities_Sheet1_JPMorgan Actual Cash" xfId="34771" xr:uid="{00000000-0005-0000-0000-0000DB870000}"/>
    <cellStyle name="X_AIF VII ALL Entities_Sheet1_Overseas Delaware TB" xfId="34772" xr:uid="{00000000-0005-0000-0000-0000DC870000}"/>
    <cellStyle name="X_AIF VII ALL Entities_Sheet1_Overseas TB" xfId="34773" xr:uid="{00000000-0005-0000-0000-0000DD870000}"/>
    <cellStyle name="X_AIF VII ALL Entities_Sheet1_p.1 Receivable" xfId="34774" xr:uid="{00000000-0005-0000-0000-0000DE870000}"/>
    <cellStyle name="X_AIF VII ALL Entities_Sheet1_p.1 Receivable_Data Q1" xfId="34775" xr:uid="{00000000-0005-0000-0000-0000DF870000}"/>
    <cellStyle name="X_AIF VII ALL Entities_Sheet1_p.1 Receivable_Domestic TB" xfId="34776" xr:uid="{00000000-0005-0000-0000-0000E0870000}"/>
    <cellStyle name="X_AIF VII ALL Entities_Sheet1_p.1 Receivable_Overseas Delaware TB" xfId="34777" xr:uid="{00000000-0005-0000-0000-0000E1870000}"/>
    <cellStyle name="X_AIF VII ALL Entities_Sheet1_p.1 Receivable_Overseas TB" xfId="34778" xr:uid="{00000000-0005-0000-0000-0000E2870000}"/>
    <cellStyle name="X_AIF VII ALL Entities_Sheet1_Sheet1" xfId="34779" xr:uid="{00000000-0005-0000-0000-0000E3870000}"/>
    <cellStyle name="X_AIF VII ALL Entities_Sheet1_Sheet3" xfId="34780" xr:uid="{00000000-0005-0000-0000-0000E4870000}"/>
    <cellStyle name="X_AIF VII ALL Entities_Sheet1_Sheet3_Data Q1" xfId="34781" xr:uid="{00000000-0005-0000-0000-0000E5870000}"/>
    <cellStyle name="X_AIF VII ALL Entities_Sheet1_Sheet3_Domestic TB" xfId="34782" xr:uid="{00000000-0005-0000-0000-0000E6870000}"/>
    <cellStyle name="X_AIF VII ALL Entities_Sheet1_Sheet3_Overseas Delaware TB" xfId="34783" xr:uid="{00000000-0005-0000-0000-0000E7870000}"/>
    <cellStyle name="X_AIF VII ALL Entities_Sheet1_Sheet3_Overseas TB" xfId="34784" xr:uid="{00000000-0005-0000-0000-0000E8870000}"/>
    <cellStyle name="X_AIF VII ALL Entities_Sheet1_Sheet6" xfId="34785" xr:uid="{00000000-0005-0000-0000-0000E9870000}"/>
    <cellStyle name="X_AIF VII ALL Entities_Sheet1_Sheet6_Data Q1" xfId="34786" xr:uid="{00000000-0005-0000-0000-0000EA870000}"/>
    <cellStyle name="X_AIF VII ALL Entities_Sheet1_Sheet6_Domestic TB" xfId="34787" xr:uid="{00000000-0005-0000-0000-0000EB870000}"/>
    <cellStyle name="X_AIF VII ALL Entities_Sheet1_Sheet6_Overseas Delaware TB" xfId="34788" xr:uid="{00000000-0005-0000-0000-0000EC870000}"/>
    <cellStyle name="X_AIF VII ALL Entities_Sheet1_Sheet6_Overseas TB" xfId="34789" xr:uid="{00000000-0005-0000-0000-0000ED870000}"/>
    <cellStyle name="X_AIF VII ALL Entities_Sheet3" xfId="34790" xr:uid="{00000000-0005-0000-0000-0000EE870000}"/>
    <cellStyle name="X_AIF VII ALL Entities_Sheet3_Data Q1" xfId="34791" xr:uid="{00000000-0005-0000-0000-0000EF870000}"/>
    <cellStyle name="X_AIF VII ALL Entities_Sheet3_Domestic TB" xfId="34792" xr:uid="{00000000-0005-0000-0000-0000F0870000}"/>
    <cellStyle name="X_AIF VII ALL Entities_Sheet3_Overseas Delaware TB" xfId="34793" xr:uid="{00000000-0005-0000-0000-0000F1870000}"/>
    <cellStyle name="X_AIF VII ALL Entities_Sheet3_Overseas TB" xfId="34794" xr:uid="{00000000-0005-0000-0000-0000F2870000}"/>
    <cellStyle name="X_AIF VII ALL Entities_Sheet6" xfId="34795" xr:uid="{00000000-0005-0000-0000-0000F3870000}"/>
    <cellStyle name="X_AIF VII ALL Entities_Sheet6_Data Q1" xfId="34796" xr:uid="{00000000-0005-0000-0000-0000F4870000}"/>
    <cellStyle name="X_AIF VII ALL Entities_Sheet6_Domestic TB" xfId="34797" xr:uid="{00000000-0005-0000-0000-0000F5870000}"/>
    <cellStyle name="X_AIF VII ALL Entities_Sheet6_Overseas Delaware TB" xfId="34798" xr:uid="{00000000-0005-0000-0000-0000F6870000}"/>
    <cellStyle name="X_AIF VII ALL Entities_Sheet6_Overseas TB" xfId="34799" xr:uid="{00000000-0005-0000-0000-0000F7870000}"/>
    <cellStyle name="X_AIF VII Capital Balance Analysis INCEPTION to 09-30-08 on 10-13-08 8am" xfId="34800" xr:uid="{00000000-0005-0000-0000-0000F8870000}"/>
    <cellStyle name="X_AIF VII Management Fees Calls thru 8-05-08" xfId="34801" xr:uid="{00000000-0005-0000-0000-0000F9870000}"/>
    <cellStyle name="X_Apollo Advisors VI GAAP TB 12-31-08" xfId="34802" xr:uid="{00000000-0005-0000-0000-0000FA870000}"/>
    <cellStyle name="X_Apollo Advisors VI GAAP TB 12-31-08_Data Q1" xfId="34803" xr:uid="{00000000-0005-0000-0000-0000FB870000}"/>
    <cellStyle name="X_Apollo Advisors VI GAAP TB 12-31-08_Domestic TB" xfId="34804" xr:uid="{00000000-0005-0000-0000-0000FC870000}"/>
    <cellStyle name="X_Apollo Advisors VI GAAP TB 12-31-08_Overseas Delaware TB" xfId="34805" xr:uid="{00000000-0005-0000-0000-0000FD870000}"/>
    <cellStyle name="X_Apollo Advisors VI GAAP TB 12-31-08_Overseas TB" xfId="34806" xr:uid="{00000000-0005-0000-0000-0000FE870000}"/>
    <cellStyle name="X_Book4" xfId="34807" xr:uid="{00000000-0005-0000-0000-0000FF870000}"/>
    <cellStyle name="X_Book4_AIF VII 51.6M Mgt Fee Cap Call Due 1-8-09 on 12-22-08 6pm To JOE G" xfId="34808" xr:uid="{00000000-0005-0000-0000-000000880000}"/>
    <cellStyle name="X_Book4_AIF VII 51.6M Mgt Fee Cap Call Due 1-8-09 on 12-22-08 6pm To JOE G_Data Q1" xfId="34809" xr:uid="{00000000-0005-0000-0000-000001880000}"/>
    <cellStyle name="X_Book4_AIF VII 51.6M Mgt Fee Cap Call Due 1-8-09 on 12-22-08 6pm To JOE G_Domestic TB" xfId="34810" xr:uid="{00000000-0005-0000-0000-000002880000}"/>
    <cellStyle name="X_Book4_AIF VII 51.6M Mgt Fee Cap Call Due 1-8-09 on 12-22-08 6pm To JOE G_Overseas Delaware TB" xfId="34811" xr:uid="{00000000-0005-0000-0000-000003880000}"/>
    <cellStyle name="X_Book4_AIF VII 51.6M Mgt Fee Cap Call Due 1-8-09 on 12-22-08 6pm To JOE G_Overseas TB" xfId="34812" xr:uid="{00000000-0005-0000-0000-000004880000}"/>
    <cellStyle name="X_Book4_AIF VII ALL Entities" xfId="34813" xr:uid="{00000000-0005-0000-0000-000005880000}"/>
    <cellStyle name="X_Book4_AIF VII Cap Call Due 1-26-09 Reconciliation 1-22-09" xfId="34814" xr:uid="{00000000-0005-0000-0000-000006880000}"/>
    <cellStyle name="X_Book4_AIF VII Cap Call Due 1-26-09 Reconciliation 1-22-09_Data Q1" xfId="34815" xr:uid="{00000000-0005-0000-0000-000007880000}"/>
    <cellStyle name="X_Book4_AIF VII Cap Call Due 1-26-09 Reconciliation 1-22-09_Domestic TB" xfId="34816" xr:uid="{00000000-0005-0000-0000-000008880000}"/>
    <cellStyle name="X_Book4_AIF VII Cap Call Due 1-26-09 Reconciliation 1-22-09_Overseas Delaware TB" xfId="34817" xr:uid="{00000000-0005-0000-0000-000009880000}"/>
    <cellStyle name="X_Book4_AIF VII Cap Call Due 1-26-09 Reconciliation 1-22-09_Overseas TB" xfId="34818" xr:uid="{00000000-0005-0000-0000-00000A880000}"/>
    <cellStyle name="X_Book4_AIF VII Cap Call Due 1-26-09 Reconciliation 1-23-09" xfId="34819" xr:uid="{00000000-0005-0000-0000-00000B880000}"/>
    <cellStyle name="X_Book4_AIF VII Cap Call Due 1-26-09 Reconciliation 1-23-09_Data Q1" xfId="34820" xr:uid="{00000000-0005-0000-0000-00000C880000}"/>
    <cellStyle name="X_Book4_AIF VII Cap Call Due 1-26-09 Reconciliation 1-23-09_Domestic TB" xfId="34821" xr:uid="{00000000-0005-0000-0000-00000D880000}"/>
    <cellStyle name="X_Book4_AIF VII Cap Call Due 1-26-09 Reconciliation 1-23-09_Overseas Delaware TB" xfId="34822" xr:uid="{00000000-0005-0000-0000-00000E880000}"/>
    <cellStyle name="X_Book4_AIF VII Cap Call Due 1-26-09 Reconciliation 1-23-09_Overseas TB" xfId="34823" xr:uid="{00000000-0005-0000-0000-00000F880000}"/>
    <cellStyle name="X_Book4_AIF VII Cap Call Due 1-26-09 Reconciliation 1-26-09 revised" xfId="34824" xr:uid="{00000000-0005-0000-0000-000010880000}"/>
    <cellStyle name="X_Book4_AIF VII Cap Call Due 1-26-09 Reconciliation 1-26-09 revised_Data Q1" xfId="34825" xr:uid="{00000000-0005-0000-0000-000011880000}"/>
    <cellStyle name="X_Book4_AIF VII Cap Call Due 1-26-09 Reconciliation 1-26-09 revised_Domestic TB" xfId="34826" xr:uid="{00000000-0005-0000-0000-000012880000}"/>
    <cellStyle name="X_Book4_AIF VII Cap Call Due 1-26-09 Reconciliation 1-26-09 revised_Overseas Delaware TB" xfId="34827" xr:uid="{00000000-0005-0000-0000-000013880000}"/>
    <cellStyle name="X_Book4_AIF VII Cap Call Due 1-26-09 Reconciliation 1-26-09 revised_Overseas TB" xfId="34828" xr:uid="{00000000-0005-0000-0000-000014880000}"/>
    <cellStyle name="X_Book4_AIF VII Cap Call Due 1-26-09 Reconciliation 2-6-09" xfId="34829" xr:uid="{00000000-0005-0000-0000-000015880000}"/>
    <cellStyle name="X_Book4_AIF VII Cap Call Due 1-26-09 Reconciliation 2-6-09_Data Q1" xfId="34830" xr:uid="{00000000-0005-0000-0000-000016880000}"/>
    <cellStyle name="X_Book4_AIF VII Cap Call Due 1-26-09 Reconciliation 2-6-09_Domestic TB" xfId="34831" xr:uid="{00000000-0005-0000-0000-000017880000}"/>
    <cellStyle name="X_Book4_AIF VII Cap Call Due 1-26-09 Reconciliation 2-6-09_Overseas Delaware TB" xfId="34832" xr:uid="{00000000-0005-0000-0000-000018880000}"/>
    <cellStyle name="X_Book4_AIF VII Cap Call Due 1-26-09 Reconciliation 2-6-09_Overseas TB" xfId="34833" xr:uid="{00000000-0005-0000-0000-000019880000}"/>
    <cellStyle name="X_Book4_AIF VII Tax Distribution Due 1-6-09 Recon as of 1-30-09" xfId="34834" xr:uid="{00000000-0005-0000-0000-00001A880000}"/>
    <cellStyle name="X_Book4_Bank Fee Acrl" xfId="34835" xr:uid="{00000000-0005-0000-0000-00001B880000}"/>
    <cellStyle name="X_Book4_Carry Due Mgmt Co" xfId="34836" xr:uid="{00000000-0005-0000-0000-00001C880000}"/>
    <cellStyle name="X_Book4_Cash" xfId="34837" xr:uid="{00000000-0005-0000-0000-00001D880000}"/>
    <cellStyle name="X_Book4_Daily Summary - Main Accounts" xfId="34838" xr:uid="{00000000-0005-0000-0000-00001E880000}"/>
    <cellStyle name="X_Book4_Daily Summary - Main Accounts_Data Q1" xfId="34839" xr:uid="{00000000-0005-0000-0000-00001F880000}"/>
    <cellStyle name="X_Book4_Daily Summary - Main Accounts_Domestic TB" xfId="34840" xr:uid="{00000000-0005-0000-0000-000020880000}"/>
    <cellStyle name="X_Book4_Daily Summary - Main Accounts_Overseas Delaware TB" xfId="34841" xr:uid="{00000000-0005-0000-0000-000021880000}"/>
    <cellStyle name="X_Book4_Daily Summary - Main Accounts_Overseas TB" xfId="34842" xr:uid="{00000000-0005-0000-0000-000022880000}"/>
    <cellStyle name="X_Book4_Data Q1" xfId="34843" xr:uid="{00000000-0005-0000-0000-000023880000}"/>
    <cellStyle name="X_Book4_Dec 08 Invested Capital on 2-3-09 11am" xfId="34844" xr:uid="{00000000-0005-0000-0000-000024880000}"/>
    <cellStyle name="X_Book4_Dep Liab Rec" xfId="34845" xr:uid="{00000000-0005-0000-0000-000025880000}"/>
    <cellStyle name="X_Book4_Domestic TB" xfId="34846" xr:uid="{00000000-0005-0000-0000-000026880000}"/>
    <cellStyle name="X_Book4_Due Fr VI" xfId="34847" xr:uid="{00000000-0005-0000-0000-000027880000}"/>
    <cellStyle name="X_Book4_Due To-From" xfId="34848" xr:uid="{00000000-0005-0000-0000-000028880000}"/>
    <cellStyle name="X_Book4_Due To-From_AIF VII 51.6M Mgt Fee Cap Call Due 1-8-09 on 12-22-08 6pm To JOE G" xfId="34849" xr:uid="{00000000-0005-0000-0000-000029880000}"/>
    <cellStyle name="X_Book4_Due To-From_AIF VII 51.6M Mgt Fee Cap Call Due 1-8-09 on 12-22-08 6pm To JOE G_Data Q1" xfId="34850" xr:uid="{00000000-0005-0000-0000-00002A880000}"/>
    <cellStyle name="X_Book4_Due To-From_AIF VII 51.6M Mgt Fee Cap Call Due 1-8-09 on 12-22-08 6pm To JOE G_Domestic TB" xfId="34851" xr:uid="{00000000-0005-0000-0000-00002B880000}"/>
    <cellStyle name="X_Book4_Due To-From_AIF VII 51.6M Mgt Fee Cap Call Due 1-8-09 on 12-22-08 6pm To JOE G_Overseas Delaware TB" xfId="34852" xr:uid="{00000000-0005-0000-0000-00002C880000}"/>
    <cellStyle name="X_Book4_Due To-From_AIF VII 51.6M Mgt Fee Cap Call Due 1-8-09 on 12-22-08 6pm To JOE G_Overseas TB" xfId="34853" xr:uid="{00000000-0005-0000-0000-00002D880000}"/>
    <cellStyle name="X_Book4_Due To-From_AIF VII Cap Call Due 1-26-09 Reconciliation 1-22-09" xfId="34854" xr:uid="{00000000-0005-0000-0000-00002E880000}"/>
    <cellStyle name="X_Book4_Due To-From_AIF VII Cap Call Due 1-26-09 Reconciliation 1-22-09_Data Q1" xfId="34855" xr:uid="{00000000-0005-0000-0000-00002F880000}"/>
    <cellStyle name="X_Book4_Due To-From_AIF VII Cap Call Due 1-26-09 Reconciliation 1-22-09_Domestic TB" xfId="34856" xr:uid="{00000000-0005-0000-0000-000030880000}"/>
    <cellStyle name="X_Book4_Due To-From_AIF VII Cap Call Due 1-26-09 Reconciliation 1-22-09_Overseas Delaware TB" xfId="34857" xr:uid="{00000000-0005-0000-0000-000031880000}"/>
    <cellStyle name="X_Book4_Due To-From_AIF VII Cap Call Due 1-26-09 Reconciliation 1-22-09_Overseas TB" xfId="34858" xr:uid="{00000000-0005-0000-0000-000032880000}"/>
    <cellStyle name="X_Book4_Due To-From_AIF VII Cap Call Due 1-26-09 Reconciliation 1-23-09" xfId="34859" xr:uid="{00000000-0005-0000-0000-000033880000}"/>
    <cellStyle name="X_Book4_Due To-From_AIF VII Cap Call Due 1-26-09 Reconciliation 1-23-09_Data Q1" xfId="34860" xr:uid="{00000000-0005-0000-0000-000034880000}"/>
    <cellStyle name="X_Book4_Due To-From_AIF VII Cap Call Due 1-26-09 Reconciliation 1-23-09_Domestic TB" xfId="34861" xr:uid="{00000000-0005-0000-0000-000035880000}"/>
    <cellStyle name="X_Book4_Due To-From_AIF VII Cap Call Due 1-26-09 Reconciliation 1-23-09_Overseas Delaware TB" xfId="34862" xr:uid="{00000000-0005-0000-0000-000036880000}"/>
    <cellStyle name="X_Book4_Due To-From_AIF VII Cap Call Due 1-26-09 Reconciliation 1-23-09_Overseas TB" xfId="34863" xr:uid="{00000000-0005-0000-0000-000037880000}"/>
    <cellStyle name="X_Book4_Due To-From_AIF VII Cap Call Due 1-26-09 Reconciliation 1-26-09 revised" xfId="34864" xr:uid="{00000000-0005-0000-0000-000038880000}"/>
    <cellStyle name="X_Book4_Due To-From_AIF VII Cap Call Due 1-26-09 Reconciliation 1-26-09 revised_Data Q1" xfId="34865" xr:uid="{00000000-0005-0000-0000-000039880000}"/>
    <cellStyle name="X_Book4_Due To-From_AIF VII Cap Call Due 1-26-09 Reconciliation 1-26-09 revised_Domestic TB" xfId="34866" xr:uid="{00000000-0005-0000-0000-00003A880000}"/>
    <cellStyle name="X_Book4_Due To-From_AIF VII Cap Call Due 1-26-09 Reconciliation 1-26-09 revised_Overseas Delaware TB" xfId="34867" xr:uid="{00000000-0005-0000-0000-00003B880000}"/>
    <cellStyle name="X_Book4_Due To-From_AIF VII Cap Call Due 1-26-09 Reconciliation 1-26-09 revised_Overseas TB" xfId="34868" xr:uid="{00000000-0005-0000-0000-00003C880000}"/>
    <cellStyle name="X_Book4_Due To-From_AIF VII Cap Call Due 1-26-09 Reconciliation 2-6-09" xfId="34869" xr:uid="{00000000-0005-0000-0000-00003D880000}"/>
    <cellStyle name="X_Book4_Due To-From_AIF VII Cap Call Due 1-26-09 Reconciliation 2-6-09_Data Q1" xfId="34870" xr:uid="{00000000-0005-0000-0000-00003E880000}"/>
    <cellStyle name="X_Book4_Due To-From_AIF VII Cap Call Due 1-26-09 Reconciliation 2-6-09_Domestic TB" xfId="34871" xr:uid="{00000000-0005-0000-0000-00003F880000}"/>
    <cellStyle name="X_Book4_Due To-From_AIF VII Cap Call Due 1-26-09 Reconciliation 2-6-09_Overseas Delaware TB" xfId="34872" xr:uid="{00000000-0005-0000-0000-000040880000}"/>
    <cellStyle name="X_Book4_Due To-From_AIF VII Cap Call Due 1-26-09 Reconciliation 2-6-09_Overseas TB" xfId="34873" xr:uid="{00000000-0005-0000-0000-000041880000}"/>
    <cellStyle name="X_Book4_Due To-From_AIF VII Cap Call Due 9-26-08 Recon on 10-23-08" xfId="34874" xr:uid="{00000000-0005-0000-0000-000042880000}"/>
    <cellStyle name="X_Book4_Due To-From_AIF VII SCPC Q3 11-21-09 used contributed capital 10pm" xfId="34875" xr:uid="{00000000-0005-0000-0000-000043880000}"/>
    <cellStyle name="X_Book4_Due To-From_AIF VII Tax Distribution Due 1-6-09 Recon as of 1-30-09" xfId="34876" xr:uid="{00000000-0005-0000-0000-000044880000}"/>
    <cellStyle name="X_Book4_Due To-From_Bank Fee Acrl" xfId="34877" xr:uid="{00000000-0005-0000-0000-000045880000}"/>
    <cellStyle name="X_Book4_Due To-From_Carry Due Mgmt Co" xfId="34878" xr:uid="{00000000-0005-0000-0000-000046880000}"/>
    <cellStyle name="X_Book4_Due To-From_Cash" xfId="34879" xr:uid="{00000000-0005-0000-0000-000047880000}"/>
    <cellStyle name="X_Book4_Due To-From_Daily Summary - Main Accounts" xfId="34880" xr:uid="{00000000-0005-0000-0000-000048880000}"/>
    <cellStyle name="X_Book4_Due To-From_Daily Summary - Main Accounts_Data Q1" xfId="34881" xr:uid="{00000000-0005-0000-0000-000049880000}"/>
    <cellStyle name="X_Book4_Due To-From_Daily Summary - Main Accounts_Domestic TB" xfId="34882" xr:uid="{00000000-0005-0000-0000-00004A880000}"/>
    <cellStyle name="X_Book4_Due To-From_Daily Summary - Main Accounts_Overseas Delaware TB" xfId="34883" xr:uid="{00000000-0005-0000-0000-00004B880000}"/>
    <cellStyle name="X_Book4_Due To-From_Daily Summary - Main Accounts_Overseas TB" xfId="34884" xr:uid="{00000000-0005-0000-0000-00004C880000}"/>
    <cellStyle name="X_Book4_Due To-From_Data Q1" xfId="34885" xr:uid="{00000000-0005-0000-0000-00004D880000}"/>
    <cellStyle name="X_Book4_Due To-From_Dec 08 Invested Capital on 2-3-09 11am" xfId="34886" xr:uid="{00000000-0005-0000-0000-00004E880000}"/>
    <cellStyle name="X_Book4_Due To-From_Dep Liab Rec" xfId="34887" xr:uid="{00000000-0005-0000-0000-00004F880000}"/>
    <cellStyle name="X_Book4_Due To-From_Domestic TB" xfId="34888" xr:uid="{00000000-0005-0000-0000-000050880000}"/>
    <cellStyle name="X_Book4_Due To-From_Due Fr VI" xfId="34889" xr:uid="{00000000-0005-0000-0000-000051880000}"/>
    <cellStyle name="X_Book4_Due To-From_Fee Calc" xfId="34890" xr:uid="{00000000-0005-0000-0000-000052880000}"/>
    <cellStyle name="X_Book4_Due To-From_Fund VII 12-31-2008 Receivables and Payables as of 2-11-09" xfId="34891" xr:uid="{00000000-0005-0000-0000-000053880000}"/>
    <cellStyle name="X_Book4_Due To-From_Incep to Q3" xfId="34892" xr:uid="{00000000-0005-0000-0000-000054880000}"/>
    <cellStyle name="X_Book4_Due To-From_Incep to Q3_Data Q1" xfId="34893" xr:uid="{00000000-0005-0000-0000-000055880000}"/>
    <cellStyle name="X_Book4_Due To-From_Incep to Q3_Domestic TB" xfId="34894" xr:uid="{00000000-0005-0000-0000-000056880000}"/>
    <cellStyle name="X_Book4_Due To-From_Incep to Q3_Overseas Delaware TB" xfId="34895" xr:uid="{00000000-0005-0000-0000-000057880000}"/>
    <cellStyle name="X_Book4_Due To-From_Incep to Q3_Overseas TB" xfId="34896" xr:uid="{00000000-0005-0000-0000-000058880000}"/>
    <cellStyle name="X_Book4_Due To-From_Inv Cap" xfId="34897" xr:uid="{00000000-0005-0000-0000-000059880000}"/>
    <cellStyle name="X_Book4_Due To-From_Inv Cap Roll" xfId="34898" xr:uid="{00000000-0005-0000-0000-00005A880000}"/>
    <cellStyle name="X_Book4_Due To-From_Invested Cap Roll CASH" xfId="34899" xr:uid="{00000000-0005-0000-0000-00005B880000}"/>
    <cellStyle name="X_Book4_Due To-From_JPMorgan Actual Cash" xfId="34900" xr:uid="{00000000-0005-0000-0000-00005C880000}"/>
    <cellStyle name="X_Book4_Due To-From_Overseas Delaware TB" xfId="34901" xr:uid="{00000000-0005-0000-0000-00005D880000}"/>
    <cellStyle name="X_Book4_Due To-From_Overseas TB" xfId="34902" xr:uid="{00000000-0005-0000-0000-00005E880000}"/>
    <cellStyle name="X_Book4_Due To-From_p.1 Receivable" xfId="34903" xr:uid="{00000000-0005-0000-0000-00005F880000}"/>
    <cellStyle name="X_Book4_Due To-From_p.1 Receivable_Data Q1" xfId="34904" xr:uid="{00000000-0005-0000-0000-000060880000}"/>
    <cellStyle name="X_Book4_Due To-From_p.1 Receivable_Domestic TB" xfId="34905" xr:uid="{00000000-0005-0000-0000-000061880000}"/>
    <cellStyle name="X_Book4_Due To-From_p.1 Receivable_Overseas Delaware TB" xfId="34906" xr:uid="{00000000-0005-0000-0000-000062880000}"/>
    <cellStyle name="X_Book4_Due To-From_p.1 Receivable_Overseas TB" xfId="34907" xr:uid="{00000000-0005-0000-0000-000063880000}"/>
    <cellStyle name="X_Book4_Due To-From_Sheet1" xfId="34908" xr:uid="{00000000-0005-0000-0000-000064880000}"/>
    <cellStyle name="X_Book4_Due To-From_Sheet3" xfId="34909" xr:uid="{00000000-0005-0000-0000-000065880000}"/>
    <cellStyle name="X_Book4_Due To-From_Sheet3_Data Q1" xfId="34910" xr:uid="{00000000-0005-0000-0000-000066880000}"/>
    <cellStyle name="X_Book4_Due To-From_Sheet3_Domestic TB" xfId="34911" xr:uid="{00000000-0005-0000-0000-000067880000}"/>
    <cellStyle name="X_Book4_Due To-From_Sheet3_Overseas Delaware TB" xfId="34912" xr:uid="{00000000-0005-0000-0000-000068880000}"/>
    <cellStyle name="X_Book4_Due To-From_Sheet3_Overseas TB" xfId="34913" xr:uid="{00000000-0005-0000-0000-000069880000}"/>
    <cellStyle name="X_Book4_Due To-From_Sheet6" xfId="34914" xr:uid="{00000000-0005-0000-0000-00006A880000}"/>
    <cellStyle name="X_Book4_Due To-From_Sheet6_Data Q1" xfId="34915" xr:uid="{00000000-0005-0000-0000-00006B880000}"/>
    <cellStyle name="X_Book4_Due To-From_Sheet6_Domestic TB" xfId="34916" xr:uid="{00000000-0005-0000-0000-00006C880000}"/>
    <cellStyle name="X_Book4_Due To-From_Sheet6_Overseas Delaware TB" xfId="34917" xr:uid="{00000000-0005-0000-0000-00006D880000}"/>
    <cellStyle name="X_Book4_Due To-From_Sheet6_Overseas TB" xfId="34918" xr:uid="{00000000-0005-0000-0000-00006E880000}"/>
    <cellStyle name="X_Book4_Fee Calc" xfId="34919" xr:uid="{00000000-0005-0000-0000-00006F880000}"/>
    <cellStyle name="X_Book4_Fund VII 12-31-2008 Receivables and Payables as of 2-11-09" xfId="34920" xr:uid="{00000000-0005-0000-0000-000070880000}"/>
    <cellStyle name="X_Book4_Fund VII Cash recon to Cap Call as of 10-13-08" xfId="34921" xr:uid="{00000000-0005-0000-0000-000071880000}"/>
    <cellStyle name="X_Book4_Gain Calc from Cash File" xfId="34922" xr:uid="{00000000-0005-0000-0000-000072880000}"/>
    <cellStyle name="X_Book4_Inv Cap" xfId="34923" xr:uid="{00000000-0005-0000-0000-000073880000}"/>
    <cellStyle name="X_Book4_Inv Cap Roll" xfId="34924" xr:uid="{00000000-0005-0000-0000-000074880000}"/>
    <cellStyle name="X_Book4_Invested Cap Roll CASH" xfId="34925" xr:uid="{00000000-0005-0000-0000-000075880000}"/>
    <cellStyle name="X_Book4_JPMorgan Actual Cash" xfId="34926" xr:uid="{00000000-0005-0000-0000-000076880000}"/>
    <cellStyle name="X_Book4_Mgmt Fee Reallocation" xfId="34927" xr:uid="{00000000-0005-0000-0000-000077880000}"/>
    <cellStyle name="X_Book4_Mgmt Fee Reallocation_AIF VII 51.6M Mgt Fee Cap Call Due 1-8-09 on 12-22-08 6pm To JOE G" xfId="34928" xr:uid="{00000000-0005-0000-0000-000078880000}"/>
    <cellStyle name="X_Book4_Mgmt Fee Reallocation_AIF VII 51.6M Mgt Fee Cap Call Due 1-8-09 on 12-22-08 6pm To JOE G_Data Q1" xfId="34929" xr:uid="{00000000-0005-0000-0000-000079880000}"/>
    <cellStyle name="X_Book4_Mgmt Fee Reallocation_AIF VII 51.6M Mgt Fee Cap Call Due 1-8-09 on 12-22-08 6pm To JOE G_Domestic TB" xfId="34930" xr:uid="{00000000-0005-0000-0000-00007A880000}"/>
    <cellStyle name="X_Book4_Mgmt Fee Reallocation_AIF VII 51.6M Mgt Fee Cap Call Due 1-8-09 on 12-22-08 6pm To JOE G_Overseas Delaware TB" xfId="34931" xr:uid="{00000000-0005-0000-0000-00007B880000}"/>
    <cellStyle name="X_Book4_Mgmt Fee Reallocation_AIF VII 51.6M Mgt Fee Cap Call Due 1-8-09 on 12-22-08 6pm To JOE G_Overseas TB" xfId="34932" xr:uid="{00000000-0005-0000-0000-00007C880000}"/>
    <cellStyle name="X_Book4_Mgmt Fee Reallocation_AIF VII Cap Call Due 1-26-09 Reconciliation 1-22-09" xfId="34933" xr:uid="{00000000-0005-0000-0000-00007D880000}"/>
    <cellStyle name="X_Book4_Mgmt Fee Reallocation_AIF VII Cap Call Due 1-26-09 Reconciliation 1-22-09_Data Q1" xfId="34934" xr:uid="{00000000-0005-0000-0000-00007E880000}"/>
    <cellStyle name="X_Book4_Mgmt Fee Reallocation_AIF VII Cap Call Due 1-26-09 Reconciliation 1-22-09_Domestic TB" xfId="34935" xr:uid="{00000000-0005-0000-0000-00007F880000}"/>
    <cellStyle name="X_Book4_Mgmt Fee Reallocation_AIF VII Cap Call Due 1-26-09 Reconciliation 1-22-09_Overseas Delaware TB" xfId="34936" xr:uid="{00000000-0005-0000-0000-000080880000}"/>
    <cellStyle name="X_Book4_Mgmt Fee Reallocation_AIF VII Cap Call Due 1-26-09 Reconciliation 1-22-09_Overseas TB" xfId="34937" xr:uid="{00000000-0005-0000-0000-000081880000}"/>
    <cellStyle name="X_Book4_Mgmt Fee Reallocation_AIF VII Cap Call Due 1-26-09 Reconciliation 1-23-09" xfId="34938" xr:uid="{00000000-0005-0000-0000-000082880000}"/>
    <cellStyle name="X_Book4_Mgmt Fee Reallocation_AIF VII Cap Call Due 1-26-09 Reconciliation 1-23-09_Data Q1" xfId="34939" xr:uid="{00000000-0005-0000-0000-000083880000}"/>
    <cellStyle name="X_Book4_Mgmt Fee Reallocation_AIF VII Cap Call Due 1-26-09 Reconciliation 1-23-09_Domestic TB" xfId="34940" xr:uid="{00000000-0005-0000-0000-000084880000}"/>
    <cellStyle name="X_Book4_Mgmt Fee Reallocation_AIF VII Cap Call Due 1-26-09 Reconciliation 1-23-09_Overseas Delaware TB" xfId="34941" xr:uid="{00000000-0005-0000-0000-000085880000}"/>
    <cellStyle name="X_Book4_Mgmt Fee Reallocation_AIF VII Cap Call Due 1-26-09 Reconciliation 1-23-09_Overseas TB" xfId="34942" xr:uid="{00000000-0005-0000-0000-000086880000}"/>
    <cellStyle name="X_Book4_Mgmt Fee Reallocation_AIF VII Cap Call Due 1-26-09 Reconciliation 1-26-09 revised" xfId="34943" xr:uid="{00000000-0005-0000-0000-000087880000}"/>
    <cellStyle name="X_Book4_Mgmt Fee Reallocation_AIF VII Cap Call Due 1-26-09 Reconciliation 1-26-09 revised_Data Q1" xfId="34944" xr:uid="{00000000-0005-0000-0000-000088880000}"/>
    <cellStyle name="X_Book4_Mgmt Fee Reallocation_AIF VII Cap Call Due 1-26-09 Reconciliation 1-26-09 revised_Domestic TB" xfId="34945" xr:uid="{00000000-0005-0000-0000-000089880000}"/>
    <cellStyle name="X_Book4_Mgmt Fee Reallocation_AIF VII Cap Call Due 1-26-09 Reconciliation 1-26-09 revised_Overseas Delaware TB" xfId="34946" xr:uid="{00000000-0005-0000-0000-00008A880000}"/>
    <cellStyle name="X_Book4_Mgmt Fee Reallocation_AIF VII Cap Call Due 1-26-09 Reconciliation 1-26-09 revised_Overseas TB" xfId="34947" xr:uid="{00000000-0005-0000-0000-00008B880000}"/>
    <cellStyle name="X_Book4_Mgmt Fee Reallocation_AIF VII Cap Call Due 1-26-09 Reconciliation 2-6-09" xfId="34948" xr:uid="{00000000-0005-0000-0000-00008C880000}"/>
    <cellStyle name="X_Book4_Mgmt Fee Reallocation_AIF VII Cap Call Due 1-26-09 Reconciliation 2-6-09_Data Q1" xfId="34949" xr:uid="{00000000-0005-0000-0000-00008D880000}"/>
    <cellStyle name="X_Book4_Mgmt Fee Reallocation_AIF VII Cap Call Due 1-26-09 Reconciliation 2-6-09_Domestic TB" xfId="34950" xr:uid="{00000000-0005-0000-0000-00008E880000}"/>
    <cellStyle name="X_Book4_Mgmt Fee Reallocation_AIF VII Cap Call Due 1-26-09 Reconciliation 2-6-09_Overseas Delaware TB" xfId="34951" xr:uid="{00000000-0005-0000-0000-00008F880000}"/>
    <cellStyle name="X_Book4_Mgmt Fee Reallocation_AIF VII Cap Call Due 1-26-09 Reconciliation 2-6-09_Overseas TB" xfId="34952" xr:uid="{00000000-0005-0000-0000-000090880000}"/>
    <cellStyle name="X_Book4_Mgmt Fee Reallocation_AIF VII Cap Call Due 9-26-08 Recon on 10-23-08" xfId="34953" xr:uid="{00000000-0005-0000-0000-000091880000}"/>
    <cellStyle name="X_Book4_Mgmt Fee Reallocation_AIF VII SCPC Q3 11-21-09 used contributed capital 10pm" xfId="34954" xr:uid="{00000000-0005-0000-0000-000092880000}"/>
    <cellStyle name="X_Book4_Mgmt Fee Reallocation_AIF VII Tax Distribution Due 1-6-09 Recon as of 1-30-09" xfId="34955" xr:uid="{00000000-0005-0000-0000-000093880000}"/>
    <cellStyle name="X_Book4_Mgmt Fee Reallocation_Bank Fee Acrl" xfId="34956" xr:uid="{00000000-0005-0000-0000-000094880000}"/>
    <cellStyle name="X_Book4_Mgmt Fee Reallocation_Carry Due Mgmt Co" xfId="34957" xr:uid="{00000000-0005-0000-0000-000095880000}"/>
    <cellStyle name="X_Book4_Mgmt Fee Reallocation_Cash" xfId="34958" xr:uid="{00000000-0005-0000-0000-000096880000}"/>
    <cellStyle name="X_Book4_Mgmt Fee Reallocation_Daily Summary - Main Accounts" xfId="34959" xr:uid="{00000000-0005-0000-0000-000097880000}"/>
    <cellStyle name="X_Book4_Mgmt Fee Reallocation_Daily Summary - Main Accounts_Data Q1" xfId="34960" xr:uid="{00000000-0005-0000-0000-000098880000}"/>
    <cellStyle name="X_Book4_Mgmt Fee Reallocation_Daily Summary - Main Accounts_Domestic TB" xfId="34961" xr:uid="{00000000-0005-0000-0000-000099880000}"/>
    <cellStyle name="X_Book4_Mgmt Fee Reallocation_Daily Summary - Main Accounts_Overseas Delaware TB" xfId="34962" xr:uid="{00000000-0005-0000-0000-00009A880000}"/>
    <cellStyle name="X_Book4_Mgmt Fee Reallocation_Daily Summary - Main Accounts_Overseas TB" xfId="34963" xr:uid="{00000000-0005-0000-0000-00009B880000}"/>
    <cellStyle name="X_Book4_Mgmt Fee Reallocation_Data Q1" xfId="34964" xr:uid="{00000000-0005-0000-0000-00009C880000}"/>
    <cellStyle name="X_Book4_Mgmt Fee Reallocation_Dec 08 Invested Capital on 2-3-09 11am" xfId="34965" xr:uid="{00000000-0005-0000-0000-00009D880000}"/>
    <cellStyle name="X_Book4_Mgmt Fee Reallocation_Dep Liab Rec" xfId="34966" xr:uid="{00000000-0005-0000-0000-00009E880000}"/>
    <cellStyle name="X_Book4_Mgmt Fee Reallocation_Domestic TB" xfId="34967" xr:uid="{00000000-0005-0000-0000-00009F880000}"/>
    <cellStyle name="X_Book4_Mgmt Fee Reallocation_Due Fr VI" xfId="34968" xr:uid="{00000000-0005-0000-0000-0000A0880000}"/>
    <cellStyle name="X_Book4_Mgmt Fee Reallocation_Fee Calc" xfId="34969" xr:uid="{00000000-0005-0000-0000-0000A1880000}"/>
    <cellStyle name="X_Book4_Mgmt Fee Reallocation_Fund VII 12-31-2008 Receivables and Payables as of 2-11-09" xfId="34970" xr:uid="{00000000-0005-0000-0000-0000A2880000}"/>
    <cellStyle name="X_Book4_Mgmt Fee Reallocation_Incep to Q3" xfId="34971" xr:uid="{00000000-0005-0000-0000-0000A3880000}"/>
    <cellStyle name="X_Book4_Mgmt Fee Reallocation_Incep to Q3_Data Q1" xfId="34972" xr:uid="{00000000-0005-0000-0000-0000A4880000}"/>
    <cellStyle name="X_Book4_Mgmt Fee Reallocation_Incep to Q3_Domestic TB" xfId="34973" xr:uid="{00000000-0005-0000-0000-0000A5880000}"/>
    <cellStyle name="X_Book4_Mgmt Fee Reallocation_Incep to Q3_Overseas Delaware TB" xfId="34974" xr:uid="{00000000-0005-0000-0000-0000A6880000}"/>
    <cellStyle name="X_Book4_Mgmt Fee Reallocation_Incep to Q3_Overseas TB" xfId="34975" xr:uid="{00000000-0005-0000-0000-0000A7880000}"/>
    <cellStyle name="X_Book4_Mgmt Fee Reallocation_Inv Cap" xfId="34976" xr:uid="{00000000-0005-0000-0000-0000A8880000}"/>
    <cellStyle name="X_Book4_Mgmt Fee Reallocation_Inv Cap Roll" xfId="34977" xr:uid="{00000000-0005-0000-0000-0000A9880000}"/>
    <cellStyle name="X_Book4_Mgmt Fee Reallocation_Invested Cap Roll CASH" xfId="34978" xr:uid="{00000000-0005-0000-0000-0000AA880000}"/>
    <cellStyle name="X_Book4_Mgmt Fee Reallocation_JPMorgan Actual Cash" xfId="34979" xr:uid="{00000000-0005-0000-0000-0000AB880000}"/>
    <cellStyle name="X_Book4_Mgmt Fee Reallocation_Overseas Delaware TB" xfId="34980" xr:uid="{00000000-0005-0000-0000-0000AC880000}"/>
    <cellStyle name="X_Book4_Mgmt Fee Reallocation_Overseas TB" xfId="34981" xr:uid="{00000000-0005-0000-0000-0000AD880000}"/>
    <cellStyle name="X_Book4_Mgmt Fee Reallocation_p.1 Receivable" xfId="34982" xr:uid="{00000000-0005-0000-0000-0000AE880000}"/>
    <cellStyle name="X_Book4_Mgmt Fee Reallocation_p.1 Receivable_Data Q1" xfId="34983" xr:uid="{00000000-0005-0000-0000-0000AF880000}"/>
    <cellStyle name="X_Book4_Mgmt Fee Reallocation_p.1 Receivable_Domestic TB" xfId="34984" xr:uid="{00000000-0005-0000-0000-0000B0880000}"/>
    <cellStyle name="X_Book4_Mgmt Fee Reallocation_p.1 Receivable_Overseas Delaware TB" xfId="34985" xr:uid="{00000000-0005-0000-0000-0000B1880000}"/>
    <cellStyle name="X_Book4_Mgmt Fee Reallocation_p.1 Receivable_Overseas TB" xfId="34986" xr:uid="{00000000-0005-0000-0000-0000B2880000}"/>
    <cellStyle name="X_Book4_Mgmt Fee Reallocation_Sheet1" xfId="34987" xr:uid="{00000000-0005-0000-0000-0000B3880000}"/>
    <cellStyle name="X_Book4_Mgmt Fee Reallocation_Sheet3" xfId="34988" xr:uid="{00000000-0005-0000-0000-0000B4880000}"/>
    <cellStyle name="X_Book4_Mgmt Fee Reallocation_Sheet3_Data Q1" xfId="34989" xr:uid="{00000000-0005-0000-0000-0000B5880000}"/>
    <cellStyle name="X_Book4_Mgmt Fee Reallocation_Sheet3_Domestic TB" xfId="34990" xr:uid="{00000000-0005-0000-0000-0000B6880000}"/>
    <cellStyle name="X_Book4_Mgmt Fee Reallocation_Sheet3_Overseas Delaware TB" xfId="34991" xr:uid="{00000000-0005-0000-0000-0000B7880000}"/>
    <cellStyle name="X_Book4_Mgmt Fee Reallocation_Sheet3_Overseas TB" xfId="34992" xr:uid="{00000000-0005-0000-0000-0000B8880000}"/>
    <cellStyle name="X_Book4_Mgmt Fee Reallocation_Sheet6" xfId="34993" xr:uid="{00000000-0005-0000-0000-0000B9880000}"/>
    <cellStyle name="X_Book4_Mgmt Fee Reallocation_Sheet6_Data Q1" xfId="34994" xr:uid="{00000000-0005-0000-0000-0000BA880000}"/>
    <cellStyle name="X_Book4_Mgmt Fee Reallocation_Sheet6_Domestic TB" xfId="34995" xr:uid="{00000000-0005-0000-0000-0000BB880000}"/>
    <cellStyle name="X_Book4_Mgmt Fee Reallocation_Sheet6_Overseas Delaware TB" xfId="34996" xr:uid="{00000000-0005-0000-0000-0000BC880000}"/>
    <cellStyle name="X_Book4_Mgmt Fee Reallocation_Sheet6_Overseas TB" xfId="34997" xr:uid="{00000000-0005-0000-0000-0000BD880000}"/>
    <cellStyle name="X_Book4_Mgt FEE" xfId="34998" xr:uid="{00000000-0005-0000-0000-0000BE880000}"/>
    <cellStyle name="X_Book4_Overseas Delaware TB" xfId="34999" xr:uid="{00000000-0005-0000-0000-0000BF880000}"/>
    <cellStyle name="X_Book4_Overseas TB" xfId="35000" xr:uid="{00000000-0005-0000-0000-0000C0880000}"/>
    <cellStyle name="X_Book4_p.1 Receivable" xfId="35001" xr:uid="{00000000-0005-0000-0000-0000C1880000}"/>
    <cellStyle name="X_Book4_p.1 Receivable_Data Q1" xfId="35002" xr:uid="{00000000-0005-0000-0000-0000C2880000}"/>
    <cellStyle name="X_Book4_p.1 Receivable_Domestic TB" xfId="35003" xr:uid="{00000000-0005-0000-0000-0000C3880000}"/>
    <cellStyle name="X_Book4_p.1 Receivable_Overseas Delaware TB" xfId="35004" xr:uid="{00000000-0005-0000-0000-0000C4880000}"/>
    <cellStyle name="X_Book4_p.1 Receivable_Overseas TB" xfId="35005" xr:uid="{00000000-0005-0000-0000-0000C5880000}"/>
    <cellStyle name="X_Book4_Partners Capital" xfId="35006" xr:uid="{00000000-0005-0000-0000-0000C6880000}"/>
    <cellStyle name="X_Book4_Partners Capital_AIF VII 51.6M Mgt Fee Cap Call Due 1-8-09 on 12-22-08 6pm To JOE G" xfId="35007" xr:uid="{00000000-0005-0000-0000-0000C7880000}"/>
    <cellStyle name="X_Book4_Partners Capital_AIF VII 51.6M Mgt Fee Cap Call Due 1-8-09 on 12-22-08 6pm To JOE G_Data Q1" xfId="35008" xr:uid="{00000000-0005-0000-0000-0000C8880000}"/>
    <cellStyle name="X_Book4_Partners Capital_AIF VII 51.6M Mgt Fee Cap Call Due 1-8-09 on 12-22-08 6pm To JOE G_Domestic TB" xfId="35009" xr:uid="{00000000-0005-0000-0000-0000C9880000}"/>
    <cellStyle name="X_Book4_Partners Capital_AIF VII 51.6M Mgt Fee Cap Call Due 1-8-09 on 12-22-08 6pm To JOE G_Overseas Delaware TB" xfId="35010" xr:uid="{00000000-0005-0000-0000-0000CA880000}"/>
    <cellStyle name="X_Book4_Partners Capital_AIF VII 51.6M Mgt Fee Cap Call Due 1-8-09 on 12-22-08 6pm To JOE G_Overseas TB" xfId="35011" xr:uid="{00000000-0005-0000-0000-0000CB880000}"/>
    <cellStyle name="X_Book4_Partners Capital_AIF VII Cap Call Due 1-26-09 Reconciliation 1-22-09" xfId="35012" xr:uid="{00000000-0005-0000-0000-0000CC880000}"/>
    <cellStyle name="X_Book4_Partners Capital_AIF VII Cap Call Due 1-26-09 Reconciliation 1-22-09_Data Q1" xfId="35013" xr:uid="{00000000-0005-0000-0000-0000CD880000}"/>
    <cellStyle name="X_Book4_Partners Capital_AIF VII Cap Call Due 1-26-09 Reconciliation 1-22-09_Domestic TB" xfId="35014" xr:uid="{00000000-0005-0000-0000-0000CE880000}"/>
    <cellStyle name="X_Book4_Partners Capital_AIF VII Cap Call Due 1-26-09 Reconciliation 1-22-09_Overseas Delaware TB" xfId="35015" xr:uid="{00000000-0005-0000-0000-0000CF880000}"/>
    <cellStyle name="X_Book4_Partners Capital_AIF VII Cap Call Due 1-26-09 Reconciliation 1-22-09_Overseas TB" xfId="35016" xr:uid="{00000000-0005-0000-0000-0000D0880000}"/>
    <cellStyle name="X_Book4_Partners Capital_AIF VII Cap Call Due 1-26-09 Reconciliation 1-23-09" xfId="35017" xr:uid="{00000000-0005-0000-0000-0000D1880000}"/>
    <cellStyle name="X_Book4_Partners Capital_AIF VII Cap Call Due 1-26-09 Reconciliation 1-23-09_Data Q1" xfId="35018" xr:uid="{00000000-0005-0000-0000-0000D2880000}"/>
    <cellStyle name="X_Book4_Partners Capital_AIF VII Cap Call Due 1-26-09 Reconciliation 1-23-09_Domestic TB" xfId="35019" xr:uid="{00000000-0005-0000-0000-0000D3880000}"/>
    <cellStyle name="X_Book4_Partners Capital_AIF VII Cap Call Due 1-26-09 Reconciliation 1-23-09_Overseas Delaware TB" xfId="35020" xr:uid="{00000000-0005-0000-0000-0000D4880000}"/>
    <cellStyle name="X_Book4_Partners Capital_AIF VII Cap Call Due 1-26-09 Reconciliation 1-23-09_Overseas TB" xfId="35021" xr:uid="{00000000-0005-0000-0000-0000D5880000}"/>
    <cellStyle name="X_Book4_Partners Capital_AIF VII Cap Call Due 1-26-09 Reconciliation 1-26-09 revised" xfId="35022" xr:uid="{00000000-0005-0000-0000-0000D6880000}"/>
    <cellStyle name="X_Book4_Partners Capital_AIF VII Cap Call Due 1-26-09 Reconciliation 1-26-09 revised_Data Q1" xfId="35023" xr:uid="{00000000-0005-0000-0000-0000D7880000}"/>
    <cellStyle name="X_Book4_Partners Capital_AIF VII Cap Call Due 1-26-09 Reconciliation 1-26-09 revised_Domestic TB" xfId="35024" xr:uid="{00000000-0005-0000-0000-0000D8880000}"/>
    <cellStyle name="X_Book4_Partners Capital_AIF VII Cap Call Due 1-26-09 Reconciliation 1-26-09 revised_Overseas Delaware TB" xfId="35025" xr:uid="{00000000-0005-0000-0000-0000D9880000}"/>
    <cellStyle name="X_Book4_Partners Capital_AIF VII Cap Call Due 1-26-09 Reconciliation 1-26-09 revised_Overseas TB" xfId="35026" xr:uid="{00000000-0005-0000-0000-0000DA880000}"/>
    <cellStyle name="X_Book4_Partners Capital_AIF VII Cap Call Due 1-26-09 Reconciliation 2-6-09" xfId="35027" xr:uid="{00000000-0005-0000-0000-0000DB880000}"/>
    <cellStyle name="X_Book4_Partners Capital_AIF VII Cap Call Due 1-26-09 Reconciliation 2-6-09_Data Q1" xfId="35028" xr:uid="{00000000-0005-0000-0000-0000DC880000}"/>
    <cellStyle name="X_Book4_Partners Capital_AIF VII Cap Call Due 1-26-09 Reconciliation 2-6-09_Domestic TB" xfId="35029" xr:uid="{00000000-0005-0000-0000-0000DD880000}"/>
    <cellStyle name="X_Book4_Partners Capital_AIF VII Cap Call Due 1-26-09 Reconciliation 2-6-09_Overseas Delaware TB" xfId="35030" xr:uid="{00000000-0005-0000-0000-0000DE880000}"/>
    <cellStyle name="X_Book4_Partners Capital_AIF VII Cap Call Due 1-26-09 Reconciliation 2-6-09_Overseas TB" xfId="35031" xr:uid="{00000000-0005-0000-0000-0000DF880000}"/>
    <cellStyle name="X_Book4_Partners Capital_AIF VII Cap Call Due 9-26-08 Recon on 10-23-08" xfId="35032" xr:uid="{00000000-0005-0000-0000-0000E0880000}"/>
    <cellStyle name="X_Book4_Partners Capital_AIF VII SCPC Q3 11-21-09 used contributed capital 10pm" xfId="35033" xr:uid="{00000000-0005-0000-0000-0000E1880000}"/>
    <cellStyle name="X_Book4_Partners Capital_AIF VII Tax Distribution Due 1-6-09 Recon as of 1-30-09" xfId="35034" xr:uid="{00000000-0005-0000-0000-0000E2880000}"/>
    <cellStyle name="X_Book4_Partners Capital_Bank Fee Acrl" xfId="35035" xr:uid="{00000000-0005-0000-0000-0000E3880000}"/>
    <cellStyle name="X_Book4_Partners Capital_Carry Due Mgmt Co" xfId="35036" xr:uid="{00000000-0005-0000-0000-0000E4880000}"/>
    <cellStyle name="X_Book4_Partners Capital_Cash" xfId="35037" xr:uid="{00000000-0005-0000-0000-0000E5880000}"/>
    <cellStyle name="X_Book4_Partners Capital_Daily Summary - Main Accounts" xfId="35038" xr:uid="{00000000-0005-0000-0000-0000E6880000}"/>
    <cellStyle name="X_Book4_Partners Capital_Daily Summary - Main Accounts_Data Q1" xfId="35039" xr:uid="{00000000-0005-0000-0000-0000E7880000}"/>
    <cellStyle name="X_Book4_Partners Capital_Daily Summary - Main Accounts_Domestic TB" xfId="35040" xr:uid="{00000000-0005-0000-0000-0000E8880000}"/>
    <cellStyle name="X_Book4_Partners Capital_Daily Summary - Main Accounts_Overseas Delaware TB" xfId="35041" xr:uid="{00000000-0005-0000-0000-0000E9880000}"/>
    <cellStyle name="X_Book4_Partners Capital_Daily Summary - Main Accounts_Overseas TB" xfId="35042" xr:uid="{00000000-0005-0000-0000-0000EA880000}"/>
    <cellStyle name="X_Book4_Partners Capital_Data Q1" xfId="35043" xr:uid="{00000000-0005-0000-0000-0000EB880000}"/>
    <cellStyle name="X_Book4_Partners Capital_Dec 08 Invested Capital on 2-3-09 11am" xfId="35044" xr:uid="{00000000-0005-0000-0000-0000EC880000}"/>
    <cellStyle name="X_Book4_Partners Capital_Dep Liab Rec" xfId="35045" xr:uid="{00000000-0005-0000-0000-0000ED880000}"/>
    <cellStyle name="X_Book4_Partners Capital_Domestic TB" xfId="35046" xr:uid="{00000000-0005-0000-0000-0000EE880000}"/>
    <cellStyle name="X_Book4_Partners Capital_Due Fr VI" xfId="35047" xr:uid="{00000000-0005-0000-0000-0000EF880000}"/>
    <cellStyle name="X_Book4_Partners Capital_Fee Calc" xfId="35048" xr:uid="{00000000-0005-0000-0000-0000F0880000}"/>
    <cellStyle name="X_Book4_Partners Capital_Fund VII 12-31-2008 Receivables and Payables as of 2-11-09" xfId="35049" xr:uid="{00000000-0005-0000-0000-0000F1880000}"/>
    <cellStyle name="X_Book4_Partners Capital_Incep to Q3" xfId="35050" xr:uid="{00000000-0005-0000-0000-0000F2880000}"/>
    <cellStyle name="X_Book4_Partners Capital_Incep to Q3_Data Q1" xfId="35051" xr:uid="{00000000-0005-0000-0000-0000F3880000}"/>
    <cellStyle name="X_Book4_Partners Capital_Incep to Q3_Domestic TB" xfId="35052" xr:uid="{00000000-0005-0000-0000-0000F4880000}"/>
    <cellStyle name="X_Book4_Partners Capital_Incep to Q3_Overseas Delaware TB" xfId="35053" xr:uid="{00000000-0005-0000-0000-0000F5880000}"/>
    <cellStyle name="X_Book4_Partners Capital_Incep to Q3_Overseas TB" xfId="35054" xr:uid="{00000000-0005-0000-0000-0000F6880000}"/>
    <cellStyle name="X_Book4_Partners Capital_Inv Cap" xfId="35055" xr:uid="{00000000-0005-0000-0000-0000F7880000}"/>
    <cellStyle name="X_Book4_Partners Capital_Inv Cap Roll" xfId="35056" xr:uid="{00000000-0005-0000-0000-0000F8880000}"/>
    <cellStyle name="X_Book4_Partners Capital_Invested Cap Roll CASH" xfId="35057" xr:uid="{00000000-0005-0000-0000-0000F9880000}"/>
    <cellStyle name="X_Book4_Partners Capital_JPMorgan Actual Cash" xfId="35058" xr:uid="{00000000-0005-0000-0000-0000FA880000}"/>
    <cellStyle name="X_Book4_Partners Capital_Overseas Delaware TB" xfId="35059" xr:uid="{00000000-0005-0000-0000-0000FB880000}"/>
    <cellStyle name="X_Book4_Partners Capital_Overseas TB" xfId="35060" xr:uid="{00000000-0005-0000-0000-0000FC880000}"/>
    <cellStyle name="X_Book4_Partners Capital_p.1 Receivable" xfId="35061" xr:uid="{00000000-0005-0000-0000-0000FD880000}"/>
    <cellStyle name="X_Book4_Partners Capital_p.1 Receivable_Data Q1" xfId="35062" xr:uid="{00000000-0005-0000-0000-0000FE880000}"/>
    <cellStyle name="X_Book4_Partners Capital_p.1 Receivable_Domestic TB" xfId="35063" xr:uid="{00000000-0005-0000-0000-0000FF880000}"/>
    <cellStyle name="X_Book4_Partners Capital_p.1 Receivable_Overseas Delaware TB" xfId="35064" xr:uid="{00000000-0005-0000-0000-000000890000}"/>
    <cellStyle name="X_Book4_Partners Capital_p.1 Receivable_Overseas TB" xfId="35065" xr:uid="{00000000-0005-0000-0000-000001890000}"/>
    <cellStyle name="X_Book4_Partners Capital_Sheet1" xfId="35066" xr:uid="{00000000-0005-0000-0000-000002890000}"/>
    <cellStyle name="X_Book4_Partners Capital_Sheet3" xfId="35067" xr:uid="{00000000-0005-0000-0000-000003890000}"/>
    <cellStyle name="X_Book4_Partners Capital_Sheet3_Data Q1" xfId="35068" xr:uid="{00000000-0005-0000-0000-000004890000}"/>
    <cellStyle name="X_Book4_Partners Capital_Sheet3_Domestic TB" xfId="35069" xr:uid="{00000000-0005-0000-0000-000005890000}"/>
    <cellStyle name="X_Book4_Partners Capital_Sheet3_Overseas Delaware TB" xfId="35070" xr:uid="{00000000-0005-0000-0000-000006890000}"/>
    <cellStyle name="X_Book4_Partners Capital_Sheet3_Overseas TB" xfId="35071" xr:uid="{00000000-0005-0000-0000-000007890000}"/>
    <cellStyle name="X_Book4_Partners Capital_Sheet6" xfId="35072" xr:uid="{00000000-0005-0000-0000-000008890000}"/>
    <cellStyle name="X_Book4_Partners Capital_Sheet6_Data Q1" xfId="35073" xr:uid="{00000000-0005-0000-0000-000009890000}"/>
    <cellStyle name="X_Book4_Partners Capital_Sheet6_Domestic TB" xfId="35074" xr:uid="{00000000-0005-0000-0000-00000A890000}"/>
    <cellStyle name="X_Book4_Partners Capital_Sheet6_Overseas Delaware TB" xfId="35075" xr:uid="{00000000-0005-0000-0000-00000B890000}"/>
    <cellStyle name="X_Book4_Partners Capital_Sheet6_Overseas TB" xfId="35076" xr:uid="{00000000-0005-0000-0000-00000C890000}"/>
    <cellStyle name="X_Book4_Prepaid Mgmt Fee" xfId="35077" xr:uid="{00000000-0005-0000-0000-00000D890000}"/>
    <cellStyle name="X_Book4_Prepaid Mgmt Fee_1" xfId="35078" xr:uid="{00000000-0005-0000-0000-00000E890000}"/>
    <cellStyle name="X_Book4_Prepaid Mgmt Fee_1_AIF VII 51.6M Mgt Fee Cap Call Due 1-8-09 on 12-22-08 6pm To JOE G" xfId="35079" xr:uid="{00000000-0005-0000-0000-00000F890000}"/>
    <cellStyle name="X_Book4_Prepaid Mgmt Fee_1_AIF VII 51.6M Mgt Fee Cap Call Due 1-8-09 on 12-22-08 6pm To JOE G_Data Q1" xfId="35080" xr:uid="{00000000-0005-0000-0000-000010890000}"/>
    <cellStyle name="X_Book4_Prepaid Mgmt Fee_1_AIF VII 51.6M Mgt Fee Cap Call Due 1-8-09 on 12-22-08 6pm To JOE G_Domestic TB" xfId="35081" xr:uid="{00000000-0005-0000-0000-000011890000}"/>
    <cellStyle name="X_Book4_Prepaid Mgmt Fee_1_AIF VII 51.6M Mgt Fee Cap Call Due 1-8-09 on 12-22-08 6pm To JOE G_Overseas Delaware TB" xfId="35082" xr:uid="{00000000-0005-0000-0000-000012890000}"/>
    <cellStyle name="X_Book4_Prepaid Mgmt Fee_1_AIF VII 51.6M Mgt Fee Cap Call Due 1-8-09 on 12-22-08 6pm To JOE G_Overseas TB" xfId="35083" xr:uid="{00000000-0005-0000-0000-000013890000}"/>
    <cellStyle name="X_Book4_Prepaid Mgmt Fee_1_AIF VII Cap Call Due 1-26-09 Reconciliation 1-22-09" xfId="35084" xr:uid="{00000000-0005-0000-0000-000014890000}"/>
    <cellStyle name="X_Book4_Prepaid Mgmt Fee_1_AIF VII Cap Call Due 1-26-09 Reconciliation 1-22-09_Data Q1" xfId="35085" xr:uid="{00000000-0005-0000-0000-000015890000}"/>
    <cellStyle name="X_Book4_Prepaid Mgmt Fee_1_AIF VII Cap Call Due 1-26-09 Reconciliation 1-22-09_Domestic TB" xfId="35086" xr:uid="{00000000-0005-0000-0000-000016890000}"/>
    <cellStyle name="X_Book4_Prepaid Mgmt Fee_1_AIF VII Cap Call Due 1-26-09 Reconciliation 1-22-09_Overseas Delaware TB" xfId="35087" xr:uid="{00000000-0005-0000-0000-000017890000}"/>
    <cellStyle name="X_Book4_Prepaid Mgmt Fee_1_AIF VII Cap Call Due 1-26-09 Reconciliation 1-22-09_Overseas TB" xfId="35088" xr:uid="{00000000-0005-0000-0000-000018890000}"/>
    <cellStyle name="X_Book4_Prepaid Mgmt Fee_1_AIF VII Cap Call Due 1-26-09 Reconciliation 1-23-09" xfId="35089" xr:uid="{00000000-0005-0000-0000-000019890000}"/>
    <cellStyle name="X_Book4_Prepaid Mgmt Fee_1_AIF VII Cap Call Due 1-26-09 Reconciliation 1-23-09_Data Q1" xfId="35090" xr:uid="{00000000-0005-0000-0000-00001A890000}"/>
    <cellStyle name="X_Book4_Prepaid Mgmt Fee_1_AIF VII Cap Call Due 1-26-09 Reconciliation 1-23-09_Domestic TB" xfId="35091" xr:uid="{00000000-0005-0000-0000-00001B890000}"/>
    <cellStyle name="X_Book4_Prepaid Mgmt Fee_1_AIF VII Cap Call Due 1-26-09 Reconciliation 1-23-09_Overseas Delaware TB" xfId="35092" xr:uid="{00000000-0005-0000-0000-00001C890000}"/>
    <cellStyle name="X_Book4_Prepaid Mgmt Fee_1_AIF VII Cap Call Due 1-26-09 Reconciliation 1-23-09_Overseas TB" xfId="35093" xr:uid="{00000000-0005-0000-0000-00001D890000}"/>
    <cellStyle name="X_Book4_Prepaid Mgmt Fee_1_AIF VII Cap Call Due 1-26-09 Reconciliation 1-26-09 revised" xfId="35094" xr:uid="{00000000-0005-0000-0000-00001E890000}"/>
    <cellStyle name="X_Book4_Prepaid Mgmt Fee_1_AIF VII Cap Call Due 1-26-09 Reconciliation 1-26-09 revised_Data Q1" xfId="35095" xr:uid="{00000000-0005-0000-0000-00001F890000}"/>
    <cellStyle name="X_Book4_Prepaid Mgmt Fee_1_AIF VII Cap Call Due 1-26-09 Reconciliation 1-26-09 revised_Domestic TB" xfId="35096" xr:uid="{00000000-0005-0000-0000-000020890000}"/>
    <cellStyle name="X_Book4_Prepaid Mgmt Fee_1_AIF VII Cap Call Due 1-26-09 Reconciliation 1-26-09 revised_Overseas Delaware TB" xfId="35097" xr:uid="{00000000-0005-0000-0000-000021890000}"/>
    <cellStyle name="X_Book4_Prepaid Mgmt Fee_1_AIF VII Cap Call Due 1-26-09 Reconciliation 1-26-09 revised_Overseas TB" xfId="35098" xr:uid="{00000000-0005-0000-0000-000022890000}"/>
    <cellStyle name="X_Book4_Prepaid Mgmt Fee_1_AIF VII Cap Call Due 1-26-09 Reconciliation 2-6-09" xfId="35099" xr:uid="{00000000-0005-0000-0000-000023890000}"/>
    <cellStyle name="X_Book4_Prepaid Mgmt Fee_1_AIF VII Cap Call Due 1-26-09 Reconciliation 2-6-09_Data Q1" xfId="35100" xr:uid="{00000000-0005-0000-0000-000024890000}"/>
    <cellStyle name="X_Book4_Prepaid Mgmt Fee_1_AIF VII Cap Call Due 1-26-09 Reconciliation 2-6-09_Domestic TB" xfId="35101" xr:uid="{00000000-0005-0000-0000-000025890000}"/>
    <cellStyle name="X_Book4_Prepaid Mgmt Fee_1_AIF VII Cap Call Due 1-26-09 Reconciliation 2-6-09_Overseas Delaware TB" xfId="35102" xr:uid="{00000000-0005-0000-0000-000026890000}"/>
    <cellStyle name="X_Book4_Prepaid Mgmt Fee_1_AIF VII Cap Call Due 1-26-09 Reconciliation 2-6-09_Overseas TB" xfId="35103" xr:uid="{00000000-0005-0000-0000-000027890000}"/>
    <cellStyle name="X_Book4_Prepaid Mgmt Fee_1_AIF VII Cap Call Due 9-26-08 Recon on 10-23-08" xfId="35104" xr:uid="{00000000-0005-0000-0000-000028890000}"/>
    <cellStyle name="X_Book4_Prepaid Mgmt Fee_1_AIF VII SCPC Q3 11-21-09 used contributed capital 10pm" xfId="35105" xr:uid="{00000000-0005-0000-0000-000029890000}"/>
    <cellStyle name="X_Book4_Prepaid Mgmt Fee_1_AIF VII Tax Distribution Due 1-6-09 Recon as of 1-30-09" xfId="35106" xr:uid="{00000000-0005-0000-0000-00002A890000}"/>
    <cellStyle name="X_Book4_Prepaid Mgmt Fee_1_Bank Fee Acrl" xfId="35107" xr:uid="{00000000-0005-0000-0000-00002B890000}"/>
    <cellStyle name="X_Book4_Prepaid Mgmt Fee_1_Carry Due Mgmt Co" xfId="35108" xr:uid="{00000000-0005-0000-0000-00002C890000}"/>
    <cellStyle name="X_Book4_Prepaid Mgmt Fee_1_Cash" xfId="35109" xr:uid="{00000000-0005-0000-0000-00002D890000}"/>
    <cellStyle name="X_Book4_Prepaid Mgmt Fee_1_Daily Summary - Main Accounts" xfId="35110" xr:uid="{00000000-0005-0000-0000-00002E890000}"/>
    <cellStyle name="X_Book4_Prepaid Mgmt Fee_1_Daily Summary - Main Accounts_Data Q1" xfId="35111" xr:uid="{00000000-0005-0000-0000-00002F890000}"/>
    <cellStyle name="X_Book4_Prepaid Mgmt Fee_1_Daily Summary - Main Accounts_Domestic TB" xfId="35112" xr:uid="{00000000-0005-0000-0000-000030890000}"/>
    <cellStyle name="X_Book4_Prepaid Mgmt Fee_1_Daily Summary - Main Accounts_Overseas Delaware TB" xfId="35113" xr:uid="{00000000-0005-0000-0000-000031890000}"/>
    <cellStyle name="X_Book4_Prepaid Mgmt Fee_1_Daily Summary - Main Accounts_Overseas TB" xfId="35114" xr:uid="{00000000-0005-0000-0000-000032890000}"/>
    <cellStyle name="X_Book4_Prepaid Mgmt Fee_1_Data Q1" xfId="35115" xr:uid="{00000000-0005-0000-0000-000033890000}"/>
    <cellStyle name="X_Book4_Prepaid Mgmt Fee_1_Dec 08 Invested Capital on 2-3-09 11am" xfId="35116" xr:uid="{00000000-0005-0000-0000-000034890000}"/>
    <cellStyle name="X_Book4_Prepaid Mgmt Fee_1_Dep Liab Rec" xfId="35117" xr:uid="{00000000-0005-0000-0000-000035890000}"/>
    <cellStyle name="X_Book4_Prepaid Mgmt Fee_1_Domestic TB" xfId="35118" xr:uid="{00000000-0005-0000-0000-000036890000}"/>
    <cellStyle name="X_Book4_Prepaid Mgmt Fee_1_Due Fr VI" xfId="35119" xr:uid="{00000000-0005-0000-0000-000037890000}"/>
    <cellStyle name="X_Book4_Prepaid Mgmt Fee_1_Fee Calc" xfId="35120" xr:uid="{00000000-0005-0000-0000-000038890000}"/>
    <cellStyle name="X_Book4_Prepaid Mgmt Fee_1_Fund VII 12-31-2008 Receivables and Payables as of 2-11-09" xfId="35121" xr:uid="{00000000-0005-0000-0000-000039890000}"/>
    <cellStyle name="X_Book4_Prepaid Mgmt Fee_1_Incep to Q3" xfId="35122" xr:uid="{00000000-0005-0000-0000-00003A890000}"/>
    <cellStyle name="X_Book4_Prepaid Mgmt Fee_1_Incep to Q3_Data Q1" xfId="35123" xr:uid="{00000000-0005-0000-0000-00003B890000}"/>
    <cellStyle name="X_Book4_Prepaid Mgmt Fee_1_Incep to Q3_Domestic TB" xfId="35124" xr:uid="{00000000-0005-0000-0000-00003C890000}"/>
    <cellStyle name="X_Book4_Prepaid Mgmt Fee_1_Incep to Q3_Overseas Delaware TB" xfId="35125" xr:uid="{00000000-0005-0000-0000-00003D890000}"/>
    <cellStyle name="X_Book4_Prepaid Mgmt Fee_1_Incep to Q3_Overseas TB" xfId="35126" xr:uid="{00000000-0005-0000-0000-00003E890000}"/>
    <cellStyle name="X_Book4_Prepaid Mgmt Fee_1_Inv Cap" xfId="35127" xr:uid="{00000000-0005-0000-0000-00003F890000}"/>
    <cellStyle name="X_Book4_Prepaid Mgmt Fee_1_Inv Cap Roll" xfId="35128" xr:uid="{00000000-0005-0000-0000-000040890000}"/>
    <cellStyle name="X_Book4_Prepaid Mgmt Fee_1_Invested Cap Roll CASH" xfId="35129" xr:uid="{00000000-0005-0000-0000-000041890000}"/>
    <cellStyle name="X_Book4_Prepaid Mgmt Fee_1_JPMorgan Actual Cash" xfId="35130" xr:uid="{00000000-0005-0000-0000-000042890000}"/>
    <cellStyle name="X_Book4_Prepaid Mgmt Fee_1_Overseas Delaware TB" xfId="35131" xr:uid="{00000000-0005-0000-0000-000043890000}"/>
    <cellStyle name="X_Book4_Prepaid Mgmt Fee_1_Overseas TB" xfId="35132" xr:uid="{00000000-0005-0000-0000-000044890000}"/>
    <cellStyle name="X_Book4_Prepaid Mgmt Fee_1_p.1 Receivable" xfId="35133" xr:uid="{00000000-0005-0000-0000-000045890000}"/>
    <cellStyle name="X_Book4_Prepaid Mgmt Fee_1_p.1 Receivable_Data Q1" xfId="35134" xr:uid="{00000000-0005-0000-0000-000046890000}"/>
    <cellStyle name="X_Book4_Prepaid Mgmt Fee_1_p.1 Receivable_Domestic TB" xfId="35135" xr:uid="{00000000-0005-0000-0000-000047890000}"/>
    <cellStyle name="X_Book4_Prepaid Mgmt Fee_1_p.1 Receivable_Overseas Delaware TB" xfId="35136" xr:uid="{00000000-0005-0000-0000-000048890000}"/>
    <cellStyle name="X_Book4_Prepaid Mgmt Fee_1_p.1 Receivable_Overseas TB" xfId="35137" xr:uid="{00000000-0005-0000-0000-000049890000}"/>
    <cellStyle name="X_Book4_Prepaid Mgmt Fee_1_Sheet1" xfId="35138" xr:uid="{00000000-0005-0000-0000-00004A890000}"/>
    <cellStyle name="X_Book4_Prepaid Mgmt Fee_1_Sheet3" xfId="35139" xr:uid="{00000000-0005-0000-0000-00004B890000}"/>
    <cellStyle name="X_Book4_Prepaid Mgmt Fee_1_Sheet3_Data Q1" xfId="35140" xr:uid="{00000000-0005-0000-0000-00004C890000}"/>
    <cellStyle name="X_Book4_Prepaid Mgmt Fee_1_Sheet3_Domestic TB" xfId="35141" xr:uid="{00000000-0005-0000-0000-00004D890000}"/>
    <cellStyle name="X_Book4_Prepaid Mgmt Fee_1_Sheet3_Overseas Delaware TB" xfId="35142" xr:uid="{00000000-0005-0000-0000-00004E890000}"/>
    <cellStyle name="X_Book4_Prepaid Mgmt Fee_1_Sheet3_Overseas TB" xfId="35143" xr:uid="{00000000-0005-0000-0000-00004F890000}"/>
    <cellStyle name="X_Book4_Prepaid Mgmt Fee_1_Sheet6" xfId="35144" xr:uid="{00000000-0005-0000-0000-000050890000}"/>
    <cellStyle name="X_Book4_Prepaid Mgmt Fee_1_Sheet6_Data Q1" xfId="35145" xr:uid="{00000000-0005-0000-0000-000051890000}"/>
    <cellStyle name="X_Book4_Prepaid Mgmt Fee_1_Sheet6_Domestic TB" xfId="35146" xr:uid="{00000000-0005-0000-0000-000052890000}"/>
    <cellStyle name="X_Book4_Prepaid Mgmt Fee_1_Sheet6_Overseas Delaware TB" xfId="35147" xr:uid="{00000000-0005-0000-0000-000053890000}"/>
    <cellStyle name="X_Book4_Prepaid Mgmt Fee_1_Sheet6_Overseas TB" xfId="35148" xr:uid="{00000000-0005-0000-0000-000054890000}"/>
    <cellStyle name="X_Book4_Sheet1" xfId="35149" xr:uid="{00000000-0005-0000-0000-000055890000}"/>
    <cellStyle name="X_Book4_Sheet1_1" xfId="35150" xr:uid="{00000000-0005-0000-0000-000056890000}"/>
    <cellStyle name="X_Book4_Sheet1_AIF VII 51.6M Mgt Fee Cap Call Due 1-8-09 on 12-22-08 6pm To JOE G" xfId="35151" xr:uid="{00000000-0005-0000-0000-000057890000}"/>
    <cellStyle name="X_Book4_Sheet1_AIF VII 51.6M Mgt Fee Cap Call Due 1-8-09 on 12-22-08 6pm To JOE G_Data Q1" xfId="35152" xr:uid="{00000000-0005-0000-0000-000058890000}"/>
    <cellStyle name="X_Book4_Sheet1_AIF VII 51.6M Mgt Fee Cap Call Due 1-8-09 on 12-22-08 6pm To JOE G_Domestic TB" xfId="35153" xr:uid="{00000000-0005-0000-0000-000059890000}"/>
    <cellStyle name="X_Book4_Sheet1_AIF VII 51.6M Mgt Fee Cap Call Due 1-8-09 on 12-22-08 6pm To JOE G_Overseas Delaware TB" xfId="35154" xr:uid="{00000000-0005-0000-0000-00005A890000}"/>
    <cellStyle name="X_Book4_Sheet1_AIF VII 51.6M Mgt Fee Cap Call Due 1-8-09 on 12-22-08 6pm To JOE G_Overseas TB" xfId="35155" xr:uid="{00000000-0005-0000-0000-00005B890000}"/>
    <cellStyle name="X_Book4_Sheet1_AIF VII Cap Call Due 1-26-09 Reconciliation 1-22-09" xfId="35156" xr:uid="{00000000-0005-0000-0000-00005C890000}"/>
    <cellStyle name="X_Book4_Sheet1_AIF VII Cap Call Due 1-26-09 Reconciliation 1-22-09_Data Q1" xfId="35157" xr:uid="{00000000-0005-0000-0000-00005D890000}"/>
    <cellStyle name="X_Book4_Sheet1_AIF VII Cap Call Due 1-26-09 Reconciliation 1-22-09_Domestic TB" xfId="35158" xr:uid="{00000000-0005-0000-0000-00005E890000}"/>
    <cellStyle name="X_Book4_Sheet1_AIF VII Cap Call Due 1-26-09 Reconciliation 1-22-09_Overseas Delaware TB" xfId="35159" xr:uid="{00000000-0005-0000-0000-00005F890000}"/>
    <cellStyle name="X_Book4_Sheet1_AIF VII Cap Call Due 1-26-09 Reconciliation 1-22-09_Overseas TB" xfId="35160" xr:uid="{00000000-0005-0000-0000-000060890000}"/>
    <cellStyle name="X_Book4_Sheet1_AIF VII Cap Call Due 1-26-09 Reconciliation 1-23-09" xfId="35161" xr:uid="{00000000-0005-0000-0000-000061890000}"/>
    <cellStyle name="X_Book4_Sheet1_AIF VII Cap Call Due 1-26-09 Reconciliation 1-23-09_Data Q1" xfId="35162" xr:uid="{00000000-0005-0000-0000-000062890000}"/>
    <cellStyle name="X_Book4_Sheet1_AIF VII Cap Call Due 1-26-09 Reconciliation 1-23-09_Domestic TB" xfId="35163" xr:uid="{00000000-0005-0000-0000-000063890000}"/>
    <cellStyle name="X_Book4_Sheet1_AIF VII Cap Call Due 1-26-09 Reconciliation 1-23-09_Overseas Delaware TB" xfId="35164" xr:uid="{00000000-0005-0000-0000-000064890000}"/>
    <cellStyle name="X_Book4_Sheet1_AIF VII Cap Call Due 1-26-09 Reconciliation 1-23-09_Overseas TB" xfId="35165" xr:uid="{00000000-0005-0000-0000-000065890000}"/>
    <cellStyle name="X_Book4_Sheet1_AIF VII Cap Call Due 1-26-09 Reconciliation 1-26-09 revised" xfId="35166" xr:uid="{00000000-0005-0000-0000-000066890000}"/>
    <cellStyle name="X_Book4_Sheet1_AIF VII Cap Call Due 1-26-09 Reconciliation 1-26-09 revised_Data Q1" xfId="35167" xr:uid="{00000000-0005-0000-0000-000067890000}"/>
    <cellStyle name="X_Book4_Sheet1_AIF VII Cap Call Due 1-26-09 Reconciliation 1-26-09 revised_Domestic TB" xfId="35168" xr:uid="{00000000-0005-0000-0000-000068890000}"/>
    <cellStyle name="X_Book4_Sheet1_AIF VII Cap Call Due 1-26-09 Reconciliation 1-26-09 revised_Overseas Delaware TB" xfId="35169" xr:uid="{00000000-0005-0000-0000-000069890000}"/>
    <cellStyle name="X_Book4_Sheet1_AIF VII Cap Call Due 1-26-09 Reconciliation 1-26-09 revised_Overseas TB" xfId="35170" xr:uid="{00000000-0005-0000-0000-00006A890000}"/>
    <cellStyle name="X_Book4_Sheet1_AIF VII Cap Call Due 1-26-09 Reconciliation 2-6-09" xfId="35171" xr:uid="{00000000-0005-0000-0000-00006B890000}"/>
    <cellStyle name="X_Book4_Sheet1_AIF VII Cap Call Due 1-26-09 Reconciliation 2-6-09_Data Q1" xfId="35172" xr:uid="{00000000-0005-0000-0000-00006C890000}"/>
    <cellStyle name="X_Book4_Sheet1_AIF VII Cap Call Due 1-26-09 Reconciliation 2-6-09_Domestic TB" xfId="35173" xr:uid="{00000000-0005-0000-0000-00006D890000}"/>
    <cellStyle name="X_Book4_Sheet1_AIF VII Cap Call Due 1-26-09 Reconciliation 2-6-09_Overseas Delaware TB" xfId="35174" xr:uid="{00000000-0005-0000-0000-00006E890000}"/>
    <cellStyle name="X_Book4_Sheet1_AIF VII Cap Call Due 1-26-09 Reconciliation 2-6-09_Overseas TB" xfId="35175" xr:uid="{00000000-0005-0000-0000-00006F890000}"/>
    <cellStyle name="X_Book4_Sheet1_AIF VII Cap Call Due 9-26-08 Recon on 10-23-08" xfId="35176" xr:uid="{00000000-0005-0000-0000-000070890000}"/>
    <cellStyle name="X_Book4_Sheet1_AIF VII SCPC Q3 11-21-09 used contributed capital 10pm" xfId="35177" xr:uid="{00000000-0005-0000-0000-000071890000}"/>
    <cellStyle name="X_Book4_Sheet1_AIF VII Tax Distribution Due 1-6-09 Recon as of 1-30-09" xfId="35178" xr:uid="{00000000-0005-0000-0000-000072890000}"/>
    <cellStyle name="X_Book4_Sheet1_Bank Fee Acrl" xfId="35179" xr:uid="{00000000-0005-0000-0000-000073890000}"/>
    <cellStyle name="X_Book4_Sheet1_Carry Due Mgmt Co" xfId="35180" xr:uid="{00000000-0005-0000-0000-000074890000}"/>
    <cellStyle name="X_Book4_Sheet1_Cash" xfId="35181" xr:uid="{00000000-0005-0000-0000-000075890000}"/>
    <cellStyle name="X_Book4_Sheet1_Daily Summary - Main Accounts" xfId="35182" xr:uid="{00000000-0005-0000-0000-000076890000}"/>
    <cellStyle name="X_Book4_Sheet1_Daily Summary - Main Accounts_Data Q1" xfId="35183" xr:uid="{00000000-0005-0000-0000-000077890000}"/>
    <cellStyle name="X_Book4_Sheet1_Daily Summary - Main Accounts_Domestic TB" xfId="35184" xr:uid="{00000000-0005-0000-0000-000078890000}"/>
    <cellStyle name="X_Book4_Sheet1_Daily Summary - Main Accounts_Overseas Delaware TB" xfId="35185" xr:uid="{00000000-0005-0000-0000-000079890000}"/>
    <cellStyle name="X_Book4_Sheet1_Daily Summary - Main Accounts_Overseas TB" xfId="35186" xr:uid="{00000000-0005-0000-0000-00007A890000}"/>
    <cellStyle name="X_Book4_Sheet1_Data Q1" xfId="35187" xr:uid="{00000000-0005-0000-0000-00007B890000}"/>
    <cellStyle name="X_Book4_Sheet1_Dec 08 Invested Capital on 2-3-09 11am" xfId="35188" xr:uid="{00000000-0005-0000-0000-00007C890000}"/>
    <cellStyle name="X_Book4_Sheet1_Dep Liab Rec" xfId="35189" xr:uid="{00000000-0005-0000-0000-00007D890000}"/>
    <cellStyle name="X_Book4_Sheet1_Domestic TB" xfId="35190" xr:uid="{00000000-0005-0000-0000-00007E890000}"/>
    <cellStyle name="X_Book4_Sheet1_Due Fr VI" xfId="35191" xr:uid="{00000000-0005-0000-0000-00007F890000}"/>
    <cellStyle name="X_Book4_Sheet1_Fee Calc" xfId="35192" xr:uid="{00000000-0005-0000-0000-000080890000}"/>
    <cellStyle name="X_Book4_Sheet1_Fund VII 12-31-2008 Receivables and Payables as of 2-11-09" xfId="35193" xr:uid="{00000000-0005-0000-0000-000081890000}"/>
    <cellStyle name="X_Book4_Sheet1_Incep to Q3" xfId="35194" xr:uid="{00000000-0005-0000-0000-000082890000}"/>
    <cellStyle name="X_Book4_Sheet1_Incep to Q3_Data Q1" xfId="35195" xr:uid="{00000000-0005-0000-0000-000083890000}"/>
    <cellStyle name="X_Book4_Sheet1_Incep to Q3_Domestic TB" xfId="35196" xr:uid="{00000000-0005-0000-0000-000084890000}"/>
    <cellStyle name="X_Book4_Sheet1_Incep to Q3_Overseas Delaware TB" xfId="35197" xr:uid="{00000000-0005-0000-0000-000085890000}"/>
    <cellStyle name="X_Book4_Sheet1_Incep to Q3_Overseas TB" xfId="35198" xr:uid="{00000000-0005-0000-0000-000086890000}"/>
    <cellStyle name="X_Book4_Sheet1_Inv Cap" xfId="35199" xr:uid="{00000000-0005-0000-0000-000087890000}"/>
    <cellStyle name="X_Book4_Sheet1_Inv Cap Roll" xfId="35200" xr:uid="{00000000-0005-0000-0000-000088890000}"/>
    <cellStyle name="X_Book4_Sheet1_Invested Cap Roll CASH" xfId="35201" xr:uid="{00000000-0005-0000-0000-000089890000}"/>
    <cellStyle name="X_Book4_Sheet1_JPMorgan Actual Cash" xfId="35202" xr:uid="{00000000-0005-0000-0000-00008A890000}"/>
    <cellStyle name="X_Book4_Sheet1_Overseas Delaware TB" xfId="35203" xr:uid="{00000000-0005-0000-0000-00008B890000}"/>
    <cellStyle name="X_Book4_Sheet1_Overseas TB" xfId="35204" xr:uid="{00000000-0005-0000-0000-00008C890000}"/>
    <cellStyle name="X_Book4_Sheet1_p.1 Receivable" xfId="35205" xr:uid="{00000000-0005-0000-0000-00008D890000}"/>
    <cellStyle name="X_Book4_Sheet1_p.1 Receivable_Data Q1" xfId="35206" xr:uid="{00000000-0005-0000-0000-00008E890000}"/>
    <cellStyle name="X_Book4_Sheet1_p.1 Receivable_Domestic TB" xfId="35207" xr:uid="{00000000-0005-0000-0000-00008F890000}"/>
    <cellStyle name="X_Book4_Sheet1_p.1 Receivable_Overseas Delaware TB" xfId="35208" xr:uid="{00000000-0005-0000-0000-000090890000}"/>
    <cellStyle name="X_Book4_Sheet1_p.1 Receivable_Overseas TB" xfId="35209" xr:uid="{00000000-0005-0000-0000-000091890000}"/>
    <cellStyle name="X_Book4_Sheet1_Sheet1" xfId="35210" xr:uid="{00000000-0005-0000-0000-000092890000}"/>
    <cellStyle name="X_Book4_Sheet1_Sheet3" xfId="35211" xr:uid="{00000000-0005-0000-0000-000093890000}"/>
    <cellStyle name="X_Book4_Sheet1_Sheet3_Data Q1" xfId="35212" xr:uid="{00000000-0005-0000-0000-000094890000}"/>
    <cellStyle name="X_Book4_Sheet1_Sheet3_Domestic TB" xfId="35213" xr:uid="{00000000-0005-0000-0000-000095890000}"/>
    <cellStyle name="X_Book4_Sheet1_Sheet3_Overseas Delaware TB" xfId="35214" xr:uid="{00000000-0005-0000-0000-000096890000}"/>
    <cellStyle name="X_Book4_Sheet1_Sheet3_Overseas TB" xfId="35215" xr:uid="{00000000-0005-0000-0000-000097890000}"/>
    <cellStyle name="X_Book4_Sheet1_Sheet6" xfId="35216" xr:uid="{00000000-0005-0000-0000-000098890000}"/>
    <cellStyle name="X_Book4_Sheet1_Sheet6_Data Q1" xfId="35217" xr:uid="{00000000-0005-0000-0000-000099890000}"/>
    <cellStyle name="X_Book4_Sheet1_Sheet6_Domestic TB" xfId="35218" xr:uid="{00000000-0005-0000-0000-00009A890000}"/>
    <cellStyle name="X_Book4_Sheet1_Sheet6_Overseas Delaware TB" xfId="35219" xr:uid="{00000000-0005-0000-0000-00009B890000}"/>
    <cellStyle name="X_Book4_Sheet1_Sheet6_Overseas TB" xfId="35220" xr:uid="{00000000-0005-0000-0000-00009C890000}"/>
    <cellStyle name="X_Book4_Sheet3" xfId="35221" xr:uid="{00000000-0005-0000-0000-00009D890000}"/>
    <cellStyle name="X_Book4_Sheet3_Data Q1" xfId="35222" xr:uid="{00000000-0005-0000-0000-00009E890000}"/>
    <cellStyle name="X_Book4_Sheet3_Domestic TB" xfId="35223" xr:uid="{00000000-0005-0000-0000-00009F890000}"/>
    <cellStyle name="X_Book4_Sheet3_Overseas Delaware TB" xfId="35224" xr:uid="{00000000-0005-0000-0000-0000A0890000}"/>
    <cellStyle name="X_Book4_Sheet3_Overseas TB" xfId="35225" xr:uid="{00000000-0005-0000-0000-0000A1890000}"/>
    <cellStyle name="X_Book4_Sheet6" xfId="35226" xr:uid="{00000000-0005-0000-0000-0000A2890000}"/>
    <cellStyle name="X_Book4_Sheet6_Data Q1" xfId="35227" xr:uid="{00000000-0005-0000-0000-0000A3890000}"/>
    <cellStyle name="X_Book4_Sheet6_Domestic TB" xfId="35228" xr:uid="{00000000-0005-0000-0000-0000A4890000}"/>
    <cellStyle name="X_Book4_Sheet6_Overseas Delaware TB" xfId="35229" xr:uid="{00000000-0005-0000-0000-0000A5890000}"/>
    <cellStyle name="X_Book4_Sheet6_Overseas TB" xfId="35230" xr:uid="{00000000-0005-0000-0000-0000A6890000}"/>
    <cellStyle name="X_CALCS" xfId="35231" xr:uid="{00000000-0005-0000-0000-0000A7890000}"/>
    <cellStyle name="X_Capital Balance Analysis 06-30-08 CURRENT" xfId="35232" xr:uid="{00000000-0005-0000-0000-0000A8890000}"/>
    <cellStyle name="X_Dep Liability" xfId="35233" xr:uid="{00000000-0005-0000-0000-0000A9890000}"/>
    <cellStyle name="X_Dep Liability_Data Q1" xfId="35234" xr:uid="{00000000-0005-0000-0000-0000AA890000}"/>
    <cellStyle name="X_Dep Liability_Domestic TB" xfId="35235" xr:uid="{00000000-0005-0000-0000-0000AB890000}"/>
    <cellStyle name="X_Dep Liability_Overseas Delaware TB" xfId="35236" xr:uid="{00000000-0005-0000-0000-0000AC890000}"/>
    <cellStyle name="X_Dep Liability_Overseas TB" xfId="35237" xr:uid="{00000000-0005-0000-0000-0000AD890000}"/>
    <cellStyle name="X_Deposit Liability Roll-Forward DRAFT from TBellows on 07-11-08" xfId="35238" xr:uid="{00000000-0005-0000-0000-0000AE890000}"/>
    <cellStyle name="X_Deposit Liability Roll-Forward DRAFT from TBellows on 07-11-08_Data Q1" xfId="35239" xr:uid="{00000000-0005-0000-0000-0000AF890000}"/>
    <cellStyle name="X_Deposit Liability Roll-Forward DRAFT from TBellows on 07-11-08_Domestic TB" xfId="35240" xr:uid="{00000000-0005-0000-0000-0000B0890000}"/>
    <cellStyle name="X_Deposit Liability Roll-Forward DRAFT from TBellows on 07-11-08_Overseas Delaware TB" xfId="35241" xr:uid="{00000000-0005-0000-0000-0000B1890000}"/>
    <cellStyle name="X_Deposit Liability Roll-Forward DRAFT from TBellows on 07-11-08_Overseas TB" xfId="35242" xr:uid="{00000000-0005-0000-0000-0000B2890000}"/>
    <cellStyle name="X_Domestic FS 12-31-08 v3-20-09" xfId="35243" xr:uid="{00000000-0005-0000-0000-0000B3890000}"/>
    <cellStyle name="X_Fee Calc" xfId="35244" xr:uid="{00000000-0005-0000-0000-0000B4890000}"/>
    <cellStyle name="X_Fee Calc_Data Q1" xfId="35245" xr:uid="{00000000-0005-0000-0000-0000B5890000}"/>
    <cellStyle name="X_Fee Calc_Domestic TB" xfId="35246" xr:uid="{00000000-0005-0000-0000-0000B6890000}"/>
    <cellStyle name="X_Fee Calc_Overseas Delaware TB" xfId="35247" xr:uid="{00000000-0005-0000-0000-0000B7890000}"/>
    <cellStyle name="X_Fee Calc_Overseas TB" xfId="35248" xr:uid="{00000000-0005-0000-0000-0000B8890000}"/>
    <cellStyle name="X_Inv Cap Roll" xfId="35249" xr:uid="{00000000-0005-0000-0000-0000B9890000}"/>
    <cellStyle name="X_Inv Cap Roll_Data Q1" xfId="35250" xr:uid="{00000000-0005-0000-0000-0000BA890000}"/>
    <cellStyle name="X_Inv Cap Roll_Domestic TB" xfId="35251" xr:uid="{00000000-0005-0000-0000-0000BB890000}"/>
    <cellStyle name="X_Inv Cap Roll_Overseas Delaware TB" xfId="35252" xr:uid="{00000000-0005-0000-0000-0000BC890000}"/>
    <cellStyle name="X_Inv Cap Roll_Overseas TB" xfId="35253" xr:uid="{00000000-0005-0000-0000-0000BD890000}"/>
    <cellStyle name="X_Mgt FEE" xfId="35254" xr:uid="{00000000-0005-0000-0000-0000BE890000}"/>
    <cellStyle name="X_Mgt FEE_AIF VII 51.6M Mgt Fee Cap Call Due 1-8-09 on 12-22-08 6pm To JOE G" xfId="35255" xr:uid="{00000000-0005-0000-0000-0000BF890000}"/>
    <cellStyle name="X_Mgt FEE_AIF VII 51.6M Mgt Fee Cap Call Due 1-8-09 on 12-22-08 6pm To JOE G_Data Q1" xfId="35256" xr:uid="{00000000-0005-0000-0000-0000C0890000}"/>
    <cellStyle name="X_Mgt FEE_AIF VII 51.6M Mgt Fee Cap Call Due 1-8-09 on 12-22-08 6pm To JOE G_Domestic TB" xfId="35257" xr:uid="{00000000-0005-0000-0000-0000C1890000}"/>
    <cellStyle name="X_Mgt FEE_AIF VII 51.6M Mgt Fee Cap Call Due 1-8-09 on 12-22-08 6pm To JOE G_Overseas Delaware TB" xfId="35258" xr:uid="{00000000-0005-0000-0000-0000C2890000}"/>
    <cellStyle name="X_Mgt FEE_AIF VII 51.6M Mgt Fee Cap Call Due 1-8-09 on 12-22-08 6pm To JOE G_Overseas TB" xfId="35259" xr:uid="{00000000-0005-0000-0000-0000C3890000}"/>
    <cellStyle name="X_Mgt FEE_AIF VII ALL Entities" xfId="35260" xr:uid="{00000000-0005-0000-0000-0000C4890000}"/>
    <cellStyle name="X_Mgt FEE_AIF VII Cap Call Due 1-26-09 Reconciliation 1-22-09" xfId="35261" xr:uid="{00000000-0005-0000-0000-0000C5890000}"/>
    <cellStyle name="X_Mgt FEE_AIF VII Cap Call Due 1-26-09 Reconciliation 1-22-09_Data Q1" xfId="35262" xr:uid="{00000000-0005-0000-0000-0000C6890000}"/>
    <cellStyle name="X_Mgt FEE_AIF VII Cap Call Due 1-26-09 Reconciliation 1-22-09_Domestic TB" xfId="35263" xr:uid="{00000000-0005-0000-0000-0000C7890000}"/>
    <cellStyle name="X_Mgt FEE_AIF VII Cap Call Due 1-26-09 Reconciliation 1-22-09_Overseas Delaware TB" xfId="35264" xr:uid="{00000000-0005-0000-0000-0000C8890000}"/>
    <cellStyle name="X_Mgt FEE_AIF VII Cap Call Due 1-26-09 Reconciliation 1-22-09_Overseas TB" xfId="35265" xr:uid="{00000000-0005-0000-0000-0000C9890000}"/>
    <cellStyle name="X_Mgt FEE_AIF VII Cap Call Due 1-26-09 Reconciliation 1-23-09" xfId="35266" xr:uid="{00000000-0005-0000-0000-0000CA890000}"/>
    <cellStyle name="X_Mgt FEE_AIF VII Cap Call Due 1-26-09 Reconciliation 1-23-09_Data Q1" xfId="35267" xr:uid="{00000000-0005-0000-0000-0000CB890000}"/>
    <cellStyle name="X_Mgt FEE_AIF VII Cap Call Due 1-26-09 Reconciliation 1-23-09_Domestic TB" xfId="35268" xr:uid="{00000000-0005-0000-0000-0000CC890000}"/>
    <cellStyle name="X_Mgt FEE_AIF VII Cap Call Due 1-26-09 Reconciliation 1-23-09_Overseas Delaware TB" xfId="35269" xr:uid="{00000000-0005-0000-0000-0000CD890000}"/>
    <cellStyle name="X_Mgt FEE_AIF VII Cap Call Due 1-26-09 Reconciliation 1-23-09_Overseas TB" xfId="35270" xr:uid="{00000000-0005-0000-0000-0000CE890000}"/>
    <cellStyle name="X_Mgt FEE_AIF VII Cap Call Due 1-26-09 Reconciliation 1-26-09 revised" xfId="35271" xr:uid="{00000000-0005-0000-0000-0000CF890000}"/>
    <cellStyle name="X_Mgt FEE_AIF VII Cap Call Due 1-26-09 Reconciliation 1-26-09 revised_Data Q1" xfId="35272" xr:uid="{00000000-0005-0000-0000-0000D0890000}"/>
    <cellStyle name="X_Mgt FEE_AIF VII Cap Call Due 1-26-09 Reconciliation 1-26-09 revised_Domestic TB" xfId="35273" xr:uid="{00000000-0005-0000-0000-0000D1890000}"/>
    <cellStyle name="X_Mgt FEE_AIF VII Cap Call Due 1-26-09 Reconciliation 1-26-09 revised_Overseas Delaware TB" xfId="35274" xr:uid="{00000000-0005-0000-0000-0000D2890000}"/>
    <cellStyle name="X_Mgt FEE_AIF VII Cap Call Due 1-26-09 Reconciliation 1-26-09 revised_Overseas TB" xfId="35275" xr:uid="{00000000-0005-0000-0000-0000D3890000}"/>
    <cellStyle name="X_Mgt FEE_AIF VII Cap Call Due 1-26-09 Reconciliation 2-6-09" xfId="35276" xr:uid="{00000000-0005-0000-0000-0000D4890000}"/>
    <cellStyle name="X_Mgt FEE_AIF VII Cap Call Due 1-26-09 Reconciliation 2-6-09_Data Q1" xfId="35277" xr:uid="{00000000-0005-0000-0000-0000D5890000}"/>
    <cellStyle name="X_Mgt FEE_AIF VII Cap Call Due 1-26-09 Reconciliation 2-6-09_Domestic TB" xfId="35278" xr:uid="{00000000-0005-0000-0000-0000D6890000}"/>
    <cellStyle name="X_Mgt FEE_AIF VII Cap Call Due 1-26-09 Reconciliation 2-6-09_Overseas Delaware TB" xfId="35279" xr:uid="{00000000-0005-0000-0000-0000D7890000}"/>
    <cellStyle name="X_Mgt FEE_AIF VII Cap Call Due 1-26-09 Reconciliation 2-6-09_Overseas TB" xfId="35280" xr:uid="{00000000-0005-0000-0000-0000D8890000}"/>
    <cellStyle name="X_Mgt FEE_AIF VII Cap Call Due 9-26-08 Recon on 10-23-08" xfId="35281" xr:uid="{00000000-0005-0000-0000-0000D9890000}"/>
    <cellStyle name="X_Mgt FEE_AIF VII SCPC Q3 11-21-09 used contributed capital 10pm" xfId="35282" xr:uid="{00000000-0005-0000-0000-0000DA890000}"/>
    <cellStyle name="X_Mgt FEE_AIF VII Tax Distribution Due 1-6-09 Recon as of 1-30-09" xfId="35283" xr:uid="{00000000-0005-0000-0000-0000DB890000}"/>
    <cellStyle name="X_Mgt FEE_Bank Fee Acrl" xfId="35284" xr:uid="{00000000-0005-0000-0000-0000DC890000}"/>
    <cellStyle name="X_Mgt FEE_Carry Due Mgmt Co" xfId="35285" xr:uid="{00000000-0005-0000-0000-0000DD890000}"/>
    <cellStyle name="X_Mgt FEE_Cash" xfId="35286" xr:uid="{00000000-0005-0000-0000-0000DE890000}"/>
    <cellStyle name="X_Mgt FEE_Daily Summary - Main Accounts" xfId="35287" xr:uid="{00000000-0005-0000-0000-0000DF890000}"/>
    <cellStyle name="X_Mgt FEE_Daily Summary - Main Accounts_Data Q1" xfId="35288" xr:uid="{00000000-0005-0000-0000-0000E0890000}"/>
    <cellStyle name="X_Mgt FEE_Daily Summary - Main Accounts_Domestic TB" xfId="35289" xr:uid="{00000000-0005-0000-0000-0000E1890000}"/>
    <cellStyle name="X_Mgt FEE_Daily Summary - Main Accounts_Overseas Delaware TB" xfId="35290" xr:uid="{00000000-0005-0000-0000-0000E2890000}"/>
    <cellStyle name="X_Mgt FEE_Daily Summary - Main Accounts_Overseas TB" xfId="35291" xr:uid="{00000000-0005-0000-0000-0000E3890000}"/>
    <cellStyle name="X_Mgt FEE_Data Q1" xfId="35292" xr:uid="{00000000-0005-0000-0000-0000E4890000}"/>
    <cellStyle name="X_Mgt FEE_Dec 08 Invested Capital on 2-3-09 11am" xfId="35293" xr:uid="{00000000-0005-0000-0000-0000E5890000}"/>
    <cellStyle name="X_Mgt FEE_Dep Liab Rec" xfId="35294" xr:uid="{00000000-0005-0000-0000-0000E6890000}"/>
    <cellStyle name="X_Mgt FEE_Domestic TB" xfId="35295" xr:uid="{00000000-0005-0000-0000-0000E7890000}"/>
    <cellStyle name="X_Mgt FEE_Due Fr VI" xfId="35296" xr:uid="{00000000-0005-0000-0000-0000E8890000}"/>
    <cellStyle name="X_Mgt FEE_Due To-From" xfId="35297" xr:uid="{00000000-0005-0000-0000-0000E9890000}"/>
    <cellStyle name="X_Mgt FEE_Due To-From_AIF VII 51.6M Mgt Fee Cap Call Due 1-8-09 on 12-22-08 6pm To JOE G" xfId="35298" xr:uid="{00000000-0005-0000-0000-0000EA890000}"/>
    <cellStyle name="X_Mgt FEE_Due To-From_AIF VII 51.6M Mgt Fee Cap Call Due 1-8-09 on 12-22-08 6pm To JOE G_Data Q1" xfId="35299" xr:uid="{00000000-0005-0000-0000-0000EB890000}"/>
    <cellStyle name="X_Mgt FEE_Due To-From_AIF VII 51.6M Mgt Fee Cap Call Due 1-8-09 on 12-22-08 6pm To JOE G_Domestic TB" xfId="35300" xr:uid="{00000000-0005-0000-0000-0000EC890000}"/>
    <cellStyle name="X_Mgt FEE_Due To-From_AIF VII 51.6M Mgt Fee Cap Call Due 1-8-09 on 12-22-08 6pm To JOE G_Overseas Delaware TB" xfId="35301" xr:uid="{00000000-0005-0000-0000-0000ED890000}"/>
    <cellStyle name="X_Mgt FEE_Due To-From_AIF VII 51.6M Mgt Fee Cap Call Due 1-8-09 on 12-22-08 6pm To JOE G_Overseas TB" xfId="35302" xr:uid="{00000000-0005-0000-0000-0000EE890000}"/>
    <cellStyle name="X_Mgt FEE_Due To-From_AIF VII Cap Call Due 1-26-09 Reconciliation 1-22-09" xfId="35303" xr:uid="{00000000-0005-0000-0000-0000EF890000}"/>
    <cellStyle name="X_Mgt FEE_Due To-From_AIF VII Cap Call Due 1-26-09 Reconciliation 1-22-09_Data Q1" xfId="35304" xr:uid="{00000000-0005-0000-0000-0000F0890000}"/>
    <cellStyle name="X_Mgt FEE_Due To-From_AIF VII Cap Call Due 1-26-09 Reconciliation 1-22-09_Domestic TB" xfId="35305" xr:uid="{00000000-0005-0000-0000-0000F1890000}"/>
    <cellStyle name="X_Mgt FEE_Due To-From_AIF VII Cap Call Due 1-26-09 Reconciliation 1-22-09_Overseas Delaware TB" xfId="35306" xr:uid="{00000000-0005-0000-0000-0000F2890000}"/>
    <cellStyle name="X_Mgt FEE_Due To-From_AIF VII Cap Call Due 1-26-09 Reconciliation 1-22-09_Overseas TB" xfId="35307" xr:uid="{00000000-0005-0000-0000-0000F3890000}"/>
    <cellStyle name="X_Mgt FEE_Due To-From_AIF VII Cap Call Due 1-26-09 Reconciliation 1-23-09" xfId="35308" xr:uid="{00000000-0005-0000-0000-0000F4890000}"/>
    <cellStyle name="X_Mgt FEE_Due To-From_AIF VII Cap Call Due 1-26-09 Reconciliation 1-23-09_Data Q1" xfId="35309" xr:uid="{00000000-0005-0000-0000-0000F5890000}"/>
    <cellStyle name="X_Mgt FEE_Due To-From_AIF VII Cap Call Due 1-26-09 Reconciliation 1-23-09_Domestic TB" xfId="35310" xr:uid="{00000000-0005-0000-0000-0000F6890000}"/>
    <cellStyle name="X_Mgt FEE_Due To-From_AIF VII Cap Call Due 1-26-09 Reconciliation 1-23-09_Overseas Delaware TB" xfId="35311" xr:uid="{00000000-0005-0000-0000-0000F7890000}"/>
    <cellStyle name="X_Mgt FEE_Due To-From_AIF VII Cap Call Due 1-26-09 Reconciliation 1-23-09_Overseas TB" xfId="35312" xr:uid="{00000000-0005-0000-0000-0000F8890000}"/>
    <cellStyle name="X_Mgt FEE_Due To-From_AIF VII Cap Call Due 1-26-09 Reconciliation 1-26-09 revised" xfId="35313" xr:uid="{00000000-0005-0000-0000-0000F9890000}"/>
    <cellStyle name="X_Mgt FEE_Due To-From_AIF VII Cap Call Due 1-26-09 Reconciliation 1-26-09 revised_Data Q1" xfId="35314" xr:uid="{00000000-0005-0000-0000-0000FA890000}"/>
    <cellStyle name="X_Mgt FEE_Due To-From_AIF VII Cap Call Due 1-26-09 Reconciliation 1-26-09 revised_Domestic TB" xfId="35315" xr:uid="{00000000-0005-0000-0000-0000FB890000}"/>
    <cellStyle name="X_Mgt FEE_Due To-From_AIF VII Cap Call Due 1-26-09 Reconciliation 1-26-09 revised_Overseas Delaware TB" xfId="35316" xr:uid="{00000000-0005-0000-0000-0000FC890000}"/>
    <cellStyle name="X_Mgt FEE_Due To-From_AIF VII Cap Call Due 1-26-09 Reconciliation 1-26-09 revised_Overseas TB" xfId="35317" xr:uid="{00000000-0005-0000-0000-0000FD890000}"/>
    <cellStyle name="X_Mgt FEE_Due To-From_AIF VII Cap Call Due 1-26-09 Reconciliation 2-6-09" xfId="35318" xr:uid="{00000000-0005-0000-0000-0000FE890000}"/>
    <cellStyle name="X_Mgt FEE_Due To-From_AIF VII Cap Call Due 1-26-09 Reconciliation 2-6-09_Data Q1" xfId="35319" xr:uid="{00000000-0005-0000-0000-0000FF890000}"/>
    <cellStyle name="X_Mgt FEE_Due To-From_AIF VII Cap Call Due 1-26-09 Reconciliation 2-6-09_Domestic TB" xfId="35320" xr:uid="{00000000-0005-0000-0000-0000008A0000}"/>
    <cellStyle name="X_Mgt FEE_Due To-From_AIF VII Cap Call Due 1-26-09 Reconciliation 2-6-09_Overseas Delaware TB" xfId="35321" xr:uid="{00000000-0005-0000-0000-0000018A0000}"/>
    <cellStyle name="X_Mgt FEE_Due To-From_AIF VII Cap Call Due 1-26-09 Reconciliation 2-6-09_Overseas TB" xfId="35322" xr:uid="{00000000-0005-0000-0000-0000028A0000}"/>
    <cellStyle name="X_Mgt FEE_Due To-From_AIF VII Cap Call Due 9-26-08 Recon on 10-23-08" xfId="35323" xr:uid="{00000000-0005-0000-0000-0000038A0000}"/>
    <cellStyle name="X_Mgt FEE_Due To-From_AIF VII SCPC Q3 11-21-09 used contributed capital 10pm" xfId="35324" xr:uid="{00000000-0005-0000-0000-0000048A0000}"/>
    <cellStyle name="X_Mgt FEE_Due To-From_AIF VII Tax Distribution Due 1-6-09 Recon as of 1-30-09" xfId="35325" xr:uid="{00000000-0005-0000-0000-0000058A0000}"/>
    <cellStyle name="X_Mgt FEE_Due To-From_Bank Fee Acrl" xfId="35326" xr:uid="{00000000-0005-0000-0000-0000068A0000}"/>
    <cellStyle name="X_Mgt FEE_Due To-From_Carry Due Mgmt Co" xfId="35327" xr:uid="{00000000-0005-0000-0000-0000078A0000}"/>
    <cellStyle name="X_Mgt FEE_Due To-From_Cash" xfId="35328" xr:uid="{00000000-0005-0000-0000-0000088A0000}"/>
    <cellStyle name="X_Mgt FEE_Due To-From_Daily Summary - Main Accounts" xfId="35329" xr:uid="{00000000-0005-0000-0000-0000098A0000}"/>
    <cellStyle name="X_Mgt FEE_Due To-From_Daily Summary - Main Accounts_Data Q1" xfId="35330" xr:uid="{00000000-0005-0000-0000-00000A8A0000}"/>
    <cellStyle name="X_Mgt FEE_Due To-From_Daily Summary - Main Accounts_Domestic TB" xfId="35331" xr:uid="{00000000-0005-0000-0000-00000B8A0000}"/>
    <cellStyle name="X_Mgt FEE_Due To-From_Daily Summary - Main Accounts_Overseas Delaware TB" xfId="35332" xr:uid="{00000000-0005-0000-0000-00000C8A0000}"/>
    <cellStyle name="X_Mgt FEE_Due To-From_Daily Summary - Main Accounts_Overseas TB" xfId="35333" xr:uid="{00000000-0005-0000-0000-00000D8A0000}"/>
    <cellStyle name="X_Mgt FEE_Due To-From_Data Q1" xfId="35334" xr:uid="{00000000-0005-0000-0000-00000E8A0000}"/>
    <cellStyle name="X_Mgt FEE_Due To-From_Dec 08 Invested Capital on 2-3-09 11am" xfId="35335" xr:uid="{00000000-0005-0000-0000-00000F8A0000}"/>
    <cellStyle name="X_Mgt FEE_Due To-From_Dep Liab Rec" xfId="35336" xr:uid="{00000000-0005-0000-0000-0000108A0000}"/>
    <cellStyle name="X_Mgt FEE_Due To-From_Domestic TB" xfId="35337" xr:uid="{00000000-0005-0000-0000-0000118A0000}"/>
    <cellStyle name="X_Mgt FEE_Due To-From_Due Fr VI" xfId="35338" xr:uid="{00000000-0005-0000-0000-0000128A0000}"/>
    <cellStyle name="X_Mgt FEE_Due To-From_Fee Calc" xfId="35339" xr:uid="{00000000-0005-0000-0000-0000138A0000}"/>
    <cellStyle name="X_Mgt FEE_Due To-From_Fund VII 12-31-2008 Receivables and Payables as of 2-11-09" xfId="35340" xr:uid="{00000000-0005-0000-0000-0000148A0000}"/>
    <cellStyle name="X_Mgt FEE_Due To-From_Incep to Q3" xfId="35341" xr:uid="{00000000-0005-0000-0000-0000158A0000}"/>
    <cellStyle name="X_Mgt FEE_Due To-From_Incep to Q3_Data Q1" xfId="35342" xr:uid="{00000000-0005-0000-0000-0000168A0000}"/>
    <cellStyle name="X_Mgt FEE_Due To-From_Incep to Q3_Domestic TB" xfId="35343" xr:uid="{00000000-0005-0000-0000-0000178A0000}"/>
    <cellStyle name="X_Mgt FEE_Due To-From_Incep to Q3_Overseas Delaware TB" xfId="35344" xr:uid="{00000000-0005-0000-0000-0000188A0000}"/>
    <cellStyle name="X_Mgt FEE_Due To-From_Incep to Q3_Overseas TB" xfId="35345" xr:uid="{00000000-0005-0000-0000-0000198A0000}"/>
    <cellStyle name="X_Mgt FEE_Due To-From_Inv Cap" xfId="35346" xr:uid="{00000000-0005-0000-0000-00001A8A0000}"/>
    <cellStyle name="X_Mgt FEE_Due To-From_Inv Cap Roll" xfId="35347" xr:uid="{00000000-0005-0000-0000-00001B8A0000}"/>
    <cellStyle name="X_Mgt FEE_Due To-From_Invested Cap Roll CASH" xfId="35348" xr:uid="{00000000-0005-0000-0000-00001C8A0000}"/>
    <cellStyle name="X_Mgt FEE_Due To-From_JPMorgan Actual Cash" xfId="35349" xr:uid="{00000000-0005-0000-0000-00001D8A0000}"/>
    <cellStyle name="X_Mgt FEE_Due To-From_Overseas Delaware TB" xfId="35350" xr:uid="{00000000-0005-0000-0000-00001E8A0000}"/>
    <cellStyle name="X_Mgt FEE_Due To-From_Overseas TB" xfId="35351" xr:uid="{00000000-0005-0000-0000-00001F8A0000}"/>
    <cellStyle name="X_Mgt FEE_Due To-From_p.1 Receivable" xfId="35352" xr:uid="{00000000-0005-0000-0000-0000208A0000}"/>
    <cellStyle name="X_Mgt FEE_Due To-From_p.1 Receivable_Data Q1" xfId="35353" xr:uid="{00000000-0005-0000-0000-0000218A0000}"/>
    <cellStyle name="X_Mgt FEE_Due To-From_p.1 Receivable_Domestic TB" xfId="35354" xr:uid="{00000000-0005-0000-0000-0000228A0000}"/>
    <cellStyle name="X_Mgt FEE_Due To-From_p.1 Receivable_Overseas Delaware TB" xfId="35355" xr:uid="{00000000-0005-0000-0000-0000238A0000}"/>
    <cellStyle name="X_Mgt FEE_Due To-From_p.1 Receivable_Overseas TB" xfId="35356" xr:uid="{00000000-0005-0000-0000-0000248A0000}"/>
    <cellStyle name="X_Mgt FEE_Due To-From_Sheet1" xfId="35357" xr:uid="{00000000-0005-0000-0000-0000258A0000}"/>
    <cellStyle name="X_Mgt FEE_Due To-From_Sheet3" xfId="35358" xr:uid="{00000000-0005-0000-0000-0000268A0000}"/>
    <cellStyle name="X_Mgt FEE_Due To-From_Sheet3_Data Q1" xfId="35359" xr:uid="{00000000-0005-0000-0000-0000278A0000}"/>
    <cellStyle name="X_Mgt FEE_Due To-From_Sheet3_Domestic TB" xfId="35360" xr:uid="{00000000-0005-0000-0000-0000288A0000}"/>
    <cellStyle name="X_Mgt FEE_Due To-From_Sheet3_Overseas Delaware TB" xfId="35361" xr:uid="{00000000-0005-0000-0000-0000298A0000}"/>
    <cellStyle name="X_Mgt FEE_Due To-From_Sheet3_Overseas TB" xfId="35362" xr:uid="{00000000-0005-0000-0000-00002A8A0000}"/>
    <cellStyle name="X_Mgt FEE_Due To-From_Sheet6" xfId="35363" xr:uid="{00000000-0005-0000-0000-00002B8A0000}"/>
    <cellStyle name="X_Mgt FEE_Due To-From_Sheet6_Data Q1" xfId="35364" xr:uid="{00000000-0005-0000-0000-00002C8A0000}"/>
    <cellStyle name="X_Mgt FEE_Due To-From_Sheet6_Domestic TB" xfId="35365" xr:uid="{00000000-0005-0000-0000-00002D8A0000}"/>
    <cellStyle name="X_Mgt FEE_Due To-From_Sheet6_Overseas Delaware TB" xfId="35366" xr:uid="{00000000-0005-0000-0000-00002E8A0000}"/>
    <cellStyle name="X_Mgt FEE_Due To-From_Sheet6_Overseas TB" xfId="35367" xr:uid="{00000000-0005-0000-0000-00002F8A0000}"/>
    <cellStyle name="X_Mgt FEE_Fee Calc" xfId="35368" xr:uid="{00000000-0005-0000-0000-0000308A0000}"/>
    <cellStyle name="X_Mgt FEE_Fund VII 12-31-2008 Receivables and Payables as of 2-11-09" xfId="35369" xr:uid="{00000000-0005-0000-0000-0000318A0000}"/>
    <cellStyle name="X_Mgt FEE_Incep to Q3" xfId="35370" xr:uid="{00000000-0005-0000-0000-0000328A0000}"/>
    <cellStyle name="X_Mgt FEE_Incep to Q3_Data Q1" xfId="35371" xr:uid="{00000000-0005-0000-0000-0000338A0000}"/>
    <cellStyle name="X_Mgt FEE_Incep to Q3_Domestic TB" xfId="35372" xr:uid="{00000000-0005-0000-0000-0000348A0000}"/>
    <cellStyle name="X_Mgt FEE_Incep to Q3_Overseas Delaware TB" xfId="35373" xr:uid="{00000000-0005-0000-0000-0000358A0000}"/>
    <cellStyle name="X_Mgt FEE_Incep to Q3_Overseas TB" xfId="35374" xr:uid="{00000000-0005-0000-0000-0000368A0000}"/>
    <cellStyle name="X_Mgt FEE_Inv Cap" xfId="35375" xr:uid="{00000000-0005-0000-0000-0000378A0000}"/>
    <cellStyle name="X_Mgt FEE_Inv Cap Roll" xfId="35376" xr:uid="{00000000-0005-0000-0000-0000388A0000}"/>
    <cellStyle name="X_Mgt FEE_Invested Cap Roll CASH" xfId="35377" xr:uid="{00000000-0005-0000-0000-0000398A0000}"/>
    <cellStyle name="X_Mgt FEE_JPMorgan Actual Cash" xfId="35378" xr:uid="{00000000-0005-0000-0000-00003A8A0000}"/>
    <cellStyle name="X_Mgt FEE_Mgmt Fee Reallocation" xfId="35379" xr:uid="{00000000-0005-0000-0000-00003B8A0000}"/>
    <cellStyle name="X_Mgt FEE_Mgmt Fee Reallocation_AIF VII 51.6M Mgt Fee Cap Call Due 1-8-09 on 12-22-08 6pm To JOE G" xfId="35380" xr:uid="{00000000-0005-0000-0000-00003C8A0000}"/>
    <cellStyle name="X_Mgt FEE_Mgmt Fee Reallocation_AIF VII 51.6M Mgt Fee Cap Call Due 1-8-09 on 12-22-08 6pm To JOE G_Data Q1" xfId="35381" xr:uid="{00000000-0005-0000-0000-00003D8A0000}"/>
    <cellStyle name="X_Mgt FEE_Mgmt Fee Reallocation_AIF VII 51.6M Mgt Fee Cap Call Due 1-8-09 on 12-22-08 6pm To JOE G_Domestic TB" xfId="35382" xr:uid="{00000000-0005-0000-0000-00003E8A0000}"/>
    <cellStyle name="X_Mgt FEE_Mgmt Fee Reallocation_AIF VII 51.6M Mgt Fee Cap Call Due 1-8-09 on 12-22-08 6pm To JOE G_Overseas TB" xfId="35383" xr:uid="{00000000-0005-0000-0000-00003F8A0000}"/>
    <cellStyle name="X_Mgt FEE_Mgmt Fee Reallocation_AIF VII Cap Call Due 1-26-09 Reconciliation 1-22-09" xfId="35384" xr:uid="{00000000-0005-0000-0000-0000408A0000}"/>
    <cellStyle name="X_Mgt FEE_Mgmt Fee Reallocation_AIF VII Cap Call Due 1-26-09 Reconciliation 1-22-09_Data Q1" xfId="35385" xr:uid="{00000000-0005-0000-0000-0000418A0000}"/>
    <cellStyle name="X_Mgt FEE_Mgmt Fee Reallocation_AIF VII Cap Call Due 1-26-09 Reconciliation 1-22-09_Domestic TB" xfId="35386" xr:uid="{00000000-0005-0000-0000-0000428A0000}"/>
    <cellStyle name="X_Mgt FEE_Mgmt Fee Reallocation_AIF VII Cap Call Due 1-26-09 Reconciliation 1-22-09_Overseas TB" xfId="35387" xr:uid="{00000000-0005-0000-0000-0000438A0000}"/>
    <cellStyle name="X_Mgt FEE_Mgmt Fee Reallocation_AIF VII Cap Call Due 1-26-09 Reconciliation 1-23-09" xfId="35388" xr:uid="{00000000-0005-0000-0000-0000448A0000}"/>
    <cellStyle name="X_Mgt FEE_Mgmt Fee Reallocation_AIF VII Cap Call Due 1-26-09 Reconciliation 1-23-09_Data Q1" xfId="35389" xr:uid="{00000000-0005-0000-0000-0000458A0000}"/>
    <cellStyle name="X_Mgt FEE_Mgmt Fee Reallocation_AIF VII Cap Call Due 1-26-09 Reconciliation 1-23-09_Domestic TB" xfId="35390" xr:uid="{00000000-0005-0000-0000-0000468A0000}"/>
    <cellStyle name="X_Mgt FEE_Mgmt Fee Reallocation_AIF VII Cap Call Due 1-26-09 Reconciliation 1-23-09_Overseas TB" xfId="35391" xr:uid="{00000000-0005-0000-0000-0000478A0000}"/>
    <cellStyle name="X_Mgt FEE_Mgmt Fee Reallocation_AIF VII Cap Call Due 1-26-09 Reconciliation 1-26-09 revised" xfId="35392" xr:uid="{00000000-0005-0000-0000-0000488A0000}"/>
    <cellStyle name="X_Mgt FEE_Mgmt Fee Reallocation_AIF VII Cap Call Due 1-26-09 Reconciliation 1-26-09 revised_Data Q1" xfId="35393" xr:uid="{00000000-0005-0000-0000-0000498A0000}"/>
    <cellStyle name="X_Mgt FEE_Mgmt Fee Reallocation_AIF VII Cap Call Due 1-26-09 Reconciliation 1-26-09 revised_Domestic TB" xfId="35394" xr:uid="{00000000-0005-0000-0000-00004A8A0000}"/>
    <cellStyle name="X_Mgt FEE_Mgmt Fee Reallocation_AIF VII Cap Call Due 1-26-09 Reconciliation 1-26-09 revised_Overseas TB" xfId="35395" xr:uid="{00000000-0005-0000-0000-00004B8A0000}"/>
    <cellStyle name="X_Mgt FEE_Mgmt Fee Reallocation_AIF VII Cap Call Due 1-26-09 Reconciliation 2-6-09" xfId="35396" xr:uid="{00000000-0005-0000-0000-00004C8A0000}"/>
    <cellStyle name="X_Mgt FEE_Mgmt Fee Reallocation_AIF VII Cap Call Due 1-26-09 Reconciliation 2-6-09_Data Q1" xfId="35397" xr:uid="{00000000-0005-0000-0000-00004D8A0000}"/>
    <cellStyle name="X_Mgt FEE_Mgmt Fee Reallocation_AIF VII Cap Call Due 1-26-09 Reconciliation 2-6-09_Domestic TB" xfId="35398" xr:uid="{00000000-0005-0000-0000-00004E8A0000}"/>
    <cellStyle name="X_Mgt FEE_Mgmt Fee Reallocation_AIF VII Cap Call Due 1-26-09 Reconciliation 2-6-09_Overseas TB" xfId="35399" xr:uid="{00000000-0005-0000-0000-00004F8A0000}"/>
    <cellStyle name="X_Mgt FEE_Mgmt Fee Reallocation_AIF VII Cap Call Due 9-26-08 Recon on 10-23-08" xfId="35400" xr:uid="{00000000-0005-0000-0000-0000508A0000}"/>
    <cellStyle name="X_Mgt FEE_Mgmt Fee Reallocation_AIF VII SCPC Q3 11-21-09 used contributed capital 10pm" xfId="35401" xr:uid="{00000000-0005-0000-0000-0000518A0000}"/>
    <cellStyle name="X_Mgt FEE_Mgmt Fee Reallocation_AIF VII Tax Distribution Due 1-6-09 Recon as of 1-30-09" xfId="35402" xr:uid="{00000000-0005-0000-0000-0000528A0000}"/>
    <cellStyle name="X_Mgt FEE_Mgmt Fee Reallocation_Bank Fee Acrl" xfId="35403" xr:uid="{00000000-0005-0000-0000-0000538A0000}"/>
    <cellStyle name="X_Mgt FEE_Mgmt Fee Reallocation_Carry Due Mgmt Co" xfId="35404" xr:uid="{00000000-0005-0000-0000-0000548A0000}"/>
    <cellStyle name="X_Mgt FEE_Mgmt Fee Reallocation_Cash" xfId="35405" xr:uid="{00000000-0005-0000-0000-0000558A0000}"/>
    <cellStyle name="X_Mgt FEE_Mgmt Fee Reallocation_Daily Summary - Main Accounts" xfId="35406" xr:uid="{00000000-0005-0000-0000-0000568A0000}"/>
    <cellStyle name="X_Mgt FEE_Mgmt Fee Reallocation_Daily Summary - Main Accounts_Data Q1" xfId="35407" xr:uid="{00000000-0005-0000-0000-0000578A0000}"/>
    <cellStyle name="X_Mgt FEE_Mgmt Fee Reallocation_Daily Summary - Main Accounts_Domestic TB" xfId="35408" xr:uid="{00000000-0005-0000-0000-0000588A0000}"/>
    <cellStyle name="X_Mgt FEE_Mgmt Fee Reallocation_Daily Summary - Main Accounts_Overseas TB" xfId="35409" xr:uid="{00000000-0005-0000-0000-0000598A0000}"/>
    <cellStyle name="X_Mgt FEE_Mgmt Fee Reallocation_Data Q1" xfId="35410" xr:uid="{00000000-0005-0000-0000-00005A8A0000}"/>
    <cellStyle name="X_Mgt FEE_Mgmt Fee Reallocation_Dec 08 Invested Capital on 2-3-09 11am" xfId="35411" xr:uid="{00000000-0005-0000-0000-00005B8A0000}"/>
    <cellStyle name="X_Mgt FEE_Mgmt Fee Reallocation_Dep Liab Rec" xfId="35412" xr:uid="{00000000-0005-0000-0000-00005C8A0000}"/>
    <cellStyle name="X_Mgt FEE_Mgmt Fee Reallocation_Domestic TB" xfId="35413" xr:uid="{00000000-0005-0000-0000-00005D8A0000}"/>
    <cellStyle name="X_Mgt FEE_Mgmt Fee Reallocation_Due Fr VI" xfId="35414" xr:uid="{00000000-0005-0000-0000-00005E8A0000}"/>
    <cellStyle name="X_Mgt FEE_Mgmt Fee Reallocation_Fee Calc" xfId="35415" xr:uid="{00000000-0005-0000-0000-00005F8A0000}"/>
    <cellStyle name="X_Mgt FEE_Mgmt Fee Reallocation_Fund VII 12-31-2008 Receivables and Payables as of 2-11-09" xfId="35416" xr:uid="{00000000-0005-0000-0000-0000608A0000}"/>
    <cellStyle name="X_Mgt FEE_Mgmt Fee Reallocation_Incep to Q3" xfId="35417" xr:uid="{00000000-0005-0000-0000-0000618A0000}"/>
    <cellStyle name="X_Mgt FEE_Mgmt Fee Reallocation_Incep to Q3_Data Q1" xfId="35418" xr:uid="{00000000-0005-0000-0000-0000628A0000}"/>
    <cellStyle name="X_Mgt FEE_Mgmt Fee Reallocation_Incep to Q3_Domestic TB" xfId="35419" xr:uid="{00000000-0005-0000-0000-0000638A0000}"/>
    <cellStyle name="X_Mgt FEE_Mgmt Fee Reallocation_Incep to Q3_Overseas TB" xfId="35420" xr:uid="{00000000-0005-0000-0000-0000648A0000}"/>
    <cellStyle name="X_Mgt FEE_Mgmt Fee Reallocation_Inv Cap" xfId="35421" xr:uid="{00000000-0005-0000-0000-0000658A0000}"/>
    <cellStyle name="X_Mgt FEE_Mgmt Fee Reallocation_Inv Cap Roll" xfId="35422" xr:uid="{00000000-0005-0000-0000-0000668A0000}"/>
    <cellStyle name="X_Mgt FEE_Mgmt Fee Reallocation_Invested Cap Roll CASH" xfId="35423" xr:uid="{00000000-0005-0000-0000-0000678A0000}"/>
    <cellStyle name="X_Mgt FEE_Mgmt Fee Reallocation_JPMorgan Actual Cash" xfId="35424" xr:uid="{00000000-0005-0000-0000-0000688A0000}"/>
    <cellStyle name="X_Mgt FEE_Mgmt Fee Reallocation_Overseas TB" xfId="35425" xr:uid="{00000000-0005-0000-0000-0000698A0000}"/>
    <cellStyle name="X_Mgt FEE_Mgmt Fee Reallocation_p.1 Receivable" xfId="35426" xr:uid="{00000000-0005-0000-0000-00006A8A0000}"/>
    <cellStyle name="X_Mgt FEE_Mgmt Fee Reallocation_p.1 Receivable_Data Q1" xfId="35427" xr:uid="{00000000-0005-0000-0000-00006B8A0000}"/>
    <cellStyle name="X_Mgt FEE_Mgmt Fee Reallocation_p.1 Receivable_Domestic TB" xfId="35428" xr:uid="{00000000-0005-0000-0000-00006C8A0000}"/>
    <cellStyle name="X_Mgt FEE_Mgmt Fee Reallocation_p.1 Receivable_Overseas TB" xfId="35429" xr:uid="{00000000-0005-0000-0000-00006D8A0000}"/>
    <cellStyle name="X_Mgt FEE_Mgmt Fee Reallocation_Sheet1" xfId="35430" xr:uid="{00000000-0005-0000-0000-00006E8A0000}"/>
    <cellStyle name="X_Mgt FEE_Mgmt Fee Reallocation_Sheet3" xfId="35431" xr:uid="{00000000-0005-0000-0000-00006F8A0000}"/>
    <cellStyle name="X_Mgt FEE_Mgmt Fee Reallocation_Sheet3_Data Q1" xfId="35432" xr:uid="{00000000-0005-0000-0000-0000708A0000}"/>
    <cellStyle name="X_Mgt FEE_Mgmt Fee Reallocation_Sheet3_Domestic TB" xfId="35433" xr:uid="{00000000-0005-0000-0000-0000718A0000}"/>
    <cellStyle name="X_Mgt FEE_Mgmt Fee Reallocation_Sheet3_Overseas TB" xfId="35434" xr:uid="{00000000-0005-0000-0000-0000728A0000}"/>
    <cellStyle name="X_Mgt FEE_Mgmt Fee Reallocation_Sheet6" xfId="35435" xr:uid="{00000000-0005-0000-0000-0000738A0000}"/>
    <cellStyle name="X_Mgt FEE_Mgmt Fee Reallocation_Sheet6_Data Q1" xfId="35436" xr:uid="{00000000-0005-0000-0000-0000748A0000}"/>
    <cellStyle name="X_Mgt FEE_Mgmt Fee Reallocation_Sheet6_Domestic TB" xfId="35437" xr:uid="{00000000-0005-0000-0000-0000758A0000}"/>
    <cellStyle name="X_Mgt FEE_Mgmt Fee Reallocation_Sheet6_Overseas TB" xfId="35438" xr:uid="{00000000-0005-0000-0000-0000768A0000}"/>
    <cellStyle name="X_Mgt FEE_Mgt FEE" xfId="35439" xr:uid="{00000000-0005-0000-0000-0000778A0000}"/>
    <cellStyle name="X_Mgt FEE_Overseas Delaware TB" xfId="35440" xr:uid="{00000000-0005-0000-0000-0000788A0000}"/>
    <cellStyle name="X_Mgt FEE_Overseas TB" xfId="35441" xr:uid="{00000000-0005-0000-0000-0000798A0000}"/>
    <cellStyle name="X_Mgt FEE_p.1 Receivable" xfId="35442" xr:uid="{00000000-0005-0000-0000-00007A8A0000}"/>
    <cellStyle name="X_Mgt FEE_p.1 Receivable_Data Q1" xfId="35443" xr:uid="{00000000-0005-0000-0000-00007B8A0000}"/>
    <cellStyle name="X_Mgt FEE_p.1 Receivable_Domestic TB" xfId="35444" xr:uid="{00000000-0005-0000-0000-00007C8A0000}"/>
    <cellStyle name="X_Mgt FEE_p.1 Receivable_Overseas TB" xfId="35445" xr:uid="{00000000-0005-0000-0000-00007D8A0000}"/>
    <cellStyle name="X_Mgt FEE_Partners Capital" xfId="35446" xr:uid="{00000000-0005-0000-0000-00007E8A0000}"/>
    <cellStyle name="X_Mgt FEE_Partners Capital_AIF VII 51.6M Mgt Fee Cap Call Due 1-8-09 on 12-22-08 6pm To JOE G" xfId="35447" xr:uid="{00000000-0005-0000-0000-00007F8A0000}"/>
    <cellStyle name="X_Mgt FEE_Partners Capital_AIF VII 51.6M Mgt Fee Cap Call Due 1-8-09 on 12-22-08 6pm To JOE G_Data Q1" xfId="35448" xr:uid="{00000000-0005-0000-0000-0000808A0000}"/>
    <cellStyle name="X_Mgt FEE_Partners Capital_AIF VII 51.6M Mgt Fee Cap Call Due 1-8-09 on 12-22-08 6pm To JOE G_Domestic TB" xfId="35449" xr:uid="{00000000-0005-0000-0000-0000818A0000}"/>
    <cellStyle name="X_Mgt FEE_Partners Capital_AIF VII 51.6M Mgt Fee Cap Call Due 1-8-09 on 12-22-08 6pm To JOE G_Overseas TB" xfId="35450" xr:uid="{00000000-0005-0000-0000-0000828A0000}"/>
    <cellStyle name="X_Mgt FEE_Partners Capital_AIF VII Cap Call Due 1-26-09 Reconciliation 1-22-09" xfId="35451" xr:uid="{00000000-0005-0000-0000-0000838A0000}"/>
    <cellStyle name="X_Mgt FEE_Partners Capital_AIF VII Cap Call Due 1-26-09 Reconciliation 1-22-09_Data Q1" xfId="35452" xr:uid="{00000000-0005-0000-0000-0000848A0000}"/>
    <cellStyle name="X_Mgt FEE_Partners Capital_AIF VII Cap Call Due 1-26-09 Reconciliation 1-22-09_Domestic TB" xfId="35453" xr:uid="{00000000-0005-0000-0000-0000858A0000}"/>
    <cellStyle name="X_Mgt FEE_Partners Capital_AIF VII Cap Call Due 1-26-09 Reconciliation 1-22-09_Overseas TB" xfId="35454" xr:uid="{00000000-0005-0000-0000-0000868A0000}"/>
    <cellStyle name="X_Mgt FEE_Partners Capital_AIF VII Cap Call Due 1-26-09 Reconciliation 1-23-09" xfId="35455" xr:uid="{00000000-0005-0000-0000-0000878A0000}"/>
    <cellStyle name="X_Mgt FEE_Partners Capital_AIF VII Cap Call Due 1-26-09 Reconciliation 1-23-09_Data Q1" xfId="35456" xr:uid="{00000000-0005-0000-0000-0000888A0000}"/>
    <cellStyle name="X_Mgt FEE_Partners Capital_AIF VII Cap Call Due 1-26-09 Reconciliation 1-23-09_Domestic TB" xfId="35457" xr:uid="{00000000-0005-0000-0000-0000898A0000}"/>
    <cellStyle name="X_Mgt FEE_Partners Capital_AIF VII Cap Call Due 1-26-09 Reconciliation 1-23-09_Overseas TB" xfId="35458" xr:uid="{00000000-0005-0000-0000-00008A8A0000}"/>
    <cellStyle name="X_Mgt FEE_Partners Capital_AIF VII Cap Call Due 1-26-09 Reconciliation 1-26-09 revised" xfId="35459" xr:uid="{00000000-0005-0000-0000-00008B8A0000}"/>
    <cellStyle name="X_Mgt FEE_Partners Capital_AIF VII Cap Call Due 1-26-09 Reconciliation 1-26-09 revised_Data Q1" xfId="35460" xr:uid="{00000000-0005-0000-0000-00008C8A0000}"/>
    <cellStyle name="X_Mgt FEE_Partners Capital_AIF VII Cap Call Due 1-26-09 Reconciliation 1-26-09 revised_Domestic TB" xfId="35461" xr:uid="{00000000-0005-0000-0000-00008D8A0000}"/>
    <cellStyle name="X_Mgt FEE_Partners Capital_AIF VII Cap Call Due 1-26-09 Reconciliation 1-26-09 revised_Overseas TB" xfId="35462" xr:uid="{00000000-0005-0000-0000-00008E8A0000}"/>
    <cellStyle name="X_Mgt FEE_Partners Capital_AIF VII Cap Call Due 1-26-09 Reconciliation 2-6-09" xfId="35463" xr:uid="{00000000-0005-0000-0000-00008F8A0000}"/>
    <cellStyle name="X_Mgt FEE_Partners Capital_AIF VII Cap Call Due 1-26-09 Reconciliation 2-6-09_Data Q1" xfId="35464" xr:uid="{00000000-0005-0000-0000-0000908A0000}"/>
    <cellStyle name="X_Mgt FEE_Partners Capital_AIF VII Cap Call Due 1-26-09 Reconciliation 2-6-09_Domestic TB" xfId="35465" xr:uid="{00000000-0005-0000-0000-0000918A0000}"/>
    <cellStyle name="X_Mgt FEE_Partners Capital_AIF VII Cap Call Due 1-26-09 Reconciliation 2-6-09_Overseas TB" xfId="35466" xr:uid="{00000000-0005-0000-0000-0000928A0000}"/>
    <cellStyle name="X_Mgt FEE_Partners Capital_AIF VII Cap Call Due 9-26-08 Recon on 10-23-08" xfId="35467" xr:uid="{00000000-0005-0000-0000-0000938A0000}"/>
    <cellStyle name="X_Mgt FEE_Partners Capital_AIF VII SCPC Q3 11-21-09 used contributed capital 10pm" xfId="35468" xr:uid="{00000000-0005-0000-0000-0000948A0000}"/>
    <cellStyle name="X_Mgt FEE_Partners Capital_AIF VII Tax Distribution Due 1-6-09 Recon as of 1-30-09" xfId="35469" xr:uid="{00000000-0005-0000-0000-0000958A0000}"/>
    <cellStyle name="X_Mgt FEE_Partners Capital_Bank Fee Acrl" xfId="35470" xr:uid="{00000000-0005-0000-0000-0000968A0000}"/>
    <cellStyle name="X_Mgt FEE_Partners Capital_Carry Due Mgmt Co" xfId="35471" xr:uid="{00000000-0005-0000-0000-0000978A0000}"/>
    <cellStyle name="X_Mgt FEE_Partners Capital_Cash" xfId="35472" xr:uid="{00000000-0005-0000-0000-0000988A0000}"/>
    <cellStyle name="X_Mgt FEE_Partners Capital_Daily Summary - Main Accounts" xfId="35473" xr:uid="{00000000-0005-0000-0000-0000998A0000}"/>
    <cellStyle name="X_Mgt FEE_Partners Capital_Daily Summary - Main Accounts_Data Q1" xfId="35474" xr:uid="{00000000-0005-0000-0000-00009A8A0000}"/>
    <cellStyle name="X_Mgt FEE_Partners Capital_Daily Summary - Main Accounts_Domestic TB" xfId="35475" xr:uid="{00000000-0005-0000-0000-00009B8A0000}"/>
    <cellStyle name="X_Mgt FEE_Partners Capital_Daily Summary - Main Accounts_Overseas TB" xfId="35476" xr:uid="{00000000-0005-0000-0000-00009C8A0000}"/>
    <cellStyle name="X_Mgt FEE_Partners Capital_Data Q1" xfId="35477" xr:uid="{00000000-0005-0000-0000-00009D8A0000}"/>
    <cellStyle name="X_Mgt FEE_Partners Capital_Dec 08 Invested Capital on 2-3-09 11am" xfId="35478" xr:uid="{00000000-0005-0000-0000-00009E8A0000}"/>
    <cellStyle name="X_Mgt FEE_Partners Capital_Dep Liab Rec" xfId="35479" xr:uid="{00000000-0005-0000-0000-00009F8A0000}"/>
    <cellStyle name="X_Mgt FEE_Partners Capital_Domestic TB" xfId="35480" xr:uid="{00000000-0005-0000-0000-0000A08A0000}"/>
    <cellStyle name="X_Mgt FEE_Partners Capital_Due Fr VI" xfId="35481" xr:uid="{00000000-0005-0000-0000-0000A18A0000}"/>
    <cellStyle name="X_Mgt FEE_Partners Capital_Fee Calc" xfId="35482" xr:uid="{00000000-0005-0000-0000-0000A28A0000}"/>
    <cellStyle name="X_Mgt FEE_Partners Capital_Fund VII 12-31-2008 Receivables and Payables as of 2-11-09" xfId="35483" xr:uid="{00000000-0005-0000-0000-0000A38A0000}"/>
    <cellStyle name="X_Mgt FEE_Partners Capital_Incep to Q3" xfId="35484" xr:uid="{00000000-0005-0000-0000-0000A48A0000}"/>
    <cellStyle name="X_Mgt FEE_Partners Capital_Incep to Q3_Data Q1" xfId="35485" xr:uid="{00000000-0005-0000-0000-0000A58A0000}"/>
    <cellStyle name="X_Mgt FEE_Partners Capital_Incep to Q3_Domestic TB" xfId="35486" xr:uid="{00000000-0005-0000-0000-0000A68A0000}"/>
    <cellStyle name="X_Mgt FEE_Partners Capital_Incep to Q3_Overseas TB" xfId="35487" xr:uid="{00000000-0005-0000-0000-0000A78A0000}"/>
    <cellStyle name="X_Mgt FEE_Partners Capital_Inv Cap" xfId="35488" xr:uid="{00000000-0005-0000-0000-0000A88A0000}"/>
    <cellStyle name="X_Mgt FEE_Partners Capital_Inv Cap Roll" xfId="35489" xr:uid="{00000000-0005-0000-0000-0000A98A0000}"/>
    <cellStyle name="X_Mgt FEE_Partners Capital_Invested Cap Roll CASH" xfId="35490" xr:uid="{00000000-0005-0000-0000-0000AA8A0000}"/>
    <cellStyle name="X_Mgt FEE_Partners Capital_JPMorgan Actual Cash" xfId="35491" xr:uid="{00000000-0005-0000-0000-0000AB8A0000}"/>
    <cellStyle name="X_Mgt FEE_Partners Capital_Overseas TB" xfId="35492" xr:uid="{00000000-0005-0000-0000-0000AC8A0000}"/>
    <cellStyle name="X_Mgt FEE_Partners Capital_p.1 Receivable" xfId="35493" xr:uid="{00000000-0005-0000-0000-0000AD8A0000}"/>
    <cellStyle name="X_Mgt FEE_Partners Capital_p.1 Receivable_Data Q1" xfId="35494" xr:uid="{00000000-0005-0000-0000-0000AE8A0000}"/>
    <cellStyle name="X_Mgt FEE_Partners Capital_p.1 Receivable_Domestic TB" xfId="35495" xr:uid="{00000000-0005-0000-0000-0000AF8A0000}"/>
    <cellStyle name="X_Mgt FEE_Partners Capital_p.1 Receivable_Overseas TB" xfId="35496" xr:uid="{00000000-0005-0000-0000-0000B08A0000}"/>
    <cellStyle name="X_Mgt FEE_Partners Capital_Sheet1" xfId="35497" xr:uid="{00000000-0005-0000-0000-0000B18A0000}"/>
    <cellStyle name="X_Mgt FEE_Partners Capital_Sheet3" xfId="35498" xr:uid="{00000000-0005-0000-0000-0000B28A0000}"/>
    <cellStyle name="X_Mgt FEE_Partners Capital_Sheet3_Data Q1" xfId="35499" xr:uid="{00000000-0005-0000-0000-0000B38A0000}"/>
    <cellStyle name="X_Mgt FEE_Partners Capital_Sheet3_Domestic TB" xfId="35500" xr:uid="{00000000-0005-0000-0000-0000B48A0000}"/>
    <cellStyle name="X_Mgt FEE_Partners Capital_Sheet3_Overseas TB" xfId="35501" xr:uid="{00000000-0005-0000-0000-0000B58A0000}"/>
    <cellStyle name="X_Mgt FEE_Partners Capital_Sheet6" xfId="35502" xr:uid="{00000000-0005-0000-0000-0000B68A0000}"/>
    <cellStyle name="X_Mgt FEE_Partners Capital_Sheet6_Data Q1" xfId="35503" xr:uid="{00000000-0005-0000-0000-0000B78A0000}"/>
    <cellStyle name="X_Mgt FEE_Partners Capital_Sheet6_Domestic TB" xfId="35504" xr:uid="{00000000-0005-0000-0000-0000B88A0000}"/>
    <cellStyle name="X_Mgt FEE_Partners Capital_Sheet6_Overseas TB" xfId="35505" xr:uid="{00000000-0005-0000-0000-0000B98A0000}"/>
    <cellStyle name="X_Mgt FEE_Prepaid Mgmt Fee" xfId="35506" xr:uid="{00000000-0005-0000-0000-0000BA8A0000}"/>
    <cellStyle name="X_Mgt FEE_Prepaid Mgmt Fee_1" xfId="35507" xr:uid="{00000000-0005-0000-0000-0000BB8A0000}"/>
    <cellStyle name="X_Mgt FEE_Prepaid Mgmt Fee_1_AIF VII 51.6M Mgt Fee Cap Call Due 1-8-09 on 12-22-08 6pm To JOE G" xfId="35508" xr:uid="{00000000-0005-0000-0000-0000BC8A0000}"/>
    <cellStyle name="X_Mgt FEE_Prepaid Mgmt Fee_1_AIF VII 51.6M Mgt Fee Cap Call Due 1-8-09 on 12-22-08 6pm To JOE G_Data Q1" xfId="35509" xr:uid="{00000000-0005-0000-0000-0000BD8A0000}"/>
    <cellStyle name="X_Mgt FEE_Prepaid Mgmt Fee_1_AIF VII 51.6M Mgt Fee Cap Call Due 1-8-09 on 12-22-08 6pm To JOE G_Domestic TB" xfId="35510" xr:uid="{00000000-0005-0000-0000-0000BE8A0000}"/>
    <cellStyle name="X_Mgt FEE_Prepaid Mgmt Fee_1_AIF VII 51.6M Mgt Fee Cap Call Due 1-8-09 on 12-22-08 6pm To JOE G_Overseas TB" xfId="35511" xr:uid="{00000000-0005-0000-0000-0000BF8A0000}"/>
    <cellStyle name="X_Mgt FEE_Prepaid Mgmt Fee_1_AIF VII Cap Call Due 1-26-09 Reconciliation 1-22-09" xfId="35512" xr:uid="{00000000-0005-0000-0000-0000C08A0000}"/>
    <cellStyle name="X_Mgt FEE_Prepaid Mgmt Fee_1_AIF VII Cap Call Due 1-26-09 Reconciliation 1-22-09_Data Q1" xfId="35513" xr:uid="{00000000-0005-0000-0000-0000C18A0000}"/>
    <cellStyle name="X_Mgt FEE_Prepaid Mgmt Fee_1_AIF VII Cap Call Due 1-26-09 Reconciliation 1-22-09_Domestic TB" xfId="35514" xr:uid="{00000000-0005-0000-0000-0000C28A0000}"/>
    <cellStyle name="X_Mgt FEE_Prepaid Mgmt Fee_1_AIF VII Cap Call Due 1-26-09 Reconciliation 1-22-09_Overseas TB" xfId="35515" xr:uid="{00000000-0005-0000-0000-0000C38A0000}"/>
    <cellStyle name="X_Mgt FEE_Prepaid Mgmt Fee_1_AIF VII Cap Call Due 1-26-09 Reconciliation 1-23-09" xfId="35516" xr:uid="{00000000-0005-0000-0000-0000C48A0000}"/>
    <cellStyle name="X_Mgt FEE_Prepaid Mgmt Fee_1_AIF VII Cap Call Due 1-26-09 Reconciliation 1-23-09_Data Q1" xfId="35517" xr:uid="{00000000-0005-0000-0000-0000C58A0000}"/>
    <cellStyle name="X_Mgt FEE_Prepaid Mgmt Fee_1_AIF VII Cap Call Due 1-26-09 Reconciliation 1-23-09_Domestic TB" xfId="35518" xr:uid="{00000000-0005-0000-0000-0000C68A0000}"/>
    <cellStyle name="X_Mgt FEE_Prepaid Mgmt Fee_1_AIF VII Cap Call Due 1-26-09 Reconciliation 1-23-09_Overseas TB" xfId="35519" xr:uid="{00000000-0005-0000-0000-0000C78A0000}"/>
    <cellStyle name="X_Mgt FEE_Prepaid Mgmt Fee_1_AIF VII Cap Call Due 1-26-09 Reconciliation 1-26-09 revised" xfId="35520" xr:uid="{00000000-0005-0000-0000-0000C88A0000}"/>
    <cellStyle name="X_Mgt FEE_Prepaid Mgmt Fee_1_AIF VII Cap Call Due 1-26-09 Reconciliation 1-26-09 revised_Data Q1" xfId="35521" xr:uid="{00000000-0005-0000-0000-0000C98A0000}"/>
    <cellStyle name="X_Mgt FEE_Prepaid Mgmt Fee_1_AIF VII Cap Call Due 1-26-09 Reconciliation 1-26-09 revised_Domestic TB" xfId="35522" xr:uid="{00000000-0005-0000-0000-0000CA8A0000}"/>
    <cellStyle name="X_Mgt FEE_Prepaid Mgmt Fee_1_AIF VII Cap Call Due 1-26-09 Reconciliation 1-26-09 revised_Overseas TB" xfId="35523" xr:uid="{00000000-0005-0000-0000-0000CB8A0000}"/>
    <cellStyle name="X_Mgt FEE_Prepaid Mgmt Fee_1_AIF VII Cap Call Due 1-26-09 Reconciliation 2-6-09" xfId="35524" xr:uid="{00000000-0005-0000-0000-0000CC8A0000}"/>
    <cellStyle name="X_Mgt FEE_Prepaid Mgmt Fee_1_AIF VII Cap Call Due 1-26-09 Reconciliation 2-6-09_Data Q1" xfId="35525" xr:uid="{00000000-0005-0000-0000-0000CD8A0000}"/>
    <cellStyle name="X_Mgt FEE_Prepaid Mgmt Fee_1_AIF VII Cap Call Due 1-26-09 Reconciliation 2-6-09_Domestic TB" xfId="35526" xr:uid="{00000000-0005-0000-0000-0000CE8A0000}"/>
    <cellStyle name="X_Mgt FEE_Prepaid Mgmt Fee_1_AIF VII Cap Call Due 1-26-09 Reconciliation 2-6-09_Overseas TB" xfId="35527" xr:uid="{00000000-0005-0000-0000-0000CF8A0000}"/>
    <cellStyle name="X_Mgt FEE_Prepaid Mgmt Fee_1_AIF VII Cap Call Due 9-26-08 Recon on 10-23-08" xfId="35528" xr:uid="{00000000-0005-0000-0000-0000D08A0000}"/>
    <cellStyle name="X_Mgt FEE_Prepaid Mgmt Fee_1_AIF VII SCPC Q3 11-21-09 used contributed capital 10pm" xfId="35529" xr:uid="{00000000-0005-0000-0000-0000D18A0000}"/>
    <cellStyle name="X_Mgt FEE_Prepaid Mgmt Fee_1_AIF VII Tax Distribution Due 1-6-09 Recon as of 1-30-09" xfId="35530" xr:uid="{00000000-0005-0000-0000-0000D28A0000}"/>
    <cellStyle name="X_Mgt FEE_Prepaid Mgmt Fee_1_Bank Fee Acrl" xfId="35531" xr:uid="{00000000-0005-0000-0000-0000D38A0000}"/>
    <cellStyle name="X_Mgt FEE_Prepaid Mgmt Fee_1_Carry Due Mgmt Co" xfId="35532" xr:uid="{00000000-0005-0000-0000-0000D48A0000}"/>
    <cellStyle name="X_Mgt FEE_Prepaid Mgmt Fee_1_Cash" xfId="35533" xr:uid="{00000000-0005-0000-0000-0000D58A0000}"/>
    <cellStyle name="X_Mgt FEE_Prepaid Mgmt Fee_1_Daily Summary - Main Accounts" xfId="35534" xr:uid="{00000000-0005-0000-0000-0000D68A0000}"/>
    <cellStyle name="X_Mgt FEE_Prepaid Mgmt Fee_1_Daily Summary - Main Accounts_Data Q1" xfId="35535" xr:uid="{00000000-0005-0000-0000-0000D78A0000}"/>
    <cellStyle name="X_Mgt FEE_Prepaid Mgmt Fee_1_Daily Summary - Main Accounts_Domestic TB" xfId="35536" xr:uid="{00000000-0005-0000-0000-0000D88A0000}"/>
    <cellStyle name="X_Mgt FEE_Prepaid Mgmt Fee_1_Daily Summary - Main Accounts_Overseas TB" xfId="35537" xr:uid="{00000000-0005-0000-0000-0000D98A0000}"/>
    <cellStyle name="X_Mgt FEE_Prepaid Mgmt Fee_1_Data Q1" xfId="35538" xr:uid="{00000000-0005-0000-0000-0000DA8A0000}"/>
    <cellStyle name="X_Mgt FEE_Prepaid Mgmt Fee_1_Dec 08 Invested Capital on 2-3-09 11am" xfId="35539" xr:uid="{00000000-0005-0000-0000-0000DB8A0000}"/>
    <cellStyle name="X_Mgt FEE_Prepaid Mgmt Fee_1_Dep Liab Rec" xfId="35540" xr:uid="{00000000-0005-0000-0000-0000DC8A0000}"/>
    <cellStyle name="X_Mgt FEE_Prepaid Mgmt Fee_1_Domestic TB" xfId="35541" xr:uid="{00000000-0005-0000-0000-0000DD8A0000}"/>
    <cellStyle name="X_Mgt FEE_Prepaid Mgmt Fee_1_Due Fr VI" xfId="35542" xr:uid="{00000000-0005-0000-0000-0000DE8A0000}"/>
    <cellStyle name="X_Mgt FEE_Prepaid Mgmt Fee_1_Fee Calc" xfId="35543" xr:uid="{00000000-0005-0000-0000-0000DF8A0000}"/>
    <cellStyle name="X_Mgt FEE_Prepaid Mgmt Fee_1_Fund VII 12-31-2008 Receivables and Payables as of 2-11-09" xfId="35544" xr:uid="{00000000-0005-0000-0000-0000E08A0000}"/>
    <cellStyle name="X_Mgt FEE_Prepaid Mgmt Fee_1_Incep to Q3" xfId="35545" xr:uid="{00000000-0005-0000-0000-0000E18A0000}"/>
    <cellStyle name="X_Mgt FEE_Prepaid Mgmt Fee_1_Incep to Q3_Data Q1" xfId="35546" xr:uid="{00000000-0005-0000-0000-0000E28A0000}"/>
    <cellStyle name="X_Mgt FEE_Prepaid Mgmt Fee_1_Incep to Q3_Domestic TB" xfId="35547" xr:uid="{00000000-0005-0000-0000-0000E38A0000}"/>
    <cellStyle name="X_Mgt FEE_Prepaid Mgmt Fee_1_Incep to Q3_Overseas TB" xfId="35548" xr:uid="{00000000-0005-0000-0000-0000E48A0000}"/>
    <cellStyle name="X_Mgt FEE_Prepaid Mgmt Fee_1_Inv Cap" xfId="35549" xr:uid="{00000000-0005-0000-0000-0000E58A0000}"/>
    <cellStyle name="X_Mgt FEE_Prepaid Mgmt Fee_1_Inv Cap Roll" xfId="35550" xr:uid="{00000000-0005-0000-0000-0000E68A0000}"/>
    <cellStyle name="X_Mgt FEE_Prepaid Mgmt Fee_1_Invested Cap Roll CASH" xfId="35551" xr:uid="{00000000-0005-0000-0000-0000E78A0000}"/>
    <cellStyle name="X_Mgt FEE_Prepaid Mgmt Fee_1_JPMorgan Actual Cash" xfId="35552" xr:uid="{00000000-0005-0000-0000-0000E88A0000}"/>
    <cellStyle name="X_Mgt FEE_Prepaid Mgmt Fee_1_Overseas TB" xfId="35553" xr:uid="{00000000-0005-0000-0000-0000E98A0000}"/>
    <cellStyle name="X_Mgt FEE_Prepaid Mgmt Fee_1_p.1 Receivable" xfId="35554" xr:uid="{00000000-0005-0000-0000-0000EA8A0000}"/>
    <cellStyle name="X_Mgt FEE_Prepaid Mgmt Fee_1_p.1 Receivable_Data Q1" xfId="35555" xr:uid="{00000000-0005-0000-0000-0000EB8A0000}"/>
    <cellStyle name="X_Mgt FEE_Prepaid Mgmt Fee_1_p.1 Receivable_Domestic TB" xfId="35556" xr:uid="{00000000-0005-0000-0000-0000EC8A0000}"/>
    <cellStyle name="X_Mgt FEE_Prepaid Mgmt Fee_1_p.1 Receivable_Overseas TB" xfId="35557" xr:uid="{00000000-0005-0000-0000-0000ED8A0000}"/>
    <cellStyle name="X_Mgt FEE_Prepaid Mgmt Fee_1_Sheet1" xfId="35558" xr:uid="{00000000-0005-0000-0000-0000EE8A0000}"/>
    <cellStyle name="X_Mgt FEE_Prepaid Mgmt Fee_1_Sheet3" xfId="35559" xr:uid="{00000000-0005-0000-0000-0000EF8A0000}"/>
    <cellStyle name="X_Mgt FEE_Prepaid Mgmt Fee_1_Sheet3_Data Q1" xfId="35560" xr:uid="{00000000-0005-0000-0000-0000F08A0000}"/>
    <cellStyle name="X_Mgt FEE_Prepaid Mgmt Fee_1_Sheet3_Domestic TB" xfId="35561" xr:uid="{00000000-0005-0000-0000-0000F18A0000}"/>
    <cellStyle name="X_Mgt FEE_Prepaid Mgmt Fee_1_Sheet3_Overseas TB" xfId="35562" xr:uid="{00000000-0005-0000-0000-0000F28A0000}"/>
    <cellStyle name="X_Mgt FEE_Prepaid Mgmt Fee_1_Sheet6" xfId="35563" xr:uid="{00000000-0005-0000-0000-0000F38A0000}"/>
    <cellStyle name="X_Mgt FEE_Prepaid Mgmt Fee_1_Sheet6_Data Q1" xfId="35564" xr:uid="{00000000-0005-0000-0000-0000F48A0000}"/>
    <cellStyle name="X_Mgt FEE_Prepaid Mgmt Fee_1_Sheet6_Domestic TB" xfId="35565" xr:uid="{00000000-0005-0000-0000-0000F58A0000}"/>
    <cellStyle name="X_Mgt FEE_Prepaid Mgmt Fee_1_Sheet6_Overseas TB" xfId="35566" xr:uid="{00000000-0005-0000-0000-0000F68A0000}"/>
    <cellStyle name="X_Mgt FEE_Sheet1" xfId="35567" xr:uid="{00000000-0005-0000-0000-0000F78A0000}"/>
    <cellStyle name="X_Mgt FEE_Sheet1_1" xfId="35568" xr:uid="{00000000-0005-0000-0000-0000F88A0000}"/>
    <cellStyle name="X_Mgt FEE_Sheet1_AIF VII 51.6M Mgt Fee Cap Call Due 1-8-09 on 12-22-08 6pm To JOE G" xfId="35569" xr:uid="{00000000-0005-0000-0000-0000F98A0000}"/>
    <cellStyle name="X_Mgt FEE_Sheet1_AIF VII 51.6M Mgt Fee Cap Call Due 1-8-09 on 12-22-08 6pm To JOE G_Data Q1" xfId="35570" xr:uid="{00000000-0005-0000-0000-0000FA8A0000}"/>
    <cellStyle name="X_Mgt FEE_Sheet1_AIF VII 51.6M Mgt Fee Cap Call Due 1-8-09 on 12-22-08 6pm To JOE G_Domestic TB" xfId="35571" xr:uid="{00000000-0005-0000-0000-0000FB8A0000}"/>
    <cellStyle name="X_Mgt FEE_Sheet1_AIF VII 51.6M Mgt Fee Cap Call Due 1-8-09 on 12-22-08 6pm To JOE G_Overseas TB" xfId="35572" xr:uid="{00000000-0005-0000-0000-0000FC8A0000}"/>
    <cellStyle name="X_Mgt FEE_Sheet1_AIF VII Cap Call Due 1-26-09 Reconciliation 1-22-09" xfId="35573" xr:uid="{00000000-0005-0000-0000-0000FD8A0000}"/>
    <cellStyle name="X_Mgt FEE_Sheet1_AIF VII Cap Call Due 1-26-09 Reconciliation 1-22-09_Data Q1" xfId="35574" xr:uid="{00000000-0005-0000-0000-0000FE8A0000}"/>
    <cellStyle name="X_Mgt FEE_Sheet1_AIF VII Cap Call Due 1-26-09 Reconciliation 1-22-09_Domestic TB" xfId="35575" xr:uid="{00000000-0005-0000-0000-0000FF8A0000}"/>
    <cellStyle name="X_Mgt FEE_Sheet1_AIF VII Cap Call Due 1-26-09 Reconciliation 1-22-09_Overseas TB" xfId="35576" xr:uid="{00000000-0005-0000-0000-0000008B0000}"/>
    <cellStyle name="X_Mgt FEE_Sheet1_AIF VII Cap Call Due 1-26-09 Reconciliation 1-23-09" xfId="35577" xr:uid="{00000000-0005-0000-0000-0000018B0000}"/>
    <cellStyle name="X_Mgt FEE_Sheet1_AIF VII Cap Call Due 1-26-09 Reconciliation 1-23-09_Data Q1" xfId="35578" xr:uid="{00000000-0005-0000-0000-0000028B0000}"/>
    <cellStyle name="X_Mgt FEE_Sheet1_AIF VII Cap Call Due 1-26-09 Reconciliation 1-23-09_Domestic TB" xfId="35579" xr:uid="{00000000-0005-0000-0000-0000038B0000}"/>
    <cellStyle name="X_Mgt FEE_Sheet1_AIF VII Cap Call Due 1-26-09 Reconciliation 1-23-09_Overseas TB" xfId="35580" xr:uid="{00000000-0005-0000-0000-0000048B0000}"/>
    <cellStyle name="X_Mgt FEE_Sheet1_AIF VII Cap Call Due 1-26-09 Reconciliation 1-26-09 revised" xfId="35581" xr:uid="{00000000-0005-0000-0000-0000058B0000}"/>
    <cellStyle name="X_Mgt FEE_Sheet1_AIF VII Cap Call Due 1-26-09 Reconciliation 1-26-09 revised_Data Q1" xfId="35582" xr:uid="{00000000-0005-0000-0000-0000068B0000}"/>
    <cellStyle name="X_Mgt FEE_Sheet1_AIF VII Cap Call Due 1-26-09 Reconciliation 1-26-09 revised_Domestic TB" xfId="35583" xr:uid="{00000000-0005-0000-0000-0000078B0000}"/>
    <cellStyle name="X_Mgt FEE_Sheet1_AIF VII Cap Call Due 1-26-09 Reconciliation 1-26-09 revised_Overseas TB" xfId="35584" xr:uid="{00000000-0005-0000-0000-0000088B0000}"/>
    <cellStyle name="X_Mgt FEE_Sheet1_AIF VII Cap Call Due 1-26-09 Reconciliation 2-6-09" xfId="35585" xr:uid="{00000000-0005-0000-0000-0000098B0000}"/>
    <cellStyle name="X_Mgt FEE_Sheet1_AIF VII Cap Call Due 1-26-09 Reconciliation 2-6-09_Data Q1" xfId="35586" xr:uid="{00000000-0005-0000-0000-00000A8B0000}"/>
    <cellStyle name="X_Mgt FEE_Sheet1_AIF VII Cap Call Due 1-26-09 Reconciliation 2-6-09_Domestic TB" xfId="35587" xr:uid="{00000000-0005-0000-0000-00000B8B0000}"/>
    <cellStyle name="X_Mgt FEE_Sheet1_AIF VII Cap Call Due 1-26-09 Reconciliation 2-6-09_Overseas TB" xfId="35588" xr:uid="{00000000-0005-0000-0000-00000C8B0000}"/>
    <cellStyle name="X_Mgt FEE_Sheet1_AIF VII Cap Call Due 9-26-08 Recon on 10-23-08" xfId="35589" xr:uid="{00000000-0005-0000-0000-00000D8B0000}"/>
    <cellStyle name="X_Mgt FEE_Sheet1_AIF VII SCPC Q3 11-21-09 used contributed capital 10pm" xfId="35590" xr:uid="{00000000-0005-0000-0000-00000E8B0000}"/>
    <cellStyle name="X_Mgt FEE_Sheet1_AIF VII Tax Distribution Due 1-6-09 Recon as of 1-30-09" xfId="35591" xr:uid="{00000000-0005-0000-0000-00000F8B0000}"/>
    <cellStyle name="X_Mgt FEE_Sheet1_Bank Fee Acrl" xfId="35592" xr:uid="{00000000-0005-0000-0000-0000108B0000}"/>
    <cellStyle name="X_Mgt FEE_Sheet1_Carry Due Mgmt Co" xfId="35593" xr:uid="{00000000-0005-0000-0000-0000118B0000}"/>
    <cellStyle name="X_Mgt FEE_Sheet1_Cash" xfId="35594" xr:uid="{00000000-0005-0000-0000-0000128B0000}"/>
    <cellStyle name="X_Mgt FEE_Sheet1_Daily Summary - Main Accounts" xfId="35595" xr:uid="{00000000-0005-0000-0000-0000138B0000}"/>
    <cellStyle name="X_Mgt FEE_Sheet1_Daily Summary - Main Accounts_Data Q1" xfId="35596" xr:uid="{00000000-0005-0000-0000-0000148B0000}"/>
    <cellStyle name="X_Mgt FEE_Sheet1_Daily Summary - Main Accounts_Domestic TB" xfId="35597" xr:uid="{00000000-0005-0000-0000-0000158B0000}"/>
    <cellStyle name="X_Mgt FEE_Sheet1_Daily Summary - Main Accounts_Overseas TB" xfId="35598" xr:uid="{00000000-0005-0000-0000-0000168B0000}"/>
    <cellStyle name="X_Mgt FEE_Sheet1_Data Q1" xfId="35599" xr:uid="{00000000-0005-0000-0000-0000178B0000}"/>
    <cellStyle name="X_Mgt FEE_Sheet1_Dec 08 Invested Capital on 2-3-09 11am" xfId="35600" xr:uid="{00000000-0005-0000-0000-0000188B0000}"/>
    <cellStyle name="X_Mgt FEE_Sheet1_Dep Liab Rec" xfId="35601" xr:uid="{00000000-0005-0000-0000-0000198B0000}"/>
    <cellStyle name="X_Mgt FEE_Sheet1_Domestic TB" xfId="35602" xr:uid="{00000000-0005-0000-0000-00001A8B0000}"/>
    <cellStyle name="X_Mgt FEE_Sheet1_Due Fr VI" xfId="35603" xr:uid="{00000000-0005-0000-0000-00001B8B0000}"/>
    <cellStyle name="X_Mgt FEE_Sheet1_Fee Calc" xfId="35604" xr:uid="{00000000-0005-0000-0000-00001C8B0000}"/>
    <cellStyle name="X_Mgt FEE_Sheet1_Fund VII 12-31-2008 Receivables and Payables as of 2-11-09" xfId="35605" xr:uid="{00000000-0005-0000-0000-00001D8B0000}"/>
    <cellStyle name="X_Mgt FEE_Sheet1_Incep to Q3" xfId="35606" xr:uid="{00000000-0005-0000-0000-00001E8B0000}"/>
    <cellStyle name="X_Mgt FEE_Sheet1_Incep to Q3_Data Q1" xfId="35607" xr:uid="{00000000-0005-0000-0000-00001F8B0000}"/>
    <cellStyle name="X_Mgt FEE_Sheet1_Incep to Q3_Domestic TB" xfId="35608" xr:uid="{00000000-0005-0000-0000-0000208B0000}"/>
    <cellStyle name="X_Mgt FEE_Sheet1_Incep to Q3_Overseas TB" xfId="35609" xr:uid="{00000000-0005-0000-0000-0000218B0000}"/>
    <cellStyle name="X_Mgt FEE_Sheet1_Inv Cap" xfId="35610" xr:uid="{00000000-0005-0000-0000-0000228B0000}"/>
    <cellStyle name="X_Mgt FEE_Sheet1_Inv Cap Roll" xfId="35611" xr:uid="{00000000-0005-0000-0000-0000238B0000}"/>
    <cellStyle name="X_Mgt FEE_Sheet1_Invested Cap Roll CASH" xfId="35612" xr:uid="{00000000-0005-0000-0000-0000248B0000}"/>
    <cellStyle name="X_Mgt FEE_Sheet1_JPMorgan Actual Cash" xfId="35613" xr:uid="{00000000-0005-0000-0000-0000258B0000}"/>
    <cellStyle name="X_Mgt FEE_Sheet1_Overseas TB" xfId="35614" xr:uid="{00000000-0005-0000-0000-0000268B0000}"/>
    <cellStyle name="X_Mgt FEE_Sheet1_p.1 Receivable" xfId="35615" xr:uid="{00000000-0005-0000-0000-0000278B0000}"/>
    <cellStyle name="X_Mgt FEE_Sheet1_p.1 Receivable_Data Q1" xfId="35616" xr:uid="{00000000-0005-0000-0000-0000288B0000}"/>
    <cellStyle name="X_Mgt FEE_Sheet1_p.1 Receivable_Domestic TB" xfId="35617" xr:uid="{00000000-0005-0000-0000-0000298B0000}"/>
    <cellStyle name="X_Mgt FEE_Sheet1_p.1 Receivable_Overseas TB" xfId="35618" xr:uid="{00000000-0005-0000-0000-00002A8B0000}"/>
    <cellStyle name="X_Mgt FEE_Sheet1_Sheet1" xfId="35619" xr:uid="{00000000-0005-0000-0000-00002B8B0000}"/>
    <cellStyle name="X_Mgt FEE_Sheet1_Sheet3" xfId="35620" xr:uid="{00000000-0005-0000-0000-00002C8B0000}"/>
    <cellStyle name="X_Mgt FEE_Sheet1_Sheet3_Data Q1" xfId="35621" xr:uid="{00000000-0005-0000-0000-00002D8B0000}"/>
    <cellStyle name="X_Mgt FEE_Sheet1_Sheet3_Domestic TB" xfId="35622" xr:uid="{00000000-0005-0000-0000-00002E8B0000}"/>
    <cellStyle name="X_Mgt FEE_Sheet1_Sheet3_Overseas TB" xfId="35623" xr:uid="{00000000-0005-0000-0000-00002F8B0000}"/>
    <cellStyle name="X_Mgt FEE_Sheet1_Sheet6" xfId="35624" xr:uid="{00000000-0005-0000-0000-0000308B0000}"/>
    <cellStyle name="X_Mgt FEE_Sheet1_Sheet6_Data Q1" xfId="35625" xr:uid="{00000000-0005-0000-0000-0000318B0000}"/>
    <cellStyle name="X_Mgt FEE_Sheet1_Sheet6_Domestic TB" xfId="35626" xr:uid="{00000000-0005-0000-0000-0000328B0000}"/>
    <cellStyle name="X_Mgt FEE_Sheet1_Sheet6_Overseas TB" xfId="35627" xr:uid="{00000000-0005-0000-0000-0000338B0000}"/>
    <cellStyle name="X_Mgt FEE_Sheet3" xfId="35628" xr:uid="{00000000-0005-0000-0000-0000348B0000}"/>
    <cellStyle name="X_Mgt FEE_Sheet3_Data Q1" xfId="35629" xr:uid="{00000000-0005-0000-0000-0000358B0000}"/>
    <cellStyle name="X_Mgt FEE_Sheet3_Domestic TB" xfId="35630" xr:uid="{00000000-0005-0000-0000-0000368B0000}"/>
    <cellStyle name="X_Mgt FEE_Sheet3_Overseas TB" xfId="35631" xr:uid="{00000000-0005-0000-0000-0000378B0000}"/>
    <cellStyle name="X_Mgt FEE_Sheet6" xfId="35632" xr:uid="{00000000-0005-0000-0000-0000388B0000}"/>
    <cellStyle name="X_Mgt FEE_Sheet6_Data Q1" xfId="35633" xr:uid="{00000000-0005-0000-0000-0000398B0000}"/>
    <cellStyle name="X_Mgt FEE_Sheet6_Domestic TB" xfId="35634" xr:uid="{00000000-0005-0000-0000-00003A8B0000}"/>
    <cellStyle name="X_Mgt FEE_Sheet6_Overseas TB" xfId="35635" xr:uid="{00000000-0005-0000-0000-00003B8B0000}"/>
    <cellStyle name="X_Partners Capital Q1 2009" xfId="35636" xr:uid="{00000000-0005-0000-0000-00003C8B0000}"/>
    <cellStyle name="X_Partners Capital Q1 2009_Data Q1" xfId="35637" xr:uid="{00000000-0005-0000-0000-00003D8B0000}"/>
    <cellStyle name="X_Partners Capital Q1 2009_Domestic TB" xfId="35638" xr:uid="{00000000-0005-0000-0000-00003E8B0000}"/>
    <cellStyle name="X_Partners Capital Q1 2009_Overseas TB" xfId="35639" xr:uid="{00000000-0005-0000-0000-00003F8B0000}"/>
    <cellStyle name="X_Priority Return" xfId="35640" xr:uid="{00000000-0005-0000-0000-0000408B0000}"/>
    <cellStyle name="X_Sheet1" xfId="35641" xr:uid="{00000000-0005-0000-0000-0000418B0000}"/>
    <cellStyle name="X_Sheet2" xfId="35642" xr:uid="{00000000-0005-0000-0000-0000428B0000}"/>
    <cellStyle name="X_Sheet3" xfId="35643" xr:uid="{00000000-0005-0000-0000-0000438B0000}"/>
    <cellStyle name="X_Sheet3_1" xfId="35644" xr:uid="{00000000-0005-0000-0000-0000448B0000}"/>
    <cellStyle name="X_Sheet3_1_Data Q1" xfId="35645" xr:uid="{00000000-0005-0000-0000-0000458B0000}"/>
    <cellStyle name="X_Sheet3_1_Domestic TB" xfId="35646" xr:uid="{00000000-0005-0000-0000-0000468B0000}"/>
    <cellStyle name="X_Sheet3_1_Overseas TB" xfId="35647" xr:uid="{00000000-0005-0000-0000-0000478B0000}"/>
    <cellStyle name="X_Special Fee Credit" xfId="35648" xr:uid="{00000000-0005-0000-0000-0000488B0000}"/>
    <cellStyle name="X_Special Fee Credit_Data Q1" xfId="35649" xr:uid="{00000000-0005-0000-0000-0000498B0000}"/>
    <cellStyle name="X_Special Fee Credit_Domestic TB" xfId="35650" xr:uid="{00000000-0005-0000-0000-00004A8B0000}"/>
    <cellStyle name="X_Special Fee Credit_Overseas TB" xfId="35651" xr:uid="{00000000-0005-0000-0000-00004B8B0000}"/>
    <cellStyle name="X_Summary" xfId="35652" xr:uid="{00000000-0005-0000-0000-00004C8B0000}"/>
    <cellStyle name="X_Summary_Data Q1" xfId="35653" xr:uid="{00000000-0005-0000-0000-00004D8B0000}"/>
    <cellStyle name="X_Summary_Domestic TB" xfId="35654" xr:uid="{00000000-0005-0000-0000-00004E8B0000}"/>
    <cellStyle name="X_Summary_Overseas TB" xfId="35655" xr:uid="{00000000-0005-0000-0000-00004F8B0000}"/>
    <cellStyle name="XComma" xfId="35656" xr:uid="{00000000-0005-0000-0000-0000508B0000}"/>
    <cellStyle name="XComma 0.0" xfId="35657" xr:uid="{00000000-0005-0000-0000-0000518B0000}"/>
    <cellStyle name="XComma 0.00" xfId="35658" xr:uid="{00000000-0005-0000-0000-0000528B0000}"/>
    <cellStyle name="XComma 0.000" xfId="35659" xr:uid="{00000000-0005-0000-0000-0000538B0000}"/>
    <cellStyle name="XComma 0.0000" xfId="35660" xr:uid="{00000000-0005-0000-0000-0000548B0000}"/>
    <cellStyle name="XComma_2008 Deposit Liability Roll-forward (Q1 08)revised 5-13-08 (4)" xfId="35661" xr:uid="{00000000-0005-0000-0000-0000558B0000}"/>
    <cellStyle name="XCurrency" xfId="35662" xr:uid="{00000000-0005-0000-0000-0000568B0000}"/>
    <cellStyle name="XCurrency 0.0" xfId="35663" xr:uid="{00000000-0005-0000-0000-0000578B0000}"/>
    <cellStyle name="XCurrency 0.00" xfId="35664" xr:uid="{00000000-0005-0000-0000-0000588B0000}"/>
    <cellStyle name="XCurrency 0.000" xfId="35665" xr:uid="{00000000-0005-0000-0000-0000598B0000}"/>
    <cellStyle name="XCurrency 0.0000" xfId="35666" xr:uid="{00000000-0005-0000-0000-00005A8B0000}"/>
    <cellStyle name="XCurrency_2008 Deposit Liability Roll-forward (Q1 08)revised 5-13-08 (4)" xfId="35667" xr:uid="{00000000-0005-0000-0000-00005B8B0000}"/>
    <cellStyle name="Year" xfId="35668" xr:uid="{00000000-0005-0000-0000-00005C8B0000}"/>
    <cellStyle name="Yen" xfId="35669" xr:uid="{00000000-0005-0000-0000-00005D8B0000}"/>
    <cellStyle name="YesNo" xfId="35670" xr:uid="{00000000-0005-0000-0000-00005E8B0000}"/>
    <cellStyle name="yh" xfId="35671" xr:uid="{00000000-0005-0000-0000-00005F8B0000}"/>
    <cellStyle name="yh 2" xfId="35672" xr:uid="{00000000-0005-0000-0000-0000608B0000}"/>
    <cellStyle name="yh 3" xfId="35673" xr:uid="{00000000-0005-0000-0000-0000618B0000}"/>
    <cellStyle name="yt" xfId="35674" xr:uid="{00000000-0005-0000-0000-0000628B0000}"/>
    <cellStyle name="z" xfId="35675" xr:uid="{00000000-0005-0000-0000-0000638B0000}"/>
    <cellStyle name="z 2" xfId="35676" xr:uid="{00000000-0005-0000-0000-0000648B0000}"/>
    <cellStyle name="z_MMF Income" xfId="35677" xr:uid="{00000000-0005-0000-0000-0000658B0000}"/>
    <cellStyle name="z_Partners Capital Q1 2009" xfId="35678" xr:uid="{00000000-0005-0000-0000-0000668B0000}"/>
    <cellStyle name="z_Partners Capital Q1 2009 2" xfId="35679" xr:uid="{00000000-0005-0000-0000-0000678B0000}"/>
    <cellStyle name="z_Partners Capital Q1 2009_MMF Income" xfId="35680" xr:uid="{00000000-0005-0000-0000-0000688B0000}"/>
    <cellStyle name="ｳfｹ・[0]_templete" xfId="35681" xr:uid="{00000000-0005-0000-0000-0000698B0000}"/>
    <cellStyle name="ｳfｹtemplete" xfId="35682" xr:uid="{00000000-0005-0000-0000-00006A8B0000}"/>
    <cellStyle name="ｳfｹtemplete 2" xfId="35683" xr:uid="{00000000-0005-0000-0000-00006B8B0000}"/>
    <cellStyle name="ｳfｹtemplete 3" xfId="35684" xr:uid="{00000000-0005-0000-0000-00006C8B0000}"/>
    <cellStyle name="標準_SFEL_PWBEIF_BudgetTemplate_R1(NS)" xfId="35685" xr:uid="{00000000-0005-0000-0000-00006D8B0000}"/>
  </cellStyles>
  <dxfs count="56"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69" formatCode="m/d/yyyy\ h:mm\ \ AM/PM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b/>
        <i val="0"/>
      </font>
      <fill>
        <patternFill>
          <bgColor rgb="FFFF0000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9" defaultPivotStyle="PivotStyleLight16"/>
  <colors>
    <mruColors>
      <color rgb="FF007D55"/>
      <color rgb="FFCCFFFF"/>
      <color rgb="FF3333FF"/>
      <color rgb="FF00FF00"/>
      <color rgb="FFCFE6DD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Natasha Gupta" id="{4AE35593-2305-4B4B-BFFC-B16B61E32ACC}" userId="" providerId=""/>
  <person displayName="Isha Vira" id="{EF214D27-539B-4BB8-8021-FD41A9298DD1}" userId="S::ivira@ApolloLP.com::16b434f0-66bc-40dd-b3dc-a3a4775b4cf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urav Jain" refreshedDate="45963.576635763886" createdVersion="8" refreshedVersion="8" minRefreshableVersion="3" recordCount="400" xr:uid="{084F7563-3AE5-4557-9907-EDD380E1ABE2}">
  <cacheSource type="worksheet">
    <worksheetSource ref="A1:H1048576" sheet="Allocation Rule"/>
  </cacheSource>
  <cacheFields count="8">
    <cacheField name="Legal Entity" numFmtId="0">
      <sharedItems containsBlank="1"/>
    </cacheField>
    <cacheField name="GL Date" numFmtId="0">
      <sharedItems containsNonDate="0" containsDate="1" containsString="0" containsBlank="1" minDate="2023-03-13T00:00:00" maxDate="2025-10-01T00:00:00" count="83">
        <d v="2023-03-13T00:00:00"/>
        <d v="2023-06-02T00:00:00"/>
        <d v="2023-06-12T00:00:00"/>
        <d v="2023-07-07T00:00:00"/>
        <d v="2023-07-14T00:00:00"/>
        <d v="2023-07-17T00:00:00"/>
        <d v="2023-07-28T00:00:00"/>
        <d v="2023-08-01T00:00:00"/>
        <d v="2023-08-04T00:00:00"/>
        <d v="2023-08-11T00:00:00"/>
        <d v="2023-08-15T00:00:00"/>
        <d v="2023-09-04T00:00:00"/>
        <d v="2023-09-05T00:00:00"/>
        <d v="2023-09-08T00:00:00"/>
        <d v="2023-09-14T00:00:00"/>
        <d v="2023-09-27T00:00:00"/>
        <d v="2023-09-30T00:00:00"/>
        <d v="2023-10-01T00:00:00"/>
        <d v="2023-10-30T00:00:00"/>
        <d v="2023-11-01T00:00:00"/>
        <d v="2023-11-02T00:00:00"/>
        <d v="2023-12-01T00:00:00"/>
        <d v="2023-12-08T00:00:00"/>
        <d v="2023-12-14T00:00:00"/>
        <d v="2023-12-22T00:00:00"/>
        <d v="2023-12-29T00:00:00"/>
        <d v="2023-12-31T00:00:00"/>
        <d v="2024-01-01T00:00:00"/>
        <d v="2024-01-02T00:00:00"/>
        <d v="2024-01-31T00:00:00"/>
        <d v="2024-02-01T00:00:00"/>
        <d v="2024-02-06T00:00:00"/>
        <d v="2024-03-01T00:00:00"/>
        <d v="2024-03-05T00:00:00"/>
        <d v="2024-03-19T00:00:00"/>
        <d v="2024-03-28T00:00:00"/>
        <d v="2024-03-31T00:00:00"/>
        <d v="2024-04-01T00:00:00"/>
        <d v="2024-04-08T00:00:00"/>
        <d v="2024-04-15T00:00:00"/>
        <d v="2024-04-29T00:00:00"/>
        <d v="2024-05-01T00:00:00"/>
        <d v="2024-05-28T00:00:00"/>
        <d v="2024-05-30T00:00:00"/>
        <d v="2024-06-03T00:00:00"/>
        <d v="2024-06-28T00:00:00"/>
        <d v="2024-06-30T00:00:00"/>
        <d v="2024-07-01T00:00:00"/>
        <d v="2024-07-31T00:00:00"/>
        <d v="2024-08-01T00:00:00"/>
        <d v="2024-08-29T00:00:00"/>
        <d v="2024-09-03T00:00:00"/>
        <d v="2024-09-27T00:00:00"/>
        <d v="2024-09-30T00:00:00"/>
        <d v="2024-10-01T00:00:00"/>
        <d v="2024-11-01T00:00:00"/>
        <d v="2024-11-05T00:00:00"/>
        <d v="2024-11-27T00:00:00"/>
        <d v="2024-12-02T00:00:00"/>
        <d v="2024-12-30T00:00:00"/>
        <d v="2024-12-31T00:00:00"/>
        <d v="2025-01-02T00:00:00"/>
        <d v="2025-01-06T00:00:00"/>
        <d v="2025-01-31T00:00:00"/>
        <d v="2025-02-01T00:00:00"/>
        <d v="2025-02-27T00:00:00"/>
        <d v="2025-03-03T00:00:00"/>
        <d v="2025-03-21T00:00:00"/>
        <d v="2025-03-31T00:00:00"/>
        <d v="2025-04-01T00:00:00"/>
        <d v="2025-05-01T00:00:00"/>
        <d v="2025-05-05T00:00:00"/>
        <d v="2025-05-30T00:00:00"/>
        <d v="2025-06-02T00:00:00"/>
        <d v="2025-06-27T00:00:00"/>
        <d v="2025-06-30T00:00:00"/>
        <d v="2025-07-01T00:00:00"/>
        <d v="2025-07-30T00:00:00"/>
        <d v="2025-08-01T00:00:00"/>
        <d v="2025-09-01T00:00:00"/>
        <d v="2025-09-26T00:00:00"/>
        <d v="2025-09-30T00:00:00"/>
        <m/>
      </sharedItems>
    </cacheField>
    <cacheField name="Trans Type" numFmtId="0">
      <sharedItems containsBlank="1" count="52">
        <s v="Investor Commitments"/>
        <s v="Capital Contributions: Investments"/>
        <s v="Capital Contributions: Operating Expenses"/>
        <s v="Cash Received: Chase Custody"/>
        <s v="Cash Disbursed: Chase Custody"/>
        <s v="Income: Bank Interest - Cash"/>
        <s v="Payable: Other"/>
        <s v="Purchase: Investment"/>
        <s v="Distributions - Return of Capital - Uninvested Capital (Recallable)"/>
        <s v="Memo: Cost of Carry - Credit"/>
        <s v="Expense: Other"/>
        <s v="Due To: Affiliates"/>
        <s v="Expense: Audit Expense"/>
        <s v="Expense: Bank/Custody Fees"/>
        <s v="Expense: Insurance D&amp;O"/>
        <s v="Expense: Legal Fees"/>
        <s v="Expense: Tax Expense"/>
        <s v="Memo: SCPC Rounding (Other Operating Expenses)"/>
        <s v="Memo: SOI Rounding (Other Assets)"/>
        <s v="Payable: Audit"/>
        <s v="Payable: Bank/Custody Fees"/>
        <s v="Payable: Legal"/>
        <s v="Payable: Tax"/>
        <s v="Receivable: Bank Interest - Noncash"/>
        <s v="Income: Investment Interest - Cash"/>
        <s v="Return of Capital: Cash"/>
        <s v="Distributions - Income (Non-Recallable)"/>
        <s v="Distributions - Return of Capital - (Non-Recallable)"/>
        <s v="Expense: Compensation"/>
        <s v="Fiscal Year Close"/>
        <s v="Investment: Unrealized Gain"/>
        <s v="Unrealized Gain: Investments"/>
        <s v="Expense: Professional Fees"/>
        <s v="Expense: Tax fee"/>
        <s v="Income: Dividend - Cash"/>
        <s v="Memo: Estimated Taxable Income"/>
        <s v="Memo: FDAP Withholding Tax On Dividend Income"/>
        <s v="Memo: FDAP Withholding Tax Rate For Dividend Income"/>
        <s v="Payable: Comp"/>
        <s v="Payable: D&amp;O"/>
        <s v="Expense: Misc Fee Expense"/>
        <s v="Receivable: Other"/>
        <s v="Expense: Credit Facility Unused Fee"/>
        <s v="Expense: Consulting"/>
        <s v="Expense: Investor Meetings &amp; Conferences"/>
        <s v="Expense: Research &amp; Subscriptions"/>
        <s v="Expense: T&amp;E"/>
        <s v="Expense: Operating Partners"/>
        <s v="Expense: Compensation (Admin)"/>
        <s v="Expense: Software &amp; Systems"/>
        <s v="Expense: Valuation Services"/>
        <m/>
      </sharedItems>
    </cacheField>
    <cacheField name="GL Account" numFmtId="0">
      <sharedItems containsBlank="1" count="37">
        <m/>
        <s v="30020 - Capital Contributions - Investments"/>
        <s v="30040 - Capital Contributions - Operating Expenses"/>
        <s v="10010 - Cash - Chase Custody (USD)"/>
        <s v="40060 - Bank Interest Income"/>
        <s v="20000 - Accounts Payable"/>
        <s v="10130 - Investments"/>
        <s v="30230 - Distributions - Return of Capital"/>
        <s v="50050 - Other Expenses"/>
        <s v="20080 - Due To Affiliates"/>
        <s v="50090 - Audit Expense"/>
        <s v="50040 - Custody Fees"/>
        <s v="50070 - Insurance Expense - D&amp;O"/>
        <s v="50080 - Legal Fees"/>
        <s v="50095 - Tax Expense"/>
        <s v="20001 - Accounts Payable: Audit"/>
        <s v="20004 - Accounts Payable: Bank"/>
        <s v="20003 - Accounts Payable: Legal"/>
        <s v="20002 - Accounts Payable: Tax"/>
        <s v="10270 - Bank Interest Receivable"/>
        <s v="40010 - Interest Investment Income"/>
        <s v="30250 - Distributions - Portfolio Income"/>
        <s v="31000 - Capital Retained Earnings"/>
        <s v="40230 - Unrealized Gain/Loss on Investments"/>
        <s v="10140 - Unrealized apprec/(deprec) on Investment (BS)"/>
        <s v="50030 - Other Professional Fees"/>
        <s v="40020 - Dividend Investment Income"/>
        <s v="10310 - Other Receivables"/>
        <s v="50120 - Interest Expense"/>
        <s v="50046 - Consulting Expense"/>
        <s v="50057 - Investor Meetings &amp; Conferences"/>
        <s v="50054 - Research &amp; Subscriptions"/>
        <s v="50058 - T &amp; E Expense"/>
        <s v="50052 - Operating Partner Expense"/>
        <s v="50047 - Compensation Expense (Admin)"/>
        <s v="50059 - Software &amp; Systems Expense"/>
        <s v="50044 - Valuation Services"/>
      </sharedItems>
    </cacheField>
    <cacheField name="Dr/(Cr) amount" numFmtId="0">
      <sharedItems containsString="0" containsBlank="1" containsNumber="1" minValue="-884644004.71000004" maxValue="886725826.12"/>
    </cacheField>
    <cacheField name="Allocation Rule" numFmtId="0">
      <sharedItems containsBlank="1"/>
    </cacheField>
    <cacheField name="GL Date2" numFmtId="0">
      <sharedItems containsNonDate="0" containsDate="1" containsString="0" containsBlank="1" minDate="2023-03-13T00:00:00" maxDate="2025-10-01T00:00:00"/>
    </cacheField>
    <cacheField name="iFlow: Cash Expens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s v="AP Windsor Co-Invest, L.P."/>
    <x v="0"/>
    <x v="0"/>
    <x v="0"/>
    <n v="-101250000"/>
    <s v="User Provided"/>
    <d v="2023-03-13T00:00:00"/>
    <m/>
  </r>
  <r>
    <s v="AP Windsor Co-Invest, L.P."/>
    <x v="1"/>
    <x v="0"/>
    <x v="0"/>
    <n v="-169687500"/>
    <s v="User Provided"/>
    <d v="2023-06-02T00:00:00"/>
    <m/>
  </r>
  <r>
    <s v="AP Windsor Co-Invest, L.P."/>
    <x v="2"/>
    <x v="0"/>
    <x v="0"/>
    <n v="-220600000"/>
    <s v="User Provided"/>
    <d v="2023-06-12T00:00:00"/>
    <m/>
  </r>
  <r>
    <s v="AP Windsor Co-Invest, L.P."/>
    <x v="3"/>
    <x v="0"/>
    <x v="0"/>
    <n v="-118381250"/>
    <s v="User Provided"/>
    <d v="2023-07-07T00:00:00"/>
    <m/>
  </r>
  <r>
    <s v="AP Windsor Co-Invest, L.P."/>
    <x v="4"/>
    <x v="0"/>
    <x v="0"/>
    <n v="-52931250"/>
    <s v="User Provided"/>
    <d v="2023-07-14T00:00:00"/>
    <m/>
  </r>
  <r>
    <s v="AP Windsor Co-Invest, L.P."/>
    <x v="5"/>
    <x v="0"/>
    <x v="0"/>
    <n v="-50000000"/>
    <s v="User Provided"/>
    <d v="2023-07-17T00:00:00"/>
    <m/>
  </r>
  <r>
    <s v="AP Windsor Co-Invest, L.P."/>
    <x v="6"/>
    <x v="1"/>
    <x v="1"/>
    <n v="-704049382.67999995"/>
    <s v="User Provided"/>
    <d v="2023-07-28T00:00:00"/>
    <m/>
  </r>
  <r>
    <s v="AP Windsor Co-Invest, L.P."/>
    <x v="6"/>
    <x v="2"/>
    <x v="2"/>
    <n v="-500000"/>
    <s v="Commitment (GL Date)"/>
    <d v="2023-07-28T00:00:00"/>
    <m/>
  </r>
  <r>
    <s v="AP Windsor Co-Invest, L.P."/>
    <x v="6"/>
    <x v="3"/>
    <x v="3"/>
    <n v="704549382.67999995"/>
    <s v="Non-Dominant"/>
    <d v="2023-07-28T00:00:00"/>
    <m/>
  </r>
  <r>
    <s v="AP Windsor Co-Invest, L.P."/>
    <x v="6"/>
    <x v="0"/>
    <x v="0"/>
    <n v="-38400000"/>
    <s v="User Provided"/>
    <d v="2023-07-28T00:00:00"/>
    <m/>
  </r>
  <r>
    <s v="AP Windsor Co-Invest, L.P."/>
    <x v="7"/>
    <x v="4"/>
    <x v="3"/>
    <n v="-698262200.75999999"/>
    <s v="Non-Dominant"/>
    <d v="2023-08-01T00:00:00"/>
    <m/>
  </r>
  <r>
    <s v="AP Windsor Co-Invest, L.P."/>
    <x v="7"/>
    <x v="3"/>
    <x v="3"/>
    <n v="324461.59999999998"/>
    <s v="Non-Dominant"/>
    <d v="2023-08-01T00:00:00"/>
    <m/>
  </r>
  <r>
    <s v="AP Windsor Co-Invest, L.P."/>
    <x v="7"/>
    <x v="5"/>
    <x v="4"/>
    <n v="-324461.59999999998"/>
    <s v="Commitment (Dated)"/>
    <d v="2023-08-01T00:00:00"/>
    <s v="Yes"/>
  </r>
  <r>
    <s v="AP Windsor Co-Invest, L.P."/>
    <x v="7"/>
    <x v="6"/>
    <x v="5"/>
    <n v="-188463625.36000001"/>
    <s v="Commitment (GL Date)"/>
    <d v="2023-08-01T00:00:00"/>
    <m/>
  </r>
  <r>
    <s v="AP Windsor Co-Invest, L.P."/>
    <x v="7"/>
    <x v="7"/>
    <x v="6"/>
    <n v="886725826.12"/>
    <s v="Unfunded Commitment (Dated)"/>
    <d v="2023-08-01T00:00:00"/>
    <m/>
  </r>
  <r>
    <s v="AP Windsor Co-Invest, L.P."/>
    <x v="8"/>
    <x v="1"/>
    <x v="1"/>
    <n v="-37925925.920000002"/>
    <s v="User Provided"/>
    <d v="2023-08-04T00:00:00"/>
    <m/>
  </r>
  <r>
    <s v="AP Windsor Co-Invest, L.P."/>
    <x v="8"/>
    <x v="2"/>
    <x v="2"/>
    <n v="-26934.14"/>
    <s v="User Provided"/>
    <d v="2023-08-04T00:00:00"/>
    <m/>
  </r>
  <r>
    <s v="AP Windsor Co-Invest, L.P."/>
    <x v="8"/>
    <x v="3"/>
    <x v="3"/>
    <n v="37952860.060000002"/>
    <s v="Non-Dominant"/>
    <d v="2023-08-04T00:00:00"/>
    <m/>
  </r>
  <r>
    <s v="AP Windsor Co-Invest, L.P."/>
    <x v="9"/>
    <x v="0"/>
    <x v="0"/>
    <n v="-151875000"/>
    <s v="User Provided"/>
    <d v="2023-08-11T00:00:00"/>
    <m/>
  </r>
  <r>
    <s v="AP Windsor Co-Invest, L.P."/>
    <x v="10"/>
    <x v="1"/>
    <x v="1"/>
    <n v="-148767123.28999999"/>
    <s v="User Provided"/>
    <d v="2023-08-15T00:00:00"/>
    <m/>
  </r>
  <r>
    <s v="AP Windsor Co-Invest, L.P."/>
    <x v="10"/>
    <x v="2"/>
    <x v="2"/>
    <n v="-106526.62"/>
    <s v="User Provided"/>
    <d v="2023-08-15T00:00:00"/>
    <m/>
  </r>
  <r>
    <s v="AP Windsor Co-Invest, L.P."/>
    <x v="10"/>
    <x v="4"/>
    <x v="3"/>
    <n v="-188463625.36000001"/>
    <s v="Non-Dominant"/>
    <d v="2023-08-15T00:00:00"/>
    <m/>
  </r>
  <r>
    <s v="AP Windsor Co-Invest, L.P."/>
    <x v="10"/>
    <x v="3"/>
    <x v="3"/>
    <n v="148873649.91"/>
    <s v="Non-Dominant"/>
    <d v="2023-08-15T00:00:00"/>
    <m/>
  </r>
  <r>
    <s v="AP Windsor Co-Invest, L.P."/>
    <x v="10"/>
    <x v="6"/>
    <x v="5"/>
    <n v="188463625.36000001"/>
    <s v="User Provided"/>
    <d v="2023-08-15T00:00:00"/>
    <m/>
  </r>
  <r>
    <s v="AP Windsor Co-Invest, L.P."/>
    <x v="11"/>
    <x v="3"/>
    <x v="3"/>
    <n v="4076.86"/>
    <s v="Non-Dominant"/>
    <d v="2023-09-04T00:00:00"/>
    <m/>
  </r>
  <r>
    <s v="AP Windsor Co-Invest, L.P."/>
    <x v="11"/>
    <x v="5"/>
    <x v="4"/>
    <n v="-4076.86"/>
    <s v="Commitment (Dated)"/>
    <d v="2023-09-04T00:00:00"/>
    <s v="Yes"/>
  </r>
  <r>
    <s v="AP Windsor Co-Invest, L.P."/>
    <x v="12"/>
    <x v="4"/>
    <x v="3"/>
    <n v="-884644004.71000004"/>
    <s v="Non-Dominant"/>
    <d v="2023-09-05T00:00:00"/>
    <m/>
  </r>
  <r>
    <s v="AP Windsor Co-Invest, L.P."/>
    <x v="12"/>
    <x v="3"/>
    <x v="3"/>
    <n v="886725826.12"/>
    <s v="Non-Dominant"/>
    <d v="2023-09-05T00:00:00"/>
    <m/>
  </r>
  <r>
    <s v="AP Windsor Co-Invest, L.P."/>
    <x v="12"/>
    <x v="7"/>
    <x v="6"/>
    <n v="-2081821.41"/>
    <s v="User Provided"/>
    <d v="2023-09-05T00:00:00"/>
    <m/>
  </r>
  <r>
    <s v="AP Windsor Co-Invest, L.P."/>
    <x v="13"/>
    <x v="4"/>
    <x v="3"/>
    <n v="-237045492.96000001"/>
    <s v="Non-Dominant"/>
    <d v="2023-09-08T00:00:00"/>
    <m/>
  </r>
  <r>
    <s v="AP Windsor Co-Invest, L.P."/>
    <x v="13"/>
    <x v="3"/>
    <x v="3"/>
    <n v="237045492.96000001"/>
    <s v="Non-Dominant"/>
    <d v="2023-09-08T00:00:00"/>
    <m/>
  </r>
  <r>
    <s v="AP Windsor Co-Invest, L.P."/>
    <x v="14"/>
    <x v="4"/>
    <x v="3"/>
    <n v="-6098427.1799999997"/>
    <s v="Non-Dominant"/>
    <d v="2023-09-14T00:00:00"/>
    <m/>
  </r>
  <r>
    <s v="AP Windsor Co-Invest, L.P."/>
    <x v="14"/>
    <x v="8"/>
    <x v="7"/>
    <n v="6098427.1799999997"/>
    <s v="User Provided"/>
    <d v="2023-09-14T00:00:00"/>
    <m/>
  </r>
  <r>
    <s v="AP Windsor Co-Invest, L.P."/>
    <x v="14"/>
    <x v="9"/>
    <x v="0"/>
    <n v="-29960.34"/>
    <s v="User Provided"/>
    <d v="2023-09-14T00:00:00"/>
    <m/>
  </r>
  <r>
    <s v="AP Windsor Co-Invest, L.P."/>
    <x v="15"/>
    <x v="4"/>
    <x v="3"/>
    <n v="-130"/>
    <s v="Non-Dominant"/>
    <d v="2023-09-27T00:00:00"/>
    <m/>
  </r>
  <r>
    <s v="AP Windsor Co-Invest, L.P."/>
    <x v="15"/>
    <x v="10"/>
    <x v="8"/>
    <n v="130"/>
    <s v="Commitment (Dated)"/>
    <d v="2023-09-27T00:00:00"/>
    <s v="Yes"/>
  </r>
  <r>
    <s v="AP Windsor Co-Invest, L.P."/>
    <x v="16"/>
    <x v="11"/>
    <x v="9"/>
    <n v="-18750"/>
    <s v="Non-Dominant"/>
    <d v="2023-09-30T00:00:00"/>
    <s v="No"/>
  </r>
  <r>
    <s v="AP Windsor Co-Invest, L.P."/>
    <x v="16"/>
    <x v="12"/>
    <x v="10"/>
    <n v="2850"/>
    <s v="Commitment (Dated)"/>
    <d v="2023-09-30T00:00:00"/>
    <s v="No"/>
  </r>
  <r>
    <s v="AP Windsor Co-Invest, L.P."/>
    <x v="16"/>
    <x v="13"/>
    <x v="11"/>
    <n v="1000"/>
    <s v="Commitment (Dated)"/>
    <d v="2023-09-30T00:00:00"/>
    <s v="No"/>
  </r>
  <r>
    <s v="AP Windsor Co-Invest, L.P."/>
    <x v="16"/>
    <x v="14"/>
    <x v="12"/>
    <n v="18750"/>
    <s v="Commitment (Dated)"/>
    <d v="2023-09-30T00:00:00"/>
    <s v="No"/>
  </r>
  <r>
    <s v="AP Windsor Co-Invest, L.P."/>
    <x v="16"/>
    <x v="15"/>
    <x v="13"/>
    <n v="10000"/>
    <s v="Commitment (Dated)"/>
    <d v="2023-09-30T00:00:00"/>
    <s v="No"/>
  </r>
  <r>
    <s v="AP Windsor Co-Invest, L.P."/>
    <x v="16"/>
    <x v="16"/>
    <x v="14"/>
    <n v="6000"/>
    <s v="Commitment (Dated)"/>
    <d v="2023-09-30T00:00:00"/>
    <s v="No"/>
  </r>
  <r>
    <s v="AP Windsor Co-Invest, L.P."/>
    <x v="16"/>
    <x v="17"/>
    <x v="0"/>
    <n v="-6"/>
    <s v="User Provided"/>
    <d v="2023-09-30T00:00:00"/>
    <m/>
  </r>
  <r>
    <s v="AP Windsor Co-Invest, L.P."/>
    <x v="16"/>
    <x v="18"/>
    <x v="0"/>
    <n v="9"/>
    <s v="User Provided"/>
    <d v="2023-09-30T00:00:00"/>
    <m/>
  </r>
  <r>
    <s v="AP Windsor Co-Invest, L.P."/>
    <x v="16"/>
    <x v="19"/>
    <x v="15"/>
    <n v="-2850"/>
    <s v="Non-Dominant"/>
    <d v="2023-09-30T00:00:00"/>
    <s v="No"/>
  </r>
  <r>
    <s v="AP Windsor Co-Invest, L.P."/>
    <x v="16"/>
    <x v="20"/>
    <x v="16"/>
    <n v="-1000"/>
    <s v="Non-Dominant"/>
    <d v="2023-09-30T00:00:00"/>
    <s v="No"/>
  </r>
  <r>
    <s v="AP Windsor Co-Invest, L.P."/>
    <x v="16"/>
    <x v="21"/>
    <x v="17"/>
    <n v="-10000"/>
    <s v="Non-Dominant"/>
    <d v="2023-09-30T00:00:00"/>
    <s v="No"/>
  </r>
  <r>
    <s v="AP Windsor Co-Invest, L.P."/>
    <x v="16"/>
    <x v="22"/>
    <x v="18"/>
    <n v="-6000"/>
    <s v="Non-Dominant"/>
    <d v="2023-09-30T00:00:00"/>
    <s v="No"/>
  </r>
  <r>
    <s v="AP Windsor Co-Invest, L.P."/>
    <x v="17"/>
    <x v="3"/>
    <x v="3"/>
    <n v="13378.17"/>
    <s v="Non-Dominant"/>
    <d v="2023-10-01T00:00:00"/>
    <m/>
  </r>
  <r>
    <s v="AP Windsor Co-Invest, L.P."/>
    <x v="17"/>
    <x v="5"/>
    <x v="4"/>
    <n v="-113839.74"/>
    <s v="By Commitment (No Date)"/>
    <d v="2023-10-01T00:00:00"/>
    <s v="Yes"/>
  </r>
  <r>
    <s v="AP Windsor Co-Invest, L.P."/>
    <x v="17"/>
    <x v="23"/>
    <x v="19"/>
    <n v="100461.57"/>
    <s v="Non-Dominant"/>
    <d v="2023-10-01T00:00:00"/>
    <m/>
  </r>
  <r>
    <s v="AP Windsor Co-Invest, L.P."/>
    <x v="18"/>
    <x v="4"/>
    <x v="3"/>
    <n v="-19900.240000000002"/>
    <s v="Non-Dominant"/>
    <d v="2023-10-30T00:00:00"/>
    <m/>
  </r>
  <r>
    <s v="AP Windsor Co-Invest, L.P."/>
    <x v="18"/>
    <x v="15"/>
    <x v="13"/>
    <n v="9750"/>
    <s v="By Commitment (No Date)"/>
    <d v="2023-10-30T00:00:00"/>
    <s v="Yes"/>
  </r>
  <r>
    <s v="AP Windsor Co-Invest, L.P."/>
    <x v="18"/>
    <x v="10"/>
    <x v="8"/>
    <n v="150.24"/>
    <s v="By Commitment (No Date)"/>
    <d v="2023-10-30T00:00:00"/>
    <s v="Yes"/>
  </r>
  <r>
    <s v="AP Windsor Co-Invest, L.P."/>
    <x v="18"/>
    <x v="21"/>
    <x v="17"/>
    <n v="10000"/>
    <s v="By Commitment (No Date)"/>
    <d v="2023-10-30T00:00:00"/>
    <s v="Yes"/>
  </r>
  <r>
    <s v="AP Windsor Co-Invest, L.P."/>
    <x v="19"/>
    <x v="3"/>
    <x v="3"/>
    <n v="4334.57"/>
    <s v="Non-Dominant"/>
    <d v="2023-11-01T00:00:00"/>
    <m/>
  </r>
  <r>
    <s v="AP Windsor Co-Invest, L.P."/>
    <x v="19"/>
    <x v="5"/>
    <x v="4"/>
    <n v="-4334.57"/>
    <s v="By Commitment (No Date)"/>
    <d v="2023-11-01T00:00:00"/>
    <s v="Yes"/>
  </r>
  <r>
    <s v="AP Windsor Co-Invest, L.P."/>
    <x v="20"/>
    <x v="3"/>
    <x v="3"/>
    <n v="47476840.210000001"/>
    <s v="Non-Dominant"/>
    <d v="2023-11-02T00:00:00"/>
    <s v="No"/>
  </r>
  <r>
    <s v="AP Windsor Co-Invest, L.P."/>
    <x v="20"/>
    <x v="24"/>
    <x v="20"/>
    <n v="-359864.03"/>
    <s v="Investment Cost Basis (Deal &amp; Position) (GL Date)"/>
    <d v="2023-11-02T00:00:00"/>
    <m/>
  </r>
  <r>
    <s v="AP Windsor Co-Invest, L.P."/>
    <x v="20"/>
    <x v="25"/>
    <x v="6"/>
    <n v="-47116976.18"/>
    <s v="Investment Cost Basis (Deal &amp; Position) (GL Date)"/>
    <d v="2023-11-02T00:00:00"/>
    <m/>
  </r>
  <r>
    <s v="AP Windsor Co-Invest, L.P."/>
    <x v="21"/>
    <x v="3"/>
    <x v="3"/>
    <n v="195413.46"/>
    <s v="Non-Dominant"/>
    <d v="2023-12-01T00:00:00"/>
    <m/>
  </r>
  <r>
    <s v="AP Windsor Co-Invest, L.P."/>
    <x v="21"/>
    <x v="5"/>
    <x v="4"/>
    <n v="-195413.46"/>
    <s v="By Commitment (No Date)"/>
    <d v="2023-12-01T00:00:00"/>
    <s v="Yes"/>
  </r>
  <r>
    <s v="AP Windsor Co-Invest, L.P."/>
    <x v="22"/>
    <x v="4"/>
    <x v="3"/>
    <n v="-6237.65"/>
    <s v="Non-Dominant"/>
    <d v="2023-12-08T00:00:00"/>
    <m/>
  </r>
  <r>
    <s v="AP Windsor Co-Invest, L.P."/>
    <x v="22"/>
    <x v="15"/>
    <x v="13"/>
    <n v="5628.19"/>
    <s v="By Commitment (No Date)"/>
    <d v="2023-12-08T00:00:00"/>
    <s v="Yes"/>
  </r>
  <r>
    <s v="AP Windsor Co-Invest, L.P."/>
    <x v="22"/>
    <x v="10"/>
    <x v="8"/>
    <n v="609.46"/>
    <s v="By Commitment (No Date)"/>
    <d v="2023-12-08T00:00:00"/>
    <s v="Yes"/>
  </r>
  <r>
    <s v="AP Windsor Co-Invest, L.P."/>
    <x v="23"/>
    <x v="4"/>
    <x v="3"/>
    <n v="-47476840.210000001"/>
    <s v="Non-Dominant"/>
    <d v="2023-12-14T00:00:00"/>
    <s v="No"/>
  </r>
  <r>
    <s v="AP Windsor Co-Invest, L.P."/>
    <x v="23"/>
    <x v="26"/>
    <x v="21"/>
    <n v="359864.03"/>
    <s v="User Provided"/>
    <d v="2023-12-14T00:00:00"/>
    <m/>
  </r>
  <r>
    <s v="AP Windsor Co-Invest, L.P."/>
    <x v="23"/>
    <x v="27"/>
    <x v="7"/>
    <n v="47116976.18"/>
    <s v="User Provided"/>
    <d v="2023-12-14T00:00:00"/>
    <m/>
  </r>
  <r>
    <s v="AP Windsor Co-Invest, L.P."/>
    <x v="24"/>
    <x v="4"/>
    <x v="3"/>
    <n v="-57634.55"/>
    <s v="Non-Dominant"/>
    <d v="2023-12-22T00:00:00"/>
    <m/>
  </r>
  <r>
    <s v="AP Windsor Co-Invest, L.P."/>
    <x v="24"/>
    <x v="11"/>
    <x v="9"/>
    <n v="18750"/>
    <s v="By Commitment (No Date)"/>
    <d v="2023-12-22T00:00:00"/>
    <s v="Yes"/>
  </r>
  <r>
    <s v="AP Windsor Co-Invest, L.P."/>
    <x v="24"/>
    <x v="28"/>
    <x v="8"/>
    <n v="9291"/>
    <s v="By Commitment (No Date)"/>
    <d v="2023-12-22T00:00:00"/>
    <s v="Yes"/>
  </r>
  <r>
    <s v="AP Windsor Co-Invest, L.P."/>
    <x v="24"/>
    <x v="14"/>
    <x v="12"/>
    <n v="15746.29"/>
    <s v="By Commitment (No Date)"/>
    <d v="2023-12-22T00:00:00"/>
    <s v="Yes"/>
  </r>
  <r>
    <s v="AP Windsor Co-Invest, L.P."/>
    <x v="24"/>
    <x v="15"/>
    <x v="13"/>
    <n v="9293.17"/>
    <s v="By Commitment (No Date)"/>
    <d v="2023-12-22T00:00:00"/>
    <s v="Yes"/>
  </r>
  <r>
    <s v="AP Windsor Co-Invest, L.P."/>
    <x v="24"/>
    <x v="10"/>
    <x v="8"/>
    <n v="4554.09"/>
    <s v="By Commitment (No Date)"/>
    <d v="2023-12-22T00:00:00"/>
    <s v="Yes"/>
  </r>
  <r>
    <s v="AP Windsor Co-Invest, L.P."/>
    <x v="25"/>
    <x v="12"/>
    <x v="10"/>
    <n v="9550"/>
    <s v="By Commitment (No Date)"/>
    <d v="2023-12-29T00:00:00"/>
    <s v="No"/>
  </r>
  <r>
    <s v="AP Windsor Co-Invest, L.P."/>
    <x v="25"/>
    <x v="13"/>
    <x v="11"/>
    <n v="750"/>
    <s v="By Commitment (No Date)"/>
    <d v="2023-12-29T00:00:00"/>
    <s v="No"/>
  </r>
  <r>
    <s v="AP Windsor Co-Invest, L.P."/>
    <x v="25"/>
    <x v="16"/>
    <x v="14"/>
    <n v="-6000"/>
    <s v="By Commitment (No Date)"/>
    <d v="2023-12-29T00:00:00"/>
    <s v="No"/>
  </r>
  <r>
    <s v="AP Windsor Co-Invest, L.P."/>
    <x v="25"/>
    <x v="19"/>
    <x v="15"/>
    <n v="-9550"/>
    <s v="Non-Dominant"/>
    <d v="2023-12-29T00:00:00"/>
    <s v="No"/>
  </r>
  <r>
    <s v="AP Windsor Co-Invest, L.P."/>
    <x v="25"/>
    <x v="20"/>
    <x v="16"/>
    <n v="-750"/>
    <s v="Non-Dominant"/>
    <d v="2023-12-29T00:00:00"/>
    <s v="No"/>
  </r>
  <r>
    <s v="AP Windsor Co-Invest, L.P."/>
    <x v="25"/>
    <x v="22"/>
    <x v="18"/>
    <n v="6000"/>
    <s v="Non-Dominant"/>
    <d v="2023-12-29T00:00:00"/>
    <s v="No"/>
  </r>
  <r>
    <s v="AP Windsor Co-Invest, L.P."/>
    <x v="26"/>
    <x v="29"/>
    <x v="22"/>
    <n v="-7782536.5099999998"/>
    <s v="Fiscal Year End Close (Allocated)"/>
    <d v="2023-12-31T00:00:00"/>
    <m/>
  </r>
  <r>
    <s v="AP Windsor Co-Invest, L.P."/>
    <x v="26"/>
    <x v="29"/>
    <x v="20"/>
    <n v="359864.03"/>
    <s v="Fiscal Year End Close (Allocated)"/>
    <d v="2023-12-31T00:00:00"/>
    <m/>
  </r>
  <r>
    <s v="AP Windsor Co-Invest, L.P."/>
    <x v="26"/>
    <x v="29"/>
    <x v="4"/>
    <n v="642126.23"/>
    <s v="Fiscal Year End Close (Allocated)"/>
    <d v="2023-12-31T00:00:00"/>
    <m/>
  </r>
  <r>
    <s v="AP Windsor Co-Invest, L.P."/>
    <x v="26"/>
    <x v="29"/>
    <x v="23"/>
    <n v="6878598.6900000004"/>
    <s v="Fiscal Year End Close (Allocated)"/>
    <d v="2023-12-31T00:00:00"/>
    <m/>
  </r>
  <r>
    <s v="AP Windsor Co-Invest, L.P."/>
    <x v="26"/>
    <x v="29"/>
    <x v="11"/>
    <n v="-1750"/>
    <s v="Fiscal Year End Close (Allocated)"/>
    <d v="2023-12-31T00:00:00"/>
    <m/>
  </r>
  <r>
    <s v="AP Windsor Co-Invest, L.P."/>
    <x v="26"/>
    <x v="29"/>
    <x v="8"/>
    <n v="-14734.79"/>
    <s v="Fiscal Year End Close (Allocated)"/>
    <d v="2023-12-31T00:00:00"/>
    <m/>
  </r>
  <r>
    <s v="AP Windsor Co-Invest, L.P."/>
    <x v="26"/>
    <x v="29"/>
    <x v="12"/>
    <n v="-34496.29"/>
    <s v="Fiscal Year End Close (Allocated)"/>
    <d v="2023-12-31T00:00:00"/>
    <m/>
  </r>
  <r>
    <s v="AP Windsor Co-Invest, L.P."/>
    <x v="26"/>
    <x v="29"/>
    <x v="13"/>
    <n v="-34671.360000000001"/>
    <s v="Fiscal Year End Close (Allocated)"/>
    <d v="2023-12-31T00:00:00"/>
    <m/>
  </r>
  <r>
    <s v="AP Windsor Co-Invest, L.P."/>
    <x v="26"/>
    <x v="29"/>
    <x v="10"/>
    <n v="-12400"/>
    <s v="Fiscal Year End Close (Allocated)"/>
    <d v="2023-12-31T00:00:00"/>
    <m/>
  </r>
  <r>
    <s v="AP Windsor Co-Invest, L.P."/>
    <x v="26"/>
    <x v="30"/>
    <x v="24"/>
    <n v="6878598.6900000004"/>
    <s v="Non-Dominant"/>
    <d v="2023-12-31T00:00:00"/>
    <m/>
  </r>
  <r>
    <s v="AP Windsor Co-Invest, L.P."/>
    <x v="26"/>
    <x v="31"/>
    <x v="23"/>
    <n v="-6878598.6900000004"/>
    <s v="By Commitment (No Date)"/>
    <d v="2023-12-31T00:00:00"/>
    <m/>
  </r>
  <r>
    <s v="AP Windsor Co-Invest, L.P."/>
    <x v="27"/>
    <x v="5"/>
    <x v="4"/>
    <n v="100461.57"/>
    <s v="By Commitment (No Date)"/>
    <d v="2024-01-01T00:00:00"/>
    <s v="Yes"/>
  </r>
  <r>
    <s v="AP Windsor Co-Invest, L.P."/>
    <x v="27"/>
    <x v="23"/>
    <x v="19"/>
    <n v="-100461.57"/>
    <s v="Non-Dominant"/>
    <d v="2024-01-01T00:00:00"/>
    <m/>
  </r>
  <r>
    <s v="AP Windsor Co-Invest, L.P."/>
    <x v="28"/>
    <x v="3"/>
    <x v="3"/>
    <n v="100461.57"/>
    <s v="Non-Dominant"/>
    <d v="2024-01-02T00:00:00"/>
    <m/>
  </r>
  <r>
    <s v="AP Windsor Co-Invest, L.P."/>
    <x v="28"/>
    <x v="5"/>
    <x v="4"/>
    <n v="-100461.57"/>
    <s v="By Commitment (No Date)"/>
    <d v="2024-01-02T00:00:00"/>
    <s v="Yes"/>
  </r>
  <r>
    <s v="AP Windsor Co-Invest, L.P."/>
    <x v="29"/>
    <x v="4"/>
    <x v="3"/>
    <n v="-9558.9599999999991"/>
    <s v="Non-Dominant"/>
    <d v="2024-01-31T00:00:00"/>
    <m/>
  </r>
  <r>
    <s v="AP Windsor Co-Invest, L.P."/>
    <x v="29"/>
    <x v="15"/>
    <x v="13"/>
    <n v="2374.9"/>
    <s v="By Commitment (No Date)"/>
    <d v="2024-01-31T00:00:00"/>
    <s v="Yes"/>
  </r>
  <r>
    <s v="AP Windsor Co-Invest, L.P."/>
    <x v="29"/>
    <x v="10"/>
    <x v="8"/>
    <n v="6678.59"/>
    <s v="By Commitment (No Date)"/>
    <d v="2024-01-31T00:00:00"/>
    <s v="Yes"/>
  </r>
  <r>
    <s v="AP Windsor Co-Invest, L.P."/>
    <x v="29"/>
    <x v="32"/>
    <x v="25"/>
    <n v="315.02"/>
    <s v="By Commitment (No Date)"/>
    <d v="2024-01-31T00:00:00"/>
    <s v="Yes"/>
  </r>
  <r>
    <s v="AP Windsor Co-Invest, L.P."/>
    <x v="29"/>
    <x v="33"/>
    <x v="14"/>
    <n v="190.45"/>
    <s v="By Commitment (No Date)"/>
    <d v="2024-01-31T00:00:00"/>
    <s v="Yes"/>
  </r>
  <r>
    <s v="AP Windsor Co-Invest, L.P."/>
    <x v="30"/>
    <x v="3"/>
    <x v="3"/>
    <n v="5261.65"/>
    <s v="Non-Dominant"/>
    <d v="2024-02-01T00:00:00"/>
    <m/>
  </r>
  <r>
    <s v="AP Windsor Co-Invest, L.P."/>
    <x v="30"/>
    <x v="5"/>
    <x v="4"/>
    <n v="-5261.65"/>
    <s v="By Commitment (No Date)"/>
    <d v="2024-02-01T00:00:00"/>
    <s v="Yes"/>
  </r>
  <r>
    <s v="AP Windsor Co-Invest, L.P."/>
    <x v="31"/>
    <x v="3"/>
    <x v="3"/>
    <n v="122108803.56999999"/>
    <s v="Non-Dominant"/>
    <d v="2024-02-06T00:00:00"/>
    <m/>
  </r>
  <r>
    <s v="AP Windsor Co-Invest, L.P."/>
    <x v="31"/>
    <x v="34"/>
    <x v="26"/>
    <n v="-19537408.57"/>
    <s v="User Provided"/>
    <d v="2024-02-06T00:00:00"/>
    <m/>
  </r>
  <r>
    <s v="AP Windsor Co-Invest, L.P."/>
    <x v="31"/>
    <x v="25"/>
    <x v="6"/>
    <n v="-102571395"/>
    <s v="User Provided"/>
    <d v="2024-02-06T00:00:00"/>
    <m/>
  </r>
  <r>
    <s v="AP Windsor Co-Invest, L.P."/>
    <x v="32"/>
    <x v="3"/>
    <x v="3"/>
    <n v="405634.7"/>
    <s v="Non-Dominant"/>
    <d v="2024-03-01T00:00:00"/>
    <m/>
  </r>
  <r>
    <s v="AP Windsor Co-Invest, L.P."/>
    <x v="32"/>
    <x v="5"/>
    <x v="4"/>
    <n v="-405634.7"/>
    <s v="By Commitment (No Date)"/>
    <d v="2024-03-01T00:00:00"/>
    <s v="Yes"/>
  </r>
  <r>
    <s v="AP Windsor Co-Invest, L.P."/>
    <x v="33"/>
    <x v="4"/>
    <x v="3"/>
    <n v="-50"/>
    <s v="Non-Dominant"/>
    <d v="2024-03-05T00:00:00"/>
    <m/>
  </r>
  <r>
    <s v="AP Windsor Co-Invest, L.P."/>
    <x v="33"/>
    <x v="4"/>
    <x v="3"/>
    <n v="-114579464.89"/>
    <s v="Non-Dominant"/>
    <d v="2024-03-05T00:00:00"/>
    <s v="No"/>
  </r>
  <r>
    <s v="AP Windsor Co-Invest, L.P."/>
    <x v="33"/>
    <x v="26"/>
    <x v="21"/>
    <n v="18332714.379999999"/>
    <s v="User Provided"/>
    <d v="2024-03-05T00:00:00"/>
    <m/>
  </r>
  <r>
    <s v="AP Windsor Co-Invest, L.P."/>
    <x v="33"/>
    <x v="27"/>
    <x v="7"/>
    <n v="96246750.510000005"/>
    <s v="User Provided"/>
    <d v="2024-03-05T00:00:00"/>
    <m/>
  </r>
  <r>
    <s v="AP Windsor Co-Invest, L.P."/>
    <x v="33"/>
    <x v="10"/>
    <x v="8"/>
    <n v="50"/>
    <s v="User Provided"/>
    <d v="2024-03-05T00:00:00"/>
    <s v="Yes"/>
  </r>
  <r>
    <s v="AP Windsor Co-Invest, L.P."/>
    <x v="33"/>
    <x v="35"/>
    <x v="0"/>
    <n v="-2738069.86"/>
    <s v="User Provided"/>
    <d v="2024-03-05T00:00:00"/>
    <m/>
  </r>
  <r>
    <s v="AP Windsor Co-Invest, L.P."/>
    <x v="33"/>
    <x v="36"/>
    <x v="0"/>
    <n v="-781946.29"/>
    <s v="User Provided"/>
    <d v="2024-03-05T00:00:00"/>
    <m/>
  </r>
  <r>
    <s v="AP Windsor Co-Invest, L.P."/>
    <x v="33"/>
    <x v="37"/>
    <x v="0"/>
    <n v="-260.45999999999998"/>
    <s v="User Provided"/>
    <d v="2024-03-05T00:00:00"/>
    <m/>
  </r>
  <r>
    <s v="AP Windsor Co-Invest, L.P."/>
    <x v="34"/>
    <x v="4"/>
    <x v="3"/>
    <n v="-7529338.6799999997"/>
    <s v="Non-Dominant"/>
    <d v="2024-03-19T00:00:00"/>
    <s v="No"/>
  </r>
  <r>
    <s v="AP Windsor Co-Invest, L.P."/>
    <x v="34"/>
    <x v="26"/>
    <x v="21"/>
    <n v="1204694.19"/>
    <s v="User Provided"/>
    <d v="2024-03-19T00:00:00"/>
    <m/>
  </r>
  <r>
    <s v="AP Windsor Co-Invest, L.P."/>
    <x v="34"/>
    <x v="27"/>
    <x v="7"/>
    <n v="6324644.4900000002"/>
    <s v="User Provided"/>
    <d v="2024-03-19T00:00:00"/>
    <m/>
  </r>
  <r>
    <s v="AP Windsor Co-Invest, L.P."/>
    <x v="34"/>
    <x v="35"/>
    <x v="0"/>
    <n v="-1242169.17"/>
    <s v="User Provided"/>
    <d v="2024-03-19T00:00:00"/>
    <m/>
  </r>
  <r>
    <s v="AP Windsor Co-Invest, L.P."/>
    <x v="34"/>
    <x v="36"/>
    <x v="0"/>
    <n v="-314531.36"/>
    <s v="User Provided"/>
    <d v="2024-03-19T00:00:00"/>
    <m/>
  </r>
  <r>
    <s v="AP Windsor Co-Invest, L.P."/>
    <x v="34"/>
    <x v="37"/>
    <x v="0"/>
    <n v="-25.32"/>
    <s v="User Provided"/>
    <d v="2024-03-19T00:00:00"/>
    <m/>
  </r>
  <r>
    <s v="AP Windsor Co-Invest, L.P."/>
    <x v="35"/>
    <x v="12"/>
    <x v="10"/>
    <n v="3100"/>
    <s v="By Commitment (No Date)"/>
    <d v="2024-03-28T00:00:00"/>
    <s v="No"/>
  </r>
  <r>
    <s v="AP Windsor Co-Invest, L.P."/>
    <x v="35"/>
    <x v="13"/>
    <x v="11"/>
    <n v="750"/>
    <s v="By Commitment (No Date)"/>
    <d v="2024-03-28T00:00:00"/>
    <s v="No"/>
  </r>
  <r>
    <s v="AP Windsor Co-Invest, L.P."/>
    <x v="35"/>
    <x v="28"/>
    <x v="8"/>
    <n v="1124787"/>
    <s v="Commitment (Dated)"/>
    <d v="2024-03-28T00:00:00"/>
    <s v="No"/>
  </r>
  <r>
    <s v="AP Windsor Co-Invest, L.P."/>
    <x v="35"/>
    <x v="14"/>
    <x v="12"/>
    <n v="8624.07"/>
    <s v="Net Contributed Capital (GL Date)"/>
    <d v="2024-03-28T00:00:00"/>
    <s v="No"/>
  </r>
  <r>
    <s v="AP Windsor Co-Invest, L.P."/>
    <x v="35"/>
    <x v="10"/>
    <x v="8"/>
    <n v="661.07"/>
    <s v="Net Contributed Capital (GL Date)"/>
    <d v="2024-03-28T00:00:00"/>
    <s v="No"/>
  </r>
  <r>
    <s v="AP Windsor Co-Invest, L.P."/>
    <x v="35"/>
    <x v="5"/>
    <x v="4"/>
    <n v="-93090.14"/>
    <s v="By Commitment (No Date)"/>
    <d v="2024-03-28T00:00:00"/>
    <s v="Yes"/>
  </r>
  <r>
    <s v="AP Windsor Co-Invest, L.P."/>
    <x v="35"/>
    <x v="30"/>
    <x v="24"/>
    <n v="22757483.239999998"/>
    <s v="Non-Dominant"/>
    <d v="2024-03-28T00:00:00"/>
    <m/>
  </r>
  <r>
    <s v="AP Windsor Co-Invest, L.P."/>
    <x v="35"/>
    <x v="19"/>
    <x v="15"/>
    <n v="-3100"/>
    <s v="Non-Dominant"/>
    <d v="2024-03-28T00:00:00"/>
    <s v="No"/>
  </r>
  <r>
    <s v="AP Windsor Co-Invest, L.P."/>
    <x v="35"/>
    <x v="20"/>
    <x v="16"/>
    <n v="-750"/>
    <s v="Non-Dominant"/>
    <d v="2024-03-28T00:00:00"/>
    <s v="No"/>
  </r>
  <r>
    <s v="AP Windsor Co-Invest, L.P."/>
    <x v="35"/>
    <x v="38"/>
    <x v="5"/>
    <n v="-1124787"/>
    <s v="Non-Dominant"/>
    <d v="2024-03-28T00:00:00"/>
    <s v="No"/>
  </r>
  <r>
    <s v="AP Windsor Co-Invest, L.P."/>
    <x v="35"/>
    <x v="39"/>
    <x v="5"/>
    <n v="-8624.07"/>
    <s v="Non-Dominant"/>
    <d v="2024-03-28T00:00:00"/>
    <s v="No"/>
  </r>
  <r>
    <s v="AP Windsor Co-Invest, L.P."/>
    <x v="35"/>
    <x v="6"/>
    <x v="5"/>
    <n v="-661.07"/>
    <s v="Non-Dominant"/>
    <d v="2024-03-28T00:00:00"/>
    <s v="No"/>
  </r>
  <r>
    <s v="AP Windsor Co-Invest, L.P."/>
    <x v="35"/>
    <x v="23"/>
    <x v="19"/>
    <n v="93090.14"/>
    <s v="Non-Dominant"/>
    <d v="2024-03-28T00:00:00"/>
    <s v="No"/>
  </r>
  <r>
    <s v="AP Windsor Co-Invest, L.P."/>
    <x v="35"/>
    <x v="31"/>
    <x v="23"/>
    <n v="-22757483.239999998"/>
    <s v="By Commitment (No Date)"/>
    <d v="2024-03-28T00:00:00"/>
    <m/>
  </r>
  <r>
    <s v="AP Windsor Co-Invest, L.P."/>
    <x v="36"/>
    <x v="17"/>
    <x v="0"/>
    <n v="15"/>
    <s v="User Provided"/>
    <d v="2024-03-31T00:00:00"/>
    <m/>
  </r>
  <r>
    <s v="AP Windsor Co-Invest, L.P."/>
    <x v="37"/>
    <x v="3"/>
    <x v="3"/>
    <n v="93090.14"/>
    <s v="Non-Dominant"/>
    <d v="2024-04-01T00:00:00"/>
    <m/>
  </r>
  <r>
    <s v="AP Windsor Co-Invest, L.P."/>
    <x v="37"/>
    <x v="23"/>
    <x v="19"/>
    <n v="-93090.14"/>
    <s v="Non-Dominant"/>
    <d v="2024-04-01T00:00:00"/>
    <s v="No"/>
  </r>
  <r>
    <s v="AP Windsor Co-Invest, L.P."/>
    <x v="38"/>
    <x v="4"/>
    <x v="3"/>
    <n v="-1124787"/>
    <s v="Non-Dominant"/>
    <d v="2024-04-08T00:00:00"/>
    <m/>
  </r>
  <r>
    <s v="AP Windsor Co-Invest, L.P."/>
    <x v="38"/>
    <x v="6"/>
    <x v="5"/>
    <n v="1124787"/>
    <s v="By Commitment (No Date)"/>
    <d v="2024-04-08T00:00:00"/>
    <s v="Yes"/>
  </r>
  <r>
    <s v="AP Windsor Co-Invest, L.P."/>
    <x v="39"/>
    <x v="4"/>
    <x v="3"/>
    <n v="-16128.88"/>
    <s v="Non-Dominant"/>
    <d v="2024-04-15T00:00:00"/>
    <s v="Yes"/>
  </r>
  <r>
    <s v="AP Windsor Co-Invest, L.P."/>
    <x v="39"/>
    <x v="3"/>
    <x v="3"/>
    <n v="-144.52000000000001"/>
    <s v="Non-Dominant"/>
    <d v="2024-04-15T00:00:00"/>
    <s v="Yes"/>
  </r>
  <r>
    <s v="AP Windsor Co-Invest, L.P."/>
    <x v="39"/>
    <x v="15"/>
    <x v="13"/>
    <n v="20.66"/>
    <s v="By Commitment (No Date)"/>
    <d v="2024-04-15T00:00:00"/>
    <s v="Yes"/>
  </r>
  <r>
    <s v="AP Windsor Co-Invest, L.P."/>
    <x v="39"/>
    <x v="40"/>
    <x v="8"/>
    <n v="4776.32"/>
    <s v="By Commitment (No Date)"/>
    <d v="2024-04-15T00:00:00"/>
    <s v="Yes"/>
  </r>
  <r>
    <s v="AP Windsor Co-Invest, L.P."/>
    <x v="39"/>
    <x v="10"/>
    <x v="8"/>
    <n v="9265.81"/>
    <s v="By Commitment (No Date)"/>
    <d v="2024-04-15T00:00:00"/>
    <s v="Yes"/>
  </r>
  <r>
    <s v="AP Windsor Co-Invest, L.P."/>
    <x v="39"/>
    <x v="33"/>
    <x v="14"/>
    <n v="21.69"/>
    <s v="By Commitment (No Date)"/>
    <d v="2024-04-15T00:00:00"/>
    <s v="Yes"/>
  </r>
  <r>
    <s v="AP Windsor Co-Invest, L.P."/>
    <x v="39"/>
    <x v="20"/>
    <x v="16"/>
    <n v="1383.33"/>
    <s v="By Commitment (No Date)"/>
    <d v="2024-04-15T00:00:00"/>
    <s v="Yes"/>
  </r>
  <r>
    <s v="AP Windsor Co-Invest, L.P."/>
    <x v="39"/>
    <x v="6"/>
    <x v="5"/>
    <n v="661.07"/>
    <s v="By Commitment (No Date)"/>
    <d v="2024-04-15T00:00:00"/>
    <s v="Yes"/>
  </r>
  <r>
    <s v="AP Windsor Co-Invest, L.P."/>
    <x v="39"/>
    <x v="41"/>
    <x v="27"/>
    <n v="144.52000000000001"/>
    <s v="User Provided"/>
    <d v="2024-04-15T00:00:00"/>
    <s v="Yes"/>
  </r>
  <r>
    <s v="AP Windsor Co-Invest, L.P."/>
    <x v="40"/>
    <x v="4"/>
    <x v="3"/>
    <n v="-31248.45"/>
    <s v="Non-Dominant"/>
    <d v="2024-04-29T00:00:00"/>
    <s v="Yes"/>
  </r>
  <r>
    <s v="AP Windsor Co-Invest, L.P."/>
    <x v="40"/>
    <x v="15"/>
    <x v="13"/>
    <n v="47.56"/>
    <s v="By Commitment (No Date)"/>
    <d v="2024-04-29T00:00:00"/>
    <s v="Yes"/>
  </r>
  <r>
    <s v="AP Windsor Co-Invest, L.P."/>
    <x v="40"/>
    <x v="40"/>
    <x v="8"/>
    <n v="15856.91"/>
    <s v="By Commitment (No Date)"/>
    <d v="2024-04-29T00:00:00"/>
    <s v="Yes"/>
  </r>
  <r>
    <s v="AP Windsor Co-Invest, L.P."/>
    <x v="40"/>
    <x v="10"/>
    <x v="8"/>
    <n v="2943.98"/>
    <s v="By Commitment (No Date)"/>
    <d v="2024-04-29T00:00:00"/>
    <s v="Yes"/>
  </r>
  <r>
    <s v="AP Windsor Co-Invest, L.P."/>
    <x v="40"/>
    <x v="19"/>
    <x v="15"/>
    <n v="12400"/>
    <s v="By Commitment (No Date)"/>
    <d v="2024-04-29T00:00:00"/>
    <s v="Yes"/>
  </r>
  <r>
    <s v="AP Windsor Co-Invest, L.P."/>
    <x v="41"/>
    <x v="3"/>
    <x v="3"/>
    <n v="3639.98"/>
    <s v="Non-Dominant"/>
    <d v="2024-05-01T00:00:00"/>
    <s v="Yes"/>
  </r>
  <r>
    <s v="AP Windsor Co-Invest, L.P."/>
    <x v="41"/>
    <x v="5"/>
    <x v="4"/>
    <n v="-3639.98"/>
    <s v="By Commitment (No Date)"/>
    <d v="2024-05-01T00:00:00"/>
    <s v="Yes"/>
  </r>
  <r>
    <s v="AP Windsor Co-Invest, L.P."/>
    <x v="42"/>
    <x v="4"/>
    <x v="3"/>
    <n v="-139337.47"/>
    <s v="Non-Dominant"/>
    <d v="2024-05-28T00:00:00"/>
    <s v="Yes"/>
  </r>
  <r>
    <s v="AP Windsor Co-Invest, L.P."/>
    <x v="42"/>
    <x v="13"/>
    <x v="11"/>
    <n v="7165.39"/>
    <s v="By Commitment (No Date)"/>
    <d v="2024-05-28T00:00:00"/>
    <s v="Yes"/>
  </r>
  <r>
    <s v="AP Windsor Co-Invest, L.P."/>
    <x v="42"/>
    <x v="42"/>
    <x v="28"/>
    <n v="102791.17"/>
    <s v="By Commitment (No Date)"/>
    <d v="2024-05-28T00:00:00"/>
    <s v="Yes"/>
  </r>
  <r>
    <s v="AP Windsor Co-Invest, L.P."/>
    <x v="42"/>
    <x v="15"/>
    <x v="13"/>
    <n v="21.74"/>
    <s v="By Commitment (No Date)"/>
    <d v="2024-05-28T00:00:00"/>
    <s v="Yes"/>
  </r>
  <r>
    <s v="AP Windsor Co-Invest, L.P."/>
    <x v="42"/>
    <x v="40"/>
    <x v="8"/>
    <n v="4615.01"/>
    <s v="By Commitment (No Date)"/>
    <d v="2024-05-28T00:00:00"/>
    <s v="Yes"/>
  </r>
  <r>
    <s v="AP Windsor Co-Invest, L.P."/>
    <x v="42"/>
    <x v="10"/>
    <x v="8"/>
    <n v="23926.63"/>
    <s v="By Commitment (No Date)"/>
    <d v="2024-05-28T00:00:00"/>
    <s v="Yes"/>
  </r>
  <r>
    <s v="AP Windsor Co-Invest, L.P."/>
    <x v="42"/>
    <x v="32"/>
    <x v="25"/>
    <n v="567.53"/>
    <s v="By Commitment (No Date)"/>
    <d v="2024-05-28T00:00:00"/>
    <s v="Yes"/>
  </r>
  <r>
    <s v="AP Windsor Co-Invest, L.P."/>
    <x v="42"/>
    <x v="20"/>
    <x v="16"/>
    <n v="250"/>
    <s v="By Commitment (No Date)"/>
    <d v="2024-05-28T00:00:00"/>
    <s v="Yes"/>
  </r>
  <r>
    <s v="AP Windsor Co-Invest, L.P."/>
    <x v="43"/>
    <x v="4"/>
    <x v="3"/>
    <n v="-10629.32"/>
    <s v="Non-Dominant"/>
    <d v="2024-05-30T00:00:00"/>
    <s v="Yes"/>
  </r>
  <r>
    <s v="AP Windsor Co-Invest, L.P."/>
    <x v="43"/>
    <x v="15"/>
    <x v="13"/>
    <n v="122.76"/>
    <s v="By Commitment (No Date)"/>
    <d v="2024-05-30T00:00:00"/>
    <s v="Yes"/>
  </r>
  <r>
    <s v="AP Windsor Co-Invest, L.P."/>
    <x v="43"/>
    <x v="40"/>
    <x v="8"/>
    <n v="3269.75"/>
    <s v="By Commitment (No Date)"/>
    <d v="2024-05-30T00:00:00"/>
    <s v="Yes"/>
  </r>
  <r>
    <s v="AP Windsor Co-Invest, L.P."/>
    <x v="43"/>
    <x v="10"/>
    <x v="8"/>
    <n v="2993.15"/>
    <s v="By Commitment (No Date)"/>
    <d v="2024-05-30T00:00:00"/>
    <s v="Yes"/>
  </r>
  <r>
    <s v="AP Windsor Co-Invest, L.P."/>
    <x v="43"/>
    <x v="32"/>
    <x v="25"/>
    <n v="4243.66"/>
    <s v="By Commitment (No Date)"/>
    <d v="2024-05-30T00:00:00"/>
    <s v="Yes"/>
  </r>
  <r>
    <s v="AP Windsor Co-Invest, L.P."/>
    <x v="44"/>
    <x v="3"/>
    <x v="3"/>
    <n v="2267.04"/>
    <s v="Non-Dominant"/>
    <d v="2024-06-03T00:00:00"/>
    <s v="Yes"/>
  </r>
  <r>
    <s v="AP Windsor Co-Invest, L.P."/>
    <x v="44"/>
    <x v="5"/>
    <x v="4"/>
    <n v="-2267.04"/>
    <s v="By Commitment (No Date)"/>
    <d v="2024-06-03T00:00:00"/>
    <s v="Yes"/>
  </r>
  <r>
    <s v="AP Windsor Co-Invest, L.P."/>
    <x v="45"/>
    <x v="4"/>
    <x v="3"/>
    <n v="-98393"/>
    <s v="Non-Dominant"/>
    <d v="2024-06-28T00:00:00"/>
    <s v="Yes"/>
  </r>
  <r>
    <s v="AP Windsor Co-Invest, L.P."/>
    <x v="45"/>
    <x v="12"/>
    <x v="10"/>
    <n v="3100"/>
    <s v="By Commitment (No Date)"/>
    <d v="2024-06-28T00:00:00"/>
    <s v="No"/>
  </r>
  <r>
    <s v="AP Windsor Co-Invest, L.P."/>
    <x v="45"/>
    <x v="13"/>
    <x v="11"/>
    <n v="750"/>
    <s v="By Commitment (No Date)"/>
    <d v="2024-06-28T00:00:00"/>
    <s v="No"/>
  </r>
  <r>
    <s v="AP Windsor Co-Invest, L.P."/>
    <x v="45"/>
    <x v="28"/>
    <x v="8"/>
    <n v="98393"/>
    <s v="By Commitment (No Date)"/>
    <d v="2024-06-28T00:00:00"/>
    <s v="Yes"/>
  </r>
  <r>
    <s v="AP Windsor Co-Invest, L.P."/>
    <x v="45"/>
    <x v="14"/>
    <x v="12"/>
    <n v="8624.07"/>
    <s v="By Commitment (No Date)"/>
    <d v="2024-06-28T00:00:00"/>
    <s v="No"/>
  </r>
  <r>
    <s v="AP Windsor Co-Invest, L.P."/>
    <x v="45"/>
    <x v="5"/>
    <x v="4"/>
    <n v="-1580.56"/>
    <s v="By Commitment (No Date)"/>
    <d v="2024-06-28T00:00:00"/>
    <s v="Yes"/>
  </r>
  <r>
    <s v="AP Windsor Co-Invest, L.P."/>
    <x v="45"/>
    <x v="30"/>
    <x v="24"/>
    <n v="19792477.27"/>
    <s v="Non-Dominant"/>
    <d v="2024-06-28T00:00:00"/>
    <m/>
  </r>
  <r>
    <s v="AP Windsor Co-Invest, L.P."/>
    <x v="45"/>
    <x v="19"/>
    <x v="15"/>
    <n v="-3100"/>
    <s v="Non-Dominant"/>
    <d v="2024-06-28T00:00:00"/>
    <s v="No"/>
  </r>
  <r>
    <s v="AP Windsor Co-Invest, L.P."/>
    <x v="45"/>
    <x v="20"/>
    <x v="16"/>
    <n v="-750"/>
    <s v="Non-Dominant"/>
    <d v="2024-06-28T00:00:00"/>
    <s v="No"/>
  </r>
  <r>
    <s v="AP Windsor Co-Invest, L.P."/>
    <x v="45"/>
    <x v="39"/>
    <x v="5"/>
    <n v="-8624.07"/>
    <s v="Non-Dominant"/>
    <d v="2024-06-28T00:00:00"/>
    <s v="No"/>
  </r>
  <r>
    <s v="AP Windsor Co-Invest, L.P."/>
    <x v="45"/>
    <x v="23"/>
    <x v="19"/>
    <n v="1580.56"/>
    <s v="Non-Dominant"/>
    <d v="2024-06-28T00:00:00"/>
    <s v="No"/>
  </r>
  <r>
    <s v="AP Windsor Co-Invest, L.P."/>
    <x v="45"/>
    <x v="31"/>
    <x v="23"/>
    <n v="-19792477.27"/>
    <s v="By Commitment (No Date)"/>
    <d v="2024-06-28T00:00:00"/>
    <m/>
  </r>
  <r>
    <s v="AP Windsor Co-Invest, L.P."/>
    <x v="46"/>
    <x v="17"/>
    <x v="0"/>
    <n v="-10"/>
    <s v="User Provided"/>
    <d v="2024-06-30T00:00:00"/>
    <m/>
  </r>
  <r>
    <s v="AP Windsor Co-Invest, L.P."/>
    <x v="47"/>
    <x v="3"/>
    <x v="3"/>
    <n v="1580.56"/>
    <s v="Non-Dominant"/>
    <d v="2024-07-01T00:00:00"/>
    <s v="Yes"/>
  </r>
  <r>
    <s v="AP Windsor Co-Invest, L.P."/>
    <x v="47"/>
    <x v="23"/>
    <x v="19"/>
    <n v="-1580.56"/>
    <s v="By Commitment (No Date)"/>
    <d v="2024-07-01T00:00:00"/>
    <s v="No"/>
  </r>
  <r>
    <s v="AP Windsor Co-Invest, L.P."/>
    <x v="48"/>
    <x v="4"/>
    <x v="3"/>
    <n v="-52126.43"/>
    <s v="Non-Dominant"/>
    <d v="2024-07-31T00:00:00"/>
    <s v="Yes"/>
  </r>
  <r>
    <s v="AP Windsor Co-Invest, L.P."/>
    <x v="48"/>
    <x v="15"/>
    <x v="13"/>
    <n v="184.01"/>
    <s v="By Commitment (No Date)"/>
    <d v="2024-07-31T00:00:00"/>
    <s v="Yes"/>
  </r>
  <r>
    <s v="AP Windsor Co-Invest, L.P."/>
    <x v="48"/>
    <x v="10"/>
    <x v="8"/>
    <n v="7068.09"/>
    <s v="By Commitment (No Date)"/>
    <d v="2024-07-31T00:00:00"/>
    <s v="Yes"/>
  </r>
  <r>
    <s v="AP Windsor Co-Invest, L.P."/>
    <x v="48"/>
    <x v="32"/>
    <x v="25"/>
    <n v="40968.67"/>
    <s v="By Commitment (No Date)"/>
    <d v="2024-07-31T00:00:00"/>
    <s v="Yes"/>
  </r>
  <r>
    <s v="AP Windsor Co-Invest, L.P."/>
    <x v="48"/>
    <x v="33"/>
    <x v="14"/>
    <n v="3405.66"/>
    <s v="By Commitment (No Date)"/>
    <d v="2024-07-31T00:00:00"/>
    <s v="Yes"/>
  </r>
  <r>
    <s v="AP Windsor Co-Invest, L.P."/>
    <x v="48"/>
    <x v="20"/>
    <x v="16"/>
    <n v="500"/>
    <s v="By Commitment (No Date)"/>
    <d v="2024-07-31T00:00:00"/>
    <s v="Yes"/>
  </r>
  <r>
    <s v="AP Windsor Co-Invest, L.P."/>
    <x v="49"/>
    <x v="3"/>
    <x v="3"/>
    <n v="1198.4000000000001"/>
    <s v="Non-Dominant"/>
    <d v="2024-08-01T00:00:00"/>
    <s v="Yes"/>
  </r>
  <r>
    <s v="AP Windsor Co-Invest, L.P."/>
    <x v="49"/>
    <x v="5"/>
    <x v="4"/>
    <n v="-1198.4000000000001"/>
    <s v="By Commitment (No Date)"/>
    <d v="2024-08-01T00:00:00"/>
    <s v="Yes"/>
  </r>
  <r>
    <s v="AP Windsor Co-Invest, L.P."/>
    <x v="50"/>
    <x v="4"/>
    <x v="3"/>
    <n v="-5577.46"/>
    <s v="Non-Dominant"/>
    <d v="2024-08-29T00:00:00"/>
    <s v="Yes"/>
  </r>
  <r>
    <s v="AP Windsor Co-Invest, L.P."/>
    <x v="50"/>
    <x v="15"/>
    <x v="13"/>
    <n v="660.86"/>
    <s v="By Commitment (No Date)"/>
    <d v="2024-08-29T00:00:00"/>
    <s v="Yes"/>
  </r>
  <r>
    <s v="AP Windsor Co-Invest, L.P."/>
    <x v="50"/>
    <x v="10"/>
    <x v="8"/>
    <n v="3545.54"/>
    <s v="By Commitment (No Date)"/>
    <d v="2024-08-29T00:00:00"/>
    <s v="Yes"/>
  </r>
  <r>
    <s v="AP Windsor Co-Invest, L.P."/>
    <x v="50"/>
    <x v="32"/>
    <x v="25"/>
    <n v="1121.06"/>
    <s v="By Commitment (No Date)"/>
    <d v="2024-08-29T00:00:00"/>
    <s v="Yes"/>
  </r>
  <r>
    <s v="AP Windsor Co-Invest, L.P."/>
    <x v="50"/>
    <x v="20"/>
    <x v="16"/>
    <n v="250"/>
    <s v="By Commitment (No Date)"/>
    <d v="2024-08-29T00:00:00"/>
    <s v="Yes"/>
  </r>
  <r>
    <s v="AP Windsor Co-Invest, L.P."/>
    <x v="51"/>
    <x v="3"/>
    <x v="3"/>
    <n v="975.53"/>
    <s v="Non-Dominant"/>
    <d v="2024-09-03T00:00:00"/>
    <s v="Yes"/>
  </r>
  <r>
    <s v="AP Windsor Co-Invest, L.P."/>
    <x v="51"/>
    <x v="5"/>
    <x v="4"/>
    <n v="-975.53"/>
    <s v="By Commitment (No Date)"/>
    <d v="2024-09-03T00:00:00"/>
    <s v="Yes"/>
  </r>
  <r>
    <s v="AP Windsor Co-Invest, L.P."/>
    <x v="52"/>
    <x v="4"/>
    <x v="3"/>
    <n v="-8367.01"/>
    <s v="Non-Dominant"/>
    <d v="2024-09-27T00:00:00"/>
    <s v="Yes"/>
  </r>
  <r>
    <s v="AP Windsor Co-Invest, L.P."/>
    <x v="52"/>
    <x v="15"/>
    <x v="13"/>
    <n v="1089.0899999999999"/>
    <s v="By Commitment (No Date)"/>
    <d v="2024-09-27T00:00:00"/>
    <s v="Yes"/>
  </r>
  <r>
    <s v="AP Windsor Co-Invest, L.P."/>
    <x v="52"/>
    <x v="10"/>
    <x v="8"/>
    <n v="6524.86"/>
    <s v="By Commitment (No Date)"/>
    <d v="2024-09-27T00:00:00"/>
    <s v="Yes"/>
  </r>
  <r>
    <s v="AP Windsor Co-Invest, L.P."/>
    <x v="52"/>
    <x v="33"/>
    <x v="14"/>
    <n v="502.5"/>
    <s v="By Commitment (No Date)"/>
    <d v="2024-09-27T00:00:00"/>
    <s v="Yes"/>
  </r>
  <r>
    <s v="AP Windsor Co-Invest, L.P."/>
    <x v="52"/>
    <x v="20"/>
    <x v="16"/>
    <n v="250.56"/>
    <s v="By Commitment (No Date)"/>
    <d v="2024-09-27T00:00:00"/>
    <s v="Yes"/>
  </r>
  <r>
    <s v="AP Windsor Co-Invest, L.P."/>
    <x v="53"/>
    <x v="4"/>
    <x v="3"/>
    <n v="-108941"/>
    <s v="Non-Dominant"/>
    <d v="2024-09-30T00:00:00"/>
    <s v="Yes"/>
  </r>
  <r>
    <s v="AP Windsor Co-Invest, L.P."/>
    <x v="53"/>
    <x v="12"/>
    <x v="10"/>
    <n v="3100"/>
    <s v="By Commitment (No Date)"/>
    <d v="2024-09-30T00:00:00"/>
    <s v="No"/>
  </r>
  <r>
    <s v="AP Windsor Co-Invest, L.P."/>
    <x v="53"/>
    <x v="13"/>
    <x v="11"/>
    <n v="750"/>
    <s v="By Commitment (No Date)"/>
    <d v="2024-09-30T00:00:00"/>
    <s v="No"/>
  </r>
  <r>
    <s v="AP Windsor Co-Invest, L.P."/>
    <x v="53"/>
    <x v="28"/>
    <x v="8"/>
    <n v="108941"/>
    <s v="By Commitment (No Date)"/>
    <d v="2024-09-30T00:00:00"/>
    <s v="Yes"/>
  </r>
  <r>
    <s v="AP Windsor Co-Invest, L.P."/>
    <x v="53"/>
    <x v="14"/>
    <x v="12"/>
    <n v="8624.07"/>
    <s v="By Commitment (No Date)"/>
    <d v="2024-09-30T00:00:00"/>
    <s v="No"/>
  </r>
  <r>
    <s v="AP Windsor Co-Invest, L.P."/>
    <x v="53"/>
    <x v="30"/>
    <x v="24"/>
    <n v="21385702.039999999"/>
    <s v="Non-Dominant"/>
    <d v="2024-09-30T00:00:00"/>
    <m/>
  </r>
  <r>
    <s v="AP Windsor Co-Invest, L.P."/>
    <x v="53"/>
    <x v="19"/>
    <x v="15"/>
    <n v="-3100"/>
    <s v="Non-Dominant"/>
    <d v="2024-09-30T00:00:00"/>
    <s v="No"/>
  </r>
  <r>
    <s v="AP Windsor Co-Invest, L.P."/>
    <x v="53"/>
    <x v="20"/>
    <x v="16"/>
    <n v="-750"/>
    <s v="Non-Dominant"/>
    <d v="2024-09-30T00:00:00"/>
    <s v="No"/>
  </r>
  <r>
    <s v="AP Windsor Co-Invest, L.P."/>
    <x v="53"/>
    <x v="39"/>
    <x v="5"/>
    <n v="-8624.07"/>
    <s v="Non-Dominant"/>
    <d v="2024-09-30T00:00:00"/>
    <s v="No"/>
  </r>
  <r>
    <s v="AP Windsor Co-Invest, L.P."/>
    <x v="53"/>
    <x v="31"/>
    <x v="23"/>
    <n v="-21385702.039999999"/>
    <s v="By Commitment (No Date)"/>
    <d v="2024-09-30T00:00:00"/>
    <m/>
  </r>
  <r>
    <s v="AP Windsor Co-Invest, L.P."/>
    <x v="54"/>
    <x v="3"/>
    <x v="3"/>
    <n v="879.64"/>
    <s v="Non-Dominant"/>
    <d v="2024-10-01T00:00:00"/>
    <s v="Yes"/>
  </r>
  <r>
    <s v="AP Windsor Co-Invest, L.P."/>
    <x v="54"/>
    <x v="5"/>
    <x v="4"/>
    <n v="-879.64"/>
    <s v="By Commitment (No Date)"/>
    <d v="2024-10-01T00:00:00"/>
    <s v="Yes"/>
  </r>
  <r>
    <s v="AP Windsor Co-Invest, L.P."/>
    <x v="55"/>
    <x v="3"/>
    <x v="3"/>
    <n v="410.66"/>
    <s v="Non-Dominant"/>
    <d v="2024-11-01T00:00:00"/>
    <s v="Yes"/>
  </r>
  <r>
    <s v="AP Windsor Co-Invest, L.P."/>
    <x v="55"/>
    <x v="5"/>
    <x v="4"/>
    <n v="-410.66"/>
    <s v="By Commitment (No Date)"/>
    <d v="2024-11-01T00:00:00"/>
    <s v="Yes"/>
  </r>
  <r>
    <s v="AP Windsor Co-Invest, L.P."/>
    <x v="56"/>
    <x v="4"/>
    <x v="3"/>
    <n v="-27021.77"/>
    <s v="Non-Dominant"/>
    <d v="2024-11-05T00:00:00"/>
    <s v="Yes"/>
  </r>
  <r>
    <s v="AP Windsor Co-Invest, L.P."/>
    <x v="56"/>
    <x v="15"/>
    <x v="13"/>
    <n v="78.36"/>
    <s v="By Commitment (No Date)"/>
    <d v="2024-11-05T00:00:00"/>
    <s v="Yes"/>
  </r>
  <r>
    <s v="AP Windsor Co-Invest, L.P."/>
    <x v="56"/>
    <x v="10"/>
    <x v="8"/>
    <n v="25700.91"/>
    <s v="By Commitment (No Date)"/>
    <d v="2024-11-05T00:00:00"/>
    <s v="Yes"/>
  </r>
  <r>
    <s v="AP Windsor Co-Invest, L.P."/>
    <x v="56"/>
    <x v="33"/>
    <x v="14"/>
    <n v="1242.5"/>
    <s v="By Commitment (No Date)"/>
    <d v="2024-11-05T00:00:00"/>
    <s v="Yes"/>
  </r>
  <r>
    <s v="AP Windsor Co-Invest, L.P."/>
    <x v="57"/>
    <x v="4"/>
    <x v="3"/>
    <n v="-17143.099999999999"/>
    <s v="Non-Dominant"/>
    <d v="2024-11-27T00:00:00"/>
    <s v="Yes"/>
  </r>
  <r>
    <s v="AP Windsor Co-Invest, L.P."/>
    <x v="57"/>
    <x v="15"/>
    <x v="13"/>
    <n v="-444.12"/>
    <s v="By Commitment (No Date)"/>
    <d v="2024-11-27T00:00:00"/>
    <s v="Yes"/>
  </r>
  <r>
    <s v="AP Windsor Co-Invest, L.P."/>
    <x v="57"/>
    <x v="10"/>
    <x v="8"/>
    <n v="17337.22"/>
    <s v="By Commitment (No Date)"/>
    <d v="2024-11-27T00:00:00"/>
    <s v="Yes"/>
  </r>
  <r>
    <s v="AP Windsor Co-Invest, L.P."/>
    <x v="57"/>
    <x v="20"/>
    <x v="16"/>
    <n v="250"/>
    <s v="By Commitment (No Date)"/>
    <d v="2024-11-27T00:00:00"/>
    <s v="Yes"/>
  </r>
  <r>
    <s v="AP Windsor Co-Invest, L.P."/>
    <x v="58"/>
    <x v="3"/>
    <x v="3"/>
    <n v="287.62"/>
    <s v="Non-Dominant"/>
    <d v="2024-12-02T00:00:00"/>
    <s v="Yes"/>
  </r>
  <r>
    <s v="AP Windsor Co-Invest, L.P."/>
    <x v="58"/>
    <x v="5"/>
    <x v="4"/>
    <n v="-287.62"/>
    <s v="By Commitment (No Date)"/>
    <d v="2024-12-02T00:00:00"/>
    <s v="Yes"/>
  </r>
  <r>
    <s v="AP Windsor Co-Invest, L.P."/>
    <x v="59"/>
    <x v="2"/>
    <x v="2"/>
    <n v="-1500000"/>
    <s v="By Commitment (No Date)"/>
    <d v="2024-12-30T00:00:00"/>
    <m/>
  </r>
  <r>
    <s v="AP Windsor Co-Invest, L.P."/>
    <x v="59"/>
    <x v="4"/>
    <x v="3"/>
    <n v="-941222.83"/>
    <s v="Non-Dominant"/>
    <d v="2024-12-30T00:00:00"/>
    <s v="Yes"/>
  </r>
  <r>
    <s v="AP Windsor Co-Invest, L.P."/>
    <x v="59"/>
    <x v="3"/>
    <x v="3"/>
    <n v="1500000"/>
    <s v="Non-Dominant"/>
    <d v="2024-12-30T00:00:00"/>
    <m/>
  </r>
  <r>
    <s v="AP Windsor Co-Invest, L.P."/>
    <x v="59"/>
    <x v="28"/>
    <x v="8"/>
    <n v="704266"/>
    <s v="By Commitment (No Date)"/>
    <d v="2024-12-30T00:00:00"/>
    <s v="Yes"/>
  </r>
  <r>
    <s v="AP Windsor Co-Invest, L.P."/>
    <x v="59"/>
    <x v="14"/>
    <x v="12"/>
    <n v="30920.69"/>
    <s v="By Commitment (No Date)"/>
    <d v="2024-12-30T00:00:00"/>
    <s v="Yes"/>
  </r>
  <r>
    <s v="AP Windsor Co-Invest, L.P."/>
    <x v="59"/>
    <x v="15"/>
    <x v="13"/>
    <n v="993.84"/>
    <s v="By Commitment (No Date)"/>
    <d v="2024-12-30T00:00:00"/>
    <s v="Yes"/>
  </r>
  <r>
    <s v="AP Windsor Co-Invest, L.P."/>
    <x v="59"/>
    <x v="10"/>
    <x v="8"/>
    <n v="170046.02"/>
    <s v="By Commitment (No Date)"/>
    <d v="2024-12-30T00:00:00"/>
    <s v="Yes"/>
  </r>
  <r>
    <s v="AP Windsor Co-Invest, L.P."/>
    <x v="59"/>
    <x v="20"/>
    <x v="16"/>
    <n v="500"/>
    <s v="By Commitment (No Date)"/>
    <d v="2024-12-30T00:00:00"/>
    <s v="Yes"/>
  </r>
  <r>
    <s v="AP Windsor Co-Invest, L.P."/>
    <x v="59"/>
    <x v="39"/>
    <x v="5"/>
    <n v="34496.28"/>
    <s v="By Commitment (No Date)"/>
    <d v="2024-12-30T00:00:00"/>
    <s v="Yes"/>
  </r>
  <r>
    <s v="AP Windsor Co-Invest, L.P."/>
    <x v="60"/>
    <x v="3"/>
    <x v="3"/>
    <n v="-252249.16"/>
    <s v="User Provided"/>
    <d v="2024-12-31T00:00:00"/>
    <m/>
  </r>
  <r>
    <s v="AP Windsor Co-Invest, L.P."/>
    <x v="60"/>
    <x v="12"/>
    <x v="10"/>
    <n v="4100"/>
    <s v="By Commitment (No Date)"/>
    <d v="2024-12-31T00:00:00"/>
    <s v="No"/>
  </r>
  <r>
    <s v="AP Windsor Co-Invest, L.P."/>
    <x v="60"/>
    <x v="13"/>
    <x v="11"/>
    <n v="633.89"/>
    <s v="By Commitment (No Date)"/>
    <d v="2024-12-31T00:00:00"/>
    <s v="No"/>
  </r>
  <r>
    <s v="AP Windsor Co-Invest, L.P."/>
    <x v="60"/>
    <x v="14"/>
    <x v="12"/>
    <n v="8624.07"/>
    <s v="By Commitment (No Date)"/>
    <d v="2024-12-31T00:00:00"/>
    <s v="No"/>
  </r>
  <r>
    <s v="AP Windsor Co-Invest, L.P."/>
    <x v="60"/>
    <x v="40"/>
    <x v="8"/>
    <n v="15127.14"/>
    <s v="By Commitment (No Date)"/>
    <d v="2024-12-31T00:00:00"/>
    <s v="No"/>
  </r>
  <r>
    <s v="AP Windsor Co-Invest, L.P."/>
    <x v="60"/>
    <x v="16"/>
    <x v="14"/>
    <n v="10222"/>
    <s v="By Commitment (No Date)"/>
    <d v="2024-12-31T00:00:00"/>
    <s v="No"/>
  </r>
  <r>
    <s v="AP Windsor Co-Invest, L.P."/>
    <x v="60"/>
    <x v="29"/>
    <x v="22"/>
    <n v="-165694111.19999999"/>
    <s v="Fiscal Year End Close (Allocated)"/>
    <d v="2024-12-31T00:00:00"/>
    <m/>
  </r>
  <r>
    <s v="AP Windsor Co-Invest, L.P."/>
    <x v="60"/>
    <x v="29"/>
    <x v="26"/>
    <n v="19537408.57"/>
    <s v="Fiscal Year End Close (Allocated)"/>
    <d v="2024-12-31T00:00:00"/>
    <m/>
  </r>
  <r>
    <s v="AP Windsor Co-Invest, L.P."/>
    <x v="60"/>
    <x v="29"/>
    <x v="4"/>
    <n v="515557.48"/>
    <s v="Fiscal Year End Close (Allocated)"/>
    <d v="2024-12-31T00:00:00"/>
    <m/>
  </r>
  <r>
    <s v="AP Windsor Co-Invest, L.P."/>
    <x v="60"/>
    <x v="29"/>
    <x v="23"/>
    <n v="148257526.97"/>
    <s v="Fiscal Year End Close (Allocated)"/>
    <d v="2024-12-31T00:00:00"/>
    <m/>
  </r>
  <r>
    <s v="AP Windsor Co-Invest, L.P."/>
    <x v="60"/>
    <x v="29"/>
    <x v="25"/>
    <n v="-47215.94"/>
    <s v="Fiscal Year End Close (Allocated)"/>
    <d v="2024-12-31T00:00:00"/>
    <m/>
  </r>
  <r>
    <s v="AP Windsor Co-Invest, L.P."/>
    <x v="60"/>
    <x v="29"/>
    <x v="11"/>
    <n v="-10049.280000000001"/>
    <s v="Fiscal Year End Close (Allocated)"/>
    <d v="2024-12-31T00:00:00"/>
    <m/>
  </r>
  <r>
    <s v="AP Windsor Co-Invest, L.P."/>
    <x v="60"/>
    <x v="29"/>
    <x v="8"/>
    <n v="-2356774"/>
    <s v="Fiscal Year End Close (Allocated)"/>
    <d v="2024-12-31T00:00:00"/>
    <m/>
  </r>
  <r>
    <s v="AP Windsor Co-Invest, L.P."/>
    <x v="60"/>
    <x v="29"/>
    <x v="12"/>
    <n v="-65416.97"/>
    <s v="Fiscal Year End Close (Allocated)"/>
    <d v="2024-12-31T00:00:00"/>
    <m/>
  </r>
  <r>
    <s v="AP Windsor Co-Invest, L.P."/>
    <x v="60"/>
    <x v="29"/>
    <x v="13"/>
    <n v="-5149.66"/>
    <s v="Fiscal Year End Close (Allocated)"/>
    <d v="2024-12-31T00:00:00"/>
    <m/>
  </r>
  <r>
    <s v="AP Windsor Co-Invest, L.P."/>
    <x v="60"/>
    <x v="29"/>
    <x v="10"/>
    <n v="-13400"/>
    <s v="Fiscal Year End Close (Allocated)"/>
    <d v="2024-12-31T00:00:00"/>
    <m/>
  </r>
  <r>
    <s v="AP Windsor Co-Invest, L.P."/>
    <x v="60"/>
    <x v="29"/>
    <x v="14"/>
    <n v="-15584.8"/>
    <s v="Fiscal Year End Close (Allocated)"/>
    <d v="2024-12-31T00:00:00"/>
    <m/>
  </r>
  <r>
    <s v="AP Windsor Co-Invest, L.P."/>
    <x v="60"/>
    <x v="29"/>
    <x v="28"/>
    <n v="-102791.17"/>
    <s v="Fiscal Year End Close (Allocated)"/>
    <d v="2024-12-31T00:00:00"/>
    <m/>
  </r>
  <r>
    <s v="AP Windsor Co-Invest, L.P."/>
    <x v="60"/>
    <x v="5"/>
    <x v="4"/>
    <n v="-331.56"/>
    <s v="By Commitment (No Date)"/>
    <d v="2024-12-31T00:00:00"/>
    <s v="Yes"/>
  </r>
  <r>
    <s v="AP Windsor Co-Invest, L.P."/>
    <x v="60"/>
    <x v="30"/>
    <x v="24"/>
    <n v="84321864.420000002"/>
    <s v="Non-Dominant"/>
    <d v="2024-12-31T00:00:00"/>
    <m/>
  </r>
  <r>
    <s v="AP Windsor Co-Invest, L.P."/>
    <x v="60"/>
    <x v="19"/>
    <x v="15"/>
    <n v="-4100"/>
    <s v="Non-Dominant"/>
    <d v="2024-12-31T00:00:00"/>
    <s v="No"/>
  </r>
  <r>
    <s v="AP Windsor Co-Invest, L.P."/>
    <x v="60"/>
    <x v="20"/>
    <x v="16"/>
    <n v="-633.89"/>
    <s v="Non-Dominant"/>
    <d v="2024-12-31T00:00:00"/>
    <s v="No"/>
  </r>
  <r>
    <s v="AP Windsor Co-Invest, L.P."/>
    <x v="60"/>
    <x v="39"/>
    <x v="5"/>
    <n v="-8624.07"/>
    <s v="Non-Dominant"/>
    <d v="2024-12-31T00:00:00"/>
    <s v="No"/>
  </r>
  <r>
    <s v="AP Windsor Co-Invest, L.P."/>
    <x v="60"/>
    <x v="6"/>
    <x v="5"/>
    <n v="-15127.14"/>
    <s v="Non-Dominant"/>
    <d v="2024-12-31T00:00:00"/>
    <s v="No"/>
  </r>
  <r>
    <s v="AP Windsor Co-Invest, L.P."/>
    <x v="60"/>
    <x v="22"/>
    <x v="18"/>
    <n v="-10222"/>
    <s v="Non-Dominant"/>
    <d v="2024-12-31T00:00:00"/>
    <s v="No"/>
  </r>
  <r>
    <s v="AP Windsor Co-Invest, L.P."/>
    <x v="60"/>
    <x v="23"/>
    <x v="19"/>
    <n v="331.56"/>
    <s v="Non-Dominant"/>
    <d v="2024-12-31T00:00:00"/>
    <s v="No"/>
  </r>
  <r>
    <s v="AP Windsor Co-Invest, L.P."/>
    <x v="60"/>
    <x v="41"/>
    <x v="27"/>
    <n v="252249.16"/>
    <s v="Non-Dominant"/>
    <d v="2024-12-31T00:00:00"/>
    <m/>
  </r>
  <r>
    <s v="AP Windsor Co-Invest, L.P."/>
    <x v="60"/>
    <x v="31"/>
    <x v="23"/>
    <n v="-84321864.420000002"/>
    <s v="By Commitment (No Date)"/>
    <d v="2024-12-31T00:00:00"/>
    <m/>
  </r>
  <r>
    <s v="AP Windsor Co-Invest, L.P."/>
    <x v="61"/>
    <x v="3"/>
    <x v="3"/>
    <n v="331.56"/>
    <s v="Non-Dominant"/>
    <d v="2025-01-02T00:00:00"/>
    <s v="Yes"/>
  </r>
  <r>
    <s v="AP Windsor Co-Invest, L.P."/>
    <x v="61"/>
    <x v="23"/>
    <x v="19"/>
    <n v="-331.56"/>
    <s v="By Commitment (No Date)"/>
    <d v="2025-01-02T00:00:00"/>
    <s v="Yes"/>
  </r>
  <r>
    <s v="AP Windsor Co-Invest, L.P."/>
    <x v="62"/>
    <x v="3"/>
    <x v="3"/>
    <n v="252249.16"/>
    <s v="User Provided"/>
    <d v="2025-01-06T00:00:00"/>
    <s v="Yes"/>
  </r>
  <r>
    <s v="AP Windsor Co-Invest, L.P."/>
    <x v="62"/>
    <x v="41"/>
    <x v="27"/>
    <n v="-252249.16"/>
    <s v="Non-Dominant"/>
    <d v="2025-01-06T00:00:00"/>
    <s v="Yes"/>
  </r>
  <r>
    <s v="AP Windsor Co-Invest, L.P."/>
    <x v="63"/>
    <x v="4"/>
    <x v="3"/>
    <n v="-13774.23"/>
    <s v="Non-Dominant"/>
    <d v="2025-01-31T00:00:00"/>
    <s v="Yes"/>
  </r>
  <r>
    <s v="AP Windsor Co-Invest, L.P."/>
    <x v="63"/>
    <x v="43"/>
    <x v="29"/>
    <n v="253.91"/>
    <s v="By Commitment (No Date)"/>
    <d v="2025-01-31T00:00:00"/>
    <s v="Yes"/>
  </r>
  <r>
    <s v="AP Windsor Co-Invest, L.P."/>
    <x v="63"/>
    <x v="44"/>
    <x v="30"/>
    <n v="12.15"/>
    <s v="By Commitment (No Date)"/>
    <d v="2025-01-31T00:00:00"/>
    <s v="Yes"/>
  </r>
  <r>
    <s v="AP Windsor Co-Invest, L.P."/>
    <x v="63"/>
    <x v="15"/>
    <x v="13"/>
    <n v="339.18"/>
    <s v="By Commitment (No Date)"/>
    <d v="2025-01-31T00:00:00"/>
    <s v="Yes"/>
  </r>
  <r>
    <s v="AP Windsor Co-Invest, L.P."/>
    <x v="63"/>
    <x v="10"/>
    <x v="8"/>
    <n v="8422.99"/>
    <s v="By Commitment (No Date)"/>
    <d v="2025-01-31T00:00:00"/>
    <s v="Yes"/>
  </r>
  <r>
    <s v="AP Windsor Co-Invest, L.P."/>
    <x v="63"/>
    <x v="45"/>
    <x v="31"/>
    <n v="152.96"/>
    <s v="By Commitment (No Date)"/>
    <d v="2025-01-31T00:00:00"/>
    <s v="Yes"/>
  </r>
  <r>
    <s v="AP Windsor Co-Invest, L.P."/>
    <x v="63"/>
    <x v="46"/>
    <x v="32"/>
    <n v="1749.85"/>
    <s v="By Commitment (No Date)"/>
    <d v="2025-01-31T00:00:00"/>
    <s v="Yes"/>
  </r>
  <r>
    <s v="AP Windsor Co-Invest, L.P."/>
    <x v="63"/>
    <x v="6"/>
    <x v="5"/>
    <n v="2843.19"/>
    <s v="By Commitment (No Date)"/>
    <d v="2025-01-31T00:00:00"/>
    <s v="Yes"/>
  </r>
  <r>
    <s v="AP Windsor Co-Invest, L.P."/>
    <x v="64"/>
    <x v="3"/>
    <x v="3"/>
    <n v="2103.33"/>
    <s v="Non-Dominant"/>
    <d v="2025-02-01T00:00:00"/>
    <s v="Yes"/>
  </r>
  <r>
    <s v="AP Windsor Co-Invest, L.P."/>
    <x v="64"/>
    <x v="5"/>
    <x v="4"/>
    <n v="-2103.33"/>
    <s v="By Commitment (No Date)"/>
    <d v="2025-02-01T00:00:00"/>
    <s v="Yes"/>
  </r>
  <r>
    <s v="AP Windsor Co-Invest, L.P."/>
    <x v="65"/>
    <x v="4"/>
    <x v="3"/>
    <n v="-149590.35999999999"/>
    <s v="Non-Dominant"/>
    <d v="2025-02-27T00:00:00"/>
    <s v="Yes"/>
  </r>
  <r>
    <s v="AP Windsor Co-Invest, L.P."/>
    <x v="65"/>
    <x v="43"/>
    <x v="29"/>
    <n v="117165"/>
    <s v="By Commitment (No Date)"/>
    <d v="2025-02-27T00:00:00"/>
    <s v="Yes"/>
  </r>
  <r>
    <s v="AP Windsor Co-Invest, L.P."/>
    <x v="65"/>
    <x v="44"/>
    <x v="30"/>
    <n v="50.01"/>
    <s v="By Commitment (No Date)"/>
    <d v="2025-02-27T00:00:00"/>
    <s v="Yes"/>
  </r>
  <r>
    <s v="AP Windsor Co-Invest, L.P."/>
    <x v="65"/>
    <x v="15"/>
    <x v="13"/>
    <n v="4.51"/>
    <s v="By Commitment (No Date)"/>
    <d v="2025-02-27T00:00:00"/>
    <s v="Yes"/>
  </r>
  <r>
    <s v="AP Windsor Co-Invest, L.P."/>
    <x v="65"/>
    <x v="47"/>
    <x v="33"/>
    <n v="102.74"/>
    <s v="By Commitment (No Date)"/>
    <d v="2025-02-27T00:00:00"/>
    <s v="Yes"/>
  </r>
  <r>
    <s v="AP Windsor Co-Invest, L.P."/>
    <x v="65"/>
    <x v="10"/>
    <x v="8"/>
    <n v="3346.84"/>
    <s v="By Commitment (No Date)"/>
    <d v="2025-02-27T00:00:00"/>
    <s v="Yes"/>
  </r>
  <r>
    <s v="AP Windsor Co-Invest, L.P."/>
    <x v="65"/>
    <x v="45"/>
    <x v="31"/>
    <n v="25911.97"/>
    <s v="By Commitment (No Date)"/>
    <d v="2025-02-27T00:00:00"/>
    <s v="Yes"/>
  </r>
  <r>
    <s v="AP Windsor Co-Invest, L.P."/>
    <x v="65"/>
    <x v="46"/>
    <x v="32"/>
    <n v="636.78"/>
    <s v="By Commitment (No Date)"/>
    <d v="2025-02-27T00:00:00"/>
    <s v="Yes"/>
  </r>
  <r>
    <s v="AP Windsor Co-Invest, L.P."/>
    <x v="65"/>
    <x v="6"/>
    <x v="5"/>
    <n v="2372.5100000000002"/>
    <s v="By Commitment (No Date)"/>
    <d v="2025-02-27T00:00:00"/>
    <s v="Yes"/>
  </r>
  <r>
    <s v="AP Windsor Co-Invest, L.P."/>
    <x v="66"/>
    <x v="3"/>
    <x v="3"/>
    <n v="1950.63"/>
    <s v="Non-Dominant"/>
    <d v="2025-03-03T00:00:00"/>
    <s v="Yes"/>
  </r>
  <r>
    <s v="AP Windsor Co-Invest, L.P."/>
    <x v="66"/>
    <x v="5"/>
    <x v="4"/>
    <n v="-1950.63"/>
    <s v="By Commitment (No Date)"/>
    <d v="2025-03-03T00:00:00"/>
    <s v="Yes"/>
  </r>
  <r>
    <s v="AP Windsor Co-Invest, L.P."/>
    <x v="67"/>
    <x v="4"/>
    <x v="3"/>
    <n v="-128279"/>
    <s v="Non-Dominant"/>
    <d v="2025-03-21T00:00:00"/>
    <s v="Yes"/>
  </r>
  <r>
    <s v="AP Windsor Co-Invest, L.P."/>
    <x v="67"/>
    <x v="48"/>
    <x v="34"/>
    <n v="128279"/>
    <s v="By Commitment (No Date)"/>
    <d v="2025-03-21T00:00:00"/>
    <s v="Yes"/>
  </r>
  <r>
    <s v="AP Windsor Co-Invest, L.P."/>
    <x v="68"/>
    <x v="4"/>
    <x v="3"/>
    <n v="-77560.62"/>
    <s v="Non-Dominant"/>
    <d v="2025-03-31T00:00:00"/>
    <s v="Yes"/>
  </r>
  <r>
    <s v="AP Windsor Co-Invest, L.P."/>
    <x v="68"/>
    <x v="12"/>
    <x v="10"/>
    <n v="3350"/>
    <s v="By Commitment (No Date)"/>
    <d v="2025-03-31T00:00:00"/>
    <s v="No"/>
  </r>
  <r>
    <s v="AP Windsor Co-Invest, L.P."/>
    <x v="68"/>
    <x v="13"/>
    <x v="11"/>
    <n v="750"/>
    <s v="By Commitment (No Date)"/>
    <d v="2025-03-31T00:00:00"/>
    <s v="No"/>
  </r>
  <r>
    <s v="AP Windsor Co-Invest, L.P."/>
    <x v="68"/>
    <x v="43"/>
    <x v="29"/>
    <n v="42590.53"/>
    <s v="By Commitment (No Date)"/>
    <d v="2025-03-31T00:00:00"/>
    <s v="Yes"/>
  </r>
  <r>
    <s v="AP Windsor Co-Invest, L.P."/>
    <x v="68"/>
    <x v="15"/>
    <x v="13"/>
    <n v="296.2"/>
    <s v="By Commitment (No Date)"/>
    <d v="2025-03-31T00:00:00"/>
    <s v="Yes"/>
  </r>
  <r>
    <s v="AP Windsor Co-Invest, L.P."/>
    <x v="68"/>
    <x v="10"/>
    <x v="8"/>
    <n v="5621.73"/>
    <s v="By Commitment (No Date)"/>
    <d v="2025-03-31T00:00:00"/>
    <s v="Yes"/>
  </r>
  <r>
    <s v="AP Windsor Co-Invest, L.P."/>
    <x v="68"/>
    <x v="45"/>
    <x v="31"/>
    <n v="12"/>
    <s v="By Commitment (No Date)"/>
    <d v="2025-03-31T00:00:00"/>
    <s v="Yes"/>
  </r>
  <r>
    <s v="AP Windsor Co-Invest, L.P."/>
    <x v="68"/>
    <x v="49"/>
    <x v="35"/>
    <n v="12362"/>
    <s v="By Commitment (No Date)"/>
    <d v="2025-03-31T00:00:00"/>
    <s v="Yes"/>
  </r>
  <r>
    <s v="AP Windsor Co-Invest, L.P."/>
    <x v="68"/>
    <x v="46"/>
    <x v="32"/>
    <n v="1852.55"/>
    <s v="By Commitment (No Date)"/>
    <d v="2025-03-31T00:00:00"/>
    <s v="Yes"/>
  </r>
  <r>
    <s v="AP Windsor Co-Invest, L.P."/>
    <x v="68"/>
    <x v="16"/>
    <x v="14"/>
    <n v="2555.5"/>
    <s v="By Commitment (No Date)"/>
    <d v="2025-03-31T00:00:00"/>
    <s v="No"/>
  </r>
  <r>
    <s v="AP Windsor Co-Invest, L.P."/>
    <x v="68"/>
    <x v="33"/>
    <x v="14"/>
    <n v="428.75"/>
    <s v="By Commitment (No Date)"/>
    <d v="2025-03-31T00:00:00"/>
    <s v="Yes"/>
  </r>
  <r>
    <s v="AP Windsor Co-Invest, L.P."/>
    <x v="68"/>
    <x v="50"/>
    <x v="36"/>
    <n v="3424.92"/>
    <s v="By Commitment (No Date)"/>
    <d v="2025-03-31T00:00:00"/>
    <s v="Yes"/>
  </r>
  <r>
    <s v="AP Windsor Co-Invest, L.P."/>
    <x v="68"/>
    <x v="30"/>
    <x v="24"/>
    <n v="44746548.549999997"/>
    <s v="Non-Dominant"/>
    <d v="2025-03-31T00:00:00"/>
    <m/>
  </r>
  <r>
    <s v="AP Windsor Co-Invest, L.P."/>
    <x v="68"/>
    <x v="17"/>
    <x v="0"/>
    <n v="-4"/>
    <s v="User Provided"/>
    <d v="2025-03-31T00:00:00"/>
    <m/>
  </r>
  <r>
    <s v="AP Windsor Co-Invest, L.P."/>
    <x v="68"/>
    <x v="19"/>
    <x v="15"/>
    <n v="-3350"/>
    <s v="Non-Dominant"/>
    <d v="2025-03-31T00:00:00"/>
    <s v="No"/>
  </r>
  <r>
    <s v="AP Windsor Co-Invest, L.P."/>
    <x v="68"/>
    <x v="20"/>
    <x v="16"/>
    <n v="-750"/>
    <s v="Non-Dominant"/>
    <d v="2025-03-31T00:00:00"/>
    <s v="No"/>
  </r>
  <r>
    <s v="AP Windsor Co-Invest, L.P."/>
    <x v="68"/>
    <x v="6"/>
    <x v="5"/>
    <n v="749.94"/>
    <s v="By Commitment (No Date)"/>
    <d v="2025-03-31T00:00:00"/>
    <s v="Yes"/>
  </r>
  <r>
    <s v="AP Windsor Co-Invest, L.P."/>
    <x v="68"/>
    <x v="22"/>
    <x v="18"/>
    <n v="10222"/>
    <s v="By Commitment (No Date)"/>
    <d v="2025-03-31T00:00:00"/>
    <s v="Yes"/>
  </r>
  <r>
    <s v="AP Windsor Co-Invest, L.P."/>
    <x v="68"/>
    <x v="22"/>
    <x v="18"/>
    <n v="-2555.5"/>
    <s v="Non-Dominant"/>
    <d v="2025-03-31T00:00:00"/>
    <s v="No"/>
  </r>
  <r>
    <s v="AP Windsor Co-Invest, L.P."/>
    <x v="68"/>
    <x v="31"/>
    <x v="23"/>
    <n v="-44746548.549999997"/>
    <s v="By Commitment (No Date)"/>
    <d v="2025-03-31T00:00:00"/>
    <m/>
  </r>
  <r>
    <s v="AP Windsor Co-Invest, L.P."/>
    <x v="69"/>
    <x v="3"/>
    <x v="3"/>
    <n v="1476.76"/>
    <s v="Non-Dominant"/>
    <d v="2025-04-01T00:00:00"/>
    <s v="Yes"/>
  </r>
  <r>
    <s v="AP Windsor Co-Invest, L.P."/>
    <x v="69"/>
    <x v="5"/>
    <x v="4"/>
    <n v="-1476.76"/>
    <s v="By Commitment (No Date)"/>
    <d v="2025-04-01T00:00:00"/>
    <s v="Yes"/>
  </r>
  <r>
    <s v="AP Windsor Co-Invest, L.P."/>
    <x v="70"/>
    <x v="3"/>
    <x v="3"/>
    <n v="880.12"/>
    <s v="Non-Dominant"/>
    <d v="2025-05-01T00:00:00"/>
    <s v="Yes"/>
  </r>
  <r>
    <s v="AP Windsor Co-Invest, L.P."/>
    <x v="70"/>
    <x v="5"/>
    <x v="4"/>
    <n v="-880.12"/>
    <s v="By Commitment (No Date)"/>
    <d v="2025-05-01T00:00:00"/>
    <s v="Yes"/>
  </r>
  <r>
    <s v="AP Windsor Co-Invest, L.P."/>
    <x v="71"/>
    <x v="4"/>
    <x v="3"/>
    <n v="-18286.82"/>
    <s v="Non-Dominant"/>
    <d v="2025-05-05T00:00:00"/>
    <s v="Yes"/>
  </r>
  <r>
    <s v="AP Windsor Co-Invest, L.P."/>
    <x v="71"/>
    <x v="44"/>
    <x v="30"/>
    <n v="6817.04"/>
    <s v="By Commitment (No Date)"/>
    <d v="2025-05-05T00:00:00"/>
    <s v="Yes"/>
  </r>
  <r>
    <s v="AP Windsor Co-Invest, L.P."/>
    <x v="71"/>
    <x v="15"/>
    <x v="13"/>
    <n v="769.75"/>
    <s v="By Commitment (No Date)"/>
    <d v="2025-05-05T00:00:00"/>
    <s v="Yes"/>
  </r>
  <r>
    <s v="AP Windsor Co-Invest, L.P."/>
    <x v="71"/>
    <x v="10"/>
    <x v="8"/>
    <n v="5067.5200000000004"/>
    <s v="By Commitment (No Date)"/>
    <d v="2025-05-05T00:00:00"/>
    <s v="Yes"/>
  </r>
  <r>
    <s v="AP Windsor Co-Invest, L.P."/>
    <x v="71"/>
    <x v="49"/>
    <x v="35"/>
    <n v="3493.82"/>
    <s v="By Commitment (No Date)"/>
    <d v="2025-05-05T00:00:00"/>
    <s v="Yes"/>
  </r>
  <r>
    <s v="AP Windsor Co-Invest, L.P."/>
    <x v="71"/>
    <x v="46"/>
    <x v="32"/>
    <n v="1688.69"/>
    <s v="By Commitment (No Date)"/>
    <d v="2025-05-05T00:00:00"/>
    <s v="Yes"/>
  </r>
  <r>
    <s v="AP Windsor Co-Invest, L.P."/>
    <x v="71"/>
    <x v="22"/>
    <x v="18"/>
    <n v="450"/>
    <s v="By Commitment (No Date)"/>
    <d v="2025-05-05T00:00:00"/>
    <s v="Yes"/>
  </r>
  <r>
    <s v="AP Windsor Co-Invest, L.P."/>
    <x v="72"/>
    <x v="4"/>
    <x v="3"/>
    <n v="-45663.67"/>
    <s v="Non-Dominant"/>
    <d v="2025-05-30T00:00:00"/>
    <s v="Yes"/>
  </r>
  <r>
    <s v="AP Windsor Co-Invest, L.P."/>
    <x v="72"/>
    <x v="43"/>
    <x v="29"/>
    <n v="1530"/>
    <s v="By Commitment (No Date)"/>
    <d v="2025-05-30T00:00:00"/>
    <s v="Yes"/>
  </r>
  <r>
    <s v="AP Windsor Co-Invest, L.P."/>
    <x v="72"/>
    <x v="44"/>
    <x v="30"/>
    <n v="2671.08"/>
    <s v="By Commitment (No Date)"/>
    <d v="2025-05-30T00:00:00"/>
    <s v="Yes"/>
  </r>
  <r>
    <s v="AP Windsor Co-Invest, L.P."/>
    <x v="72"/>
    <x v="15"/>
    <x v="13"/>
    <n v="88.37"/>
    <s v="By Commitment (No Date)"/>
    <d v="2025-05-30T00:00:00"/>
    <s v="Yes"/>
  </r>
  <r>
    <s v="AP Windsor Co-Invest, L.P."/>
    <x v="72"/>
    <x v="10"/>
    <x v="8"/>
    <n v="2896.62"/>
    <s v="By Commitment (No Date)"/>
    <d v="2025-05-30T00:00:00"/>
    <s v="Yes"/>
  </r>
  <r>
    <s v="AP Windsor Co-Invest, L.P."/>
    <x v="72"/>
    <x v="45"/>
    <x v="31"/>
    <n v="33372.879999999997"/>
    <s v="By Commitment (No Date)"/>
    <d v="2025-05-30T00:00:00"/>
    <s v="Yes"/>
  </r>
  <r>
    <s v="AP Windsor Co-Invest, L.P."/>
    <x v="72"/>
    <x v="49"/>
    <x v="35"/>
    <n v="2383"/>
    <s v="By Commitment (No Date)"/>
    <d v="2025-05-30T00:00:00"/>
    <s v="Yes"/>
  </r>
  <r>
    <s v="AP Windsor Co-Invest, L.P."/>
    <x v="72"/>
    <x v="46"/>
    <x v="32"/>
    <n v="1221.72"/>
    <s v="By Commitment (No Date)"/>
    <d v="2025-05-30T00:00:00"/>
    <s v="Yes"/>
  </r>
  <r>
    <s v="AP Windsor Co-Invest, L.P."/>
    <x v="72"/>
    <x v="20"/>
    <x v="16"/>
    <n v="1500"/>
    <s v="By Commitment (No Date)"/>
    <d v="2025-05-30T00:00:00"/>
    <s v="Yes"/>
  </r>
  <r>
    <s v="AP Windsor Co-Invest, L.P."/>
    <x v="73"/>
    <x v="3"/>
    <x v="3"/>
    <n v="839.39"/>
    <s v="Non-Dominant"/>
    <d v="2025-06-02T00:00:00"/>
    <s v="Yes"/>
  </r>
  <r>
    <s v="AP Windsor Co-Invest, L.P."/>
    <x v="73"/>
    <x v="5"/>
    <x v="4"/>
    <n v="-839.39"/>
    <s v="By Commitment (No Date)"/>
    <d v="2025-06-02T00:00:00"/>
    <s v="Yes"/>
  </r>
  <r>
    <s v="AP Windsor Co-Invest, L.P."/>
    <x v="74"/>
    <x v="4"/>
    <x v="3"/>
    <n v="-146678.48000000001"/>
    <s v="Non-Dominant"/>
    <d v="2025-06-27T00:00:00"/>
    <s v="Yes"/>
  </r>
  <r>
    <s v="AP Windsor Co-Invest, L.P."/>
    <x v="74"/>
    <x v="48"/>
    <x v="34"/>
    <n v="91665"/>
    <s v="By Commitment (No Date)"/>
    <d v="2025-06-27T00:00:00"/>
    <s v="Yes"/>
  </r>
  <r>
    <s v="AP Windsor Co-Invest, L.P."/>
    <x v="74"/>
    <x v="43"/>
    <x v="29"/>
    <n v="43.88"/>
    <s v="By Commitment (No Date)"/>
    <d v="2025-06-27T00:00:00"/>
    <s v="Yes"/>
  </r>
  <r>
    <s v="AP Windsor Co-Invest, L.P."/>
    <x v="74"/>
    <x v="15"/>
    <x v="13"/>
    <n v="127.61"/>
    <s v="By Commitment (No Date)"/>
    <d v="2025-06-27T00:00:00"/>
    <s v="Yes"/>
  </r>
  <r>
    <s v="AP Windsor Co-Invest, L.P."/>
    <x v="74"/>
    <x v="10"/>
    <x v="8"/>
    <n v="43149.04"/>
    <s v="By Commitment (No Date)"/>
    <d v="2025-06-27T00:00:00"/>
    <s v="Yes"/>
  </r>
  <r>
    <s v="AP Windsor Co-Invest, L.P."/>
    <x v="74"/>
    <x v="45"/>
    <x v="31"/>
    <n v="4706.43"/>
    <s v="By Commitment (No Date)"/>
    <d v="2025-06-27T00:00:00"/>
    <s v="Yes"/>
  </r>
  <r>
    <s v="AP Windsor Co-Invest, L.P."/>
    <x v="74"/>
    <x v="49"/>
    <x v="35"/>
    <n v="4413.09"/>
    <s v="By Commitment (No Date)"/>
    <d v="2025-06-27T00:00:00"/>
    <s v="Yes"/>
  </r>
  <r>
    <s v="AP Windsor Co-Invest, L.P."/>
    <x v="74"/>
    <x v="46"/>
    <x v="32"/>
    <n v="1768.77"/>
    <s v="By Commitment (No Date)"/>
    <d v="2025-06-27T00:00:00"/>
    <s v="Yes"/>
  </r>
  <r>
    <s v="AP Windsor Co-Invest, L.P."/>
    <x v="74"/>
    <x v="20"/>
    <x v="16"/>
    <n v="250"/>
    <s v="By Commitment (No Date)"/>
    <d v="2025-06-27T00:00:00"/>
    <s v="Yes"/>
  </r>
  <r>
    <s v="AP Windsor Co-Invest, L.P."/>
    <x v="74"/>
    <x v="22"/>
    <x v="18"/>
    <n v="554.66"/>
    <s v="By Commitment (No Date)"/>
    <d v="2025-06-27T00:00:00"/>
    <s v="Yes"/>
  </r>
  <r>
    <s v="AP Windsor Co-Invest, L.P."/>
    <x v="75"/>
    <x v="12"/>
    <x v="10"/>
    <n v="3350"/>
    <s v="By Commitment (No Date)"/>
    <d v="2025-06-30T00:00:00"/>
    <s v="No"/>
  </r>
  <r>
    <s v="AP Windsor Co-Invest, L.P."/>
    <x v="75"/>
    <x v="13"/>
    <x v="11"/>
    <n v="750"/>
    <s v="By Commitment (No Date)"/>
    <d v="2025-06-30T00:00:00"/>
    <s v="No"/>
  </r>
  <r>
    <s v="AP Windsor Co-Invest, L.P."/>
    <x v="75"/>
    <x v="10"/>
    <x v="8"/>
    <n v="0.05"/>
    <s v="Non-Dominant"/>
    <d v="2025-06-30T00:00:00"/>
    <s v="Yes"/>
  </r>
  <r>
    <s v="AP Windsor Co-Invest, L.P."/>
    <x v="75"/>
    <x v="16"/>
    <x v="14"/>
    <n v="2555.5"/>
    <s v="By Commitment (No Date)"/>
    <d v="2025-06-30T00:00:00"/>
    <s v="No"/>
  </r>
  <r>
    <s v="AP Windsor Co-Invest, L.P."/>
    <x v="75"/>
    <x v="30"/>
    <x v="24"/>
    <n v="28894950.66"/>
    <s v="Non-Dominant"/>
    <d v="2025-06-30T00:00:00"/>
    <m/>
  </r>
  <r>
    <s v="AP Windsor Co-Invest, L.P."/>
    <x v="75"/>
    <x v="17"/>
    <x v="0"/>
    <n v="7"/>
    <s v="User Provided"/>
    <d v="2025-06-30T00:00:00"/>
    <m/>
  </r>
  <r>
    <s v="AP Windsor Co-Invest, L.P."/>
    <x v="75"/>
    <x v="19"/>
    <x v="15"/>
    <n v="-3350"/>
    <s v="Non-Dominant"/>
    <d v="2025-06-30T00:00:00"/>
    <s v="No"/>
  </r>
  <r>
    <s v="AP Windsor Co-Invest, L.P."/>
    <x v="75"/>
    <x v="20"/>
    <x v="16"/>
    <n v="-750"/>
    <s v="Non-Dominant"/>
    <d v="2025-06-30T00:00:00"/>
    <s v="No"/>
  </r>
  <r>
    <s v="AP Windsor Co-Invest, L.P."/>
    <x v="75"/>
    <x v="22"/>
    <x v="18"/>
    <n v="-2555.5"/>
    <s v="Non-Dominant"/>
    <d v="2025-06-30T00:00:00"/>
    <s v="No"/>
  </r>
  <r>
    <s v="AP Windsor Co-Invest, L.P."/>
    <x v="75"/>
    <x v="7"/>
    <x v="6"/>
    <n v="-0.05"/>
    <s v="By Commitment (No Date)"/>
    <d v="2025-06-30T00:00:00"/>
    <m/>
  </r>
  <r>
    <s v="AP Windsor Co-Invest, L.P."/>
    <x v="75"/>
    <x v="31"/>
    <x v="23"/>
    <n v="-28894950.66"/>
    <s v="By Commitment (No Date)"/>
    <d v="2025-06-30T00:00:00"/>
    <m/>
  </r>
  <r>
    <s v="AP Windsor Co-Invest, L.P."/>
    <x v="76"/>
    <x v="3"/>
    <x v="3"/>
    <n v="606.62"/>
    <s v="Non-Dominant"/>
    <d v="2025-07-01T00:00:00"/>
    <s v="Yes"/>
  </r>
  <r>
    <s v="AP Windsor Co-Invest, L.P."/>
    <x v="76"/>
    <x v="5"/>
    <x v="4"/>
    <n v="-606.62"/>
    <s v="By Commitment (No Date)"/>
    <d v="2025-07-01T00:00:00"/>
    <s v="Yes"/>
  </r>
  <r>
    <s v="AP Windsor Co-Invest, L.P."/>
    <x v="77"/>
    <x v="4"/>
    <x v="3"/>
    <n v="-23786.42"/>
    <s v="Non-Dominant"/>
    <d v="2025-07-30T00:00:00"/>
    <m/>
  </r>
  <r>
    <s v="AP Windsor Co-Invest, L.P."/>
    <x v="77"/>
    <x v="43"/>
    <x v="29"/>
    <n v="1530"/>
    <s v="By Commitment (No Date)"/>
    <d v="2025-07-30T00:00:00"/>
    <s v="Yes"/>
  </r>
  <r>
    <s v="AP Windsor Co-Invest, L.P."/>
    <x v="77"/>
    <x v="44"/>
    <x v="30"/>
    <n v="1840.3"/>
    <s v="By Commitment (No Date)"/>
    <d v="2025-07-30T00:00:00"/>
    <s v="Yes"/>
  </r>
  <r>
    <s v="AP Windsor Co-Invest, L.P."/>
    <x v="77"/>
    <x v="15"/>
    <x v="13"/>
    <n v="961.89"/>
    <s v="By Commitment (No Date)"/>
    <d v="2025-07-30T00:00:00"/>
    <s v="Yes"/>
  </r>
  <r>
    <s v="AP Windsor Co-Invest, L.P."/>
    <x v="77"/>
    <x v="40"/>
    <x v="8"/>
    <n v="345.39"/>
    <s v="By Commitment (No Date)"/>
    <d v="2025-07-30T00:00:00"/>
    <s v="Yes"/>
  </r>
  <r>
    <s v="AP Windsor Co-Invest, L.P."/>
    <x v="77"/>
    <x v="45"/>
    <x v="31"/>
    <n v="3003.07"/>
    <s v="By Commitment (No Date)"/>
    <d v="2025-07-30T00:00:00"/>
    <s v="Yes"/>
  </r>
  <r>
    <s v="AP Windsor Co-Invest, L.P."/>
    <x v="77"/>
    <x v="49"/>
    <x v="35"/>
    <n v="167.88"/>
    <s v="By Commitment (No Date)"/>
    <d v="2025-07-30T00:00:00"/>
    <s v="Yes"/>
  </r>
  <r>
    <s v="AP Windsor Co-Invest, L.P."/>
    <x v="77"/>
    <x v="46"/>
    <x v="32"/>
    <n v="2537.89"/>
    <s v="By Commitment (No Date)"/>
    <d v="2025-07-30T00:00:00"/>
    <s v="Yes"/>
  </r>
  <r>
    <s v="AP Windsor Co-Invest, L.P."/>
    <x v="77"/>
    <x v="19"/>
    <x v="15"/>
    <n v="13400"/>
    <s v="By Commitment (No Date)"/>
    <d v="2025-07-30T00:00:00"/>
    <s v="Yes"/>
  </r>
  <r>
    <s v="AP Windsor Co-Invest, L.P."/>
    <x v="78"/>
    <x v="3"/>
    <x v="3"/>
    <n v="153.27000000000001"/>
    <s v="Non-Dominant"/>
    <d v="2025-08-01T00:00:00"/>
    <s v="Yes"/>
  </r>
  <r>
    <s v="AP Windsor Co-Invest, L.P."/>
    <x v="78"/>
    <x v="5"/>
    <x v="4"/>
    <n v="-153.27000000000001"/>
    <s v="By Commitment (No Date)"/>
    <d v="2025-08-01T00:00:00"/>
    <s v="Yes"/>
  </r>
  <r>
    <s v="AP Windsor Co-Invest, L.P."/>
    <x v="79"/>
    <x v="3"/>
    <x v="3"/>
    <n v="74.33"/>
    <s v="Non-Dominant"/>
    <d v="2025-09-01T00:00:00"/>
    <s v="Yes"/>
  </r>
  <r>
    <s v="AP Windsor Co-Invest, L.P."/>
    <x v="79"/>
    <x v="5"/>
    <x v="4"/>
    <n v="-74.33"/>
    <s v="By Commitment (No Date)"/>
    <d v="2025-09-01T00:00:00"/>
    <s v="Yes"/>
  </r>
  <r>
    <s v="AP Windsor Co-Invest, L.P."/>
    <x v="80"/>
    <x v="2"/>
    <x v="2"/>
    <n v="-1500000"/>
    <s v="By Commitment (No Date)"/>
    <d v="2025-09-26T00:00:00"/>
    <m/>
  </r>
  <r>
    <s v="AP Windsor Co-Invest, L.P."/>
    <x v="80"/>
    <x v="3"/>
    <x v="3"/>
    <n v="1500000"/>
    <s v="Non-Dominant"/>
    <d v="2025-09-26T00:00:00"/>
    <m/>
  </r>
  <r>
    <s v="AP Windsor Co-Invest, L.P."/>
    <x v="81"/>
    <x v="4"/>
    <x v="3"/>
    <n v="-639512.31999999995"/>
    <s v="Non-Dominant"/>
    <d v="2025-09-30T00:00:00"/>
    <s v="Yes"/>
  </r>
  <r>
    <s v="AP Windsor Co-Invest, L.P."/>
    <x v="81"/>
    <x v="12"/>
    <x v="10"/>
    <n v="3350"/>
    <s v="By Commitment (No Date)"/>
    <d v="2025-09-30T00:00:00"/>
    <s v="No"/>
  </r>
  <r>
    <s v="AP Windsor Co-Invest, L.P."/>
    <x v="81"/>
    <x v="13"/>
    <x v="11"/>
    <n v="750"/>
    <s v="By Commitment (No Date)"/>
    <d v="2025-09-30T00:00:00"/>
    <s v="No"/>
  </r>
  <r>
    <s v="AP Windsor Co-Invest, L.P."/>
    <x v="81"/>
    <x v="48"/>
    <x v="34"/>
    <n v="60237"/>
    <s v="By Commitment (No Date)"/>
    <d v="2025-09-30T00:00:00"/>
    <s v="Yes"/>
  </r>
  <r>
    <s v="AP Windsor Co-Invest, L.P."/>
    <x v="81"/>
    <x v="15"/>
    <x v="13"/>
    <n v="1068.99"/>
    <s v="By Commitment (No Date)"/>
    <d v="2025-09-30T00:00:00"/>
    <s v="Yes"/>
  </r>
  <r>
    <s v="AP Windsor Co-Invest, L.P."/>
    <x v="81"/>
    <x v="40"/>
    <x v="8"/>
    <n v="3790.61"/>
    <s v="By Commitment (No Date)"/>
    <d v="2025-09-30T00:00:00"/>
    <s v="Yes"/>
  </r>
  <r>
    <s v="AP Windsor Co-Invest, L.P."/>
    <x v="81"/>
    <x v="32"/>
    <x v="25"/>
    <n v="51527.46"/>
    <s v="By Commitment (No Date)"/>
    <d v="2025-09-30T00:00:00"/>
    <s v="Yes"/>
  </r>
  <r>
    <s v="AP Windsor Co-Invest, L.P."/>
    <x v="81"/>
    <x v="45"/>
    <x v="31"/>
    <n v="29648.54"/>
    <s v="By Commitment (No Date)"/>
    <d v="2025-09-30T00:00:00"/>
    <s v="Yes"/>
  </r>
  <r>
    <s v="AP Windsor Co-Invest, L.P."/>
    <x v="81"/>
    <x v="49"/>
    <x v="35"/>
    <n v="16000.26"/>
    <s v="By Commitment (No Date)"/>
    <d v="2025-09-30T00:00:00"/>
    <s v="Yes"/>
  </r>
  <r>
    <s v="AP Windsor Co-Invest, L.P."/>
    <x v="81"/>
    <x v="16"/>
    <x v="14"/>
    <n v="2555.5"/>
    <s v="By Commitment (No Date)"/>
    <d v="2025-09-30T00:00:00"/>
    <s v="No"/>
  </r>
  <r>
    <s v="AP Windsor Co-Invest, L.P."/>
    <x v="81"/>
    <x v="16"/>
    <x v="14"/>
    <n v="716.26"/>
    <s v="By Commitment (No Date)"/>
    <d v="2025-09-30T00:00:00"/>
    <s v="Yes"/>
  </r>
  <r>
    <s v="AP Windsor Co-Invest, L.P."/>
    <x v="81"/>
    <x v="50"/>
    <x v="36"/>
    <n v="6850.98"/>
    <s v="By Commitment (No Date)"/>
    <d v="2025-09-30T00:00:00"/>
    <s v="Yes"/>
  </r>
  <r>
    <s v="AP Windsor Co-Invest, L.P."/>
    <x v="81"/>
    <x v="30"/>
    <x v="24"/>
    <n v="10737105.199999999"/>
    <s v="Non-Dominant"/>
    <d v="2025-09-30T00:00:00"/>
    <m/>
  </r>
  <r>
    <s v="AP Windsor Co-Invest, L.P."/>
    <x v="81"/>
    <x v="19"/>
    <x v="15"/>
    <n v="-3350"/>
    <s v="Non-Dominant"/>
    <d v="2025-09-30T00:00:00"/>
    <s v="No"/>
  </r>
  <r>
    <s v="AP Windsor Co-Invest, L.P."/>
    <x v="81"/>
    <x v="20"/>
    <x v="16"/>
    <n v="250"/>
    <s v="By Commitment (No Date)"/>
    <d v="2025-09-30T00:00:00"/>
    <s v="Yes"/>
  </r>
  <r>
    <s v="AP Windsor Co-Invest, L.P."/>
    <x v="81"/>
    <x v="20"/>
    <x v="16"/>
    <n v="-750"/>
    <s v="Non-Dominant"/>
    <d v="2025-09-30T00:00:00"/>
    <s v="No"/>
  </r>
  <r>
    <s v="AP Windsor Co-Invest, L.P."/>
    <x v="81"/>
    <x v="22"/>
    <x v="18"/>
    <n v="-2555.5"/>
    <s v="Non-Dominant"/>
    <d v="2025-09-30T00:00:00"/>
    <s v="No"/>
  </r>
  <r>
    <s v="AP Windsor Co-Invest, L.P."/>
    <x v="81"/>
    <x v="41"/>
    <x v="27"/>
    <n v="469422.22"/>
    <s v="User Provided"/>
    <d v="2025-09-30T00:00:00"/>
    <s v="Yes"/>
  </r>
  <r>
    <s v="AP Windsor Co-Invest, L.P."/>
    <x v="81"/>
    <x v="31"/>
    <x v="23"/>
    <n v="-10737105.199999999"/>
    <s v="By Commitment (No Date)"/>
    <d v="2025-09-30T00:00:00"/>
    <m/>
  </r>
  <r>
    <m/>
    <x v="82"/>
    <x v="51"/>
    <x v="0"/>
    <m/>
    <m/>
    <m/>
    <m/>
  </r>
  <r>
    <m/>
    <x v="82"/>
    <x v="51"/>
    <x v="0"/>
    <m/>
    <m/>
    <m/>
    <m/>
  </r>
  <r>
    <m/>
    <x v="82"/>
    <x v="51"/>
    <x v="0"/>
    <m/>
    <m/>
    <m/>
    <m/>
  </r>
  <r>
    <m/>
    <x v="82"/>
    <x v="51"/>
    <x v="0"/>
    <m/>
    <m/>
    <m/>
    <m/>
  </r>
  <r>
    <m/>
    <x v="82"/>
    <x v="51"/>
    <x v="0"/>
    <m/>
    <m/>
    <m/>
    <m/>
  </r>
  <r>
    <m/>
    <x v="82"/>
    <x v="51"/>
    <x v="0"/>
    <m/>
    <m/>
    <m/>
    <m/>
  </r>
  <r>
    <m/>
    <x v="82"/>
    <x v="51"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05C750-69EC-4442-9155-E3FD7531E487}" name="PivotTable3" cacheId="14379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compact="0" compactData="0" gridDropZones="1" multipleFieldFilters="0">
  <location ref="A3:C16" firstHeaderRow="2" firstDataRow="2" firstDataCol="2"/>
  <pivotFields count="8">
    <pivotField compact="0" outline="0" showAll="0"/>
    <pivotField axis="axisRow" compact="0" outline="0" showAll="0" defaultSubtotal="0">
      <items count="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x="2"/>
        <item h="1" x="4"/>
        <item h="1" x="3"/>
        <item h="1" x="12"/>
        <item h="1" x="13"/>
        <item h="1" x="48"/>
        <item h="1" x="43"/>
        <item h="1" x="14"/>
        <item h="1" x="44"/>
        <item h="1" x="15"/>
        <item h="1" x="40"/>
        <item h="1" x="47"/>
        <item h="1" x="10"/>
        <item h="1" x="32"/>
        <item h="1" x="45"/>
        <item h="1" x="49"/>
        <item h="1" x="46"/>
        <item h="1" x="16"/>
        <item h="1" x="33"/>
        <item h="1" x="50"/>
        <item h="1" x="29"/>
        <item h="1" x="5"/>
        <item h="1" x="30"/>
        <item h="1" x="17"/>
        <item h="1" x="19"/>
        <item h="1" x="20"/>
        <item h="1" x="39"/>
        <item h="1" x="6"/>
        <item h="1" x="22"/>
        <item h="1" x="7"/>
        <item h="1" x="23"/>
        <item h="1" x="41"/>
        <item h="1" x="31"/>
        <item h="1" x="51"/>
        <item h="1" x="0"/>
        <item x="1"/>
        <item x="8"/>
        <item h="1" x="9"/>
        <item h="1" x="11"/>
        <item h="1" x="18"/>
        <item h="1" x="21"/>
        <item h="1" x="24"/>
        <item h="1" x="25"/>
        <item h="1" x="26"/>
        <item x="27"/>
        <item h="1" x="28"/>
        <item h="1" x="34"/>
        <item h="1" x="35"/>
        <item h="1" x="36"/>
        <item h="1" x="37"/>
        <item h="1" x="38"/>
        <item h="1"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8">
        <item x="3"/>
        <item x="6"/>
        <item x="24"/>
        <item x="19"/>
        <item x="27"/>
        <item x="5"/>
        <item x="15"/>
        <item x="18"/>
        <item x="17"/>
        <item x="16"/>
        <item x="9"/>
        <item x="1"/>
        <item x="2"/>
        <item x="7"/>
        <item x="21"/>
        <item x="22"/>
        <item x="20"/>
        <item x="26"/>
        <item x="4"/>
        <item x="23"/>
        <item x="25"/>
        <item x="11"/>
        <item x="36"/>
        <item x="29"/>
        <item x="34"/>
        <item x="8"/>
        <item x="33"/>
        <item x="31"/>
        <item x="30"/>
        <item x="32"/>
        <item x="35"/>
        <item x="12"/>
        <item x="13"/>
        <item x="10"/>
        <item x="14"/>
        <item x="28"/>
        <item x="0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12">
    <i>
      <x v="6"/>
      <x/>
    </i>
    <i r="1">
      <x v="35"/>
    </i>
    <i>
      <x v="8"/>
      <x/>
    </i>
    <i r="1">
      <x v="35"/>
    </i>
    <i>
      <x v="10"/>
      <x/>
    </i>
    <i r="1">
      <x v="35"/>
    </i>
    <i>
      <x v="14"/>
      <x v="36"/>
    </i>
    <i>
      <x v="23"/>
      <x v="44"/>
    </i>
    <i>
      <x v="33"/>
      <x v="44"/>
    </i>
    <i>
      <x v="34"/>
      <x v="44"/>
    </i>
    <i>
      <x v="59"/>
      <x/>
    </i>
    <i>
      <x v="80"/>
      <x/>
    </i>
  </rowItems>
  <colItems count="1">
    <i/>
  </colItems>
  <dataFields count="1">
    <dataField name="Sum of Dr/(Cr) amount" fld="4" baseField="0" baseItem="0" numFmtId="43"/>
  </dataFields>
  <formats count="1">
    <format dxfId="5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3BD21B-B37E-4046-9967-F890AD804623}" name="PivotTable4" cacheId="14379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compact="0" compactData="0" gridDropZones="1" multipleFieldFilters="0">
  <location ref="E3:G9" firstHeaderRow="2" firstDataRow="2" firstDataCol="2"/>
  <pivotFields count="8">
    <pivotField compact="0" outline="0" showAll="0"/>
    <pivotField axis="axisRow" compact="0" outline="0" showAll="0" defaultSubtotal="0">
      <items count="8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h="1" x="2"/>
        <item h="1" x="4"/>
        <item h="1" x="3"/>
        <item h="1" x="12"/>
        <item h="1" x="13"/>
        <item h="1" x="48"/>
        <item h="1" x="43"/>
        <item h="1" x="14"/>
        <item h="1" x="44"/>
        <item h="1" x="15"/>
        <item h="1" x="40"/>
        <item h="1" x="47"/>
        <item h="1" x="10"/>
        <item h="1" x="32"/>
        <item h="1" x="45"/>
        <item h="1" x="49"/>
        <item h="1" x="46"/>
        <item h="1" x="16"/>
        <item h="1" x="33"/>
        <item h="1" x="50"/>
        <item h="1" x="29"/>
        <item h="1" x="5"/>
        <item h="1" x="30"/>
        <item h="1" x="17"/>
        <item h="1" x="19"/>
        <item h="1" x="20"/>
        <item h="1" x="39"/>
        <item h="1" x="6"/>
        <item h="1" x="22"/>
        <item x="7"/>
        <item h="1" x="23"/>
        <item h="1" x="41"/>
        <item h="1" x="31"/>
        <item h="1" x="51"/>
        <item h="1" x="0"/>
        <item h="1" x="1"/>
        <item h="1" x="8"/>
        <item h="1" x="9"/>
        <item h="1" x="11"/>
        <item h="1" x="18"/>
        <item h="1" x="21"/>
        <item h="1" x="24"/>
        <item x="25"/>
        <item h="1" x="26"/>
        <item h="1" x="27"/>
        <item h="1" x="28"/>
        <item h="1" x="34"/>
        <item h="1" x="35"/>
        <item h="1" x="36"/>
        <item h="1" x="37"/>
        <item h="1" x="38"/>
        <item h="1"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8">
        <item x="3"/>
        <item x="6"/>
        <item x="24"/>
        <item x="19"/>
        <item x="27"/>
        <item x="5"/>
        <item x="15"/>
        <item x="18"/>
        <item x="17"/>
        <item x="16"/>
        <item x="9"/>
        <item x="1"/>
        <item x="2"/>
        <item x="7"/>
        <item x="21"/>
        <item x="22"/>
        <item x="20"/>
        <item x="26"/>
        <item x="4"/>
        <item x="23"/>
        <item x="25"/>
        <item x="11"/>
        <item x="36"/>
        <item x="29"/>
        <item x="34"/>
        <item x="8"/>
        <item x="33"/>
        <item x="31"/>
        <item x="30"/>
        <item x="32"/>
        <item x="35"/>
        <item x="12"/>
        <item x="13"/>
        <item x="10"/>
        <item x="14"/>
        <item x="28"/>
        <item x="0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5">
    <i>
      <x v="7"/>
      <x v="29"/>
    </i>
    <i>
      <x v="12"/>
      <x v="29"/>
    </i>
    <i>
      <x v="20"/>
      <x v="42"/>
    </i>
    <i>
      <x v="31"/>
      <x v="42"/>
    </i>
    <i>
      <x v="75"/>
      <x v="29"/>
    </i>
  </rowItems>
  <colItems count="1">
    <i/>
  </colItems>
  <dataFields count="1">
    <dataField name="Sum of Dr/(Cr) amount" fld="4" baseField="0" baseItem="0" numFmtId="43"/>
  </dataFields>
  <formats count="1">
    <format dxfId="5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6E1FFE2-BA2F-4E21-91B8-9095062D5368}" autoFormatId="16" applyNumberFormats="0" applyBorderFormats="0" applyFontFormats="0" applyPatternFormats="0" applyAlignmentFormats="0" applyWidthHeightFormats="0">
  <queryTableRefresh nextId="6">
    <queryTableFields count="5">
      <queryTableField id="1" name="Bank Cash Account Reconciliation" tableColumnId="1"/>
      <queryTableField id="2" name="Column2" tableColumnId="2"/>
      <queryTableField id="3" name="Column3" tableColumnId="3"/>
      <queryTableField id="4" name="Column7" tableColumnId="4"/>
      <queryTableField id="5" name="AP Windsor Co-Invest S, L.P. Daily Cash File_updated format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D00C85B2-B270-4122-9396-B65E64327379}" autoFormatId="16" applyNumberFormats="0" applyBorderFormats="0" applyFontFormats="0" applyPatternFormats="0" applyAlignmentFormats="0" applyWidthHeightFormats="0">
  <queryTableRefresh nextId="4">
    <queryTableFields count="3">
      <queryTableField id="1" name="Quaterly" tableColumnId="1"/>
      <queryTableField id="2" name="People Soft Expense Code" tableColumnId="2"/>
      <queryTableField id="3" name="Amou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91B29B-5E87-43D2-933D-28FC6453C51C}" name="Cash_Transaction__2" displayName="Cash_Transaction__2" ref="A1:E633" tableType="queryTable" totalsRowShown="0">
  <autoFilter ref="A1:E633" xr:uid="{6291B29B-5E87-43D2-933D-28FC6453C51C}"/>
  <tableColumns count="5">
    <tableColumn id="1" xr3:uid="{4D099B93-0CFC-4C0D-A99F-5BB29173AA95}" uniqueName="1" name="Bank Cash Account Reconciliation" queryTableFieldId="1" dataDxfId="52"/>
    <tableColumn id="2" xr3:uid="{CE36AC02-EAE6-4542-A648-E6FD6B26739C}" uniqueName="2" name="Column2" queryTableFieldId="2" dataDxfId="51"/>
    <tableColumn id="3" xr3:uid="{5F941E7C-0F0D-452F-BB15-FED02EC5A5E7}" uniqueName="3" name="Column3" queryTableFieldId="3" dataDxfId="50"/>
    <tableColumn id="4" xr3:uid="{2E3009CA-BC6E-434A-8F12-8245258A7E1F}" uniqueName="4" name="Column7" queryTableFieldId="4" dataDxfId="49"/>
    <tableColumn id="5" xr3:uid="{A3CFA4F6-86EE-485B-984B-60ACD022BF9A}" uniqueName="5" name="AP Windsor Co-Invest S, L.P. Daily Cash File_updated format" queryTableFieldId="5" dataCellStyle="Comm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CB7C92-4C92-40E0-9FC7-80548B57E1C4}" name="Expenses_Input" displayName="Expenses_Input" ref="A1:C36" tableType="queryTable" totalsRowCount="1">
  <autoFilter ref="A1:C35" xr:uid="{ABCB7C92-4C92-40E0-9FC7-80548B57E1C4}">
    <filterColumn colId="0">
      <filters>
        <filter val="Quarter 3 2025"/>
      </filters>
    </filterColumn>
  </autoFilter>
  <tableColumns count="3">
    <tableColumn id="1" xr3:uid="{6A8E57F4-4322-4021-AE3A-0ABEE79889BE}" uniqueName="1" name="Quaterly" queryTableFieldId="1" dataDxfId="47" totalsRowDxfId="48"/>
    <tableColumn id="2" xr3:uid="{20854EFA-2F12-491B-9AF3-A923576B2B6F}" uniqueName="2" name="People Soft Expense Code" queryTableFieldId="2" dataDxfId="45" totalsRowDxfId="46"/>
    <tableColumn id="3" xr3:uid="{11462BC6-2637-4629-884B-F4EF0F0BEE65}" uniqueName="3" name="Amount" totalsRowFunction="sum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E019C1-C56F-4747-8CBA-B8FF680431D4}" name="65E20651-30B4-4B6A-98D8-8BE4CB2B82BENAVANALYSIS-638890403885502882" displayName="_65E20651_30B4_4B6A_98D8_8BE4CB2B82BENAVANALYSIS_638890403885502882" ref="A2:P37" totalsRowShown="0" dataDxfId="44">
  <autoFilter ref="A2:P37" xr:uid="{A2E019C1-C56F-4747-8CBA-B8FF680431D4}"/>
  <tableColumns count="16">
    <tableColumn id="1" xr3:uid="{309BDAD0-B15D-4E57-803C-A7DF33B2DCE9}" name="GroupOne" dataDxfId="43"/>
    <tableColumn id="2" xr3:uid="{BA0D926C-2CBE-4A81-BE77-1B512BECD9FC}" name="GroupTwo" dataDxfId="42"/>
    <tableColumn id="3" xr3:uid="{D7E7569A-FE92-4A4F-B62D-8B0C056B6ECB}" name="Fund" dataDxfId="41"/>
    <tableColumn id="4" xr3:uid="{E23685F3-B928-424E-AFFA-1A28501401D6}" name="AccountNumber" dataDxfId="40"/>
    <tableColumn id="5" xr3:uid="{6ED696A4-B0B4-4F36-8242-F34764D8A5FB}" name="AccountGroupName" dataDxfId="39"/>
    <tableColumn id="6" xr3:uid="{B9672FB5-6288-4B90-B19A-9EC143EC86AA}" name="AccountName" dataDxfId="38"/>
    <tableColumn id="7" xr3:uid="{A87C3A84-DAC6-45C4-A0BA-9B7983510B0D}" name="GeneralLedgerAccountId" dataDxfId="37"/>
    <tableColumn id="8" xr3:uid="{C1BE3634-0A81-44D3-AB83-D40698204F1D}" name="AccountGroupId" dataDxfId="36"/>
    <tableColumn id="9" xr3:uid="{6DCD0D0C-3CCE-4675-AB34-19A07A6D2AF3}" name="BeginBalance" dataDxfId="35"/>
    <tableColumn id="10" xr3:uid="{DECFE85F-B90D-470E-9F79-BDBF3097D643}" name="EndBalance" dataDxfId="34"/>
    <tableColumn id="11" xr3:uid="{F2D3AEA3-C27C-4BC9-A999-423E486C32DB}" name="BalanceChange" dataDxfId="33"/>
    <tableColumn id="12" xr3:uid="{C42F349C-DD67-4E60-9405-DC029CD70C45}" name="RE" dataDxfId="32"/>
    <tableColumn id="13" xr3:uid="{FC02293F-C428-44D8-AE60-C2737BC31CE2}" name="CustomLevelOne" dataDxfId="31"/>
    <tableColumn id="14" xr3:uid="{8D4C6328-E302-4782-8503-01962E84229F}" name="CustomLevelTwo" dataDxfId="30"/>
    <tableColumn id="15" xr3:uid="{46D93759-3A47-43E6-99F7-B131B7C1A5C0}" name="CustomLevelThree" dataDxfId="29"/>
    <tableColumn id="16" xr3:uid="{F6CA9039-D438-4227-805E-144026EC6A97}" name="CustomLevelFour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3E1E54C-D829-404D-B753-FA743DFD8A41}" name="65E20651-30B4-4B6A-98D8-8BE4CB2B82BEPORTAPP-638890407277801179" displayName="_65E20651_30B4_4B6A_98D8_8BE4CB2B82BEPORTAPP_638890407277801179" ref="A2:AA4" totalsRowShown="0" dataDxfId="27">
  <autoFilter ref="A2:AA4" xr:uid="{43E1E54C-D829-404D-B753-FA743DFD8A41}"/>
  <tableColumns count="27">
    <tableColumn id="1" xr3:uid="{1B12D7F4-AFC9-4FF2-946D-FFA570390AF6}" name="SymbolId" dataDxfId="26"/>
    <tableColumn id="2" xr3:uid="{61D8ECB5-4AF9-4089-A3F9-3FA7FD3A0148}" name="SymbolCode" dataDxfId="25"/>
    <tableColumn id="3" xr3:uid="{161DF082-4F1E-46BB-BE5D-30A1B6FCD93E}" name="SymbolDescription" dataDxfId="24"/>
    <tableColumn id="4" xr3:uid="{658F8292-3513-446B-A9CB-53FED223CAC0}" name="SymbolFlag" dataDxfId="23"/>
    <tableColumn id="5" xr3:uid="{ACE6EC15-B2EC-475E-AB0D-935FDF174BF5}" name="SecurityTypeRuleCode" dataDxfId="22"/>
    <tableColumn id="6" xr3:uid="{81462BD4-7D1B-4995-804D-B8D11B59A261}" name="DealTypeCode" dataDxfId="21"/>
    <tableColumn id="7" xr3:uid="{7344A02F-CA08-46BA-8DD7-2A3AEBC91257}" name="CurrencyCode" dataDxfId="20"/>
    <tableColumn id="8" xr3:uid="{C79450BB-3888-46ED-AF98-DE6904FDB8F8}" name="PositionDirection" dataDxfId="19"/>
    <tableColumn id="9" xr3:uid="{79647D6D-54A1-4086-A1FE-A0F0D31A9CA8}" name="FirstTradeDate" dataDxfId="18"/>
    <tableColumn id="10" xr3:uid="{E72B8279-E5DB-4032-9A2D-95AD8A47CF35}" name="Quantity" dataDxfId="17"/>
    <tableColumn id="11" xr3:uid="{D52ECCD4-43C2-4C29-B8C0-EF32DCA10170}" name="TotalCost" dataDxfId="16"/>
    <tableColumn id="12" xr3:uid="{19298162-DA72-4C93-852E-4846333892A3}" name="Cost" dataDxfId="15"/>
    <tableColumn id="13" xr3:uid="{3B44336E-FC35-4EB5-ADB0-8FFB0B3865DA}" name="MarketValue" dataDxfId="14"/>
    <tableColumn id="14" xr3:uid="{C003B484-1D09-4B47-BCC9-24DD8ACA9939}" name="MarketPrice" dataDxfId="13"/>
    <tableColumn id="15" xr3:uid="{18281BD0-781A-40D8-AB93-BEF3399A9419}" name="UnrealizedInventoryValue" dataDxfId="12"/>
    <tableColumn id="16" xr3:uid="{C11DE2F4-43BB-438F-B487-165587A13CDD}" name="Accruals" dataDxfId="11"/>
    <tableColumn id="17" xr3:uid="{D3FD8235-AE77-405F-907E-733B19F626F7}" name="PercentageOfAssets" dataDxfId="10"/>
    <tableColumn id="18" xr3:uid="{848E7A12-375C-4DF9-BE13-1BDFAF7C13C4}" name="PercentageGainLoss" dataDxfId="9"/>
    <tableColumn id="19" xr3:uid="{74DFF595-E62E-4C88-BE48-2852AB457D89}" name="UnfundedAmount" dataDxfId="8"/>
    <tableColumn id="20" xr3:uid="{E56047A5-ED96-4CBF-9F96-4BFB055FE8B7}" name="EndingNAV" dataDxfId="7"/>
    <tableColumn id="21" xr3:uid="{EA00B4A6-1DBE-4728-ACCB-4BD302B642A4}" name="GroupOne" dataDxfId="6"/>
    <tableColumn id="22" xr3:uid="{AEEB4D58-99A2-4D2F-BA83-627B5F1F88A0}" name="GroupTwo" dataDxfId="5"/>
    <tableColumn id="23" xr3:uid="{75937BC8-E813-4CB8-A38E-338682615E73}" name="GroupThree" dataDxfId="4"/>
    <tableColumn id="24" xr3:uid="{6C9EC496-F5B3-48D6-B62C-BF0FDF08207F}" name="GroupFour" dataDxfId="3"/>
    <tableColumn id="25" xr3:uid="{2B54F455-200E-44C4-BCBA-8EA7F37306F8}" name="DisplayOrder" dataDxfId="2"/>
    <tableColumn id="26" xr3:uid="{49562603-ED46-4A70-9120-41D33B9A9C88}" name="FundedAmount" dataDxfId="1"/>
    <tableColumn id="27" xr3:uid="{9B9D45EB-5A64-46F4-AB9A-BFDFAB1941E7}" name="PctFunded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8" dT="2025-06-13T12:37:39.98" personId="{EF214D27-539B-4BB8-8021-FD41A9298DD1}" id="{85C6F42C-DA85-423A-8ED0-8166046CB322}">
    <text>Delta in payables +Expenses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25" dT="2025-12-09T09:48:30.91" personId="{4AE35593-2305-4B4B-BFFC-B16B61E32ACC}" id="{8917710F-CEE7-4804-A5C1-67D9EA851351}">
    <text xml:space="preserve">Formula for summation of expense entries
</text>
  </threadedComment>
  <threadedComment ref="L25" dT="2025-12-09T09:49:14.49" personId="{4AE35593-2305-4B4B-BFFC-B16B61E32ACC}" id="{75B8FF39-E3AC-4B63-A9F3-825682E41469}">
    <text>Reconciled against Peoplesoft Data - Sheet Expenses Input - Export from Peoplesoft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../../../../../../Month%20end%20Close%20&amp;%20AUM%20Input/Yearly%20Close/2025/Q2%20-%20Jun%202025/APWIN/Supports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9AA8A-0ABE-4443-BF98-CB4F5C416989}">
  <dimension ref="A1:C13"/>
  <sheetViews>
    <sheetView workbookViewId="0"/>
  </sheetViews>
  <sheetFormatPr defaultRowHeight="15"/>
  <cols>
    <col min="2" max="2" width="54" bestFit="1" customWidth="1"/>
  </cols>
  <sheetData>
    <row r="1" spans="1:3">
      <c r="A1" s="1"/>
    </row>
    <row r="2" spans="1:3">
      <c r="B2" s="11" t="s">
        <v>0</v>
      </c>
    </row>
    <row r="4" spans="1:3">
      <c r="A4">
        <v>1</v>
      </c>
      <c r="B4" t="s">
        <v>1</v>
      </c>
    </row>
    <row r="5" spans="1:3">
      <c r="A5">
        <v>2</v>
      </c>
      <c r="B5" t="s">
        <v>2</v>
      </c>
    </row>
    <row r="6" spans="1:3">
      <c r="A6">
        <v>3</v>
      </c>
      <c r="B6" t="s">
        <v>3</v>
      </c>
    </row>
    <row r="7" spans="1:3">
      <c r="A7">
        <v>4</v>
      </c>
      <c r="B7" t="s">
        <v>4</v>
      </c>
    </row>
    <row r="8" spans="1:3">
      <c r="A8">
        <v>5</v>
      </c>
      <c r="B8" t="s">
        <v>5</v>
      </c>
    </row>
    <row r="9" spans="1:3">
      <c r="A9">
        <v>6</v>
      </c>
      <c r="B9" t="s">
        <v>6</v>
      </c>
    </row>
    <row r="10" spans="1:3">
      <c r="A10">
        <v>7</v>
      </c>
      <c r="B10" t="s">
        <v>7</v>
      </c>
    </row>
    <row r="11" spans="1:3">
      <c r="A11">
        <v>8</v>
      </c>
      <c r="B11" t="s">
        <v>8</v>
      </c>
    </row>
    <row r="13" spans="1:3">
      <c r="B13" t="s">
        <v>9</v>
      </c>
      <c r="C13" s="28" t="s">
        <v>10</v>
      </c>
    </row>
  </sheetData>
  <sheetProtection algorithmName="SHA-512" hashValue="RAGQl2336gIA5boewPC/37JbwWrCRskKtWSpSWLjzKdwWgShH4oVxiNQ9V64sLlFGFGwfp5XcXVzhIgBl3NAew==" saltValue="rND46eAQP/8oD/LJifKJZg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1"/>
  </sheetPr>
  <dimension ref="A1:G33"/>
  <sheetViews>
    <sheetView showGridLines="0" workbookViewId="0">
      <selection activeCell="B10" sqref="B10"/>
    </sheetView>
  </sheetViews>
  <sheetFormatPr defaultColWidth="9.140625" defaultRowHeight="10.5"/>
  <cols>
    <col min="1" max="1" width="28.7109375" style="1" bestFit="1" customWidth="1"/>
    <col min="2" max="2" width="34" style="1" bestFit="1" customWidth="1"/>
    <col min="3" max="3" width="7" style="1" bestFit="1" customWidth="1"/>
    <col min="4" max="4" width="14.5703125" style="1" bestFit="1" customWidth="1"/>
    <col min="5" max="5" width="28.28515625" style="1" bestFit="1" customWidth="1"/>
    <col min="6" max="6" width="22.140625" style="1" customWidth="1"/>
    <col min="7" max="7" width="14.28515625" style="1" customWidth="1"/>
    <col min="8" max="8" width="16.140625" style="1" bestFit="1" customWidth="1"/>
    <col min="9" max="9" width="16" style="1" bestFit="1" customWidth="1"/>
    <col min="10" max="10" width="19.85546875" style="1" bestFit="1" customWidth="1"/>
    <col min="11" max="11" width="17" style="1" customWidth="1"/>
    <col min="12" max="12" width="16" style="1" bestFit="1" customWidth="1"/>
    <col min="13" max="14" width="16" style="1" customWidth="1"/>
    <col min="15" max="15" width="16.140625" style="1" bestFit="1" customWidth="1"/>
    <col min="16" max="16" width="16" style="1" bestFit="1" customWidth="1"/>
    <col min="17" max="17" width="16.140625" style="1" bestFit="1" customWidth="1"/>
    <col min="18" max="18" width="16" style="1" bestFit="1" customWidth="1"/>
    <col min="19" max="21" width="9.140625" style="1"/>
    <col min="22" max="22" width="14" style="1" bestFit="1" customWidth="1"/>
    <col min="23" max="25" width="9.140625" style="1"/>
    <col min="26" max="26" width="14" style="1" bestFit="1" customWidth="1"/>
    <col min="27" max="29" width="9.140625" style="1"/>
    <col min="30" max="30" width="14" style="1" bestFit="1" customWidth="1"/>
    <col min="31" max="16384" width="9.140625" style="1"/>
  </cols>
  <sheetData>
    <row r="1" spans="1:5">
      <c r="A1" s="4" t="s">
        <v>11</v>
      </c>
    </row>
    <row r="2" spans="1:5">
      <c r="A2" s="5" t="s">
        <v>12</v>
      </c>
      <c r="B2" s="5" t="s">
        <v>13</v>
      </c>
      <c r="C2" s="5"/>
    </row>
    <row r="3" spans="1:5">
      <c r="A3" s="5" t="s">
        <v>14</v>
      </c>
      <c r="B3" s="5" t="s">
        <v>15</v>
      </c>
      <c r="C3" s="5"/>
    </row>
    <row r="4" spans="1:5">
      <c r="A4" s="5" t="s">
        <v>16</v>
      </c>
      <c r="B4" s="5" t="s">
        <v>17</v>
      </c>
      <c r="C4" s="5"/>
    </row>
    <row r="6" spans="1:5">
      <c r="A6" s="2" t="s">
        <v>18</v>
      </c>
    </row>
    <row r="7" spans="1:5">
      <c r="A7" s="6" t="s">
        <v>19</v>
      </c>
      <c r="B7" s="6" t="s">
        <v>20</v>
      </c>
      <c r="C7" s="6"/>
      <c r="D7" s="6"/>
      <c r="E7" s="6"/>
    </row>
    <row r="8" spans="1:5">
      <c r="A8" s="1" t="s">
        <v>21</v>
      </c>
      <c r="B8" s="8" t="s">
        <v>22</v>
      </c>
    </row>
    <row r="9" spans="1:5">
      <c r="A9" s="1" t="s">
        <v>23</v>
      </c>
      <c r="B9" s="9">
        <v>45839</v>
      </c>
      <c r="C9" s="3"/>
    </row>
    <row r="10" spans="1:5">
      <c r="A10" s="1" t="s">
        <v>24</v>
      </c>
      <c r="B10" s="9">
        <v>45930</v>
      </c>
      <c r="C10" s="3"/>
      <c r="D10" s="3"/>
    </row>
    <row r="11" spans="1:5">
      <c r="B11" s="3"/>
      <c r="C11" s="3"/>
    </row>
    <row r="12" spans="1:5">
      <c r="B12" s="3"/>
      <c r="C12" s="3"/>
    </row>
    <row r="13" spans="1:5">
      <c r="A13" s="2" t="s">
        <v>25</v>
      </c>
    </row>
    <row r="14" spans="1:5">
      <c r="A14" s="6" t="s">
        <v>26</v>
      </c>
      <c r="B14" s="6" t="s">
        <v>27</v>
      </c>
      <c r="C14" s="6" t="s">
        <v>28</v>
      </c>
      <c r="D14" s="6" t="s">
        <v>19</v>
      </c>
      <c r="E14" s="6" t="s">
        <v>20</v>
      </c>
    </row>
    <row r="15" spans="1:5">
      <c r="A15" s="1" t="s">
        <v>29</v>
      </c>
      <c r="B15" s="1" t="s">
        <v>30</v>
      </c>
      <c r="D15" s="1" t="s">
        <v>31</v>
      </c>
      <c r="E15" s="7">
        <f>B10</f>
        <v>45930</v>
      </c>
    </row>
    <row r="16" spans="1:5">
      <c r="A16" s="1" t="s">
        <v>29</v>
      </c>
      <c r="B16" s="1" t="s">
        <v>30</v>
      </c>
      <c r="D16" s="1" t="s">
        <v>32</v>
      </c>
      <c r="E16" s="7">
        <f>B9</f>
        <v>45839</v>
      </c>
    </row>
    <row r="17" spans="1:7">
      <c r="A17" s="1" t="s">
        <v>29</v>
      </c>
      <c r="B17" s="1" t="s">
        <v>33</v>
      </c>
      <c r="D17" s="1" t="s">
        <v>34</v>
      </c>
      <c r="E17" s="7">
        <f>E15</f>
        <v>45930</v>
      </c>
    </row>
    <row r="18" spans="1:7">
      <c r="A18" s="1" t="s">
        <v>29</v>
      </c>
      <c r="B18" s="1" t="s">
        <v>35</v>
      </c>
      <c r="C18" s="1">
        <v>1</v>
      </c>
      <c r="D18" s="1" t="s">
        <v>23</v>
      </c>
      <c r="E18" s="7">
        <f>B9</f>
        <v>45839</v>
      </c>
    </row>
    <row r="19" spans="1:7">
      <c r="A19" s="1" t="s">
        <v>29</v>
      </c>
      <c r="B19" s="1" t="s">
        <v>36</v>
      </c>
      <c r="C19" s="1">
        <v>2</v>
      </c>
      <c r="D19" s="1" t="s">
        <v>31</v>
      </c>
      <c r="E19" s="7">
        <f>B10</f>
        <v>45930</v>
      </c>
    </row>
    <row r="20" spans="1:7">
      <c r="A20" s="1" t="s">
        <v>29</v>
      </c>
      <c r="B20" s="1" t="s">
        <v>37</v>
      </c>
      <c r="C20" s="1">
        <v>2</v>
      </c>
      <c r="D20" s="1" t="s">
        <v>23</v>
      </c>
      <c r="E20" s="7">
        <f>B9</f>
        <v>45839</v>
      </c>
    </row>
    <row r="21" spans="1:7">
      <c r="A21" s="1" t="s">
        <v>29</v>
      </c>
      <c r="B21" s="1" t="s">
        <v>37</v>
      </c>
      <c r="C21" s="1">
        <v>2</v>
      </c>
      <c r="D21" s="1" t="s">
        <v>34</v>
      </c>
      <c r="E21" s="7">
        <f>B10</f>
        <v>45930</v>
      </c>
    </row>
    <row r="22" spans="1:7">
      <c r="A22" s="1" t="s">
        <v>29</v>
      </c>
      <c r="B22" s="1" t="s">
        <v>38</v>
      </c>
      <c r="D22" s="1" t="s">
        <v>34</v>
      </c>
      <c r="E22" s="7">
        <f>+B10</f>
        <v>45930</v>
      </c>
    </row>
    <row r="23" spans="1:7">
      <c r="A23" s="1" t="s">
        <v>29</v>
      </c>
      <c r="B23" s="1" t="s">
        <v>39</v>
      </c>
      <c r="D23" s="1" t="s">
        <v>31</v>
      </c>
      <c r="E23" s="7">
        <f>B10</f>
        <v>45930</v>
      </c>
    </row>
    <row r="24" spans="1:7">
      <c r="E24" s="3"/>
    </row>
    <row r="25" spans="1:7">
      <c r="A25" s="2" t="s">
        <v>40</v>
      </c>
    </row>
    <row r="26" spans="1:7">
      <c r="A26" s="6" t="s">
        <v>26</v>
      </c>
      <c r="B26" s="6" t="s">
        <v>27</v>
      </c>
      <c r="C26" s="6" t="s">
        <v>28</v>
      </c>
      <c r="D26" s="6" t="s">
        <v>41</v>
      </c>
      <c r="E26" s="6" t="s">
        <v>42</v>
      </c>
      <c r="F26" s="6"/>
      <c r="G26" s="6"/>
    </row>
    <row r="27" spans="1:7">
      <c r="A27" s="1" t="s">
        <v>29</v>
      </c>
      <c r="B27" s="1" t="s">
        <v>30</v>
      </c>
      <c r="D27" s="1" t="s">
        <v>43</v>
      </c>
    </row>
    <row r="28" spans="1:7">
      <c r="A28" s="1" t="s">
        <v>29</v>
      </c>
      <c r="B28" s="1" t="s">
        <v>33</v>
      </c>
      <c r="D28" s="1" t="s">
        <v>33</v>
      </c>
    </row>
    <row r="29" spans="1:7">
      <c r="A29" s="1" t="s">
        <v>29</v>
      </c>
      <c r="B29" s="1" t="s">
        <v>35</v>
      </c>
      <c r="D29" s="1" t="s">
        <v>44</v>
      </c>
    </row>
    <row r="30" spans="1:7">
      <c r="A30" s="1" t="s">
        <v>29</v>
      </c>
      <c r="B30" s="1" t="s">
        <v>36</v>
      </c>
      <c r="C30" s="1">
        <v>1</v>
      </c>
      <c r="D30" s="1" t="s">
        <v>36</v>
      </c>
    </row>
    <row r="31" spans="1:7">
      <c r="A31" s="1" t="s">
        <v>29</v>
      </c>
      <c r="B31" s="1" t="s">
        <v>37</v>
      </c>
      <c r="C31" s="1">
        <v>2</v>
      </c>
      <c r="D31" s="1" t="s">
        <v>45</v>
      </c>
    </row>
    <row r="32" spans="1:7">
      <c r="A32" s="1" t="s">
        <v>29</v>
      </c>
      <c r="B32" s="1" t="s">
        <v>38</v>
      </c>
      <c r="D32" s="1" t="s">
        <v>38</v>
      </c>
    </row>
    <row r="33" spans="1:4">
      <c r="A33" s="1" t="s">
        <v>29</v>
      </c>
      <c r="B33" s="1" t="s">
        <v>39</v>
      </c>
      <c r="D33" s="1" t="s">
        <v>39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B10F4-F177-45FD-976D-D22105478312}">
  <sheetPr codeName="Sheet1"/>
  <dimension ref="A1:Q53"/>
  <sheetViews>
    <sheetView showGridLines="0" view="pageBreakPreview" zoomScale="60" zoomScaleNormal="100" workbookViewId="0">
      <selection activeCell="B19" sqref="B19:B33"/>
    </sheetView>
  </sheetViews>
  <sheetFormatPr defaultColWidth="9.140625" defaultRowHeight="18.75"/>
  <cols>
    <col min="1" max="1" width="71" style="14" bestFit="1" customWidth="1"/>
    <col min="2" max="2" width="30.140625" style="14" bestFit="1" customWidth="1"/>
    <col min="3" max="3" width="21.140625" style="14" bestFit="1" customWidth="1"/>
    <col min="4" max="4" width="62.140625" style="14" bestFit="1" customWidth="1"/>
    <col min="5" max="5" width="37.140625" style="14" customWidth="1"/>
    <col min="6" max="6" width="28.140625" style="14" bestFit="1" customWidth="1"/>
    <col min="7" max="7" width="13.42578125" style="14" bestFit="1" customWidth="1"/>
    <col min="8" max="8" width="17.28515625" style="14" bestFit="1" customWidth="1"/>
    <col min="9" max="15" width="9.140625" style="14"/>
    <col min="16" max="16" width="52.140625" style="14" bestFit="1" customWidth="1"/>
    <col min="17" max="17" width="49.5703125" style="14" bestFit="1" customWidth="1"/>
    <col min="18" max="18" width="12.85546875" style="14" bestFit="1" customWidth="1"/>
    <col min="19" max="19" width="10.85546875" style="14" bestFit="1" customWidth="1"/>
    <col min="20" max="20" width="12.85546875" style="14" bestFit="1" customWidth="1"/>
    <col min="21" max="21" width="36.85546875" style="14" bestFit="1" customWidth="1"/>
    <col min="22" max="22" width="21.85546875" style="14" bestFit="1" customWidth="1"/>
    <col min="23" max="23" width="32" style="14" bestFit="1" customWidth="1"/>
    <col min="24" max="24" width="30.5703125" style="14" bestFit="1" customWidth="1"/>
    <col min="25" max="25" width="38.28515625" style="14" bestFit="1" customWidth="1"/>
    <col min="26" max="26" width="20.140625" style="14" bestFit="1" customWidth="1"/>
    <col min="27" max="27" width="34" style="14" bestFit="1" customWidth="1"/>
    <col min="28" max="28" width="30.5703125" style="14" bestFit="1" customWidth="1"/>
    <col min="29" max="29" width="16.85546875" style="14" bestFit="1" customWidth="1"/>
    <col min="30" max="30" width="20.5703125" style="14" bestFit="1" customWidth="1"/>
    <col min="31" max="31" width="18.7109375" style="14" bestFit="1" customWidth="1"/>
    <col min="32" max="32" width="22.85546875" style="14" bestFit="1" customWidth="1"/>
    <col min="33" max="33" width="11.28515625" style="14" bestFit="1" customWidth="1"/>
    <col min="34" max="16384" width="9.140625" style="14"/>
  </cols>
  <sheetData>
    <row r="1" spans="1:17">
      <c r="G1" s="21" t="s">
        <v>46</v>
      </c>
      <c r="H1" s="31" t="s">
        <v>47</v>
      </c>
    </row>
    <row r="2" spans="1:17">
      <c r="A2" s="13" t="str">
        <f>+reports!A8</f>
        <v>Legal Entity</v>
      </c>
      <c r="B2" s="64" t="str">
        <f>+reports!B8</f>
        <v>AP Windsor Co-Invest, L.P.</v>
      </c>
      <c r="C2" s="64"/>
      <c r="P2" s="25"/>
      <c r="Q2" s="25"/>
    </row>
    <row r="3" spans="1:17">
      <c r="A3" s="13" t="s">
        <v>48</v>
      </c>
      <c r="B3" s="65" t="str">
        <f>"Quarter "&amp;INT((MONTH(reports!B10)-1)/3)+1&amp;" "&amp;YEAR(reports!B10)</f>
        <v>Quarter 3 2025</v>
      </c>
      <c r="C3" s="65"/>
    </row>
    <row r="5" spans="1:17">
      <c r="A5" s="15"/>
      <c r="B5" s="16" t="s">
        <v>49</v>
      </c>
      <c r="C5" s="16" t="s">
        <v>50</v>
      </c>
      <c r="D5" s="16" t="s">
        <v>51</v>
      </c>
    </row>
    <row r="6" spans="1:17">
      <c r="A6" s="15" t="s">
        <v>52</v>
      </c>
      <c r="B6" s="17">
        <f>+SUMIFS('Net Asset Value Analysis Repor2'!J:J,'Net Asset Value Analysis Repor2'!A:A,"Asset/Liability")</f>
        <v>975794074.31000006</v>
      </c>
      <c r="C6" s="17">
        <f>+SUMIFS('Trial Balance'!F:F,'Trial Balance'!G:G,"NAV")</f>
        <v>975794074.31000006</v>
      </c>
      <c r="D6" s="17">
        <f>+B6-C6</f>
        <v>0</v>
      </c>
    </row>
    <row r="7" spans="1:17">
      <c r="A7" s="15" t="s">
        <v>53</v>
      </c>
      <c r="B7" s="17">
        <f>+SUMIFS('Net Asset Value Analysis Repor2'!J:J,'Net Asset Value Analysis Repor2'!B:B,"Income/Expense")</f>
        <v>83625604.959999993</v>
      </c>
      <c r="C7" s="17">
        <f>-SUMIFS('Trial Balance'!F:F,'Trial Balance'!G:G,"P&amp;L")</f>
        <v>83625604.910000011</v>
      </c>
      <c r="D7" s="17">
        <f>+B7-C7</f>
        <v>4.9999982118606567E-2</v>
      </c>
      <c r="E7" s="14" t="s">
        <v>54</v>
      </c>
    </row>
    <row r="8" spans="1:17">
      <c r="A8" s="15" t="s">
        <v>55</v>
      </c>
      <c r="B8" s="17">
        <f>-SUMIFS('Net Asset Value Analysis Repor2'!K:K,'Net Asset Value Analysis Repor2'!B:B,"Shareholder's Equity")</f>
        <v>-1500000</v>
      </c>
      <c r="C8" s="17">
        <f>+SUMIFS('Trial Balance'!F:F,'Trial Balance'!G:G,"CAP")-SUMIFS('Trial Balance'!C:C,'Trial Balance'!G:G,"CAP")</f>
        <v>-1500000</v>
      </c>
      <c r="D8" s="17">
        <f>+B8-C8</f>
        <v>0</v>
      </c>
    </row>
    <row r="10" spans="1:17">
      <c r="A10" s="13"/>
      <c r="B10" s="13"/>
      <c r="C10" s="13"/>
      <c r="D10" s="13"/>
    </row>
    <row r="12" spans="1:17">
      <c r="A12" s="15" t="str" cm="1">
        <f t="array" ref="A12:A14">+_xlfn.UNIQUE('Schedule of Investments'!C1:C3)</f>
        <v>Position</v>
      </c>
      <c r="B12" s="16" t="s">
        <v>49</v>
      </c>
      <c r="C12" s="16" t="s">
        <v>50</v>
      </c>
      <c r="D12" s="16" t="s">
        <v>51</v>
      </c>
    </row>
    <row r="13" spans="1:17">
      <c r="A13" s="15" t="str">
        <v>Univar (Common Equity)</v>
      </c>
      <c r="B13" s="17">
        <f>VLOOKUP(E13,'Portfolio Appraisal Report2'!B:M,12,0)</f>
        <v>650641440.70000005</v>
      </c>
      <c r="C13" s="17">
        <f>+VLOOKUP(A13,'Schedule of Investments'!C:N,12,0)</f>
        <v>650641440.70000005</v>
      </c>
      <c r="D13" s="17">
        <f>+B13-C13</f>
        <v>0</v>
      </c>
      <c r="E13" s="14" t="s">
        <v>56</v>
      </c>
    </row>
    <row r="14" spans="1:17">
      <c r="A14" s="15" t="str">
        <v>Univar (Preferred)</v>
      </c>
      <c r="B14" s="17">
        <f>VLOOKUP(E14,'Portfolio Appraisal Report2'!B:M,12,0)</f>
        <v>323828922.85000002</v>
      </c>
      <c r="C14" s="17">
        <f>+VLOOKUP(A14,'Schedule of Investments'!C:N,12,0)</f>
        <v>323828922.85000002</v>
      </c>
      <c r="D14" s="17">
        <f>+B14-C14</f>
        <v>0</v>
      </c>
      <c r="E14" s="14" t="s">
        <v>57</v>
      </c>
    </row>
    <row r="16" spans="1:17">
      <c r="A16" s="13"/>
      <c r="B16" s="13"/>
      <c r="C16" s="13"/>
      <c r="D16" s="13"/>
    </row>
    <row r="17" spans="1:5">
      <c r="A17" s="16" t="s">
        <v>58</v>
      </c>
      <c r="D17" s="14" t="s">
        <v>59</v>
      </c>
    </row>
    <row r="18" spans="1:5">
      <c r="A18" s="16" t="s">
        <v>60</v>
      </c>
      <c r="B18" s="16" t="s">
        <v>61</v>
      </c>
      <c r="C18" s="16" t="s">
        <v>62</v>
      </c>
      <c r="D18" s="16" t="s">
        <v>51</v>
      </c>
    </row>
    <row r="19" spans="1:5">
      <c r="A19" s="15" t="str" cm="1">
        <f t="array" ref="A19:A31">+_xlfn.UNIQUE(_xlfn._xlws.FILTER('Expenses Input'!B:B,'Expenses Input'!A:A=D17))</f>
        <v>Expense: Research &amp; Subscriptions</v>
      </c>
      <c r="B19" s="15">
        <f>+SUMIFS('Trial Balance'!F:F,'Trial Balance'!B:B,VLOOKUP(Summary!A19,'Trial Balance'!S:T,2,0))-+SUMIFS('Trial Balance'!C:C,'Trial Balance'!B:B,VLOOKUP(Summary!A19,'Trial Balance'!S:T,2,0))+SUMIFS('Trial Balance'!D:D,'Trial Balance'!B:B,VLOOKUP(Summary!A19,'Trial Balance'!S:U,3,0))-+SUMIFS('Trial Balance'!E:E,'Trial Balance'!B:B,VLOOKUP(Summary!A19,'Trial Balance'!S:U,3,0))</f>
        <v>32651.61</v>
      </c>
      <c r="C19" s="15">
        <f>SUMIFS('Expenses Input'!C:C,'Expenses Input'!B:B,Summary!A19,'Expenses Input'!A:A,Summary!$B$3)</f>
        <v>32651.610000000004</v>
      </c>
      <c r="D19" s="15">
        <f>+B19-C19</f>
        <v>0</v>
      </c>
    </row>
    <row r="20" spans="1:5">
      <c r="A20" s="15" t="str">
        <v>Expense: T&amp;E</v>
      </c>
      <c r="B20" s="15">
        <f>+SUMIFS('Trial Balance'!F:F,'Trial Balance'!B:B,VLOOKUP(Summary!A20,'Trial Balance'!S:T,2,0))-+SUMIFS('Trial Balance'!C:C,'Trial Balance'!B:B,VLOOKUP(Summary!A20,'Trial Balance'!S:T,2,0))+SUMIFS('Trial Balance'!D:D,'Trial Balance'!B:B,VLOOKUP(Summary!A20,'Trial Balance'!S:U,3,0))-+SUMIFS('Trial Balance'!E:E,'Trial Balance'!B:B,VLOOKUP(Summary!A20,'Trial Balance'!S:U,3,0))</f>
        <v>2537.89</v>
      </c>
      <c r="C20" s="15">
        <f>SUMIFS('Expenses Input'!C:C,'Expenses Input'!B:B,Summary!A20,'Expenses Input'!A:A,Summary!$B$3)</f>
        <v>2537.8900000000017</v>
      </c>
      <c r="D20" s="15">
        <f t="shared" ref="D20:D29" si="0">+B20-C20</f>
        <v>0</v>
      </c>
    </row>
    <row r="21" spans="1:5">
      <c r="A21" s="15" t="str">
        <v>Audit Expense</v>
      </c>
      <c r="B21" s="15">
        <f>+SUMIFS('Trial Balance'!F:F,'Trial Balance'!B:B,VLOOKUP(Summary!A21,'Trial Balance'!S:T,2,0))-+SUMIFS('Trial Balance'!C:C,'Trial Balance'!B:B,VLOOKUP(Summary!A21,'Trial Balance'!S:T,2,0))+SUMIFS('Trial Balance'!D:D,'Trial Balance'!B:B,VLOOKUP(Summary!A21,'Trial Balance'!S:U,3,0))-+SUMIFS('Trial Balance'!E:E,'Trial Balance'!B:B,VLOOKUP(Summary!A21,'Trial Balance'!S:U,3,0))</f>
        <v>13400</v>
      </c>
      <c r="C21" s="15">
        <f>SUMIFS('Expenses Input'!C:C,'Expenses Input'!B:B,Summary!A21,'Expenses Input'!A:A,Summary!$B$3)</f>
        <v>13400</v>
      </c>
      <c r="D21" s="15">
        <f t="shared" si="0"/>
        <v>0</v>
      </c>
    </row>
    <row r="22" spans="1:5">
      <c r="A22" s="15" t="str">
        <v>Investor Meetings and Conferences</v>
      </c>
      <c r="B22" s="15">
        <f>+SUMIFS('Trial Balance'!F:F,'Trial Balance'!B:B,VLOOKUP(Summary!A22,'Trial Balance'!S:T,2,0))-+SUMIFS('Trial Balance'!C:C,'Trial Balance'!B:B,VLOOKUP(Summary!A22,'Trial Balance'!S:T,2,0))+SUMIFS('Trial Balance'!D:D,'Trial Balance'!B:B,VLOOKUP(Summary!A22,'Trial Balance'!S:U,3,0))-+SUMIFS('Trial Balance'!E:E,'Trial Balance'!B:B,VLOOKUP(Summary!A22,'Trial Balance'!S:U,3,0))</f>
        <v>1840.3</v>
      </c>
      <c r="C22" s="15">
        <f>SUMIFS('Expenses Input'!C:C,'Expenses Input'!B:B,Summary!A22,'Expenses Input'!A:A,Summary!$B$3)</f>
        <v>1840.3</v>
      </c>
      <c r="D22" s="15">
        <f t="shared" si="0"/>
        <v>0</v>
      </c>
    </row>
    <row r="23" spans="1:5">
      <c r="A23" s="15" t="str">
        <v>Expense: Software and Systems</v>
      </c>
      <c r="B23" s="15">
        <f>+SUMIFS('Trial Balance'!F:F,'Trial Balance'!B:B,VLOOKUP(Summary!A23,'Trial Balance'!S:T,2,0))-+SUMIFS('Trial Balance'!C:C,'Trial Balance'!B:B,VLOOKUP(Summary!A23,'Trial Balance'!S:T,2,0))+SUMIFS('Trial Balance'!D:D,'Trial Balance'!B:B,VLOOKUP(Summary!A23,'Trial Balance'!S:U,3,0))-+SUMIFS('Trial Balance'!E:E,'Trial Balance'!B:B,VLOOKUP(Summary!A23,'Trial Balance'!S:U,3,0))</f>
        <v>16168.14</v>
      </c>
      <c r="C23" s="15">
        <f>SUMIFS('Expenses Input'!C:C,'Expenses Input'!B:B,Summary!A23,'Expenses Input'!A:A,Summary!$B$3)</f>
        <v>16168.140000000001</v>
      </c>
      <c r="D23" s="15">
        <f t="shared" si="0"/>
        <v>0</v>
      </c>
      <c r="E23" s="14" t="s">
        <v>54</v>
      </c>
    </row>
    <row r="24" spans="1:5">
      <c r="A24" s="15" t="str">
        <v>Expense: Legal Fees</v>
      </c>
      <c r="B24" s="15">
        <f>+SUMIFS('Trial Balance'!F:F,'Trial Balance'!B:B,VLOOKUP(Summary!A24,'Trial Balance'!S:T,2,0))-+SUMIFS('Trial Balance'!C:C,'Trial Balance'!B:B,VLOOKUP(Summary!A24,'Trial Balance'!S:T,2,0))+SUMIFS('Trial Balance'!D:D,'Trial Balance'!B:B,VLOOKUP(Summary!A24,'Trial Balance'!S:U,3,0))-+SUMIFS('Trial Balance'!E:E,'Trial Balance'!B:B,VLOOKUP(Summary!A24,'Trial Balance'!S:U,3,0))</f>
        <v>2030.88</v>
      </c>
      <c r="C24" s="15">
        <f>SUMIFS('Expenses Input'!C:C,'Expenses Input'!B:B,Summary!A24,'Expenses Input'!A:A,Summary!$B$3)</f>
        <v>2030.8799999999999</v>
      </c>
      <c r="D24" s="15">
        <f t="shared" si="0"/>
        <v>0</v>
      </c>
    </row>
    <row r="25" spans="1:5">
      <c r="A25" s="15" t="str">
        <v>Expense: Consulting</v>
      </c>
      <c r="B25" s="15">
        <f>+SUMIFS('Trial Balance'!F:F,'Trial Balance'!B:B,VLOOKUP(Summary!A25,'Trial Balance'!S:T,2,0))-+SUMIFS('Trial Balance'!C:C,'Trial Balance'!B:B,VLOOKUP(Summary!A25,'Trial Balance'!S:T,2,0))+SUMIFS('Trial Balance'!D:D,'Trial Balance'!B:B,VLOOKUP(Summary!A25,'Trial Balance'!S:U,3,0))-+SUMIFS('Trial Balance'!E:E,'Trial Balance'!B:B,VLOOKUP(Summary!A25,'Trial Balance'!S:U,3,0))</f>
        <v>1530</v>
      </c>
      <c r="C25" s="15">
        <f>SUMIFS('Expenses Input'!C:C,'Expenses Input'!B:B,Summary!A25,'Expenses Input'!A:A,Summary!$B$3)</f>
        <v>1530</v>
      </c>
      <c r="D25" s="15">
        <f t="shared" si="0"/>
        <v>0</v>
      </c>
    </row>
    <row r="26" spans="1:5">
      <c r="A26" s="15" t="str">
        <v>Misc</v>
      </c>
      <c r="B26" s="15">
        <f>+SUMIFS('Trial Balance'!F:F,'Trial Balance'!B:B,VLOOKUP(Summary!A26,'Trial Balance'!S:T,2,0))-+SUMIFS('Trial Balance'!C:C,'Trial Balance'!B:B,VLOOKUP(Summary!A26,'Trial Balance'!S:T,2,0))+SUMIFS('Trial Balance'!D:D,'Trial Balance'!B:B,VLOOKUP(Summary!A26,'Trial Balance'!S:U,3,0))-+SUMIFS('Trial Balance'!E:E,'Trial Balance'!B:B,VLOOKUP(Summary!A26,'Trial Balance'!S:U,3,0))</f>
        <v>4136</v>
      </c>
      <c r="C26" s="15">
        <f>SUMIFS('Expenses Input'!C:C,'Expenses Input'!B:B,Summary!A26,'Expenses Input'!A:A,Summary!$B$3)</f>
        <v>4136.0000000000027</v>
      </c>
      <c r="D26" s="15">
        <f t="shared" si="0"/>
        <v>0</v>
      </c>
    </row>
    <row r="27" spans="1:5">
      <c r="A27" s="15" t="str">
        <v>Expense: Tax Expense</v>
      </c>
      <c r="B27" s="15">
        <f>+SUMIFS('Trial Balance'!F:F,'Trial Balance'!B:B,VLOOKUP(Summary!A27,'Trial Balance'!S:T,2,0))-+SUMIFS('Trial Balance'!C:C,'Trial Balance'!B:B,VLOOKUP(Summary!A27,'Trial Balance'!S:T,2,0))+SUMIFS('Trial Balance'!D:D,'Trial Balance'!B:B,VLOOKUP(Summary!A27,'Trial Balance'!S:U,3,0))-+SUMIFS('Trial Balance'!E:E,'Trial Balance'!B:B,VLOOKUP(Summary!A27,'Trial Balance'!S:U,3,0))</f>
        <v>716.26000000000022</v>
      </c>
      <c r="C27" s="15">
        <f>SUMIFS('Expenses Input'!C:C,'Expenses Input'!B:B,Summary!A27,'Expenses Input'!A:A,Summary!$B$3)</f>
        <v>716.26</v>
      </c>
      <c r="D27" s="15">
        <f t="shared" si="0"/>
        <v>0</v>
      </c>
    </row>
    <row r="28" spans="1:5">
      <c r="A28" s="15" t="str">
        <v>Expense: Valuation Services</v>
      </c>
      <c r="B28" s="15">
        <f>+SUMIFS('Trial Balance'!F:F,'Trial Balance'!B:B,VLOOKUP(Summary!A28,'Trial Balance'!S:T,2,0))-+SUMIFS('Trial Balance'!C:C,'Trial Balance'!B:B,VLOOKUP(Summary!A28,'Trial Balance'!S:T,2,0))+SUMIFS('Trial Balance'!D:D,'Trial Balance'!B:B,VLOOKUP(Summary!A28,'Trial Balance'!S:U,3,0))-+SUMIFS('Trial Balance'!E:E,'Trial Balance'!B:B,VLOOKUP(Summary!A28,'Trial Balance'!S:U,3,0))</f>
        <v>6850.98</v>
      </c>
      <c r="C28" s="15">
        <f>SUMIFS('Expenses Input'!C:C,'Expenses Input'!B:B,Summary!A28,'Expenses Input'!A:A,Summary!$B$3)</f>
        <v>6850.98</v>
      </c>
      <c r="D28" s="15">
        <f t="shared" si="0"/>
        <v>0</v>
      </c>
    </row>
    <row r="29" spans="1:5">
      <c r="A29" s="15" t="str">
        <v>Expense: Bank/Custody Fees</v>
      </c>
      <c r="B29" s="15">
        <f>+SUMIFS('Trial Balance'!F:F,'Trial Balance'!B:B,VLOOKUP(Summary!A29,'Trial Balance'!S:T,2,0))-+SUMIFS('Trial Balance'!C:C,'Trial Balance'!B:B,VLOOKUP(Summary!A29,'Trial Balance'!S:T,2,0))+SUMIFS('Trial Balance'!D:D,'Trial Balance'!B:B,VLOOKUP(Summary!A29,'Trial Balance'!S:U,3,0))-+SUMIFS('Trial Balance'!E:E,'Trial Balance'!B:B,VLOOKUP(Summary!A29,'Trial Balance'!S:U,3,0))</f>
        <v>250</v>
      </c>
      <c r="C29" s="15">
        <f>SUMIFS('Expenses Input'!C:C,'Expenses Input'!B:B,Summary!A29,'Expenses Input'!A:A,Summary!$B$3)</f>
        <v>250</v>
      </c>
      <c r="D29" s="15">
        <f t="shared" si="0"/>
        <v>0</v>
      </c>
    </row>
    <row r="30" spans="1:5">
      <c r="A30" s="15" t="str">
        <v>Expense: Professional Fees</v>
      </c>
      <c r="B30" s="15">
        <f>+SUMIFS('Trial Balance'!F:F,'Trial Balance'!B:B,VLOOKUP(Summary!A30,'Trial Balance'!S:T,2,0))-+SUMIFS('Trial Balance'!C:C,'Trial Balance'!B:B,VLOOKUP(Summary!A30,'Trial Balance'!S:T,2,0))+SUMIFS('Trial Balance'!D:D,'Trial Balance'!B:B,VLOOKUP(Summary!A30,'Trial Balance'!S:U,3,0))-+SUMIFS('Trial Balance'!E:E,'Trial Balance'!B:B,VLOOKUP(Summary!A30,'Trial Balance'!S:U,3,0))</f>
        <v>51527.46</v>
      </c>
      <c r="C30" s="15">
        <f>SUMIFS('Expenses Input'!C:C,'Expenses Input'!B:B,Summary!A30,'Expenses Input'!A:A,Summary!$B$3)</f>
        <v>51527.459999999992</v>
      </c>
      <c r="D30" s="15">
        <f t="shared" ref="D30:D31" si="1">+B30-C30</f>
        <v>0</v>
      </c>
    </row>
    <row r="31" spans="1:5">
      <c r="A31" s="15" t="str">
        <v>Expense: Compensation (Admin)</v>
      </c>
      <c r="B31" s="15">
        <f>+SUMIFS('Trial Balance'!F:F,'Trial Balance'!B:B,VLOOKUP(Summary!A31,'Trial Balance'!S:T,2,0))-+SUMIFS('Trial Balance'!C:C,'Trial Balance'!B:B,VLOOKUP(Summary!A31,'Trial Balance'!S:T,2,0))+SUMIFS('Trial Balance'!D:D,'Trial Balance'!B:B,VLOOKUP(Summary!A31,'Trial Balance'!S:U,3,0))-+SUMIFS('Trial Balance'!E:E,'Trial Balance'!B:B,VLOOKUP(Summary!A31,'Trial Balance'!S:U,3,0))</f>
        <v>60237</v>
      </c>
      <c r="C31" s="15">
        <f>SUMIFS('Expenses Input'!C:C,'Expenses Input'!B:B,Summary!A31,'Expenses Input'!A:A,Summary!$B$3)</f>
        <v>60237</v>
      </c>
      <c r="D31" s="15">
        <f t="shared" si="1"/>
        <v>0</v>
      </c>
    </row>
    <row r="32" spans="1:5">
      <c r="A32" s="27"/>
      <c r="B32" s="27"/>
      <c r="C32" s="27"/>
      <c r="D32" s="27"/>
    </row>
    <row r="33" spans="1:5">
      <c r="A33" s="27"/>
      <c r="B33" s="27"/>
      <c r="C33" s="27"/>
      <c r="D33" s="27"/>
    </row>
    <row r="34" spans="1:5">
      <c r="A34" s="27"/>
      <c r="B34" s="27"/>
      <c r="C34" s="27"/>
      <c r="D34" s="27"/>
    </row>
    <row r="35" spans="1:5">
      <c r="A35" s="21" t="str">
        <f>"Investigate If anything other than"&amp;E36</f>
        <v>Investigate If anything other thanBy Commitment (No Date)</v>
      </c>
      <c r="E35" s="21" t="s">
        <v>63</v>
      </c>
    </row>
    <row r="36" spans="1:5">
      <c r="A36" s="21" t="s">
        <v>64</v>
      </c>
      <c r="B36" s="21" t="str" cm="1">
        <f t="array" ref="B36:B38">+_xlfn.UNIQUE(_xlfn._xlws.FILTER('Allocation Rule'!F:F,'Allocation Rule'!K:K=Summary!$B$3))</f>
        <v>Non-Dominant</v>
      </c>
      <c r="C36" s="21" t="s">
        <v>65</v>
      </c>
      <c r="D36" s="21" t="s">
        <v>66</v>
      </c>
      <c r="E36" s="22" t="s">
        <v>67</v>
      </c>
    </row>
    <row r="37" spans="1:5">
      <c r="A37" s="14" t="str">
        <f>+IF(C37="Provide Comment",COUNTIF('Allocation Rule'!F:F,Summary!B37),"")</f>
        <v/>
      </c>
      <c r="B37" s="14" t="str">
        <v>By Commitment (No Date)</v>
      </c>
      <c r="C37" s="14" t="str">
        <f>+IF(B37=$E$36,"Okay",IF(B37="Non-Dominant","okay",IF(B37="","","ProvideComment")))</f>
        <v>Okay</v>
      </c>
    </row>
    <row r="38" spans="1:5">
      <c r="A38" s="14">
        <f>+IF(C38="Provide Comment",COUNTIF('Allocation Rule'!F:F,Summary!B38),"")</f>
        <v>42</v>
      </c>
      <c r="B38" s="14" t="str">
        <v>User Provided</v>
      </c>
      <c r="C38" s="14" t="str">
        <f>+IF(B38=$E$36,"Okay",IF(B38="Non-Dominant","okay",IF(B38="","","Provide Comment")))</f>
        <v>Provide Comment</v>
      </c>
      <c r="D38" s="14" t="s">
        <v>68</v>
      </c>
    </row>
    <row r="39" spans="1:5">
      <c r="A39" s="14" t="str">
        <f>+IF(C39="Provide Comment",COUNTIF('Allocation Rule'!F:F,Summary!B39),"")</f>
        <v/>
      </c>
      <c r="C39" s="14" t="str">
        <f>+IF(B39=$E$36,"Okay",IF(B39="Non-Dominant","okay",IF(B39="","","ProvideComment")))</f>
        <v/>
      </c>
    </row>
    <row r="40" spans="1:5">
      <c r="A40" s="14" t="str">
        <f>+IF(C40="Provide Comment",COUNTIF('Allocation Rule'!F:F,Summary!B40),"")</f>
        <v/>
      </c>
      <c r="C40" s="14" t="str">
        <f>+IF(B40=$E$36,"Okay",IF(B40="Non-Dominant","okay",IF(B40="","","ProvideComment")))</f>
        <v/>
      </c>
    </row>
    <row r="44" spans="1:5">
      <c r="A44" s="21" t="s">
        <v>69</v>
      </c>
      <c r="B44" s="24" cm="1">
        <f t="array" ref="B44:B46">+_xlfn.UNIQUE(CapActStmnt!U:U)</f>
        <v>0</v>
      </c>
      <c r="C44" s="21" t="s">
        <v>65</v>
      </c>
      <c r="D44" s="21" t="s">
        <v>66</v>
      </c>
    </row>
    <row r="45" spans="1:5">
      <c r="A45" s="14">
        <f>+IF(C45="Provide Comment",COUNTIF(CapActStmnt!U:U,Summary!B45),"")</f>
        <v>1</v>
      </c>
      <c r="B45" s="26" t="str">
        <v>Difference</v>
      </c>
      <c r="C45" s="26" t="str">
        <f>+IF(B45=0,"Okay", "Provide Comment")</f>
        <v>Provide Comment</v>
      </c>
    </row>
    <row r="46" spans="1:5">
      <c r="A46" s="14" t="str">
        <f>+IF(C46="Provide Comment",COUNTIF(CapActStmnt!U:U,Summary!B46),"")</f>
        <v/>
      </c>
      <c r="B46" s="26">
        <v>0</v>
      </c>
      <c r="C46" s="26" t="str">
        <f>+IF(B46=0,"Okay", "Provide Comment")</f>
        <v>Okay</v>
      </c>
    </row>
    <row r="47" spans="1:5">
      <c r="A47" s="14" t="str">
        <f>+IF(C47="Provide Comment",COUNTIF('Allocation Rule'!F:F,Summary!B47),"")</f>
        <v/>
      </c>
    </row>
    <row r="48" spans="1:5">
      <c r="A48" s="14" t="str">
        <f>+IF(C48="Provide Comment",COUNTIF('Allocation Rule'!F:F,Summary!B48),"")</f>
        <v/>
      </c>
    </row>
    <row r="49" spans="1:4">
      <c r="A49" s="21" t="s">
        <v>70</v>
      </c>
      <c r="C49" s="21" t="str" cm="1">
        <f t="array" ref="C49:C53">+_xlfn.UNIQUE('Trial Balance - investor level'!M:M)</f>
        <v>Status</v>
      </c>
      <c r="D49" s="21" t="s">
        <v>66</v>
      </c>
    </row>
    <row r="50" spans="1:4">
      <c r="A50" s="14" t="str">
        <f>+IF(C50="Provide Comment",COUNTIF('Trial Balance - investor level'!M:M,Summary!C50),"")</f>
        <v/>
      </c>
      <c r="C50" s="14" t="str">
        <v>okay</v>
      </c>
    </row>
    <row r="51" spans="1:4">
      <c r="A51" s="14" t="str">
        <f>+IF(C51="Provide Comment",COUNTIF('Trial Balance - investor level'!M:M,Summary!C51),"")</f>
        <v/>
      </c>
      <c r="C51" s="14" t="str">
        <v>N/A</v>
      </c>
    </row>
    <row r="52" spans="1:4">
      <c r="A52" s="14">
        <f>+IF(C52="Provide Comment",COUNTIF('Trial Balance - investor level'!M:M,Summary!C52),"")</f>
        <v>10</v>
      </c>
      <c r="C52" s="14" t="str">
        <v>Provide Comment</v>
      </c>
      <c r="D52" s="14" t="s">
        <v>71</v>
      </c>
    </row>
    <row r="53" spans="1:4">
      <c r="A53" s="14" t="str">
        <f>+IF(C53="Provide Comment",COUNTIF('Allocation Rule'!F:F,Summary!B53),"")</f>
        <v/>
      </c>
      <c r="C53" s="14">
        <v>0</v>
      </c>
    </row>
  </sheetData>
  <mergeCells count="2">
    <mergeCell ref="B2:C2"/>
    <mergeCell ref="B3:C3"/>
  </mergeCells>
  <conditionalFormatting sqref="C49:D55 B36:D48">
    <cfRule type="cellIs" dxfId="53" priority="1" operator="equal">
      <formula>"Provide Comment"</formula>
    </cfRule>
  </conditionalFormatting>
  <hyperlinks>
    <hyperlink ref="H1" r:id="rId1" xr:uid="{9A293A6A-7550-42CD-ABB4-DDC3AF8D1FD3}"/>
  </hyperlinks>
  <pageMargins left="0.7" right="0.7" top="0.75" bottom="0.75" header="0.3" footer="0.3"/>
  <pageSetup scale="50" orientation="portrait" r:id="rId2"/>
  <rowBreaks count="1" manualBreakCount="1">
    <brk id="58" max="3" man="1"/>
  </rowBreaks>
  <colBreaks count="1" manualBreakCount="1">
    <brk id="4" max="1048575" man="1"/>
  </colBreak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125CC-2BA2-4C9A-B3E5-22F44E9EC9BD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376EC-17A9-4707-B1F7-05E14D238AED}">
  <dimension ref="A1:U101"/>
  <sheetViews>
    <sheetView tabSelected="1" zoomScale="85" zoomScaleNormal="85" workbookViewId="0">
      <pane xSplit="2" topLeftCell="C1" activePane="topRight" state="frozen"/>
      <selection pane="topRight" activeCell="A3" sqref="A3"/>
    </sheetView>
  </sheetViews>
  <sheetFormatPr defaultColWidth="9.140625" defaultRowHeight="15"/>
  <cols>
    <col min="1" max="1" width="24.7109375" style="18" bestFit="1" customWidth="1"/>
    <col min="2" max="2" width="50.7109375" style="18" bestFit="1" customWidth="1"/>
    <col min="3" max="3" width="29.5703125" style="32" customWidth="1"/>
    <col min="4" max="5" width="14.28515625" style="32" bestFit="1" customWidth="1"/>
    <col min="6" max="6" width="27.42578125" style="32" bestFit="1" customWidth="1"/>
    <col min="7" max="7" width="15.28515625" style="20" customWidth="1"/>
    <col min="8" max="8" width="15.140625" style="18" bestFit="1" customWidth="1"/>
    <col min="9" max="9" width="21.28515625" style="18" customWidth="1"/>
    <col min="10" max="10" width="48.7109375" style="18" customWidth="1"/>
    <col min="11" max="11" width="34.28515625" style="18" customWidth="1"/>
    <col min="12" max="12" width="18.28515625" style="18" customWidth="1"/>
    <col min="13" max="13" width="18.140625" style="18" bestFit="1" customWidth="1"/>
    <col min="14" max="14" width="13.85546875" style="18" customWidth="1"/>
    <col min="15" max="15" width="9.140625" style="18"/>
    <col min="16" max="16" width="94.5703125" style="18" customWidth="1"/>
    <col min="17" max="17" width="50" style="18" customWidth="1"/>
    <col min="18" max="18" width="38" style="18" bestFit="1" customWidth="1"/>
    <col min="19" max="19" width="33" style="18" bestFit="1" customWidth="1"/>
    <col min="20" max="20" width="29.42578125" style="18" bestFit="1" customWidth="1"/>
    <col min="21" max="21" width="38" style="18" bestFit="1" customWidth="1"/>
    <col min="22" max="16384" width="9.140625" style="18"/>
  </cols>
  <sheetData>
    <row r="1" spans="1:21" ht="15.75">
      <c r="H1" s="66" t="s">
        <v>72</v>
      </c>
      <c r="I1" s="66"/>
      <c r="J1" s="66"/>
      <c r="K1" s="49">
        <v>45930</v>
      </c>
      <c r="M1" s="51" t="s">
        <v>73</v>
      </c>
    </row>
    <row r="2" spans="1:21" ht="15.75" thickBot="1">
      <c r="A2" s="18" t="s">
        <v>21</v>
      </c>
      <c r="B2" s="18" t="s">
        <v>74</v>
      </c>
      <c r="C2" s="32" t="s">
        <v>75</v>
      </c>
      <c r="D2" s="32" t="s">
        <v>76</v>
      </c>
      <c r="E2" s="32" t="s">
        <v>77</v>
      </c>
      <c r="F2" s="32" t="s">
        <v>78</v>
      </c>
      <c r="G2" s="20" t="s">
        <v>79</v>
      </c>
      <c r="H2" s="39" t="s">
        <v>80</v>
      </c>
      <c r="I2" s="39" t="s">
        <v>81</v>
      </c>
      <c r="J2" s="39" t="s">
        <v>82</v>
      </c>
      <c r="K2" s="45" t="s">
        <v>83</v>
      </c>
      <c r="L2" s="44"/>
      <c r="M2" s="38"/>
      <c r="N2" s="38"/>
      <c r="P2" s="39" t="s">
        <v>84</v>
      </c>
      <c r="Q2" s="39" t="s">
        <v>85</v>
      </c>
      <c r="S2" s="19" t="s">
        <v>86</v>
      </c>
    </row>
    <row r="3" spans="1:21" ht="60">
      <c r="A3" s="40" t="s">
        <v>22</v>
      </c>
      <c r="B3" s="40" t="s">
        <v>87</v>
      </c>
      <c r="C3" s="41">
        <v>43981.88</v>
      </c>
      <c r="D3" s="41">
        <v>1500834.22</v>
      </c>
      <c r="E3" s="41">
        <v>663298.74</v>
      </c>
      <c r="F3" s="41">
        <v>881517.36</v>
      </c>
      <c r="G3" s="42" t="str">
        <f t="shared" ref="G3:G66" si="0">+IF(OR(LEFT(B3,1)="1",LEFT(B3,1)="2"),"NAV",+IF(OR(LEFT(B3,1)="4",LEFT(B3,1)="5",LEFT(B3,1)="6"),"P&amp;L",IF(LEFT(B3,1)="3","CAP","NIL")))</f>
        <v>NAV</v>
      </c>
      <c r="H3" s="63" t="s">
        <v>88</v>
      </c>
      <c r="I3" s="63" t="s">
        <v>89</v>
      </c>
      <c r="J3" s="62" t="s">
        <v>90</v>
      </c>
      <c r="K3" s="48">
        <f>+SUMIF('Cash Transaction '!G:G,'Trial Balance'!$K$1,'Cash Transaction '!E:E)-(D3-E3)</f>
        <v>0</v>
      </c>
      <c r="L3" s="62"/>
      <c r="M3" s="18" t="s">
        <v>91</v>
      </c>
      <c r="P3" s="43" t="s">
        <v>92</v>
      </c>
      <c r="Q3" s="40" t="s">
        <v>93</v>
      </c>
      <c r="S3" s="18" t="s">
        <v>94</v>
      </c>
      <c r="T3" s="18" t="s">
        <v>95</v>
      </c>
      <c r="U3" s="18" t="s">
        <v>96</v>
      </c>
    </row>
    <row r="4" spans="1:21">
      <c r="A4" s="18" t="s">
        <v>22</v>
      </c>
      <c r="B4" s="60" t="s">
        <v>97</v>
      </c>
      <c r="C4" s="61">
        <v>734955633.48000002</v>
      </c>
      <c r="D4" s="61">
        <v>0</v>
      </c>
      <c r="E4" s="61">
        <v>0</v>
      </c>
      <c r="F4" s="61">
        <v>734955633.48000002</v>
      </c>
      <c r="G4" s="20" t="str">
        <f t="shared" si="0"/>
        <v>NAV</v>
      </c>
      <c r="H4" s="69" t="s">
        <v>98</v>
      </c>
      <c r="I4" s="69" t="s">
        <v>89</v>
      </c>
      <c r="J4" s="67" t="s">
        <v>99</v>
      </c>
      <c r="K4" s="67"/>
      <c r="L4" s="62"/>
      <c r="M4" s="18" t="s">
        <v>100</v>
      </c>
      <c r="P4" s="67" t="s">
        <v>101</v>
      </c>
      <c r="Q4" s="68" t="s">
        <v>102</v>
      </c>
      <c r="S4" s="18" t="s">
        <v>103</v>
      </c>
      <c r="U4" s="18" t="s">
        <v>104</v>
      </c>
    </row>
    <row r="5" spans="1:21">
      <c r="A5" s="18" t="s">
        <v>22</v>
      </c>
      <c r="B5" s="60" t="s">
        <v>105</v>
      </c>
      <c r="C5" s="61">
        <v>228777624.87</v>
      </c>
      <c r="D5" s="61">
        <v>10737105.199999999</v>
      </c>
      <c r="E5" s="61">
        <v>0</v>
      </c>
      <c r="F5" s="61">
        <v>239514730.06999999</v>
      </c>
      <c r="G5" s="20" t="str">
        <f t="shared" si="0"/>
        <v>NAV</v>
      </c>
      <c r="H5" s="69"/>
      <c r="I5" s="69"/>
      <c r="J5" s="67"/>
      <c r="K5" s="67"/>
      <c r="L5" s="62"/>
      <c r="M5" s="18" t="s">
        <v>100</v>
      </c>
      <c r="P5" s="67"/>
      <c r="Q5" s="68"/>
      <c r="S5" s="18" t="s">
        <v>106</v>
      </c>
      <c r="U5" s="18" t="s">
        <v>107</v>
      </c>
    </row>
    <row r="6" spans="1:21">
      <c r="A6" s="18" t="s">
        <v>22</v>
      </c>
      <c r="B6" s="18" t="s">
        <v>108</v>
      </c>
      <c r="C6" s="32">
        <v>0</v>
      </c>
      <c r="D6" s="32">
        <v>0</v>
      </c>
      <c r="E6" s="32">
        <v>0</v>
      </c>
      <c r="F6" s="32">
        <v>0</v>
      </c>
      <c r="G6" s="20" t="str">
        <f t="shared" si="0"/>
        <v>NAV</v>
      </c>
      <c r="H6" s="63" t="s">
        <v>109</v>
      </c>
      <c r="I6" s="63" t="s">
        <v>110</v>
      </c>
      <c r="J6" s="18" t="s">
        <v>111</v>
      </c>
      <c r="Q6" s="40" t="s">
        <v>93</v>
      </c>
      <c r="S6" s="18" t="s">
        <v>112</v>
      </c>
      <c r="U6" s="18" t="s">
        <v>113</v>
      </c>
    </row>
    <row r="7" spans="1:21">
      <c r="A7" s="18" t="s">
        <v>22</v>
      </c>
      <c r="B7" s="18" t="s">
        <v>114</v>
      </c>
      <c r="C7" s="32">
        <v>144.52000000000001</v>
      </c>
      <c r="D7" s="32">
        <v>469422.22</v>
      </c>
      <c r="E7" s="32">
        <v>0</v>
      </c>
      <c r="F7" s="32">
        <v>469566.74</v>
      </c>
      <c r="G7" s="20" t="str">
        <f t="shared" si="0"/>
        <v>NAV</v>
      </c>
      <c r="H7" s="63" t="s">
        <v>115</v>
      </c>
      <c r="I7" s="50"/>
      <c r="J7" s="50"/>
      <c r="K7" s="50"/>
      <c r="Q7" s="18" t="s">
        <v>115</v>
      </c>
    </row>
    <row r="8" spans="1:21">
      <c r="A8" s="18" t="s">
        <v>22</v>
      </c>
      <c r="B8" s="18" t="s">
        <v>116</v>
      </c>
      <c r="C8" s="32">
        <v>-9161.5</v>
      </c>
      <c r="D8" s="32">
        <v>0</v>
      </c>
      <c r="E8" s="32">
        <v>0</v>
      </c>
      <c r="F8" s="32">
        <v>-9161.5</v>
      </c>
      <c r="G8" s="20" t="str">
        <f t="shared" si="0"/>
        <v>NAV</v>
      </c>
      <c r="H8" s="63" t="s">
        <v>117</v>
      </c>
      <c r="I8" s="63" t="s">
        <v>115</v>
      </c>
      <c r="P8" s="18" t="s">
        <v>117</v>
      </c>
      <c r="Q8" s="67" t="s">
        <v>118</v>
      </c>
      <c r="S8" s="18" t="s">
        <v>119</v>
      </c>
      <c r="U8" s="18" t="s">
        <v>120</v>
      </c>
    </row>
    <row r="9" spans="1:21">
      <c r="A9" s="18" t="s">
        <v>22</v>
      </c>
      <c r="B9" s="18" t="s">
        <v>121</v>
      </c>
      <c r="C9" s="32">
        <v>-20100</v>
      </c>
      <c r="D9" s="32">
        <v>13400</v>
      </c>
      <c r="E9" s="32">
        <v>3350</v>
      </c>
      <c r="F9" s="32">
        <v>-10050</v>
      </c>
      <c r="G9" s="20" t="str">
        <f t="shared" si="0"/>
        <v>NAV</v>
      </c>
      <c r="H9" s="63" t="s">
        <v>117</v>
      </c>
      <c r="I9" s="63" t="s">
        <v>115</v>
      </c>
      <c r="P9" s="18" t="s">
        <v>117</v>
      </c>
      <c r="Q9" s="67"/>
      <c r="S9" s="18" t="s">
        <v>122</v>
      </c>
      <c r="U9" s="18" t="s">
        <v>123</v>
      </c>
    </row>
    <row r="10" spans="1:21">
      <c r="A10" s="18" t="s">
        <v>22</v>
      </c>
      <c r="B10" s="18" t="s">
        <v>124</v>
      </c>
      <c r="C10" s="32">
        <v>-4106.34</v>
      </c>
      <c r="D10" s="32">
        <v>0</v>
      </c>
      <c r="E10" s="32">
        <v>2555.5</v>
      </c>
      <c r="F10" s="32">
        <v>-6661.84</v>
      </c>
      <c r="G10" s="20" t="str">
        <f t="shared" si="0"/>
        <v>NAV</v>
      </c>
      <c r="H10" s="63" t="s">
        <v>117</v>
      </c>
      <c r="I10" s="63" t="s">
        <v>115</v>
      </c>
      <c r="P10" s="18" t="s">
        <v>117</v>
      </c>
      <c r="Q10" s="67"/>
      <c r="S10" s="18" t="s">
        <v>125</v>
      </c>
      <c r="U10" s="18" t="s">
        <v>126</v>
      </c>
    </row>
    <row r="11" spans="1:21">
      <c r="A11" s="18" t="s">
        <v>22</v>
      </c>
      <c r="B11" s="18" t="s">
        <v>127</v>
      </c>
      <c r="C11" s="32">
        <v>0</v>
      </c>
      <c r="D11" s="32">
        <v>0</v>
      </c>
      <c r="E11" s="32">
        <v>0</v>
      </c>
      <c r="F11" s="32">
        <v>0</v>
      </c>
      <c r="G11" s="20" t="str">
        <f t="shared" si="0"/>
        <v>NAV</v>
      </c>
      <c r="H11" s="63" t="s">
        <v>115</v>
      </c>
      <c r="I11" s="63" t="s">
        <v>115</v>
      </c>
      <c r="P11" s="18" t="s">
        <v>115</v>
      </c>
      <c r="Q11" s="67"/>
      <c r="S11" s="18" t="s">
        <v>128</v>
      </c>
      <c r="U11" s="18" t="s">
        <v>129</v>
      </c>
    </row>
    <row r="12" spans="1:21">
      <c r="A12" s="18" t="s">
        <v>22</v>
      </c>
      <c r="B12" s="18" t="s">
        <v>95</v>
      </c>
      <c r="C12" s="32">
        <v>-1000</v>
      </c>
      <c r="D12" s="32">
        <v>250</v>
      </c>
      <c r="E12" s="32">
        <v>750</v>
      </c>
      <c r="F12" s="32">
        <v>-1500</v>
      </c>
      <c r="G12" s="20" t="str">
        <f t="shared" si="0"/>
        <v>NAV</v>
      </c>
      <c r="H12" s="63" t="s">
        <v>117</v>
      </c>
      <c r="I12" s="63" t="s">
        <v>115</v>
      </c>
      <c r="P12" s="18" t="s">
        <v>117</v>
      </c>
      <c r="Q12" s="67"/>
      <c r="S12" s="18" t="s">
        <v>130</v>
      </c>
      <c r="T12" s="18" t="s">
        <v>116</v>
      </c>
      <c r="U12" s="18" t="s">
        <v>131</v>
      </c>
    </row>
    <row r="13" spans="1:21">
      <c r="A13" s="18" t="s">
        <v>22</v>
      </c>
      <c r="B13" s="18" t="s">
        <v>132</v>
      </c>
      <c r="C13" s="32">
        <v>0</v>
      </c>
      <c r="D13" s="32">
        <v>0</v>
      </c>
      <c r="E13" s="32">
        <v>0</v>
      </c>
      <c r="F13" s="32">
        <v>0</v>
      </c>
      <c r="G13" s="20" t="str">
        <f t="shared" si="0"/>
        <v>NAV</v>
      </c>
      <c r="H13" s="63" t="s">
        <v>115</v>
      </c>
      <c r="I13" s="63" t="s">
        <v>115</v>
      </c>
      <c r="P13" s="18" t="s">
        <v>115</v>
      </c>
      <c r="Q13" s="67"/>
      <c r="S13" s="18" t="s">
        <v>133</v>
      </c>
      <c r="T13" s="18" t="s">
        <v>127</v>
      </c>
      <c r="U13" s="18" t="s">
        <v>134</v>
      </c>
    </row>
    <row r="14" spans="1:21" ht="30">
      <c r="A14" s="18" t="s">
        <v>22</v>
      </c>
      <c r="B14" s="18" t="s">
        <v>135</v>
      </c>
      <c r="C14" s="32">
        <v>-890742431.88999999</v>
      </c>
      <c r="D14" s="32">
        <v>0</v>
      </c>
      <c r="E14" s="32">
        <v>0</v>
      </c>
      <c r="F14" s="32">
        <v>-890742431.88999999</v>
      </c>
      <c r="G14" s="20" t="str">
        <f t="shared" si="0"/>
        <v>CAP</v>
      </c>
      <c r="H14" s="63" t="s">
        <v>88</v>
      </c>
      <c r="I14" s="63" t="s">
        <v>89</v>
      </c>
      <c r="J14" s="62" t="s">
        <v>90</v>
      </c>
      <c r="K14" s="32">
        <v>0</v>
      </c>
      <c r="P14" s="18" t="s">
        <v>136</v>
      </c>
      <c r="Q14" s="40" t="s">
        <v>137</v>
      </c>
      <c r="S14" s="18" t="s">
        <v>138</v>
      </c>
      <c r="T14" s="18" t="s">
        <v>121</v>
      </c>
      <c r="U14" s="18" t="s">
        <v>139</v>
      </c>
    </row>
    <row r="15" spans="1:21" ht="30">
      <c r="A15" s="18" t="s">
        <v>22</v>
      </c>
      <c r="B15" s="18" t="s">
        <v>140</v>
      </c>
      <c r="C15" s="32">
        <v>-2133460.7599999998</v>
      </c>
      <c r="D15" s="32">
        <v>0</v>
      </c>
      <c r="E15" s="32">
        <v>1500000</v>
      </c>
      <c r="F15" s="32">
        <v>-3633460.76</v>
      </c>
      <c r="G15" s="20" t="str">
        <f t="shared" si="0"/>
        <v>CAP</v>
      </c>
      <c r="H15" s="63" t="s">
        <v>88</v>
      </c>
      <c r="I15" s="63" t="s">
        <v>89</v>
      </c>
      <c r="J15" s="62" t="s">
        <v>90</v>
      </c>
      <c r="K15" s="32">
        <f>+SUMIFS('Cash Transaction '!E:E,'Cash Transaction '!C:C,"Capital Contribution",'Cash Transaction '!G:G,'Trial Balance'!$K$1)-(E15)</f>
        <v>0</v>
      </c>
      <c r="P15" s="18" t="s">
        <v>136</v>
      </c>
      <c r="Q15" s="40" t="s">
        <v>137</v>
      </c>
      <c r="S15" s="18" t="s">
        <v>141</v>
      </c>
      <c r="T15" s="18" t="s">
        <v>124</v>
      </c>
      <c r="U15" s="18" t="s">
        <v>142</v>
      </c>
    </row>
    <row r="16" spans="1:21" ht="30">
      <c r="A16" s="18" t="s">
        <v>22</v>
      </c>
      <c r="B16" s="18" t="s">
        <v>143</v>
      </c>
      <c r="C16" s="32">
        <v>155786798.36000001</v>
      </c>
      <c r="D16" s="32">
        <v>0</v>
      </c>
      <c r="E16" s="32">
        <v>0</v>
      </c>
      <c r="F16" s="32">
        <v>155786798.36000001</v>
      </c>
      <c r="G16" s="20" t="str">
        <f t="shared" si="0"/>
        <v>CAP</v>
      </c>
      <c r="H16" s="63" t="s">
        <v>88</v>
      </c>
      <c r="I16" s="63" t="s">
        <v>89</v>
      </c>
      <c r="J16" s="62" t="s">
        <v>90</v>
      </c>
      <c r="K16" s="32">
        <v>0</v>
      </c>
      <c r="P16" s="18" t="s">
        <v>136</v>
      </c>
      <c r="Q16" s="40" t="s">
        <v>137</v>
      </c>
      <c r="S16" s="18" t="s">
        <v>144</v>
      </c>
      <c r="U16" s="18" t="s">
        <v>145</v>
      </c>
    </row>
    <row r="17" spans="1:21" ht="30">
      <c r="A17" s="18" t="s">
        <v>22</v>
      </c>
      <c r="B17" s="18" t="s">
        <v>146</v>
      </c>
      <c r="C17" s="32">
        <v>19897272.600000001</v>
      </c>
      <c r="D17" s="32">
        <v>0</v>
      </c>
      <c r="E17" s="32">
        <v>0</v>
      </c>
      <c r="F17" s="32">
        <v>19897272.600000001</v>
      </c>
      <c r="G17" s="20" t="str">
        <f t="shared" si="0"/>
        <v>CAP</v>
      </c>
      <c r="H17" s="63" t="s">
        <v>88</v>
      </c>
      <c r="I17" s="63" t="s">
        <v>89</v>
      </c>
      <c r="J17" s="62" t="s">
        <v>90</v>
      </c>
      <c r="K17" s="32">
        <v>0</v>
      </c>
      <c r="P17" s="18" t="s">
        <v>136</v>
      </c>
      <c r="Q17" s="40" t="s">
        <v>137</v>
      </c>
      <c r="S17" s="18" t="s">
        <v>128</v>
      </c>
    </row>
    <row r="18" spans="1:21">
      <c r="A18" s="18" t="s">
        <v>22</v>
      </c>
      <c r="B18" s="18" t="s">
        <v>147</v>
      </c>
      <c r="C18" s="32">
        <v>-173476647.71000001</v>
      </c>
      <c r="D18" s="32">
        <v>0</v>
      </c>
      <c r="E18" s="32">
        <v>0</v>
      </c>
      <c r="F18" s="32">
        <v>-173476647.71000001</v>
      </c>
      <c r="G18" s="20" t="str">
        <f t="shared" si="0"/>
        <v>CAP</v>
      </c>
      <c r="H18" s="63" t="s">
        <v>148</v>
      </c>
      <c r="I18" s="63"/>
      <c r="S18" s="18" t="s">
        <v>149</v>
      </c>
      <c r="U18" s="18" t="s">
        <v>150</v>
      </c>
    </row>
    <row r="19" spans="1:21">
      <c r="A19" s="18" t="s">
        <v>22</v>
      </c>
      <c r="B19" s="18" t="s">
        <v>151</v>
      </c>
      <c r="C19" s="32">
        <v>0</v>
      </c>
      <c r="D19" s="32">
        <v>0</v>
      </c>
      <c r="E19" s="32">
        <v>0</v>
      </c>
      <c r="F19" s="32">
        <v>0</v>
      </c>
      <c r="G19" s="20" t="str">
        <f t="shared" si="0"/>
        <v>CAP</v>
      </c>
      <c r="H19" s="63" t="s">
        <v>148</v>
      </c>
      <c r="I19" s="63"/>
      <c r="S19" s="18" t="s">
        <v>152</v>
      </c>
      <c r="U19" s="18" t="s">
        <v>107</v>
      </c>
    </row>
    <row r="20" spans="1:21">
      <c r="A20" s="18" t="s">
        <v>22</v>
      </c>
      <c r="B20" s="18" t="s">
        <v>153</v>
      </c>
      <c r="C20" s="32">
        <v>0</v>
      </c>
      <c r="D20" s="32">
        <v>0</v>
      </c>
      <c r="E20" s="32">
        <v>0</v>
      </c>
      <c r="F20" s="32">
        <v>0</v>
      </c>
      <c r="G20" s="20" t="str">
        <f t="shared" si="0"/>
        <v>P&amp;L</v>
      </c>
      <c r="H20" s="63" t="s">
        <v>154</v>
      </c>
      <c r="I20" s="63" t="s">
        <v>110</v>
      </c>
    </row>
    <row r="21" spans="1:21">
      <c r="A21" s="18" t="s">
        <v>22</v>
      </c>
      <c r="B21" s="18" t="s">
        <v>155</v>
      </c>
      <c r="C21" s="32">
        <v>0</v>
      </c>
      <c r="D21" s="32">
        <v>0</v>
      </c>
      <c r="E21" s="32">
        <v>0</v>
      </c>
      <c r="F21" s="32">
        <v>0</v>
      </c>
      <c r="G21" s="20" t="str">
        <f t="shared" si="0"/>
        <v>P&amp;L</v>
      </c>
      <c r="H21" s="63" t="s">
        <v>154</v>
      </c>
      <c r="I21" s="63" t="s">
        <v>110</v>
      </c>
    </row>
    <row r="22" spans="1:21" ht="30">
      <c r="A22" s="18" t="s">
        <v>22</v>
      </c>
      <c r="B22" s="18" t="s">
        <v>156</v>
      </c>
      <c r="C22" s="32">
        <v>-7250.23</v>
      </c>
      <c r="D22" s="32">
        <v>0</v>
      </c>
      <c r="E22" s="32">
        <v>834.22</v>
      </c>
      <c r="F22" s="32">
        <v>-8084.45</v>
      </c>
      <c r="G22" s="20" t="str">
        <f t="shared" si="0"/>
        <v>P&amp;L</v>
      </c>
      <c r="H22" s="63" t="s">
        <v>109</v>
      </c>
      <c r="I22" s="63" t="s">
        <v>89</v>
      </c>
      <c r="J22" s="62" t="s">
        <v>90</v>
      </c>
      <c r="K22" s="32">
        <f>+SUMIFS('Cash Transaction '!E:E,'Cash Transaction '!C:C,"Bank Interest ",'Cash Transaction '!G:G,'Trial Balance'!$K$1)-E22</f>
        <v>0</v>
      </c>
    </row>
    <row r="23" spans="1:21">
      <c r="A23" s="18" t="s">
        <v>22</v>
      </c>
      <c r="B23" s="60" t="s">
        <v>157</v>
      </c>
      <c r="C23" s="61">
        <v>-73641499.209999993</v>
      </c>
      <c r="D23" s="61">
        <v>0</v>
      </c>
      <c r="E23" s="61">
        <v>10737105.199999999</v>
      </c>
      <c r="F23" s="61">
        <v>-84378604.409999996</v>
      </c>
      <c r="G23" s="20" t="str">
        <f t="shared" si="0"/>
        <v>P&amp;L</v>
      </c>
      <c r="H23" s="40" t="s">
        <v>98</v>
      </c>
      <c r="I23" s="63" t="s">
        <v>89</v>
      </c>
      <c r="J23" s="43" t="s">
        <v>99</v>
      </c>
    </row>
    <row r="24" spans="1:21" ht="30">
      <c r="A24" s="18" t="s">
        <v>22</v>
      </c>
      <c r="B24" s="18" t="s">
        <v>145</v>
      </c>
      <c r="C24" s="32">
        <v>0</v>
      </c>
      <c r="D24" s="32">
        <v>51527.46</v>
      </c>
      <c r="E24" s="32">
        <v>0</v>
      </c>
      <c r="F24" s="32">
        <v>51527.46</v>
      </c>
      <c r="G24" s="20" t="str">
        <f t="shared" si="0"/>
        <v>P&amp;L</v>
      </c>
      <c r="H24" s="40" t="s">
        <v>158</v>
      </c>
      <c r="I24" s="63" t="s">
        <v>89</v>
      </c>
      <c r="J24" s="43" t="s">
        <v>159</v>
      </c>
    </row>
    <row r="25" spans="1:21" ht="30">
      <c r="A25" s="18" t="s">
        <v>22</v>
      </c>
      <c r="B25" s="18" t="s">
        <v>96</v>
      </c>
      <c r="C25" s="32">
        <v>1500</v>
      </c>
      <c r="D25" s="32">
        <v>750</v>
      </c>
      <c r="E25" s="32">
        <v>0</v>
      </c>
      <c r="F25" s="32">
        <v>2250</v>
      </c>
      <c r="G25" s="20" t="str">
        <f t="shared" si="0"/>
        <v>P&amp;L</v>
      </c>
      <c r="H25" s="40" t="s">
        <v>158</v>
      </c>
      <c r="I25" s="63" t="s">
        <v>89</v>
      </c>
      <c r="J25" s="43" t="s">
        <v>159</v>
      </c>
      <c r="K25" s="32">
        <f>+(SUM(D24:D38)-SUM(E24:E38))-SUM(E8:E12)+SUM(D8:D12)</f>
        <v>193876.52000000002</v>
      </c>
      <c r="L25" s="32">
        <f>+'Expenses Input'!C36</f>
        <v>193876.52000000002</v>
      </c>
      <c r="P25" s="18" t="s">
        <v>160</v>
      </c>
      <c r="Q25" s="18" t="s">
        <v>161</v>
      </c>
    </row>
    <row r="26" spans="1:21" ht="30">
      <c r="A26" s="18" t="s">
        <v>22</v>
      </c>
      <c r="B26" s="18" t="s">
        <v>104</v>
      </c>
      <c r="C26" s="32">
        <v>3424.92</v>
      </c>
      <c r="D26" s="32">
        <v>6850.98</v>
      </c>
      <c r="E26" s="32">
        <v>0</v>
      </c>
      <c r="F26" s="32">
        <v>10275.9</v>
      </c>
      <c r="G26" s="20" t="str">
        <f t="shared" si="0"/>
        <v>P&amp;L</v>
      </c>
      <c r="H26" s="40" t="s">
        <v>158</v>
      </c>
      <c r="I26" s="63" t="s">
        <v>89</v>
      </c>
      <c r="J26" s="43" t="s">
        <v>159</v>
      </c>
      <c r="P26" s="18" t="s">
        <v>160</v>
      </c>
      <c r="Q26" s="18" t="s">
        <v>161</v>
      </c>
    </row>
    <row r="27" spans="1:21" ht="30">
      <c r="A27" s="18" t="s">
        <v>22</v>
      </c>
      <c r="B27" s="18" t="s">
        <v>107</v>
      </c>
      <c r="C27" s="32">
        <v>161583.32</v>
      </c>
      <c r="D27" s="32">
        <v>1530</v>
      </c>
      <c r="E27" s="32">
        <v>0</v>
      </c>
      <c r="F27" s="32">
        <v>163113.32</v>
      </c>
      <c r="G27" s="20" t="str">
        <f t="shared" si="0"/>
        <v>P&amp;L</v>
      </c>
      <c r="H27" s="40" t="s">
        <v>158</v>
      </c>
      <c r="I27" s="63" t="s">
        <v>89</v>
      </c>
      <c r="J27" s="43" t="s">
        <v>159</v>
      </c>
      <c r="P27" s="18" t="s">
        <v>160</v>
      </c>
      <c r="Q27" s="18" t="s">
        <v>161</v>
      </c>
    </row>
    <row r="28" spans="1:21" ht="30">
      <c r="A28" s="18" t="s">
        <v>22</v>
      </c>
      <c r="B28" s="18" t="s">
        <v>113</v>
      </c>
      <c r="C28" s="32">
        <v>219944</v>
      </c>
      <c r="D28" s="32">
        <v>60237</v>
      </c>
      <c r="E28" s="32">
        <v>0</v>
      </c>
      <c r="F28" s="32">
        <v>280181</v>
      </c>
      <c r="G28" s="20" t="str">
        <f t="shared" si="0"/>
        <v>P&amp;L</v>
      </c>
      <c r="H28" s="40" t="s">
        <v>158</v>
      </c>
      <c r="I28" s="63" t="s">
        <v>89</v>
      </c>
      <c r="J28" s="43" t="s">
        <v>159</v>
      </c>
      <c r="P28" s="18" t="s">
        <v>160</v>
      </c>
      <c r="Q28" s="18" t="s">
        <v>161</v>
      </c>
    </row>
    <row r="29" spans="1:21" ht="30">
      <c r="A29" s="18" t="s">
        <v>22</v>
      </c>
      <c r="B29" s="18" t="s">
        <v>150</v>
      </c>
      <c r="C29" s="32">
        <v>68504.789999999994</v>
      </c>
      <c r="D29" s="32">
        <v>4136</v>
      </c>
      <c r="E29" s="32">
        <v>0</v>
      </c>
      <c r="F29" s="32">
        <v>72640.789999999994</v>
      </c>
      <c r="G29" s="20" t="str">
        <f t="shared" si="0"/>
        <v>P&amp;L</v>
      </c>
      <c r="H29" s="40" t="s">
        <v>158</v>
      </c>
      <c r="I29" s="63" t="s">
        <v>89</v>
      </c>
      <c r="J29" s="43" t="s">
        <v>159</v>
      </c>
      <c r="P29" s="18" t="s">
        <v>160</v>
      </c>
      <c r="Q29" s="18" t="s">
        <v>161</v>
      </c>
    </row>
    <row r="30" spans="1:21" ht="30">
      <c r="A30" s="18" t="s">
        <v>22</v>
      </c>
      <c r="B30" s="18" t="s">
        <v>120</v>
      </c>
      <c r="C30" s="32">
        <v>102.74</v>
      </c>
      <c r="D30" s="32">
        <v>0</v>
      </c>
      <c r="E30" s="32">
        <v>0</v>
      </c>
      <c r="F30" s="32">
        <v>102.74</v>
      </c>
      <c r="G30" s="20" t="str">
        <f t="shared" si="0"/>
        <v>P&amp;L</v>
      </c>
      <c r="H30" s="40" t="s">
        <v>158</v>
      </c>
      <c r="I30" s="63" t="s">
        <v>89</v>
      </c>
      <c r="J30" s="43" t="s">
        <v>159</v>
      </c>
      <c r="P30" s="18" t="s">
        <v>160</v>
      </c>
      <c r="Q30" s="18" t="s">
        <v>161</v>
      </c>
    </row>
    <row r="31" spans="1:21" ht="30">
      <c r="A31" s="18" t="s">
        <v>22</v>
      </c>
      <c r="B31" s="18" t="s">
        <v>123</v>
      </c>
      <c r="C31" s="32">
        <v>64156.24</v>
      </c>
      <c r="D31" s="32">
        <v>32651.61</v>
      </c>
      <c r="E31" s="32">
        <v>0</v>
      </c>
      <c r="F31" s="32">
        <v>96807.85</v>
      </c>
      <c r="G31" s="20" t="str">
        <f t="shared" si="0"/>
        <v>P&amp;L</v>
      </c>
      <c r="H31" s="40" t="s">
        <v>158</v>
      </c>
      <c r="I31" s="63" t="s">
        <v>89</v>
      </c>
      <c r="J31" s="43" t="s">
        <v>159</v>
      </c>
      <c r="P31" s="18" t="s">
        <v>160</v>
      </c>
      <c r="Q31" s="18" t="s">
        <v>161</v>
      </c>
    </row>
    <row r="32" spans="1:21" ht="30">
      <c r="A32" s="18" t="s">
        <v>22</v>
      </c>
      <c r="B32" s="18" t="s">
        <v>126</v>
      </c>
      <c r="C32" s="32">
        <v>9550.2800000000007</v>
      </c>
      <c r="D32" s="32">
        <v>1840.3</v>
      </c>
      <c r="E32" s="32">
        <v>0</v>
      </c>
      <c r="F32" s="32">
        <v>11390.58</v>
      </c>
      <c r="G32" s="20" t="str">
        <f t="shared" si="0"/>
        <v>P&amp;L</v>
      </c>
      <c r="H32" s="40" t="s">
        <v>158</v>
      </c>
      <c r="I32" s="63" t="s">
        <v>89</v>
      </c>
      <c r="J32" s="43" t="s">
        <v>159</v>
      </c>
      <c r="P32" s="18" t="s">
        <v>160</v>
      </c>
      <c r="Q32" s="18" t="s">
        <v>161</v>
      </c>
    </row>
    <row r="33" spans="1:17" ht="30">
      <c r="A33" s="18" t="s">
        <v>22</v>
      </c>
      <c r="B33" s="18" t="s">
        <v>129</v>
      </c>
      <c r="C33" s="32">
        <v>8918.36</v>
      </c>
      <c r="D33" s="32">
        <v>2537.89</v>
      </c>
      <c r="E33" s="32">
        <v>0</v>
      </c>
      <c r="F33" s="32">
        <v>11456.25</v>
      </c>
      <c r="G33" s="20" t="str">
        <f t="shared" si="0"/>
        <v>P&amp;L</v>
      </c>
      <c r="H33" s="40" t="s">
        <v>158</v>
      </c>
      <c r="I33" s="63" t="s">
        <v>89</v>
      </c>
      <c r="J33" s="43" t="s">
        <v>159</v>
      </c>
      <c r="P33" s="18" t="s">
        <v>160</v>
      </c>
      <c r="Q33" s="18" t="s">
        <v>161</v>
      </c>
    </row>
    <row r="34" spans="1:17" ht="30">
      <c r="A34" s="18" t="s">
        <v>22</v>
      </c>
      <c r="B34" s="18" t="s">
        <v>131</v>
      </c>
      <c r="C34" s="32">
        <v>22651.91</v>
      </c>
      <c r="D34" s="32">
        <v>16168.14</v>
      </c>
      <c r="E34" s="32">
        <v>0</v>
      </c>
      <c r="F34" s="32">
        <v>38820.050000000003</v>
      </c>
      <c r="G34" s="20" t="str">
        <f t="shared" si="0"/>
        <v>P&amp;L</v>
      </c>
      <c r="H34" s="40" t="s">
        <v>158</v>
      </c>
      <c r="I34" s="63" t="s">
        <v>89</v>
      </c>
      <c r="J34" s="43" t="s">
        <v>159</v>
      </c>
      <c r="P34" s="18" t="s">
        <v>160</v>
      </c>
      <c r="Q34" s="18" t="s">
        <v>161</v>
      </c>
    </row>
    <row r="35" spans="1:17" ht="30">
      <c r="A35" s="18" t="s">
        <v>22</v>
      </c>
      <c r="B35" s="18" t="s">
        <v>162</v>
      </c>
      <c r="C35" s="32">
        <v>0</v>
      </c>
      <c r="D35" s="32">
        <v>0</v>
      </c>
      <c r="E35" s="32">
        <v>0</v>
      </c>
      <c r="F35" s="32">
        <v>0</v>
      </c>
      <c r="G35" s="20" t="str">
        <f t="shared" si="0"/>
        <v>P&amp;L</v>
      </c>
      <c r="H35" s="40" t="s">
        <v>158</v>
      </c>
      <c r="I35" s="63" t="s">
        <v>89</v>
      </c>
      <c r="J35" s="43" t="s">
        <v>159</v>
      </c>
      <c r="P35" s="18" t="s">
        <v>160</v>
      </c>
      <c r="Q35" s="18" t="s">
        <v>161</v>
      </c>
    </row>
    <row r="36" spans="1:17" ht="30">
      <c r="A36" s="18" t="s">
        <v>22</v>
      </c>
      <c r="B36" s="18" t="s">
        <v>134</v>
      </c>
      <c r="C36" s="32">
        <v>1625.62</v>
      </c>
      <c r="D36" s="32">
        <v>2030.88</v>
      </c>
      <c r="E36" s="32">
        <v>0</v>
      </c>
      <c r="F36" s="32">
        <v>3656.5</v>
      </c>
      <c r="G36" s="20" t="str">
        <f t="shared" si="0"/>
        <v>P&amp;L</v>
      </c>
      <c r="H36" s="40" t="s">
        <v>158</v>
      </c>
      <c r="I36" s="63" t="s">
        <v>89</v>
      </c>
      <c r="J36" s="43" t="s">
        <v>159</v>
      </c>
      <c r="P36" s="18" t="s">
        <v>160</v>
      </c>
      <c r="Q36" s="18" t="s">
        <v>161</v>
      </c>
    </row>
    <row r="37" spans="1:17" ht="30">
      <c r="A37" s="18" t="s">
        <v>22</v>
      </c>
      <c r="B37" s="18" t="s">
        <v>139</v>
      </c>
      <c r="C37" s="32">
        <v>6700</v>
      </c>
      <c r="D37" s="32">
        <v>3350</v>
      </c>
      <c r="E37" s="32">
        <v>0</v>
      </c>
      <c r="F37" s="32">
        <v>10050</v>
      </c>
      <c r="G37" s="20" t="str">
        <f t="shared" si="0"/>
        <v>P&amp;L</v>
      </c>
      <c r="H37" s="40" t="s">
        <v>158</v>
      </c>
      <c r="I37" s="63" t="s">
        <v>89</v>
      </c>
      <c r="J37" s="43" t="s">
        <v>159</v>
      </c>
      <c r="P37" s="18" t="s">
        <v>160</v>
      </c>
      <c r="Q37" s="18" t="s">
        <v>161</v>
      </c>
    </row>
    <row r="38" spans="1:17" ht="30">
      <c r="A38" s="18" t="s">
        <v>22</v>
      </c>
      <c r="B38" s="18" t="s">
        <v>142</v>
      </c>
      <c r="C38" s="32">
        <v>5539.75</v>
      </c>
      <c r="D38" s="32">
        <v>3271.76</v>
      </c>
      <c r="E38" s="32">
        <v>0</v>
      </c>
      <c r="F38" s="32">
        <v>8811.51</v>
      </c>
      <c r="G38" s="20" t="str">
        <f t="shared" si="0"/>
        <v>P&amp;L</v>
      </c>
      <c r="H38" s="40" t="s">
        <v>158</v>
      </c>
      <c r="I38" s="63" t="s">
        <v>89</v>
      </c>
      <c r="J38" s="43" t="s">
        <v>159</v>
      </c>
      <c r="P38" s="18" t="s">
        <v>160</v>
      </c>
      <c r="Q38" s="18" t="s">
        <v>161</v>
      </c>
    </row>
    <row r="39" spans="1:17">
      <c r="A39" s="18" t="s">
        <v>22</v>
      </c>
      <c r="B39" s="18" t="s">
        <v>163</v>
      </c>
      <c r="C39" s="32">
        <v>0</v>
      </c>
      <c r="D39" s="32">
        <v>0</v>
      </c>
      <c r="E39" s="32">
        <v>0</v>
      </c>
      <c r="F39" s="32">
        <v>0</v>
      </c>
      <c r="G39" s="20" t="str">
        <f t="shared" si="0"/>
        <v>P&amp;L</v>
      </c>
    </row>
    <row r="40" spans="1:17">
      <c r="G40" s="20" t="str">
        <f t="shared" si="0"/>
        <v>NIL</v>
      </c>
    </row>
    <row r="41" spans="1:17">
      <c r="G41" s="20" t="str">
        <f t="shared" si="0"/>
        <v>NIL</v>
      </c>
    </row>
    <row r="42" spans="1:17">
      <c r="G42" s="20" t="str">
        <f t="shared" si="0"/>
        <v>NIL</v>
      </c>
    </row>
    <row r="43" spans="1:17">
      <c r="G43" s="20" t="str">
        <f t="shared" si="0"/>
        <v>NIL</v>
      </c>
    </row>
    <row r="44" spans="1:17">
      <c r="G44" s="20" t="str">
        <f t="shared" si="0"/>
        <v>NIL</v>
      </c>
    </row>
    <row r="45" spans="1:17">
      <c r="G45" s="20" t="str">
        <f t="shared" si="0"/>
        <v>NIL</v>
      </c>
    </row>
    <row r="46" spans="1:17">
      <c r="G46" s="20" t="str">
        <f t="shared" si="0"/>
        <v>NIL</v>
      </c>
    </row>
    <row r="47" spans="1:17">
      <c r="G47" s="20" t="str">
        <f t="shared" si="0"/>
        <v>NIL</v>
      </c>
    </row>
    <row r="48" spans="1:17">
      <c r="G48" s="20" t="str">
        <f t="shared" si="0"/>
        <v>NIL</v>
      </c>
    </row>
    <row r="49" spans="7:7">
      <c r="G49" s="20" t="str">
        <f t="shared" si="0"/>
        <v>NIL</v>
      </c>
    </row>
    <row r="50" spans="7:7">
      <c r="G50" s="20" t="str">
        <f t="shared" si="0"/>
        <v>NIL</v>
      </c>
    </row>
    <row r="51" spans="7:7">
      <c r="G51" s="20" t="str">
        <f t="shared" si="0"/>
        <v>NIL</v>
      </c>
    </row>
    <row r="52" spans="7:7">
      <c r="G52" s="20" t="str">
        <f t="shared" si="0"/>
        <v>NIL</v>
      </c>
    </row>
    <row r="53" spans="7:7">
      <c r="G53" s="20" t="str">
        <f t="shared" si="0"/>
        <v>NIL</v>
      </c>
    </row>
    <row r="54" spans="7:7">
      <c r="G54" s="20" t="str">
        <f t="shared" si="0"/>
        <v>NIL</v>
      </c>
    </row>
    <row r="55" spans="7:7">
      <c r="G55" s="20" t="str">
        <f t="shared" si="0"/>
        <v>NIL</v>
      </c>
    </row>
    <row r="56" spans="7:7">
      <c r="G56" s="20" t="str">
        <f t="shared" si="0"/>
        <v>NIL</v>
      </c>
    </row>
    <row r="57" spans="7:7">
      <c r="G57" s="20" t="str">
        <f t="shared" si="0"/>
        <v>NIL</v>
      </c>
    </row>
    <row r="58" spans="7:7">
      <c r="G58" s="20" t="str">
        <f t="shared" si="0"/>
        <v>NIL</v>
      </c>
    </row>
    <row r="59" spans="7:7">
      <c r="G59" s="20" t="str">
        <f t="shared" si="0"/>
        <v>NIL</v>
      </c>
    </row>
    <row r="60" spans="7:7">
      <c r="G60" s="20" t="str">
        <f t="shared" si="0"/>
        <v>NIL</v>
      </c>
    </row>
    <row r="61" spans="7:7">
      <c r="G61" s="20" t="str">
        <f t="shared" si="0"/>
        <v>NIL</v>
      </c>
    </row>
    <row r="62" spans="7:7">
      <c r="G62" s="20" t="str">
        <f t="shared" si="0"/>
        <v>NIL</v>
      </c>
    </row>
    <row r="63" spans="7:7">
      <c r="G63" s="20" t="str">
        <f t="shared" si="0"/>
        <v>NIL</v>
      </c>
    </row>
    <row r="64" spans="7:7">
      <c r="G64" s="20" t="str">
        <f t="shared" si="0"/>
        <v>NIL</v>
      </c>
    </row>
    <row r="65" spans="7:7">
      <c r="G65" s="20" t="str">
        <f t="shared" si="0"/>
        <v>NIL</v>
      </c>
    </row>
    <row r="66" spans="7:7">
      <c r="G66" s="20" t="str">
        <f t="shared" si="0"/>
        <v>NIL</v>
      </c>
    </row>
    <row r="67" spans="7:7">
      <c r="G67" s="20" t="str">
        <f t="shared" ref="G67:G100" si="1">+IF(OR(LEFT(B67,1)="1",LEFT(B67,1)="2"),"NAV",+IF(OR(LEFT(B67,1)="4",LEFT(B67,1)="5",LEFT(B67,1)="6"),"P&amp;L",IF(LEFT(B67,1)="3","CAP","NIL")))</f>
        <v>NIL</v>
      </c>
    </row>
    <row r="68" spans="7:7">
      <c r="G68" s="20" t="str">
        <f t="shared" si="1"/>
        <v>NIL</v>
      </c>
    </row>
    <row r="69" spans="7:7">
      <c r="G69" s="20" t="str">
        <f t="shared" si="1"/>
        <v>NIL</v>
      </c>
    </row>
    <row r="70" spans="7:7">
      <c r="G70" s="20" t="str">
        <f t="shared" si="1"/>
        <v>NIL</v>
      </c>
    </row>
    <row r="71" spans="7:7">
      <c r="G71" s="20" t="str">
        <f t="shared" si="1"/>
        <v>NIL</v>
      </c>
    </row>
    <row r="72" spans="7:7">
      <c r="G72" s="20" t="str">
        <f t="shared" si="1"/>
        <v>NIL</v>
      </c>
    </row>
    <row r="73" spans="7:7">
      <c r="G73" s="20" t="str">
        <f t="shared" si="1"/>
        <v>NIL</v>
      </c>
    </row>
    <row r="74" spans="7:7">
      <c r="G74" s="20" t="str">
        <f t="shared" si="1"/>
        <v>NIL</v>
      </c>
    </row>
    <row r="75" spans="7:7">
      <c r="G75" s="20" t="str">
        <f t="shared" si="1"/>
        <v>NIL</v>
      </c>
    </row>
    <row r="76" spans="7:7">
      <c r="G76" s="20" t="str">
        <f t="shared" si="1"/>
        <v>NIL</v>
      </c>
    </row>
    <row r="77" spans="7:7">
      <c r="G77" s="20" t="str">
        <f t="shared" si="1"/>
        <v>NIL</v>
      </c>
    </row>
    <row r="78" spans="7:7">
      <c r="G78" s="20" t="str">
        <f t="shared" si="1"/>
        <v>NIL</v>
      </c>
    </row>
    <row r="79" spans="7:7">
      <c r="G79" s="20" t="str">
        <f t="shared" si="1"/>
        <v>NIL</v>
      </c>
    </row>
    <row r="80" spans="7:7">
      <c r="G80" s="20" t="str">
        <f t="shared" si="1"/>
        <v>NIL</v>
      </c>
    </row>
    <row r="81" spans="7:7">
      <c r="G81" s="20" t="str">
        <f t="shared" si="1"/>
        <v>NIL</v>
      </c>
    </row>
    <row r="82" spans="7:7">
      <c r="G82" s="20" t="str">
        <f t="shared" si="1"/>
        <v>NIL</v>
      </c>
    </row>
    <row r="83" spans="7:7">
      <c r="G83" s="20" t="str">
        <f t="shared" si="1"/>
        <v>NIL</v>
      </c>
    </row>
    <row r="84" spans="7:7">
      <c r="G84" s="20" t="str">
        <f t="shared" si="1"/>
        <v>NIL</v>
      </c>
    </row>
    <row r="85" spans="7:7">
      <c r="G85" s="20" t="str">
        <f t="shared" si="1"/>
        <v>NIL</v>
      </c>
    </row>
    <row r="86" spans="7:7">
      <c r="G86" s="20" t="str">
        <f t="shared" si="1"/>
        <v>NIL</v>
      </c>
    </row>
    <row r="87" spans="7:7">
      <c r="G87" s="20" t="str">
        <f t="shared" si="1"/>
        <v>NIL</v>
      </c>
    </row>
    <row r="88" spans="7:7">
      <c r="G88" s="20" t="str">
        <f t="shared" si="1"/>
        <v>NIL</v>
      </c>
    </row>
    <row r="89" spans="7:7">
      <c r="G89" s="20" t="str">
        <f t="shared" si="1"/>
        <v>NIL</v>
      </c>
    </row>
    <row r="90" spans="7:7">
      <c r="G90" s="20" t="str">
        <f t="shared" si="1"/>
        <v>NIL</v>
      </c>
    </row>
    <row r="91" spans="7:7">
      <c r="G91" s="20" t="str">
        <f t="shared" si="1"/>
        <v>NIL</v>
      </c>
    </row>
    <row r="92" spans="7:7">
      <c r="G92" s="20" t="str">
        <f t="shared" si="1"/>
        <v>NIL</v>
      </c>
    </row>
    <row r="93" spans="7:7">
      <c r="G93" s="20" t="str">
        <f t="shared" si="1"/>
        <v>NIL</v>
      </c>
    </row>
    <row r="94" spans="7:7">
      <c r="G94" s="20" t="str">
        <f t="shared" si="1"/>
        <v>NIL</v>
      </c>
    </row>
    <row r="95" spans="7:7">
      <c r="G95" s="20" t="str">
        <f t="shared" si="1"/>
        <v>NIL</v>
      </c>
    </row>
    <row r="96" spans="7:7">
      <c r="G96" s="20" t="str">
        <f t="shared" si="1"/>
        <v>NIL</v>
      </c>
    </row>
    <row r="97" spans="7:7">
      <c r="G97" s="20" t="str">
        <f t="shared" si="1"/>
        <v>NIL</v>
      </c>
    </row>
    <row r="98" spans="7:7">
      <c r="G98" s="20" t="str">
        <f t="shared" si="1"/>
        <v>NIL</v>
      </c>
    </row>
    <row r="99" spans="7:7">
      <c r="G99" s="20" t="str">
        <f t="shared" si="1"/>
        <v>NIL</v>
      </c>
    </row>
    <row r="100" spans="7:7">
      <c r="G100" s="20" t="str">
        <f t="shared" si="1"/>
        <v>NIL</v>
      </c>
    </row>
    <row r="101" spans="7:7">
      <c r="G101" s="20" t="str">
        <f>+IF(OR(LEFT(B101,1)="1",LEFT(B101,1)="2"),"NAV",+IF(OR(LEFT(B101,1)="4",LEFT(B101,1)="5",LEFT(B101,1)="6"),"P&amp;L",IF(LEFT(B101,1)="3","CAP","NIL")))</f>
        <v>NIL</v>
      </c>
    </row>
  </sheetData>
  <mergeCells count="8">
    <mergeCell ref="H1:J1"/>
    <mergeCell ref="K4:K5"/>
    <mergeCell ref="P4:P5"/>
    <mergeCell ref="Q4:Q5"/>
    <mergeCell ref="Q8:Q13"/>
    <mergeCell ref="H4:H5"/>
    <mergeCell ref="I4:I5"/>
    <mergeCell ref="J4:J5"/>
  </mergeCell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3C2F98C-B956-4054-B7B3-613A2E1030CC}">
          <x14:formula1>
            <xm:f>List!$B$2:$B$19</xm:f>
          </x14:formula1>
          <xm:sqref>H3:H4 H6:H38</xm:sqref>
        </x14:dataValidation>
        <x14:dataValidation type="list" allowBlank="1" showInputMessage="1" showErrorMessage="1" xr:uid="{BA558FE6-8F27-4821-BE26-CF332F223D39}">
          <x14:formula1>
            <xm:f>List!$C$2:$C$18</xm:f>
          </x14:formula1>
          <xm:sqref>I3:I4 I6 I8:I38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406D-458B-4FB4-9920-7BABF1F7C50A}">
  <dimension ref="A1:AE53"/>
  <sheetViews>
    <sheetView topLeftCell="I1" workbookViewId="0">
      <selection activeCell="U14" sqref="U14"/>
    </sheetView>
  </sheetViews>
  <sheetFormatPr defaultColWidth="9.140625" defaultRowHeight="15"/>
  <cols>
    <col min="1" max="1" width="24.7109375" style="18" bestFit="1" customWidth="1"/>
    <col min="2" max="2" width="67.28515625" style="18" bestFit="1" customWidth="1"/>
    <col min="3" max="3" width="23.7109375" style="18" bestFit="1" customWidth="1"/>
    <col min="4" max="4" width="16.42578125" style="18" bestFit="1" customWidth="1"/>
    <col min="5" max="5" width="19.42578125" style="32" bestFit="1" customWidth="1"/>
    <col min="6" max="6" width="21.28515625" style="32" bestFit="1" customWidth="1"/>
    <col min="7" max="7" width="25.140625" style="32" bestFit="1" customWidth="1"/>
    <col min="8" max="8" width="29" style="32" bestFit="1" customWidth="1"/>
    <col min="9" max="9" width="22.5703125" style="32" bestFit="1" customWidth="1"/>
    <col min="10" max="10" width="26.85546875" style="32" bestFit="1" customWidth="1"/>
    <col min="11" max="11" width="32.42578125" style="32" bestFit="1" customWidth="1"/>
    <col min="12" max="12" width="24.140625" style="32" bestFit="1" customWidth="1"/>
    <col min="13" max="13" width="20.7109375" style="32" bestFit="1" customWidth="1"/>
    <col min="14" max="14" width="11.5703125" style="32" bestFit="1" customWidth="1"/>
    <col min="15" max="15" width="8" style="32" bestFit="1" customWidth="1"/>
    <col min="16" max="16" width="22.42578125" style="32" bestFit="1" customWidth="1"/>
    <col min="17" max="17" width="9.140625" style="18"/>
    <col min="18" max="18" width="14.28515625" style="18" bestFit="1" customWidth="1"/>
    <col min="19" max="19" width="15.28515625" style="20" bestFit="1" customWidth="1"/>
    <col min="20" max="20" width="13.5703125" style="20" bestFit="1" customWidth="1"/>
    <col min="21" max="21" width="10.42578125" style="20" bestFit="1" customWidth="1"/>
    <col min="22" max="22" width="9.140625" style="18"/>
    <col min="23" max="23" width="16.140625" style="18" customWidth="1"/>
    <col min="24" max="24" width="17" style="18" customWidth="1"/>
    <col min="25" max="25" width="27" style="18" customWidth="1"/>
    <col min="26" max="26" width="24.85546875" style="18" bestFit="1" customWidth="1"/>
    <col min="27" max="27" width="24.28515625" style="18" bestFit="1" customWidth="1"/>
    <col min="28" max="28" width="30.42578125" style="18" bestFit="1" customWidth="1"/>
    <col min="29" max="29" width="23.140625" style="18" bestFit="1" customWidth="1"/>
    <col min="30" max="30" width="28" style="18" bestFit="1" customWidth="1"/>
    <col min="31" max="16384" width="9.140625" style="18"/>
  </cols>
  <sheetData>
    <row r="1" spans="1:31">
      <c r="W1" s="70" t="s">
        <v>164</v>
      </c>
      <c r="X1" s="70"/>
      <c r="Y1" s="70"/>
      <c r="Z1" s="70"/>
      <c r="AA1" s="70"/>
      <c r="AB1" s="70"/>
      <c r="AC1" s="70"/>
      <c r="AD1" s="70"/>
    </row>
    <row r="2" spans="1:31">
      <c r="A2" s="18" t="s">
        <v>21</v>
      </c>
      <c r="B2" s="18" t="s">
        <v>165</v>
      </c>
      <c r="C2" s="18" t="s">
        <v>166</v>
      </c>
      <c r="D2" s="18" t="s">
        <v>167</v>
      </c>
      <c r="E2" s="32" t="s">
        <v>168</v>
      </c>
      <c r="F2" s="32" t="s">
        <v>169</v>
      </c>
      <c r="G2" s="32" t="s">
        <v>170</v>
      </c>
      <c r="H2" s="32" t="s">
        <v>171</v>
      </c>
      <c r="I2" s="32" t="s">
        <v>172</v>
      </c>
      <c r="J2" s="32" t="s">
        <v>173</v>
      </c>
      <c r="K2" s="32" t="s">
        <v>174</v>
      </c>
      <c r="L2" s="32" t="s">
        <v>175</v>
      </c>
      <c r="M2" s="32" t="s">
        <v>176</v>
      </c>
      <c r="N2" s="32">
        <v>395</v>
      </c>
      <c r="O2" s="32">
        <v>311</v>
      </c>
      <c r="P2" s="32" t="s">
        <v>177</v>
      </c>
      <c r="S2" s="20" t="s">
        <v>178</v>
      </c>
      <c r="T2" s="20" t="s">
        <v>179</v>
      </c>
      <c r="U2" s="20" t="s">
        <v>180</v>
      </c>
      <c r="W2" s="18" t="s">
        <v>181</v>
      </c>
      <c r="X2" s="18" t="s">
        <v>182</v>
      </c>
      <c r="Y2" s="18" t="s">
        <v>183</v>
      </c>
      <c r="Z2" s="38" t="s">
        <v>184</v>
      </c>
      <c r="AA2" s="18" t="s">
        <v>185</v>
      </c>
      <c r="AB2" s="18" t="s">
        <v>186</v>
      </c>
      <c r="AC2" s="18" t="s">
        <v>187</v>
      </c>
      <c r="AD2" s="18" t="s">
        <v>188</v>
      </c>
      <c r="AE2" s="18" t="s">
        <v>189</v>
      </c>
    </row>
    <row r="3" spans="1:31">
      <c r="A3" s="18" t="s">
        <v>22</v>
      </c>
      <c r="B3" s="18" t="s">
        <v>190</v>
      </c>
      <c r="C3" s="18" t="s">
        <v>191</v>
      </c>
      <c r="D3" s="18" t="s">
        <v>192</v>
      </c>
      <c r="E3" s="32">
        <v>7500000</v>
      </c>
      <c r="F3" s="32">
        <v>-7437581.4800000004</v>
      </c>
      <c r="G3" s="32">
        <v>0</v>
      </c>
      <c r="H3" s="32">
        <v>60882.8</v>
      </c>
      <c r="I3" s="32">
        <v>60882.8</v>
      </c>
      <c r="J3" s="32">
        <v>1408323.69</v>
      </c>
      <c r="K3" s="32">
        <v>1408323.69</v>
      </c>
      <c r="L3" s="32">
        <v>123301.32</v>
      </c>
      <c r="M3" s="32">
        <v>8092487.4500000002</v>
      </c>
      <c r="N3" s="32">
        <v>10993.19</v>
      </c>
      <c r="O3" s="32">
        <v>0</v>
      </c>
      <c r="P3" s="32">
        <v>8103480.6399999997</v>
      </c>
      <c r="S3" s="20">
        <f>+E3/SUM($E$3:$E$53)%</f>
        <v>0.83044982698961933</v>
      </c>
      <c r="T3" s="37">
        <f>+P3/SUM($P$3:$P$53)%</f>
        <v>0.83044987188819575</v>
      </c>
      <c r="U3" s="23">
        <f>ROUND(+S3-T3,4)</f>
        <v>0</v>
      </c>
      <c r="W3" s="32">
        <f>+E3</f>
        <v>7500000</v>
      </c>
      <c r="X3" s="18" t="s">
        <v>193</v>
      </c>
      <c r="Y3" s="18">
        <f>+L3</f>
        <v>123301.32</v>
      </c>
      <c r="Z3" s="18" t="s">
        <v>194</v>
      </c>
      <c r="AA3" s="18" t="s">
        <v>194</v>
      </c>
      <c r="AB3" s="18" t="s">
        <v>194</v>
      </c>
      <c r="AC3" s="18" t="s">
        <v>194</v>
      </c>
      <c r="AD3" s="18" t="s">
        <v>194</v>
      </c>
    </row>
    <row r="4" spans="1:31">
      <c r="A4" s="18" t="s">
        <v>22</v>
      </c>
      <c r="B4" s="18" t="s">
        <v>195</v>
      </c>
      <c r="C4" s="18" t="s">
        <v>196</v>
      </c>
      <c r="D4" s="18" t="s">
        <v>192</v>
      </c>
      <c r="E4" s="32">
        <v>7500000</v>
      </c>
      <c r="F4" s="32">
        <v>-7437581.4800000004</v>
      </c>
      <c r="G4" s="32">
        <v>0</v>
      </c>
      <c r="H4" s="32">
        <v>60882.8</v>
      </c>
      <c r="I4" s="32">
        <v>60882.8</v>
      </c>
      <c r="J4" s="32">
        <v>1408323.69</v>
      </c>
      <c r="K4" s="32">
        <v>1408323.69</v>
      </c>
      <c r="L4" s="32">
        <v>123301.32</v>
      </c>
      <c r="M4" s="32">
        <v>8092487.4500000002</v>
      </c>
      <c r="N4" s="32">
        <v>10993.19</v>
      </c>
      <c r="O4" s="32">
        <v>0</v>
      </c>
      <c r="P4" s="32">
        <v>8103480.6399999997</v>
      </c>
      <c r="S4" s="20">
        <f t="shared" ref="S4:S53" si="0">+E4/SUM($E$3:$E$53)%</f>
        <v>0.83044982698961933</v>
      </c>
      <c r="T4" s="37">
        <f t="shared" ref="T4:T53" si="1">+P4/SUM($P$3:$P$53)%</f>
        <v>0.83044987188819575</v>
      </c>
      <c r="U4" s="23">
        <f t="shared" ref="U4:U53" si="2">ROUND(+S4-T4,4)</f>
        <v>0</v>
      </c>
      <c r="W4" s="32">
        <f t="shared" ref="W4:W53" si="3">+E4</f>
        <v>7500000</v>
      </c>
      <c r="X4" s="18" t="s">
        <v>193</v>
      </c>
      <c r="Y4" s="18">
        <f t="shared" ref="Y4:Y53" si="4">+L4</f>
        <v>123301.32</v>
      </c>
      <c r="Z4" s="18" t="s">
        <v>194</v>
      </c>
      <c r="AA4" s="18" t="s">
        <v>194</v>
      </c>
      <c r="AB4" s="18" t="s">
        <v>194</v>
      </c>
      <c r="AC4" s="18" t="s">
        <v>194</v>
      </c>
      <c r="AD4" s="18" t="s">
        <v>194</v>
      </c>
    </row>
    <row r="5" spans="1:31">
      <c r="A5" s="18" t="s">
        <v>22</v>
      </c>
      <c r="B5" s="18" t="s">
        <v>197</v>
      </c>
      <c r="C5" s="18" t="s">
        <v>198</v>
      </c>
      <c r="D5" s="18" t="s">
        <v>192</v>
      </c>
      <c r="E5" s="32">
        <v>3750000</v>
      </c>
      <c r="F5" s="32">
        <v>-3718790.73</v>
      </c>
      <c r="G5" s="32">
        <v>0</v>
      </c>
      <c r="H5" s="32">
        <v>30441.4</v>
      </c>
      <c r="I5" s="32">
        <v>30441.4</v>
      </c>
      <c r="J5" s="32">
        <v>704161.85</v>
      </c>
      <c r="K5" s="32">
        <v>704161.85</v>
      </c>
      <c r="L5" s="32">
        <v>61650.67</v>
      </c>
      <c r="M5" s="32">
        <v>4046243.69</v>
      </c>
      <c r="N5" s="32">
        <v>5496.68</v>
      </c>
      <c r="O5" s="32">
        <v>0</v>
      </c>
      <c r="P5" s="32">
        <v>4051740.37</v>
      </c>
      <c r="S5" s="20">
        <f t="shared" si="0"/>
        <v>0.41522491349480967</v>
      </c>
      <c r="T5" s="37">
        <f t="shared" si="1"/>
        <v>0.41522494106812985</v>
      </c>
      <c r="U5" s="23">
        <f t="shared" si="2"/>
        <v>0</v>
      </c>
      <c r="W5" s="32">
        <f t="shared" si="3"/>
        <v>3750000</v>
      </c>
      <c r="X5" s="18" t="s">
        <v>193</v>
      </c>
      <c r="Y5" s="18">
        <f t="shared" si="4"/>
        <v>61650.67</v>
      </c>
      <c r="Z5" s="18" t="s">
        <v>194</v>
      </c>
      <c r="AA5" s="18" t="s">
        <v>194</v>
      </c>
      <c r="AB5" s="18" t="s">
        <v>194</v>
      </c>
      <c r="AC5" s="18" t="s">
        <v>194</v>
      </c>
      <c r="AD5" s="18" t="s">
        <v>194</v>
      </c>
    </row>
    <row r="6" spans="1:31">
      <c r="A6" s="18" t="s">
        <v>22</v>
      </c>
      <c r="B6" s="18" t="s">
        <v>199</v>
      </c>
      <c r="C6" s="18" t="s">
        <v>200</v>
      </c>
      <c r="D6" s="18" t="s">
        <v>192</v>
      </c>
      <c r="E6" s="32">
        <v>5062500</v>
      </c>
      <c r="F6" s="32">
        <v>-5020367.49</v>
      </c>
      <c r="G6" s="32">
        <v>0</v>
      </c>
      <c r="H6" s="32">
        <v>41095.89</v>
      </c>
      <c r="I6" s="32">
        <v>41095.89</v>
      </c>
      <c r="J6" s="32">
        <v>950618.48</v>
      </c>
      <c r="K6" s="32">
        <v>950618.48</v>
      </c>
      <c r="L6" s="32">
        <v>83228.399999999994</v>
      </c>
      <c r="M6" s="32">
        <v>5462429.0099999998</v>
      </c>
      <c r="N6" s="32">
        <v>7420.39</v>
      </c>
      <c r="O6" s="32">
        <v>0</v>
      </c>
      <c r="P6" s="32">
        <v>5469849.4000000004</v>
      </c>
      <c r="S6" s="20">
        <f t="shared" si="0"/>
        <v>0.56055363321799312</v>
      </c>
      <c r="T6" s="37">
        <f t="shared" si="1"/>
        <v>0.56055366024515174</v>
      </c>
      <c r="U6" s="23">
        <f t="shared" si="2"/>
        <v>0</v>
      </c>
      <c r="W6" s="32">
        <f t="shared" si="3"/>
        <v>5062500</v>
      </c>
      <c r="X6" s="18" t="s">
        <v>193</v>
      </c>
      <c r="Y6" s="18">
        <f t="shared" si="4"/>
        <v>83228.399999999994</v>
      </c>
      <c r="Z6" s="18" t="s">
        <v>194</v>
      </c>
      <c r="AA6" s="18" t="s">
        <v>194</v>
      </c>
      <c r="AB6" s="18" t="s">
        <v>194</v>
      </c>
      <c r="AC6" s="18" t="s">
        <v>194</v>
      </c>
      <c r="AD6" s="18" t="s">
        <v>194</v>
      </c>
    </row>
    <row r="7" spans="1:31">
      <c r="A7" s="18" t="s">
        <v>22</v>
      </c>
      <c r="B7" s="18" t="s">
        <v>201</v>
      </c>
      <c r="C7" s="18" t="s">
        <v>202</v>
      </c>
      <c r="D7" s="18" t="s">
        <v>192</v>
      </c>
      <c r="E7" s="32">
        <v>101250000</v>
      </c>
      <c r="F7" s="32">
        <v>-100407349.93000001</v>
      </c>
      <c r="G7" s="32">
        <v>0</v>
      </c>
      <c r="H7" s="32">
        <v>821917.81</v>
      </c>
      <c r="I7" s="32">
        <v>821917.81</v>
      </c>
      <c r="J7" s="32">
        <v>19012369.760000002</v>
      </c>
      <c r="K7" s="32">
        <v>19012369.760000002</v>
      </c>
      <c r="L7" s="32">
        <v>1664567.88</v>
      </c>
      <c r="M7" s="32">
        <v>109248580.56999999</v>
      </c>
      <c r="N7" s="32">
        <v>148407.81</v>
      </c>
      <c r="O7" s="32">
        <v>0</v>
      </c>
      <c r="P7" s="32">
        <v>109396988.38</v>
      </c>
      <c r="S7" s="20">
        <f t="shared" si="0"/>
        <v>11.211072664359861</v>
      </c>
      <c r="T7" s="37">
        <f t="shared" si="1"/>
        <v>11.211073243845677</v>
      </c>
      <c r="U7" s="23">
        <f t="shared" si="2"/>
        <v>0</v>
      </c>
      <c r="W7" s="32">
        <f t="shared" si="3"/>
        <v>101250000</v>
      </c>
      <c r="X7" s="18" t="s">
        <v>193</v>
      </c>
      <c r="Y7" s="18">
        <f t="shared" si="4"/>
        <v>1664567.88</v>
      </c>
      <c r="Z7" s="18" t="s">
        <v>194</v>
      </c>
      <c r="AA7" s="18" t="s">
        <v>194</v>
      </c>
      <c r="AB7" s="18" t="s">
        <v>194</v>
      </c>
      <c r="AC7" s="18" t="s">
        <v>194</v>
      </c>
      <c r="AD7" s="18" t="s">
        <v>194</v>
      </c>
    </row>
    <row r="8" spans="1:31">
      <c r="A8" s="18" t="s">
        <v>22</v>
      </c>
      <c r="B8" s="18" t="s">
        <v>203</v>
      </c>
      <c r="C8" s="18" t="s">
        <v>204</v>
      </c>
      <c r="D8" s="18" t="s">
        <v>192</v>
      </c>
      <c r="E8" s="32">
        <v>25312500</v>
      </c>
      <c r="F8" s="32">
        <v>-25101837.48</v>
      </c>
      <c r="G8" s="32">
        <v>0</v>
      </c>
      <c r="H8" s="32">
        <v>205479.45</v>
      </c>
      <c r="I8" s="32">
        <v>205479.45</v>
      </c>
      <c r="J8" s="32">
        <v>4753092.4400000004</v>
      </c>
      <c r="K8" s="32">
        <v>4753092.4400000004</v>
      </c>
      <c r="L8" s="32">
        <v>416141.97</v>
      </c>
      <c r="M8" s="32">
        <v>27312145.129999999</v>
      </c>
      <c r="N8" s="32">
        <v>37101.980000000003</v>
      </c>
      <c r="O8" s="32">
        <v>0</v>
      </c>
      <c r="P8" s="32">
        <v>27349247.109999999</v>
      </c>
      <c r="S8" s="20">
        <f t="shared" si="0"/>
        <v>2.8027681660899653</v>
      </c>
      <c r="T8" s="37">
        <f t="shared" si="1"/>
        <v>2.8027683124986287</v>
      </c>
      <c r="U8" s="23">
        <f t="shared" si="2"/>
        <v>0</v>
      </c>
      <c r="W8" s="32">
        <f t="shared" si="3"/>
        <v>25312500</v>
      </c>
      <c r="X8" s="18" t="s">
        <v>193</v>
      </c>
      <c r="Y8" s="18">
        <f t="shared" si="4"/>
        <v>416141.97</v>
      </c>
      <c r="Z8" s="18" t="s">
        <v>194</v>
      </c>
      <c r="AA8" s="18" t="s">
        <v>194</v>
      </c>
      <c r="AB8" s="18" t="s">
        <v>194</v>
      </c>
      <c r="AC8" s="18" t="s">
        <v>194</v>
      </c>
      <c r="AD8" s="18" t="s">
        <v>194</v>
      </c>
    </row>
    <row r="9" spans="1:31">
      <c r="A9" s="18" t="s">
        <v>22</v>
      </c>
      <c r="B9" s="18" t="s">
        <v>205</v>
      </c>
      <c r="C9" s="18" t="s">
        <v>206</v>
      </c>
      <c r="D9" s="18" t="s">
        <v>192</v>
      </c>
      <c r="E9" s="32">
        <v>1000000</v>
      </c>
      <c r="F9" s="32">
        <v>-991677.53</v>
      </c>
      <c r="G9" s="32">
        <v>0</v>
      </c>
      <c r="H9" s="32">
        <v>8117.71</v>
      </c>
      <c r="I9" s="32">
        <v>8117.71</v>
      </c>
      <c r="J9" s="32">
        <v>187776.5</v>
      </c>
      <c r="K9" s="32">
        <v>187776.5</v>
      </c>
      <c r="L9" s="32">
        <v>16440.18</v>
      </c>
      <c r="M9" s="32">
        <v>1078998.31</v>
      </c>
      <c r="N9" s="32">
        <v>1465.71</v>
      </c>
      <c r="O9" s="32">
        <v>0</v>
      </c>
      <c r="P9" s="32">
        <v>1080464.02</v>
      </c>
      <c r="S9" s="20">
        <f t="shared" si="0"/>
        <v>0.11072664359861592</v>
      </c>
      <c r="T9" s="37">
        <f t="shared" si="1"/>
        <v>0.11072664288969104</v>
      </c>
      <c r="U9" s="23">
        <f t="shared" si="2"/>
        <v>0</v>
      </c>
      <c r="W9" s="32">
        <f t="shared" si="3"/>
        <v>1000000</v>
      </c>
      <c r="X9" s="18" t="s">
        <v>193</v>
      </c>
      <c r="Y9" s="18">
        <f t="shared" si="4"/>
        <v>16440.18</v>
      </c>
      <c r="Z9" s="18" t="s">
        <v>194</v>
      </c>
      <c r="AA9" s="18" t="s">
        <v>194</v>
      </c>
      <c r="AB9" s="18" t="s">
        <v>194</v>
      </c>
      <c r="AC9" s="18" t="s">
        <v>194</v>
      </c>
      <c r="AD9" s="18" t="s">
        <v>194</v>
      </c>
    </row>
    <row r="10" spans="1:31">
      <c r="A10" s="18" t="s">
        <v>22</v>
      </c>
      <c r="B10" s="18" t="s">
        <v>207</v>
      </c>
      <c r="C10" s="18" t="s">
        <v>208</v>
      </c>
      <c r="D10" s="18" t="s">
        <v>192</v>
      </c>
      <c r="E10" s="32">
        <v>6500000</v>
      </c>
      <c r="F10" s="32">
        <v>-6445903.9400000004</v>
      </c>
      <c r="G10" s="32">
        <v>0</v>
      </c>
      <c r="H10" s="32">
        <v>52765.09</v>
      </c>
      <c r="I10" s="32">
        <v>52765.09</v>
      </c>
      <c r="J10" s="32">
        <v>1220547.19</v>
      </c>
      <c r="K10" s="32">
        <v>1220547.19</v>
      </c>
      <c r="L10" s="32">
        <v>106861.15</v>
      </c>
      <c r="M10" s="32">
        <v>7013489.1100000003</v>
      </c>
      <c r="N10" s="32">
        <v>9527.4599999999991</v>
      </c>
      <c r="O10" s="32">
        <v>0</v>
      </c>
      <c r="P10" s="32">
        <v>7023016.5700000003</v>
      </c>
      <c r="S10" s="20">
        <f t="shared" si="0"/>
        <v>0.7197231833910035</v>
      </c>
      <c r="T10" s="37">
        <f t="shared" si="1"/>
        <v>0.71972322387447285</v>
      </c>
      <c r="U10" s="23">
        <f t="shared" si="2"/>
        <v>0</v>
      </c>
      <c r="W10" s="32">
        <f t="shared" si="3"/>
        <v>6500000</v>
      </c>
      <c r="X10" s="18" t="s">
        <v>193</v>
      </c>
      <c r="Y10" s="18">
        <f t="shared" si="4"/>
        <v>106861.15</v>
      </c>
      <c r="Z10" s="18" t="s">
        <v>194</v>
      </c>
      <c r="AA10" s="18" t="s">
        <v>194</v>
      </c>
      <c r="AB10" s="18" t="s">
        <v>194</v>
      </c>
      <c r="AC10" s="18" t="s">
        <v>194</v>
      </c>
      <c r="AD10" s="18" t="s">
        <v>17</v>
      </c>
      <c r="AE10" s="18" t="s">
        <v>209</v>
      </c>
    </row>
    <row r="11" spans="1:31">
      <c r="A11" s="18" t="s">
        <v>22</v>
      </c>
      <c r="B11" s="18" t="s">
        <v>210</v>
      </c>
      <c r="C11" s="18" t="s">
        <v>211</v>
      </c>
      <c r="D11" s="18" t="s">
        <v>192</v>
      </c>
      <c r="E11" s="32">
        <v>35000000</v>
      </c>
      <c r="F11" s="32">
        <v>-34708713.549999997</v>
      </c>
      <c r="G11" s="32">
        <v>0</v>
      </c>
      <c r="H11" s="32">
        <v>284119.74</v>
      </c>
      <c r="I11" s="32">
        <v>284119.74</v>
      </c>
      <c r="J11" s="32">
        <v>6572177.2000000002</v>
      </c>
      <c r="K11" s="32">
        <v>6572177.2000000002</v>
      </c>
      <c r="L11" s="32">
        <v>575406.18999999994</v>
      </c>
      <c r="M11" s="32">
        <v>37764941.439999998</v>
      </c>
      <c r="N11" s="32">
        <v>51301.440000000002</v>
      </c>
      <c r="O11" s="32">
        <v>0</v>
      </c>
      <c r="P11" s="32">
        <v>37816242.880000003</v>
      </c>
      <c r="S11" s="20">
        <f t="shared" si="0"/>
        <v>3.875432525951557</v>
      </c>
      <c r="T11" s="37">
        <f t="shared" si="1"/>
        <v>3.8754327245469793</v>
      </c>
      <c r="U11" s="23">
        <f t="shared" si="2"/>
        <v>0</v>
      </c>
      <c r="W11" s="32">
        <f t="shared" si="3"/>
        <v>35000000</v>
      </c>
      <c r="X11" s="18" t="s">
        <v>193</v>
      </c>
      <c r="Y11" s="18">
        <f t="shared" si="4"/>
        <v>575406.18999999994</v>
      </c>
      <c r="Z11" s="18" t="s">
        <v>194</v>
      </c>
      <c r="AA11" s="18" t="s">
        <v>194</v>
      </c>
      <c r="AB11" s="18" t="s">
        <v>194</v>
      </c>
      <c r="AC11" s="18" t="s">
        <v>194</v>
      </c>
      <c r="AD11" s="18" t="s">
        <v>17</v>
      </c>
    </row>
    <row r="12" spans="1:31">
      <c r="A12" s="18" t="s">
        <v>22</v>
      </c>
      <c r="B12" s="18" t="s">
        <v>212</v>
      </c>
      <c r="D12" s="18" t="s">
        <v>213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  <c r="S12" s="20">
        <f t="shared" si="0"/>
        <v>0</v>
      </c>
      <c r="T12" s="37">
        <f t="shared" si="1"/>
        <v>0</v>
      </c>
      <c r="U12" s="23">
        <f t="shared" si="2"/>
        <v>0</v>
      </c>
      <c r="W12" s="32">
        <f t="shared" si="3"/>
        <v>0</v>
      </c>
      <c r="X12" s="18" t="s">
        <v>193</v>
      </c>
      <c r="Y12" s="18">
        <f t="shared" si="4"/>
        <v>0</v>
      </c>
      <c r="Z12" s="18" t="s">
        <v>194</v>
      </c>
      <c r="AA12" s="18" t="s">
        <v>194</v>
      </c>
      <c r="AB12" s="18" t="s">
        <v>194</v>
      </c>
      <c r="AC12" s="18" t="s">
        <v>194</v>
      </c>
      <c r="AD12" s="18" t="s">
        <v>17</v>
      </c>
      <c r="AE12" s="18" t="s">
        <v>214</v>
      </c>
    </row>
    <row r="13" spans="1:31">
      <c r="A13" s="18" t="s">
        <v>22</v>
      </c>
      <c r="B13" s="18" t="s">
        <v>215</v>
      </c>
      <c r="C13" s="18" t="s">
        <v>216</v>
      </c>
      <c r="D13" s="18" t="s">
        <v>192</v>
      </c>
      <c r="E13" s="32">
        <v>15718750</v>
      </c>
      <c r="F13" s="32">
        <v>-15587931.189999999</v>
      </c>
      <c r="G13" s="32">
        <v>0</v>
      </c>
      <c r="H13" s="32">
        <v>127600.2</v>
      </c>
      <c r="I13" s="32">
        <v>127600.2</v>
      </c>
      <c r="J13" s="32">
        <v>2951611.72</v>
      </c>
      <c r="K13" s="32">
        <v>2951611.72</v>
      </c>
      <c r="L13" s="32">
        <v>258419.01</v>
      </c>
      <c r="M13" s="32">
        <v>16960504.949999999</v>
      </c>
      <c r="N13" s="32">
        <v>23039.87</v>
      </c>
      <c r="O13" s="32">
        <v>0</v>
      </c>
      <c r="P13" s="32">
        <v>16983544.82</v>
      </c>
      <c r="S13" s="20">
        <f t="shared" si="0"/>
        <v>1.740484429065744</v>
      </c>
      <c r="T13" s="37">
        <f t="shared" si="1"/>
        <v>1.7404845209794235</v>
      </c>
      <c r="U13" s="23">
        <f t="shared" si="2"/>
        <v>0</v>
      </c>
      <c r="W13" s="32">
        <f t="shared" si="3"/>
        <v>15718750</v>
      </c>
      <c r="X13" s="18" t="s">
        <v>193</v>
      </c>
      <c r="Y13" s="18">
        <f t="shared" si="4"/>
        <v>258419.01</v>
      </c>
      <c r="Z13" s="18" t="s">
        <v>194</v>
      </c>
      <c r="AA13" s="18" t="s">
        <v>194</v>
      </c>
      <c r="AB13" s="18" t="s">
        <v>194</v>
      </c>
      <c r="AC13" s="18" t="s">
        <v>194</v>
      </c>
      <c r="AD13" s="18" t="s">
        <v>17</v>
      </c>
      <c r="AE13" s="18" t="s">
        <v>214</v>
      </c>
    </row>
    <row r="14" spans="1:31" s="35" customFormat="1">
      <c r="A14" s="35" t="s">
        <v>22</v>
      </c>
      <c r="B14" s="35" t="s">
        <v>217</v>
      </c>
      <c r="C14" s="35" t="s">
        <v>218</v>
      </c>
      <c r="D14" s="35" t="s">
        <v>192</v>
      </c>
      <c r="E14" s="36">
        <v>25312500</v>
      </c>
      <c r="F14" s="36">
        <v>-25101837.48</v>
      </c>
      <c r="G14" s="36">
        <v>0</v>
      </c>
      <c r="H14" s="36">
        <v>205479.45</v>
      </c>
      <c r="I14" s="36">
        <v>205479.45</v>
      </c>
      <c r="J14" s="36">
        <v>4753092.4400000004</v>
      </c>
      <c r="K14" s="36">
        <v>4753092.4400000004</v>
      </c>
      <c r="L14" s="36">
        <v>416141.97</v>
      </c>
      <c r="M14" s="36">
        <v>27312145.129999999</v>
      </c>
      <c r="N14" s="36">
        <v>37101.980000000003</v>
      </c>
      <c r="O14" s="36">
        <v>0</v>
      </c>
      <c r="P14" s="36">
        <v>27349247.109999999</v>
      </c>
      <c r="S14" s="20">
        <f t="shared" si="0"/>
        <v>2.8027681660899653</v>
      </c>
      <c r="T14" s="37">
        <f t="shared" si="1"/>
        <v>2.8027683124986287</v>
      </c>
      <c r="U14" s="23">
        <f t="shared" si="2"/>
        <v>0</v>
      </c>
      <c r="W14" s="32">
        <f t="shared" si="3"/>
        <v>25312500</v>
      </c>
      <c r="X14" s="35" t="s">
        <v>193</v>
      </c>
      <c r="Y14" s="18">
        <f t="shared" si="4"/>
        <v>416141.97</v>
      </c>
      <c r="Z14" s="35" t="s">
        <v>194</v>
      </c>
      <c r="AA14" s="35" t="s">
        <v>194</v>
      </c>
      <c r="AB14" s="35" t="s">
        <v>194</v>
      </c>
      <c r="AC14" s="35" t="s">
        <v>194</v>
      </c>
      <c r="AD14" s="35" t="s">
        <v>194</v>
      </c>
    </row>
    <row r="15" spans="1:31">
      <c r="A15" s="18" t="s">
        <v>22</v>
      </c>
      <c r="B15" s="18" t="s">
        <v>219</v>
      </c>
      <c r="C15" s="18" t="s">
        <v>220</v>
      </c>
      <c r="D15" s="18" t="s">
        <v>192</v>
      </c>
      <c r="E15" s="32">
        <v>12000000</v>
      </c>
      <c r="F15" s="32">
        <v>-11900130.369999999</v>
      </c>
      <c r="G15" s="32">
        <v>0</v>
      </c>
      <c r="H15" s="32">
        <v>97412.479999999996</v>
      </c>
      <c r="I15" s="32">
        <v>97412.479999999996</v>
      </c>
      <c r="J15" s="32">
        <v>2253317.9</v>
      </c>
      <c r="K15" s="32">
        <v>2253317.9</v>
      </c>
      <c r="L15" s="32">
        <v>197282.11</v>
      </c>
      <c r="M15" s="32">
        <v>12947979.91</v>
      </c>
      <c r="N15" s="32">
        <v>17589.02</v>
      </c>
      <c r="O15" s="32">
        <v>0</v>
      </c>
      <c r="P15" s="32">
        <v>12965568.93</v>
      </c>
      <c r="S15" s="20">
        <f t="shared" si="0"/>
        <v>1.3287197231833909</v>
      </c>
      <c r="T15" s="37">
        <f t="shared" si="1"/>
        <v>1.3287197853879331</v>
      </c>
      <c r="U15" s="23">
        <f t="shared" si="2"/>
        <v>0</v>
      </c>
      <c r="W15" s="32">
        <f t="shared" si="3"/>
        <v>12000000</v>
      </c>
      <c r="X15" s="18" t="s">
        <v>193</v>
      </c>
      <c r="Y15" s="18">
        <f t="shared" si="4"/>
        <v>197282.11</v>
      </c>
      <c r="Z15" s="18" t="s">
        <v>194</v>
      </c>
      <c r="AA15" s="18" t="s">
        <v>194</v>
      </c>
      <c r="AB15" s="18" t="s">
        <v>194</v>
      </c>
      <c r="AC15" s="18" t="s">
        <v>194</v>
      </c>
      <c r="AD15" s="18" t="s">
        <v>194</v>
      </c>
    </row>
    <row r="16" spans="1:31">
      <c r="A16" s="18" t="s">
        <v>22</v>
      </c>
      <c r="B16" s="18" t="s">
        <v>221</v>
      </c>
      <c r="C16" s="18" t="s">
        <v>222</v>
      </c>
      <c r="D16" s="18" t="s">
        <v>192</v>
      </c>
      <c r="E16" s="32">
        <v>15187500</v>
      </c>
      <c r="F16" s="32">
        <v>-15061102.48</v>
      </c>
      <c r="G16" s="32">
        <v>0</v>
      </c>
      <c r="H16" s="32">
        <v>123287.67</v>
      </c>
      <c r="I16" s="32">
        <v>123287.67</v>
      </c>
      <c r="J16" s="32">
        <v>2851855.46</v>
      </c>
      <c r="K16" s="32">
        <v>2851855.46</v>
      </c>
      <c r="L16" s="32">
        <v>249685.19</v>
      </c>
      <c r="M16" s="32">
        <v>16387287.09</v>
      </c>
      <c r="N16" s="32">
        <v>22261.14</v>
      </c>
      <c r="O16" s="32">
        <v>0</v>
      </c>
      <c r="P16" s="32">
        <v>16409548.23</v>
      </c>
      <c r="S16" s="20">
        <f t="shared" si="0"/>
        <v>1.6816608996539792</v>
      </c>
      <c r="T16" s="37">
        <f t="shared" si="1"/>
        <v>1.6816609838098744</v>
      </c>
      <c r="U16" s="23">
        <f t="shared" si="2"/>
        <v>0</v>
      </c>
      <c r="W16" s="32">
        <f t="shared" si="3"/>
        <v>15187500</v>
      </c>
      <c r="X16" s="18" t="s">
        <v>193</v>
      </c>
      <c r="Y16" s="18">
        <f t="shared" si="4"/>
        <v>249685.19</v>
      </c>
      <c r="Z16" s="18" t="s">
        <v>194</v>
      </c>
      <c r="AA16" s="18" t="s">
        <v>194</v>
      </c>
      <c r="AB16" s="18" t="s">
        <v>194</v>
      </c>
      <c r="AC16" s="18" t="s">
        <v>194</v>
      </c>
      <c r="AD16" s="18" t="s">
        <v>194</v>
      </c>
    </row>
    <row r="17" spans="1:30">
      <c r="A17" s="18" t="s">
        <v>22</v>
      </c>
      <c r="B17" s="18" t="s">
        <v>223</v>
      </c>
      <c r="C17" s="18" t="s">
        <v>224</v>
      </c>
      <c r="D17" s="18" t="s">
        <v>192</v>
      </c>
      <c r="E17" s="32">
        <v>2500000</v>
      </c>
      <c r="F17" s="32">
        <v>-2479193.8199999998</v>
      </c>
      <c r="G17" s="32">
        <v>0</v>
      </c>
      <c r="H17" s="32">
        <v>20294.27</v>
      </c>
      <c r="I17" s="32">
        <v>20294.27</v>
      </c>
      <c r="J17" s="32">
        <v>469441.23</v>
      </c>
      <c r="K17" s="32">
        <v>469441.23</v>
      </c>
      <c r="L17" s="32">
        <v>41100.449999999997</v>
      </c>
      <c r="M17" s="32">
        <v>2697495.82</v>
      </c>
      <c r="N17" s="32">
        <v>3664.43</v>
      </c>
      <c r="O17" s="32">
        <v>0</v>
      </c>
      <c r="P17" s="32">
        <v>2701160.25</v>
      </c>
      <c r="S17" s="20">
        <f t="shared" si="0"/>
        <v>0.27681660899653981</v>
      </c>
      <c r="T17" s="37">
        <f t="shared" si="1"/>
        <v>0.27681662772035537</v>
      </c>
      <c r="U17" s="23">
        <f t="shared" si="2"/>
        <v>0</v>
      </c>
      <c r="W17" s="32">
        <f t="shared" si="3"/>
        <v>2500000</v>
      </c>
      <c r="X17" s="18" t="s">
        <v>193</v>
      </c>
      <c r="Y17" s="18">
        <f t="shared" si="4"/>
        <v>41100.449999999997</v>
      </c>
      <c r="Z17" s="18" t="s">
        <v>194</v>
      </c>
      <c r="AA17" s="18" t="s">
        <v>194</v>
      </c>
      <c r="AB17" s="18" t="s">
        <v>194</v>
      </c>
      <c r="AC17" s="18" t="s">
        <v>194</v>
      </c>
      <c r="AD17" s="18" t="s">
        <v>194</v>
      </c>
    </row>
    <row r="18" spans="1:30">
      <c r="A18" s="18" t="s">
        <v>22</v>
      </c>
      <c r="B18" s="18" t="s">
        <v>225</v>
      </c>
      <c r="C18" s="18" t="s">
        <v>226</v>
      </c>
      <c r="D18" s="18" t="s">
        <v>192</v>
      </c>
      <c r="E18" s="32">
        <v>50625000</v>
      </c>
      <c r="F18" s="32">
        <v>-50203674.950000003</v>
      </c>
      <c r="G18" s="32">
        <v>0</v>
      </c>
      <c r="H18" s="32">
        <v>410958.9</v>
      </c>
      <c r="I18" s="32">
        <v>410958.9</v>
      </c>
      <c r="J18" s="32">
        <v>9506184.8800000008</v>
      </c>
      <c r="K18" s="32">
        <v>9506184.8800000008</v>
      </c>
      <c r="L18" s="32">
        <v>832283.95</v>
      </c>
      <c r="M18" s="32">
        <v>54624290.280000001</v>
      </c>
      <c r="N18" s="32">
        <v>74203.850000000006</v>
      </c>
      <c r="O18" s="32">
        <v>0</v>
      </c>
      <c r="P18" s="32">
        <v>54698494.130000003</v>
      </c>
      <c r="S18" s="20">
        <f t="shared" si="0"/>
        <v>5.6055363321799305</v>
      </c>
      <c r="T18" s="37">
        <f t="shared" si="1"/>
        <v>5.6055366157740005</v>
      </c>
      <c r="U18" s="23">
        <f t="shared" si="2"/>
        <v>0</v>
      </c>
      <c r="W18" s="32">
        <f t="shared" si="3"/>
        <v>50625000</v>
      </c>
      <c r="X18" s="18" t="s">
        <v>193</v>
      </c>
      <c r="Y18" s="18">
        <f t="shared" si="4"/>
        <v>832283.95</v>
      </c>
      <c r="Z18" s="18" t="s">
        <v>194</v>
      </c>
      <c r="AA18" s="18" t="s">
        <v>194</v>
      </c>
      <c r="AB18" s="18" t="s">
        <v>194</v>
      </c>
      <c r="AC18" s="18" t="s">
        <v>194</v>
      </c>
      <c r="AD18" s="18" t="s">
        <v>194</v>
      </c>
    </row>
    <row r="19" spans="1:30">
      <c r="A19" s="18" t="s">
        <v>22</v>
      </c>
      <c r="B19" s="18" t="s">
        <v>227</v>
      </c>
      <c r="C19" s="18" t="s">
        <v>228</v>
      </c>
      <c r="D19" s="18" t="s">
        <v>192</v>
      </c>
      <c r="E19" s="32">
        <v>3000000</v>
      </c>
      <c r="F19" s="32">
        <v>-2975032.59</v>
      </c>
      <c r="G19" s="32">
        <v>0</v>
      </c>
      <c r="H19" s="32">
        <v>24353.119999999999</v>
      </c>
      <c r="I19" s="32">
        <v>24353.119999999999</v>
      </c>
      <c r="J19" s="32">
        <v>563329.48</v>
      </c>
      <c r="K19" s="32">
        <v>563329.48</v>
      </c>
      <c r="L19" s="32">
        <v>49320.53</v>
      </c>
      <c r="M19" s="32">
        <v>3236994.97</v>
      </c>
      <c r="N19" s="32">
        <v>4397.26</v>
      </c>
      <c r="O19" s="32">
        <v>0</v>
      </c>
      <c r="P19" s="32">
        <v>3241392.23</v>
      </c>
      <c r="S19" s="20">
        <f t="shared" si="0"/>
        <v>0.33217993079584773</v>
      </c>
      <c r="T19" s="37">
        <f t="shared" si="1"/>
        <v>0.33217994609078172</v>
      </c>
      <c r="U19" s="23">
        <f t="shared" si="2"/>
        <v>0</v>
      </c>
      <c r="W19" s="32">
        <f t="shared" si="3"/>
        <v>3000000</v>
      </c>
      <c r="X19" s="18" t="s">
        <v>193</v>
      </c>
      <c r="Y19" s="18">
        <f t="shared" si="4"/>
        <v>49320.53</v>
      </c>
      <c r="Z19" s="18" t="s">
        <v>194</v>
      </c>
      <c r="AA19" s="18" t="s">
        <v>194</v>
      </c>
      <c r="AB19" s="18" t="s">
        <v>194</v>
      </c>
      <c r="AC19" s="18" t="s">
        <v>194</v>
      </c>
      <c r="AD19" s="18" t="s">
        <v>194</v>
      </c>
    </row>
    <row r="20" spans="1:30">
      <c r="A20" s="18" t="s">
        <v>22</v>
      </c>
      <c r="B20" s="18" t="s">
        <v>229</v>
      </c>
      <c r="C20" s="18" t="s">
        <v>230</v>
      </c>
      <c r="D20" s="18" t="s">
        <v>192</v>
      </c>
      <c r="E20" s="32">
        <v>20000000</v>
      </c>
      <c r="F20" s="32">
        <v>-19833550.600000001</v>
      </c>
      <c r="G20" s="32">
        <v>0</v>
      </c>
      <c r="H20" s="32">
        <v>162354.13</v>
      </c>
      <c r="I20" s="32">
        <v>162354.13</v>
      </c>
      <c r="J20" s="32">
        <v>3755529.84</v>
      </c>
      <c r="K20" s="32">
        <v>3755529.84</v>
      </c>
      <c r="L20" s="32">
        <v>328803.53000000003</v>
      </c>
      <c r="M20" s="32">
        <v>21579966.550000001</v>
      </c>
      <c r="N20" s="32">
        <v>29315.05</v>
      </c>
      <c r="O20" s="32">
        <v>0</v>
      </c>
      <c r="P20" s="32">
        <v>21609281.600000001</v>
      </c>
      <c r="S20" s="20">
        <f t="shared" si="0"/>
        <v>2.2145328719723185</v>
      </c>
      <c r="T20" s="37">
        <f t="shared" si="1"/>
        <v>2.2145329807705876</v>
      </c>
      <c r="U20" s="23">
        <f t="shared" si="2"/>
        <v>0</v>
      </c>
      <c r="W20" s="32">
        <f t="shared" si="3"/>
        <v>20000000</v>
      </c>
      <c r="X20" s="18" t="s">
        <v>193</v>
      </c>
      <c r="Y20" s="18">
        <f t="shared" si="4"/>
        <v>328803.53000000003</v>
      </c>
      <c r="Z20" s="18" t="s">
        <v>194</v>
      </c>
      <c r="AA20" s="18" t="s">
        <v>194</v>
      </c>
      <c r="AB20" s="18" t="s">
        <v>194</v>
      </c>
      <c r="AC20" s="18" t="s">
        <v>194</v>
      </c>
      <c r="AD20" s="18" t="s">
        <v>194</v>
      </c>
    </row>
    <row r="21" spans="1:30">
      <c r="A21" s="18" t="s">
        <v>22</v>
      </c>
      <c r="B21" s="18" t="s">
        <v>231</v>
      </c>
      <c r="C21" s="18" t="s">
        <v>232</v>
      </c>
      <c r="D21" s="18" t="s">
        <v>192</v>
      </c>
      <c r="E21" s="32">
        <v>2531250</v>
      </c>
      <c r="F21" s="32">
        <v>-2510183.7400000002</v>
      </c>
      <c r="G21" s="32">
        <v>0</v>
      </c>
      <c r="H21" s="32">
        <v>20547.95</v>
      </c>
      <c r="I21" s="32">
        <v>20547.95</v>
      </c>
      <c r="J21" s="32">
        <v>475309.25</v>
      </c>
      <c r="K21" s="32">
        <v>475309.25</v>
      </c>
      <c r="L21" s="32">
        <v>41614.21</v>
      </c>
      <c r="M21" s="32">
        <v>2731214.53</v>
      </c>
      <c r="N21" s="32">
        <v>3710.23</v>
      </c>
      <c r="O21" s="32">
        <v>0</v>
      </c>
      <c r="P21" s="32">
        <v>2734924.76</v>
      </c>
      <c r="S21" s="20">
        <f t="shared" si="0"/>
        <v>0.28027681660899656</v>
      </c>
      <c r="T21" s="37">
        <f t="shared" si="1"/>
        <v>0.28027683627141414</v>
      </c>
      <c r="U21" s="23">
        <f t="shared" si="2"/>
        <v>0</v>
      </c>
      <c r="W21" s="32">
        <f t="shared" si="3"/>
        <v>2531250</v>
      </c>
      <c r="X21" s="18" t="s">
        <v>193</v>
      </c>
      <c r="Y21" s="18">
        <f t="shared" si="4"/>
        <v>41614.21</v>
      </c>
      <c r="Z21" s="18" t="s">
        <v>194</v>
      </c>
      <c r="AA21" s="18" t="s">
        <v>194</v>
      </c>
      <c r="AB21" s="18" t="s">
        <v>194</v>
      </c>
      <c r="AC21" s="18" t="s">
        <v>194</v>
      </c>
      <c r="AD21" s="18" t="s">
        <v>194</v>
      </c>
    </row>
    <row r="22" spans="1:30">
      <c r="A22" s="18" t="s">
        <v>22</v>
      </c>
      <c r="B22" s="18" t="s">
        <v>233</v>
      </c>
      <c r="C22" s="18" t="s">
        <v>234</v>
      </c>
      <c r="D22" s="18" t="s">
        <v>192</v>
      </c>
      <c r="E22" s="32">
        <v>4000000</v>
      </c>
      <c r="F22" s="32">
        <v>-3966710.12</v>
      </c>
      <c r="G22" s="32">
        <v>0</v>
      </c>
      <c r="H22" s="32">
        <v>32470.83</v>
      </c>
      <c r="I22" s="32">
        <v>32470.83</v>
      </c>
      <c r="J22" s="32">
        <v>751105.96</v>
      </c>
      <c r="K22" s="32">
        <v>751105.96</v>
      </c>
      <c r="L22" s="32">
        <v>65760.710000000006</v>
      </c>
      <c r="M22" s="32">
        <v>4315993.3099999996</v>
      </c>
      <c r="N22" s="32">
        <v>5863.02</v>
      </c>
      <c r="O22" s="32">
        <v>0</v>
      </c>
      <c r="P22" s="32">
        <v>4321856.33</v>
      </c>
      <c r="S22" s="20">
        <f t="shared" si="0"/>
        <v>0.44290657439446368</v>
      </c>
      <c r="T22" s="37">
        <f t="shared" si="1"/>
        <v>0.44290659717892383</v>
      </c>
      <c r="U22" s="23">
        <f t="shared" si="2"/>
        <v>0</v>
      </c>
      <c r="W22" s="32">
        <f t="shared" si="3"/>
        <v>4000000</v>
      </c>
      <c r="X22" s="18" t="s">
        <v>193</v>
      </c>
      <c r="Y22" s="18">
        <f t="shared" si="4"/>
        <v>65760.710000000006</v>
      </c>
      <c r="Z22" s="18" t="s">
        <v>194</v>
      </c>
      <c r="AA22" s="18" t="s">
        <v>194</v>
      </c>
      <c r="AB22" s="18" t="s">
        <v>194</v>
      </c>
      <c r="AC22" s="18" t="s">
        <v>194</v>
      </c>
      <c r="AD22" s="18" t="s">
        <v>194</v>
      </c>
    </row>
    <row r="23" spans="1:30">
      <c r="A23" s="18" t="s">
        <v>22</v>
      </c>
      <c r="B23" s="18" t="s">
        <v>235</v>
      </c>
      <c r="C23" s="18" t="s">
        <v>236</v>
      </c>
      <c r="D23" s="18" t="s">
        <v>192</v>
      </c>
      <c r="E23" s="32">
        <v>15000000</v>
      </c>
      <c r="F23" s="32">
        <v>-14875162.949999999</v>
      </c>
      <c r="G23" s="32">
        <v>0</v>
      </c>
      <c r="H23" s="32">
        <v>121765.6</v>
      </c>
      <c r="I23" s="32">
        <v>121765.6</v>
      </c>
      <c r="J23" s="32">
        <v>2816647.36</v>
      </c>
      <c r="K23" s="32">
        <v>2816647.36</v>
      </c>
      <c r="L23" s="32">
        <v>246602.65</v>
      </c>
      <c r="M23" s="32">
        <v>16184974.91</v>
      </c>
      <c r="N23" s="32">
        <v>21986.25</v>
      </c>
      <c r="O23" s="32">
        <v>0</v>
      </c>
      <c r="P23" s="32">
        <v>16206961.16</v>
      </c>
      <c r="S23" s="20">
        <f t="shared" si="0"/>
        <v>1.6608996539792387</v>
      </c>
      <c r="T23" s="37">
        <f t="shared" si="1"/>
        <v>1.6608997314787151</v>
      </c>
      <c r="U23" s="23">
        <f t="shared" si="2"/>
        <v>0</v>
      </c>
      <c r="W23" s="32">
        <f t="shared" si="3"/>
        <v>15000000</v>
      </c>
      <c r="X23" s="18" t="s">
        <v>193</v>
      </c>
      <c r="Y23" s="18">
        <f t="shared" si="4"/>
        <v>246602.65</v>
      </c>
      <c r="Z23" s="18" t="s">
        <v>194</v>
      </c>
      <c r="AA23" s="18" t="s">
        <v>194</v>
      </c>
      <c r="AB23" s="18" t="s">
        <v>194</v>
      </c>
      <c r="AC23" s="18" t="s">
        <v>194</v>
      </c>
      <c r="AD23" s="18" t="s">
        <v>194</v>
      </c>
    </row>
    <row r="24" spans="1:30">
      <c r="A24" s="18" t="s">
        <v>22</v>
      </c>
      <c r="B24" s="18" t="s">
        <v>237</v>
      </c>
      <c r="C24" s="18" t="s">
        <v>238</v>
      </c>
      <c r="D24" s="18" t="s">
        <v>192</v>
      </c>
      <c r="E24" s="32">
        <v>5062500</v>
      </c>
      <c r="F24" s="32">
        <v>-5020367.49</v>
      </c>
      <c r="G24" s="32">
        <v>0</v>
      </c>
      <c r="H24" s="32">
        <v>41095.89</v>
      </c>
      <c r="I24" s="32">
        <v>41095.89</v>
      </c>
      <c r="J24" s="32">
        <v>950618.48</v>
      </c>
      <c r="K24" s="32">
        <v>950618.48</v>
      </c>
      <c r="L24" s="32">
        <v>83228.399999999994</v>
      </c>
      <c r="M24" s="32">
        <v>5462429.0099999998</v>
      </c>
      <c r="N24" s="32">
        <v>7420.39</v>
      </c>
      <c r="O24" s="32">
        <v>0</v>
      </c>
      <c r="P24" s="32">
        <v>5469849.4000000004</v>
      </c>
      <c r="S24" s="20">
        <f t="shared" si="0"/>
        <v>0.56055363321799312</v>
      </c>
      <c r="T24" s="37">
        <f t="shared" si="1"/>
        <v>0.56055366024515174</v>
      </c>
      <c r="U24" s="23">
        <f t="shared" si="2"/>
        <v>0</v>
      </c>
      <c r="W24" s="32">
        <f t="shared" si="3"/>
        <v>5062500</v>
      </c>
      <c r="X24" s="18" t="s">
        <v>193</v>
      </c>
      <c r="Y24" s="18">
        <f t="shared" si="4"/>
        <v>83228.399999999994</v>
      </c>
      <c r="Z24" s="18" t="s">
        <v>194</v>
      </c>
      <c r="AA24" s="18" t="s">
        <v>194</v>
      </c>
      <c r="AB24" s="18" t="s">
        <v>194</v>
      </c>
      <c r="AC24" s="18" t="s">
        <v>194</v>
      </c>
      <c r="AD24" s="18" t="s">
        <v>194</v>
      </c>
    </row>
    <row r="25" spans="1:30">
      <c r="A25" s="18" t="s">
        <v>22</v>
      </c>
      <c r="B25" s="18" t="s">
        <v>239</v>
      </c>
      <c r="C25" s="18" t="s">
        <v>240</v>
      </c>
      <c r="D25" s="18" t="s">
        <v>192</v>
      </c>
      <c r="E25" s="32">
        <v>5062500</v>
      </c>
      <c r="F25" s="32">
        <v>-5020367.49</v>
      </c>
      <c r="G25" s="32">
        <v>0</v>
      </c>
      <c r="H25" s="32">
        <v>41095.89</v>
      </c>
      <c r="I25" s="32">
        <v>41095.89</v>
      </c>
      <c r="J25" s="32">
        <v>950618.48</v>
      </c>
      <c r="K25" s="32">
        <v>950618.48</v>
      </c>
      <c r="L25" s="32">
        <v>83228.399999999994</v>
      </c>
      <c r="M25" s="32">
        <v>5462429.0099999998</v>
      </c>
      <c r="N25" s="32">
        <v>7370.39</v>
      </c>
      <c r="O25" s="32">
        <v>0</v>
      </c>
      <c r="P25" s="32">
        <v>5469799.4000000004</v>
      </c>
      <c r="S25" s="20">
        <f t="shared" si="0"/>
        <v>0.56055363321799312</v>
      </c>
      <c r="T25" s="37">
        <f t="shared" si="1"/>
        <v>0.56054853621321543</v>
      </c>
      <c r="U25" s="23">
        <f t="shared" si="2"/>
        <v>0</v>
      </c>
      <c r="W25" s="32">
        <f t="shared" si="3"/>
        <v>5062500</v>
      </c>
      <c r="X25" s="18" t="s">
        <v>193</v>
      </c>
      <c r="Y25" s="18">
        <f t="shared" si="4"/>
        <v>83228.399999999994</v>
      </c>
      <c r="Z25" s="18" t="s">
        <v>194</v>
      </c>
      <c r="AA25" s="18" t="s">
        <v>194</v>
      </c>
      <c r="AB25" s="18" t="s">
        <v>194</v>
      </c>
      <c r="AC25" s="18" t="s">
        <v>194</v>
      </c>
      <c r="AD25" s="18" t="s">
        <v>194</v>
      </c>
    </row>
    <row r="26" spans="1:30">
      <c r="A26" s="18" t="s">
        <v>22</v>
      </c>
      <c r="B26" s="18" t="s">
        <v>241</v>
      </c>
      <c r="C26" s="18" t="s">
        <v>242</v>
      </c>
      <c r="D26" s="18" t="s">
        <v>192</v>
      </c>
      <c r="E26" s="32">
        <v>1500000</v>
      </c>
      <c r="F26" s="32">
        <v>-1487516.29</v>
      </c>
      <c r="G26" s="32">
        <v>0</v>
      </c>
      <c r="H26" s="32">
        <v>12176.56</v>
      </c>
      <c r="I26" s="32">
        <v>12176.56</v>
      </c>
      <c r="J26" s="32">
        <v>281664.74</v>
      </c>
      <c r="K26" s="32">
        <v>281664.74</v>
      </c>
      <c r="L26" s="32">
        <v>24660.27</v>
      </c>
      <c r="M26" s="32">
        <v>1618497.48</v>
      </c>
      <c r="N26" s="32">
        <v>2198.6</v>
      </c>
      <c r="O26" s="32">
        <v>0</v>
      </c>
      <c r="P26" s="32">
        <v>1620696.08</v>
      </c>
      <c r="S26" s="20">
        <f t="shared" si="0"/>
        <v>0.16608996539792387</v>
      </c>
      <c r="T26" s="37">
        <f t="shared" si="1"/>
        <v>0.16608996945856852</v>
      </c>
      <c r="U26" s="23">
        <f t="shared" si="2"/>
        <v>0</v>
      </c>
      <c r="W26" s="32">
        <f t="shared" si="3"/>
        <v>1500000</v>
      </c>
      <c r="X26" s="18" t="s">
        <v>193</v>
      </c>
      <c r="Y26" s="18">
        <f t="shared" si="4"/>
        <v>24660.27</v>
      </c>
      <c r="Z26" s="18" t="s">
        <v>194</v>
      </c>
      <c r="AA26" s="18" t="s">
        <v>194</v>
      </c>
      <c r="AB26" s="18" t="s">
        <v>194</v>
      </c>
      <c r="AC26" s="18" t="s">
        <v>194</v>
      </c>
      <c r="AD26" s="18" t="s">
        <v>194</v>
      </c>
    </row>
    <row r="27" spans="1:30">
      <c r="A27" s="18" t="s">
        <v>22</v>
      </c>
      <c r="B27" s="18" t="s">
        <v>243</v>
      </c>
      <c r="C27" s="18" t="s">
        <v>244</v>
      </c>
      <c r="D27" s="18" t="s">
        <v>192</v>
      </c>
      <c r="E27" s="32">
        <v>5062500</v>
      </c>
      <c r="F27" s="32">
        <v>-5020367.49</v>
      </c>
      <c r="G27" s="32">
        <v>0</v>
      </c>
      <c r="H27" s="32">
        <v>41095.89</v>
      </c>
      <c r="I27" s="32">
        <v>41095.89</v>
      </c>
      <c r="J27" s="32">
        <v>950618.48</v>
      </c>
      <c r="K27" s="32">
        <v>950618.48</v>
      </c>
      <c r="L27" s="32">
        <v>83228.399999999994</v>
      </c>
      <c r="M27" s="32">
        <v>5462429.0099999998</v>
      </c>
      <c r="N27" s="32">
        <v>7420.39</v>
      </c>
      <c r="O27" s="32">
        <v>0</v>
      </c>
      <c r="P27" s="32">
        <v>5469849.4000000004</v>
      </c>
      <c r="S27" s="20">
        <f t="shared" si="0"/>
        <v>0.56055363321799312</v>
      </c>
      <c r="T27" s="37">
        <f t="shared" si="1"/>
        <v>0.56055366024515174</v>
      </c>
      <c r="U27" s="23">
        <f t="shared" si="2"/>
        <v>0</v>
      </c>
      <c r="W27" s="32">
        <f t="shared" si="3"/>
        <v>5062500</v>
      </c>
      <c r="X27" s="18" t="s">
        <v>193</v>
      </c>
      <c r="Y27" s="18">
        <f t="shared" si="4"/>
        <v>83228.399999999994</v>
      </c>
      <c r="Z27" s="18" t="s">
        <v>194</v>
      </c>
      <c r="AA27" s="18" t="s">
        <v>194</v>
      </c>
      <c r="AB27" s="18" t="s">
        <v>194</v>
      </c>
      <c r="AC27" s="18" t="s">
        <v>194</v>
      </c>
      <c r="AD27" s="18" t="s">
        <v>194</v>
      </c>
    </row>
    <row r="28" spans="1:30">
      <c r="A28" s="18" t="s">
        <v>22</v>
      </c>
      <c r="B28" s="18" t="s">
        <v>245</v>
      </c>
      <c r="C28" s="18" t="s">
        <v>246</v>
      </c>
      <c r="D28" s="18" t="s">
        <v>192</v>
      </c>
      <c r="E28" s="32">
        <v>55687500</v>
      </c>
      <c r="F28" s="32">
        <v>-55224042.460000001</v>
      </c>
      <c r="G28" s="32">
        <v>0</v>
      </c>
      <c r="H28" s="32">
        <v>452054.79</v>
      </c>
      <c r="I28" s="32">
        <v>452054.79</v>
      </c>
      <c r="J28" s="32">
        <v>10456803.359999999</v>
      </c>
      <c r="K28" s="32">
        <v>10456803.359999999</v>
      </c>
      <c r="L28" s="32">
        <v>915512.33</v>
      </c>
      <c r="M28" s="32">
        <v>60086719.310000002</v>
      </c>
      <c r="N28" s="32">
        <v>81624.240000000005</v>
      </c>
      <c r="O28" s="32">
        <v>0</v>
      </c>
      <c r="P28" s="32">
        <v>60168343.549999997</v>
      </c>
      <c r="Q28" s="33"/>
      <c r="R28" s="34"/>
      <c r="S28" s="20">
        <f t="shared" si="0"/>
        <v>6.1660899653979238</v>
      </c>
      <c r="T28" s="37">
        <f t="shared" si="1"/>
        <v>6.1660902780687641</v>
      </c>
      <c r="U28" s="23">
        <f t="shared" si="2"/>
        <v>0</v>
      </c>
      <c r="W28" s="32">
        <f t="shared" si="3"/>
        <v>55687500</v>
      </c>
      <c r="X28" s="18" t="s">
        <v>193</v>
      </c>
      <c r="Y28" s="18">
        <f t="shared" si="4"/>
        <v>915512.33</v>
      </c>
      <c r="Z28" s="18" t="s">
        <v>194</v>
      </c>
      <c r="AA28" s="18" t="s">
        <v>194</v>
      </c>
      <c r="AB28" s="18" t="s">
        <v>194</v>
      </c>
      <c r="AC28" s="18" t="s">
        <v>194</v>
      </c>
      <c r="AD28" s="18" t="s">
        <v>194</v>
      </c>
    </row>
    <row r="29" spans="1:30">
      <c r="A29" s="18" t="s">
        <v>22</v>
      </c>
      <c r="B29" s="18" t="s">
        <v>247</v>
      </c>
      <c r="C29" s="18" t="s">
        <v>248</v>
      </c>
      <c r="D29" s="18" t="s">
        <v>192</v>
      </c>
      <c r="E29" s="32">
        <v>500000</v>
      </c>
      <c r="F29" s="32">
        <v>-495838.76</v>
      </c>
      <c r="G29" s="32">
        <v>0</v>
      </c>
      <c r="H29" s="32">
        <v>4058.85</v>
      </c>
      <c r="I29" s="32">
        <v>4058.85</v>
      </c>
      <c r="J29" s="32">
        <v>93888.24</v>
      </c>
      <c r="K29" s="32">
        <v>93888.24</v>
      </c>
      <c r="L29" s="32">
        <v>8220.09</v>
      </c>
      <c r="M29" s="32">
        <v>539499.16</v>
      </c>
      <c r="N29" s="32">
        <v>732.89</v>
      </c>
      <c r="O29" s="32">
        <v>0</v>
      </c>
      <c r="P29" s="32">
        <v>540232.05000000005</v>
      </c>
      <c r="R29" s="34"/>
      <c r="S29" s="20">
        <f t="shared" si="0"/>
        <v>5.536332179930796E-2</v>
      </c>
      <c r="T29" s="37">
        <f t="shared" si="1"/>
        <v>5.5363325544071078E-2</v>
      </c>
      <c r="U29" s="23">
        <f t="shared" si="2"/>
        <v>0</v>
      </c>
      <c r="W29" s="32">
        <f t="shared" si="3"/>
        <v>500000</v>
      </c>
      <c r="X29" s="18" t="s">
        <v>193</v>
      </c>
      <c r="Y29" s="18">
        <f t="shared" si="4"/>
        <v>8220.09</v>
      </c>
      <c r="Z29" s="18" t="s">
        <v>194</v>
      </c>
      <c r="AA29" s="18" t="s">
        <v>194</v>
      </c>
      <c r="AB29" s="18" t="s">
        <v>194</v>
      </c>
      <c r="AC29" s="18" t="s">
        <v>194</v>
      </c>
      <c r="AD29" s="18" t="s">
        <v>194</v>
      </c>
    </row>
    <row r="30" spans="1:30">
      <c r="A30" s="18" t="s">
        <v>22</v>
      </c>
      <c r="B30" s="18" t="s">
        <v>249</v>
      </c>
      <c r="C30" s="18" t="s">
        <v>250</v>
      </c>
      <c r="D30" s="18" t="s">
        <v>192</v>
      </c>
      <c r="E30" s="32">
        <v>31350000</v>
      </c>
      <c r="F30" s="32">
        <v>-31089090.559999999</v>
      </c>
      <c r="G30" s="32">
        <v>0</v>
      </c>
      <c r="H30" s="32">
        <v>254490.11</v>
      </c>
      <c r="I30" s="32">
        <v>254490.11</v>
      </c>
      <c r="J30" s="32">
        <v>5886793</v>
      </c>
      <c r="K30" s="32">
        <v>5886793</v>
      </c>
      <c r="L30" s="32">
        <v>515399.55</v>
      </c>
      <c r="M30" s="32">
        <v>33826597.520000003</v>
      </c>
      <c r="N30" s="32">
        <v>45951.44</v>
      </c>
      <c r="O30" s="32">
        <v>0</v>
      </c>
      <c r="P30" s="32">
        <v>33872548.960000001</v>
      </c>
      <c r="S30" s="20">
        <f t="shared" si="0"/>
        <v>3.4712802768166089</v>
      </c>
      <c r="T30" s="37">
        <f t="shared" si="1"/>
        <v>3.471280452686889</v>
      </c>
      <c r="U30" s="23">
        <f t="shared" si="2"/>
        <v>0</v>
      </c>
      <c r="W30" s="32">
        <f t="shared" si="3"/>
        <v>31350000</v>
      </c>
      <c r="X30" s="18" t="s">
        <v>193</v>
      </c>
      <c r="Y30" s="18">
        <f t="shared" si="4"/>
        <v>515399.55</v>
      </c>
      <c r="Z30" s="18" t="s">
        <v>194</v>
      </c>
      <c r="AA30" s="18" t="s">
        <v>194</v>
      </c>
      <c r="AB30" s="18" t="s">
        <v>194</v>
      </c>
      <c r="AC30" s="18" t="s">
        <v>194</v>
      </c>
      <c r="AD30" s="18" t="s">
        <v>194</v>
      </c>
    </row>
    <row r="31" spans="1:30">
      <c r="A31" s="18" t="s">
        <v>22</v>
      </c>
      <c r="B31" s="18" t="s">
        <v>251</v>
      </c>
      <c r="C31" s="18" t="s">
        <v>252</v>
      </c>
      <c r="D31" s="18" t="s">
        <v>192</v>
      </c>
      <c r="E31" s="32">
        <v>7050000</v>
      </c>
      <c r="F31" s="32">
        <v>-6991326.5800000001</v>
      </c>
      <c r="G31" s="32">
        <v>0</v>
      </c>
      <c r="H31" s="32">
        <v>57229.83</v>
      </c>
      <c r="I31" s="32">
        <v>57229.83</v>
      </c>
      <c r="J31" s="32">
        <v>1323824.26</v>
      </c>
      <c r="K31" s="32">
        <v>1323824.26</v>
      </c>
      <c r="L31" s="32">
        <v>115903.25</v>
      </c>
      <c r="M31" s="32">
        <v>7606938.1900000004</v>
      </c>
      <c r="N31" s="32">
        <v>10333.61</v>
      </c>
      <c r="O31" s="32">
        <v>0</v>
      </c>
      <c r="P31" s="32">
        <v>7617271.7999999998</v>
      </c>
      <c r="S31" s="20">
        <f t="shared" si="0"/>
        <v>0.78062283737024218</v>
      </c>
      <c r="T31" s="37">
        <f t="shared" si="1"/>
        <v>0.780622879410935</v>
      </c>
      <c r="U31" s="23">
        <f t="shared" si="2"/>
        <v>0</v>
      </c>
      <c r="W31" s="32">
        <f t="shared" si="3"/>
        <v>7050000</v>
      </c>
      <c r="X31" s="18" t="s">
        <v>193</v>
      </c>
      <c r="Y31" s="18">
        <f t="shared" si="4"/>
        <v>115903.25</v>
      </c>
      <c r="Z31" s="18" t="s">
        <v>194</v>
      </c>
      <c r="AA31" s="18" t="s">
        <v>194</v>
      </c>
      <c r="AB31" s="18" t="s">
        <v>194</v>
      </c>
      <c r="AC31" s="18" t="s">
        <v>194</v>
      </c>
      <c r="AD31" s="18" t="s">
        <v>194</v>
      </c>
    </row>
    <row r="32" spans="1:30">
      <c r="A32" s="18" t="s">
        <v>22</v>
      </c>
      <c r="B32" s="18" t="s">
        <v>253</v>
      </c>
      <c r="C32" s="18" t="s">
        <v>254</v>
      </c>
      <c r="D32" s="18" t="s">
        <v>192</v>
      </c>
      <c r="E32" s="32">
        <v>1000000</v>
      </c>
      <c r="F32" s="32">
        <v>-991677.53</v>
      </c>
      <c r="G32" s="32">
        <v>0</v>
      </c>
      <c r="H32" s="32">
        <v>8117.71</v>
      </c>
      <c r="I32" s="32">
        <v>8117.71</v>
      </c>
      <c r="J32" s="32">
        <v>187776.5</v>
      </c>
      <c r="K32" s="32">
        <v>187776.5</v>
      </c>
      <c r="L32" s="32">
        <v>16440.18</v>
      </c>
      <c r="M32" s="32">
        <v>1078998.31</v>
      </c>
      <c r="N32" s="32">
        <v>1465.71</v>
      </c>
      <c r="O32" s="32">
        <v>0</v>
      </c>
      <c r="P32" s="32">
        <v>1080464.02</v>
      </c>
      <c r="S32" s="20">
        <f t="shared" si="0"/>
        <v>0.11072664359861592</v>
      </c>
      <c r="T32" s="37">
        <f t="shared" si="1"/>
        <v>0.11072664288969104</v>
      </c>
      <c r="U32" s="23">
        <f t="shared" si="2"/>
        <v>0</v>
      </c>
      <c r="W32" s="32">
        <f t="shared" si="3"/>
        <v>1000000</v>
      </c>
      <c r="X32" s="18" t="s">
        <v>193</v>
      </c>
      <c r="Y32" s="18">
        <f t="shared" si="4"/>
        <v>16440.18</v>
      </c>
      <c r="Z32" s="18" t="s">
        <v>194</v>
      </c>
      <c r="AA32" s="18" t="s">
        <v>194</v>
      </c>
      <c r="AB32" s="18" t="s">
        <v>194</v>
      </c>
      <c r="AC32" s="18" t="s">
        <v>194</v>
      </c>
      <c r="AD32" s="18" t="s">
        <v>194</v>
      </c>
    </row>
    <row r="33" spans="1:30">
      <c r="A33" s="18" t="s">
        <v>22</v>
      </c>
      <c r="B33" s="18" t="s">
        <v>255</v>
      </c>
      <c r="C33" s="18" t="s">
        <v>256</v>
      </c>
      <c r="D33" s="18" t="s">
        <v>192</v>
      </c>
      <c r="E33" s="32">
        <v>1012500</v>
      </c>
      <c r="F33" s="32">
        <v>-1004073.5</v>
      </c>
      <c r="G33" s="32">
        <v>0</v>
      </c>
      <c r="H33" s="32">
        <v>8219.18</v>
      </c>
      <c r="I33" s="32">
        <v>8219.18</v>
      </c>
      <c r="J33" s="32">
        <v>190123.7</v>
      </c>
      <c r="K33" s="32">
        <v>190123.7</v>
      </c>
      <c r="L33" s="32">
        <v>16645.68</v>
      </c>
      <c r="M33" s="32">
        <v>1092485.8</v>
      </c>
      <c r="N33" s="32">
        <v>1484.09</v>
      </c>
      <c r="O33" s="32">
        <v>0</v>
      </c>
      <c r="P33" s="32">
        <v>1093969.8899999999</v>
      </c>
      <c r="S33" s="20">
        <f t="shared" si="0"/>
        <v>0.11211072664359861</v>
      </c>
      <c r="T33" s="37">
        <f t="shared" si="1"/>
        <v>0.11211073307383672</v>
      </c>
      <c r="U33" s="23">
        <f t="shared" si="2"/>
        <v>0</v>
      </c>
      <c r="W33" s="32">
        <f t="shared" si="3"/>
        <v>1012500</v>
      </c>
      <c r="X33" s="18" t="s">
        <v>193</v>
      </c>
      <c r="Y33" s="18">
        <f t="shared" si="4"/>
        <v>16645.68</v>
      </c>
      <c r="Z33" s="18" t="s">
        <v>194</v>
      </c>
      <c r="AA33" s="18" t="s">
        <v>194</v>
      </c>
      <c r="AB33" s="18" t="s">
        <v>194</v>
      </c>
      <c r="AC33" s="18" t="s">
        <v>194</v>
      </c>
      <c r="AD33" s="18" t="s">
        <v>194</v>
      </c>
    </row>
    <row r="34" spans="1:30">
      <c r="A34" s="18" t="s">
        <v>22</v>
      </c>
      <c r="B34" s="18" t="s">
        <v>257</v>
      </c>
      <c r="C34" s="18" t="s">
        <v>258</v>
      </c>
      <c r="D34" s="18" t="s">
        <v>192</v>
      </c>
      <c r="E34" s="32">
        <v>2025000</v>
      </c>
      <c r="F34" s="32">
        <v>-2008146.99</v>
      </c>
      <c r="G34" s="32">
        <v>0</v>
      </c>
      <c r="H34" s="32">
        <v>16438.36</v>
      </c>
      <c r="I34" s="32">
        <v>16438.36</v>
      </c>
      <c r="J34" s="32">
        <v>380247.39</v>
      </c>
      <c r="K34" s="32">
        <v>380247.39</v>
      </c>
      <c r="L34" s="32">
        <v>33291.370000000003</v>
      </c>
      <c r="M34" s="32">
        <v>2184971.6</v>
      </c>
      <c r="N34" s="32">
        <v>2968.09</v>
      </c>
      <c r="O34" s="32">
        <v>0</v>
      </c>
      <c r="P34" s="32">
        <v>2187939.69</v>
      </c>
      <c r="S34" s="20">
        <f t="shared" si="0"/>
        <v>0.22422145328719723</v>
      </c>
      <c r="T34" s="37">
        <f t="shared" si="1"/>
        <v>0.22422145692441597</v>
      </c>
      <c r="U34" s="23">
        <f t="shared" si="2"/>
        <v>0</v>
      </c>
      <c r="W34" s="32">
        <f t="shared" si="3"/>
        <v>2025000</v>
      </c>
      <c r="X34" s="18" t="s">
        <v>193</v>
      </c>
      <c r="Y34" s="18">
        <f t="shared" si="4"/>
        <v>33291.370000000003</v>
      </c>
      <c r="Z34" s="18" t="s">
        <v>194</v>
      </c>
      <c r="AA34" s="18" t="s">
        <v>194</v>
      </c>
      <c r="AB34" s="18" t="s">
        <v>194</v>
      </c>
      <c r="AC34" s="18" t="s">
        <v>194</v>
      </c>
      <c r="AD34" s="18" t="s">
        <v>194</v>
      </c>
    </row>
    <row r="35" spans="1:30">
      <c r="A35" s="18" t="s">
        <v>22</v>
      </c>
      <c r="B35" s="18" t="s">
        <v>259</v>
      </c>
      <c r="C35" s="18" t="s">
        <v>260</v>
      </c>
      <c r="D35" s="18" t="s">
        <v>192</v>
      </c>
      <c r="E35" s="32">
        <v>50000000</v>
      </c>
      <c r="F35" s="32">
        <v>-49583876.5</v>
      </c>
      <c r="G35" s="32">
        <v>0</v>
      </c>
      <c r="H35" s="32">
        <v>405885.34</v>
      </c>
      <c r="I35" s="32">
        <v>405885.34</v>
      </c>
      <c r="J35" s="32">
        <v>9388824.5700000003</v>
      </c>
      <c r="K35" s="32">
        <v>9388824.5700000003</v>
      </c>
      <c r="L35" s="32">
        <v>822008.84</v>
      </c>
      <c r="M35" s="32">
        <v>53949916.340000004</v>
      </c>
      <c r="N35" s="32">
        <v>73287.86</v>
      </c>
      <c r="O35" s="32">
        <v>0</v>
      </c>
      <c r="P35" s="32">
        <v>54023204.200000003</v>
      </c>
      <c r="S35" s="20">
        <f t="shared" si="0"/>
        <v>5.5363321799307954</v>
      </c>
      <c r="T35" s="37">
        <f t="shared" si="1"/>
        <v>5.536332472422596</v>
      </c>
      <c r="U35" s="23">
        <f t="shared" si="2"/>
        <v>0</v>
      </c>
      <c r="W35" s="32">
        <f t="shared" si="3"/>
        <v>50000000</v>
      </c>
      <c r="X35" s="18" t="s">
        <v>193</v>
      </c>
      <c r="Y35" s="18">
        <f t="shared" si="4"/>
        <v>822008.84</v>
      </c>
      <c r="Z35" s="18" t="s">
        <v>194</v>
      </c>
      <c r="AA35" s="18" t="s">
        <v>194</v>
      </c>
      <c r="AB35" s="18" t="s">
        <v>194</v>
      </c>
      <c r="AC35" s="18" t="s">
        <v>194</v>
      </c>
      <c r="AD35" s="18" t="s">
        <v>194</v>
      </c>
    </row>
    <row r="36" spans="1:30">
      <c r="A36" s="18" t="s">
        <v>22</v>
      </c>
      <c r="B36" s="18" t="s">
        <v>261</v>
      </c>
      <c r="C36" s="18" t="s">
        <v>262</v>
      </c>
      <c r="D36" s="18" t="s">
        <v>192</v>
      </c>
      <c r="E36" s="32">
        <v>20250000</v>
      </c>
      <c r="F36" s="32">
        <v>-20081469.989999998</v>
      </c>
      <c r="G36" s="32">
        <v>0</v>
      </c>
      <c r="H36" s="32">
        <v>164383.56</v>
      </c>
      <c r="I36" s="32">
        <v>164383.56</v>
      </c>
      <c r="J36" s="32">
        <v>3802473.95</v>
      </c>
      <c r="K36" s="32">
        <v>3802473.95</v>
      </c>
      <c r="L36" s="32">
        <v>332913.57</v>
      </c>
      <c r="M36" s="32">
        <v>21849716.120000001</v>
      </c>
      <c r="N36" s="32">
        <v>29681.59</v>
      </c>
      <c r="O36" s="32">
        <v>0</v>
      </c>
      <c r="P36" s="32">
        <v>21879397.710000001</v>
      </c>
      <c r="S36" s="20">
        <f t="shared" si="0"/>
        <v>2.2422145328719725</v>
      </c>
      <c r="T36" s="37">
        <f t="shared" si="1"/>
        <v>2.2422146522534772</v>
      </c>
      <c r="U36" s="23">
        <f t="shared" si="2"/>
        <v>0</v>
      </c>
      <c r="W36" s="32">
        <f t="shared" si="3"/>
        <v>20250000</v>
      </c>
      <c r="X36" s="18" t="s">
        <v>193</v>
      </c>
      <c r="Y36" s="18">
        <f t="shared" si="4"/>
        <v>332913.57</v>
      </c>
      <c r="Z36" s="18" t="s">
        <v>194</v>
      </c>
      <c r="AA36" s="18" t="s">
        <v>194</v>
      </c>
      <c r="AB36" s="18" t="s">
        <v>194</v>
      </c>
      <c r="AC36" s="18" t="s">
        <v>194</v>
      </c>
      <c r="AD36" s="18" t="s">
        <v>194</v>
      </c>
    </row>
    <row r="37" spans="1:30">
      <c r="A37" s="18" t="s">
        <v>22</v>
      </c>
      <c r="B37" s="18" t="s">
        <v>263</v>
      </c>
      <c r="C37" s="18" t="s">
        <v>264</v>
      </c>
      <c r="D37" s="18" t="s">
        <v>192</v>
      </c>
      <c r="E37" s="32">
        <v>10125000</v>
      </c>
      <c r="F37" s="32">
        <v>-10040734.99</v>
      </c>
      <c r="G37" s="32">
        <v>0</v>
      </c>
      <c r="H37" s="32">
        <v>82191.78</v>
      </c>
      <c r="I37" s="32">
        <v>82191.78</v>
      </c>
      <c r="J37" s="32">
        <v>1901236.97</v>
      </c>
      <c r="K37" s="32">
        <v>1901236.97</v>
      </c>
      <c r="L37" s="32">
        <v>166456.79</v>
      </c>
      <c r="M37" s="32">
        <v>10924858.050000001</v>
      </c>
      <c r="N37" s="32">
        <v>14840.73</v>
      </c>
      <c r="O37" s="32">
        <v>0</v>
      </c>
      <c r="P37" s="32">
        <v>10939698.779999999</v>
      </c>
      <c r="S37" s="20">
        <f t="shared" si="0"/>
        <v>1.1211072664359862</v>
      </c>
      <c r="T37" s="37">
        <f t="shared" si="1"/>
        <v>1.1211073184406906</v>
      </c>
      <c r="U37" s="23">
        <f t="shared" si="2"/>
        <v>0</v>
      </c>
      <c r="W37" s="32">
        <f t="shared" si="3"/>
        <v>10125000</v>
      </c>
      <c r="X37" s="18" t="s">
        <v>193</v>
      </c>
      <c r="Y37" s="18">
        <f t="shared" si="4"/>
        <v>166456.79</v>
      </c>
      <c r="Z37" s="18" t="s">
        <v>194</v>
      </c>
      <c r="AA37" s="18" t="s">
        <v>194</v>
      </c>
      <c r="AB37" s="18" t="s">
        <v>194</v>
      </c>
      <c r="AC37" s="18" t="s">
        <v>194</v>
      </c>
      <c r="AD37" s="18" t="s">
        <v>194</v>
      </c>
    </row>
    <row r="38" spans="1:30">
      <c r="A38" s="18" t="s">
        <v>22</v>
      </c>
      <c r="B38" s="18" t="s">
        <v>265</v>
      </c>
      <c r="C38" s="18" t="s">
        <v>266</v>
      </c>
      <c r="D38" s="18" t="s">
        <v>192</v>
      </c>
      <c r="E38" s="32">
        <v>2025000</v>
      </c>
      <c r="F38" s="32">
        <v>-2008146.99</v>
      </c>
      <c r="G38" s="32">
        <v>0</v>
      </c>
      <c r="H38" s="32">
        <v>16438.36</v>
      </c>
      <c r="I38" s="32">
        <v>16438.36</v>
      </c>
      <c r="J38" s="32">
        <v>380247.39</v>
      </c>
      <c r="K38" s="32">
        <v>380247.39</v>
      </c>
      <c r="L38" s="32">
        <v>33291.370000000003</v>
      </c>
      <c r="M38" s="32">
        <v>2184971.6</v>
      </c>
      <c r="N38" s="32">
        <v>2968.09</v>
      </c>
      <c r="O38" s="32">
        <v>0</v>
      </c>
      <c r="P38" s="32">
        <v>2187939.69</v>
      </c>
      <c r="S38" s="20">
        <f t="shared" si="0"/>
        <v>0.22422145328719723</v>
      </c>
      <c r="T38" s="37">
        <f t="shared" si="1"/>
        <v>0.22422145692441597</v>
      </c>
      <c r="U38" s="23">
        <f t="shared" si="2"/>
        <v>0</v>
      </c>
      <c r="W38" s="32">
        <f t="shared" si="3"/>
        <v>2025000</v>
      </c>
      <c r="X38" s="18" t="s">
        <v>193</v>
      </c>
      <c r="Y38" s="18">
        <f t="shared" si="4"/>
        <v>33291.370000000003</v>
      </c>
      <c r="Z38" s="18" t="s">
        <v>194</v>
      </c>
      <c r="AA38" s="18" t="s">
        <v>194</v>
      </c>
      <c r="AB38" s="18" t="s">
        <v>194</v>
      </c>
      <c r="AC38" s="18" t="s">
        <v>194</v>
      </c>
      <c r="AD38" s="18" t="s">
        <v>194</v>
      </c>
    </row>
    <row r="39" spans="1:30">
      <c r="A39" s="18" t="s">
        <v>22</v>
      </c>
      <c r="B39" s="18" t="s">
        <v>267</v>
      </c>
      <c r="C39" s="18" t="s">
        <v>268</v>
      </c>
      <c r="D39" s="18" t="s">
        <v>192</v>
      </c>
      <c r="E39" s="32">
        <v>5000000</v>
      </c>
      <c r="F39" s="32">
        <v>-4958387.6500000004</v>
      </c>
      <c r="G39" s="32">
        <v>0</v>
      </c>
      <c r="H39" s="32">
        <v>40588.53</v>
      </c>
      <c r="I39" s="32">
        <v>40588.53</v>
      </c>
      <c r="J39" s="32">
        <v>938882.45</v>
      </c>
      <c r="K39" s="32">
        <v>938882.45</v>
      </c>
      <c r="L39" s="32">
        <v>82200.88</v>
      </c>
      <c r="M39" s="32">
        <v>5394991.6399999997</v>
      </c>
      <c r="N39" s="32">
        <v>7328.76</v>
      </c>
      <c r="O39" s="32">
        <v>0</v>
      </c>
      <c r="P39" s="32">
        <v>5402320.4000000004</v>
      </c>
      <c r="S39" s="20">
        <f t="shared" si="0"/>
        <v>0.55363321799307963</v>
      </c>
      <c r="T39" s="37">
        <f t="shared" si="1"/>
        <v>0.55363324519264689</v>
      </c>
      <c r="U39" s="23">
        <f t="shared" si="2"/>
        <v>0</v>
      </c>
      <c r="W39" s="32">
        <f t="shared" si="3"/>
        <v>5000000</v>
      </c>
      <c r="X39" s="18" t="s">
        <v>193</v>
      </c>
      <c r="Y39" s="18">
        <f t="shared" si="4"/>
        <v>82200.88</v>
      </c>
      <c r="Z39" s="18" t="s">
        <v>194</v>
      </c>
      <c r="AA39" s="18" t="s">
        <v>194</v>
      </c>
      <c r="AB39" s="18" t="s">
        <v>194</v>
      </c>
      <c r="AC39" s="18" t="s">
        <v>194</v>
      </c>
      <c r="AD39" s="18" t="s">
        <v>194</v>
      </c>
    </row>
    <row r="40" spans="1:30">
      <c r="A40" s="18" t="s">
        <v>22</v>
      </c>
      <c r="B40" s="18" t="s">
        <v>269</v>
      </c>
      <c r="C40" s="18" t="s">
        <v>270</v>
      </c>
      <c r="D40" s="18" t="s">
        <v>192</v>
      </c>
      <c r="E40" s="32">
        <v>101250000</v>
      </c>
      <c r="F40" s="32">
        <v>-100407349.94</v>
      </c>
      <c r="G40" s="32">
        <v>0</v>
      </c>
      <c r="H40" s="32">
        <v>821917.81</v>
      </c>
      <c r="I40" s="32">
        <v>821917.81</v>
      </c>
      <c r="J40" s="32">
        <v>19012369.760000002</v>
      </c>
      <c r="K40" s="32">
        <v>19012369.760000002</v>
      </c>
      <c r="L40" s="32">
        <v>1664567.87</v>
      </c>
      <c r="M40" s="32">
        <v>109248580.56999999</v>
      </c>
      <c r="N40" s="32">
        <v>148407.82</v>
      </c>
      <c r="O40" s="32">
        <v>0</v>
      </c>
      <c r="P40" s="32">
        <v>109396988.39</v>
      </c>
      <c r="S40" s="20">
        <f t="shared" si="0"/>
        <v>11.211072664359861</v>
      </c>
      <c r="T40" s="37">
        <f t="shared" si="1"/>
        <v>11.211073244870484</v>
      </c>
      <c r="U40" s="23">
        <f t="shared" si="2"/>
        <v>0</v>
      </c>
      <c r="W40" s="32">
        <f t="shared" si="3"/>
        <v>101250000</v>
      </c>
      <c r="X40" s="18" t="s">
        <v>193</v>
      </c>
      <c r="Y40" s="18">
        <f t="shared" si="4"/>
        <v>1664567.87</v>
      </c>
      <c r="Z40" s="18" t="s">
        <v>194</v>
      </c>
      <c r="AA40" s="18" t="s">
        <v>194</v>
      </c>
      <c r="AB40" s="18" t="s">
        <v>194</v>
      </c>
      <c r="AC40" s="18" t="s">
        <v>194</v>
      </c>
      <c r="AD40" s="18" t="s">
        <v>194</v>
      </c>
    </row>
    <row r="41" spans="1:30">
      <c r="A41" s="18" t="s">
        <v>22</v>
      </c>
      <c r="B41" s="18" t="s">
        <v>271</v>
      </c>
      <c r="C41" s="18" t="s">
        <v>272</v>
      </c>
      <c r="D41" s="18" t="s">
        <v>192</v>
      </c>
      <c r="E41" s="32">
        <v>151875000</v>
      </c>
      <c r="F41" s="32">
        <v>-149378148.22999999</v>
      </c>
      <c r="G41" s="32">
        <v>0</v>
      </c>
      <c r="H41" s="32">
        <v>0</v>
      </c>
      <c r="I41" s="32">
        <v>0</v>
      </c>
      <c r="J41" s="32">
        <v>28518554.629999999</v>
      </c>
      <c r="K41" s="32">
        <v>28518554.629999999</v>
      </c>
      <c r="L41" s="32">
        <v>2496851.77</v>
      </c>
      <c r="M41" s="32">
        <v>163872870.91999999</v>
      </c>
      <c r="N41" s="32">
        <v>222611.83</v>
      </c>
      <c r="O41" s="32">
        <v>0</v>
      </c>
      <c r="P41" s="32">
        <v>164095482.75</v>
      </c>
      <c r="S41" s="20">
        <f t="shared" si="0"/>
        <v>16.816608996539792</v>
      </c>
      <c r="T41" s="37">
        <f t="shared" si="1"/>
        <v>16.81660988421503</v>
      </c>
      <c r="U41" s="23">
        <f t="shared" si="2"/>
        <v>0</v>
      </c>
      <c r="W41" s="32">
        <f t="shared" si="3"/>
        <v>151875000</v>
      </c>
      <c r="X41" s="18" t="s">
        <v>193</v>
      </c>
      <c r="Y41" s="18">
        <f t="shared" si="4"/>
        <v>2496851.77</v>
      </c>
      <c r="Z41" s="18" t="s">
        <v>194</v>
      </c>
      <c r="AA41" s="18" t="s">
        <v>194</v>
      </c>
      <c r="AB41" s="18" t="s">
        <v>194</v>
      </c>
      <c r="AC41" s="18" t="s">
        <v>194</v>
      </c>
      <c r="AD41" s="18" t="s">
        <v>194</v>
      </c>
    </row>
    <row r="42" spans="1:30">
      <c r="A42" s="18" t="s">
        <v>22</v>
      </c>
      <c r="B42" s="18" t="s">
        <v>273</v>
      </c>
      <c r="C42" s="18" t="s">
        <v>274</v>
      </c>
      <c r="D42" s="18" t="s">
        <v>192</v>
      </c>
      <c r="E42" s="32">
        <v>40500000</v>
      </c>
      <c r="F42" s="32">
        <v>-40162939.979999997</v>
      </c>
      <c r="G42" s="32">
        <v>0</v>
      </c>
      <c r="H42" s="32">
        <v>328767.12</v>
      </c>
      <c r="I42" s="32">
        <v>328767.12</v>
      </c>
      <c r="J42" s="32">
        <v>7604947.9000000004</v>
      </c>
      <c r="K42" s="32">
        <v>7604947.9000000004</v>
      </c>
      <c r="L42" s="32">
        <v>665827.14</v>
      </c>
      <c r="M42" s="32">
        <v>43699432.240000002</v>
      </c>
      <c r="N42" s="32">
        <v>59363.07</v>
      </c>
      <c r="O42" s="32">
        <v>0</v>
      </c>
      <c r="P42" s="32">
        <v>43758795.310000002</v>
      </c>
      <c r="S42" s="20">
        <f t="shared" si="0"/>
        <v>4.484429065743945</v>
      </c>
      <c r="T42" s="37">
        <f t="shared" si="1"/>
        <v>4.4844292932340846</v>
      </c>
      <c r="U42" s="23">
        <f t="shared" si="2"/>
        <v>0</v>
      </c>
      <c r="W42" s="32">
        <f t="shared" si="3"/>
        <v>40500000</v>
      </c>
      <c r="X42" s="18" t="s">
        <v>193</v>
      </c>
      <c r="Y42" s="18">
        <f t="shared" si="4"/>
        <v>665827.14</v>
      </c>
      <c r="Z42" s="18" t="s">
        <v>194</v>
      </c>
      <c r="AA42" s="18" t="s">
        <v>194</v>
      </c>
      <c r="AB42" s="18" t="s">
        <v>194</v>
      </c>
      <c r="AC42" s="18" t="s">
        <v>194</v>
      </c>
      <c r="AD42" s="18" t="s">
        <v>194</v>
      </c>
    </row>
    <row r="43" spans="1:30">
      <c r="A43" s="18" t="s">
        <v>22</v>
      </c>
      <c r="B43" s="18" t="s">
        <v>275</v>
      </c>
      <c r="C43" s="18" t="s">
        <v>276</v>
      </c>
      <c r="D43" s="18" t="s">
        <v>192</v>
      </c>
      <c r="E43" s="32">
        <v>2000000</v>
      </c>
      <c r="F43" s="32">
        <v>-1983355.06</v>
      </c>
      <c r="G43" s="32">
        <v>0</v>
      </c>
      <c r="H43" s="32">
        <v>16235.41</v>
      </c>
      <c r="I43" s="32">
        <v>16235.41</v>
      </c>
      <c r="J43" s="32">
        <v>375552.98</v>
      </c>
      <c r="K43" s="32">
        <v>375552.98</v>
      </c>
      <c r="L43" s="32">
        <v>32880.35</v>
      </c>
      <c r="M43" s="32">
        <v>2157996.66</v>
      </c>
      <c r="N43" s="32">
        <v>2931.44</v>
      </c>
      <c r="O43" s="32">
        <v>0</v>
      </c>
      <c r="P43" s="32">
        <v>2160928.1</v>
      </c>
      <c r="S43" s="20">
        <f t="shared" si="0"/>
        <v>0.22145328719723184</v>
      </c>
      <c r="T43" s="37">
        <f t="shared" si="1"/>
        <v>0.22145329192822041</v>
      </c>
      <c r="U43" s="23">
        <f t="shared" si="2"/>
        <v>0</v>
      </c>
      <c r="W43" s="32">
        <f t="shared" si="3"/>
        <v>2000000</v>
      </c>
      <c r="X43" s="18" t="s">
        <v>193</v>
      </c>
      <c r="Y43" s="18">
        <f t="shared" si="4"/>
        <v>32880.35</v>
      </c>
      <c r="Z43" s="18" t="s">
        <v>194</v>
      </c>
      <c r="AA43" s="18" t="s">
        <v>194</v>
      </c>
      <c r="AB43" s="18" t="s">
        <v>194</v>
      </c>
      <c r="AC43" s="18" t="s">
        <v>194</v>
      </c>
      <c r="AD43" s="18" t="s">
        <v>194</v>
      </c>
    </row>
    <row r="44" spans="1:30">
      <c r="A44" s="18" t="s">
        <v>22</v>
      </c>
      <c r="B44" s="18" t="s">
        <v>277</v>
      </c>
      <c r="C44" s="18" t="s">
        <v>278</v>
      </c>
      <c r="D44" s="18" t="s">
        <v>192</v>
      </c>
      <c r="E44" s="32">
        <v>3037500</v>
      </c>
      <c r="F44" s="32">
        <v>-3012220.49</v>
      </c>
      <c r="G44" s="32">
        <v>0</v>
      </c>
      <c r="H44" s="32">
        <v>24657.53</v>
      </c>
      <c r="I44" s="32">
        <v>24657.53</v>
      </c>
      <c r="J44" s="32">
        <v>570371.09</v>
      </c>
      <c r="K44" s="32">
        <v>570371.09</v>
      </c>
      <c r="L44" s="32">
        <v>49937.04</v>
      </c>
      <c r="M44" s="32">
        <v>3277457.43</v>
      </c>
      <c r="N44" s="32">
        <v>4452.24</v>
      </c>
      <c r="O44" s="32">
        <v>0</v>
      </c>
      <c r="P44" s="32">
        <v>3281909.67</v>
      </c>
      <c r="S44" s="20">
        <f t="shared" si="0"/>
        <v>0.33633217993079584</v>
      </c>
      <c r="T44" s="37">
        <f t="shared" si="1"/>
        <v>0.3363321992215102</v>
      </c>
      <c r="U44" s="23">
        <f t="shared" si="2"/>
        <v>0</v>
      </c>
      <c r="W44" s="32">
        <f t="shared" si="3"/>
        <v>3037500</v>
      </c>
      <c r="X44" s="18" t="s">
        <v>193</v>
      </c>
      <c r="Y44" s="18">
        <f t="shared" si="4"/>
        <v>49937.04</v>
      </c>
      <c r="Z44" s="18" t="s">
        <v>194</v>
      </c>
      <c r="AA44" s="18" t="s">
        <v>194</v>
      </c>
      <c r="AB44" s="18" t="s">
        <v>194</v>
      </c>
      <c r="AC44" s="18" t="s">
        <v>194</v>
      </c>
      <c r="AD44" s="18" t="s">
        <v>194</v>
      </c>
    </row>
    <row r="45" spans="1:30">
      <c r="A45" s="18" t="s">
        <v>22</v>
      </c>
      <c r="B45" s="18" t="s">
        <v>279</v>
      </c>
      <c r="C45" s="18" t="s">
        <v>280</v>
      </c>
      <c r="D45" s="18" t="s">
        <v>192</v>
      </c>
      <c r="E45" s="32">
        <v>3750000</v>
      </c>
      <c r="F45" s="32">
        <v>-3718790.73</v>
      </c>
      <c r="G45" s="32">
        <v>0</v>
      </c>
      <c r="H45" s="32">
        <v>30441.4</v>
      </c>
      <c r="I45" s="32">
        <v>30441.4</v>
      </c>
      <c r="J45" s="32">
        <v>704161.85</v>
      </c>
      <c r="K45" s="32">
        <v>704161.85</v>
      </c>
      <c r="L45" s="32">
        <v>61650.67</v>
      </c>
      <c r="M45" s="32">
        <v>4046243.69</v>
      </c>
      <c r="N45" s="32">
        <v>5496.68</v>
      </c>
      <c r="O45" s="32">
        <v>0</v>
      </c>
      <c r="P45" s="32">
        <v>4051740.37</v>
      </c>
      <c r="S45" s="20">
        <f t="shared" si="0"/>
        <v>0.41522491349480967</v>
      </c>
      <c r="T45" s="37">
        <f t="shared" si="1"/>
        <v>0.41522494106812985</v>
      </c>
      <c r="U45" s="23">
        <f t="shared" si="2"/>
        <v>0</v>
      </c>
      <c r="W45" s="32">
        <f t="shared" si="3"/>
        <v>3750000</v>
      </c>
      <c r="X45" s="18" t="s">
        <v>193</v>
      </c>
      <c r="Y45" s="18">
        <f t="shared" si="4"/>
        <v>61650.67</v>
      </c>
      <c r="Z45" s="18" t="s">
        <v>194</v>
      </c>
      <c r="AA45" s="18" t="s">
        <v>194</v>
      </c>
      <c r="AB45" s="18" t="s">
        <v>194</v>
      </c>
      <c r="AC45" s="18" t="s">
        <v>194</v>
      </c>
      <c r="AD45" s="18" t="s">
        <v>194</v>
      </c>
    </row>
    <row r="46" spans="1:30">
      <c r="A46" s="18" t="s">
        <v>22</v>
      </c>
      <c r="B46" s="18" t="s">
        <v>281</v>
      </c>
      <c r="C46" s="18" t="s">
        <v>282</v>
      </c>
      <c r="D46" s="18" t="s">
        <v>192</v>
      </c>
      <c r="E46" s="32">
        <v>500000</v>
      </c>
      <c r="F46" s="32">
        <v>-495838.76</v>
      </c>
      <c r="G46" s="32">
        <v>0</v>
      </c>
      <c r="H46" s="32">
        <v>4058.85</v>
      </c>
      <c r="I46" s="32">
        <v>4058.85</v>
      </c>
      <c r="J46" s="32">
        <v>93888.24</v>
      </c>
      <c r="K46" s="32">
        <v>93888.24</v>
      </c>
      <c r="L46" s="32">
        <v>8220.09</v>
      </c>
      <c r="M46" s="32">
        <v>539499.16</v>
      </c>
      <c r="N46" s="32">
        <v>732.89</v>
      </c>
      <c r="O46" s="32">
        <v>0</v>
      </c>
      <c r="P46" s="32">
        <v>540232.05000000005</v>
      </c>
      <c r="S46" s="20">
        <f t="shared" si="0"/>
        <v>5.536332179930796E-2</v>
      </c>
      <c r="T46" s="37">
        <f t="shared" si="1"/>
        <v>5.5363325544071078E-2</v>
      </c>
      <c r="U46" s="23">
        <f t="shared" si="2"/>
        <v>0</v>
      </c>
      <c r="W46" s="32">
        <f t="shared" si="3"/>
        <v>500000</v>
      </c>
      <c r="X46" s="18" t="s">
        <v>193</v>
      </c>
      <c r="Y46" s="18">
        <f t="shared" si="4"/>
        <v>8220.09</v>
      </c>
      <c r="Z46" s="18" t="s">
        <v>194</v>
      </c>
      <c r="AA46" s="18" t="s">
        <v>194</v>
      </c>
      <c r="AB46" s="18" t="s">
        <v>194</v>
      </c>
      <c r="AC46" s="18" t="s">
        <v>194</v>
      </c>
      <c r="AD46" s="18" t="s">
        <v>194</v>
      </c>
    </row>
    <row r="47" spans="1:30">
      <c r="A47" s="18" t="s">
        <v>22</v>
      </c>
      <c r="B47" s="18" t="s">
        <v>283</v>
      </c>
      <c r="C47" s="18" t="s">
        <v>284</v>
      </c>
      <c r="D47" s="18" t="s">
        <v>192</v>
      </c>
      <c r="E47" s="32">
        <v>1000000</v>
      </c>
      <c r="F47" s="32">
        <v>-991677.53</v>
      </c>
      <c r="G47" s="32">
        <v>0</v>
      </c>
      <c r="H47" s="32">
        <v>8117.71</v>
      </c>
      <c r="I47" s="32">
        <v>8117.71</v>
      </c>
      <c r="J47" s="32">
        <v>187776.5</v>
      </c>
      <c r="K47" s="32">
        <v>187776.5</v>
      </c>
      <c r="L47" s="32">
        <v>16440.18</v>
      </c>
      <c r="M47" s="32">
        <v>1078998.31</v>
      </c>
      <c r="N47" s="32">
        <v>1465.71</v>
      </c>
      <c r="O47" s="32">
        <v>0</v>
      </c>
      <c r="P47" s="32">
        <v>1080464.02</v>
      </c>
      <c r="S47" s="20">
        <f t="shared" si="0"/>
        <v>0.11072664359861592</v>
      </c>
      <c r="T47" s="37">
        <f t="shared" si="1"/>
        <v>0.11072664288969104</v>
      </c>
      <c r="U47" s="23">
        <f t="shared" si="2"/>
        <v>0</v>
      </c>
      <c r="W47" s="32">
        <f t="shared" si="3"/>
        <v>1000000</v>
      </c>
      <c r="X47" s="18" t="s">
        <v>193</v>
      </c>
      <c r="Y47" s="18">
        <f t="shared" si="4"/>
        <v>16440.18</v>
      </c>
      <c r="Z47" s="18" t="s">
        <v>194</v>
      </c>
      <c r="AA47" s="18" t="s">
        <v>194</v>
      </c>
      <c r="AB47" s="18" t="s">
        <v>194</v>
      </c>
      <c r="AC47" s="18" t="s">
        <v>194</v>
      </c>
      <c r="AD47" s="18" t="s">
        <v>194</v>
      </c>
    </row>
    <row r="48" spans="1:30">
      <c r="A48" s="18" t="s">
        <v>22</v>
      </c>
      <c r="B48" s="18" t="s">
        <v>285</v>
      </c>
      <c r="C48" s="18" t="s">
        <v>286</v>
      </c>
      <c r="D48" s="18" t="s">
        <v>192</v>
      </c>
      <c r="E48" s="32">
        <v>20250000</v>
      </c>
      <c r="F48" s="32">
        <v>-20081469.989999998</v>
      </c>
      <c r="G48" s="32">
        <v>0</v>
      </c>
      <c r="H48" s="32">
        <v>164383.56</v>
      </c>
      <c r="I48" s="32">
        <v>164383.56</v>
      </c>
      <c r="J48" s="32">
        <v>3802473.95</v>
      </c>
      <c r="K48" s="32">
        <v>3802473.95</v>
      </c>
      <c r="L48" s="32">
        <v>332913.57</v>
      </c>
      <c r="M48" s="32">
        <v>21849716.120000001</v>
      </c>
      <c r="N48" s="32">
        <v>29681.59</v>
      </c>
      <c r="O48" s="32">
        <v>0</v>
      </c>
      <c r="P48" s="32">
        <v>21879397.710000001</v>
      </c>
      <c r="S48" s="20">
        <f t="shared" si="0"/>
        <v>2.2422145328719725</v>
      </c>
      <c r="T48" s="37">
        <f t="shared" si="1"/>
        <v>2.2422146522534772</v>
      </c>
      <c r="U48" s="23">
        <f t="shared" si="2"/>
        <v>0</v>
      </c>
      <c r="W48" s="32">
        <f t="shared" si="3"/>
        <v>20250000</v>
      </c>
      <c r="X48" s="18" t="s">
        <v>193</v>
      </c>
      <c r="Y48" s="18">
        <f t="shared" si="4"/>
        <v>332913.57</v>
      </c>
      <c r="Z48" s="18" t="s">
        <v>194</v>
      </c>
      <c r="AA48" s="18" t="s">
        <v>194</v>
      </c>
      <c r="AB48" s="18" t="s">
        <v>194</v>
      </c>
      <c r="AC48" s="18" t="s">
        <v>194</v>
      </c>
      <c r="AD48" s="18" t="s">
        <v>194</v>
      </c>
    </row>
    <row r="49" spans="1:30">
      <c r="A49" s="18" t="s">
        <v>22</v>
      </c>
      <c r="B49" s="18" t="s">
        <v>287</v>
      </c>
      <c r="C49" s="18" t="s">
        <v>288</v>
      </c>
      <c r="D49" s="18" t="s">
        <v>192</v>
      </c>
      <c r="E49" s="32">
        <v>10000000</v>
      </c>
      <c r="F49" s="32">
        <v>-9916775.3100000005</v>
      </c>
      <c r="G49" s="32">
        <v>0</v>
      </c>
      <c r="H49" s="32">
        <v>81177.070000000007</v>
      </c>
      <c r="I49" s="32">
        <v>81177.070000000007</v>
      </c>
      <c r="J49" s="32">
        <v>1877764.91</v>
      </c>
      <c r="K49" s="32">
        <v>1877764.91</v>
      </c>
      <c r="L49" s="32">
        <v>164401.76</v>
      </c>
      <c r="M49" s="32">
        <v>10789983.26</v>
      </c>
      <c r="N49" s="32">
        <v>14657.6</v>
      </c>
      <c r="O49" s="32">
        <v>0</v>
      </c>
      <c r="P49" s="32">
        <v>10804640.859999999</v>
      </c>
      <c r="S49" s="20">
        <f t="shared" si="0"/>
        <v>1.1072664359861593</v>
      </c>
      <c r="T49" s="37">
        <f t="shared" si="1"/>
        <v>1.1072664965341319</v>
      </c>
      <c r="U49" s="23">
        <f t="shared" si="2"/>
        <v>0</v>
      </c>
      <c r="W49" s="32">
        <f t="shared" si="3"/>
        <v>10000000</v>
      </c>
      <c r="X49" s="18" t="s">
        <v>193</v>
      </c>
      <c r="Y49" s="18">
        <f t="shared" si="4"/>
        <v>164401.76</v>
      </c>
      <c r="Z49" s="18" t="s">
        <v>194</v>
      </c>
      <c r="AA49" s="18" t="s">
        <v>194</v>
      </c>
      <c r="AB49" s="18" t="s">
        <v>194</v>
      </c>
      <c r="AC49" s="18" t="s">
        <v>194</v>
      </c>
      <c r="AD49" s="18" t="s">
        <v>194</v>
      </c>
    </row>
    <row r="50" spans="1:30">
      <c r="A50" s="18" t="s">
        <v>22</v>
      </c>
      <c r="B50" s="18" t="s">
        <v>289</v>
      </c>
      <c r="C50" s="18" t="s">
        <v>290</v>
      </c>
      <c r="D50" s="18" t="s">
        <v>213</v>
      </c>
      <c r="E50" s="32">
        <v>0</v>
      </c>
      <c r="F50" s="32">
        <v>0</v>
      </c>
      <c r="G50" s="32">
        <v>0</v>
      </c>
      <c r="H50" s="32">
        <v>0</v>
      </c>
      <c r="I50" s="32">
        <v>0</v>
      </c>
      <c r="J50" s="32">
        <v>0</v>
      </c>
      <c r="K50" s="32">
        <v>0</v>
      </c>
      <c r="L50" s="32">
        <v>0</v>
      </c>
      <c r="M50" s="32">
        <v>0</v>
      </c>
      <c r="N50" s="32">
        <v>0</v>
      </c>
      <c r="O50" s="32">
        <v>0</v>
      </c>
      <c r="P50" s="32">
        <v>0</v>
      </c>
      <c r="S50" s="20">
        <f t="shared" si="0"/>
        <v>0</v>
      </c>
      <c r="T50" s="37">
        <f t="shared" si="1"/>
        <v>0</v>
      </c>
      <c r="U50" s="23">
        <f t="shared" si="2"/>
        <v>0</v>
      </c>
      <c r="W50" s="32">
        <f t="shared" si="3"/>
        <v>0</v>
      </c>
      <c r="X50" s="18" t="s">
        <v>193</v>
      </c>
      <c r="Y50" s="18">
        <f t="shared" si="4"/>
        <v>0</v>
      </c>
      <c r="Z50" s="18" t="s">
        <v>194</v>
      </c>
      <c r="AA50" s="18" t="s">
        <v>194</v>
      </c>
      <c r="AB50" s="18" t="s">
        <v>194</v>
      </c>
      <c r="AC50" s="18" t="s">
        <v>194</v>
      </c>
      <c r="AD50" s="18" t="s">
        <v>194</v>
      </c>
    </row>
    <row r="51" spans="1:30">
      <c r="A51" s="18" t="s">
        <v>22</v>
      </c>
      <c r="B51" s="18" t="s">
        <v>291</v>
      </c>
      <c r="C51" s="18" t="s">
        <v>292</v>
      </c>
      <c r="D51" s="18" t="s">
        <v>192</v>
      </c>
      <c r="E51" s="32">
        <v>5000000</v>
      </c>
      <c r="F51" s="32">
        <v>-4958387.6500000004</v>
      </c>
      <c r="G51" s="32">
        <v>0</v>
      </c>
      <c r="H51" s="32">
        <v>40588.53</v>
      </c>
      <c r="I51" s="32">
        <v>40588.53</v>
      </c>
      <c r="J51" s="32">
        <v>938882.45</v>
      </c>
      <c r="K51" s="32">
        <v>938882.45</v>
      </c>
      <c r="L51" s="32">
        <v>82200.88</v>
      </c>
      <c r="M51" s="32">
        <v>5394991.6399999997</v>
      </c>
      <c r="N51" s="32">
        <v>7328.76</v>
      </c>
      <c r="O51" s="32">
        <v>0</v>
      </c>
      <c r="P51" s="32">
        <v>5402320.4000000004</v>
      </c>
      <c r="S51" s="20">
        <f t="shared" si="0"/>
        <v>0.55363321799307963</v>
      </c>
      <c r="T51" s="37">
        <f t="shared" si="1"/>
        <v>0.55363324519264689</v>
      </c>
      <c r="U51" s="23">
        <f t="shared" si="2"/>
        <v>0</v>
      </c>
      <c r="W51" s="32">
        <f t="shared" si="3"/>
        <v>5000000</v>
      </c>
      <c r="X51" s="18" t="s">
        <v>193</v>
      </c>
      <c r="Y51" s="18">
        <f t="shared" si="4"/>
        <v>82200.88</v>
      </c>
      <c r="Z51" s="18" t="s">
        <v>194</v>
      </c>
      <c r="AA51" s="18" t="s">
        <v>194</v>
      </c>
      <c r="AB51" s="18" t="s">
        <v>194</v>
      </c>
      <c r="AC51" s="18" t="s">
        <v>194</v>
      </c>
      <c r="AD51" s="18" t="s">
        <v>194</v>
      </c>
    </row>
    <row r="52" spans="1:30">
      <c r="A52" s="18" t="s">
        <v>22</v>
      </c>
      <c r="B52" s="18" t="s">
        <v>293</v>
      </c>
      <c r="C52" s="18" t="s">
        <v>294</v>
      </c>
      <c r="D52" s="18" t="s">
        <v>192</v>
      </c>
      <c r="E52" s="32">
        <v>1500000</v>
      </c>
      <c r="F52" s="32">
        <v>-1487516.29</v>
      </c>
      <c r="G52" s="32">
        <v>0</v>
      </c>
      <c r="H52" s="32">
        <v>12176.56</v>
      </c>
      <c r="I52" s="32">
        <v>12176.56</v>
      </c>
      <c r="J52" s="32">
        <v>281664.74</v>
      </c>
      <c r="K52" s="32">
        <v>281664.74</v>
      </c>
      <c r="L52" s="32">
        <v>24660.27</v>
      </c>
      <c r="M52" s="32">
        <v>1618497.48</v>
      </c>
      <c r="N52" s="32">
        <v>2198.6</v>
      </c>
      <c r="O52" s="32">
        <v>0</v>
      </c>
      <c r="P52" s="32">
        <v>1620696.08</v>
      </c>
      <c r="S52" s="20">
        <f t="shared" si="0"/>
        <v>0.16608996539792387</v>
      </c>
      <c r="T52" s="37">
        <f t="shared" si="1"/>
        <v>0.16608996945856852</v>
      </c>
      <c r="U52" s="23">
        <f t="shared" si="2"/>
        <v>0</v>
      </c>
      <c r="W52" s="32">
        <f t="shared" si="3"/>
        <v>1500000</v>
      </c>
      <c r="X52" s="18" t="s">
        <v>193</v>
      </c>
      <c r="Y52" s="18">
        <f t="shared" si="4"/>
        <v>24660.27</v>
      </c>
      <c r="Z52" s="18" t="s">
        <v>194</v>
      </c>
      <c r="AA52" s="18" t="s">
        <v>194</v>
      </c>
      <c r="AB52" s="18" t="s">
        <v>194</v>
      </c>
      <c r="AC52" s="18" t="s">
        <v>194</v>
      </c>
      <c r="AD52" s="18" t="s">
        <v>194</v>
      </c>
    </row>
    <row r="53" spans="1:30">
      <c r="A53" s="18" t="s">
        <v>22</v>
      </c>
      <c r="B53" s="18" t="s">
        <v>295</v>
      </c>
      <c r="C53" s="18" t="s">
        <v>296</v>
      </c>
      <c r="D53" s="18" t="s">
        <v>192</v>
      </c>
      <c r="E53" s="32">
        <v>1000000</v>
      </c>
      <c r="F53" s="32">
        <v>-991677.53</v>
      </c>
      <c r="G53" s="32">
        <v>0</v>
      </c>
      <c r="H53" s="32">
        <v>8117.71</v>
      </c>
      <c r="I53" s="32">
        <v>8117.71</v>
      </c>
      <c r="J53" s="32">
        <v>187776.5</v>
      </c>
      <c r="K53" s="32">
        <v>187776.5</v>
      </c>
      <c r="L53" s="32">
        <v>16440.18</v>
      </c>
      <c r="M53" s="32">
        <v>1078998.31</v>
      </c>
      <c r="N53" s="32">
        <v>1465.71</v>
      </c>
      <c r="O53" s="32">
        <v>0</v>
      </c>
      <c r="P53" s="32">
        <v>1080464.02</v>
      </c>
      <c r="S53" s="20">
        <f t="shared" si="0"/>
        <v>0.11072664359861592</v>
      </c>
      <c r="T53" s="37">
        <f t="shared" si="1"/>
        <v>0.11072664288969104</v>
      </c>
      <c r="U53" s="23">
        <f t="shared" si="2"/>
        <v>0</v>
      </c>
      <c r="W53" s="32">
        <f t="shared" si="3"/>
        <v>1000000</v>
      </c>
      <c r="X53" s="18" t="s">
        <v>193</v>
      </c>
      <c r="Y53" s="18">
        <f t="shared" si="4"/>
        <v>16440.18</v>
      </c>
      <c r="Z53" s="18" t="s">
        <v>194</v>
      </c>
      <c r="AA53" s="18" t="s">
        <v>194</v>
      </c>
      <c r="AB53" s="18" t="s">
        <v>194</v>
      </c>
      <c r="AC53" s="18" t="s">
        <v>194</v>
      </c>
      <c r="AD53" s="18" t="s">
        <v>194</v>
      </c>
    </row>
  </sheetData>
  <autoFilter ref="S2:U53" xr:uid="{C103406D-458B-4FB4-9920-7BABF1F7C50A}"/>
  <mergeCells count="1">
    <mergeCell ref="W1:AD1"/>
  </mergeCells>
  <pageMargins left="0.7" right="0.7" top="0.75" bottom="0.75" header="0.3" footer="0.3"/>
  <ignoredErrors>
    <ignoredError sqref="W3:AC53" unlocked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9C19C-0FB4-48DB-825C-7646590429AF}">
  <dimension ref="A1:N3"/>
  <sheetViews>
    <sheetView workbookViewId="0">
      <selection activeCell="D14" sqref="D14"/>
    </sheetView>
  </sheetViews>
  <sheetFormatPr defaultRowHeight="15"/>
  <cols>
    <col min="1" max="1" width="24.7109375" bestFit="1" customWidth="1"/>
    <col min="2" max="2" width="18.5703125" bestFit="1" customWidth="1"/>
    <col min="3" max="3" width="23" bestFit="1" customWidth="1"/>
    <col min="4" max="4" width="12.85546875" bestFit="1" customWidth="1"/>
    <col min="5" max="5" width="19" bestFit="1" customWidth="1"/>
    <col min="6" max="6" width="17.42578125" bestFit="1" customWidth="1"/>
    <col min="7" max="11" width="3.7109375" bestFit="1" customWidth="1"/>
    <col min="12" max="12" width="12" bestFit="1" customWidth="1"/>
    <col min="13" max="13" width="17.28515625" bestFit="1" customWidth="1"/>
    <col min="14" max="14" width="17.42578125" bestFit="1" customWidth="1"/>
  </cols>
  <sheetData>
    <row r="1" spans="1:14">
      <c r="A1" t="s">
        <v>21</v>
      </c>
      <c r="B1" t="s">
        <v>297</v>
      </c>
      <c r="C1" t="s">
        <v>298</v>
      </c>
      <c r="D1" t="s">
        <v>299</v>
      </c>
      <c r="E1" t="s">
        <v>300</v>
      </c>
      <c r="F1" t="s">
        <v>301</v>
      </c>
      <c r="G1">
        <v>-49</v>
      </c>
      <c r="H1">
        <v>-25</v>
      </c>
      <c r="I1">
        <v>-70</v>
      </c>
      <c r="J1">
        <v>-71</v>
      </c>
      <c r="K1">
        <v>-28</v>
      </c>
      <c r="L1">
        <v>-82</v>
      </c>
      <c r="M1" t="s">
        <v>302</v>
      </c>
      <c r="N1" t="s">
        <v>303</v>
      </c>
    </row>
    <row r="2" spans="1:14">
      <c r="A2" t="s">
        <v>22</v>
      </c>
      <c r="B2" t="s">
        <v>304</v>
      </c>
      <c r="C2" t="s">
        <v>305</v>
      </c>
      <c r="D2">
        <v>64759851.170000002</v>
      </c>
      <c r="E2">
        <v>497910140.51999998</v>
      </c>
      <c r="F2">
        <v>650119151.49000001</v>
      </c>
      <c r="G2">
        <v>0</v>
      </c>
      <c r="H2">
        <v>0</v>
      </c>
      <c r="I2">
        <v>0</v>
      </c>
      <c r="J2">
        <v>0</v>
      </c>
      <c r="K2">
        <v>0</v>
      </c>
      <c r="L2">
        <v>522289.21</v>
      </c>
      <c r="M2">
        <v>497910140.51999998</v>
      </c>
      <c r="N2" s="46">
        <v>650641440.70000005</v>
      </c>
    </row>
    <row r="3" spans="1:14">
      <c r="A3" t="s">
        <v>22</v>
      </c>
      <c r="B3" t="s">
        <v>304</v>
      </c>
      <c r="C3" t="s">
        <v>306</v>
      </c>
      <c r="D3">
        <v>244376.79</v>
      </c>
      <c r="E3">
        <v>237045492.96000001</v>
      </c>
      <c r="F3">
        <v>313614106.86000001</v>
      </c>
      <c r="G3">
        <v>0</v>
      </c>
      <c r="H3">
        <v>0</v>
      </c>
      <c r="I3">
        <v>0</v>
      </c>
      <c r="J3">
        <v>0</v>
      </c>
      <c r="K3">
        <v>0</v>
      </c>
      <c r="L3">
        <v>10214815.99</v>
      </c>
      <c r="M3">
        <v>237045492.96000001</v>
      </c>
      <c r="N3" s="46">
        <v>323828922.85000002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BEC37-26C3-4504-B57B-51FF713DC668}">
  <dimension ref="A1:K5000"/>
  <sheetViews>
    <sheetView workbookViewId="0"/>
  </sheetViews>
  <sheetFormatPr defaultRowHeight="15"/>
  <cols>
    <col min="1" max="1" width="24.7109375" bestFit="1" customWidth="1"/>
    <col min="2" max="2" width="10.7109375" bestFit="1" customWidth="1"/>
    <col min="3" max="3" width="47.28515625" bestFit="1" customWidth="1"/>
    <col min="4" max="4" width="50.7109375" bestFit="1" customWidth="1"/>
    <col min="5" max="5" width="16.85546875" bestFit="1" customWidth="1"/>
    <col min="6" max="6" width="30.140625" bestFit="1" customWidth="1"/>
    <col min="7" max="7" width="10.7109375" bestFit="1" customWidth="1"/>
    <col min="8" max="8" width="21.42578125" bestFit="1" customWidth="1"/>
    <col min="11" max="11" width="13.85546875" style="28" bestFit="1" customWidth="1"/>
  </cols>
  <sheetData>
    <row r="1" spans="1:11">
      <c r="A1" t="s">
        <v>21</v>
      </c>
      <c r="B1" t="s">
        <v>307</v>
      </c>
      <c r="C1" t="s">
        <v>308</v>
      </c>
      <c r="D1" t="s">
        <v>309</v>
      </c>
      <c r="E1" t="s">
        <v>310</v>
      </c>
      <c r="F1" t="s">
        <v>36</v>
      </c>
      <c r="G1" t="s">
        <v>307</v>
      </c>
      <c r="H1" t="s">
        <v>311</v>
      </c>
    </row>
    <row r="2" spans="1:11">
      <c r="A2" t="s">
        <v>22</v>
      </c>
      <c r="B2" s="10">
        <v>44998</v>
      </c>
      <c r="C2" t="s">
        <v>312</v>
      </c>
      <c r="E2" s="52">
        <v>-101250000</v>
      </c>
      <c r="F2" t="s">
        <v>313</v>
      </c>
      <c r="G2" s="10">
        <v>44998</v>
      </c>
      <c r="K2" s="28" t="str">
        <f t="shared" ref="K2:K65" si="0">"Quarter "&amp;INT((MONTH(B2)-1)/3)+1&amp;" "&amp;YEAR(B2)</f>
        <v>Quarter 1 2023</v>
      </c>
    </row>
    <row r="3" spans="1:11">
      <c r="A3" t="s">
        <v>22</v>
      </c>
      <c r="B3" s="10">
        <v>45079</v>
      </c>
      <c r="C3" t="s">
        <v>312</v>
      </c>
      <c r="E3" s="52">
        <v>-169687500</v>
      </c>
      <c r="F3" t="s">
        <v>313</v>
      </c>
      <c r="G3" s="10">
        <v>45079</v>
      </c>
      <c r="K3" s="28" t="str">
        <f t="shared" si="0"/>
        <v>Quarter 2 2023</v>
      </c>
    </row>
    <row r="4" spans="1:11">
      <c r="A4" t="s">
        <v>22</v>
      </c>
      <c r="B4" s="10">
        <v>45089</v>
      </c>
      <c r="C4" t="s">
        <v>312</v>
      </c>
      <c r="E4" s="52">
        <v>-220600000</v>
      </c>
      <c r="F4" t="s">
        <v>313</v>
      </c>
      <c r="G4" s="10">
        <v>45089</v>
      </c>
      <c r="K4" s="28" t="str">
        <f t="shared" si="0"/>
        <v>Quarter 2 2023</v>
      </c>
    </row>
    <row r="5" spans="1:11">
      <c r="A5" t="s">
        <v>22</v>
      </c>
      <c r="B5" s="10">
        <v>45114</v>
      </c>
      <c r="C5" t="s">
        <v>312</v>
      </c>
      <c r="E5" s="52">
        <v>-118381250</v>
      </c>
      <c r="F5" t="s">
        <v>313</v>
      </c>
      <c r="G5" s="10">
        <v>45114</v>
      </c>
      <c r="K5" s="28" t="str">
        <f t="shared" si="0"/>
        <v>Quarter 3 2023</v>
      </c>
    </row>
    <row r="6" spans="1:11">
      <c r="A6" t="s">
        <v>22</v>
      </c>
      <c r="B6" s="10">
        <v>45121</v>
      </c>
      <c r="C6" t="s">
        <v>312</v>
      </c>
      <c r="E6" s="52">
        <v>-52931250</v>
      </c>
      <c r="F6" t="s">
        <v>313</v>
      </c>
      <c r="G6" s="10">
        <v>45121</v>
      </c>
      <c r="K6" s="28" t="str">
        <f t="shared" si="0"/>
        <v>Quarter 3 2023</v>
      </c>
    </row>
    <row r="7" spans="1:11">
      <c r="A7" t="s">
        <v>22</v>
      </c>
      <c r="B7" s="10">
        <v>45124</v>
      </c>
      <c r="C7" t="s">
        <v>312</v>
      </c>
      <c r="E7" s="52">
        <v>-50000000</v>
      </c>
      <c r="F7" t="s">
        <v>313</v>
      </c>
      <c r="G7" s="10">
        <v>45124</v>
      </c>
      <c r="K7" s="28" t="str">
        <f t="shared" si="0"/>
        <v>Quarter 3 2023</v>
      </c>
    </row>
    <row r="8" spans="1:11">
      <c r="A8" t="s">
        <v>22</v>
      </c>
      <c r="B8" s="10">
        <v>45135</v>
      </c>
      <c r="C8" t="s">
        <v>314</v>
      </c>
      <c r="D8" t="s">
        <v>135</v>
      </c>
      <c r="E8" s="52">
        <v>-704049382.67999995</v>
      </c>
      <c r="F8" t="s">
        <v>313</v>
      </c>
      <c r="G8" s="10">
        <v>45135</v>
      </c>
      <c r="K8" s="28" t="str">
        <f t="shared" si="0"/>
        <v>Quarter 3 2023</v>
      </c>
    </row>
    <row r="9" spans="1:11">
      <c r="A9" t="s">
        <v>22</v>
      </c>
      <c r="B9" s="10">
        <v>45135</v>
      </c>
      <c r="C9" t="s">
        <v>315</v>
      </c>
      <c r="D9" t="s">
        <v>140</v>
      </c>
      <c r="E9" s="52">
        <v>-500000</v>
      </c>
      <c r="F9" t="s">
        <v>316</v>
      </c>
      <c r="G9" s="10">
        <v>45135</v>
      </c>
      <c r="K9" s="28" t="str">
        <f t="shared" si="0"/>
        <v>Quarter 3 2023</v>
      </c>
    </row>
    <row r="10" spans="1:11">
      <c r="A10" t="s">
        <v>22</v>
      </c>
      <c r="B10" s="10">
        <v>45135</v>
      </c>
      <c r="C10" t="s">
        <v>317</v>
      </c>
      <c r="D10" t="s">
        <v>87</v>
      </c>
      <c r="E10" s="52">
        <v>704549382.67999995</v>
      </c>
      <c r="F10" t="s">
        <v>318</v>
      </c>
      <c r="G10" s="10">
        <v>45135</v>
      </c>
      <c r="K10" s="28" t="str">
        <f t="shared" si="0"/>
        <v>Quarter 3 2023</v>
      </c>
    </row>
    <row r="11" spans="1:11">
      <c r="A11" t="s">
        <v>22</v>
      </c>
      <c r="B11" s="10">
        <v>45135</v>
      </c>
      <c r="C11" t="s">
        <v>312</v>
      </c>
      <c r="E11" s="52">
        <v>-38400000</v>
      </c>
      <c r="F11" t="s">
        <v>313</v>
      </c>
      <c r="G11" s="10">
        <v>45135</v>
      </c>
      <c r="K11" s="28" t="str">
        <f t="shared" si="0"/>
        <v>Quarter 3 2023</v>
      </c>
    </row>
    <row r="12" spans="1:11">
      <c r="A12" t="s">
        <v>22</v>
      </c>
      <c r="B12" s="10">
        <v>45139</v>
      </c>
      <c r="C12" t="s">
        <v>319</v>
      </c>
      <c r="D12" t="s">
        <v>87</v>
      </c>
      <c r="E12" s="52">
        <v>-698262200.75999999</v>
      </c>
      <c r="F12" t="s">
        <v>318</v>
      </c>
      <c r="G12" s="10">
        <v>45139</v>
      </c>
      <c r="K12" s="28" t="str">
        <f t="shared" si="0"/>
        <v>Quarter 3 2023</v>
      </c>
    </row>
    <row r="13" spans="1:11">
      <c r="A13" t="s">
        <v>22</v>
      </c>
      <c r="B13" s="10">
        <v>45139</v>
      </c>
      <c r="C13" t="s">
        <v>317</v>
      </c>
      <c r="D13" t="s">
        <v>87</v>
      </c>
      <c r="E13" s="52">
        <v>324461.59999999998</v>
      </c>
      <c r="F13" t="s">
        <v>318</v>
      </c>
      <c r="G13" s="10">
        <v>45139</v>
      </c>
      <c r="K13" s="28" t="str">
        <f t="shared" si="0"/>
        <v>Quarter 3 2023</v>
      </c>
    </row>
    <row r="14" spans="1:11">
      <c r="A14" t="s">
        <v>22</v>
      </c>
      <c r="B14" s="10">
        <v>45139</v>
      </c>
      <c r="C14" t="s">
        <v>320</v>
      </c>
      <c r="D14" t="s">
        <v>156</v>
      </c>
      <c r="E14" s="52">
        <v>-324461.59999999998</v>
      </c>
      <c r="F14" t="s">
        <v>321</v>
      </c>
      <c r="G14" s="10">
        <v>45139</v>
      </c>
      <c r="H14" t="s">
        <v>17</v>
      </c>
      <c r="K14" s="28" t="str">
        <f t="shared" si="0"/>
        <v>Quarter 3 2023</v>
      </c>
    </row>
    <row r="15" spans="1:11">
      <c r="A15" t="s">
        <v>22</v>
      </c>
      <c r="B15" s="10">
        <v>45139</v>
      </c>
      <c r="C15" t="s">
        <v>322</v>
      </c>
      <c r="D15" t="s">
        <v>116</v>
      </c>
      <c r="E15" s="52">
        <v>-188463625.36000001</v>
      </c>
      <c r="F15" t="s">
        <v>316</v>
      </c>
      <c r="G15" s="10">
        <v>45139</v>
      </c>
      <c r="K15" s="28" t="str">
        <f t="shared" si="0"/>
        <v>Quarter 3 2023</v>
      </c>
    </row>
    <row r="16" spans="1:11">
      <c r="A16" t="s">
        <v>22</v>
      </c>
      <c r="B16" s="10">
        <v>45139</v>
      </c>
      <c r="C16" t="s">
        <v>323</v>
      </c>
      <c r="D16" t="s">
        <v>97</v>
      </c>
      <c r="E16" s="52">
        <v>886725826.12</v>
      </c>
      <c r="F16" t="s">
        <v>324</v>
      </c>
      <c r="G16" s="10">
        <v>45139</v>
      </c>
      <c r="K16" s="28" t="str">
        <f t="shared" si="0"/>
        <v>Quarter 3 2023</v>
      </c>
    </row>
    <row r="17" spans="1:11">
      <c r="A17" t="s">
        <v>22</v>
      </c>
      <c r="B17" s="10">
        <v>45142</v>
      </c>
      <c r="C17" t="s">
        <v>314</v>
      </c>
      <c r="D17" t="s">
        <v>135</v>
      </c>
      <c r="E17" s="52">
        <v>-37925925.920000002</v>
      </c>
      <c r="F17" t="s">
        <v>313</v>
      </c>
      <c r="G17" s="10">
        <v>45142</v>
      </c>
      <c r="K17" s="28" t="str">
        <f t="shared" si="0"/>
        <v>Quarter 3 2023</v>
      </c>
    </row>
    <row r="18" spans="1:11">
      <c r="A18" t="s">
        <v>22</v>
      </c>
      <c r="B18" s="10">
        <v>45142</v>
      </c>
      <c r="C18" t="s">
        <v>315</v>
      </c>
      <c r="D18" t="s">
        <v>140</v>
      </c>
      <c r="E18" s="52">
        <v>-26934.14</v>
      </c>
      <c r="F18" t="s">
        <v>313</v>
      </c>
      <c r="G18" s="10">
        <v>45142</v>
      </c>
      <c r="K18" s="28" t="str">
        <f t="shared" si="0"/>
        <v>Quarter 3 2023</v>
      </c>
    </row>
    <row r="19" spans="1:11">
      <c r="A19" t="s">
        <v>22</v>
      </c>
      <c r="B19" s="10">
        <v>45142</v>
      </c>
      <c r="C19" t="s">
        <v>317</v>
      </c>
      <c r="D19" t="s">
        <v>87</v>
      </c>
      <c r="E19" s="52">
        <v>37952860.060000002</v>
      </c>
      <c r="F19" t="s">
        <v>318</v>
      </c>
      <c r="G19" s="10">
        <v>45142</v>
      </c>
      <c r="K19" s="28" t="str">
        <f t="shared" si="0"/>
        <v>Quarter 3 2023</v>
      </c>
    </row>
    <row r="20" spans="1:11">
      <c r="A20" t="s">
        <v>22</v>
      </c>
      <c r="B20" s="10">
        <v>45149</v>
      </c>
      <c r="C20" t="s">
        <v>312</v>
      </c>
      <c r="E20" s="52">
        <v>-151875000</v>
      </c>
      <c r="F20" t="s">
        <v>313</v>
      </c>
      <c r="G20" s="10">
        <v>45149</v>
      </c>
      <c r="K20" s="28" t="str">
        <f t="shared" si="0"/>
        <v>Quarter 3 2023</v>
      </c>
    </row>
    <row r="21" spans="1:11">
      <c r="A21" t="s">
        <v>22</v>
      </c>
      <c r="B21" s="10">
        <v>45153</v>
      </c>
      <c r="C21" t="s">
        <v>314</v>
      </c>
      <c r="D21" t="s">
        <v>135</v>
      </c>
      <c r="E21" s="52">
        <v>-148767123.28999999</v>
      </c>
      <c r="F21" t="s">
        <v>313</v>
      </c>
      <c r="G21" s="10">
        <v>45153</v>
      </c>
      <c r="K21" s="28" t="str">
        <f t="shared" si="0"/>
        <v>Quarter 3 2023</v>
      </c>
    </row>
    <row r="22" spans="1:11">
      <c r="A22" t="s">
        <v>22</v>
      </c>
      <c r="B22" s="10">
        <v>45153</v>
      </c>
      <c r="C22" t="s">
        <v>315</v>
      </c>
      <c r="D22" t="s">
        <v>140</v>
      </c>
      <c r="E22" s="52">
        <v>-106526.62</v>
      </c>
      <c r="F22" t="s">
        <v>313</v>
      </c>
      <c r="G22" s="10">
        <v>45153</v>
      </c>
      <c r="K22" s="28" t="str">
        <f t="shared" si="0"/>
        <v>Quarter 3 2023</v>
      </c>
    </row>
    <row r="23" spans="1:11">
      <c r="A23" t="s">
        <v>22</v>
      </c>
      <c r="B23" s="10">
        <v>45153</v>
      </c>
      <c r="C23" t="s">
        <v>319</v>
      </c>
      <c r="D23" t="s">
        <v>87</v>
      </c>
      <c r="E23" s="52">
        <v>-188463625.36000001</v>
      </c>
      <c r="F23" t="s">
        <v>318</v>
      </c>
      <c r="G23" s="10">
        <v>45153</v>
      </c>
      <c r="K23" s="28" t="str">
        <f t="shared" si="0"/>
        <v>Quarter 3 2023</v>
      </c>
    </row>
    <row r="24" spans="1:11">
      <c r="A24" t="s">
        <v>22</v>
      </c>
      <c r="B24" s="10">
        <v>45153</v>
      </c>
      <c r="C24" t="s">
        <v>317</v>
      </c>
      <c r="D24" t="s">
        <v>87</v>
      </c>
      <c r="E24" s="52">
        <v>148873649.91</v>
      </c>
      <c r="F24" t="s">
        <v>318</v>
      </c>
      <c r="G24" s="10">
        <v>45153</v>
      </c>
      <c r="K24" s="28" t="str">
        <f t="shared" si="0"/>
        <v>Quarter 3 2023</v>
      </c>
    </row>
    <row r="25" spans="1:11">
      <c r="A25" t="s">
        <v>22</v>
      </c>
      <c r="B25" s="10">
        <v>45153</v>
      </c>
      <c r="C25" t="s">
        <v>322</v>
      </c>
      <c r="D25" t="s">
        <v>116</v>
      </c>
      <c r="E25" s="52">
        <v>188463625.36000001</v>
      </c>
      <c r="F25" t="s">
        <v>313</v>
      </c>
      <c r="G25" s="10">
        <v>45153</v>
      </c>
      <c r="K25" s="28" t="str">
        <f t="shared" si="0"/>
        <v>Quarter 3 2023</v>
      </c>
    </row>
    <row r="26" spans="1:11">
      <c r="A26" t="s">
        <v>22</v>
      </c>
      <c r="B26" s="10">
        <v>45173</v>
      </c>
      <c r="C26" t="s">
        <v>317</v>
      </c>
      <c r="D26" t="s">
        <v>87</v>
      </c>
      <c r="E26" s="52">
        <v>4076.86</v>
      </c>
      <c r="F26" t="s">
        <v>318</v>
      </c>
      <c r="G26" s="10">
        <v>45173</v>
      </c>
      <c r="K26" s="28" t="str">
        <f t="shared" si="0"/>
        <v>Quarter 3 2023</v>
      </c>
    </row>
    <row r="27" spans="1:11">
      <c r="A27" t="s">
        <v>22</v>
      </c>
      <c r="B27" s="10">
        <v>45173</v>
      </c>
      <c r="C27" t="s">
        <v>320</v>
      </c>
      <c r="D27" t="s">
        <v>156</v>
      </c>
      <c r="E27" s="52">
        <v>-4076.86</v>
      </c>
      <c r="F27" t="s">
        <v>321</v>
      </c>
      <c r="G27" s="10">
        <v>45173</v>
      </c>
      <c r="H27" t="s">
        <v>17</v>
      </c>
      <c r="K27" s="28" t="str">
        <f t="shared" si="0"/>
        <v>Quarter 3 2023</v>
      </c>
    </row>
    <row r="28" spans="1:11">
      <c r="A28" t="s">
        <v>22</v>
      </c>
      <c r="B28" s="10">
        <v>45174</v>
      </c>
      <c r="C28" t="s">
        <v>319</v>
      </c>
      <c r="D28" t="s">
        <v>87</v>
      </c>
      <c r="E28" s="52">
        <v>-884644004.71000004</v>
      </c>
      <c r="F28" t="s">
        <v>318</v>
      </c>
      <c r="G28" s="10">
        <v>45174</v>
      </c>
      <c r="K28" s="28" t="str">
        <f t="shared" si="0"/>
        <v>Quarter 3 2023</v>
      </c>
    </row>
    <row r="29" spans="1:11">
      <c r="A29" t="s">
        <v>22</v>
      </c>
      <c r="B29" s="10">
        <v>45174</v>
      </c>
      <c r="C29" t="s">
        <v>317</v>
      </c>
      <c r="D29" t="s">
        <v>87</v>
      </c>
      <c r="E29" s="52">
        <v>886725826.12</v>
      </c>
      <c r="F29" t="s">
        <v>318</v>
      </c>
      <c r="G29" s="10">
        <v>45174</v>
      </c>
      <c r="K29" s="28" t="str">
        <f t="shared" si="0"/>
        <v>Quarter 3 2023</v>
      </c>
    </row>
    <row r="30" spans="1:11">
      <c r="A30" t="s">
        <v>22</v>
      </c>
      <c r="B30" s="10">
        <v>45174</v>
      </c>
      <c r="C30" t="s">
        <v>323</v>
      </c>
      <c r="D30" t="s">
        <v>97</v>
      </c>
      <c r="E30" s="52">
        <v>-2081821.41</v>
      </c>
      <c r="F30" t="s">
        <v>313</v>
      </c>
      <c r="G30" s="10">
        <v>45174</v>
      </c>
      <c r="K30" s="28" t="str">
        <f t="shared" si="0"/>
        <v>Quarter 3 2023</v>
      </c>
    </row>
    <row r="31" spans="1:11">
      <c r="A31" t="s">
        <v>22</v>
      </c>
      <c r="B31" s="10">
        <v>45177</v>
      </c>
      <c r="C31" t="s">
        <v>319</v>
      </c>
      <c r="D31" t="s">
        <v>87</v>
      </c>
      <c r="E31" s="52">
        <v>-237045492.96000001</v>
      </c>
      <c r="F31" t="s">
        <v>318</v>
      </c>
      <c r="G31" s="10">
        <v>45177</v>
      </c>
      <c r="K31" s="28" t="str">
        <f t="shared" si="0"/>
        <v>Quarter 3 2023</v>
      </c>
    </row>
    <row r="32" spans="1:11">
      <c r="A32" t="s">
        <v>22</v>
      </c>
      <c r="B32" s="10">
        <v>45177</v>
      </c>
      <c r="C32" t="s">
        <v>317</v>
      </c>
      <c r="D32" t="s">
        <v>87</v>
      </c>
      <c r="E32" s="52">
        <v>237045492.96000001</v>
      </c>
      <c r="F32" t="s">
        <v>318</v>
      </c>
      <c r="G32" s="10">
        <v>45177</v>
      </c>
      <c r="K32" s="28" t="str">
        <f t="shared" si="0"/>
        <v>Quarter 3 2023</v>
      </c>
    </row>
    <row r="33" spans="1:11">
      <c r="A33" t="s">
        <v>22</v>
      </c>
      <c r="B33" s="10">
        <v>45183</v>
      </c>
      <c r="C33" t="s">
        <v>319</v>
      </c>
      <c r="D33" t="s">
        <v>87</v>
      </c>
      <c r="E33" s="52">
        <v>-6098427.1799999997</v>
      </c>
      <c r="F33" t="s">
        <v>318</v>
      </c>
      <c r="G33" s="10">
        <v>45183</v>
      </c>
      <c r="K33" s="28" t="str">
        <f t="shared" si="0"/>
        <v>Quarter 3 2023</v>
      </c>
    </row>
    <row r="34" spans="1:11">
      <c r="A34" t="s">
        <v>22</v>
      </c>
      <c r="B34" s="10">
        <v>45183</v>
      </c>
      <c r="C34" t="s">
        <v>325</v>
      </c>
      <c r="D34" t="s">
        <v>143</v>
      </c>
      <c r="E34" s="52">
        <v>6098427.1799999997</v>
      </c>
      <c r="F34" t="s">
        <v>313</v>
      </c>
      <c r="G34" s="10">
        <v>45183</v>
      </c>
      <c r="K34" s="28" t="str">
        <f t="shared" si="0"/>
        <v>Quarter 3 2023</v>
      </c>
    </row>
    <row r="35" spans="1:11">
      <c r="A35" t="s">
        <v>22</v>
      </c>
      <c r="B35" s="10">
        <v>45183</v>
      </c>
      <c r="C35" t="s">
        <v>326</v>
      </c>
      <c r="E35" s="52">
        <v>-29960.34</v>
      </c>
      <c r="F35" t="s">
        <v>313</v>
      </c>
      <c r="G35" s="10">
        <v>45183</v>
      </c>
      <c r="K35" s="28" t="str">
        <f t="shared" si="0"/>
        <v>Quarter 3 2023</v>
      </c>
    </row>
    <row r="36" spans="1:11">
      <c r="A36" t="s">
        <v>22</v>
      </c>
      <c r="B36" s="10">
        <v>45196</v>
      </c>
      <c r="C36" t="s">
        <v>319</v>
      </c>
      <c r="D36" t="s">
        <v>87</v>
      </c>
      <c r="E36">
        <v>-130</v>
      </c>
      <c r="F36" t="s">
        <v>318</v>
      </c>
      <c r="G36" s="10">
        <v>45196</v>
      </c>
      <c r="K36" s="28" t="str">
        <f t="shared" si="0"/>
        <v>Quarter 3 2023</v>
      </c>
    </row>
    <row r="37" spans="1:11">
      <c r="A37" t="s">
        <v>22</v>
      </c>
      <c r="B37" s="10">
        <v>45196</v>
      </c>
      <c r="C37" t="s">
        <v>327</v>
      </c>
      <c r="D37" t="s">
        <v>150</v>
      </c>
      <c r="E37">
        <v>130</v>
      </c>
      <c r="F37" t="s">
        <v>321</v>
      </c>
      <c r="G37" s="10">
        <v>45196</v>
      </c>
      <c r="H37" t="s">
        <v>17</v>
      </c>
      <c r="K37" s="28" t="str">
        <f t="shared" si="0"/>
        <v>Quarter 3 2023</v>
      </c>
    </row>
    <row r="38" spans="1:11">
      <c r="A38" t="s">
        <v>22</v>
      </c>
      <c r="B38" s="10">
        <v>45199</v>
      </c>
      <c r="C38" t="s">
        <v>328</v>
      </c>
      <c r="D38" t="s">
        <v>132</v>
      </c>
      <c r="E38" s="52">
        <v>-18750</v>
      </c>
      <c r="F38" t="s">
        <v>318</v>
      </c>
      <c r="G38" s="10">
        <v>45199</v>
      </c>
      <c r="H38" t="s">
        <v>194</v>
      </c>
      <c r="K38" s="28" t="str">
        <f t="shared" si="0"/>
        <v>Quarter 3 2023</v>
      </c>
    </row>
    <row r="39" spans="1:11">
      <c r="A39" t="s">
        <v>22</v>
      </c>
      <c r="B39" s="10">
        <v>45199</v>
      </c>
      <c r="C39" t="s">
        <v>329</v>
      </c>
      <c r="D39" t="s">
        <v>139</v>
      </c>
      <c r="E39" s="52">
        <v>2850</v>
      </c>
      <c r="F39" t="s">
        <v>321</v>
      </c>
      <c r="G39" s="10">
        <v>45199</v>
      </c>
      <c r="H39" t="s">
        <v>194</v>
      </c>
      <c r="K39" s="28" t="str">
        <f t="shared" si="0"/>
        <v>Quarter 3 2023</v>
      </c>
    </row>
    <row r="40" spans="1:11">
      <c r="A40" t="s">
        <v>22</v>
      </c>
      <c r="B40" s="10">
        <v>45199</v>
      </c>
      <c r="C40" t="s">
        <v>94</v>
      </c>
      <c r="D40" t="s">
        <v>96</v>
      </c>
      <c r="E40" s="52">
        <v>1000</v>
      </c>
      <c r="F40" t="s">
        <v>321</v>
      </c>
      <c r="G40" s="10">
        <v>45199</v>
      </c>
      <c r="H40" t="s">
        <v>194</v>
      </c>
      <c r="K40" s="28" t="str">
        <f t="shared" si="0"/>
        <v>Quarter 3 2023</v>
      </c>
    </row>
    <row r="41" spans="1:11">
      <c r="A41" t="s">
        <v>22</v>
      </c>
      <c r="B41" s="10">
        <v>45199</v>
      </c>
      <c r="C41" t="s">
        <v>330</v>
      </c>
      <c r="D41" t="s">
        <v>162</v>
      </c>
      <c r="E41" s="52">
        <v>18750</v>
      </c>
      <c r="F41" t="s">
        <v>321</v>
      </c>
      <c r="G41" s="10">
        <v>45199</v>
      </c>
      <c r="H41" t="s">
        <v>194</v>
      </c>
      <c r="K41" s="28" t="str">
        <f t="shared" si="0"/>
        <v>Quarter 3 2023</v>
      </c>
    </row>
    <row r="42" spans="1:11">
      <c r="A42" t="s">
        <v>22</v>
      </c>
      <c r="B42" s="10">
        <v>45199</v>
      </c>
      <c r="C42" t="s">
        <v>133</v>
      </c>
      <c r="D42" t="s">
        <v>134</v>
      </c>
      <c r="E42" s="52">
        <v>10000</v>
      </c>
      <c r="F42" t="s">
        <v>321</v>
      </c>
      <c r="G42" s="10">
        <v>45199</v>
      </c>
      <c r="H42" t="s">
        <v>194</v>
      </c>
      <c r="K42" s="28" t="str">
        <f t="shared" si="0"/>
        <v>Quarter 3 2023</v>
      </c>
    </row>
    <row r="43" spans="1:11">
      <c r="A43" t="s">
        <v>22</v>
      </c>
      <c r="B43" s="10">
        <v>45199</v>
      </c>
      <c r="C43" t="s">
        <v>141</v>
      </c>
      <c r="D43" t="s">
        <v>142</v>
      </c>
      <c r="E43" s="52">
        <v>6000</v>
      </c>
      <c r="F43" t="s">
        <v>321</v>
      </c>
      <c r="G43" s="10">
        <v>45199</v>
      </c>
      <c r="H43" t="s">
        <v>194</v>
      </c>
      <c r="K43" s="28" t="str">
        <f t="shared" si="0"/>
        <v>Quarter 3 2023</v>
      </c>
    </row>
    <row r="44" spans="1:11">
      <c r="A44" t="s">
        <v>22</v>
      </c>
      <c r="B44" s="10">
        <v>45199</v>
      </c>
      <c r="C44" t="s">
        <v>331</v>
      </c>
      <c r="E44">
        <v>-6</v>
      </c>
      <c r="F44" t="s">
        <v>313</v>
      </c>
      <c r="G44" s="10">
        <v>45199</v>
      </c>
      <c r="K44" s="28" t="str">
        <f t="shared" si="0"/>
        <v>Quarter 3 2023</v>
      </c>
    </row>
    <row r="45" spans="1:11">
      <c r="A45" t="s">
        <v>22</v>
      </c>
      <c r="B45" s="10">
        <v>45199</v>
      </c>
      <c r="C45" t="s">
        <v>332</v>
      </c>
      <c r="E45">
        <v>9</v>
      </c>
      <c r="F45" t="s">
        <v>313</v>
      </c>
      <c r="G45" s="10">
        <v>45199</v>
      </c>
      <c r="K45" s="28" t="str">
        <f t="shared" si="0"/>
        <v>Quarter 3 2023</v>
      </c>
    </row>
    <row r="46" spans="1:11">
      <c r="A46" t="s">
        <v>22</v>
      </c>
      <c r="B46" s="10">
        <v>45199</v>
      </c>
      <c r="C46" t="s">
        <v>333</v>
      </c>
      <c r="D46" t="s">
        <v>121</v>
      </c>
      <c r="E46" s="52">
        <v>-2850</v>
      </c>
      <c r="F46" t="s">
        <v>318</v>
      </c>
      <c r="G46" s="10">
        <v>45199</v>
      </c>
      <c r="H46" t="s">
        <v>194</v>
      </c>
      <c r="K46" s="28" t="str">
        <f t="shared" si="0"/>
        <v>Quarter 3 2023</v>
      </c>
    </row>
    <row r="47" spans="1:11">
      <c r="A47" t="s">
        <v>22</v>
      </c>
      <c r="B47" s="10">
        <v>45199</v>
      </c>
      <c r="C47" t="s">
        <v>334</v>
      </c>
      <c r="D47" t="s">
        <v>95</v>
      </c>
      <c r="E47" s="52">
        <v>-1000</v>
      </c>
      <c r="F47" t="s">
        <v>318</v>
      </c>
      <c r="G47" s="10">
        <v>45199</v>
      </c>
      <c r="H47" t="s">
        <v>194</v>
      </c>
      <c r="K47" s="28" t="str">
        <f t="shared" si="0"/>
        <v>Quarter 3 2023</v>
      </c>
    </row>
    <row r="48" spans="1:11">
      <c r="A48" t="s">
        <v>22</v>
      </c>
      <c r="B48" s="10">
        <v>45199</v>
      </c>
      <c r="C48" t="s">
        <v>335</v>
      </c>
      <c r="D48" t="s">
        <v>127</v>
      </c>
      <c r="E48" s="52">
        <v>-10000</v>
      </c>
      <c r="F48" t="s">
        <v>318</v>
      </c>
      <c r="G48" s="10">
        <v>45199</v>
      </c>
      <c r="H48" t="s">
        <v>194</v>
      </c>
      <c r="K48" s="28" t="str">
        <f t="shared" si="0"/>
        <v>Quarter 3 2023</v>
      </c>
    </row>
    <row r="49" spans="1:11">
      <c r="A49" t="s">
        <v>22</v>
      </c>
      <c r="B49" s="10">
        <v>45199</v>
      </c>
      <c r="C49" t="s">
        <v>336</v>
      </c>
      <c r="D49" t="s">
        <v>124</v>
      </c>
      <c r="E49" s="52">
        <v>-6000</v>
      </c>
      <c r="F49" t="s">
        <v>318</v>
      </c>
      <c r="G49" s="10">
        <v>45199</v>
      </c>
      <c r="H49" t="s">
        <v>194</v>
      </c>
      <c r="K49" s="28" t="str">
        <f t="shared" si="0"/>
        <v>Quarter 3 2023</v>
      </c>
    </row>
    <row r="50" spans="1:11">
      <c r="A50" t="s">
        <v>22</v>
      </c>
      <c r="B50" s="10">
        <v>45200</v>
      </c>
      <c r="C50" t="s">
        <v>317</v>
      </c>
      <c r="D50" t="s">
        <v>87</v>
      </c>
      <c r="E50" s="52">
        <v>13378.17</v>
      </c>
      <c r="F50" t="s">
        <v>318</v>
      </c>
      <c r="G50" s="10">
        <v>45200</v>
      </c>
      <c r="K50" s="28" t="str">
        <f t="shared" si="0"/>
        <v>Quarter 4 2023</v>
      </c>
    </row>
    <row r="51" spans="1:11">
      <c r="A51" t="s">
        <v>22</v>
      </c>
      <c r="B51" s="10">
        <v>45200</v>
      </c>
      <c r="C51" t="s">
        <v>320</v>
      </c>
      <c r="D51" t="s">
        <v>156</v>
      </c>
      <c r="E51" s="52">
        <v>-113839.74</v>
      </c>
      <c r="F51" t="s">
        <v>67</v>
      </c>
      <c r="G51" s="10">
        <v>45200</v>
      </c>
      <c r="H51" t="s">
        <v>17</v>
      </c>
      <c r="K51" s="28" t="str">
        <f t="shared" si="0"/>
        <v>Quarter 4 2023</v>
      </c>
    </row>
    <row r="52" spans="1:11">
      <c r="A52" t="s">
        <v>22</v>
      </c>
      <c r="B52" s="10">
        <v>45200</v>
      </c>
      <c r="C52" t="s">
        <v>337</v>
      </c>
      <c r="D52" t="s">
        <v>108</v>
      </c>
      <c r="E52" s="52">
        <v>100461.57</v>
      </c>
      <c r="F52" t="s">
        <v>318</v>
      </c>
      <c r="G52" s="10">
        <v>45200</v>
      </c>
      <c r="K52" s="28" t="str">
        <f t="shared" si="0"/>
        <v>Quarter 4 2023</v>
      </c>
    </row>
    <row r="53" spans="1:11">
      <c r="A53" t="s">
        <v>22</v>
      </c>
      <c r="B53" s="10">
        <v>45229</v>
      </c>
      <c r="C53" t="s">
        <v>319</v>
      </c>
      <c r="D53" t="s">
        <v>87</v>
      </c>
      <c r="E53" s="52">
        <v>-19900.240000000002</v>
      </c>
      <c r="F53" t="s">
        <v>318</v>
      </c>
      <c r="G53" s="10">
        <v>45229</v>
      </c>
      <c r="K53" s="28" t="str">
        <f t="shared" si="0"/>
        <v>Quarter 4 2023</v>
      </c>
    </row>
    <row r="54" spans="1:11">
      <c r="A54" t="s">
        <v>22</v>
      </c>
      <c r="B54" s="10">
        <v>45229</v>
      </c>
      <c r="C54" t="s">
        <v>133</v>
      </c>
      <c r="D54" t="s">
        <v>134</v>
      </c>
      <c r="E54" s="52">
        <v>9750</v>
      </c>
      <c r="F54" t="s">
        <v>67</v>
      </c>
      <c r="G54" s="10">
        <v>45229</v>
      </c>
      <c r="H54" t="s">
        <v>17</v>
      </c>
      <c r="K54" s="28" t="str">
        <f t="shared" si="0"/>
        <v>Quarter 4 2023</v>
      </c>
    </row>
    <row r="55" spans="1:11">
      <c r="A55" t="s">
        <v>22</v>
      </c>
      <c r="B55" s="10">
        <v>45229</v>
      </c>
      <c r="C55" t="s">
        <v>327</v>
      </c>
      <c r="D55" t="s">
        <v>150</v>
      </c>
      <c r="E55">
        <v>150.24</v>
      </c>
      <c r="F55" t="s">
        <v>67</v>
      </c>
      <c r="G55" s="10">
        <v>45229</v>
      </c>
      <c r="H55" t="s">
        <v>17</v>
      </c>
      <c r="K55" s="28" t="str">
        <f t="shared" si="0"/>
        <v>Quarter 4 2023</v>
      </c>
    </row>
    <row r="56" spans="1:11">
      <c r="A56" t="s">
        <v>22</v>
      </c>
      <c r="B56" s="10">
        <v>45229</v>
      </c>
      <c r="C56" t="s">
        <v>335</v>
      </c>
      <c r="D56" t="s">
        <v>127</v>
      </c>
      <c r="E56" s="52">
        <v>10000</v>
      </c>
      <c r="F56" t="s">
        <v>67</v>
      </c>
      <c r="G56" s="10">
        <v>45229</v>
      </c>
      <c r="H56" t="s">
        <v>17</v>
      </c>
      <c r="K56" s="28" t="str">
        <f t="shared" si="0"/>
        <v>Quarter 4 2023</v>
      </c>
    </row>
    <row r="57" spans="1:11">
      <c r="A57" t="s">
        <v>22</v>
      </c>
      <c r="B57" s="10">
        <v>45231</v>
      </c>
      <c r="C57" t="s">
        <v>317</v>
      </c>
      <c r="D57" t="s">
        <v>87</v>
      </c>
      <c r="E57" s="52">
        <v>4334.57</v>
      </c>
      <c r="F57" t="s">
        <v>318</v>
      </c>
      <c r="G57" s="10">
        <v>45231</v>
      </c>
      <c r="K57" s="28" t="str">
        <f t="shared" si="0"/>
        <v>Quarter 4 2023</v>
      </c>
    </row>
    <row r="58" spans="1:11">
      <c r="A58" t="s">
        <v>22</v>
      </c>
      <c r="B58" s="10">
        <v>45231</v>
      </c>
      <c r="C58" t="s">
        <v>320</v>
      </c>
      <c r="D58" t="s">
        <v>156</v>
      </c>
      <c r="E58" s="52">
        <v>-4334.57</v>
      </c>
      <c r="F58" t="s">
        <v>67</v>
      </c>
      <c r="G58" s="10">
        <v>45231</v>
      </c>
      <c r="H58" t="s">
        <v>17</v>
      </c>
      <c r="K58" s="28" t="str">
        <f t="shared" si="0"/>
        <v>Quarter 4 2023</v>
      </c>
    </row>
    <row r="59" spans="1:11">
      <c r="A59" t="s">
        <v>22</v>
      </c>
      <c r="B59" s="10">
        <v>45232</v>
      </c>
      <c r="C59" t="s">
        <v>317</v>
      </c>
      <c r="D59" t="s">
        <v>87</v>
      </c>
      <c r="E59" s="52">
        <v>47476840.210000001</v>
      </c>
      <c r="F59" t="s">
        <v>318</v>
      </c>
      <c r="G59" s="10">
        <v>45232</v>
      </c>
      <c r="H59" t="s">
        <v>194</v>
      </c>
      <c r="K59" s="28" t="str">
        <f t="shared" si="0"/>
        <v>Quarter 4 2023</v>
      </c>
    </row>
    <row r="60" spans="1:11">
      <c r="A60" t="s">
        <v>22</v>
      </c>
      <c r="B60" s="10">
        <v>45232</v>
      </c>
      <c r="C60" t="s">
        <v>338</v>
      </c>
      <c r="D60" t="s">
        <v>153</v>
      </c>
      <c r="E60" s="52">
        <v>-359864.03</v>
      </c>
      <c r="F60" t="s">
        <v>339</v>
      </c>
      <c r="G60" s="10">
        <v>45232</v>
      </c>
      <c r="K60" s="28" t="str">
        <f t="shared" si="0"/>
        <v>Quarter 4 2023</v>
      </c>
    </row>
    <row r="61" spans="1:11">
      <c r="A61" t="s">
        <v>22</v>
      </c>
      <c r="B61" s="10">
        <v>45232</v>
      </c>
      <c r="C61" t="s">
        <v>340</v>
      </c>
      <c r="D61" t="s">
        <v>97</v>
      </c>
      <c r="E61" s="52">
        <v>-47116976.18</v>
      </c>
      <c r="F61" t="s">
        <v>339</v>
      </c>
      <c r="G61" s="10">
        <v>45232</v>
      </c>
      <c r="K61" s="28" t="str">
        <f t="shared" si="0"/>
        <v>Quarter 4 2023</v>
      </c>
    </row>
    <row r="62" spans="1:11">
      <c r="A62" t="s">
        <v>22</v>
      </c>
      <c r="B62" s="10">
        <v>45261</v>
      </c>
      <c r="C62" t="s">
        <v>317</v>
      </c>
      <c r="D62" t="s">
        <v>87</v>
      </c>
      <c r="E62" s="52">
        <v>195413.46</v>
      </c>
      <c r="F62" t="s">
        <v>318</v>
      </c>
      <c r="G62" s="10">
        <v>45261</v>
      </c>
      <c r="K62" s="28" t="str">
        <f t="shared" si="0"/>
        <v>Quarter 4 2023</v>
      </c>
    </row>
    <row r="63" spans="1:11">
      <c r="A63" t="s">
        <v>22</v>
      </c>
      <c r="B63" s="10">
        <v>45261</v>
      </c>
      <c r="C63" t="s">
        <v>320</v>
      </c>
      <c r="D63" t="s">
        <v>156</v>
      </c>
      <c r="E63" s="52">
        <v>-195413.46</v>
      </c>
      <c r="F63" t="s">
        <v>67</v>
      </c>
      <c r="G63" s="10">
        <v>45261</v>
      </c>
      <c r="H63" t="s">
        <v>17</v>
      </c>
      <c r="K63" s="28" t="str">
        <f t="shared" si="0"/>
        <v>Quarter 4 2023</v>
      </c>
    </row>
    <row r="64" spans="1:11">
      <c r="A64" t="s">
        <v>22</v>
      </c>
      <c r="B64" s="10">
        <v>45268</v>
      </c>
      <c r="C64" t="s">
        <v>319</v>
      </c>
      <c r="D64" t="s">
        <v>87</v>
      </c>
      <c r="E64" s="52">
        <v>-6237.65</v>
      </c>
      <c r="F64" t="s">
        <v>318</v>
      </c>
      <c r="G64" s="10">
        <v>45268</v>
      </c>
      <c r="K64" s="28" t="str">
        <f t="shared" si="0"/>
        <v>Quarter 4 2023</v>
      </c>
    </row>
    <row r="65" spans="1:11">
      <c r="A65" t="s">
        <v>22</v>
      </c>
      <c r="B65" s="10">
        <v>45268</v>
      </c>
      <c r="C65" t="s">
        <v>133</v>
      </c>
      <c r="D65" t="s">
        <v>134</v>
      </c>
      <c r="E65" s="52">
        <v>5628.19</v>
      </c>
      <c r="F65" t="s">
        <v>67</v>
      </c>
      <c r="G65" s="10">
        <v>45268</v>
      </c>
      <c r="H65" t="s">
        <v>17</v>
      </c>
      <c r="K65" s="28" t="str">
        <f t="shared" si="0"/>
        <v>Quarter 4 2023</v>
      </c>
    </row>
    <row r="66" spans="1:11">
      <c r="A66" t="s">
        <v>22</v>
      </c>
      <c r="B66" s="10">
        <v>45268</v>
      </c>
      <c r="C66" t="s">
        <v>327</v>
      </c>
      <c r="D66" t="s">
        <v>150</v>
      </c>
      <c r="E66">
        <v>609.46</v>
      </c>
      <c r="F66" t="s">
        <v>67</v>
      </c>
      <c r="G66" s="10">
        <v>45268</v>
      </c>
      <c r="H66" t="s">
        <v>17</v>
      </c>
      <c r="K66" s="28" t="str">
        <f t="shared" ref="K66:K80" si="1">"Quarter "&amp;INT((MONTH(B66)-1)/3)+1&amp;" "&amp;YEAR(B66)</f>
        <v>Quarter 4 2023</v>
      </c>
    </row>
    <row r="67" spans="1:11">
      <c r="A67" t="s">
        <v>22</v>
      </c>
      <c r="B67" s="10">
        <v>45274</v>
      </c>
      <c r="C67" t="s">
        <v>319</v>
      </c>
      <c r="D67" t="s">
        <v>87</v>
      </c>
      <c r="E67" s="52">
        <v>-47476840.210000001</v>
      </c>
      <c r="F67" t="s">
        <v>318</v>
      </c>
      <c r="G67" s="10">
        <v>45274</v>
      </c>
      <c r="H67" t="s">
        <v>194</v>
      </c>
      <c r="K67" s="28" t="str">
        <f t="shared" si="1"/>
        <v>Quarter 4 2023</v>
      </c>
    </row>
    <row r="68" spans="1:11">
      <c r="A68" t="s">
        <v>22</v>
      </c>
      <c r="B68" s="10">
        <v>45274</v>
      </c>
      <c r="C68" t="s">
        <v>341</v>
      </c>
      <c r="D68" t="s">
        <v>146</v>
      </c>
      <c r="E68" s="52">
        <v>359864.03</v>
      </c>
      <c r="F68" t="s">
        <v>313</v>
      </c>
      <c r="G68" s="10">
        <v>45274</v>
      </c>
      <c r="K68" s="28" t="str">
        <f t="shared" si="1"/>
        <v>Quarter 4 2023</v>
      </c>
    </row>
    <row r="69" spans="1:11">
      <c r="A69" t="s">
        <v>22</v>
      </c>
      <c r="B69" s="10">
        <v>45274</v>
      </c>
      <c r="C69" t="s">
        <v>342</v>
      </c>
      <c r="D69" t="s">
        <v>143</v>
      </c>
      <c r="E69" s="52">
        <v>47116976.18</v>
      </c>
      <c r="F69" t="s">
        <v>313</v>
      </c>
      <c r="G69" s="10">
        <v>45274</v>
      </c>
      <c r="K69" s="28" t="str">
        <f t="shared" si="1"/>
        <v>Quarter 4 2023</v>
      </c>
    </row>
    <row r="70" spans="1:11">
      <c r="A70" t="s">
        <v>22</v>
      </c>
      <c r="B70" s="10">
        <v>45282</v>
      </c>
      <c r="C70" t="s">
        <v>319</v>
      </c>
      <c r="D70" t="s">
        <v>87</v>
      </c>
      <c r="E70" s="52">
        <v>-57634.55</v>
      </c>
      <c r="F70" t="s">
        <v>318</v>
      </c>
      <c r="G70" s="10">
        <v>45282</v>
      </c>
      <c r="K70" s="28" t="str">
        <f t="shared" si="1"/>
        <v>Quarter 4 2023</v>
      </c>
    </row>
    <row r="71" spans="1:11">
      <c r="A71" t="s">
        <v>22</v>
      </c>
      <c r="B71" s="10">
        <v>45282</v>
      </c>
      <c r="C71" t="s">
        <v>328</v>
      </c>
      <c r="D71" t="s">
        <v>132</v>
      </c>
      <c r="E71" s="52">
        <v>18750</v>
      </c>
      <c r="F71" t="s">
        <v>67</v>
      </c>
      <c r="G71" s="10">
        <v>45282</v>
      </c>
      <c r="H71" t="s">
        <v>17</v>
      </c>
      <c r="K71" s="28" t="str">
        <f t="shared" si="1"/>
        <v>Quarter 4 2023</v>
      </c>
    </row>
    <row r="72" spans="1:11">
      <c r="A72" t="s">
        <v>22</v>
      </c>
      <c r="B72" s="10">
        <v>45282</v>
      </c>
      <c r="C72" t="s">
        <v>343</v>
      </c>
      <c r="D72" t="s">
        <v>150</v>
      </c>
      <c r="E72" s="52">
        <v>9291</v>
      </c>
      <c r="F72" t="s">
        <v>67</v>
      </c>
      <c r="G72" s="10">
        <v>45282</v>
      </c>
      <c r="H72" t="s">
        <v>17</v>
      </c>
      <c r="K72" s="28" t="str">
        <f t="shared" si="1"/>
        <v>Quarter 4 2023</v>
      </c>
    </row>
    <row r="73" spans="1:11">
      <c r="A73" t="s">
        <v>22</v>
      </c>
      <c r="B73" s="10">
        <v>45282</v>
      </c>
      <c r="C73" t="s">
        <v>330</v>
      </c>
      <c r="D73" t="s">
        <v>162</v>
      </c>
      <c r="E73" s="52">
        <v>15746.29</v>
      </c>
      <c r="F73" t="s">
        <v>67</v>
      </c>
      <c r="G73" s="10">
        <v>45282</v>
      </c>
      <c r="H73" t="s">
        <v>17</v>
      </c>
      <c r="K73" s="28" t="str">
        <f t="shared" si="1"/>
        <v>Quarter 4 2023</v>
      </c>
    </row>
    <row r="74" spans="1:11">
      <c r="A74" t="s">
        <v>22</v>
      </c>
      <c r="B74" s="10">
        <v>45282</v>
      </c>
      <c r="C74" t="s">
        <v>133</v>
      </c>
      <c r="D74" t="s">
        <v>134</v>
      </c>
      <c r="E74" s="52">
        <v>9293.17</v>
      </c>
      <c r="F74" t="s">
        <v>67</v>
      </c>
      <c r="G74" s="10">
        <v>45282</v>
      </c>
      <c r="H74" t="s">
        <v>17</v>
      </c>
      <c r="K74" s="28" t="str">
        <f t="shared" si="1"/>
        <v>Quarter 4 2023</v>
      </c>
    </row>
    <row r="75" spans="1:11">
      <c r="A75" t="s">
        <v>22</v>
      </c>
      <c r="B75" s="10">
        <v>45282</v>
      </c>
      <c r="C75" t="s">
        <v>327</v>
      </c>
      <c r="D75" t="s">
        <v>150</v>
      </c>
      <c r="E75" s="52">
        <v>4554.09</v>
      </c>
      <c r="F75" t="s">
        <v>67</v>
      </c>
      <c r="G75" s="10">
        <v>45282</v>
      </c>
      <c r="H75" t="s">
        <v>17</v>
      </c>
      <c r="K75" s="28" t="str">
        <f t="shared" si="1"/>
        <v>Quarter 4 2023</v>
      </c>
    </row>
    <row r="76" spans="1:11">
      <c r="A76" t="s">
        <v>22</v>
      </c>
      <c r="B76" s="10">
        <v>45289</v>
      </c>
      <c r="C76" t="s">
        <v>329</v>
      </c>
      <c r="D76" t="s">
        <v>139</v>
      </c>
      <c r="E76" s="52">
        <v>9550</v>
      </c>
      <c r="F76" t="s">
        <v>67</v>
      </c>
      <c r="G76" s="10">
        <v>45289</v>
      </c>
      <c r="H76" t="s">
        <v>194</v>
      </c>
      <c r="K76" s="28" t="str">
        <f t="shared" si="1"/>
        <v>Quarter 4 2023</v>
      </c>
    </row>
    <row r="77" spans="1:11">
      <c r="A77" t="s">
        <v>22</v>
      </c>
      <c r="B77" s="10">
        <v>45289</v>
      </c>
      <c r="C77" t="s">
        <v>94</v>
      </c>
      <c r="D77" t="s">
        <v>96</v>
      </c>
      <c r="E77">
        <v>750</v>
      </c>
      <c r="F77" t="s">
        <v>67</v>
      </c>
      <c r="G77" s="10">
        <v>45289</v>
      </c>
      <c r="H77" t="s">
        <v>194</v>
      </c>
      <c r="K77" s="28" t="str">
        <f t="shared" si="1"/>
        <v>Quarter 4 2023</v>
      </c>
    </row>
    <row r="78" spans="1:11">
      <c r="A78" t="s">
        <v>22</v>
      </c>
      <c r="B78" s="10">
        <v>45289</v>
      </c>
      <c r="C78" t="s">
        <v>141</v>
      </c>
      <c r="D78" t="s">
        <v>142</v>
      </c>
      <c r="E78" s="52">
        <v>-6000</v>
      </c>
      <c r="F78" t="s">
        <v>67</v>
      </c>
      <c r="G78" s="10">
        <v>45289</v>
      </c>
      <c r="H78" t="s">
        <v>194</v>
      </c>
      <c r="K78" s="28" t="str">
        <f t="shared" si="1"/>
        <v>Quarter 4 2023</v>
      </c>
    </row>
    <row r="79" spans="1:11">
      <c r="A79" t="s">
        <v>22</v>
      </c>
      <c r="B79" s="10">
        <v>45289</v>
      </c>
      <c r="C79" t="s">
        <v>333</v>
      </c>
      <c r="D79" t="s">
        <v>121</v>
      </c>
      <c r="E79" s="52">
        <v>-9550</v>
      </c>
      <c r="F79" t="s">
        <v>318</v>
      </c>
      <c r="G79" s="10">
        <v>45289</v>
      </c>
      <c r="H79" t="s">
        <v>194</v>
      </c>
      <c r="K79" s="28" t="str">
        <f t="shared" si="1"/>
        <v>Quarter 4 2023</v>
      </c>
    </row>
    <row r="80" spans="1:11">
      <c r="A80" t="s">
        <v>22</v>
      </c>
      <c r="B80" s="10">
        <v>45289</v>
      </c>
      <c r="C80" t="s">
        <v>334</v>
      </c>
      <c r="D80" t="s">
        <v>95</v>
      </c>
      <c r="E80">
        <v>-750</v>
      </c>
      <c r="F80" t="s">
        <v>318</v>
      </c>
      <c r="G80" s="10">
        <v>45289</v>
      </c>
      <c r="H80" t="s">
        <v>194</v>
      </c>
      <c r="K80" s="28" t="str">
        <f t="shared" si="1"/>
        <v>Quarter 4 2023</v>
      </c>
    </row>
    <row r="81" spans="1:11">
      <c r="A81" t="s">
        <v>22</v>
      </c>
      <c r="B81" s="10">
        <v>45289</v>
      </c>
      <c r="C81" t="s">
        <v>336</v>
      </c>
      <c r="D81" t="s">
        <v>124</v>
      </c>
      <c r="E81" s="52">
        <v>6000</v>
      </c>
      <c r="F81" t="s">
        <v>318</v>
      </c>
      <c r="G81" s="10">
        <v>45289</v>
      </c>
      <c r="H81" t="s">
        <v>194</v>
      </c>
      <c r="K81" s="28" t="str">
        <f>"Quarter "&amp;INT((MONTH(B81)-1)/3)+1&amp;" "&amp;YEAR(B81)</f>
        <v>Quarter 4 2023</v>
      </c>
    </row>
    <row r="82" spans="1:11">
      <c r="A82" t="s">
        <v>22</v>
      </c>
      <c r="B82" s="10">
        <v>45291</v>
      </c>
      <c r="C82" t="s">
        <v>344</v>
      </c>
      <c r="D82" t="s">
        <v>147</v>
      </c>
      <c r="E82" s="52">
        <v>-7782536.5099999998</v>
      </c>
      <c r="F82" t="s">
        <v>345</v>
      </c>
      <c r="G82" s="10">
        <v>45291</v>
      </c>
      <c r="K82" s="28" t="str">
        <f t="shared" ref="K82:K145" si="2">"Quarter "&amp;INT((MONTH(B82)-1)/3)+1&amp;" "&amp;YEAR(B82)</f>
        <v>Quarter 4 2023</v>
      </c>
    </row>
    <row r="83" spans="1:11">
      <c r="A83" t="s">
        <v>22</v>
      </c>
      <c r="B83" s="10">
        <v>45291</v>
      </c>
      <c r="C83" t="s">
        <v>344</v>
      </c>
      <c r="D83" t="s">
        <v>153</v>
      </c>
      <c r="E83" s="52">
        <v>359864.03</v>
      </c>
      <c r="F83" t="s">
        <v>345</v>
      </c>
      <c r="G83" s="10">
        <v>45291</v>
      </c>
      <c r="K83" s="28" t="str">
        <f t="shared" si="2"/>
        <v>Quarter 4 2023</v>
      </c>
    </row>
    <row r="84" spans="1:11">
      <c r="A84" t="s">
        <v>22</v>
      </c>
      <c r="B84" s="10">
        <v>45291</v>
      </c>
      <c r="C84" t="s">
        <v>344</v>
      </c>
      <c r="D84" t="s">
        <v>156</v>
      </c>
      <c r="E84" s="52">
        <v>642126.23</v>
      </c>
      <c r="F84" t="s">
        <v>345</v>
      </c>
      <c r="G84" s="10">
        <v>45291</v>
      </c>
      <c r="K84" s="28" t="str">
        <f t="shared" si="2"/>
        <v>Quarter 4 2023</v>
      </c>
    </row>
    <row r="85" spans="1:11">
      <c r="A85" t="s">
        <v>22</v>
      </c>
      <c r="B85" s="10">
        <v>45291</v>
      </c>
      <c r="C85" t="s">
        <v>344</v>
      </c>
      <c r="D85" t="s">
        <v>157</v>
      </c>
      <c r="E85" s="52">
        <v>6878598.6900000004</v>
      </c>
      <c r="F85" t="s">
        <v>345</v>
      </c>
      <c r="G85" s="10">
        <v>45291</v>
      </c>
      <c r="K85" s="28" t="str">
        <f t="shared" si="2"/>
        <v>Quarter 4 2023</v>
      </c>
    </row>
    <row r="86" spans="1:11">
      <c r="A86" t="s">
        <v>22</v>
      </c>
      <c r="B86" s="10">
        <v>45291</v>
      </c>
      <c r="C86" t="s">
        <v>344</v>
      </c>
      <c r="D86" t="s">
        <v>96</v>
      </c>
      <c r="E86" s="52">
        <v>-1750</v>
      </c>
      <c r="F86" t="s">
        <v>345</v>
      </c>
      <c r="G86" s="10">
        <v>45291</v>
      </c>
      <c r="K86" s="28" t="str">
        <f t="shared" si="2"/>
        <v>Quarter 4 2023</v>
      </c>
    </row>
    <row r="87" spans="1:11">
      <c r="A87" t="s">
        <v>22</v>
      </c>
      <c r="B87" s="10">
        <v>45291</v>
      </c>
      <c r="C87" t="s">
        <v>344</v>
      </c>
      <c r="D87" t="s">
        <v>150</v>
      </c>
      <c r="E87" s="52">
        <v>-14734.79</v>
      </c>
      <c r="F87" t="s">
        <v>345</v>
      </c>
      <c r="G87" s="10">
        <v>45291</v>
      </c>
      <c r="K87" s="28" t="str">
        <f t="shared" si="2"/>
        <v>Quarter 4 2023</v>
      </c>
    </row>
    <row r="88" spans="1:11">
      <c r="A88" t="s">
        <v>22</v>
      </c>
      <c r="B88" s="10">
        <v>45291</v>
      </c>
      <c r="C88" t="s">
        <v>344</v>
      </c>
      <c r="D88" t="s">
        <v>162</v>
      </c>
      <c r="E88" s="52">
        <v>-34496.29</v>
      </c>
      <c r="F88" t="s">
        <v>345</v>
      </c>
      <c r="G88" s="10">
        <v>45291</v>
      </c>
      <c r="K88" s="28" t="str">
        <f t="shared" si="2"/>
        <v>Quarter 4 2023</v>
      </c>
    </row>
    <row r="89" spans="1:11">
      <c r="A89" t="s">
        <v>22</v>
      </c>
      <c r="B89" s="10">
        <v>45291</v>
      </c>
      <c r="C89" t="s">
        <v>344</v>
      </c>
      <c r="D89" t="s">
        <v>134</v>
      </c>
      <c r="E89" s="52">
        <v>-34671.360000000001</v>
      </c>
      <c r="F89" t="s">
        <v>345</v>
      </c>
      <c r="G89" s="10">
        <v>45291</v>
      </c>
      <c r="K89" s="28" t="str">
        <f t="shared" si="2"/>
        <v>Quarter 4 2023</v>
      </c>
    </row>
    <row r="90" spans="1:11">
      <c r="A90" t="s">
        <v>22</v>
      </c>
      <c r="B90" s="10">
        <v>45291</v>
      </c>
      <c r="C90" t="s">
        <v>344</v>
      </c>
      <c r="D90" t="s">
        <v>139</v>
      </c>
      <c r="E90" s="52">
        <v>-12400</v>
      </c>
      <c r="F90" t="s">
        <v>345</v>
      </c>
      <c r="G90" s="10">
        <v>45291</v>
      </c>
      <c r="K90" s="28" t="str">
        <f t="shared" si="2"/>
        <v>Quarter 4 2023</v>
      </c>
    </row>
    <row r="91" spans="1:11">
      <c r="A91" t="s">
        <v>22</v>
      </c>
      <c r="B91" s="10">
        <v>45291</v>
      </c>
      <c r="C91" t="s">
        <v>346</v>
      </c>
      <c r="D91" t="s">
        <v>105</v>
      </c>
      <c r="E91" s="52">
        <v>6878598.6900000004</v>
      </c>
      <c r="F91" t="s">
        <v>318</v>
      </c>
      <c r="G91" s="10">
        <v>45291</v>
      </c>
      <c r="K91" s="28" t="str">
        <f t="shared" si="2"/>
        <v>Quarter 4 2023</v>
      </c>
    </row>
    <row r="92" spans="1:11">
      <c r="A92" t="s">
        <v>22</v>
      </c>
      <c r="B92" s="10">
        <v>45291</v>
      </c>
      <c r="C92" t="s">
        <v>347</v>
      </c>
      <c r="D92" t="s">
        <v>157</v>
      </c>
      <c r="E92" s="52">
        <v>-6878598.6900000004</v>
      </c>
      <c r="F92" t="s">
        <v>67</v>
      </c>
      <c r="G92" s="10">
        <v>45291</v>
      </c>
      <c r="K92" s="28" t="str">
        <f t="shared" si="2"/>
        <v>Quarter 4 2023</v>
      </c>
    </row>
    <row r="93" spans="1:11">
      <c r="A93" t="s">
        <v>22</v>
      </c>
      <c r="B93" s="10">
        <v>45292</v>
      </c>
      <c r="C93" t="s">
        <v>320</v>
      </c>
      <c r="D93" t="s">
        <v>156</v>
      </c>
      <c r="E93" s="52">
        <v>100461.57</v>
      </c>
      <c r="F93" t="s">
        <v>67</v>
      </c>
      <c r="G93" s="10">
        <v>45292</v>
      </c>
      <c r="H93" t="s">
        <v>17</v>
      </c>
      <c r="K93" s="28" t="str">
        <f t="shared" si="2"/>
        <v>Quarter 1 2024</v>
      </c>
    </row>
    <row r="94" spans="1:11">
      <c r="A94" t="s">
        <v>22</v>
      </c>
      <c r="B94" s="10">
        <v>45292</v>
      </c>
      <c r="C94" t="s">
        <v>337</v>
      </c>
      <c r="D94" t="s">
        <v>108</v>
      </c>
      <c r="E94" s="52">
        <v>-100461.57</v>
      </c>
      <c r="F94" t="s">
        <v>318</v>
      </c>
      <c r="G94" s="10">
        <v>45292</v>
      </c>
      <c r="K94" s="28" t="str">
        <f t="shared" si="2"/>
        <v>Quarter 1 2024</v>
      </c>
    </row>
    <row r="95" spans="1:11">
      <c r="A95" t="s">
        <v>22</v>
      </c>
      <c r="B95" s="10">
        <v>45293</v>
      </c>
      <c r="C95" t="s">
        <v>317</v>
      </c>
      <c r="D95" t="s">
        <v>87</v>
      </c>
      <c r="E95" s="52">
        <v>100461.57</v>
      </c>
      <c r="F95" t="s">
        <v>318</v>
      </c>
      <c r="G95" s="10">
        <v>45293</v>
      </c>
      <c r="K95" s="28" t="str">
        <f t="shared" si="2"/>
        <v>Quarter 1 2024</v>
      </c>
    </row>
    <row r="96" spans="1:11">
      <c r="A96" t="s">
        <v>22</v>
      </c>
      <c r="B96" s="10">
        <v>45293</v>
      </c>
      <c r="C96" t="s">
        <v>320</v>
      </c>
      <c r="D96" t="s">
        <v>156</v>
      </c>
      <c r="E96" s="52">
        <v>-100461.57</v>
      </c>
      <c r="F96" t="s">
        <v>67</v>
      </c>
      <c r="G96" s="10">
        <v>45293</v>
      </c>
      <c r="H96" t="s">
        <v>17</v>
      </c>
      <c r="K96" s="28" t="str">
        <f t="shared" si="2"/>
        <v>Quarter 1 2024</v>
      </c>
    </row>
    <row r="97" spans="1:11">
      <c r="A97" t="s">
        <v>22</v>
      </c>
      <c r="B97" s="10">
        <v>45322</v>
      </c>
      <c r="C97" t="s">
        <v>319</v>
      </c>
      <c r="D97" t="s">
        <v>87</v>
      </c>
      <c r="E97" s="52">
        <v>-9558.9599999999991</v>
      </c>
      <c r="F97" t="s">
        <v>318</v>
      </c>
      <c r="G97" s="10">
        <v>45322</v>
      </c>
      <c r="K97" s="28" t="str">
        <f t="shared" si="2"/>
        <v>Quarter 1 2024</v>
      </c>
    </row>
    <row r="98" spans="1:11">
      <c r="A98" t="s">
        <v>22</v>
      </c>
      <c r="B98" s="10">
        <v>45322</v>
      </c>
      <c r="C98" t="s">
        <v>133</v>
      </c>
      <c r="D98" t="s">
        <v>134</v>
      </c>
      <c r="E98" s="52">
        <v>2374.9</v>
      </c>
      <c r="F98" t="s">
        <v>67</v>
      </c>
      <c r="G98" s="10">
        <v>45322</v>
      </c>
      <c r="H98" t="s">
        <v>17</v>
      </c>
      <c r="K98" s="28" t="str">
        <f t="shared" si="2"/>
        <v>Quarter 1 2024</v>
      </c>
    </row>
    <row r="99" spans="1:11">
      <c r="A99" t="s">
        <v>22</v>
      </c>
      <c r="B99" s="10">
        <v>45322</v>
      </c>
      <c r="C99" t="s">
        <v>327</v>
      </c>
      <c r="D99" t="s">
        <v>150</v>
      </c>
      <c r="E99" s="52">
        <v>6678.59</v>
      </c>
      <c r="F99" t="s">
        <v>67</v>
      </c>
      <c r="G99" s="10">
        <v>45322</v>
      </c>
      <c r="H99" t="s">
        <v>17</v>
      </c>
      <c r="K99" s="28" t="str">
        <f t="shared" si="2"/>
        <v>Quarter 1 2024</v>
      </c>
    </row>
    <row r="100" spans="1:11">
      <c r="A100" t="s">
        <v>22</v>
      </c>
      <c r="B100" s="10">
        <v>45322</v>
      </c>
      <c r="C100" t="s">
        <v>144</v>
      </c>
      <c r="D100" t="s">
        <v>145</v>
      </c>
      <c r="E100">
        <v>315.02</v>
      </c>
      <c r="F100" t="s">
        <v>67</v>
      </c>
      <c r="G100" s="10">
        <v>45322</v>
      </c>
      <c r="H100" t="s">
        <v>17</v>
      </c>
      <c r="K100" s="28" t="str">
        <f t="shared" si="2"/>
        <v>Quarter 1 2024</v>
      </c>
    </row>
    <row r="101" spans="1:11">
      <c r="A101" t="s">
        <v>22</v>
      </c>
      <c r="B101" s="10">
        <v>45322</v>
      </c>
      <c r="C101" t="s">
        <v>348</v>
      </c>
      <c r="D101" t="s">
        <v>142</v>
      </c>
      <c r="E101">
        <v>190.45</v>
      </c>
      <c r="F101" t="s">
        <v>67</v>
      </c>
      <c r="G101" s="10">
        <v>45322</v>
      </c>
      <c r="H101" t="s">
        <v>17</v>
      </c>
      <c r="K101" s="28" t="str">
        <f t="shared" si="2"/>
        <v>Quarter 1 2024</v>
      </c>
    </row>
    <row r="102" spans="1:11">
      <c r="A102" t="s">
        <v>22</v>
      </c>
      <c r="B102" s="10">
        <v>45323</v>
      </c>
      <c r="C102" t="s">
        <v>317</v>
      </c>
      <c r="D102" t="s">
        <v>87</v>
      </c>
      <c r="E102" s="52">
        <v>5261.65</v>
      </c>
      <c r="F102" t="s">
        <v>318</v>
      </c>
      <c r="G102" s="10">
        <v>45323</v>
      </c>
      <c r="K102" s="28" t="str">
        <f t="shared" si="2"/>
        <v>Quarter 1 2024</v>
      </c>
    </row>
    <row r="103" spans="1:11">
      <c r="A103" t="s">
        <v>22</v>
      </c>
      <c r="B103" s="10">
        <v>45323</v>
      </c>
      <c r="C103" t="s">
        <v>320</v>
      </c>
      <c r="D103" t="s">
        <v>156</v>
      </c>
      <c r="E103" s="52">
        <v>-5261.65</v>
      </c>
      <c r="F103" t="s">
        <v>67</v>
      </c>
      <c r="G103" s="10">
        <v>45323</v>
      </c>
      <c r="H103" t="s">
        <v>17</v>
      </c>
      <c r="K103" s="28" t="str">
        <f t="shared" si="2"/>
        <v>Quarter 1 2024</v>
      </c>
    </row>
    <row r="104" spans="1:11">
      <c r="A104" t="s">
        <v>22</v>
      </c>
      <c r="B104" s="10">
        <v>45328</v>
      </c>
      <c r="C104" t="s">
        <v>317</v>
      </c>
      <c r="D104" t="s">
        <v>87</v>
      </c>
      <c r="E104" s="52">
        <v>122108803.56999999</v>
      </c>
      <c r="F104" t="s">
        <v>318</v>
      </c>
      <c r="G104" s="10">
        <v>45328</v>
      </c>
      <c r="K104" s="28" t="str">
        <f t="shared" si="2"/>
        <v>Quarter 1 2024</v>
      </c>
    </row>
    <row r="105" spans="1:11">
      <c r="A105" t="s">
        <v>22</v>
      </c>
      <c r="B105" s="10">
        <v>45328</v>
      </c>
      <c r="C105" t="s">
        <v>349</v>
      </c>
      <c r="D105" t="s">
        <v>155</v>
      </c>
      <c r="E105" s="52">
        <v>-19537408.57</v>
      </c>
      <c r="F105" t="s">
        <v>313</v>
      </c>
      <c r="G105" s="10">
        <v>45328</v>
      </c>
      <c r="K105" s="28" t="str">
        <f t="shared" si="2"/>
        <v>Quarter 1 2024</v>
      </c>
    </row>
    <row r="106" spans="1:11">
      <c r="A106" t="s">
        <v>22</v>
      </c>
      <c r="B106" s="10">
        <v>45328</v>
      </c>
      <c r="C106" t="s">
        <v>340</v>
      </c>
      <c r="D106" t="s">
        <v>97</v>
      </c>
      <c r="E106" s="52">
        <v>-102571395</v>
      </c>
      <c r="F106" t="s">
        <v>313</v>
      </c>
      <c r="G106" s="10">
        <v>45328</v>
      </c>
      <c r="K106" s="28" t="str">
        <f t="shared" si="2"/>
        <v>Quarter 1 2024</v>
      </c>
    </row>
    <row r="107" spans="1:11">
      <c r="A107" t="s">
        <v>22</v>
      </c>
      <c r="B107" s="10">
        <v>45352</v>
      </c>
      <c r="C107" t="s">
        <v>317</v>
      </c>
      <c r="D107" t="s">
        <v>87</v>
      </c>
      <c r="E107" s="52">
        <v>405634.7</v>
      </c>
      <c r="F107" t="s">
        <v>318</v>
      </c>
      <c r="G107" s="10">
        <v>45352</v>
      </c>
      <c r="K107" s="28" t="str">
        <f t="shared" si="2"/>
        <v>Quarter 1 2024</v>
      </c>
    </row>
    <row r="108" spans="1:11">
      <c r="A108" t="s">
        <v>22</v>
      </c>
      <c r="B108" s="10">
        <v>45352</v>
      </c>
      <c r="C108" t="s">
        <v>320</v>
      </c>
      <c r="D108" t="s">
        <v>156</v>
      </c>
      <c r="E108" s="52">
        <v>-405634.7</v>
      </c>
      <c r="F108" t="s">
        <v>67</v>
      </c>
      <c r="G108" s="10">
        <v>45352</v>
      </c>
      <c r="H108" t="s">
        <v>17</v>
      </c>
      <c r="K108" s="28" t="str">
        <f t="shared" si="2"/>
        <v>Quarter 1 2024</v>
      </c>
    </row>
    <row r="109" spans="1:11">
      <c r="A109" t="s">
        <v>22</v>
      </c>
      <c r="B109" s="10">
        <v>45356</v>
      </c>
      <c r="C109" t="s">
        <v>319</v>
      </c>
      <c r="D109" t="s">
        <v>87</v>
      </c>
      <c r="E109">
        <v>-50</v>
      </c>
      <c r="F109" t="s">
        <v>318</v>
      </c>
      <c r="G109" s="10">
        <v>45356</v>
      </c>
      <c r="K109" s="28" t="str">
        <f t="shared" si="2"/>
        <v>Quarter 1 2024</v>
      </c>
    </row>
    <row r="110" spans="1:11">
      <c r="A110" t="s">
        <v>22</v>
      </c>
      <c r="B110" s="10">
        <v>45356</v>
      </c>
      <c r="C110" t="s">
        <v>319</v>
      </c>
      <c r="D110" t="s">
        <v>87</v>
      </c>
      <c r="E110" s="52">
        <v>-114579464.89</v>
      </c>
      <c r="F110" t="s">
        <v>318</v>
      </c>
      <c r="G110" s="10">
        <v>45356</v>
      </c>
      <c r="H110" t="s">
        <v>194</v>
      </c>
      <c r="K110" s="28" t="str">
        <f t="shared" si="2"/>
        <v>Quarter 1 2024</v>
      </c>
    </row>
    <row r="111" spans="1:11">
      <c r="A111" t="s">
        <v>22</v>
      </c>
      <c r="B111" s="10">
        <v>45356</v>
      </c>
      <c r="C111" t="s">
        <v>341</v>
      </c>
      <c r="D111" t="s">
        <v>146</v>
      </c>
      <c r="E111" s="52">
        <v>18332714.379999999</v>
      </c>
      <c r="F111" t="s">
        <v>313</v>
      </c>
      <c r="G111" s="10">
        <v>45356</v>
      </c>
      <c r="K111" s="28" t="str">
        <f t="shared" si="2"/>
        <v>Quarter 1 2024</v>
      </c>
    </row>
    <row r="112" spans="1:11">
      <c r="A112" t="s">
        <v>22</v>
      </c>
      <c r="B112" s="10">
        <v>45356</v>
      </c>
      <c r="C112" t="s">
        <v>342</v>
      </c>
      <c r="D112" t="s">
        <v>143</v>
      </c>
      <c r="E112" s="52">
        <v>96246750.510000005</v>
      </c>
      <c r="F112" t="s">
        <v>313</v>
      </c>
      <c r="G112" s="10">
        <v>45356</v>
      </c>
      <c r="K112" s="28" t="str">
        <f t="shared" si="2"/>
        <v>Quarter 1 2024</v>
      </c>
    </row>
    <row r="113" spans="1:11">
      <c r="A113" t="s">
        <v>22</v>
      </c>
      <c r="B113" s="10">
        <v>45356</v>
      </c>
      <c r="C113" t="s">
        <v>327</v>
      </c>
      <c r="D113" t="s">
        <v>150</v>
      </c>
      <c r="E113">
        <v>50</v>
      </c>
      <c r="F113" t="s">
        <v>313</v>
      </c>
      <c r="G113" s="10">
        <v>45356</v>
      </c>
      <c r="H113" t="s">
        <v>17</v>
      </c>
      <c r="K113" s="28" t="str">
        <f t="shared" si="2"/>
        <v>Quarter 1 2024</v>
      </c>
    </row>
    <row r="114" spans="1:11">
      <c r="A114" t="s">
        <v>22</v>
      </c>
      <c r="B114" s="10">
        <v>45356</v>
      </c>
      <c r="C114" t="s">
        <v>350</v>
      </c>
      <c r="E114" s="52">
        <v>-2738069.86</v>
      </c>
      <c r="F114" t="s">
        <v>313</v>
      </c>
      <c r="G114" s="10">
        <v>45356</v>
      </c>
      <c r="K114" s="28" t="str">
        <f t="shared" si="2"/>
        <v>Quarter 1 2024</v>
      </c>
    </row>
    <row r="115" spans="1:11">
      <c r="A115" t="s">
        <v>22</v>
      </c>
      <c r="B115" s="10">
        <v>45356</v>
      </c>
      <c r="C115" t="s">
        <v>351</v>
      </c>
      <c r="E115" s="52">
        <v>-781946.29</v>
      </c>
      <c r="F115" t="s">
        <v>313</v>
      </c>
      <c r="G115" s="10">
        <v>45356</v>
      </c>
      <c r="K115" s="28" t="str">
        <f t="shared" si="2"/>
        <v>Quarter 1 2024</v>
      </c>
    </row>
    <row r="116" spans="1:11">
      <c r="A116" t="s">
        <v>22</v>
      </c>
      <c r="B116" s="10">
        <v>45356</v>
      </c>
      <c r="C116" t="s">
        <v>352</v>
      </c>
      <c r="E116">
        <v>-260.45999999999998</v>
      </c>
      <c r="F116" t="s">
        <v>313</v>
      </c>
      <c r="G116" s="10">
        <v>45356</v>
      </c>
      <c r="K116" s="28" t="str">
        <f t="shared" si="2"/>
        <v>Quarter 1 2024</v>
      </c>
    </row>
    <row r="117" spans="1:11">
      <c r="A117" t="s">
        <v>22</v>
      </c>
      <c r="B117" s="10">
        <v>45370</v>
      </c>
      <c r="C117" t="s">
        <v>319</v>
      </c>
      <c r="D117" t="s">
        <v>87</v>
      </c>
      <c r="E117" s="52">
        <v>-7529338.6799999997</v>
      </c>
      <c r="F117" t="s">
        <v>318</v>
      </c>
      <c r="G117" s="10">
        <v>45370</v>
      </c>
      <c r="H117" t="s">
        <v>194</v>
      </c>
      <c r="K117" s="28" t="str">
        <f t="shared" si="2"/>
        <v>Quarter 1 2024</v>
      </c>
    </row>
    <row r="118" spans="1:11">
      <c r="A118" t="s">
        <v>22</v>
      </c>
      <c r="B118" s="10">
        <v>45370</v>
      </c>
      <c r="C118" t="s">
        <v>341</v>
      </c>
      <c r="D118" t="s">
        <v>146</v>
      </c>
      <c r="E118" s="52">
        <v>1204694.19</v>
      </c>
      <c r="F118" t="s">
        <v>313</v>
      </c>
      <c r="G118" s="10">
        <v>45370</v>
      </c>
      <c r="K118" s="28" t="str">
        <f t="shared" si="2"/>
        <v>Quarter 1 2024</v>
      </c>
    </row>
    <row r="119" spans="1:11">
      <c r="A119" t="s">
        <v>22</v>
      </c>
      <c r="B119" s="10">
        <v>45370</v>
      </c>
      <c r="C119" t="s">
        <v>342</v>
      </c>
      <c r="D119" t="s">
        <v>143</v>
      </c>
      <c r="E119" s="52">
        <v>6324644.4900000002</v>
      </c>
      <c r="F119" t="s">
        <v>313</v>
      </c>
      <c r="G119" s="10">
        <v>45370</v>
      </c>
      <c r="K119" s="28" t="str">
        <f t="shared" si="2"/>
        <v>Quarter 1 2024</v>
      </c>
    </row>
    <row r="120" spans="1:11">
      <c r="A120" t="s">
        <v>22</v>
      </c>
      <c r="B120" s="10">
        <v>45370</v>
      </c>
      <c r="C120" t="s">
        <v>350</v>
      </c>
      <c r="E120" s="52">
        <v>-1242169.17</v>
      </c>
      <c r="F120" t="s">
        <v>313</v>
      </c>
      <c r="G120" s="10">
        <v>45370</v>
      </c>
      <c r="K120" s="28" t="str">
        <f t="shared" si="2"/>
        <v>Quarter 1 2024</v>
      </c>
    </row>
    <row r="121" spans="1:11">
      <c r="A121" t="s">
        <v>22</v>
      </c>
      <c r="B121" s="10">
        <v>45370</v>
      </c>
      <c r="C121" t="s">
        <v>351</v>
      </c>
      <c r="E121" s="52">
        <v>-314531.36</v>
      </c>
      <c r="F121" t="s">
        <v>313</v>
      </c>
      <c r="G121" s="10">
        <v>45370</v>
      </c>
      <c r="K121" s="28" t="str">
        <f t="shared" si="2"/>
        <v>Quarter 1 2024</v>
      </c>
    </row>
    <row r="122" spans="1:11">
      <c r="A122" t="s">
        <v>22</v>
      </c>
      <c r="B122" s="10">
        <v>45370</v>
      </c>
      <c r="C122" t="s">
        <v>352</v>
      </c>
      <c r="E122">
        <v>-25.32</v>
      </c>
      <c r="F122" t="s">
        <v>313</v>
      </c>
      <c r="G122" s="10">
        <v>45370</v>
      </c>
      <c r="K122" s="28" t="str">
        <f t="shared" si="2"/>
        <v>Quarter 1 2024</v>
      </c>
    </row>
    <row r="123" spans="1:11">
      <c r="A123" t="s">
        <v>22</v>
      </c>
      <c r="B123" s="10">
        <v>45379</v>
      </c>
      <c r="C123" t="s">
        <v>329</v>
      </c>
      <c r="D123" t="s">
        <v>139</v>
      </c>
      <c r="E123" s="52">
        <v>3100</v>
      </c>
      <c r="F123" t="s">
        <v>67</v>
      </c>
      <c r="G123" s="10">
        <v>45379</v>
      </c>
      <c r="H123" t="s">
        <v>194</v>
      </c>
      <c r="K123" s="28" t="str">
        <f t="shared" si="2"/>
        <v>Quarter 1 2024</v>
      </c>
    </row>
    <row r="124" spans="1:11">
      <c r="A124" t="s">
        <v>22</v>
      </c>
      <c r="B124" s="10">
        <v>45379</v>
      </c>
      <c r="C124" t="s">
        <v>94</v>
      </c>
      <c r="D124" t="s">
        <v>96</v>
      </c>
      <c r="E124">
        <v>750</v>
      </c>
      <c r="F124" t="s">
        <v>67</v>
      </c>
      <c r="G124" s="10">
        <v>45379</v>
      </c>
      <c r="H124" t="s">
        <v>194</v>
      </c>
      <c r="K124" s="28" t="str">
        <f t="shared" si="2"/>
        <v>Quarter 1 2024</v>
      </c>
    </row>
    <row r="125" spans="1:11">
      <c r="A125" t="s">
        <v>22</v>
      </c>
      <c r="B125" s="10">
        <v>45379</v>
      </c>
      <c r="C125" t="s">
        <v>343</v>
      </c>
      <c r="D125" t="s">
        <v>150</v>
      </c>
      <c r="E125" s="52">
        <v>1124787</v>
      </c>
      <c r="F125" t="s">
        <v>321</v>
      </c>
      <c r="G125" s="10">
        <v>45379</v>
      </c>
      <c r="H125" t="s">
        <v>194</v>
      </c>
      <c r="K125" s="28" t="str">
        <f t="shared" si="2"/>
        <v>Quarter 1 2024</v>
      </c>
    </row>
    <row r="126" spans="1:11">
      <c r="A126" t="s">
        <v>22</v>
      </c>
      <c r="B126" s="10">
        <v>45379</v>
      </c>
      <c r="C126" t="s">
        <v>330</v>
      </c>
      <c r="D126" t="s">
        <v>162</v>
      </c>
      <c r="E126" s="52">
        <v>8624.07</v>
      </c>
      <c r="F126" t="s">
        <v>353</v>
      </c>
      <c r="G126" s="10">
        <v>45379</v>
      </c>
      <c r="H126" t="s">
        <v>194</v>
      </c>
      <c r="K126" s="28" t="str">
        <f t="shared" si="2"/>
        <v>Quarter 1 2024</v>
      </c>
    </row>
    <row r="127" spans="1:11">
      <c r="A127" t="s">
        <v>22</v>
      </c>
      <c r="B127" s="10">
        <v>45379</v>
      </c>
      <c r="C127" t="s">
        <v>327</v>
      </c>
      <c r="D127" t="s">
        <v>150</v>
      </c>
      <c r="E127">
        <v>661.07</v>
      </c>
      <c r="F127" t="s">
        <v>353</v>
      </c>
      <c r="G127" s="10">
        <v>45379</v>
      </c>
      <c r="H127" t="s">
        <v>194</v>
      </c>
      <c r="K127" s="28" t="str">
        <f t="shared" si="2"/>
        <v>Quarter 1 2024</v>
      </c>
    </row>
    <row r="128" spans="1:11">
      <c r="A128" t="s">
        <v>22</v>
      </c>
      <c r="B128" s="10">
        <v>45379</v>
      </c>
      <c r="C128" t="s">
        <v>320</v>
      </c>
      <c r="D128" t="s">
        <v>156</v>
      </c>
      <c r="E128" s="52">
        <v>-93090.14</v>
      </c>
      <c r="F128" t="s">
        <v>67</v>
      </c>
      <c r="G128" s="10">
        <v>45379</v>
      </c>
      <c r="H128" t="s">
        <v>17</v>
      </c>
      <c r="K128" s="28" t="str">
        <f t="shared" si="2"/>
        <v>Quarter 1 2024</v>
      </c>
    </row>
    <row r="129" spans="1:11">
      <c r="A129" t="s">
        <v>22</v>
      </c>
      <c r="B129" s="10">
        <v>45379</v>
      </c>
      <c r="C129" t="s">
        <v>346</v>
      </c>
      <c r="D129" t="s">
        <v>105</v>
      </c>
      <c r="E129" s="52">
        <v>22757483.239999998</v>
      </c>
      <c r="F129" t="s">
        <v>318</v>
      </c>
      <c r="G129" s="10">
        <v>45379</v>
      </c>
      <c r="K129" s="28" t="str">
        <f t="shared" si="2"/>
        <v>Quarter 1 2024</v>
      </c>
    </row>
    <row r="130" spans="1:11">
      <c r="A130" t="s">
        <v>22</v>
      </c>
      <c r="B130" s="10">
        <v>45379</v>
      </c>
      <c r="C130" t="s">
        <v>333</v>
      </c>
      <c r="D130" t="s">
        <v>121</v>
      </c>
      <c r="E130" s="52">
        <v>-3100</v>
      </c>
      <c r="F130" t="s">
        <v>318</v>
      </c>
      <c r="G130" s="10">
        <v>45379</v>
      </c>
      <c r="H130" t="s">
        <v>194</v>
      </c>
      <c r="K130" s="28" t="str">
        <f t="shared" si="2"/>
        <v>Quarter 1 2024</v>
      </c>
    </row>
    <row r="131" spans="1:11">
      <c r="A131" t="s">
        <v>22</v>
      </c>
      <c r="B131" s="10">
        <v>45379</v>
      </c>
      <c r="C131" t="s">
        <v>334</v>
      </c>
      <c r="D131" t="s">
        <v>95</v>
      </c>
      <c r="E131">
        <v>-750</v>
      </c>
      <c r="F131" t="s">
        <v>318</v>
      </c>
      <c r="G131" s="10">
        <v>45379</v>
      </c>
      <c r="H131" t="s">
        <v>194</v>
      </c>
      <c r="K131" s="28" t="str">
        <f t="shared" si="2"/>
        <v>Quarter 1 2024</v>
      </c>
    </row>
    <row r="132" spans="1:11">
      <c r="A132" t="s">
        <v>22</v>
      </c>
      <c r="B132" s="10">
        <v>45379</v>
      </c>
      <c r="C132" t="s">
        <v>354</v>
      </c>
      <c r="D132" t="s">
        <v>116</v>
      </c>
      <c r="E132" s="52">
        <v>-1124787</v>
      </c>
      <c r="F132" t="s">
        <v>318</v>
      </c>
      <c r="G132" s="10">
        <v>45379</v>
      </c>
      <c r="H132" t="s">
        <v>194</v>
      </c>
      <c r="K132" s="28" t="str">
        <f t="shared" si="2"/>
        <v>Quarter 1 2024</v>
      </c>
    </row>
    <row r="133" spans="1:11">
      <c r="A133" t="s">
        <v>22</v>
      </c>
      <c r="B133" s="10">
        <v>45379</v>
      </c>
      <c r="C133" t="s">
        <v>355</v>
      </c>
      <c r="D133" t="s">
        <v>116</v>
      </c>
      <c r="E133" s="52">
        <v>-8624.07</v>
      </c>
      <c r="F133" t="s">
        <v>318</v>
      </c>
      <c r="G133" s="10">
        <v>45379</v>
      </c>
      <c r="H133" t="s">
        <v>194</v>
      </c>
      <c r="K133" s="28" t="str">
        <f t="shared" si="2"/>
        <v>Quarter 1 2024</v>
      </c>
    </row>
    <row r="134" spans="1:11">
      <c r="A134" t="s">
        <v>22</v>
      </c>
      <c r="B134" s="10">
        <v>45379</v>
      </c>
      <c r="C134" t="s">
        <v>322</v>
      </c>
      <c r="D134" t="s">
        <v>116</v>
      </c>
      <c r="E134">
        <v>-661.07</v>
      </c>
      <c r="F134" t="s">
        <v>318</v>
      </c>
      <c r="G134" s="10">
        <v>45379</v>
      </c>
      <c r="H134" t="s">
        <v>194</v>
      </c>
      <c r="K134" s="28" t="str">
        <f t="shared" si="2"/>
        <v>Quarter 1 2024</v>
      </c>
    </row>
    <row r="135" spans="1:11">
      <c r="A135" t="s">
        <v>22</v>
      </c>
      <c r="B135" s="10">
        <v>45379</v>
      </c>
      <c r="C135" t="s">
        <v>337</v>
      </c>
      <c r="D135" t="s">
        <v>108</v>
      </c>
      <c r="E135" s="52">
        <v>93090.14</v>
      </c>
      <c r="F135" t="s">
        <v>318</v>
      </c>
      <c r="G135" s="10">
        <v>45379</v>
      </c>
      <c r="H135" t="s">
        <v>194</v>
      </c>
      <c r="K135" s="28" t="str">
        <f t="shared" si="2"/>
        <v>Quarter 1 2024</v>
      </c>
    </row>
    <row r="136" spans="1:11">
      <c r="A136" t="s">
        <v>22</v>
      </c>
      <c r="B136" s="10">
        <v>45379</v>
      </c>
      <c r="C136" t="s">
        <v>347</v>
      </c>
      <c r="D136" t="s">
        <v>157</v>
      </c>
      <c r="E136" s="52">
        <v>-22757483.239999998</v>
      </c>
      <c r="F136" t="s">
        <v>67</v>
      </c>
      <c r="G136" s="10">
        <v>45379</v>
      </c>
      <c r="K136" s="28" t="str">
        <f t="shared" si="2"/>
        <v>Quarter 1 2024</v>
      </c>
    </row>
    <row r="137" spans="1:11">
      <c r="A137" t="s">
        <v>22</v>
      </c>
      <c r="B137" s="10">
        <v>45382</v>
      </c>
      <c r="C137" t="s">
        <v>331</v>
      </c>
      <c r="E137">
        <v>15</v>
      </c>
      <c r="F137" t="s">
        <v>313</v>
      </c>
      <c r="G137" s="10">
        <v>45382</v>
      </c>
      <c r="K137" s="28" t="str">
        <f t="shared" si="2"/>
        <v>Quarter 1 2024</v>
      </c>
    </row>
    <row r="138" spans="1:11">
      <c r="A138" t="s">
        <v>22</v>
      </c>
      <c r="B138" s="10">
        <v>45383</v>
      </c>
      <c r="C138" t="s">
        <v>317</v>
      </c>
      <c r="D138" t="s">
        <v>87</v>
      </c>
      <c r="E138" s="52">
        <v>93090.14</v>
      </c>
      <c r="F138" t="s">
        <v>318</v>
      </c>
      <c r="G138" s="10">
        <v>45383</v>
      </c>
      <c r="K138" s="28" t="str">
        <f t="shared" si="2"/>
        <v>Quarter 2 2024</v>
      </c>
    </row>
    <row r="139" spans="1:11">
      <c r="A139" t="s">
        <v>22</v>
      </c>
      <c r="B139" s="10">
        <v>45383</v>
      </c>
      <c r="C139" t="s">
        <v>337</v>
      </c>
      <c r="D139" t="s">
        <v>108</v>
      </c>
      <c r="E139" s="52">
        <v>-93090.14</v>
      </c>
      <c r="F139" t="s">
        <v>318</v>
      </c>
      <c r="G139" s="10">
        <v>45383</v>
      </c>
      <c r="H139" t="s">
        <v>194</v>
      </c>
      <c r="K139" s="28" t="str">
        <f t="shared" si="2"/>
        <v>Quarter 2 2024</v>
      </c>
    </row>
    <row r="140" spans="1:11">
      <c r="A140" t="s">
        <v>22</v>
      </c>
      <c r="B140" s="10">
        <v>45390</v>
      </c>
      <c r="C140" t="s">
        <v>319</v>
      </c>
      <c r="D140" t="s">
        <v>87</v>
      </c>
      <c r="E140" s="52">
        <v>-1124787</v>
      </c>
      <c r="F140" t="s">
        <v>318</v>
      </c>
      <c r="G140" s="10">
        <v>45390</v>
      </c>
      <c r="K140" s="28" t="str">
        <f t="shared" si="2"/>
        <v>Quarter 2 2024</v>
      </c>
    </row>
    <row r="141" spans="1:11">
      <c r="A141" t="s">
        <v>22</v>
      </c>
      <c r="B141" s="10">
        <v>45390</v>
      </c>
      <c r="C141" t="s">
        <v>322</v>
      </c>
      <c r="D141" t="s">
        <v>116</v>
      </c>
      <c r="E141" s="52">
        <v>1124787</v>
      </c>
      <c r="F141" t="s">
        <v>67</v>
      </c>
      <c r="G141" s="10">
        <v>45390</v>
      </c>
      <c r="H141" t="s">
        <v>17</v>
      </c>
      <c r="K141" s="28" t="str">
        <f t="shared" si="2"/>
        <v>Quarter 2 2024</v>
      </c>
    </row>
    <row r="142" spans="1:11">
      <c r="A142" t="s">
        <v>22</v>
      </c>
      <c r="B142" s="10">
        <v>45397</v>
      </c>
      <c r="C142" t="s">
        <v>319</v>
      </c>
      <c r="D142" t="s">
        <v>87</v>
      </c>
      <c r="E142" s="52">
        <v>-16128.88</v>
      </c>
      <c r="F142" t="s">
        <v>318</v>
      </c>
      <c r="G142" s="10">
        <v>45397</v>
      </c>
      <c r="H142" t="s">
        <v>17</v>
      </c>
      <c r="K142" s="28" t="str">
        <f t="shared" si="2"/>
        <v>Quarter 2 2024</v>
      </c>
    </row>
    <row r="143" spans="1:11">
      <c r="A143" t="s">
        <v>22</v>
      </c>
      <c r="B143" s="10">
        <v>45397</v>
      </c>
      <c r="C143" t="s">
        <v>317</v>
      </c>
      <c r="D143" t="s">
        <v>87</v>
      </c>
      <c r="E143">
        <v>-144.52000000000001</v>
      </c>
      <c r="F143" t="s">
        <v>318</v>
      </c>
      <c r="G143" s="10">
        <v>45397</v>
      </c>
      <c r="H143" t="s">
        <v>17</v>
      </c>
      <c r="K143" s="28" t="str">
        <f t="shared" si="2"/>
        <v>Quarter 2 2024</v>
      </c>
    </row>
    <row r="144" spans="1:11">
      <c r="A144" t="s">
        <v>22</v>
      </c>
      <c r="B144" s="10">
        <v>45397</v>
      </c>
      <c r="C144" t="s">
        <v>133</v>
      </c>
      <c r="D144" t="s">
        <v>134</v>
      </c>
      <c r="E144">
        <v>20.66</v>
      </c>
      <c r="F144" t="s">
        <v>67</v>
      </c>
      <c r="G144" s="10">
        <v>45397</v>
      </c>
      <c r="H144" t="s">
        <v>17</v>
      </c>
      <c r="K144" s="28" t="str">
        <f t="shared" si="2"/>
        <v>Quarter 2 2024</v>
      </c>
    </row>
    <row r="145" spans="1:11">
      <c r="A145" t="s">
        <v>22</v>
      </c>
      <c r="B145" s="10">
        <v>45397</v>
      </c>
      <c r="C145" t="s">
        <v>356</v>
      </c>
      <c r="D145" t="s">
        <v>150</v>
      </c>
      <c r="E145" s="52">
        <v>4776.32</v>
      </c>
      <c r="F145" t="s">
        <v>67</v>
      </c>
      <c r="G145" s="10">
        <v>45397</v>
      </c>
      <c r="H145" t="s">
        <v>17</v>
      </c>
      <c r="K145" s="28" t="str">
        <f t="shared" si="2"/>
        <v>Quarter 2 2024</v>
      </c>
    </row>
    <row r="146" spans="1:11">
      <c r="A146" t="s">
        <v>22</v>
      </c>
      <c r="B146" s="10">
        <v>45397</v>
      </c>
      <c r="C146" t="s">
        <v>327</v>
      </c>
      <c r="D146" t="s">
        <v>150</v>
      </c>
      <c r="E146" s="52">
        <v>9265.81</v>
      </c>
      <c r="F146" t="s">
        <v>67</v>
      </c>
      <c r="G146" s="10">
        <v>45397</v>
      </c>
      <c r="H146" t="s">
        <v>17</v>
      </c>
      <c r="K146" s="28" t="str">
        <f t="shared" ref="K146:K209" si="3">"Quarter "&amp;INT((MONTH(B146)-1)/3)+1&amp;" "&amp;YEAR(B146)</f>
        <v>Quarter 2 2024</v>
      </c>
    </row>
    <row r="147" spans="1:11">
      <c r="A147" t="s">
        <v>22</v>
      </c>
      <c r="B147" s="10">
        <v>45397</v>
      </c>
      <c r="C147" t="s">
        <v>348</v>
      </c>
      <c r="D147" t="s">
        <v>142</v>
      </c>
      <c r="E147">
        <v>21.69</v>
      </c>
      <c r="F147" t="s">
        <v>67</v>
      </c>
      <c r="G147" s="10">
        <v>45397</v>
      </c>
      <c r="H147" t="s">
        <v>17</v>
      </c>
      <c r="K147" s="28" t="str">
        <f t="shared" si="3"/>
        <v>Quarter 2 2024</v>
      </c>
    </row>
    <row r="148" spans="1:11">
      <c r="A148" t="s">
        <v>22</v>
      </c>
      <c r="B148" s="10">
        <v>45397</v>
      </c>
      <c r="C148" t="s">
        <v>334</v>
      </c>
      <c r="D148" t="s">
        <v>95</v>
      </c>
      <c r="E148" s="52">
        <v>1383.33</v>
      </c>
      <c r="F148" t="s">
        <v>67</v>
      </c>
      <c r="G148" s="10">
        <v>45397</v>
      </c>
      <c r="H148" t="s">
        <v>17</v>
      </c>
      <c r="K148" s="28" t="str">
        <f t="shared" si="3"/>
        <v>Quarter 2 2024</v>
      </c>
    </row>
    <row r="149" spans="1:11">
      <c r="A149" t="s">
        <v>22</v>
      </c>
      <c r="B149" s="10">
        <v>45397</v>
      </c>
      <c r="C149" t="s">
        <v>322</v>
      </c>
      <c r="D149" t="s">
        <v>116</v>
      </c>
      <c r="E149">
        <v>661.07</v>
      </c>
      <c r="F149" t="s">
        <v>67</v>
      </c>
      <c r="G149" s="10">
        <v>45397</v>
      </c>
      <c r="H149" t="s">
        <v>17</v>
      </c>
      <c r="K149" s="28" t="str">
        <f t="shared" si="3"/>
        <v>Quarter 2 2024</v>
      </c>
    </row>
    <row r="150" spans="1:11">
      <c r="A150" t="s">
        <v>22</v>
      </c>
      <c r="B150" s="10">
        <v>45397</v>
      </c>
      <c r="C150" t="s">
        <v>357</v>
      </c>
      <c r="D150" t="s">
        <v>114</v>
      </c>
      <c r="E150">
        <v>144.52000000000001</v>
      </c>
      <c r="F150" t="s">
        <v>313</v>
      </c>
      <c r="G150" s="10">
        <v>45397</v>
      </c>
      <c r="H150" t="s">
        <v>17</v>
      </c>
      <c r="K150" s="28" t="str">
        <f t="shared" si="3"/>
        <v>Quarter 2 2024</v>
      </c>
    </row>
    <row r="151" spans="1:11">
      <c r="A151" t="s">
        <v>22</v>
      </c>
      <c r="B151" s="10">
        <v>45411</v>
      </c>
      <c r="C151" t="s">
        <v>319</v>
      </c>
      <c r="D151" t="s">
        <v>87</v>
      </c>
      <c r="E151" s="52">
        <v>-31248.45</v>
      </c>
      <c r="F151" t="s">
        <v>318</v>
      </c>
      <c r="G151" s="10">
        <v>45411</v>
      </c>
      <c r="H151" t="s">
        <v>17</v>
      </c>
      <c r="K151" s="28" t="str">
        <f t="shared" si="3"/>
        <v>Quarter 2 2024</v>
      </c>
    </row>
    <row r="152" spans="1:11">
      <c r="A152" t="s">
        <v>22</v>
      </c>
      <c r="B152" s="10">
        <v>45411</v>
      </c>
      <c r="C152" t="s">
        <v>133</v>
      </c>
      <c r="D152" t="s">
        <v>134</v>
      </c>
      <c r="E152">
        <v>47.56</v>
      </c>
      <c r="F152" t="s">
        <v>67</v>
      </c>
      <c r="G152" s="10">
        <v>45411</v>
      </c>
      <c r="H152" t="s">
        <v>17</v>
      </c>
      <c r="K152" s="28" t="str">
        <f t="shared" si="3"/>
        <v>Quarter 2 2024</v>
      </c>
    </row>
    <row r="153" spans="1:11">
      <c r="A153" t="s">
        <v>22</v>
      </c>
      <c r="B153" s="10">
        <v>45411</v>
      </c>
      <c r="C153" t="s">
        <v>356</v>
      </c>
      <c r="D153" t="s">
        <v>150</v>
      </c>
      <c r="E153" s="52">
        <v>15856.91</v>
      </c>
      <c r="F153" t="s">
        <v>67</v>
      </c>
      <c r="G153" s="10">
        <v>45411</v>
      </c>
      <c r="H153" t="s">
        <v>17</v>
      </c>
      <c r="K153" s="28" t="str">
        <f t="shared" si="3"/>
        <v>Quarter 2 2024</v>
      </c>
    </row>
    <row r="154" spans="1:11">
      <c r="A154" t="s">
        <v>22</v>
      </c>
      <c r="B154" s="10">
        <v>45411</v>
      </c>
      <c r="C154" t="s">
        <v>327</v>
      </c>
      <c r="D154" t="s">
        <v>150</v>
      </c>
      <c r="E154" s="52">
        <v>2943.98</v>
      </c>
      <c r="F154" t="s">
        <v>67</v>
      </c>
      <c r="G154" s="10">
        <v>45411</v>
      </c>
      <c r="H154" t="s">
        <v>17</v>
      </c>
      <c r="K154" s="28" t="str">
        <f t="shared" si="3"/>
        <v>Quarter 2 2024</v>
      </c>
    </row>
    <row r="155" spans="1:11">
      <c r="A155" t="s">
        <v>22</v>
      </c>
      <c r="B155" s="10">
        <v>45411</v>
      </c>
      <c r="C155" t="s">
        <v>333</v>
      </c>
      <c r="D155" t="s">
        <v>121</v>
      </c>
      <c r="E155" s="52">
        <v>12400</v>
      </c>
      <c r="F155" t="s">
        <v>67</v>
      </c>
      <c r="G155" s="10">
        <v>45411</v>
      </c>
      <c r="H155" t="s">
        <v>17</v>
      </c>
      <c r="K155" s="28" t="str">
        <f t="shared" si="3"/>
        <v>Quarter 2 2024</v>
      </c>
    </row>
    <row r="156" spans="1:11">
      <c r="A156" t="s">
        <v>22</v>
      </c>
      <c r="B156" s="10">
        <v>45413</v>
      </c>
      <c r="C156" t="s">
        <v>317</v>
      </c>
      <c r="D156" t="s">
        <v>87</v>
      </c>
      <c r="E156" s="52">
        <v>3639.98</v>
      </c>
      <c r="F156" t="s">
        <v>318</v>
      </c>
      <c r="G156" s="10">
        <v>45413</v>
      </c>
      <c r="H156" t="s">
        <v>17</v>
      </c>
      <c r="K156" s="28" t="str">
        <f t="shared" si="3"/>
        <v>Quarter 2 2024</v>
      </c>
    </row>
    <row r="157" spans="1:11">
      <c r="A157" t="s">
        <v>22</v>
      </c>
      <c r="B157" s="10">
        <v>45413</v>
      </c>
      <c r="C157" t="s">
        <v>320</v>
      </c>
      <c r="D157" t="s">
        <v>156</v>
      </c>
      <c r="E157" s="52">
        <v>-3639.98</v>
      </c>
      <c r="F157" t="s">
        <v>67</v>
      </c>
      <c r="G157" s="10">
        <v>45413</v>
      </c>
      <c r="H157" t="s">
        <v>17</v>
      </c>
      <c r="K157" s="28" t="str">
        <f t="shared" si="3"/>
        <v>Quarter 2 2024</v>
      </c>
    </row>
    <row r="158" spans="1:11">
      <c r="A158" t="s">
        <v>22</v>
      </c>
      <c r="B158" s="10">
        <v>45440</v>
      </c>
      <c r="C158" t="s">
        <v>319</v>
      </c>
      <c r="D158" t="s">
        <v>87</v>
      </c>
      <c r="E158" s="52">
        <v>-139337.47</v>
      </c>
      <c r="F158" t="s">
        <v>318</v>
      </c>
      <c r="G158" s="10">
        <v>45440</v>
      </c>
      <c r="H158" t="s">
        <v>17</v>
      </c>
      <c r="K158" s="28" t="str">
        <f t="shared" si="3"/>
        <v>Quarter 2 2024</v>
      </c>
    </row>
    <row r="159" spans="1:11">
      <c r="A159" t="s">
        <v>22</v>
      </c>
      <c r="B159" s="10">
        <v>45440</v>
      </c>
      <c r="C159" t="s">
        <v>94</v>
      </c>
      <c r="D159" t="s">
        <v>96</v>
      </c>
      <c r="E159" s="52">
        <v>7165.39</v>
      </c>
      <c r="F159" t="s">
        <v>67</v>
      </c>
      <c r="G159" s="10">
        <v>45440</v>
      </c>
      <c r="H159" t="s">
        <v>17</v>
      </c>
      <c r="K159" s="28" t="str">
        <f t="shared" si="3"/>
        <v>Quarter 2 2024</v>
      </c>
    </row>
    <row r="160" spans="1:11">
      <c r="A160" t="s">
        <v>22</v>
      </c>
      <c r="B160" s="10">
        <v>45440</v>
      </c>
      <c r="C160" t="s">
        <v>358</v>
      </c>
      <c r="D160" t="s">
        <v>163</v>
      </c>
      <c r="E160" s="52">
        <v>102791.17</v>
      </c>
      <c r="F160" t="s">
        <v>67</v>
      </c>
      <c r="G160" s="10">
        <v>45440</v>
      </c>
      <c r="H160" t="s">
        <v>17</v>
      </c>
      <c r="K160" s="28" t="str">
        <f t="shared" si="3"/>
        <v>Quarter 2 2024</v>
      </c>
    </row>
    <row r="161" spans="1:11">
      <c r="A161" t="s">
        <v>22</v>
      </c>
      <c r="B161" s="10">
        <v>45440</v>
      </c>
      <c r="C161" t="s">
        <v>133</v>
      </c>
      <c r="D161" t="s">
        <v>134</v>
      </c>
      <c r="E161">
        <v>21.74</v>
      </c>
      <c r="F161" t="s">
        <v>67</v>
      </c>
      <c r="G161" s="10">
        <v>45440</v>
      </c>
      <c r="H161" t="s">
        <v>17</v>
      </c>
      <c r="K161" s="28" t="str">
        <f t="shared" si="3"/>
        <v>Quarter 2 2024</v>
      </c>
    </row>
    <row r="162" spans="1:11">
      <c r="A162" t="s">
        <v>22</v>
      </c>
      <c r="B162" s="10">
        <v>45440</v>
      </c>
      <c r="C162" t="s">
        <v>356</v>
      </c>
      <c r="D162" t="s">
        <v>150</v>
      </c>
      <c r="E162" s="52">
        <v>4615.01</v>
      </c>
      <c r="F162" t="s">
        <v>67</v>
      </c>
      <c r="G162" s="10">
        <v>45440</v>
      </c>
      <c r="H162" t="s">
        <v>17</v>
      </c>
      <c r="K162" s="28" t="str">
        <f t="shared" si="3"/>
        <v>Quarter 2 2024</v>
      </c>
    </row>
    <row r="163" spans="1:11">
      <c r="A163" t="s">
        <v>22</v>
      </c>
      <c r="B163" s="10">
        <v>45440</v>
      </c>
      <c r="C163" t="s">
        <v>327</v>
      </c>
      <c r="D163" t="s">
        <v>150</v>
      </c>
      <c r="E163" s="52">
        <v>23926.63</v>
      </c>
      <c r="F163" t="s">
        <v>67</v>
      </c>
      <c r="G163" s="10">
        <v>45440</v>
      </c>
      <c r="H163" t="s">
        <v>17</v>
      </c>
      <c r="K163" s="28" t="str">
        <f t="shared" si="3"/>
        <v>Quarter 2 2024</v>
      </c>
    </row>
    <row r="164" spans="1:11">
      <c r="A164" t="s">
        <v>22</v>
      </c>
      <c r="B164" s="10">
        <v>45440</v>
      </c>
      <c r="C164" t="s">
        <v>144</v>
      </c>
      <c r="D164" t="s">
        <v>145</v>
      </c>
      <c r="E164">
        <v>567.53</v>
      </c>
      <c r="F164" t="s">
        <v>67</v>
      </c>
      <c r="G164" s="10">
        <v>45440</v>
      </c>
      <c r="H164" t="s">
        <v>17</v>
      </c>
      <c r="K164" s="28" t="str">
        <f t="shared" si="3"/>
        <v>Quarter 2 2024</v>
      </c>
    </row>
    <row r="165" spans="1:11">
      <c r="A165" t="s">
        <v>22</v>
      </c>
      <c r="B165" s="10">
        <v>45440</v>
      </c>
      <c r="C165" t="s">
        <v>334</v>
      </c>
      <c r="D165" t="s">
        <v>95</v>
      </c>
      <c r="E165">
        <v>250</v>
      </c>
      <c r="F165" t="s">
        <v>67</v>
      </c>
      <c r="G165" s="10">
        <v>45440</v>
      </c>
      <c r="H165" t="s">
        <v>17</v>
      </c>
      <c r="K165" s="28" t="str">
        <f t="shared" si="3"/>
        <v>Quarter 2 2024</v>
      </c>
    </row>
    <row r="166" spans="1:11">
      <c r="A166" t="s">
        <v>22</v>
      </c>
      <c r="B166" s="10">
        <v>45442</v>
      </c>
      <c r="C166" t="s">
        <v>319</v>
      </c>
      <c r="D166" t="s">
        <v>87</v>
      </c>
      <c r="E166" s="52">
        <v>-10629.32</v>
      </c>
      <c r="F166" t="s">
        <v>318</v>
      </c>
      <c r="G166" s="10">
        <v>45442</v>
      </c>
      <c r="H166" t="s">
        <v>17</v>
      </c>
      <c r="K166" s="28" t="str">
        <f t="shared" si="3"/>
        <v>Quarter 2 2024</v>
      </c>
    </row>
    <row r="167" spans="1:11">
      <c r="A167" t="s">
        <v>22</v>
      </c>
      <c r="B167" s="10">
        <v>45442</v>
      </c>
      <c r="C167" t="s">
        <v>133</v>
      </c>
      <c r="D167" t="s">
        <v>134</v>
      </c>
      <c r="E167">
        <v>122.76</v>
      </c>
      <c r="F167" t="s">
        <v>67</v>
      </c>
      <c r="G167" s="10">
        <v>45442</v>
      </c>
      <c r="H167" t="s">
        <v>17</v>
      </c>
      <c r="K167" s="28" t="str">
        <f t="shared" si="3"/>
        <v>Quarter 2 2024</v>
      </c>
    </row>
    <row r="168" spans="1:11">
      <c r="A168" t="s">
        <v>22</v>
      </c>
      <c r="B168" s="10">
        <v>45442</v>
      </c>
      <c r="C168" t="s">
        <v>356</v>
      </c>
      <c r="D168" t="s">
        <v>150</v>
      </c>
      <c r="E168" s="52">
        <v>3269.75</v>
      </c>
      <c r="F168" t="s">
        <v>67</v>
      </c>
      <c r="G168" s="10">
        <v>45442</v>
      </c>
      <c r="H168" t="s">
        <v>17</v>
      </c>
      <c r="K168" s="28" t="str">
        <f t="shared" si="3"/>
        <v>Quarter 2 2024</v>
      </c>
    </row>
    <row r="169" spans="1:11">
      <c r="A169" t="s">
        <v>22</v>
      </c>
      <c r="B169" s="10">
        <v>45442</v>
      </c>
      <c r="C169" t="s">
        <v>327</v>
      </c>
      <c r="D169" t="s">
        <v>150</v>
      </c>
      <c r="E169" s="52">
        <v>2993.15</v>
      </c>
      <c r="F169" t="s">
        <v>67</v>
      </c>
      <c r="G169" s="10">
        <v>45442</v>
      </c>
      <c r="H169" t="s">
        <v>17</v>
      </c>
      <c r="K169" s="28" t="str">
        <f t="shared" si="3"/>
        <v>Quarter 2 2024</v>
      </c>
    </row>
    <row r="170" spans="1:11">
      <c r="A170" t="s">
        <v>22</v>
      </c>
      <c r="B170" s="10">
        <v>45442</v>
      </c>
      <c r="C170" t="s">
        <v>144</v>
      </c>
      <c r="D170" t="s">
        <v>145</v>
      </c>
      <c r="E170" s="52">
        <v>4243.66</v>
      </c>
      <c r="F170" t="s">
        <v>67</v>
      </c>
      <c r="G170" s="10">
        <v>45442</v>
      </c>
      <c r="H170" t="s">
        <v>17</v>
      </c>
      <c r="K170" s="28" t="str">
        <f t="shared" si="3"/>
        <v>Quarter 2 2024</v>
      </c>
    </row>
    <row r="171" spans="1:11">
      <c r="A171" t="s">
        <v>22</v>
      </c>
      <c r="B171" s="10">
        <v>45446</v>
      </c>
      <c r="C171" t="s">
        <v>317</v>
      </c>
      <c r="D171" t="s">
        <v>87</v>
      </c>
      <c r="E171" s="52">
        <v>2267.04</v>
      </c>
      <c r="F171" t="s">
        <v>318</v>
      </c>
      <c r="G171" s="10">
        <v>45446</v>
      </c>
      <c r="H171" t="s">
        <v>17</v>
      </c>
      <c r="K171" s="28" t="str">
        <f t="shared" si="3"/>
        <v>Quarter 2 2024</v>
      </c>
    </row>
    <row r="172" spans="1:11">
      <c r="A172" t="s">
        <v>22</v>
      </c>
      <c r="B172" s="10">
        <v>45446</v>
      </c>
      <c r="C172" t="s">
        <v>320</v>
      </c>
      <c r="D172" t="s">
        <v>156</v>
      </c>
      <c r="E172" s="52">
        <v>-2267.04</v>
      </c>
      <c r="F172" t="s">
        <v>67</v>
      </c>
      <c r="G172" s="10">
        <v>45446</v>
      </c>
      <c r="H172" t="s">
        <v>17</v>
      </c>
      <c r="K172" s="28" t="str">
        <f t="shared" si="3"/>
        <v>Quarter 2 2024</v>
      </c>
    </row>
    <row r="173" spans="1:11">
      <c r="A173" t="s">
        <v>22</v>
      </c>
      <c r="B173" s="10">
        <v>45471</v>
      </c>
      <c r="C173" t="s">
        <v>319</v>
      </c>
      <c r="D173" t="s">
        <v>87</v>
      </c>
      <c r="E173" s="52">
        <v>-98393</v>
      </c>
      <c r="F173" t="s">
        <v>318</v>
      </c>
      <c r="G173" s="10">
        <v>45471</v>
      </c>
      <c r="H173" t="s">
        <v>17</v>
      </c>
      <c r="K173" s="28" t="str">
        <f t="shared" si="3"/>
        <v>Quarter 2 2024</v>
      </c>
    </row>
    <row r="174" spans="1:11">
      <c r="A174" t="s">
        <v>22</v>
      </c>
      <c r="B174" s="10">
        <v>45471</v>
      </c>
      <c r="C174" t="s">
        <v>329</v>
      </c>
      <c r="D174" t="s">
        <v>139</v>
      </c>
      <c r="E174" s="52">
        <v>3100</v>
      </c>
      <c r="F174" t="s">
        <v>67</v>
      </c>
      <c r="G174" s="10">
        <v>45471</v>
      </c>
      <c r="H174" t="s">
        <v>194</v>
      </c>
      <c r="K174" s="28" t="str">
        <f t="shared" si="3"/>
        <v>Quarter 2 2024</v>
      </c>
    </row>
    <row r="175" spans="1:11">
      <c r="A175" t="s">
        <v>22</v>
      </c>
      <c r="B175" s="10">
        <v>45471</v>
      </c>
      <c r="C175" t="s">
        <v>94</v>
      </c>
      <c r="D175" t="s">
        <v>96</v>
      </c>
      <c r="E175">
        <v>750</v>
      </c>
      <c r="F175" t="s">
        <v>67</v>
      </c>
      <c r="G175" s="10">
        <v>45471</v>
      </c>
      <c r="H175" t="s">
        <v>194</v>
      </c>
      <c r="K175" s="28" t="str">
        <f t="shared" si="3"/>
        <v>Quarter 2 2024</v>
      </c>
    </row>
    <row r="176" spans="1:11">
      <c r="A176" t="s">
        <v>22</v>
      </c>
      <c r="B176" s="10">
        <v>45471</v>
      </c>
      <c r="C176" t="s">
        <v>343</v>
      </c>
      <c r="D176" t="s">
        <v>150</v>
      </c>
      <c r="E176" s="52">
        <v>98393</v>
      </c>
      <c r="F176" t="s">
        <v>67</v>
      </c>
      <c r="G176" s="10">
        <v>45471</v>
      </c>
      <c r="H176" t="s">
        <v>17</v>
      </c>
      <c r="K176" s="28" t="str">
        <f t="shared" si="3"/>
        <v>Quarter 2 2024</v>
      </c>
    </row>
    <row r="177" spans="1:11">
      <c r="A177" t="s">
        <v>22</v>
      </c>
      <c r="B177" s="10">
        <v>45471</v>
      </c>
      <c r="C177" t="s">
        <v>330</v>
      </c>
      <c r="D177" t="s">
        <v>162</v>
      </c>
      <c r="E177" s="52">
        <v>8624.07</v>
      </c>
      <c r="F177" t="s">
        <v>67</v>
      </c>
      <c r="G177" s="10">
        <v>45471</v>
      </c>
      <c r="H177" t="s">
        <v>194</v>
      </c>
      <c r="K177" s="28" t="str">
        <f t="shared" si="3"/>
        <v>Quarter 2 2024</v>
      </c>
    </row>
    <row r="178" spans="1:11">
      <c r="A178" t="s">
        <v>22</v>
      </c>
      <c r="B178" s="10">
        <v>45471</v>
      </c>
      <c r="C178" t="s">
        <v>320</v>
      </c>
      <c r="D178" t="s">
        <v>156</v>
      </c>
      <c r="E178" s="52">
        <v>-1580.56</v>
      </c>
      <c r="F178" t="s">
        <v>67</v>
      </c>
      <c r="G178" s="10">
        <v>45471</v>
      </c>
      <c r="H178" t="s">
        <v>17</v>
      </c>
      <c r="K178" s="28" t="str">
        <f t="shared" si="3"/>
        <v>Quarter 2 2024</v>
      </c>
    </row>
    <row r="179" spans="1:11">
      <c r="A179" t="s">
        <v>22</v>
      </c>
      <c r="B179" s="10">
        <v>45471</v>
      </c>
      <c r="C179" t="s">
        <v>346</v>
      </c>
      <c r="D179" t="s">
        <v>105</v>
      </c>
      <c r="E179" s="52">
        <v>19792477.27</v>
      </c>
      <c r="F179" t="s">
        <v>318</v>
      </c>
      <c r="G179" s="10">
        <v>45471</v>
      </c>
      <c r="K179" s="28" t="str">
        <f t="shared" si="3"/>
        <v>Quarter 2 2024</v>
      </c>
    </row>
    <row r="180" spans="1:11">
      <c r="A180" t="s">
        <v>22</v>
      </c>
      <c r="B180" s="10">
        <v>45471</v>
      </c>
      <c r="C180" t="s">
        <v>333</v>
      </c>
      <c r="D180" t="s">
        <v>121</v>
      </c>
      <c r="E180" s="52">
        <v>-3100</v>
      </c>
      <c r="F180" t="s">
        <v>318</v>
      </c>
      <c r="G180" s="10">
        <v>45471</v>
      </c>
      <c r="H180" t="s">
        <v>194</v>
      </c>
      <c r="K180" s="28" t="str">
        <f t="shared" si="3"/>
        <v>Quarter 2 2024</v>
      </c>
    </row>
    <row r="181" spans="1:11">
      <c r="A181" t="s">
        <v>22</v>
      </c>
      <c r="B181" s="10">
        <v>45471</v>
      </c>
      <c r="C181" t="s">
        <v>334</v>
      </c>
      <c r="D181" t="s">
        <v>95</v>
      </c>
      <c r="E181">
        <v>-750</v>
      </c>
      <c r="F181" t="s">
        <v>318</v>
      </c>
      <c r="G181" s="10">
        <v>45471</v>
      </c>
      <c r="H181" t="s">
        <v>194</v>
      </c>
      <c r="K181" s="28" t="str">
        <f t="shared" si="3"/>
        <v>Quarter 2 2024</v>
      </c>
    </row>
    <row r="182" spans="1:11">
      <c r="A182" t="s">
        <v>22</v>
      </c>
      <c r="B182" s="10">
        <v>45471</v>
      </c>
      <c r="C182" t="s">
        <v>355</v>
      </c>
      <c r="D182" t="s">
        <v>116</v>
      </c>
      <c r="E182" s="52">
        <v>-8624.07</v>
      </c>
      <c r="F182" t="s">
        <v>318</v>
      </c>
      <c r="G182" s="10">
        <v>45471</v>
      </c>
      <c r="H182" t="s">
        <v>194</v>
      </c>
      <c r="K182" s="28" t="str">
        <f t="shared" si="3"/>
        <v>Quarter 2 2024</v>
      </c>
    </row>
    <row r="183" spans="1:11">
      <c r="A183" t="s">
        <v>22</v>
      </c>
      <c r="B183" s="10">
        <v>45471</v>
      </c>
      <c r="C183" t="s">
        <v>337</v>
      </c>
      <c r="D183" t="s">
        <v>108</v>
      </c>
      <c r="E183" s="52">
        <v>1580.56</v>
      </c>
      <c r="F183" t="s">
        <v>318</v>
      </c>
      <c r="G183" s="10">
        <v>45471</v>
      </c>
      <c r="H183" t="s">
        <v>194</v>
      </c>
      <c r="K183" s="28" t="str">
        <f t="shared" si="3"/>
        <v>Quarter 2 2024</v>
      </c>
    </row>
    <row r="184" spans="1:11">
      <c r="A184" t="s">
        <v>22</v>
      </c>
      <c r="B184" s="10">
        <v>45471</v>
      </c>
      <c r="C184" t="s">
        <v>347</v>
      </c>
      <c r="D184" t="s">
        <v>157</v>
      </c>
      <c r="E184" s="52">
        <v>-19792477.27</v>
      </c>
      <c r="F184" t="s">
        <v>67</v>
      </c>
      <c r="G184" s="10">
        <v>45471</v>
      </c>
      <c r="K184" s="28" t="str">
        <f t="shared" si="3"/>
        <v>Quarter 2 2024</v>
      </c>
    </row>
    <row r="185" spans="1:11">
      <c r="A185" t="s">
        <v>22</v>
      </c>
      <c r="B185" s="10">
        <v>45473</v>
      </c>
      <c r="C185" t="s">
        <v>331</v>
      </c>
      <c r="E185">
        <v>-10</v>
      </c>
      <c r="F185" t="s">
        <v>313</v>
      </c>
      <c r="G185" s="10">
        <v>45473</v>
      </c>
      <c r="K185" s="28" t="str">
        <f t="shared" si="3"/>
        <v>Quarter 2 2024</v>
      </c>
    </row>
    <row r="186" spans="1:11">
      <c r="A186" t="s">
        <v>22</v>
      </c>
      <c r="B186" s="10">
        <v>45474</v>
      </c>
      <c r="C186" t="s">
        <v>317</v>
      </c>
      <c r="D186" t="s">
        <v>87</v>
      </c>
      <c r="E186" s="52">
        <v>1580.56</v>
      </c>
      <c r="F186" t="s">
        <v>318</v>
      </c>
      <c r="G186" s="10">
        <v>45474</v>
      </c>
      <c r="H186" t="s">
        <v>17</v>
      </c>
      <c r="K186" s="28" t="str">
        <f t="shared" si="3"/>
        <v>Quarter 3 2024</v>
      </c>
    </row>
    <row r="187" spans="1:11">
      <c r="A187" t="s">
        <v>22</v>
      </c>
      <c r="B187" s="10">
        <v>45474</v>
      </c>
      <c r="C187" t="s">
        <v>337</v>
      </c>
      <c r="D187" t="s">
        <v>108</v>
      </c>
      <c r="E187" s="52">
        <v>-1580.56</v>
      </c>
      <c r="F187" t="s">
        <v>67</v>
      </c>
      <c r="G187" s="10">
        <v>45474</v>
      </c>
      <c r="H187" t="s">
        <v>194</v>
      </c>
      <c r="K187" s="28" t="str">
        <f t="shared" si="3"/>
        <v>Quarter 3 2024</v>
      </c>
    </row>
    <row r="188" spans="1:11">
      <c r="A188" t="s">
        <v>22</v>
      </c>
      <c r="B188" s="10">
        <v>45504</v>
      </c>
      <c r="C188" t="s">
        <v>319</v>
      </c>
      <c r="D188" t="s">
        <v>87</v>
      </c>
      <c r="E188" s="52">
        <v>-52126.43</v>
      </c>
      <c r="F188" t="s">
        <v>318</v>
      </c>
      <c r="G188" s="10">
        <v>45504</v>
      </c>
      <c r="H188" t="s">
        <v>17</v>
      </c>
      <c r="K188" s="28" t="str">
        <f t="shared" si="3"/>
        <v>Quarter 3 2024</v>
      </c>
    </row>
    <row r="189" spans="1:11">
      <c r="A189" t="s">
        <v>22</v>
      </c>
      <c r="B189" s="10">
        <v>45504</v>
      </c>
      <c r="C189" t="s">
        <v>133</v>
      </c>
      <c r="D189" t="s">
        <v>134</v>
      </c>
      <c r="E189">
        <v>184.01</v>
      </c>
      <c r="F189" t="s">
        <v>67</v>
      </c>
      <c r="G189" s="10">
        <v>45504</v>
      </c>
      <c r="H189" t="s">
        <v>17</v>
      </c>
      <c r="K189" s="28" t="str">
        <f t="shared" si="3"/>
        <v>Quarter 3 2024</v>
      </c>
    </row>
    <row r="190" spans="1:11">
      <c r="A190" t="s">
        <v>22</v>
      </c>
      <c r="B190" s="10">
        <v>45504</v>
      </c>
      <c r="C190" t="s">
        <v>327</v>
      </c>
      <c r="D190" t="s">
        <v>150</v>
      </c>
      <c r="E190" s="52">
        <v>7068.09</v>
      </c>
      <c r="F190" t="s">
        <v>67</v>
      </c>
      <c r="G190" s="10">
        <v>45504</v>
      </c>
      <c r="H190" t="s">
        <v>17</v>
      </c>
      <c r="K190" s="28" t="str">
        <f t="shared" si="3"/>
        <v>Quarter 3 2024</v>
      </c>
    </row>
    <row r="191" spans="1:11">
      <c r="A191" t="s">
        <v>22</v>
      </c>
      <c r="B191" s="10">
        <v>45504</v>
      </c>
      <c r="C191" t="s">
        <v>144</v>
      </c>
      <c r="D191" t="s">
        <v>145</v>
      </c>
      <c r="E191" s="52">
        <v>40968.67</v>
      </c>
      <c r="F191" t="s">
        <v>67</v>
      </c>
      <c r="G191" s="10">
        <v>45504</v>
      </c>
      <c r="H191" t="s">
        <v>17</v>
      </c>
      <c r="K191" s="28" t="str">
        <f t="shared" si="3"/>
        <v>Quarter 3 2024</v>
      </c>
    </row>
    <row r="192" spans="1:11">
      <c r="A192" t="s">
        <v>22</v>
      </c>
      <c r="B192" s="10">
        <v>45504</v>
      </c>
      <c r="C192" t="s">
        <v>348</v>
      </c>
      <c r="D192" t="s">
        <v>142</v>
      </c>
      <c r="E192" s="52">
        <v>3405.66</v>
      </c>
      <c r="F192" t="s">
        <v>67</v>
      </c>
      <c r="G192" s="10">
        <v>45504</v>
      </c>
      <c r="H192" t="s">
        <v>17</v>
      </c>
      <c r="K192" s="28" t="str">
        <f t="shared" si="3"/>
        <v>Quarter 3 2024</v>
      </c>
    </row>
    <row r="193" spans="1:11">
      <c r="A193" t="s">
        <v>22</v>
      </c>
      <c r="B193" s="10">
        <v>45504</v>
      </c>
      <c r="C193" t="s">
        <v>334</v>
      </c>
      <c r="D193" t="s">
        <v>95</v>
      </c>
      <c r="E193">
        <v>500</v>
      </c>
      <c r="F193" t="s">
        <v>67</v>
      </c>
      <c r="G193" s="10">
        <v>45504</v>
      </c>
      <c r="H193" t="s">
        <v>17</v>
      </c>
      <c r="K193" s="28" t="str">
        <f t="shared" si="3"/>
        <v>Quarter 3 2024</v>
      </c>
    </row>
    <row r="194" spans="1:11">
      <c r="A194" t="s">
        <v>22</v>
      </c>
      <c r="B194" s="10">
        <v>45505</v>
      </c>
      <c r="C194" t="s">
        <v>317</v>
      </c>
      <c r="D194" t="s">
        <v>87</v>
      </c>
      <c r="E194" s="52">
        <v>1198.4000000000001</v>
      </c>
      <c r="F194" t="s">
        <v>318</v>
      </c>
      <c r="G194" s="10">
        <v>45505</v>
      </c>
      <c r="H194" t="s">
        <v>17</v>
      </c>
      <c r="K194" s="28" t="str">
        <f t="shared" si="3"/>
        <v>Quarter 3 2024</v>
      </c>
    </row>
    <row r="195" spans="1:11">
      <c r="A195" t="s">
        <v>22</v>
      </c>
      <c r="B195" s="10">
        <v>45505</v>
      </c>
      <c r="C195" t="s">
        <v>320</v>
      </c>
      <c r="D195" t="s">
        <v>156</v>
      </c>
      <c r="E195" s="52">
        <v>-1198.4000000000001</v>
      </c>
      <c r="F195" t="s">
        <v>67</v>
      </c>
      <c r="G195" s="10">
        <v>45505</v>
      </c>
      <c r="H195" t="s">
        <v>17</v>
      </c>
      <c r="K195" s="28" t="str">
        <f t="shared" si="3"/>
        <v>Quarter 3 2024</v>
      </c>
    </row>
    <row r="196" spans="1:11">
      <c r="A196" t="s">
        <v>22</v>
      </c>
      <c r="B196" s="10">
        <v>45533</v>
      </c>
      <c r="C196" t="s">
        <v>319</v>
      </c>
      <c r="D196" t="s">
        <v>87</v>
      </c>
      <c r="E196" s="52">
        <v>-5577.46</v>
      </c>
      <c r="F196" t="s">
        <v>318</v>
      </c>
      <c r="G196" s="10">
        <v>45533</v>
      </c>
      <c r="H196" t="s">
        <v>17</v>
      </c>
      <c r="K196" s="28" t="str">
        <f t="shared" si="3"/>
        <v>Quarter 3 2024</v>
      </c>
    </row>
    <row r="197" spans="1:11">
      <c r="A197" t="s">
        <v>22</v>
      </c>
      <c r="B197" s="10">
        <v>45533</v>
      </c>
      <c r="C197" t="s">
        <v>133</v>
      </c>
      <c r="D197" t="s">
        <v>134</v>
      </c>
      <c r="E197">
        <v>660.86</v>
      </c>
      <c r="F197" t="s">
        <v>67</v>
      </c>
      <c r="G197" s="10">
        <v>45533</v>
      </c>
      <c r="H197" t="s">
        <v>17</v>
      </c>
      <c r="K197" s="28" t="str">
        <f t="shared" si="3"/>
        <v>Quarter 3 2024</v>
      </c>
    </row>
    <row r="198" spans="1:11">
      <c r="A198" t="s">
        <v>22</v>
      </c>
      <c r="B198" s="10">
        <v>45533</v>
      </c>
      <c r="C198" t="s">
        <v>327</v>
      </c>
      <c r="D198" t="s">
        <v>150</v>
      </c>
      <c r="E198" s="52">
        <v>3545.54</v>
      </c>
      <c r="F198" t="s">
        <v>67</v>
      </c>
      <c r="G198" s="10">
        <v>45533</v>
      </c>
      <c r="H198" t="s">
        <v>17</v>
      </c>
      <c r="K198" s="28" t="str">
        <f t="shared" si="3"/>
        <v>Quarter 3 2024</v>
      </c>
    </row>
    <row r="199" spans="1:11">
      <c r="A199" t="s">
        <v>22</v>
      </c>
      <c r="B199" s="10">
        <v>45533</v>
      </c>
      <c r="C199" t="s">
        <v>144</v>
      </c>
      <c r="D199" t="s">
        <v>145</v>
      </c>
      <c r="E199" s="52">
        <v>1121.06</v>
      </c>
      <c r="F199" t="s">
        <v>67</v>
      </c>
      <c r="G199" s="10">
        <v>45533</v>
      </c>
      <c r="H199" t="s">
        <v>17</v>
      </c>
      <c r="K199" s="28" t="str">
        <f t="shared" si="3"/>
        <v>Quarter 3 2024</v>
      </c>
    </row>
    <row r="200" spans="1:11">
      <c r="A200" t="s">
        <v>22</v>
      </c>
      <c r="B200" s="10">
        <v>45533</v>
      </c>
      <c r="C200" t="s">
        <v>334</v>
      </c>
      <c r="D200" t="s">
        <v>95</v>
      </c>
      <c r="E200">
        <v>250</v>
      </c>
      <c r="F200" t="s">
        <v>67</v>
      </c>
      <c r="G200" s="10">
        <v>45533</v>
      </c>
      <c r="H200" t="s">
        <v>17</v>
      </c>
      <c r="K200" s="28" t="str">
        <f t="shared" si="3"/>
        <v>Quarter 3 2024</v>
      </c>
    </row>
    <row r="201" spans="1:11">
      <c r="A201" t="s">
        <v>22</v>
      </c>
      <c r="B201" s="10">
        <v>45538</v>
      </c>
      <c r="C201" t="s">
        <v>317</v>
      </c>
      <c r="D201" t="s">
        <v>87</v>
      </c>
      <c r="E201">
        <v>975.53</v>
      </c>
      <c r="F201" t="s">
        <v>318</v>
      </c>
      <c r="G201" s="10">
        <v>45538</v>
      </c>
      <c r="H201" t="s">
        <v>17</v>
      </c>
      <c r="K201" s="28" t="str">
        <f t="shared" si="3"/>
        <v>Quarter 3 2024</v>
      </c>
    </row>
    <row r="202" spans="1:11">
      <c r="A202" t="s">
        <v>22</v>
      </c>
      <c r="B202" s="10">
        <v>45538</v>
      </c>
      <c r="C202" t="s">
        <v>320</v>
      </c>
      <c r="D202" t="s">
        <v>156</v>
      </c>
      <c r="E202">
        <v>-975.53</v>
      </c>
      <c r="F202" t="s">
        <v>67</v>
      </c>
      <c r="G202" s="10">
        <v>45538</v>
      </c>
      <c r="H202" t="s">
        <v>17</v>
      </c>
      <c r="K202" s="28" t="str">
        <f t="shared" si="3"/>
        <v>Quarter 3 2024</v>
      </c>
    </row>
    <row r="203" spans="1:11">
      <c r="A203" t="s">
        <v>22</v>
      </c>
      <c r="B203" s="10">
        <v>45562</v>
      </c>
      <c r="C203" t="s">
        <v>319</v>
      </c>
      <c r="D203" t="s">
        <v>87</v>
      </c>
      <c r="E203" s="52">
        <v>-8367.01</v>
      </c>
      <c r="F203" t="s">
        <v>318</v>
      </c>
      <c r="G203" s="10">
        <v>45562</v>
      </c>
      <c r="H203" t="s">
        <v>17</v>
      </c>
      <c r="K203" s="28" t="str">
        <f t="shared" si="3"/>
        <v>Quarter 3 2024</v>
      </c>
    </row>
    <row r="204" spans="1:11">
      <c r="A204" t="s">
        <v>22</v>
      </c>
      <c r="B204" s="10">
        <v>45562</v>
      </c>
      <c r="C204" t="s">
        <v>133</v>
      </c>
      <c r="D204" t="s">
        <v>134</v>
      </c>
      <c r="E204" s="52">
        <v>1089.0899999999999</v>
      </c>
      <c r="F204" t="s">
        <v>67</v>
      </c>
      <c r="G204" s="10">
        <v>45562</v>
      </c>
      <c r="H204" t="s">
        <v>17</v>
      </c>
      <c r="K204" s="28" t="str">
        <f t="shared" si="3"/>
        <v>Quarter 3 2024</v>
      </c>
    </row>
    <row r="205" spans="1:11">
      <c r="A205" t="s">
        <v>22</v>
      </c>
      <c r="B205" s="10">
        <v>45562</v>
      </c>
      <c r="C205" t="s">
        <v>327</v>
      </c>
      <c r="D205" t="s">
        <v>150</v>
      </c>
      <c r="E205" s="52">
        <v>6524.86</v>
      </c>
      <c r="F205" t="s">
        <v>67</v>
      </c>
      <c r="G205" s="10">
        <v>45562</v>
      </c>
      <c r="H205" t="s">
        <v>17</v>
      </c>
      <c r="K205" s="28" t="str">
        <f t="shared" si="3"/>
        <v>Quarter 3 2024</v>
      </c>
    </row>
    <row r="206" spans="1:11">
      <c r="A206" t="s">
        <v>22</v>
      </c>
      <c r="B206" s="10">
        <v>45562</v>
      </c>
      <c r="C206" t="s">
        <v>348</v>
      </c>
      <c r="D206" t="s">
        <v>142</v>
      </c>
      <c r="E206">
        <v>502.5</v>
      </c>
      <c r="F206" t="s">
        <v>67</v>
      </c>
      <c r="G206" s="10">
        <v>45562</v>
      </c>
      <c r="H206" t="s">
        <v>17</v>
      </c>
      <c r="K206" s="28" t="str">
        <f t="shared" si="3"/>
        <v>Quarter 3 2024</v>
      </c>
    </row>
    <row r="207" spans="1:11">
      <c r="A207" t="s">
        <v>22</v>
      </c>
      <c r="B207" s="10">
        <v>45562</v>
      </c>
      <c r="C207" t="s">
        <v>334</v>
      </c>
      <c r="D207" t="s">
        <v>95</v>
      </c>
      <c r="E207">
        <v>250.56</v>
      </c>
      <c r="F207" t="s">
        <v>67</v>
      </c>
      <c r="G207" s="10">
        <v>45562</v>
      </c>
      <c r="H207" t="s">
        <v>17</v>
      </c>
      <c r="K207" s="28" t="str">
        <f t="shared" si="3"/>
        <v>Quarter 3 2024</v>
      </c>
    </row>
    <row r="208" spans="1:11">
      <c r="A208" t="s">
        <v>22</v>
      </c>
      <c r="B208" s="10">
        <v>45565</v>
      </c>
      <c r="C208" t="s">
        <v>319</v>
      </c>
      <c r="D208" t="s">
        <v>87</v>
      </c>
      <c r="E208" s="52">
        <v>-108941</v>
      </c>
      <c r="F208" t="s">
        <v>318</v>
      </c>
      <c r="G208" s="10">
        <v>45565</v>
      </c>
      <c r="H208" t="s">
        <v>17</v>
      </c>
      <c r="K208" s="28" t="str">
        <f t="shared" si="3"/>
        <v>Quarter 3 2024</v>
      </c>
    </row>
    <row r="209" spans="1:11">
      <c r="A209" t="s">
        <v>22</v>
      </c>
      <c r="B209" s="10">
        <v>45565</v>
      </c>
      <c r="C209" t="s">
        <v>329</v>
      </c>
      <c r="D209" t="s">
        <v>139</v>
      </c>
      <c r="E209" s="52">
        <v>3100</v>
      </c>
      <c r="F209" t="s">
        <v>67</v>
      </c>
      <c r="G209" s="10">
        <v>45565</v>
      </c>
      <c r="H209" t="s">
        <v>194</v>
      </c>
      <c r="K209" s="28" t="str">
        <f t="shared" si="3"/>
        <v>Quarter 3 2024</v>
      </c>
    </row>
    <row r="210" spans="1:11">
      <c r="A210" t="s">
        <v>22</v>
      </c>
      <c r="B210" s="10">
        <v>45565</v>
      </c>
      <c r="C210" t="s">
        <v>94</v>
      </c>
      <c r="D210" t="s">
        <v>96</v>
      </c>
      <c r="E210">
        <v>750</v>
      </c>
      <c r="F210" t="s">
        <v>67</v>
      </c>
      <c r="G210" s="10">
        <v>45565</v>
      </c>
      <c r="H210" t="s">
        <v>194</v>
      </c>
      <c r="K210" s="28" t="str">
        <f t="shared" ref="K210:K273" si="4">"Quarter "&amp;INT((MONTH(B210)-1)/3)+1&amp;" "&amp;YEAR(B210)</f>
        <v>Quarter 3 2024</v>
      </c>
    </row>
    <row r="211" spans="1:11">
      <c r="A211" t="s">
        <v>22</v>
      </c>
      <c r="B211" s="10">
        <v>45565</v>
      </c>
      <c r="C211" t="s">
        <v>343</v>
      </c>
      <c r="D211" t="s">
        <v>150</v>
      </c>
      <c r="E211" s="52">
        <v>108941</v>
      </c>
      <c r="F211" t="s">
        <v>67</v>
      </c>
      <c r="G211" s="10">
        <v>45565</v>
      </c>
      <c r="H211" t="s">
        <v>17</v>
      </c>
      <c r="K211" s="28" t="str">
        <f t="shared" si="4"/>
        <v>Quarter 3 2024</v>
      </c>
    </row>
    <row r="212" spans="1:11">
      <c r="A212" t="s">
        <v>22</v>
      </c>
      <c r="B212" s="10">
        <v>45565</v>
      </c>
      <c r="C212" t="s">
        <v>330</v>
      </c>
      <c r="D212" t="s">
        <v>162</v>
      </c>
      <c r="E212" s="52">
        <v>8624.07</v>
      </c>
      <c r="F212" t="s">
        <v>67</v>
      </c>
      <c r="G212" s="10">
        <v>45565</v>
      </c>
      <c r="H212" t="s">
        <v>194</v>
      </c>
      <c r="K212" s="28" t="str">
        <f t="shared" si="4"/>
        <v>Quarter 3 2024</v>
      </c>
    </row>
    <row r="213" spans="1:11">
      <c r="A213" t="s">
        <v>22</v>
      </c>
      <c r="B213" s="10">
        <v>45565</v>
      </c>
      <c r="C213" t="s">
        <v>346</v>
      </c>
      <c r="D213" t="s">
        <v>105</v>
      </c>
      <c r="E213" s="52">
        <v>21385702.039999999</v>
      </c>
      <c r="F213" t="s">
        <v>318</v>
      </c>
      <c r="G213" s="10">
        <v>45565</v>
      </c>
      <c r="K213" s="28" t="str">
        <f t="shared" si="4"/>
        <v>Quarter 3 2024</v>
      </c>
    </row>
    <row r="214" spans="1:11">
      <c r="A214" t="s">
        <v>22</v>
      </c>
      <c r="B214" s="10">
        <v>45565</v>
      </c>
      <c r="C214" t="s">
        <v>333</v>
      </c>
      <c r="D214" t="s">
        <v>121</v>
      </c>
      <c r="E214" s="52">
        <v>-3100</v>
      </c>
      <c r="F214" t="s">
        <v>318</v>
      </c>
      <c r="G214" s="10">
        <v>45565</v>
      </c>
      <c r="H214" t="s">
        <v>194</v>
      </c>
      <c r="K214" s="28" t="str">
        <f t="shared" si="4"/>
        <v>Quarter 3 2024</v>
      </c>
    </row>
    <row r="215" spans="1:11">
      <c r="A215" t="s">
        <v>22</v>
      </c>
      <c r="B215" s="10">
        <v>45565</v>
      </c>
      <c r="C215" t="s">
        <v>334</v>
      </c>
      <c r="D215" t="s">
        <v>95</v>
      </c>
      <c r="E215">
        <v>-750</v>
      </c>
      <c r="F215" t="s">
        <v>318</v>
      </c>
      <c r="G215" s="10">
        <v>45565</v>
      </c>
      <c r="H215" t="s">
        <v>194</v>
      </c>
      <c r="K215" s="28" t="str">
        <f t="shared" si="4"/>
        <v>Quarter 3 2024</v>
      </c>
    </row>
    <row r="216" spans="1:11">
      <c r="A216" t="s">
        <v>22</v>
      </c>
      <c r="B216" s="10">
        <v>45565</v>
      </c>
      <c r="C216" t="s">
        <v>355</v>
      </c>
      <c r="D216" t="s">
        <v>116</v>
      </c>
      <c r="E216" s="52">
        <v>-8624.07</v>
      </c>
      <c r="F216" t="s">
        <v>318</v>
      </c>
      <c r="G216" s="10">
        <v>45565</v>
      </c>
      <c r="H216" t="s">
        <v>194</v>
      </c>
      <c r="K216" s="28" t="str">
        <f t="shared" si="4"/>
        <v>Quarter 3 2024</v>
      </c>
    </row>
    <row r="217" spans="1:11">
      <c r="A217" t="s">
        <v>22</v>
      </c>
      <c r="B217" s="10">
        <v>45565</v>
      </c>
      <c r="C217" t="s">
        <v>347</v>
      </c>
      <c r="D217" t="s">
        <v>157</v>
      </c>
      <c r="E217" s="52">
        <v>-21385702.039999999</v>
      </c>
      <c r="F217" t="s">
        <v>67</v>
      </c>
      <c r="G217" s="10">
        <v>45565</v>
      </c>
      <c r="K217" s="28" t="str">
        <f t="shared" si="4"/>
        <v>Quarter 3 2024</v>
      </c>
    </row>
    <row r="218" spans="1:11">
      <c r="A218" t="s">
        <v>22</v>
      </c>
      <c r="B218" s="10">
        <v>45566</v>
      </c>
      <c r="C218" t="s">
        <v>317</v>
      </c>
      <c r="D218" t="s">
        <v>87</v>
      </c>
      <c r="E218">
        <v>879.64</v>
      </c>
      <c r="F218" t="s">
        <v>318</v>
      </c>
      <c r="G218" s="10">
        <v>45566</v>
      </c>
      <c r="H218" t="s">
        <v>17</v>
      </c>
      <c r="K218" s="28" t="str">
        <f t="shared" si="4"/>
        <v>Quarter 4 2024</v>
      </c>
    </row>
    <row r="219" spans="1:11">
      <c r="A219" t="s">
        <v>22</v>
      </c>
      <c r="B219" s="10">
        <v>45566</v>
      </c>
      <c r="C219" t="s">
        <v>320</v>
      </c>
      <c r="D219" t="s">
        <v>156</v>
      </c>
      <c r="E219">
        <v>-879.64</v>
      </c>
      <c r="F219" t="s">
        <v>67</v>
      </c>
      <c r="G219" s="10">
        <v>45566</v>
      </c>
      <c r="H219" t="s">
        <v>17</v>
      </c>
      <c r="K219" s="28" t="str">
        <f t="shared" si="4"/>
        <v>Quarter 4 2024</v>
      </c>
    </row>
    <row r="220" spans="1:11">
      <c r="A220" t="s">
        <v>22</v>
      </c>
      <c r="B220" s="10">
        <v>45597</v>
      </c>
      <c r="C220" t="s">
        <v>317</v>
      </c>
      <c r="D220" t="s">
        <v>87</v>
      </c>
      <c r="E220">
        <v>410.66</v>
      </c>
      <c r="F220" t="s">
        <v>318</v>
      </c>
      <c r="G220" s="10">
        <v>45597</v>
      </c>
      <c r="H220" t="s">
        <v>17</v>
      </c>
      <c r="K220" s="28" t="str">
        <f t="shared" si="4"/>
        <v>Quarter 4 2024</v>
      </c>
    </row>
    <row r="221" spans="1:11">
      <c r="A221" t="s">
        <v>22</v>
      </c>
      <c r="B221" s="10">
        <v>45597</v>
      </c>
      <c r="C221" t="s">
        <v>320</v>
      </c>
      <c r="D221" t="s">
        <v>156</v>
      </c>
      <c r="E221">
        <v>-410.66</v>
      </c>
      <c r="F221" t="s">
        <v>67</v>
      </c>
      <c r="G221" s="10">
        <v>45597</v>
      </c>
      <c r="H221" t="s">
        <v>17</v>
      </c>
      <c r="K221" s="28" t="str">
        <f t="shared" si="4"/>
        <v>Quarter 4 2024</v>
      </c>
    </row>
    <row r="222" spans="1:11">
      <c r="A222" t="s">
        <v>22</v>
      </c>
      <c r="B222" s="10">
        <v>45601</v>
      </c>
      <c r="C222" t="s">
        <v>319</v>
      </c>
      <c r="D222" t="s">
        <v>87</v>
      </c>
      <c r="E222" s="52">
        <v>-27021.77</v>
      </c>
      <c r="F222" t="s">
        <v>318</v>
      </c>
      <c r="G222" s="10">
        <v>45601</v>
      </c>
      <c r="H222" t="s">
        <v>17</v>
      </c>
      <c r="K222" s="28" t="str">
        <f t="shared" si="4"/>
        <v>Quarter 4 2024</v>
      </c>
    </row>
    <row r="223" spans="1:11">
      <c r="A223" t="s">
        <v>22</v>
      </c>
      <c r="B223" s="10">
        <v>45601</v>
      </c>
      <c r="C223" t="s">
        <v>133</v>
      </c>
      <c r="D223" t="s">
        <v>134</v>
      </c>
      <c r="E223">
        <v>78.36</v>
      </c>
      <c r="F223" t="s">
        <v>67</v>
      </c>
      <c r="G223" s="10">
        <v>45601</v>
      </c>
      <c r="H223" t="s">
        <v>17</v>
      </c>
      <c r="K223" s="28" t="str">
        <f t="shared" si="4"/>
        <v>Quarter 4 2024</v>
      </c>
    </row>
    <row r="224" spans="1:11">
      <c r="A224" t="s">
        <v>22</v>
      </c>
      <c r="B224" s="10">
        <v>45601</v>
      </c>
      <c r="C224" t="s">
        <v>327</v>
      </c>
      <c r="D224" t="s">
        <v>150</v>
      </c>
      <c r="E224" s="52">
        <v>25700.91</v>
      </c>
      <c r="F224" t="s">
        <v>67</v>
      </c>
      <c r="G224" s="10">
        <v>45601</v>
      </c>
      <c r="H224" t="s">
        <v>17</v>
      </c>
      <c r="K224" s="28" t="str">
        <f t="shared" si="4"/>
        <v>Quarter 4 2024</v>
      </c>
    </row>
    <row r="225" spans="1:11">
      <c r="A225" t="s">
        <v>22</v>
      </c>
      <c r="B225" s="10">
        <v>45601</v>
      </c>
      <c r="C225" t="s">
        <v>348</v>
      </c>
      <c r="D225" t="s">
        <v>142</v>
      </c>
      <c r="E225" s="52">
        <v>1242.5</v>
      </c>
      <c r="F225" t="s">
        <v>67</v>
      </c>
      <c r="G225" s="10">
        <v>45601</v>
      </c>
      <c r="H225" t="s">
        <v>17</v>
      </c>
      <c r="K225" s="28" t="str">
        <f t="shared" si="4"/>
        <v>Quarter 4 2024</v>
      </c>
    </row>
    <row r="226" spans="1:11">
      <c r="A226" t="s">
        <v>22</v>
      </c>
      <c r="B226" s="10">
        <v>45623</v>
      </c>
      <c r="C226" t="s">
        <v>319</v>
      </c>
      <c r="D226" t="s">
        <v>87</v>
      </c>
      <c r="E226" s="52">
        <v>-17143.099999999999</v>
      </c>
      <c r="F226" t="s">
        <v>318</v>
      </c>
      <c r="G226" s="10">
        <v>45623</v>
      </c>
      <c r="H226" t="s">
        <v>17</v>
      </c>
      <c r="K226" s="28" t="str">
        <f t="shared" si="4"/>
        <v>Quarter 4 2024</v>
      </c>
    </row>
    <row r="227" spans="1:11">
      <c r="A227" t="s">
        <v>22</v>
      </c>
      <c r="B227" s="10">
        <v>45623</v>
      </c>
      <c r="C227" t="s">
        <v>133</v>
      </c>
      <c r="D227" t="s">
        <v>134</v>
      </c>
      <c r="E227">
        <v>-444.12</v>
      </c>
      <c r="F227" t="s">
        <v>67</v>
      </c>
      <c r="G227" s="10">
        <v>45623</v>
      </c>
      <c r="H227" t="s">
        <v>17</v>
      </c>
      <c r="K227" s="28" t="str">
        <f t="shared" si="4"/>
        <v>Quarter 4 2024</v>
      </c>
    </row>
    <row r="228" spans="1:11">
      <c r="A228" t="s">
        <v>22</v>
      </c>
      <c r="B228" s="10">
        <v>45623</v>
      </c>
      <c r="C228" t="s">
        <v>327</v>
      </c>
      <c r="D228" t="s">
        <v>150</v>
      </c>
      <c r="E228" s="52">
        <v>17337.22</v>
      </c>
      <c r="F228" t="s">
        <v>67</v>
      </c>
      <c r="G228" s="10">
        <v>45623</v>
      </c>
      <c r="H228" t="s">
        <v>17</v>
      </c>
      <c r="K228" s="28" t="str">
        <f t="shared" si="4"/>
        <v>Quarter 4 2024</v>
      </c>
    </row>
    <row r="229" spans="1:11">
      <c r="A229" t="s">
        <v>22</v>
      </c>
      <c r="B229" s="10">
        <v>45623</v>
      </c>
      <c r="C229" t="s">
        <v>334</v>
      </c>
      <c r="D229" t="s">
        <v>95</v>
      </c>
      <c r="E229">
        <v>250</v>
      </c>
      <c r="F229" t="s">
        <v>67</v>
      </c>
      <c r="G229" s="10">
        <v>45623</v>
      </c>
      <c r="H229" t="s">
        <v>17</v>
      </c>
      <c r="K229" s="28" t="str">
        <f t="shared" si="4"/>
        <v>Quarter 4 2024</v>
      </c>
    </row>
    <row r="230" spans="1:11">
      <c r="A230" t="s">
        <v>22</v>
      </c>
      <c r="B230" s="10">
        <v>45628</v>
      </c>
      <c r="C230" t="s">
        <v>317</v>
      </c>
      <c r="D230" t="s">
        <v>87</v>
      </c>
      <c r="E230">
        <v>287.62</v>
      </c>
      <c r="F230" t="s">
        <v>318</v>
      </c>
      <c r="G230" s="10">
        <v>45628</v>
      </c>
      <c r="H230" t="s">
        <v>17</v>
      </c>
      <c r="K230" s="28" t="str">
        <f t="shared" si="4"/>
        <v>Quarter 4 2024</v>
      </c>
    </row>
    <row r="231" spans="1:11">
      <c r="A231" t="s">
        <v>22</v>
      </c>
      <c r="B231" s="10">
        <v>45628</v>
      </c>
      <c r="C231" t="s">
        <v>320</v>
      </c>
      <c r="D231" t="s">
        <v>156</v>
      </c>
      <c r="E231">
        <v>-287.62</v>
      </c>
      <c r="F231" t="s">
        <v>67</v>
      </c>
      <c r="G231" s="10">
        <v>45628</v>
      </c>
      <c r="H231" t="s">
        <v>17</v>
      </c>
      <c r="K231" s="28" t="str">
        <f t="shared" si="4"/>
        <v>Quarter 4 2024</v>
      </c>
    </row>
    <row r="232" spans="1:11">
      <c r="A232" t="s">
        <v>22</v>
      </c>
      <c r="B232" s="10">
        <v>45656</v>
      </c>
      <c r="C232" t="s">
        <v>315</v>
      </c>
      <c r="D232" t="s">
        <v>140</v>
      </c>
      <c r="E232" s="52">
        <v>-1500000</v>
      </c>
      <c r="F232" t="s">
        <v>67</v>
      </c>
      <c r="G232" s="10">
        <v>45656</v>
      </c>
      <c r="K232" s="28" t="str">
        <f t="shared" si="4"/>
        <v>Quarter 4 2024</v>
      </c>
    </row>
    <row r="233" spans="1:11">
      <c r="A233" t="s">
        <v>22</v>
      </c>
      <c r="B233" s="10">
        <v>45656</v>
      </c>
      <c r="C233" t="s">
        <v>319</v>
      </c>
      <c r="D233" t="s">
        <v>87</v>
      </c>
      <c r="E233" s="52">
        <v>-941222.83</v>
      </c>
      <c r="F233" t="s">
        <v>318</v>
      </c>
      <c r="G233" s="10">
        <v>45656</v>
      </c>
      <c r="H233" t="s">
        <v>17</v>
      </c>
      <c r="K233" s="28" t="str">
        <f t="shared" si="4"/>
        <v>Quarter 4 2024</v>
      </c>
    </row>
    <row r="234" spans="1:11">
      <c r="A234" t="s">
        <v>22</v>
      </c>
      <c r="B234" s="10">
        <v>45656</v>
      </c>
      <c r="C234" t="s">
        <v>317</v>
      </c>
      <c r="D234" t="s">
        <v>87</v>
      </c>
      <c r="E234" s="52">
        <v>1500000</v>
      </c>
      <c r="F234" t="s">
        <v>318</v>
      </c>
      <c r="G234" s="10">
        <v>45656</v>
      </c>
      <c r="K234" s="28" t="str">
        <f t="shared" si="4"/>
        <v>Quarter 4 2024</v>
      </c>
    </row>
    <row r="235" spans="1:11">
      <c r="A235" t="s">
        <v>22</v>
      </c>
      <c r="B235" s="10">
        <v>45656</v>
      </c>
      <c r="C235" t="s">
        <v>343</v>
      </c>
      <c r="D235" t="s">
        <v>150</v>
      </c>
      <c r="E235" s="52">
        <v>704266</v>
      </c>
      <c r="F235" t="s">
        <v>67</v>
      </c>
      <c r="G235" s="10">
        <v>45656</v>
      </c>
      <c r="H235" t="s">
        <v>17</v>
      </c>
      <c r="K235" s="28" t="str">
        <f t="shared" si="4"/>
        <v>Quarter 4 2024</v>
      </c>
    </row>
    <row r="236" spans="1:11">
      <c r="A236" t="s">
        <v>22</v>
      </c>
      <c r="B236" s="10">
        <v>45656</v>
      </c>
      <c r="C236" t="s">
        <v>330</v>
      </c>
      <c r="D236" t="s">
        <v>162</v>
      </c>
      <c r="E236" s="52">
        <v>30920.69</v>
      </c>
      <c r="F236" t="s">
        <v>67</v>
      </c>
      <c r="G236" s="10">
        <v>45656</v>
      </c>
      <c r="H236" t="s">
        <v>17</v>
      </c>
      <c r="K236" s="28" t="str">
        <f t="shared" si="4"/>
        <v>Quarter 4 2024</v>
      </c>
    </row>
    <row r="237" spans="1:11">
      <c r="A237" t="s">
        <v>22</v>
      </c>
      <c r="B237" s="10">
        <v>45656</v>
      </c>
      <c r="C237" t="s">
        <v>133</v>
      </c>
      <c r="D237" t="s">
        <v>134</v>
      </c>
      <c r="E237">
        <v>993.84</v>
      </c>
      <c r="F237" t="s">
        <v>67</v>
      </c>
      <c r="G237" s="10">
        <v>45656</v>
      </c>
      <c r="H237" t="s">
        <v>17</v>
      </c>
      <c r="K237" s="28" t="str">
        <f t="shared" si="4"/>
        <v>Quarter 4 2024</v>
      </c>
    </row>
    <row r="238" spans="1:11">
      <c r="A238" t="s">
        <v>22</v>
      </c>
      <c r="B238" s="10">
        <v>45656</v>
      </c>
      <c r="C238" t="s">
        <v>327</v>
      </c>
      <c r="D238" t="s">
        <v>150</v>
      </c>
      <c r="E238" s="52">
        <v>170046.02</v>
      </c>
      <c r="F238" t="s">
        <v>67</v>
      </c>
      <c r="G238" s="10">
        <v>45656</v>
      </c>
      <c r="H238" t="s">
        <v>17</v>
      </c>
      <c r="K238" s="28" t="str">
        <f t="shared" si="4"/>
        <v>Quarter 4 2024</v>
      </c>
    </row>
    <row r="239" spans="1:11">
      <c r="A239" t="s">
        <v>22</v>
      </c>
      <c r="B239" s="10">
        <v>45656</v>
      </c>
      <c r="C239" t="s">
        <v>334</v>
      </c>
      <c r="D239" t="s">
        <v>95</v>
      </c>
      <c r="E239">
        <v>500</v>
      </c>
      <c r="F239" t="s">
        <v>67</v>
      </c>
      <c r="G239" s="10">
        <v>45656</v>
      </c>
      <c r="H239" t="s">
        <v>17</v>
      </c>
      <c r="K239" s="28" t="str">
        <f t="shared" si="4"/>
        <v>Quarter 4 2024</v>
      </c>
    </row>
    <row r="240" spans="1:11">
      <c r="A240" t="s">
        <v>22</v>
      </c>
      <c r="B240" s="10">
        <v>45656</v>
      </c>
      <c r="C240" t="s">
        <v>355</v>
      </c>
      <c r="D240" t="s">
        <v>116</v>
      </c>
      <c r="E240" s="52">
        <v>34496.28</v>
      </c>
      <c r="F240" t="s">
        <v>67</v>
      </c>
      <c r="G240" s="10">
        <v>45656</v>
      </c>
      <c r="H240" t="s">
        <v>17</v>
      </c>
      <c r="K240" s="28" t="str">
        <f t="shared" si="4"/>
        <v>Quarter 4 2024</v>
      </c>
    </row>
    <row r="241" spans="1:11">
      <c r="A241" t="s">
        <v>22</v>
      </c>
      <c r="B241" s="10">
        <v>45657</v>
      </c>
      <c r="C241" t="s">
        <v>317</v>
      </c>
      <c r="D241" t="s">
        <v>87</v>
      </c>
      <c r="E241" s="52">
        <v>-252249.16</v>
      </c>
      <c r="F241" t="s">
        <v>313</v>
      </c>
      <c r="G241" s="10">
        <v>45657</v>
      </c>
      <c r="K241" s="28" t="str">
        <f t="shared" si="4"/>
        <v>Quarter 4 2024</v>
      </c>
    </row>
    <row r="242" spans="1:11">
      <c r="A242" t="s">
        <v>22</v>
      </c>
      <c r="B242" s="10">
        <v>45657</v>
      </c>
      <c r="C242" t="s">
        <v>329</v>
      </c>
      <c r="D242" t="s">
        <v>139</v>
      </c>
      <c r="E242" s="52">
        <v>4100</v>
      </c>
      <c r="F242" t="s">
        <v>67</v>
      </c>
      <c r="G242" s="10">
        <v>45657</v>
      </c>
      <c r="H242" t="s">
        <v>194</v>
      </c>
      <c r="K242" s="28" t="str">
        <f t="shared" si="4"/>
        <v>Quarter 4 2024</v>
      </c>
    </row>
    <row r="243" spans="1:11">
      <c r="A243" t="s">
        <v>22</v>
      </c>
      <c r="B243" s="10">
        <v>45657</v>
      </c>
      <c r="C243" t="s">
        <v>94</v>
      </c>
      <c r="D243" t="s">
        <v>96</v>
      </c>
      <c r="E243">
        <v>633.89</v>
      </c>
      <c r="F243" t="s">
        <v>67</v>
      </c>
      <c r="G243" s="10">
        <v>45657</v>
      </c>
      <c r="H243" t="s">
        <v>194</v>
      </c>
      <c r="K243" s="28" t="str">
        <f t="shared" si="4"/>
        <v>Quarter 4 2024</v>
      </c>
    </row>
    <row r="244" spans="1:11">
      <c r="A244" t="s">
        <v>22</v>
      </c>
      <c r="B244" s="10">
        <v>45657</v>
      </c>
      <c r="C244" t="s">
        <v>330</v>
      </c>
      <c r="D244" t="s">
        <v>162</v>
      </c>
      <c r="E244" s="52">
        <v>8624.07</v>
      </c>
      <c r="F244" t="s">
        <v>67</v>
      </c>
      <c r="G244" s="10">
        <v>45657</v>
      </c>
      <c r="H244" t="s">
        <v>194</v>
      </c>
      <c r="K244" s="28" t="str">
        <f t="shared" si="4"/>
        <v>Quarter 4 2024</v>
      </c>
    </row>
    <row r="245" spans="1:11">
      <c r="A245" t="s">
        <v>22</v>
      </c>
      <c r="B245" s="10">
        <v>45657</v>
      </c>
      <c r="C245" t="s">
        <v>356</v>
      </c>
      <c r="D245" t="s">
        <v>150</v>
      </c>
      <c r="E245" s="52">
        <v>15127.14</v>
      </c>
      <c r="F245" t="s">
        <v>67</v>
      </c>
      <c r="G245" s="10">
        <v>45657</v>
      </c>
      <c r="H245" t="s">
        <v>194</v>
      </c>
      <c r="K245" s="28" t="str">
        <f t="shared" si="4"/>
        <v>Quarter 4 2024</v>
      </c>
    </row>
    <row r="246" spans="1:11">
      <c r="A246" t="s">
        <v>22</v>
      </c>
      <c r="B246" s="10">
        <v>45657</v>
      </c>
      <c r="C246" t="s">
        <v>141</v>
      </c>
      <c r="D246" t="s">
        <v>142</v>
      </c>
      <c r="E246" s="52">
        <v>10222</v>
      </c>
      <c r="F246" t="s">
        <v>67</v>
      </c>
      <c r="G246" s="10">
        <v>45657</v>
      </c>
      <c r="H246" t="s">
        <v>194</v>
      </c>
      <c r="K246" s="28" t="str">
        <f t="shared" si="4"/>
        <v>Quarter 4 2024</v>
      </c>
    </row>
    <row r="247" spans="1:11">
      <c r="A247" t="s">
        <v>22</v>
      </c>
      <c r="B247" s="10">
        <v>45657</v>
      </c>
      <c r="C247" t="s">
        <v>344</v>
      </c>
      <c r="D247" t="s">
        <v>147</v>
      </c>
      <c r="E247" s="52">
        <v>-165694111.19999999</v>
      </c>
      <c r="F247" t="s">
        <v>345</v>
      </c>
      <c r="G247" s="10">
        <v>45657</v>
      </c>
      <c r="K247" s="28" t="str">
        <f t="shared" si="4"/>
        <v>Quarter 4 2024</v>
      </c>
    </row>
    <row r="248" spans="1:11">
      <c r="A248" t="s">
        <v>22</v>
      </c>
      <c r="B248" s="10">
        <v>45657</v>
      </c>
      <c r="C248" t="s">
        <v>344</v>
      </c>
      <c r="D248" t="s">
        <v>155</v>
      </c>
      <c r="E248" s="52">
        <v>19537408.57</v>
      </c>
      <c r="F248" t="s">
        <v>345</v>
      </c>
      <c r="G248" s="10">
        <v>45657</v>
      </c>
      <c r="K248" s="28" t="str">
        <f t="shared" si="4"/>
        <v>Quarter 4 2024</v>
      </c>
    </row>
    <row r="249" spans="1:11">
      <c r="A249" t="s">
        <v>22</v>
      </c>
      <c r="B249" s="10">
        <v>45657</v>
      </c>
      <c r="C249" t="s">
        <v>344</v>
      </c>
      <c r="D249" t="s">
        <v>156</v>
      </c>
      <c r="E249" s="52">
        <v>515557.48</v>
      </c>
      <c r="F249" t="s">
        <v>345</v>
      </c>
      <c r="G249" s="10">
        <v>45657</v>
      </c>
      <c r="K249" s="28" t="str">
        <f t="shared" si="4"/>
        <v>Quarter 4 2024</v>
      </c>
    </row>
    <row r="250" spans="1:11">
      <c r="A250" t="s">
        <v>22</v>
      </c>
      <c r="B250" s="10">
        <v>45657</v>
      </c>
      <c r="C250" t="s">
        <v>344</v>
      </c>
      <c r="D250" t="s">
        <v>157</v>
      </c>
      <c r="E250" s="52">
        <v>148257526.97</v>
      </c>
      <c r="F250" t="s">
        <v>345</v>
      </c>
      <c r="G250" s="10">
        <v>45657</v>
      </c>
      <c r="K250" s="28" t="str">
        <f t="shared" si="4"/>
        <v>Quarter 4 2024</v>
      </c>
    </row>
    <row r="251" spans="1:11">
      <c r="A251" t="s">
        <v>22</v>
      </c>
      <c r="B251" s="10">
        <v>45657</v>
      </c>
      <c r="C251" t="s">
        <v>344</v>
      </c>
      <c r="D251" t="s">
        <v>145</v>
      </c>
      <c r="E251" s="52">
        <v>-47215.94</v>
      </c>
      <c r="F251" t="s">
        <v>345</v>
      </c>
      <c r="G251" s="10">
        <v>45657</v>
      </c>
      <c r="K251" s="28" t="str">
        <f t="shared" si="4"/>
        <v>Quarter 4 2024</v>
      </c>
    </row>
    <row r="252" spans="1:11">
      <c r="A252" t="s">
        <v>22</v>
      </c>
      <c r="B252" s="10">
        <v>45657</v>
      </c>
      <c r="C252" t="s">
        <v>344</v>
      </c>
      <c r="D252" t="s">
        <v>96</v>
      </c>
      <c r="E252" s="52">
        <v>-10049.280000000001</v>
      </c>
      <c r="F252" t="s">
        <v>345</v>
      </c>
      <c r="G252" s="10">
        <v>45657</v>
      </c>
      <c r="K252" s="28" t="str">
        <f t="shared" si="4"/>
        <v>Quarter 4 2024</v>
      </c>
    </row>
    <row r="253" spans="1:11">
      <c r="A253" t="s">
        <v>22</v>
      </c>
      <c r="B253" s="10">
        <v>45657</v>
      </c>
      <c r="C253" t="s">
        <v>344</v>
      </c>
      <c r="D253" t="s">
        <v>150</v>
      </c>
      <c r="E253" s="52">
        <v>-2356774</v>
      </c>
      <c r="F253" t="s">
        <v>345</v>
      </c>
      <c r="G253" s="10">
        <v>45657</v>
      </c>
      <c r="K253" s="28" t="str">
        <f t="shared" si="4"/>
        <v>Quarter 4 2024</v>
      </c>
    </row>
    <row r="254" spans="1:11">
      <c r="A254" t="s">
        <v>22</v>
      </c>
      <c r="B254" s="10">
        <v>45657</v>
      </c>
      <c r="C254" t="s">
        <v>344</v>
      </c>
      <c r="D254" t="s">
        <v>162</v>
      </c>
      <c r="E254" s="52">
        <v>-65416.97</v>
      </c>
      <c r="F254" t="s">
        <v>345</v>
      </c>
      <c r="G254" s="10">
        <v>45657</v>
      </c>
      <c r="K254" s="28" t="str">
        <f t="shared" si="4"/>
        <v>Quarter 4 2024</v>
      </c>
    </row>
    <row r="255" spans="1:11">
      <c r="A255" t="s">
        <v>22</v>
      </c>
      <c r="B255" s="10">
        <v>45657</v>
      </c>
      <c r="C255" t="s">
        <v>344</v>
      </c>
      <c r="D255" t="s">
        <v>134</v>
      </c>
      <c r="E255" s="52">
        <v>-5149.66</v>
      </c>
      <c r="F255" t="s">
        <v>345</v>
      </c>
      <c r="G255" s="10">
        <v>45657</v>
      </c>
      <c r="K255" s="28" t="str">
        <f t="shared" si="4"/>
        <v>Quarter 4 2024</v>
      </c>
    </row>
    <row r="256" spans="1:11">
      <c r="A256" t="s">
        <v>22</v>
      </c>
      <c r="B256" s="10">
        <v>45657</v>
      </c>
      <c r="C256" t="s">
        <v>344</v>
      </c>
      <c r="D256" t="s">
        <v>139</v>
      </c>
      <c r="E256" s="52">
        <v>-13400</v>
      </c>
      <c r="F256" t="s">
        <v>345</v>
      </c>
      <c r="G256" s="10">
        <v>45657</v>
      </c>
      <c r="K256" s="28" t="str">
        <f t="shared" si="4"/>
        <v>Quarter 4 2024</v>
      </c>
    </row>
    <row r="257" spans="1:11">
      <c r="A257" t="s">
        <v>22</v>
      </c>
      <c r="B257" s="10">
        <v>45657</v>
      </c>
      <c r="C257" t="s">
        <v>344</v>
      </c>
      <c r="D257" t="s">
        <v>142</v>
      </c>
      <c r="E257" s="52">
        <v>-15584.8</v>
      </c>
      <c r="F257" t="s">
        <v>345</v>
      </c>
      <c r="G257" s="10">
        <v>45657</v>
      </c>
      <c r="K257" s="28" t="str">
        <f t="shared" si="4"/>
        <v>Quarter 4 2024</v>
      </c>
    </row>
    <row r="258" spans="1:11">
      <c r="A258" t="s">
        <v>22</v>
      </c>
      <c r="B258" s="10">
        <v>45657</v>
      </c>
      <c r="C258" t="s">
        <v>344</v>
      </c>
      <c r="D258" t="s">
        <v>163</v>
      </c>
      <c r="E258" s="52">
        <v>-102791.17</v>
      </c>
      <c r="F258" t="s">
        <v>345</v>
      </c>
      <c r="G258" s="10">
        <v>45657</v>
      </c>
      <c r="K258" s="28" t="str">
        <f t="shared" si="4"/>
        <v>Quarter 4 2024</v>
      </c>
    </row>
    <row r="259" spans="1:11">
      <c r="A259" t="s">
        <v>22</v>
      </c>
      <c r="B259" s="10">
        <v>45657</v>
      </c>
      <c r="C259" t="s">
        <v>320</v>
      </c>
      <c r="D259" t="s">
        <v>156</v>
      </c>
      <c r="E259">
        <v>-331.56</v>
      </c>
      <c r="F259" t="s">
        <v>67</v>
      </c>
      <c r="G259" s="10">
        <v>45657</v>
      </c>
      <c r="H259" t="s">
        <v>17</v>
      </c>
      <c r="K259" s="28" t="str">
        <f t="shared" si="4"/>
        <v>Quarter 4 2024</v>
      </c>
    </row>
    <row r="260" spans="1:11">
      <c r="A260" t="s">
        <v>22</v>
      </c>
      <c r="B260" s="10">
        <v>45657</v>
      </c>
      <c r="C260" t="s">
        <v>346</v>
      </c>
      <c r="D260" t="s">
        <v>105</v>
      </c>
      <c r="E260" s="52">
        <v>84321864.420000002</v>
      </c>
      <c r="F260" t="s">
        <v>318</v>
      </c>
      <c r="G260" s="10">
        <v>45657</v>
      </c>
      <c r="K260" s="28" t="str">
        <f t="shared" si="4"/>
        <v>Quarter 4 2024</v>
      </c>
    </row>
    <row r="261" spans="1:11">
      <c r="A261" t="s">
        <v>22</v>
      </c>
      <c r="B261" s="10">
        <v>45657</v>
      </c>
      <c r="C261" t="s">
        <v>333</v>
      </c>
      <c r="D261" t="s">
        <v>121</v>
      </c>
      <c r="E261" s="52">
        <v>-4100</v>
      </c>
      <c r="F261" t="s">
        <v>318</v>
      </c>
      <c r="G261" s="10">
        <v>45657</v>
      </c>
      <c r="H261" t="s">
        <v>194</v>
      </c>
      <c r="K261" s="28" t="str">
        <f t="shared" si="4"/>
        <v>Quarter 4 2024</v>
      </c>
    </row>
    <row r="262" spans="1:11">
      <c r="A262" t="s">
        <v>22</v>
      </c>
      <c r="B262" s="10">
        <v>45657</v>
      </c>
      <c r="C262" t="s">
        <v>334</v>
      </c>
      <c r="D262" t="s">
        <v>95</v>
      </c>
      <c r="E262">
        <v>-633.89</v>
      </c>
      <c r="F262" t="s">
        <v>318</v>
      </c>
      <c r="G262" s="10">
        <v>45657</v>
      </c>
      <c r="H262" t="s">
        <v>194</v>
      </c>
      <c r="K262" s="28" t="str">
        <f t="shared" si="4"/>
        <v>Quarter 4 2024</v>
      </c>
    </row>
    <row r="263" spans="1:11">
      <c r="A263" t="s">
        <v>22</v>
      </c>
      <c r="B263" s="10">
        <v>45657</v>
      </c>
      <c r="C263" t="s">
        <v>355</v>
      </c>
      <c r="D263" t="s">
        <v>116</v>
      </c>
      <c r="E263" s="52">
        <v>-8624.07</v>
      </c>
      <c r="F263" t="s">
        <v>318</v>
      </c>
      <c r="G263" s="10">
        <v>45657</v>
      </c>
      <c r="H263" t="s">
        <v>194</v>
      </c>
      <c r="K263" s="28" t="str">
        <f t="shared" si="4"/>
        <v>Quarter 4 2024</v>
      </c>
    </row>
    <row r="264" spans="1:11">
      <c r="A264" t="s">
        <v>22</v>
      </c>
      <c r="B264" s="10">
        <v>45657</v>
      </c>
      <c r="C264" t="s">
        <v>322</v>
      </c>
      <c r="D264" t="s">
        <v>116</v>
      </c>
      <c r="E264" s="52">
        <v>-15127.14</v>
      </c>
      <c r="F264" t="s">
        <v>318</v>
      </c>
      <c r="G264" s="10">
        <v>45657</v>
      </c>
      <c r="H264" t="s">
        <v>194</v>
      </c>
      <c r="K264" s="28" t="str">
        <f t="shared" si="4"/>
        <v>Quarter 4 2024</v>
      </c>
    </row>
    <row r="265" spans="1:11">
      <c r="A265" t="s">
        <v>22</v>
      </c>
      <c r="B265" s="10">
        <v>45657</v>
      </c>
      <c r="C265" t="s">
        <v>336</v>
      </c>
      <c r="D265" t="s">
        <v>124</v>
      </c>
      <c r="E265" s="52">
        <v>-10222</v>
      </c>
      <c r="F265" t="s">
        <v>318</v>
      </c>
      <c r="G265" s="10">
        <v>45657</v>
      </c>
      <c r="H265" t="s">
        <v>194</v>
      </c>
      <c r="K265" s="28" t="str">
        <f t="shared" si="4"/>
        <v>Quarter 4 2024</v>
      </c>
    </row>
    <row r="266" spans="1:11">
      <c r="A266" t="s">
        <v>22</v>
      </c>
      <c r="B266" s="10">
        <v>45657</v>
      </c>
      <c r="C266" t="s">
        <v>337</v>
      </c>
      <c r="D266" t="s">
        <v>108</v>
      </c>
      <c r="E266">
        <v>331.56</v>
      </c>
      <c r="F266" t="s">
        <v>318</v>
      </c>
      <c r="G266" s="10">
        <v>45657</v>
      </c>
      <c r="H266" t="s">
        <v>194</v>
      </c>
      <c r="K266" s="28" t="str">
        <f t="shared" si="4"/>
        <v>Quarter 4 2024</v>
      </c>
    </row>
    <row r="267" spans="1:11">
      <c r="A267" t="s">
        <v>22</v>
      </c>
      <c r="B267" s="10">
        <v>45657</v>
      </c>
      <c r="C267" t="s">
        <v>357</v>
      </c>
      <c r="D267" t="s">
        <v>114</v>
      </c>
      <c r="E267" s="52">
        <v>252249.16</v>
      </c>
      <c r="F267" t="s">
        <v>318</v>
      </c>
      <c r="G267" s="10">
        <v>45657</v>
      </c>
      <c r="K267" s="28" t="str">
        <f t="shared" si="4"/>
        <v>Quarter 4 2024</v>
      </c>
    </row>
    <row r="268" spans="1:11">
      <c r="A268" t="s">
        <v>22</v>
      </c>
      <c r="B268" s="10">
        <v>45657</v>
      </c>
      <c r="C268" t="s">
        <v>347</v>
      </c>
      <c r="D268" t="s">
        <v>157</v>
      </c>
      <c r="E268" s="52">
        <v>-84321864.420000002</v>
      </c>
      <c r="F268" t="s">
        <v>67</v>
      </c>
      <c r="G268" s="10">
        <v>45657</v>
      </c>
      <c r="K268" s="28" t="str">
        <f t="shared" si="4"/>
        <v>Quarter 4 2024</v>
      </c>
    </row>
    <row r="269" spans="1:11">
      <c r="A269" t="s">
        <v>22</v>
      </c>
      <c r="B269" s="10">
        <v>45659</v>
      </c>
      <c r="C269" t="s">
        <v>317</v>
      </c>
      <c r="D269" t="s">
        <v>87</v>
      </c>
      <c r="E269">
        <v>331.56</v>
      </c>
      <c r="F269" t="s">
        <v>318</v>
      </c>
      <c r="G269" s="10">
        <v>45659</v>
      </c>
      <c r="H269" t="s">
        <v>17</v>
      </c>
      <c r="K269" s="28" t="str">
        <f t="shared" si="4"/>
        <v>Quarter 1 2025</v>
      </c>
    </row>
    <row r="270" spans="1:11">
      <c r="A270" t="s">
        <v>22</v>
      </c>
      <c r="B270" s="10">
        <v>45659</v>
      </c>
      <c r="C270" t="s">
        <v>337</v>
      </c>
      <c r="D270" t="s">
        <v>108</v>
      </c>
      <c r="E270">
        <v>-331.56</v>
      </c>
      <c r="F270" t="s">
        <v>67</v>
      </c>
      <c r="G270" s="10">
        <v>45659</v>
      </c>
      <c r="H270" t="s">
        <v>17</v>
      </c>
      <c r="K270" s="28" t="str">
        <f t="shared" si="4"/>
        <v>Quarter 1 2025</v>
      </c>
    </row>
    <row r="271" spans="1:11">
      <c r="A271" t="s">
        <v>22</v>
      </c>
      <c r="B271" s="10">
        <v>45663</v>
      </c>
      <c r="C271" t="s">
        <v>317</v>
      </c>
      <c r="D271" t="s">
        <v>87</v>
      </c>
      <c r="E271" s="52">
        <v>252249.16</v>
      </c>
      <c r="F271" t="s">
        <v>313</v>
      </c>
      <c r="G271" s="10">
        <v>45663</v>
      </c>
      <c r="H271" t="s">
        <v>17</v>
      </c>
      <c r="K271" s="28" t="str">
        <f t="shared" si="4"/>
        <v>Quarter 1 2025</v>
      </c>
    </row>
    <row r="272" spans="1:11">
      <c r="A272" t="s">
        <v>22</v>
      </c>
      <c r="B272" s="10">
        <v>45663</v>
      </c>
      <c r="C272" t="s">
        <v>357</v>
      </c>
      <c r="D272" t="s">
        <v>114</v>
      </c>
      <c r="E272" s="52">
        <v>-252249.16</v>
      </c>
      <c r="F272" t="s">
        <v>318</v>
      </c>
      <c r="G272" s="10">
        <v>45663</v>
      </c>
      <c r="H272" t="s">
        <v>17</v>
      </c>
      <c r="K272" s="28" t="str">
        <f t="shared" si="4"/>
        <v>Quarter 1 2025</v>
      </c>
    </row>
    <row r="273" spans="1:11">
      <c r="A273" t="s">
        <v>22</v>
      </c>
      <c r="B273" s="10">
        <v>45688</v>
      </c>
      <c r="C273" t="s">
        <v>319</v>
      </c>
      <c r="D273" t="s">
        <v>87</v>
      </c>
      <c r="E273" s="52">
        <v>-13774.23</v>
      </c>
      <c r="F273" t="s">
        <v>318</v>
      </c>
      <c r="G273" s="10">
        <v>45688</v>
      </c>
      <c r="H273" t="s">
        <v>17</v>
      </c>
      <c r="K273" s="28" t="str">
        <f t="shared" si="4"/>
        <v>Quarter 1 2025</v>
      </c>
    </row>
    <row r="274" spans="1:11">
      <c r="A274" t="s">
        <v>22</v>
      </c>
      <c r="B274" s="10">
        <v>45688</v>
      </c>
      <c r="C274" t="s">
        <v>152</v>
      </c>
      <c r="D274" t="s">
        <v>359</v>
      </c>
      <c r="E274">
        <v>253.91</v>
      </c>
      <c r="F274" t="s">
        <v>67</v>
      </c>
      <c r="G274" s="10">
        <v>45688</v>
      </c>
      <c r="H274" t="s">
        <v>17</v>
      </c>
      <c r="K274" s="28" t="str">
        <f t="shared" ref="K274:K337" si="5">"Quarter "&amp;INT((MONTH(B274)-1)/3)+1&amp;" "&amp;YEAR(B274)</f>
        <v>Quarter 1 2025</v>
      </c>
    </row>
    <row r="275" spans="1:11">
      <c r="A275" t="s">
        <v>22</v>
      </c>
      <c r="B275" s="10">
        <v>45688</v>
      </c>
      <c r="C275" t="s">
        <v>360</v>
      </c>
      <c r="D275" t="s">
        <v>126</v>
      </c>
      <c r="E275">
        <v>12.15</v>
      </c>
      <c r="F275" t="s">
        <v>67</v>
      </c>
      <c r="G275" s="10">
        <v>45688</v>
      </c>
      <c r="H275" t="s">
        <v>17</v>
      </c>
      <c r="K275" s="28" t="str">
        <f t="shared" si="5"/>
        <v>Quarter 1 2025</v>
      </c>
    </row>
    <row r="276" spans="1:11">
      <c r="A276" t="s">
        <v>22</v>
      </c>
      <c r="B276" s="10">
        <v>45688</v>
      </c>
      <c r="C276" t="s">
        <v>133</v>
      </c>
      <c r="D276" t="s">
        <v>134</v>
      </c>
      <c r="E276">
        <v>339.18</v>
      </c>
      <c r="F276" t="s">
        <v>67</v>
      </c>
      <c r="G276" s="10">
        <v>45688</v>
      </c>
      <c r="H276" t="s">
        <v>17</v>
      </c>
      <c r="K276" s="28" t="str">
        <f t="shared" si="5"/>
        <v>Quarter 1 2025</v>
      </c>
    </row>
    <row r="277" spans="1:11">
      <c r="A277" t="s">
        <v>22</v>
      </c>
      <c r="B277" s="10">
        <v>45688</v>
      </c>
      <c r="C277" t="s">
        <v>327</v>
      </c>
      <c r="D277" t="s">
        <v>150</v>
      </c>
      <c r="E277" s="52">
        <v>8422.99</v>
      </c>
      <c r="F277" t="s">
        <v>67</v>
      </c>
      <c r="G277" s="10">
        <v>45688</v>
      </c>
      <c r="H277" t="s">
        <v>17</v>
      </c>
      <c r="K277" s="28" t="str">
        <f t="shared" si="5"/>
        <v>Quarter 1 2025</v>
      </c>
    </row>
    <row r="278" spans="1:11">
      <c r="A278" t="s">
        <v>22</v>
      </c>
      <c r="B278" s="10">
        <v>45688</v>
      </c>
      <c r="C278" t="s">
        <v>122</v>
      </c>
      <c r="D278" t="s">
        <v>123</v>
      </c>
      <c r="E278">
        <v>152.96</v>
      </c>
      <c r="F278" t="s">
        <v>67</v>
      </c>
      <c r="G278" s="10">
        <v>45688</v>
      </c>
      <c r="H278" t="s">
        <v>17</v>
      </c>
      <c r="K278" s="28" t="str">
        <f t="shared" si="5"/>
        <v>Quarter 1 2025</v>
      </c>
    </row>
    <row r="279" spans="1:11">
      <c r="A279" t="s">
        <v>22</v>
      </c>
      <c r="B279" s="10">
        <v>45688</v>
      </c>
      <c r="C279" t="s">
        <v>128</v>
      </c>
      <c r="D279" t="s">
        <v>129</v>
      </c>
      <c r="E279" s="52">
        <v>1749.85</v>
      </c>
      <c r="F279" t="s">
        <v>67</v>
      </c>
      <c r="G279" s="10">
        <v>45688</v>
      </c>
      <c r="H279" t="s">
        <v>17</v>
      </c>
      <c r="K279" s="28" t="str">
        <f t="shared" si="5"/>
        <v>Quarter 1 2025</v>
      </c>
    </row>
    <row r="280" spans="1:11">
      <c r="A280" t="s">
        <v>22</v>
      </c>
      <c r="B280" s="10">
        <v>45688</v>
      </c>
      <c r="C280" t="s">
        <v>322</v>
      </c>
      <c r="D280" t="s">
        <v>116</v>
      </c>
      <c r="E280" s="52">
        <v>2843.19</v>
      </c>
      <c r="F280" t="s">
        <v>67</v>
      </c>
      <c r="G280" s="10">
        <v>45688</v>
      </c>
      <c r="H280" t="s">
        <v>17</v>
      </c>
      <c r="K280" s="28" t="str">
        <f t="shared" si="5"/>
        <v>Quarter 1 2025</v>
      </c>
    </row>
    <row r="281" spans="1:11">
      <c r="A281" t="s">
        <v>22</v>
      </c>
      <c r="B281" s="10">
        <v>45689</v>
      </c>
      <c r="C281" t="s">
        <v>317</v>
      </c>
      <c r="D281" t="s">
        <v>87</v>
      </c>
      <c r="E281" s="52">
        <v>2103.33</v>
      </c>
      <c r="F281" t="s">
        <v>318</v>
      </c>
      <c r="G281" s="10">
        <v>45689</v>
      </c>
      <c r="H281" t="s">
        <v>17</v>
      </c>
      <c r="K281" s="28" t="str">
        <f t="shared" si="5"/>
        <v>Quarter 1 2025</v>
      </c>
    </row>
    <row r="282" spans="1:11">
      <c r="A282" t="s">
        <v>22</v>
      </c>
      <c r="B282" s="10">
        <v>45689</v>
      </c>
      <c r="C282" t="s">
        <v>320</v>
      </c>
      <c r="D282" t="s">
        <v>156</v>
      </c>
      <c r="E282" s="52">
        <v>-2103.33</v>
      </c>
      <c r="F282" t="s">
        <v>67</v>
      </c>
      <c r="G282" s="10">
        <v>45689</v>
      </c>
      <c r="H282" t="s">
        <v>17</v>
      </c>
      <c r="K282" s="28" t="str">
        <f t="shared" si="5"/>
        <v>Quarter 1 2025</v>
      </c>
    </row>
    <row r="283" spans="1:11">
      <c r="A283" t="s">
        <v>22</v>
      </c>
      <c r="B283" s="10">
        <v>45715</v>
      </c>
      <c r="C283" t="s">
        <v>319</v>
      </c>
      <c r="D283" t="s">
        <v>87</v>
      </c>
      <c r="E283" s="52">
        <v>-149590.35999999999</v>
      </c>
      <c r="F283" t="s">
        <v>318</v>
      </c>
      <c r="G283" s="10">
        <v>45715</v>
      </c>
      <c r="H283" t="s">
        <v>17</v>
      </c>
      <c r="K283" s="28" t="str">
        <f t="shared" si="5"/>
        <v>Quarter 1 2025</v>
      </c>
    </row>
    <row r="284" spans="1:11">
      <c r="A284" t="s">
        <v>22</v>
      </c>
      <c r="B284" s="10">
        <v>45715</v>
      </c>
      <c r="C284" t="s">
        <v>152</v>
      </c>
      <c r="D284" t="s">
        <v>359</v>
      </c>
      <c r="E284" s="52">
        <v>117165</v>
      </c>
      <c r="F284" t="s">
        <v>67</v>
      </c>
      <c r="G284" s="10">
        <v>45715</v>
      </c>
      <c r="H284" t="s">
        <v>17</v>
      </c>
      <c r="K284" s="28" t="str">
        <f t="shared" si="5"/>
        <v>Quarter 1 2025</v>
      </c>
    </row>
    <row r="285" spans="1:11">
      <c r="A285" t="s">
        <v>22</v>
      </c>
      <c r="B285" s="10">
        <v>45715</v>
      </c>
      <c r="C285" t="s">
        <v>360</v>
      </c>
      <c r="D285" t="s">
        <v>126</v>
      </c>
      <c r="E285">
        <v>50.01</v>
      </c>
      <c r="F285" t="s">
        <v>67</v>
      </c>
      <c r="G285" s="10">
        <v>45715</v>
      </c>
      <c r="H285" t="s">
        <v>17</v>
      </c>
      <c r="K285" s="28" t="str">
        <f t="shared" si="5"/>
        <v>Quarter 1 2025</v>
      </c>
    </row>
    <row r="286" spans="1:11">
      <c r="A286" t="s">
        <v>22</v>
      </c>
      <c r="B286" s="10">
        <v>45715</v>
      </c>
      <c r="C286" t="s">
        <v>133</v>
      </c>
      <c r="D286" t="s">
        <v>134</v>
      </c>
      <c r="E286">
        <v>4.51</v>
      </c>
      <c r="F286" t="s">
        <v>67</v>
      </c>
      <c r="G286" s="10">
        <v>45715</v>
      </c>
      <c r="H286" t="s">
        <v>17</v>
      </c>
      <c r="K286" s="28" t="str">
        <f t="shared" si="5"/>
        <v>Quarter 1 2025</v>
      </c>
    </row>
    <row r="287" spans="1:11">
      <c r="A287" t="s">
        <v>22</v>
      </c>
      <c r="B287" s="10">
        <v>45715</v>
      </c>
      <c r="C287" t="s">
        <v>119</v>
      </c>
      <c r="D287" t="s">
        <v>120</v>
      </c>
      <c r="E287">
        <v>102.74</v>
      </c>
      <c r="F287" t="s">
        <v>67</v>
      </c>
      <c r="G287" s="10">
        <v>45715</v>
      </c>
      <c r="H287" t="s">
        <v>17</v>
      </c>
      <c r="K287" s="28" t="str">
        <f t="shared" si="5"/>
        <v>Quarter 1 2025</v>
      </c>
    </row>
    <row r="288" spans="1:11">
      <c r="A288" t="s">
        <v>22</v>
      </c>
      <c r="B288" s="10">
        <v>45715</v>
      </c>
      <c r="C288" t="s">
        <v>327</v>
      </c>
      <c r="D288" t="s">
        <v>150</v>
      </c>
      <c r="E288" s="52">
        <v>3346.84</v>
      </c>
      <c r="F288" t="s">
        <v>67</v>
      </c>
      <c r="G288" s="10">
        <v>45715</v>
      </c>
      <c r="H288" t="s">
        <v>17</v>
      </c>
      <c r="K288" s="28" t="str">
        <f t="shared" si="5"/>
        <v>Quarter 1 2025</v>
      </c>
    </row>
    <row r="289" spans="1:11">
      <c r="A289" t="s">
        <v>22</v>
      </c>
      <c r="B289" s="10">
        <v>45715</v>
      </c>
      <c r="C289" t="s">
        <v>122</v>
      </c>
      <c r="D289" t="s">
        <v>123</v>
      </c>
      <c r="E289" s="52">
        <v>25911.97</v>
      </c>
      <c r="F289" t="s">
        <v>67</v>
      </c>
      <c r="G289" s="10">
        <v>45715</v>
      </c>
      <c r="H289" t="s">
        <v>17</v>
      </c>
      <c r="K289" s="28" t="str">
        <f t="shared" si="5"/>
        <v>Quarter 1 2025</v>
      </c>
    </row>
    <row r="290" spans="1:11">
      <c r="A290" t="s">
        <v>22</v>
      </c>
      <c r="B290" s="10">
        <v>45715</v>
      </c>
      <c r="C290" t="s">
        <v>128</v>
      </c>
      <c r="D290" t="s">
        <v>129</v>
      </c>
      <c r="E290">
        <v>636.78</v>
      </c>
      <c r="F290" t="s">
        <v>67</v>
      </c>
      <c r="G290" s="10">
        <v>45715</v>
      </c>
      <c r="H290" t="s">
        <v>17</v>
      </c>
      <c r="K290" s="28" t="str">
        <f t="shared" si="5"/>
        <v>Quarter 1 2025</v>
      </c>
    </row>
    <row r="291" spans="1:11">
      <c r="A291" t="s">
        <v>22</v>
      </c>
      <c r="B291" s="10">
        <v>45715</v>
      </c>
      <c r="C291" t="s">
        <v>322</v>
      </c>
      <c r="D291" t="s">
        <v>116</v>
      </c>
      <c r="E291" s="52">
        <v>2372.5100000000002</v>
      </c>
      <c r="F291" t="s">
        <v>67</v>
      </c>
      <c r="G291" s="10">
        <v>45715</v>
      </c>
      <c r="H291" t="s">
        <v>17</v>
      </c>
      <c r="K291" s="28" t="str">
        <f t="shared" si="5"/>
        <v>Quarter 1 2025</v>
      </c>
    </row>
    <row r="292" spans="1:11">
      <c r="A292" t="s">
        <v>22</v>
      </c>
      <c r="B292" s="10">
        <v>45719</v>
      </c>
      <c r="C292" t="s">
        <v>317</v>
      </c>
      <c r="D292" t="s">
        <v>87</v>
      </c>
      <c r="E292" s="52">
        <v>1950.63</v>
      </c>
      <c r="F292" t="s">
        <v>318</v>
      </c>
      <c r="G292" s="10">
        <v>45719</v>
      </c>
      <c r="H292" t="s">
        <v>17</v>
      </c>
      <c r="K292" s="28" t="str">
        <f t="shared" si="5"/>
        <v>Quarter 1 2025</v>
      </c>
    </row>
    <row r="293" spans="1:11">
      <c r="A293" t="s">
        <v>22</v>
      </c>
      <c r="B293" s="10">
        <v>45719</v>
      </c>
      <c r="C293" t="s">
        <v>320</v>
      </c>
      <c r="D293" t="s">
        <v>156</v>
      </c>
      <c r="E293" s="52">
        <v>-1950.63</v>
      </c>
      <c r="F293" t="s">
        <v>67</v>
      </c>
      <c r="G293" s="10">
        <v>45719</v>
      </c>
      <c r="H293" t="s">
        <v>17</v>
      </c>
      <c r="K293" s="28" t="str">
        <f t="shared" si="5"/>
        <v>Quarter 1 2025</v>
      </c>
    </row>
    <row r="294" spans="1:11">
      <c r="A294" t="s">
        <v>22</v>
      </c>
      <c r="B294" s="10">
        <v>45737</v>
      </c>
      <c r="C294" t="s">
        <v>319</v>
      </c>
      <c r="D294" t="s">
        <v>87</v>
      </c>
      <c r="E294" s="52">
        <v>-128279</v>
      </c>
      <c r="F294" t="s">
        <v>318</v>
      </c>
      <c r="G294" s="10">
        <v>45737</v>
      </c>
      <c r="H294" t="s">
        <v>17</v>
      </c>
      <c r="K294" s="28" t="str">
        <f t="shared" si="5"/>
        <v>Quarter 1 2025</v>
      </c>
    </row>
    <row r="295" spans="1:11">
      <c r="A295" t="s">
        <v>22</v>
      </c>
      <c r="B295" s="10">
        <v>45737</v>
      </c>
      <c r="C295" t="s">
        <v>112</v>
      </c>
      <c r="D295" t="s">
        <v>113</v>
      </c>
      <c r="E295" s="52">
        <v>128279</v>
      </c>
      <c r="F295" t="s">
        <v>67</v>
      </c>
      <c r="G295" s="10">
        <v>45737</v>
      </c>
      <c r="H295" t="s">
        <v>17</v>
      </c>
      <c r="K295" s="28" t="str">
        <f t="shared" si="5"/>
        <v>Quarter 1 2025</v>
      </c>
    </row>
    <row r="296" spans="1:11">
      <c r="A296" t="s">
        <v>22</v>
      </c>
      <c r="B296" s="10">
        <v>45747</v>
      </c>
      <c r="C296" t="s">
        <v>319</v>
      </c>
      <c r="D296" t="s">
        <v>87</v>
      </c>
      <c r="E296" s="52">
        <v>-77560.62</v>
      </c>
      <c r="F296" t="s">
        <v>318</v>
      </c>
      <c r="G296" s="10">
        <v>45747</v>
      </c>
      <c r="H296" t="s">
        <v>17</v>
      </c>
      <c r="K296" s="28" t="str">
        <f t="shared" si="5"/>
        <v>Quarter 1 2025</v>
      </c>
    </row>
    <row r="297" spans="1:11">
      <c r="A297" t="s">
        <v>22</v>
      </c>
      <c r="B297" s="10">
        <v>45747</v>
      </c>
      <c r="C297" t="s">
        <v>329</v>
      </c>
      <c r="D297" t="s">
        <v>139</v>
      </c>
      <c r="E297" s="52">
        <v>3350</v>
      </c>
      <c r="F297" t="s">
        <v>67</v>
      </c>
      <c r="G297" s="10">
        <v>45747</v>
      </c>
      <c r="H297" t="s">
        <v>194</v>
      </c>
      <c r="K297" s="28" t="str">
        <f t="shared" si="5"/>
        <v>Quarter 1 2025</v>
      </c>
    </row>
    <row r="298" spans="1:11">
      <c r="A298" t="s">
        <v>22</v>
      </c>
      <c r="B298" s="10">
        <v>45747</v>
      </c>
      <c r="C298" t="s">
        <v>94</v>
      </c>
      <c r="D298" t="s">
        <v>96</v>
      </c>
      <c r="E298">
        <v>750</v>
      </c>
      <c r="F298" t="s">
        <v>67</v>
      </c>
      <c r="G298" s="10">
        <v>45747</v>
      </c>
      <c r="H298" t="s">
        <v>194</v>
      </c>
      <c r="K298" s="28" t="str">
        <f t="shared" si="5"/>
        <v>Quarter 1 2025</v>
      </c>
    </row>
    <row r="299" spans="1:11">
      <c r="A299" t="s">
        <v>22</v>
      </c>
      <c r="B299" s="10">
        <v>45747</v>
      </c>
      <c r="C299" t="s">
        <v>152</v>
      </c>
      <c r="D299" t="s">
        <v>359</v>
      </c>
      <c r="E299" s="52">
        <v>42590.53</v>
      </c>
      <c r="F299" t="s">
        <v>67</v>
      </c>
      <c r="G299" s="10">
        <v>45747</v>
      </c>
      <c r="H299" t="s">
        <v>17</v>
      </c>
      <c r="K299" s="28" t="str">
        <f t="shared" si="5"/>
        <v>Quarter 1 2025</v>
      </c>
    </row>
    <row r="300" spans="1:11">
      <c r="A300" t="s">
        <v>22</v>
      </c>
      <c r="B300" s="10">
        <v>45747</v>
      </c>
      <c r="C300" t="s">
        <v>133</v>
      </c>
      <c r="D300" t="s">
        <v>134</v>
      </c>
      <c r="E300">
        <v>296.2</v>
      </c>
      <c r="F300" t="s">
        <v>67</v>
      </c>
      <c r="G300" s="10">
        <v>45747</v>
      </c>
      <c r="H300" t="s">
        <v>17</v>
      </c>
      <c r="K300" s="28" t="str">
        <f t="shared" si="5"/>
        <v>Quarter 1 2025</v>
      </c>
    </row>
    <row r="301" spans="1:11">
      <c r="A301" t="s">
        <v>22</v>
      </c>
      <c r="B301" s="10">
        <v>45747</v>
      </c>
      <c r="C301" t="s">
        <v>327</v>
      </c>
      <c r="D301" t="s">
        <v>150</v>
      </c>
      <c r="E301" s="52">
        <v>5621.73</v>
      </c>
      <c r="F301" t="s">
        <v>67</v>
      </c>
      <c r="G301" s="10">
        <v>45747</v>
      </c>
      <c r="H301" t="s">
        <v>17</v>
      </c>
      <c r="K301" s="28" t="str">
        <f t="shared" si="5"/>
        <v>Quarter 1 2025</v>
      </c>
    </row>
    <row r="302" spans="1:11">
      <c r="A302" t="s">
        <v>22</v>
      </c>
      <c r="B302" s="10">
        <v>45747</v>
      </c>
      <c r="C302" t="s">
        <v>122</v>
      </c>
      <c r="D302" t="s">
        <v>123</v>
      </c>
      <c r="E302">
        <v>12</v>
      </c>
      <c r="F302" t="s">
        <v>67</v>
      </c>
      <c r="G302" s="10">
        <v>45747</v>
      </c>
      <c r="H302" t="s">
        <v>17</v>
      </c>
      <c r="K302" s="28" t="str">
        <f t="shared" si="5"/>
        <v>Quarter 1 2025</v>
      </c>
    </row>
    <row r="303" spans="1:11">
      <c r="A303" t="s">
        <v>22</v>
      </c>
      <c r="B303" s="10">
        <v>45747</v>
      </c>
      <c r="C303" t="s">
        <v>361</v>
      </c>
      <c r="D303" t="s">
        <v>131</v>
      </c>
      <c r="E303" s="52">
        <v>12362</v>
      </c>
      <c r="F303" t="s">
        <v>67</v>
      </c>
      <c r="G303" s="10">
        <v>45747</v>
      </c>
      <c r="H303" t="s">
        <v>17</v>
      </c>
      <c r="K303" s="28" t="str">
        <f t="shared" si="5"/>
        <v>Quarter 1 2025</v>
      </c>
    </row>
    <row r="304" spans="1:11">
      <c r="A304" t="s">
        <v>22</v>
      </c>
      <c r="B304" s="10">
        <v>45747</v>
      </c>
      <c r="C304" t="s">
        <v>128</v>
      </c>
      <c r="D304" t="s">
        <v>129</v>
      </c>
      <c r="E304" s="52">
        <v>1852.55</v>
      </c>
      <c r="F304" t="s">
        <v>67</v>
      </c>
      <c r="G304" s="10">
        <v>45747</v>
      </c>
      <c r="H304" t="s">
        <v>17</v>
      </c>
      <c r="K304" s="28" t="str">
        <f t="shared" si="5"/>
        <v>Quarter 1 2025</v>
      </c>
    </row>
    <row r="305" spans="1:11">
      <c r="A305" t="s">
        <v>22</v>
      </c>
      <c r="B305" s="10">
        <v>45747</v>
      </c>
      <c r="C305" t="s">
        <v>141</v>
      </c>
      <c r="D305" t="s">
        <v>142</v>
      </c>
      <c r="E305" s="52">
        <v>2555.5</v>
      </c>
      <c r="F305" t="s">
        <v>67</v>
      </c>
      <c r="G305" s="10">
        <v>45747</v>
      </c>
      <c r="H305" t="s">
        <v>194</v>
      </c>
      <c r="K305" s="28" t="str">
        <f t="shared" si="5"/>
        <v>Quarter 1 2025</v>
      </c>
    </row>
    <row r="306" spans="1:11">
      <c r="A306" t="s">
        <v>22</v>
      </c>
      <c r="B306" s="10">
        <v>45747</v>
      </c>
      <c r="C306" t="s">
        <v>348</v>
      </c>
      <c r="D306" t="s">
        <v>142</v>
      </c>
      <c r="E306">
        <v>428.75</v>
      </c>
      <c r="F306" t="s">
        <v>67</v>
      </c>
      <c r="G306" s="10">
        <v>45747</v>
      </c>
      <c r="H306" t="s">
        <v>17</v>
      </c>
      <c r="K306" s="28" t="str">
        <f t="shared" si="5"/>
        <v>Quarter 1 2025</v>
      </c>
    </row>
    <row r="307" spans="1:11">
      <c r="A307" t="s">
        <v>22</v>
      </c>
      <c r="B307" s="10">
        <v>45747</v>
      </c>
      <c r="C307" t="s">
        <v>103</v>
      </c>
      <c r="D307" t="s">
        <v>104</v>
      </c>
      <c r="E307" s="52">
        <v>3424.92</v>
      </c>
      <c r="F307" t="s">
        <v>67</v>
      </c>
      <c r="G307" s="10">
        <v>45747</v>
      </c>
      <c r="H307" t="s">
        <v>17</v>
      </c>
      <c r="K307" s="28" t="str">
        <f t="shared" si="5"/>
        <v>Quarter 1 2025</v>
      </c>
    </row>
    <row r="308" spans="1:11">
      <c r="A308" t="s">
        <v>22</v>
      </c>
      <c r="B308" s="10">
        <v>45747</v>
      </c>
      <c r="C308" t="s">
        <v>346</v>
      </c>
      <c r="D308" t="s">
        <v>105</v>
      </c>
      <c r="E308" s="52">
        <v>44746548.549999997</v>
      </c>
      <c r="F308" t="s">
        <v>318</v>
      </c>
      <c r="G308" s="10">
        <v>45747</v>
      </c>
      <c r="K308" s="28" t="str">
        <f t="shared" si="5"/>
        <v>Quarter 1 2025</v>
      </c>
    </row>
    <row r="309" spans="1:11">
      <c r="A309" t="s">
        <v>22</v>
      </c>
      <c r="B309" s="10">
        <v>45747</v>
      </c>
      <c r="C309" t="s">
        <v>331</v>
      </c>
      <c r="E309">
        <v>-4</v>
      </c>
      <c r="F309" t="s">
        <v>313</v>
      </c>
      <c r="G309" s="10">
        <v>45747</v>
      </c>
      <c r="K309" s="28" t="str">
        <f t="shared" si="5"/>
        <v>Quarter 1 2025</v>
      </c>
    </row>
    <row r="310" spans="1:11">
      <c r="A310" t="s">
        <v>22</v>
      </c>
      <c r="B310" s="10">
        <v>45747</v>
      </c>
      <c r="C310" t="s">
        <v>333</v>
      </c>
      <c r="D310" t="s">
        <v>121</v>
      </c>
      <c r="E310" s="52">
        <v>-3350</v>
      </c>
      <c r="F310" t="s">
        <v>318</v>
      </c>
      <c r="G310" s="10">
        <v>45747</v>
      </c>
      <c r="H310" t="s">
        <v>194</v>
      </c>
      <c r="K310" s="28" t="str">
        <f t="shared" si="5"/>
        <v>Quarter 1 2025</v>
      </c>
    </row>
    <row r="311" spans="1:11">
      <c r="A311" t="s">
        <v>22</v>
      </c>
      <c r="B311" s="10">
        <v>45747</v>
      </c>
      <c r="C311" t="s">
        <v>334</v>
      </c>
      <c r="D311" t="s">
        <v>95</v>
      </c>
      <c r="E311">
        <v>-750</v>
      </c>
      <c r="F311" t="s">
        <v>318</v>
      </c>
      <c r="G311" s="10">
        <v>45747</v>
      </c>
      <c r="H311" t="s">
        <v>194</v>
      </c>
      <c r="K311" s="28" t="str">
        <f t="shared" si="5"/>
        <v>Quarter 1 2025</v>
      </c>
    </row>
    <row r="312" spans="1:11">
      <c r="A312" t="s">
        <v>22</v>
      </c>
      <c r="B312" s="10">
        <v>45747</v>
      </c>
      <c r="C312" t="s">
        <v>322</v>
      </c>
      <c r="D312" t="s">
        <v>116</v>
      </c>
      <c r="E312">
        <v>749.94</v>
      </c>
      <c r="F312" t="s">
        <v>67</v>
      </c>
      <c r="G312" s="10">
        <v>45747</v>
      </c>
      <c r="H312" t="s">
        <v>17</v>
      </c>
      <c r="K312" s="28" t="str">
        <f t="shared" si="5"/>
        <v>Quarter 1 2025</v>
      </c>
    </row>
    <row r="313" spans="1:11">
      <c r="A313" t="s">
        <v>22</v>
      </c>
      <c r="B313" s="10">
        <v>45747</v>
      </c>
      <c r="C313" t="s">
        <v>336</v>
      </c>
      <c r="D313" t="s">
        <v>124</v>
      </c>
      <c r="E313" s="52">
        <v>10222</v>
      </c>
      <c r="F313" t="s">
        <v>67</v>
      </c>
      <c r="G313" s="10">
        <v>45747</v>
      </c>
      <c r="H313" t="s">
        <v>17</v>
      </c>
      <c r="K313" s="28" t="str">
        <f t="shared" si="5"/>
        <v>Quarter 1 2025</v>
      </c>
    </row>
    <row r="314" spans="1:11">
      <c r="A314" t="s">
        <v>22</v>
      </c>
      <c r="B314" s="10">
        <v>45747</v>
      </c>
      <c r="C314" t="s">
        <v>336</v>
      </c>
      <c r="D314" t="s">
        <v>124</v>
      </c>
      <c r="E314" s="52">
        <v>-2555.5</v>
      </c>
      <c r="F314" t="s">
        <v>318</v>
      </c>
      <c r="G314" s="10">
        <v>45747</v>
      </c>
      <c r="H314" t="s">
        <v>194</v>
      </c>
      <c r="K314" s="28" t="str">
        <f t="shared" si="5"/>
        <v>Quarter 1 2025</v>
      </c>
    </row>
    <row r="315" spans="1:11">
      <c r="A315" t="s">
        <v>22</v>
      </c>
      <c r="B315" s="10">
        <v>45747</v>
      </c>
      <c r="C315" t="s">
        <v>347</v>
      </c>
      <c r="D315" t="s">
        <v>157</v>
      </c>
      <c r="E315" s="52">
        <v>-44746548.549999997</v>
      </c>
      <c r="F315" t="s">
        <v>67</v>
      </c>
      <c r="G315" s="10">
        <v>45747</v>
      </c>
      <c r="K315" s="28" t="str">
        <f t="shared" si="5"/>
        <v>Quarter 1 2025</v>
      </c>
    </row>
    <row r="316" spans="1:11">
      <c r="A316" t="s">
        <v>22</v>
      </c>
      <c r="B316" s="10">
        <v>45748</v>
      </c>
      <c r="C316" t="s">
        <v>317</v>
      </c>
      <c r="D316" t="s">
        <v>87</v>
      </c>
      <c r="E316" s="52">
        <v>1476.76</v>
      </c>
      <c r="F316" t="s">
        <v>318</v>
      </c>
      <c r="G316" s="10">
        <v>45748</v>
      </c>
      <c r="H316" t="s">
        <v>17</v>
      </c>
      <c r="K316" s="28" t="str">
        <f t="shared" si="5"/>
        <v>Quarter 2 2025</v>
      </c>
    </row>
    <row r="317" spans="1:11">
      <c r="A317" t="s">
        <v>22</v>
      </c>
      <c r="B317" s="10">
        <v>45748</v>
      </c>
      <c r="C317" t="s">
        <v>320</v>
      </c>
      <c r="D317" t="s">
        <v>156</v>
      </c>
      <c r="E317" s="52">
        <v>-1476.76</v>
      </c>
      <c r="F317" t="s">
        <v>67</v>
      </c>
      <c r="G317" s="10">
        <v>45748</v>
      </c>
      <c r="H317" t="s">
        <v>17</v>
      </c>
      <c r="K317" s="28" t="str">
        <f t="shared" si="5"/>
        <v>Quarter 2 2025</v>
      </c>
    </row>
    <row r="318" spans="1:11">
      <c r="A318" t="s">
        <v>22</v>
      </c>
      <c r="B318" s="10">
        <v>45778</v>
      </c>
      <c r="C318" t="s">
        <v>317</v>
      </c>
      <c r="D318" t="s">
        <v>87</v>
      </c>
      <c r="E318">
        <v>880.12</v>
      </c>
      <c r="F318" t="s">
        <v>318</v>
      </c>
      <c r="G318" s="10">
        <v>45778</v>
      </c>
      <c r="H318" t="s">
        <v>17</v>
      </c>
      <c r="K318" s="28" t="str">
        <f t="shared" si="5"/>
        <v>Quarter 2 2025</v>
      </c>
    </row>
    <row r="319" spans="1:11">
      <c r="A319" t="s">
        <v>22</v>
      </c>
      <c r="B319" s="10">
        <v>45778</v>
      </c>
      <c r="C319" t="s">
        <v>320</v>
      </c>
      <c r="D319" t="s">
        <v>156</v>
      </c>
      <c r="E319">
        <v>-880.12</v>
      </c>
      <c r="F319" t="s">
        <v>67</v>
      </c>
      <c r="G319" s="10">
        <v>45778</v>
      </c>
      <c r="H319" t="s">
        <v>17</v>
      </c>
      <c r="K319" s="28" t="str">
        <f t="shared" si="5"/>
        <v>Quarter 2 2025</v>
      </c>
    </row>
    <row r="320" spans="1:11">
      <c r="A320" t="s">
        <v>22</v>
      </c>
      <c r="B320" s="10">
        <v>45782</v>
      </c>
      <c r="C320" t="s">
        <v>319</v>
      </c>
      <c r="D320" t="s">
        <v>87</v>
      </c>
      <c r="E320" s="52">
        <v>-18286.82</v>
      </c>
      <c r="F320" t="s">
        <v>318</v>
      </c>
      <c r="G320" s="10">
        <v>45782</v>
      </c>
      <c r="H320" t="s">
        <v>17</v>
      </c>
      <c r="K320" s="28" t="str">
        <f t="shared" si="5"/>
        <v>Quarter 2 2025</v>
      </c>
    </row>
    <row r="321" spans="1:11">
      <c r="A321" t="s">
        <v>22</v>
      </c>
      <c r="B321" s="10">
        <v>45782</v>
      </c>
      <c r="C321" t="s">
        <v>360</v>
      </c>
      <c r="D321" t="s">
        <v>126</v>
      </c>
      <c r="E321" s="52">
        <v>6817.04</v>
      </c>
      <c r="F321" t="s">
        <v>67</v>
      </c>
      <c r="G321" s="10">
        <v>45782</v>
      </c>
      <c r="H321" t="s">
        <v>17</v>
      </c>
      <c r="K321" s="28" t="str">
        <f t="shared" si="5"/>
        <v>Quarter 2 2025</v>
      </c>
    </row>
    <row r="322" spans="1:11">
      <c r="A322" t="s">
        <v>22</v>
      </c>
      <c r="B322" s="10">
        <v>45782</v>
      </c>
      <c r="C322" t="s">
        <v>133</v>
      </c>
      <c r="D322" t="s">
        <v>134</v>
      </c>
      <c r="E322">
        <v>769.75</v>
      </c>
      <c r="F322" t="s">
        <v>67</v>
      </c>
      <c r="G322" s="10">
        <v>45782</v>
      </c>
      <c r="H322" t="s">
        <v>17</v>
      </c>
      <c r="K322" s="28" t="str">
        <f t="shared" si="5"/>
        <v>Quarter 2 2025</v>
      </c>
    </row>
    <row r="323" spans="1:11">
      <c r="A323" t="s">
        <v>22</v>
      </c>
      <c r="B323" s="10">
        <v>45782</v>
      </c>
      <c r="C323" t="s">
        <v>327</v>
      </c>
      <c r="D323" t="s">
        <v>150</v>
      </c>
      <c r="E323" s="52">
        <v>5067.5200000000004</v>
      </c>
      <c r="F323" t="s">
        <v>67</v>
      </c>
      <c r="G323" s="10">
        <v>45782</v>
      </c>
      <c r="H323" t="s">
        <v>17</v>
      </c>
      <c r="K323" s="28" t="str">
        <f t="shared" si="5"/>
        <v>Quarter 2 2025</v>
      </c>
    </row>
    <row r="324" spans="1:11">
      <c r="A324" t="s">
        <v>22</v>
      </c>
      <c r="B324" s="10">
        <v>45782</v>
      </c>
      <c r="C324" t="s">
        <v>361</v>
      </c>
      <c r="D324" t="s">
        <v>131</v>
      </c>
      <c r="E324" s="52">
        <v>3493.82</v>
      </c>
      <c r="F324" t="s">
        <v>67</v>
      </c>
      <c r="G324" s="10">
        <v>45782</v>
      </c>
      <c r="H324" t="s">
        <v>17</v>
      </c>
      <c r="K324" s="28" t="str">
        <f t="shared" si="5"/>
        <v>Quarter 2 2025</v>
      </c>
    </row>
    <row r="325" spans="1:11">
      <c r="A325" t="s">
        <v>22</v>
      </c>
      <c r="B325" s="10">
        <v>45782</v>
      </c>
      <c r="C325" t="s">
        <v>128</v>
      </c>
      <c r="D325" t="s">
        <v>129</v>
      </c>
      <c r="E325" s="52">
        <v>1688.69</v>
      </c>
      <c r="F325" t="s">
        <v>67</v>
      </c>
      <c r="G325" s="10">
        <v>45782</v>
      </c>
      <c r="H325" t="s">
        <v>17</v>
      </c>
      <c r="K325" s="28" t="str">
        <f t="shared" si="5"/>
        <v>Quarter 2 2025</v>
      </c>
    </row>
    <row r="326" spans="1:11">
      <c r="A326" t="s">
        <v>22</v>
      </c>
      <c r="B326" s="10">
        <v>45782</v>
      </c>
      <c r="C326" t="s">
        <v>336</v>
      </c>
      <c r="D326" t="s">
        <v>124</v>
      </c>
      <c r="E326">
        <v>450</v>
      </c>
      <c r="F326" t="s">
        <v>67</v>
      </c>
      <c r="G326" s="10">
        <v>45782</v>
      </c>
      <c r="H326" t="s">
        <v>17</v>
      </c>
      <c r="K326" s="28" t="str">
        <f t="shared" si="5"/>
        <v>Quarter 2 2025</v>
      </c>
    </row>
    <row r="327" spans="1:11">
      <c r="A327" t="s">
        <v>22</v>
      </c>
      <c r="B327" s="10">
        <v>45807</v>
      </c>
      <c r="C327" t="s">
        <v>319</v>
      </c>
      <c r="D327" t="s">
        <v>87</v>
      </c>
      <c r="E327" s="52">
        <v>-45663.67</v>
      </c>
      <c r="F327" t="s">
        <v>318</v>
      </c>
      <c r="G327" s="10">
        <v>45807</v>
      </c>
      <c r="H327" t="s">
        <v>17</v>
      </c>
      <c r="K327" s="28" t="str">
        <f t="shared" si="5"/>
        <v>Quarter 2 2025</v>
      </c>
    </row>
    <row r="328" spans="1:11">
      <c r="A328" t="s">
        <v>22</v>
      </c>
      <c r="B328" s="10">
        <v>45807</v>
      </c>
      <c r="C328" t="s">
        <v>152</v>
      </c>
      <c r="D328" t="s">
        <v>359</v>
      </c>
      <c r="E328" s="52">
        <v>1530</v>
      </c>
      <c r="F328" t="s">
        <v>67</v>
      </c>
      <c r="G328" s="10">
        <v>45807</v>
      </c>
      <c r="H328" t="s">
        <v>17</v>
      </c>
      <c r="K328" s="28" t="str">
        <f t="shared" si="5"/>
        <v>Quarter 2 2025</v>
      </c>
    </row>
    <row r="329" spans="1:11">
      <c r="A329" t="s">
        <v>22</v>
      </c>
      <c r="B329" s="10">
        <v>45807</v>
      </c>
      <c r="C329" t="s">
        <v>360</v>
      </c>
      <c r="D329" t="s">
        <v>126</v>
      </c>
      <c r="E329" s="52">
        <v>2671.08</v>
      </c>
      <c r="F329" t="s">
        <v>67</v>
      </c>
      <c r="G329" s="10">
        <v>45807</v>
      </c>
      <c r="H329" t="s">
        <v>17</v>
      </c>
      <c r="K329" s="28" t="str">
        <f t="shared" si="5"/>
        <v>Quarter 2 2025</v>
      </c>
    </row>
    <row r="330" spans="1:11">
      <c r="A330" t="s">
        <v>22</v>
      </c>
      <c r="B330" s="10">
        <v>45807</v>
      </c>
      <c r="C330" t="s">
        <v>133</v>
      </c>
      <c r="D330" t="s">
        <v>134</v>
      </c>
      <c r="E330">
        <v>88.37</v>
      </c>
      <c r="F330" t="s">
        <v>67</v>
      </c>
      <c r="G330" s="10">
        <v>45807</v>
      </c>
      <c r="H330" t="s">
        <v>17</v>
      </c>
      <c r="K330" s="28" t="str">
        <f t="shared" si="5"/>
        <v>Quarter 2 2025</v>
      </c>
    </row>
    <row r="331" spans="1:11">
      <c r="A331" t="s">
        <v>22</v>
      </c>
      <c r="B331" s="10">
        <v>45807</v>
      </c>
      <c r="C331" t="s">
        <v>327</v>
      </c>
      <c r="D331" t="s">
        <v>150</v>
      </c>
      <c r="E331" s="52">
        <v>2896.62</v>
      </c>
      <c r="F331" t="s">
        <v>67</v>
      </c>
      <c r="G331" s="10">
        <v>45807</v>
      </c>
      <c r="H331" t="s">
        <v>17</v>
      </c>
      <c r="K331" s="28" t="str">
        <f t="shared" si="5"/>
        <v>Quarter 2 2025</v>
      </c>
    </row>
    <row r="332" spans="1:11">
      <c r="A332" t="s">
        <v>22</v>
      </c>
      <c r="B332" s="10">
        <v>45807</v>
      </c>
      <c r="C332" t="s">
        <v>122</v>
      </c>
      <c r="D332" t="s">
        <v>123</v>
      </c>
      <c r="E332" s="52">
        <v>33372.879999999997</v>
      </c>
      <c r="F332" t="s">
        <v>67</v>
      </c>
      <c r="G332" s="10">
        <v>45807</v>
      </c>
      <c r="H332" t="s">
        <v>17</v>
      </c>
      <c r="K332" s="28" t="str">
        <f t="shared" si="5"/>
        <v>Quarter 2 2025</v>
      </c>
    </row>
    <row r="333" spans="1:11">
      <c r="A333" t="s">
        <v>22</v>
      </c>
      <c r="B333" s="10">
        <v>45807</v>
      </c>
      <c r="C333" t="s">
        <v>361</v>
      </c>
      <c r="D333" t="s">
        <v>131</v>
      </c>
      <c r="E333" s="52">
        <v>2383</v>
      </c>
      <c r="F333" t="s">
        <v>67</v>
      </c>
      <c r="G333" s="10">
        <v>45807</v>
      </c>
      <c r="H333" t="s">
        <v>17</v>
      </c>
      <c r="K333" s="28" t="str">
        <f t="shared" si="5"/>
        <v>Quarter 2 2025</v>
      </c>
    </row>
    <row r="334" spans="1:11">
      <c r="A334" t="s">
        <v>22</v>
      </c>
      <c r="B334" s="10">
        <v>45807</v>
      </c>
      <c r="C334" t="s">
        <v>128</v>
      </c>
      <c r="D334" t="s">
        <v>129</v>
      </c>
      <c r="E334" s="52">
        <v>1221.72</v>
      </c>
      <c r="F334" t="s">
        <v>67</v>
      </c>
      <c r="G334" s="10">
        <v>45807</v>
      </c>
      <c r="H334" t="s">
        <v>17</v>
      </c>
      <c r="K334" s="28" t="str">
        <f t="shared" si="5"/>
        <v>Quarter 2 2025</v>
      </c>
    </row>
    <row r="335" spans="1:11">
      <c r="A335" t="s">
        <v>22</v>
      </c>
      <c r="B335" s="10">
        <v>45807</v>
      </c>
      <c r="C335" t="s">
        <v>334</v>
      </c>
      <c r="D335" t="s">
        <v>95</v>
      </c>
      <c r="E335" s="52">
        <v>1500</v>
      </c>
      <c r="F335" t="s">
        <v>67</v>
      </c>
      <c r="G335" s="10">
        <v>45807</v>
      </c>
      <c r="H335" t="s">
        <v>17</v>
      </c>
      <c r="K335" s="28" t="str">
        <f t="shared" si="5"/>
        <v>Quarter 2 2025</v>
      </c>
    </row>
    <row r="336" spans="1:11">
      <c r="A336" t="s">
        <v>22</v>
      </c>
      <c r="B336" s="10">
        <v>45810</v>
      </c>
      <c r="C336" t="s">
        <v>317</v>
      </c>
      <c r="D336" t="s">
        <v>87</v>
      </c>
      <c r="E336">
        <v>839.39</v>
      </c>
      <c r="F336" t="s">
        <v>318</v>
      </c>
      <c r="G336" s="10">
        <v>45810</v>
      </c>
      <c r="H336" t="s">
        <v>17</v>
      </c>
      <c r="K336" s="28" t="str">
        <f t="shared" si="5"/>
        <v>Quarter 2 2025</v>
      </c>
    </row>
    <row r="337" spans="1:11">
      <c r="A337" t="s">
        <v>22</v>
      </c>
      <c r="B337" s="10">
        <v>45810</v>
      </c>
      <c r="C337" t="s">
        <v>320</v>
      </c>
      <c r="D337" t="s">
        <v>156</v>
      </c>
      <c r="E337">
        <v>-839.39</v>
      </c>
      <c r="F337" t="s">
        <v>67</v>
      </c>
      <c r="G337" s="10">
        <v>45810</v>
      </c>
      <c r="H337" t="s">
        <v>17</v>
      </c>
      <c r="K337" s="28" t="str">
        <f t="shared" si="5"/>
        <v>Quarter 2 2025</v>
      </c>
    </row>
    <row r="338" spans="1:11">
      <c r="A338" t="s">
        <v>22</v>
      </c>
      <c r="B338" s="10">
        <v>45835</v>
      </c>
      <c r="C338" t="s">
        <v>319</v>
      </c>
      <c r="D338" t="s">
        <v>87</v>
      </c>
      <c r="E338" s="52">
        <v>-146678.48000000001</v>
      </c>
      <c r="F338" t="s">
        <v>318</v>
      </c>
      <c r="G338" s="10">
        <v>45835</v>
      </c>
      <c r="H338" t="s">
        <v>17</v>
      </c>
      <c r="K338" s="28" t="str">
        <f t="shared" ref="K338:K401" si="6">"Quarter "&amp;INT((MONTH(B338)-1)/3)+1&amp;" "&amp;YEAR(B338)</f>
        <v>Quarter 2 2025</v>
      </c>
    </row>
    <row r="339" spans="1:11">
      <c r="A339" t="s">
        <v>22</v>
      </c>
      <c r="B339" s="10">
        <v>45835</v>
      </c>
      <c r="C339" t="s">
        <v>112</v>
      </c>
      <c r="D339" t="s">
        <v>113</v>
      </c>
      <c r="E339" s="52">
        <v>91665</v>
      </c>
      <c r="F339" t="s">
        <v>67</v>
      </c>
      <c r="G339" s="10">
        <v>45835</v>
      </c>
      <c r="H339" t="s">
        <v>17</v>
      </c>
      <c r="K339" s="28" t="str">
        <f t="shared" si="6"/>
        <v>Quarter 2 2025</v>
      </c>
    </row>
    <row r="340" spans="1:11">
      <c r="A340" t="s">
        <v>22</v>
      </c>
      <c r="B340" s="10">
        <v>45835</v>
      </c>
      <c r="C340" t="s">
        <v>152</v>
      </c>
      <c r="D340" t="s">
        <v>359</v>
      </c>
      <c r="E340">
        <v>43.88</v>
      </c>
      <c r="F340" t="s">
        <v>67</v>
      </c>
      <c r="G340" s="10">
        <v>45835</v>
      </c>
      <c r="H340" t="s">
        <v>17</v>
      </c>
      <c r="K340" s="28" t="str">
        <f t="shared" si="6"/>
        <v>Quarter 2 2025</v>
      </c>
    </row>
    <row r="341" spans="1:11">
      <c r="A341" t="s">
        <v>22</v>
      </c>
      <c r="B341" s="10">
        <v>45835</v>
      </c>
      <c r="C341" t="s">
        <v>133</v>
      </c>
      <c r="D341" t="s">
        <v>134</v>
      </c>
      <c r="E341">
        <v>127.61</v>
      </c>
      <c r="F341" t="s">
        <v>67</v>
      </c>
      <c r="G341" s="10">
        <v>45835</v>
      </c>
      <c r="H341" t="s">
        <v>17</v>
      </c>
      <c r="K341" s="28" t="str">
        <f t="shared" si="6"/>
        <v>Quarter 2 2025</v>
      </c>
    </row>
    <row r="342" spans="1:11">
      <c r="A342" t="s">
        <v>22</v>
      </c>
      <c r="B342" s="10">
        <v>45835</v>
      </c>
      <c r="C342" t="s">
        <v>327</v>
      </c>
      <c r="D342" t="s">
        <v>150</v>
      </c>
      <c r="E342" s="52">
        <v>43149.04</v>
      </c>
      <c r="F342" t="s">
        <v>67</v>
      </c>
      <c r="G342" s="10">
        <v>45835</v>
      </c>
      <c r="H342" t="s">
        <v>17</v>
      </c>
      <c r="K342" s="28" t="str">
        <f t="shared" si="6"/>
        <v>Quarter 2 2025</v>
      </c>
    </row>
    <row r="343" spans="1:11">
      <c r="A343" t="s">
        <v>22</v>
      </c>
      <c r="B343" s="10">
        <v>45835</v>
      </c>
      <c r="C343" t="s">
        <v>122</v>
      </c>
      <c r="D343" t="s">
        <v>123</v>
      </c>
      <c r="E343" s="52">
        <v>4706.43</v>
      </c>
      <c r="F343" t="s">
        <v>67</v>
      </c>
      <c r="G343" s="10">
        <v>45835</v>
      </c>
      <c r="H343" t="s">
        <v>17</v>
      </c>
      <c r="K343" s="28" t="str">
        <f t="shared" si="6"/>
        <v>Quarter 2 2025</v>
      </c>
    </row>
    <row r="344" spans="1:11">
      <c r="A344" t="s">
        <v>22</v>
      </c>
      <c r="B344" s="10">
        <v>45835</v>
      </c>
      <c r="C344" t="s">
        <v>361</v>
      </c>
      <c r="D344" t="s">
        <v>131</v>
      </c>
      <c r="E344" s="52">
        <v>4413.09</v>
      </c>
      <c r="F344" t="s">
        <v>67</v>
      </c>
      <c r="G344" s="10">
        <v>45835</v>
      </c>
      <c r="H344" t="s">
        <v>17</v>
      </c>
      <c r="K344" s="28" t="str">
        <f t="shared" si="6"/>
        <v>Quarter 2 2025</v>
      </c>
    </row>
    <row r="345" spans="1:11">
      <c r="A345" t="s">
        <v>22</v>
      </c>
      <c r="B345" s="10">
        <v>45835</v>
      </c>
      <c r="C345" t="s">
        <v>128</v>
      </c>
      <c r="D345" t="s">
        <v>129</v>
      </c>
      <c r="E345" s="52">
        <v>1768.77</v>
      </c>
      <c r="F345" t="s">
        <v>67</v>
      </c>
      <c r="G345" s="10">
        <v>45835</v>
      </c>
      <c r="H345" t="s">
        <v>17</v>
      </c>
      <c r="K345" s="28" t="str">
        <f t="shared" si="6"/>
        <v>Quarter 2 2025</v>
      </c>
    </row>
    <row r="346" spans="1:11">
      <c r="A346" t="s">
        <v>22</v>
      </c>
      <c r="B346" s="10">
        <v>45835</v>
      </c>
      <c r="C346" t="s">
        <v>334</v>
      </c>
      <c r="D346" t="s">
        <v>95</v>
      </c>
      <c r="E346">
        <v>250</v>
      </c>
      <c r="F346" t="s">
        <v>67</v>
      </c>
      <c r="G346" s="10">
        <v>45835</v>
      </c>
      <c r="H346" t="s">
        <v>17</v>
      </c>
      <c r="K346" s="28" t="str">
        <f t="shared" si="6"/>
        <v>Quarter 2 2025</v>
      </c>
    </row>
    <row r="347" spans="1:11">
      <c r="A347" t="s">
        <v>22</v>
      </c>
      <c r="B347" s="10">
        <v>45835</v>
      </c>
      <c r="C347" t="s">
        <v>336</v>
      </c>
      <c r="D347" t="s">
        <v>124</v>
      </c>
      <c r="E347">
        <v>554.66</v>
      </c>
      <c r="F347" t="s">
        <v>67</v>
      </c>
      <c r="G347" s="10">
        <v>45835</v>
      </c>
      <c r="H347" t="s">
        <v>17</v>
      </c>
      <c r="K347" s="28" t="str">
        <f t="shared" si="6"/>
        <v>Quarter 2 2025</v>
      </c>
    </row>
    <row r="348" spans="1:11">
      <c r="A348" t="s">
        <v>22</v>
      </c>
      <c r="B348" s="10">
        <v>45838</v>
      </c>
      <c r="C348" t="s">
        <v>329</v>
      </c>
      <c r="D348" t="s">
        <v>139</v>
      </c>
      <c r="E348" s="52">
        <v>3350</v>
      </c>
      <c r="F348" t="s">
        <v>67</v>
      </c>
      <c r="G348" s="10">
        <v>45838</v>
      </c>
      <c r="H348" t="s">
        <v>194</v>
      </c>
      <c r="K348" s="28" t="str">
        <f t="shared" si="6"/>
        <v>Quarter 2 2025</v>
      </c>
    </row>
    <row r="349" spans="1:11">
      <c r="A349" t="s">
        <v>22</v>
      </c>
      <c r="B349" s="10">
        <v>45838</v>
      </c>
      <c r="C349" t="s">
        <v>94</v>
      </c>
      <c r="D349" t="s">
        <v>96</v>
      </c>
      <c r="E349">
        <v>750</v>
      </c>
      <c r="F349" t="s">
        <v>67</v>
      </c>
      <c r="G349" s="10">
        <v>45838</v>
      </c>
      <c r="H349" t="s">
        <v>194</v>
      </c>
      <c r="K349" s="28" t="str">
        <f t="shared" si="6"/>
        <v>Quarter 2 2025</v>
      </c>
    </row>
    <row r="350" spans="1:11">
      <c r="A350" t="s">
        <v>22</v>
      </c>
      <c r="B350" s="10">
        <v>45838</v>
      </c>
      <c r="C350" t="s">
        <v>327</v>
      </c>
      <c r="D350" t="s">
        <v>150</v>
      </c>
      <c r="E350">
        <v>0.05</v>
      </c>
      <c r="F350" t="s">
        <v>318</v>
      </c>
      <c r="G350" s="10">
        <v>45838</v>
      </c>
      <c r="H350" t="s">
        <v>17</v>
      </c>
      <c r="K350" s="28" t="str">
        <f t="shared" si="6"/>
        <v>Quarter 2 2025</v>
      </c>
    </row>
    <row r="351" spans="1:11">
      <c r="A351" t="s">
        <v>22</v>
      </c>
      <c r="B351" s="10">
        <v>45838</v>
      </c>
      <c r="C351" t="s">
        <v>141</v>
      </c>
      <c r="D351" t="s">
        <v>142</v>
      </c>
      <c r="E351" s="52">
        <v>2555.5</v>
      </c>
      <c r="F351" t="s">
        <v>67</v>
      </c>
      <c r="G351" s="10">
        <v>45838</v>
      </c>
      <c r="H351" t="s">
        <v>194</v>
      </c>
      <c r="K351" s="28" t="str">
        <f t="shared" si="6"/>
        <v>Quarter 2 2025</v>
      </c>
    </row>
    <row r="352" spans="1:11">
      <c r="A352" t="s">
        <v>22</v>
      </c>
      <c r="B352" s="10">
        <v>45838</v>
      </c>
      <c r="C352" t="s">
        <v>346</v>
      </c>
      <c r="D352" t="s">
        <v>105</v>
      </c>
      <c r="E352" s="52">
        <v>28894950.66</v>
      </c>
      <c r="F352" t="s">
        <v>318</v>
      </c>
      <c r="G352" s="10">
        <v>45838</v>
      </c>
      <c r="K352" s="28" t="str">
        <f t="shared" si="6"/>
        <v>Quarter 2 2025</v>
      </c>
    </row>
    <row r="353" spans="1:11">
      <c r="A353" t="s">
        <v>22</v>
      </c>
      <c r="B353" s="10">
        <v>45838</v>
      </c>
      <c r="C353" t="s">
        <v>331</v>
      </c>
      <c r="E353">
        <v>7</v>
      </c>
      <c r="F353" t="s">
        <v>313</v>
      </c>
      <c r="G353" s="10">
        <v>45838</v>
      </c>
      <c r="K353" s="28" t="str">
        <f t="shared" si="6"/>
        <v>Quarter 2 2025</v>
      </c>
    </row>
    <row r="354" spans="1:11">
      <c r="A354" t="s">
        <v>22</v>
      </c>
      <c r="B354" s="10">
        <v>45838</v>
      </c>
      <c r="C354" t="s">
        <v>333</v>
      </c>
      <c r="D354" t="s">
        <v>121</v>
      </c>
      <c r="E354" s="52">
        <v>-3350</v>
      </c>
      <c r="F354" t="s">
        <v>318</v>
      </c>
      <c r="G354" s="10">
        <v>45838</v>
      </c>
      <c r="H354" t="s">
        <v>194</v>
      </c>
      <c r="K354" s="28" t="str">
        <f t="shared" si="6"/>
        <v>Quarter 2 2025</v>
      </c>
    </row>
    <row r="355" spans="1:11">
      <c r="A355" t="s">
        <v>22</v>
      </c>
      <c r="B355" s="10">
        <v>45838</v>
      </c>
      <c r="C355" t="s">
        <v>334</v>
      </c>
      <c r="D355" t="s">
        <v>95</v>
      </c>
      <c r="E355">
        <v>-750</v>
      </c>
      <c r="F355" t="s">
        <v>318</v>
      </c>
      <c r="G355" s="10">
        <v>45838</v>
      </c>
      <c r="H355" t="s">
        <v>194</v>
      </c>
      <c r="K355" s="28" t="str">
        <f t="shared" si="6"/>
        <v>Quarter 2 2025</v>
      </c>
    </row>
    <row r="356" spans="1:11">
      <c r="A356" t="s">
        <v>22</v>
      </c>
      <c r="B356" s="10">
        <v>45838</v>
      </c>
      <c r="C356" t="s">
        <v>336</v>
      </c>
      <c r="D356" t="s">
        <v>124</v>
      </c>
      <c r="E356" s="52">
        <v>-2555.5</v>
      </c>
      <c r="F356" t="s">
        <v>318</v>
      </c>
      <c r="G356" s="10">
        <v>45838</v>
      </c>
      <c r="H356" t="s">
        <v>194</v>
      </c>
      <c r="K356" s="28" t="str">
        <f t="shared" si="6"/>
        <v>Quarter 2 2025</v>
      </c>
    </row>
    <row r="357" spans="1:11">
      <c r="A357" t="s">
        <v>22</v>
      </c>
      <c r="B357" s="10">
        <v>45838</v>
      </c>
      <c r="C357" t="s">
        <v>323</v>
      </c>
      <c r="D357" t="s">
        <v>97</v>
      </c>
      <c r="E357">
        <v>-0.05</v>
      </c>
      <c r="F357" t="s">
        <v>67</v>
      </c>
      <c r="G357" s="10">
        <v>45838</v>
      </c>
      <c r="K357" s="28" t="str">
        <f t="shared" si="6"/>
        <v>Quarter 2 2025</v>
      </c>
    </row>
    <row r="358" spans="1:11">
      <c r="A358" t="s">
        <v>22</v>
      </c>
      <c r="B358" s="10">
        <v>45838</v>
      </c>
      <c r="C358" t="s">
        <v>347</v>
      </c>
      <c r="D358" t="s">
        <v>157</v>
      </c>
      <c r="E358" s="52">
        <v>-28894950.66</v>
      </c>
      <c r="F358" t="s">
        <v>67</v>
      </c>
      <c r="G358" s="10">
        <v>45838</v>
      </c>
      <c r="K358" s="28" t="str">
        <f t="shared" si="6"/>
        <v>Quarter 2 2025</v>
      </c>
    </row>
    <row r="359" spans="1:11">
      <c r="A359" t="s">
        <v>22</v>
      </c>
      <c r="B359" s="10">
        <v>45839</v>
      </c>
      <c r="C359" t="s">
        <v>317</v>
      </c>
      <c r="D359" t="s">
        <v>87</v>
      </c>
      <c r="E359">
        <v>606.62</v>
      </c>
      <c r="F359" t="s">
        <v>318</v>
      </c>
      <c r="G359" s="10">
        <v>45839</v>
      </c>
      <c r="H359" t="s">
        <v>17</v>
      </c>
      <c r="K359" s="28" t="str">
        <f t="shared" si="6"/>
        <v>Quarter 3 2025</v>
      </c>
    </row>
    <row r="360" spans="1:11">
      <c r="A360" t="s">
        <v>22</v>
      </c>
      <c r="B360" s="10">
        <v>45839</v>
      </c>
      <c r="C360" t="s">
        <v>320</v>
      </c>
      <c r="D360" t="s">
        <v>156</v>
      </c>
      <c r="E360">
        <v>-606.62</v>
      </c>
      <c r="F360" t="s">
        <v>67</v>
      </c>
      <c r="G360" s="10">
        <v>45839</v>
      </c>
      <c r="H360" t="s">
        <v>17</v>
      </c>
      <c r="K360" s="28" t="str">
        <f t="shared" si="6"/>
        <v>Quarter 3 2025</v>
      </c>
    </row>
    <row r="361" spans="1:11">
      <c r="A361" t="s">
        <v>22</v>
      </c>
      <c r="B361" s="10">
        <v>45868</v>
      </c>
      <c r="C361" t="s">
        <v>319</v>
      </c>
      <c r="D361" t="s">
        <v>87</v>
      </c>
      <c r="E361" s="52">
        <v>-23786.42</v>
      </c>
      <c r="F361" t="s">
        <v>318</v>
      </c>
      <c r="G361" s="10">
        <v>45868</v>
      </c>
      <c r="K361" s="28" t="str">
        <f t="shared" si="6"/>
        <v>Quarter 3 2025</v>
      </c>
    </row>
    <row r="362" spans="1:11">
      <c r="A362" t="s">
        <v>22</v>
      </c>
      <c r="B362" s="10">
        <v>45868</v>
      </c>
      <c r="C362" t="s">
        <v>152</v>
      </c>
      <c r="D362" t="s">
        <v>359</v>
      </c>
      <c r="E362" s="52">
        <v>1530</v>
      </c>
      <c r="F362" t="s">
        <v>67</v>
      </c>
      <c r="G362" s="10">
        <v>45868</v>
      </c>
      <c r="H362" t="s">
        <v>17</v>
      </c>
      <c r="K362" s="28" t="str">
        <f t="shared" si="6"/>
        <v>Quarter 3 2025</v>
      </c>
    </row>
    <row r="363" spans="1:11">
      <c r="A363" t="s">
        <v>22</v>
      </c>
      <c r="B363" s="10">
        <v>45868</v>
      </c>
      <c r="C363" t="s">
        <v>360</v>
      </c>
      <c r="D363" t="s">
        <v>126</v>
      </c>
      <c r="E363" s="52">
        <v>1840.3</v>
      </c>
      <c r="F363" t="s">
        <v>67</v>
      </c>
      <c r="G363" s="10">
        <v>45868</v>
      </c>
      <c r="H363" t="s">
        <v>17</v>
      </c>
      <c r="K363" s="28" t="str">
        <f t="shared" si="6"/>
        <v>Quarter 3 2025</v>
      </c>
    </row>
    <row r="364" spans="1:11">
      <c r="A364" t="s">
        <v>22</v>
      </c>
      <c r="B364" s="10">
        <v>45868</v>
      </c>
      <c r="C364" t="s">
        <v>133</v>
      </c>
      <c r="D364" t="s">
        <v>134</v>
      </c>
      <c r="E364">
        <v>961.89</v>
      </c>
      <c r="F364" t="s">
        <v>67</v>
      </c>
      <c r="G364" s="10">
        <v>45868</v>
      </c>
      <c r="H364" t="s">
        <v>17</v>
      </c>
      <c r="K364" s="28" t="str">
        <f t="shared" si="6"/>
        <v>Quarter 3 2025</v>
      </c>
    </row>
    <row r="365" spans="1:11">
      <c r="A365" t="s">
        <v>22</v>
      </c>
      <c r="B365" s="10">
        <v>45868</v>
      </c>
      <c r="C365" t="s">
        <v>356</v>
      </c>
      <c r="D365" t="s">
        <v>150</v>
      </c>
      <c r="E365">
        <v>345.39</v>
      </c>
      <c r="F365" t="s">
        <v>67</v>
      </c>
      <c r="G365" s="10">
        <v>45868</v>
      </c>
      <c r="H365" t="s">
        <v>17</v>
      </c>
      <c r="K365" s="28" t="str">
        <f t="shared" si="6"/>
        <v>Quarter 3 2025</v>
      </c>
    </row>
    <row r="366" spans="1:11">
      <c r="A366" t="s">
        <v>22</v>
      </c>
      <c r="B366" s="10">
        <v>45868</v>
      </c>
      <c r="C366" t="s">
        <v>122</v>
      </c>
      <c r="D366" t="s">
        <v>123</v>
      </c>
      <c r="E366" s="52">
        <v>3003.07</v>
      </c>
      <c r="F366" t="s">
        <v>67</v>
      </c>
      <c r="G366" s="10">
        <v>45868</v>
      </c>
      <c r="H366" t="s">
        <v>17</v>
      </c>
      <c r="K366" s="28" t="str">
        <f t="shared" si="6"/>
        <v>Quarter 3 2025</v>
      </c>
    </row>
    <row r="367" spans="1:11">
      <c r="A367" t="s">
        <v>22</v>
      </c>
      <c r="B367" s="10">
        <v>45868</v>
      </c>
      <c r="C367" t="s">
        <v>361</v>
      </c>
      <c r="D367" t="s">
        <v>131</v>
      </c>
      <c r="E367">
        <v>167.88</v>
      </c>
      <c r="F367" t="s">
        <v>67</v>
      </c>
      <c r="G367" s="10">
        <v>45868</v>
      </c>
      <c r="H367" t="s">
        <v>17</v>
      </c>
      <c r="K367" s="28" t="str">
        <f t="shared" si="6"/>
        <v>Quarter 3 2025</v>
      </c>
    </row>
    <row r="368" spans="1:11">
      <c r="A368" t="s">
        <v>22</v>
      </c>
      <c r="B368" s="10">
        <v>45868</v>
      </c>
      <c r="C368" t="s">
        <v>128</v>
      </c>
      <c r="D368" t="s">
        <v>129</v>
      </c>
      <c r="E368" s="52">
        <v>2537.89</v>
      </c>
      <c r="F368" t="s">
        <v>67</v>
      </c>
      <c r="G368" s="10">
        <v>45868</v>
      </c>
      <c r="H368" t="s">
        <v>17</v>
      </c>
      <c r="K368" s="28" t="str">
        <f t="shared" si="6"/>
        <v>Quarter 3 2025</v>
      </c>
    </row>
    <row r="369" spans="1:11">
      <c r="A369" t="s">
        <v>22</v>
      </c>
      <c r="B369" s="10">
        <v>45868</v>
      </c>
      <c r="C369" t="s">
        <v>333</v>
      </c>
      <c r="D369" t="s">
        <v>121</v>
      </c>
      <c r="E369" s="52">
        <v>13400</v>
      </c>
      <c r="F369" t="s">
        <v>67</v>
      </c>
      <c r="G369" s="10">
        <v>45868</v>
      </c>
      <c r="H369" t="s">
        <v>17</v>
      </c>
      <c r="K369" s="28" t="str">
        <f t="shared" si="6"/>
        <v>Quarter 3 2025</v>
      </c>
    </row>
    <row r="370" spans="1:11">
      <c r="A370" t="s">
        <v>22</v>
      </c>
      <c r="B370" s="10">
        <v>45870</v>
      </c>
      <c r="C370" t="s">
        <v>317</v>
      </c>
      <c r="D370" t="s">
        <v>87</v>
      </c>
      <c r="E370">
        <v>153.27000000000001</v>
      </c>
      <c r="F370" t="s">
        <v>318</v>
      </c>
      <c r="G370" s="10">
        <v>45870</v>
      </c>
      <c r="H370" t="s">
        <v>17</v>
      </c>
      <c r="K370" s="28" t="str">
        <f t="shared" si="6"/>
        <v>Quarter 3 2025</v>
      </c>
    </row>
    <row r="371" spans="1:11">
      <c r="A371" t="s">
        <v>22</v>
      </c>
      <c r="B371" s="10">
        <v>45870</v>
      </c>
      <c r="C371" t="s">
        <v>320</v>
      </c>
      <c r="D371" t="s">
        <v>156</v>
      </c>
      <c r="E371">
        <v>-153.27000000000001</v>
      </c>
      <c r="F371" t="s">
        <v>67</v>
      </c>
      <c r="G371" s="10">
        <v>45870</v>
      </c>
      <c r="H371" t="s">
        <v>17</v>
      </c>
      <c r="K371" s="28" t="str">
        <f t="shared" si="6"/>
        <v>Quarter 3 2025</v>
      </c>
    </row>
    <row r="372" spans="1:11">
      <c r="A372" t="s">
        <v>22</v>
      </c>
      <c r="B372" s="10">
        <v>45901</v>
      </c>
      <c r="C372" t="s">
        <v>317</v>
      </c>
      <c r="D372" t="s">
        <v>87</v>
      </c>
      <c r="E372">
        <v>74.33</v>
      </c>
      <c r="F372" t="s">
        <v>318</v>
      </c>
      <c r="G372" s="10">
        <v>45901</v>
      </c>
      <c r="H372" t="s">
        <v>17</v>
      </c>
      <c r="K372" s="28" t="str">
        <f t="shared" si="6"/>
        <v>Quarter 3 2025</v>
      </c>
    </row>
    <row r="373" spans="1:11">
      <c r="A373" t="s">
        <v>22</v>
      </c>
      <c r="B373" s="10">
        <v>45901</v>
      </c>
      <c r="C373" t="s">
        <v>320</v>
      </c>
      <c r="D373" t="s">
        <v>156</v>
      </c>
      <c r="E373">
        <v>-74.33</v>
      </c>
      <c r="F373" t="s">
        <v>67</v>
      </c>
      <c r="G373" s="10">
        <v>45901</v>
      </c>
      <c r="H373" t="s">
        <v>17</v>
      </c>
      <c r="K373" s="28" t="str">
        <f t="shared" si="6"/>
        <v>Quarter 3 2025</v>
      </c>
    </row>
    <row r="374" spans="1:11">
      <c r="A374" t="s">
        <v>22</v>
      </c>
      <c r="B374" s="10">
        <v>45926</v>
      </c>
      <c r="C374" t="s">
        <v>315</v>
      </c>
      <c r="D374" t="s">
        <v>140</v>
      </c>
      <c r="E374" s="52">
        <v>-1500000</v>
      </c>
      <c r="F374" t="s">
        <v>67</v>
      </c>
      <c r="G374" s="10">
        <v>45926</v>
      </c>
      <c r="K374" s="28" t="str">
        <f t="shared" si="6"/>
        <v>Quarter 3 2025</v>
      </c>
    </row>
    <row r="375" spans="1:11">
      <c r="A375" t="s">
        <v>22</v>
      </c>
      <c r="B375" s="10">
        <v>45926</v>
      </c>
      <c r="C375" t="s">
        <v>317</v>
      </c>
      <c r="D375" t="s">
        <v>87</v>
      </c>
      <c r="E375" s="52">
        <v>1500000</v>
      </c>
      <c r="F375" t="s">
        <v>318</v>
      </c>
      <c r="G375" s="10">
        <v>45926</v>
      </c>
      <c r="K375" s="28" t="str">
        <f t="shared" si="6"/>
        <v>Quarter 3 2025</v>
      </c>
    </row>
    <row r="376" spans="1:11">
      <c r="A376" t="s">
        <v>22</v>
      </c>
      <c r="B376" s="10">
        <v>45930</v>
      </c>
      <c r="C376" t="s">
        <v>319</v>
      </c>
      <c r="D376" t="s">
        <v>87</v>
      </c>
      <c r="E376" s="52">
        <v>-639512.31999999995</v>
      </c>
      <c r="F376" t="s">
        <v>318</v>
      </c>
      <c r="G376" s="10">
        <v>45930</v>
      </c>
      <c r="H376" t="s">
        <v>17</v>
      </c>
      <c r="K376" s="28" t="str">
        <f t="shared" si="6"/>
        <v>Quarter 3 2025</v>
      </c>
    </row>
    <row r="377" spans="1:11">
      <c r="A377" t="s">
        <v>22</v>
      </c>
      <c r="B377" s="10">
        <v>45930</v>
      </c>
      <c r="C377" t="s">
        <v>329</v>
      </c>
      <c r="D377" t="s">
        <v>139</v>
      </c>
      <c r="E377" s="52">
        <v>3350</v>
      </c>
      <c r="F377" t="s">
        <v>67</v>
      </c>
      <c r="G377" s="10">
        <v>45930</v>
      </c>
      <c r="H377" t="s">
        <v>194</v>
      </c>
      <c r="K377" s="28" t="str">
        <f t="shared" si="6"/>
        <v>Quarter 3 2025</v>
      </c>
    </row>
    <row r="378" spans="1:11">
      <c r="A378" t="s">
        <v>22</v>
      </c>
      <c r="B378" s="10">
        <v>45930</v>
      </c>
      <c r="C378" t="s">
        <v>94</v>
      </c>
      <c r="D378" t="s">
        <v>96</v>
      </c>
      <c r="E378">
        <v>750</v>
      </c>
      <c r="F378" t="s">
        <v>67</v>
      </c>
      <c r="G378" s="10">
        <v>45930</v>
      </c>
      <c r="H378" t="s">
        <v>194</v>
      </c>
      <c r="K378" s="28" t="str">
        <f t="shared" si="6"/>
        <v>Quarter 3 2025</v>
      </c>
    </row>
    <row r="379" spans="1:11">
      <c r="A379" t="s">
        <v>22</v>
      </c>
      <c r="B379" s="10">
        <v>45930</v>
      </c>
      <c r="C379" t="s">
        <v>112</v>
      </c>
      <c r="D379" t="s">
        <v>113</v>
      </c>
      <c r="E379" s="52">
        <v>60237</v>
      </c>
      <c r="F379" t="s">
        <v>67</v>
      </c>
      <c r="G379" s="10">
        <v>45930</v>
      </c>
      <c r="H379" t="s">
        <v>17</v>
      </c>
      <c r="K379" s="28" t="str">
        <f t="shared" si="6"/>
        <v>Quarter 3 2025</v>
      </c>
    </row>
    <row r="380" spans="1:11">
      <c r="A380" t="s">
        <v>22</v>
      </c>
      <c r="B380" s="10">
        <v>45930</v>
      </c>
      <c r="C380" t="s">
        <v>133</v>
      </c>
      <c r="D380" t="s">
        <v>134</v>
      </c>
      <c r="E380" s="52">
        <v>1068.99</v>
      </c>
      <c r="F380" t="s">
        <v>67</v>
      </c>
      <c r="G380" s="10">
        <v>45930</v>
      </c>
      <c r="H380" t="s">
        <v>17</v>
      </c>
      <c r="K380" s="28" t="str">
        <f t="shared" si="6"/>
        <v>Quarter 3 2025</v>
      </c>
    </row>
    <row r="381" spans="1:11">
      <c r="A381" t="s">
        <v>22</v>
      </c>
      <c r="B381" s="10">
        <v>45930</v>
      </c>
      <c r="C381" t="s">
        <v>356</v>
      </c>
      <c r="D381" t="s">
        <v>150</v>
      </c>
      <c r="E381" s="52">
        <v>3790.61</v>
      </c>
      <c r="F381" t="s">
        <v>67</v>
      </c>
      <c r="G381" s="10">
        <v>45930</v>
      </c>
      <c r="H381" t="s">
        <v>17</v>
      </c>
      <c r="K381" s="28" t="str">
        <f t="shared" si="6"/>
        <v>Quarter 3 2025</v>
      </c>
    </row>
    <row r="382" spans="1:11">
      <c r="A382" t="s">
        <v>22</v>
      </c>
      <c r="B382" s="10">
        <v>45930</v>
      </c>
      <c r="C382" t="s">
        <v>144</v>
      </c>
      <c r="D382" t="s">
        <v>145</v>
      </c>
      <c r="E382" s="52">
        <v>51527.46</v>
      </c>
      <c r="F382" t="s">
        <v>67</v>
      </c>
      <c r="G382" s="10">
        <v>45930</v>
      </c>
      <c r="H382" t="s">
        <v>17</v>
      </c>
      <c r="K382" s="28" t="str">
        <f t="shared" si="6"/>
        <v>Quarter 3 2025</v>
      </c>
    </row>
    <row r="383" spans="1:11">
      <c r="A383" t="s">
        <v>22</v>
      </c>
      <c r="B383" s="10">
        <v>45930</v>
      </c>
      <c r="C383" t="s">
        <v>122</v>
      </c>
      <c r="D383" t="s">
        <v>123</v>
      </c>
      <c r="E383" s="52">
        <v>29648.54</v>
      </c>
      <c r="F383" t="s">
        <v>67</v>
      </c>
      <c r="G383" s="10">
        <v>45930</v>
      </c>
      <c r="H383" t="s">
        <v>17</v>
      </c>
      <c r="K383" s="28" t="str">
        <f t="shared" si="6"/>
        <v>Quarter 3 2025</v>
      </c>
    </row>
    <row r="384" spans="1:11">
      <c r="A384" t="s">
        <v>22</v>
      </c>
      <c r="B384" s="10">
        <v>45930</v>
      </c>
      <c r="C384" t="s">
        <v>361</v>
      </c>
      <c r="D384" t="s">
        <v>131</v>
      </c>
      <c r="E384" s="52">
        <v>16000.26</v>
      </c>
      <c r="F384" t="s">
        <v>67</v>
      </c>
      <c r="G384" s="10">
        <v>45930</v>
      </c>
      <c r="H384" t="s">
        <v>17</v>
      </c>
      <c r="K384" s="28" t="str">
        <f t="shared" si="6"/>
        <v>Quarter 3 2025</v>
      </c>
    </row>
    <row r="385" spans="1:11">
      <c r="A385" t="s">
        <v>22</v>
      </c>
      <c r="B385" s="10">
        <v>45930</v>
      </c>
      <c r="C385" t="s">
        <v>141</v>
      </c>
      <c r="D385" t="s">
        <v>142</v>
      </c>
      <c r="E385" s="52">
        <v>2555.5</v>
      </c>
      <c r="F385" t="s">
        <v>67</v>
      </c>
      <c r="G385" s="10">
        <v>45930</v>
      </c>
      <c r="H385" t="s">
        <v>194</v>
      </c>
      <c r="K385" s="28" t="str">
        <f t="shared" si="6"/>
        <v>Quarter 3 2025</v>
      </c>
    </row>
    <row r="386" spans="1:11">
      <c r="A386" t="s">
        <v>22</v>
      </c>
      <c r="B386" s="10">
        <v>45930</v>
      </c>
      <c r="C386" t="s">
        <v>141</v>
      </c>
      <c r="D386" t="s">
        <v>142</v>
      </c>
      <c r="E386">
        <v>716.26</v>
      </c>
      <c r="F386" t="s">
        <v>67</v>
      </c>
      <c r="G386" s="10">
        <v>45930</v>
      </c>
      <c r="H386" t="s">
        <v>17</v>
      </c>
      <c r="K386" s="28" t="str">
        <f t="shared" si="6"/>
        <v>Quarter 3 2025</v>
      </c>
    </row>
    <row r="387" spans="1:11">
      <c r="A387" t="s">
        <v>22</v>
      </c>
      <c r="B387" s="10">
        <v>45930</v>
      </c>
      <c r="C387" t="s">
        <v>103</v>
      </c>
      <c r="D387" t="s">
        <v>104</v>
      </c>
      <c r="E387" s="52">
        <v>6850.98</v>
      </c>
      <c r="F387" t="s">
        <v>67</v>
      </c>
      <c r="G387" s="10">
        <v>45930</v>
      </c>
      <c r="H387" t="s">
        <v>17</v>
      </c>
      <c r="K387" s="28" t="str">
        <f t="shared" si="6"/>
        <v>Quarter 3 2025</v>
      </c>
    </row>
    <row r="388" spans="1:11">
      <c r="A388" t="s">
        <v>22</v>
      </c>
      <c r="B388" s="10">
        <v>45930</v>
      </c>
      <c r="C388" t="s">
        <v>346</v>
      </c>
      <c r="D388" t="s">
        <v>105</v>
      </c>
      <c r="E388" s="52">
        <v>10737105.199999999</v>
      </c>
      <c r="F388" t="s">
        <v>318</v>
      </c>
      <c r="G388" s="10">
        <v>45930</v>
      </c>
      <c r="K388" s="28" t="str">
        <f t="shared" si="6"/>
        <v>Quarter 3 2025</v>
      </c>
    </row>
    <row r="389" spans="1:11">
      <c r="A389" t="s">
        <v>22</v>
      </c>
      <c r="B389" s="10">
        <v>45930</v>
      </c>
      <c r="C389" t="s">
        <v>333</v>
      </c>
      <c r="D389" t="s">
        <v>121</v>
      </c>
      <c r="E389" s="52">
        <v>-3350</v>
      </c>
      <c r="F389" t="s">
        <v>318</v>
      </c>
      <c r="G389" s="10">
        <v>45930</v>
      </c>
      <c r="H389" t="s">
        <v>194</v>
      </c>
      <c r="K389" s="28" t="str">
        <f t="shared" si="6"/>
        <v>Quarter 3 2025</v>
      </c>
    </row>
    <row r="390" spans="1:11">
      <c r="A390" t="s">
        <v>22</v>
      </c>
      <c r="B390" s="10">
        <v>45930</v>
      </c>
      <c r="C390" t="s">
        <v>334</v>
      </c>
      <c r="D390" t="s">
        <v>95</v>
      </c>
      <c r="E390">
        <v>250</v>
      </c>
      <c r="F390" t="s">
        <v>67</v>
      </c>
      <c r="G390" s="10">
        <v>45930</v>
      </c>
      <c r="H390" t="s">
        <v>17</v>
      </c>
      <c r="K390" s="28" t="str">
        <f t="shared" si="6"/>
        <v>Quarter 3 2025</v>
      </c>
    </row>
    <row r="391" spans="1:11">
      <c r="A391" t="s">
        <v>22</v>
      </c>
      <c r="B391" s="10">
        <v>45930</v>
      </c>
      <c r="C391" t="s">
        <v>334</v>
      </c>
      <c r="D391" t="s">
        <v>95</v>
      </c>
      <c r="E391">
        <v>-750</v>
      </c>
      <c r="F391" t="s">
        <v>318</v>
      </c>
      <c r="G391" s="10">
        <v>45930</v>
      </c>
      <c r="H391" t="s">
        <v>194</v>
      </c>
      <c r="K391" s="28" t="str">
        <f t="shared" si="6"/>
        <v>Quarter 3 2025</v>
      </c>
    </row>
    <row r="392" spans="1:11">
      <c r="A392" t="s">
        <v>22</v>
      </c>
      <c r="B392" s="10">
        <v>45930</v>
      </c>
      <c r="C392" t="s">
        <v>336</v>
      </c>
      <c r="D392" t="s">
        <v>124</v>
      </c>
      <c r="E392" s="52">
        <v>-2555.5</v>
      </c>
      <c r="F392" t="s">
        <v>318</v>
      </c>
      <c r="G392" s="10">
        <v>45930</v>
      </c>
      <c r="H392" t="s">
        <v>194</v>
      </c>
      <c r="K392" s="28" t="str">
        <f t="shared" si="6"/>
        <v>Quarter 3 2025</v>
      </c>
    </row>
    <row r="393" spans="1:11">
      <c r="A393" t="s">
        <v>22</v>
      </c>
      <c r="B393" s="10">
        <v>45930</v>
      </c>
      <c r="C393" t="s">
        <v>357</v>
      </c>
      <c r="D393" t="s">
        <v>114</v>
      </c>
      <c r="E393" s="52">
        <v>469422.22</v>
      </c>
      <c r="F393" t="s">
        <v>313</v>
      </c>
      <c r="G393" s="10">
        <v>45930</v>
      </c>
      <c r="H393" t="s">
        <v>17</v>
      </c>
      <c r="K393" s="28" t="str">
        <f t="shared" si="6"/>
        <v>Quarter 3 2025</v>
      </c>
    </row>
    <row r="394" spans="1:11">
      <c r="A394" t="s">
        <v>22</v>
      </c>
      <c r="B394" s="10">
        <v>45930</v>
      </c>
      <c r="C394" t="s">
        <v>347</v>
      </c>
      <c r="D394" t="s">
        <v>157</v>
      </c>
      <c r="E394" s="52">
        <v>-10737105.199999999</v>
      </c>
      <c r="F394" t="s">
        <v>67</v>
      </c>
      <c r="G394" s="10">
        <v>45930</v>
      </c>
      <c r="K394" s="28" t="str">
        <f t="shared" si="6"/>
        <v>Quarter 3 2025</v>
      </c>
    </row>
    <row r="395" spans="1:11">
      <c r="K395" s="28" t="str">
        <f t="shared" si="6"/>
        <v>Quarter 1 1900</v>
      </c>
    </row>
    <row r="396" spans="1:11">
      <c r="K396" s="28" t="str">
        <f t="shared" si="6"/>
        <v>Quarter 1 1900</v>
      </c>
    </row>
    <row r="397" spans="1:11">
      <c r="K397" s="28" t="str">
        <f t="shared" si="6"/>
        <v>Quarter 1 1900</v>
      </c>
    </row>
    <row r="398" spans="1:11">
      <c r="K398" s="28" t="str">
        <f t="shared" si="6"/>
        <v>Quarter 1 1900</v>
      </c>
    </row>
    <row r="399" spans="1:11">
      <c r="K399" s="28" t="str">
        <f t="shared" si="6"/>
        <v>Quarter 1 1900</v>
      </c>
    </row>
    <row r="400" spans="1:11">
      <c r="K400" s="28" t="str">
        <f t="shared" si="6"/>
        <v>Quarter 1 1900</v>
      </c>
    </row>
    <row r="401" spans="11:11">
      <c r="K401" s="28" t="str">
        <f t="shared" si="6"/>
        <v>Quarter 1 1900</v>
      </c>
    </row>
    <row r="402" spans="11:11">
      <c r="K402" s="28" t="str">
        <f t="shared" ref="K402:K465" si="7">"Quarter "&amp;INT((MONTH(B402)-1)/3)+1&amp;" "&amp;YEAR(B402)</f>
        <v>Quarter 1 1900</v>
      </c>
    </row>
    <row r="403" spans="11:11">
      <c r="K403" s="28" t="str">
        <f t="shared" si="7"/>
        <v>Quarter 1 1900</v>
      </c>
    </row>
    <row r="404" spans="11:11">
      <c r="K404" s="28" t="str">
        <f t="shared" si="7"/>
        <v>Quarter 1 1900</v>
      </c>
    </row>
    <row r="405" spans="11:11">
      <c r="K405" s="28" t="str">
        <f t="shared" si="7"/>
        <v>Quarter 1 1900</v>
      </c>
    </row>
    <row r="406" spans="11:11">
      <c r="K406" s="28" t="str">
        <f t="shared" si="7"/>
        <v>Quarter 1 1900</v>
      </c>
    </row>
    <row r="407" spans="11:11">
      <c r="K407" s="28" t="str">
        <f t="shared" si="7"/>
        <v>Quarter 1 1900</v>
      </c>
    </row>
    <row r="408" spans="11:11">
      <c r="K408" s="28" t="str">
        <f t="shared" si="7"/>
        <v>Quarter 1 1900</v>
      </c>
    </row>
    <row r="409" spans="11:11">
      <c r="K409" s="28" t="str">
        <f t="shared" si="7"/>
        <v>Quarter 1 1900</v>
      </c>
    </row>
    <row r="410" spans="11:11">
      <c r="K410" s="28" t="str">
        <f t="shared" si="7"/>
        <v>Quarter 1 1900</v>
      </c>
    </row>
    <row r="411" spans="11:11">
      <c r="K411" s="28" t="str">
        <f t="shared" si="7"/>
        <v>Quarter 1 1900</v>
      </c>
    </row>
    <row r="412" spans="11:11">
      <c r="K412" s="28" t="str">
        <f t="shared" si="7"/>
        <v>Quarter 1 1900</v>
      </c>
    </row>
    <row r="413" spans="11:11">
      <c r="K413" s="28" t="str">
        <f t="shared" si="7"/>
        <v>Quarter 1 1900</v>
      </c>
    </row>
    <row r="414" spans="11:11">
      <c r="K414" s="28" t="str">
        <f t="shared" si="7"/>
        <v>Quarter 1 1900</v>
      </c>
    </row>
    <row r="415" spans="11:11">
      <c r="K415" s="28" t="str">
        <f t="shared" si="7"/>
        <v>Quarter 1 1900</v>
      </c>
    </row>
    <row r="416" spans="11:11">
      <c r="K416" s="28" t="str">
        <f t="shared" si="7"/>
        <v>Quarter 1 1900</v>
      </c>
    </row>
    <row r="417" spans="11:11">
      <c r="K417" s="28" t="str">
        <f t="shared" si="7"/>
        <v>Quarter 1 1900</v>
      </c>
    </row>
    <row r="418" spans="11:11">
      <c r="K418" s="28" t="str">
        <f t="shared" si="7"/>
        <v>Quarter 1 1900</v>
      </c>
    </row>
    <row r="419" spans="11:11">
      <c r="K419" s="28" t="str">
        <f t="shared" si="7"/>
        <v>Quarter 1 1900</v>
      </c>
    </row>
    <row r="420" spans="11:11">
      <c r="K420" s="28" t="str">
        <f t="shared" si="7"/>
        <v>Quarter 1 1900</v>
      </c>
    </row>
    <row r="421" spans="11:11">
      <c r="K421" s="28" t="str">
        <f t="shared" si="7"/>
        <v>Quarter 1 1900</v>
      </c>
    </row>
    <row r="422" spans="11:11">
      <c r="K422" s="28" t="str">
        <f t="shared" si="7"/>
        <v>Quarter 1 1900</v>
      </c>
    </row>
    <row r="423" spans="11:11">
      <c r="K423" s="28" t="str">
        <f t="shared" si="7"/>
        <v>Quarter 1 1900</v>
      </c>
    </row>
    <row r="424" spans="11:11">
      <c r="K424" s="28" t="str">
        <f t="shared" si="7"/>
        <v>Quarter 1 1900</v>
      </c>
    </row>
    <row r="425" spans="11:11">
      <c r="K425" s="28" t="str">
        <f t="shared" si="7"/>
        <v>Quarter 1 1900</v>
      </c>
    </row>
    <row r="426" spans="11:11">
      <c r="K426" s="28" t="str">
        <f t="shared" si="7"/>
        <v>Quarter 1 1900</v>
      </c>
    </row>
    <row r="427" spans="11:11">
      <c r="K427" s="28" t="str">
        <f t="shared" si="7"/>
        <v>Quarter 1 1900</v>
      </c>
    </row>
    <row r="428" spans="11:11">
      <c r="K428" s="28" t="str">
        <f t="shared" si="7"/>
        <v>Quarter 1 1900</v>
      </c>
    </row>
    <row r="429" spans="11:11">
      <c r="K429" s="28" t="str">
        <f t="shared" si="7"/>
        <v>Quarter 1 1900</v>
      </c>
    </row>
    <row r="430" spans="11:11">
      <c r="K430" s="28" t="str">
        <f t="shared" si="7"/>
        <v>Quarter 1 1900</v>
      </c>
    </row>
    <row r="431" spans="11:11">
      <c r="K431" s="28" t="str">
        <f t="shared" si="7"/>
        <v>Quarter 1 1900</v>
      </c>
    </row>
    <row r="432" spans="11:11">
      <c r="K432" s="28" t="str">
        <f t="shared" si="7"/>
        <v>Quarter 1 1900</v>
      </c>
    </row>
    <row r="433" spans="11:11">
      <c r="K433" s="28" t="str">
        <f t="shared" si="7"/>
        <v>Quarter 1 1900</v>
      </c>
    </row>
    <row r="434" spans="11:11">
      <c r="K434" s="28" t="str">
        <f t="shared" si="7"/>
        <v>Quarter 1 1900</v>
      </c>
    </row>
    <row r="435" spans="11:11">
      <c r="K435" s="28" t="str">
        <f t="shared" si="7"/>
        <v>Quarter 1 1900</v>
      </c>
    </row>
    <row r="436" spans="11:11">
      <c r="K436" s="28" t="str">
        <f t="shared" si="7"/>
        <v>Quarter 1 1900</v>
      </c>
    </row>
    <row r="437" spans="11:11">
      <c r="K437" s="28" t="str">
        <f t="shared" si="7"/>
        <v>Quarter 1 1900</v>
      </c>
    </row>
    <row r="438" spans="11:11">
      <c r="K438" s="28" t="str">
        <f t="shared" si="7"/>
        <v>Quarter 1 1900</v>
      </c>
    </row>
    <row r="439" spans="11:11">
      <c r="K439" s="28" t="str">
        <f t="shared" si="7"/>
        <v>Quarter 1 1900</v>
      </c>
    </row>
    <row r="440" spans="11:11">
      <c r="K440" s="28" t="str">
        <f t="shared" si="7"/>
        <v>Quarter 1 1900</v>
      </c>
    </row>
    <row r="441" spans="11:11">
      <c r="K441" s="28" t="str">
        <f t="shared" si="7"/>
        <v>Quarter 1 1900</v>
      </c>
    </row>
    <row r="442" spans="11:11">
      <c r="K442" s="28" t="str">
        <f t="shared" si="7"/>
        <v>Quarter 1 1900</v>
      </c>
    </row>
    <row r="443" spans="11:11">
      <c r="K443" s="28" t="str">
        <f t="shared" si="7"/>
        <v>Quarter 1 1900</v>
      </c>
    </row>
    <row r="444" spans="11:11">
      <c r="K444" s="28" t="str">
        <f t="shared" si="7"/>
        <v>Quarter 1 1900</v>
      </c>
    </row>
    <row r="445" spans="11:11">
      <c r="K445" s="28" t="str">
        <f t="shared" si="7"/>
        <v>Quarter 1 1900</v>
      </c>
    </row>
    <row r="446" spans="11:11">
      <c r="K446" s="28" t="str">
        <f t="shared" si="7"/>
        <v>Quarter 1 1900</v>
      </c>
    </row>
    <row r="447" spans="11:11">
      <c r="K447" s="28" t="str">
        <f t="shared" si="7"/>
        <v>Quarter 1 1900</v>
      </c>
    </row>
    <row r="448" spans="11:11">
      <c r="K448" s="28" t="str">
        <f t="shared" si="7"/>
        <v>Quarter 1 1900</v>
      </c>
    </row>
    <row r="449" spans="11:11">
      <c r="K449" s="28" t="str">
        <f t="shared" si="7"/>
        <v>Quarter 1 1900</v>
      </c>
    </row>
    <row r="450" spans="11:11">
      <c r="K450" s="28" t="str">
        <f t="shared" si="7"/>
        <v>Quarter 1 1900</v>
      </c>
    </row>
    <row r="451" spans="11:11">
      <c r="K451" s="28" t="str">
        <f t="shared" si="7"/>
        <v>Quarter 1 1900</v>
      </c>
    </row>
    <row r="452" spans="11:11">
      <c r="K452" s="28" t="str">
        <f t="shared" si="7"/>
        <v>Quarter 1 1900</v>
      </c>
    </row>
    <row r="453" spans="11:11">
      <c r="K453" s="28" t="str">
        <f t="shared" si="7"/>
        <v>Quarter 1 1900</v>
      </c>
    </row>
    <row r="454" spans="11:11">
      <c r="K454" s="28" t="str">
        <f t="shared" si="7"/>
        <v>Quarter 1 1900</v>
      </c>
    </row>
    <row r="455" spans="11:11">
      <c r="K455" s="28" t="str">
        <f t="shared" si="7"/>
        <v>Quarter 1 1900</v>
      </c>
    </row>
    <row r="456" spans="11:11">
      <c r="K456" s="28" t="str">
        <f t="shared" si="7"/>
        <v>Quarter 1 1900</v>
      </c>
    </row>
    <row r="457" spans="11:11">
      <c r="K457" s="28" t="str">
        <f t="shared" si="7"/>
        <v>Quarter 1 1900</v>
      </c>
    </row>
    <row r="458" spans="11:11">
      <c r="K458" s="28" t="str">
        <f t="shared" si="7"/>
        <v>Quarter 1 1900</v>
      </c>
    </row>
    <row r="459" spans="11:11">
      <c r="K459" s="28" t="str">
        <f t="shared" si="7"/>
        <v>Quarter 1 1900</v>
      </c>
    </row>
    <row r="460" spans="11:11">
      <c r="K460" s="28" t="str">
        <f t="shared" si="7"/>
        <v>Quarter 1 1900</v>
      </c>
    </row>
    <row r="461" spans="11:11">
      <c r="K461" s="28" t="str">
        <f t="shared" si="7"/>
        <v>Quarter 1 1900</v>
      </c>
    </row>
    <row r="462" spans="11:11">
      <c r="K462" s="28" t="str">
        <f t="shared" si="7"/>
        <v>Quarter 1 1900</v>
      </c>
    </row>
    <row r="463" spans="11:11">
      <c r="K463" s="28" t="str">
        <f t="shared" si="7"/>
        <v>Quarter 1 1900</v>
      </c>
    </row>
    <row r="464" spans="11:11">
      <c r="K464" s="28" t="str">
        <f t="shared" si="7"/>
        <v>Quarter 1 1900</v>
      </c>
    </row>
    <row r="465" spans="11:11">
      <c r="K465" s="28" t="str">
        <f t="shared" si="7"/>
        <v>Quarter 1 1900</v>
      </c>
    </row>
    <row r="466" spans="11:11">
      <c r="K466" s="28" t="str">
        <f t="shared" ref="K466:K529" si="8">"Quarter "&amp;INT((MONTH(B466)-1)/3)+1&amp;" "&amp;YEAR(B466)</f>
        <v>Quarter 1 1900</v>
      </c>
    </row>
    <row r="467" spans="11:11">
      <c r="K467" s="28" t="str">
        <f t="shared" si="8"/>
        <v>Quarter 1 1900</v>
      </c>
    </row>
    <row r="468" spans="11:11">
      <c r="K468" s="28" t="str">
        <f t="shared" si="8"/>
        <v>Quarter 1 1900</v>
      </c>
    </row>
    <row r="469" spans="11:11">
      <c r="K469" s="28" t="str">
        <f t="shared" si="8"/>
        <v>Quarter 1 1900</v>
      </c>
    </row>
    <row r="470" spans="11:11">
      <c r="K470" s="28" t="str">
        <f t="shared" si="8"/>
        <v>Quarter 1 1900</v>
      </c>
    </row>
    <row r="471" spans="11:11">
      <c r="K471" s="28" t="str">
        <f t="shared" si="8"/>
        <v>Quarter 1 1900</v>
      </c>
    </row>
    <row r="472" spans="11:11">
      <c r="K472" s="28" t="str">
        <f t="shared" si="8"/>
        <v>Quarter 1 1900</v>
      </c>
    </row>
    <row r="473" spans="11:11">
      <c r="K473" s="28" t="str">
        <f t="shared" si="8"/>
        <v>Quarter 1 1900</v>
      </c>
    </row>
    <row r="474" spans="11:11">
      <c r="K474" s="28" t="str">
        <f t="shared" si="8"/>
        <v>Quarter 1 1900</v>
      </c>
    </row>
    <row r="475" spans="11:11">
      <c r="K475" s="28" t="str">
        <f t="shared" si="8"/>
        <v>Quarter 1 1900</v>
      </c>
    </row>
    <row r="476" spans="11:11">
      <c r="K476" s="28" t="str">
        <f t="shared" si="8"/>
        <v>Quarter 1 1900</v>
      </c>
    </row>
    <row r="477" spans="11:11">
      <c r="K477" s="28" t="str">
        <f t="shared" si="8"/>
        <v>Quarter 1 1900</v>
      </c>
    </row>
    <row r="478" spans="11:11">
      <c r="K478" s="28" t="str">
        <f t="shared" si="8"/>
        <v>Quarter 1 1900</v>
      </c>
    </row>
    <row r="479" spans="11:11">
      <c r="K479" s="28" t="str">
        <f t="shared" si="8"/>
        <v>Quarter 1 1900</v>
      </c>
    </row>
    <row r="480" spans="11:11">
      <c r="K480" s="28" t="str">
        <f t="shared" si="8"/>
        <v>Quarter 1 1900</v>
      </c>
    </row>
    <row r="481" spans="11:11">
      <c r="K481" s="28" t="str">
        <f t="shared" si="8"/>
        <v>Quarter 1 1900</v>
      </c>
    </row>
    <row r="482" spans="11:11">
      <c r="K482" s="28" t="str">
        <f t="shared" si="8"/>
        <v>Quarter 1 1900</v>
      </c>
    </row>
    <row r="483" spans="11:11">
      <c r="K483" s="28" t="str">
        <f t="shared" si="8"/>
        <v>Quarter 1 1900</v>
      </c>
    </row>
    <row r="484" spans="11:11">
      <c r="K484" s="28" t="str">
        <f t="shared" si="8"/>
        <v>Quarter 1 1900</v>
      </c>
    </row>
    <row r="485" spans="11:11">
      <c r="K485" s="28" t="str">
        <f t="shared" si="8"/>
        <v>Quarter 1 1900</v>
      </c>
    </row>
    <row r="486" spans="11:11">
      <c r="K486" s="28" t="str">
        <f t="shared" si="8"/>
        <v>Quarter 1 1900</v>
      </c>
    </row>
    <row r="487" spans="11:11">
      <c r="K487" s="28" t="str">
        <f t="shared" si="8"/>
        <v>Quarter 1 1900</v>
      </c>
    </row>
    <row r="488" spans="11:11">
      <c r="K488" s="28" t="str">
        <f t="shared" si="8"/>
        <v>Quarter 1 1900</v>
      </c>
    </row>
    <row r="489" spans="11:11">
      <c r="K489" s="28" t="str">
        <f t="shared" si="8"/>
        <v>Quarter 1 1900</v>
      </c>
    </row>
    <row r="490" spans="11:11">
      <c r="K490" s="28" t="str">
        <f t="shared" si="8"/>
        <v>Quarter 1 1900</v>
      </c>
    </row>
    <row r="491" spans="11:11">
      <c r="K491" s="28" t="str">
        <f t="shared" si="8"/>
        <v>Quarter 1 1900</v>
      </c>
    </row>
    <row r="492" spans="11:11">
      <c r="K492" s="28" t="str">
        <f t="shared" si="8"/>
        <v>Quarter 1 1900</v>
      </c>
    </row>
    <row r="493" spans="11:11">
      <c r="K493" s="28" t="str">
        <f t="shared" si="8"/>
        <v>Quarter 1 1900</v>
      </c>
    </row>
    <row r="494" spans="11:11">
      <c r="K494" s="28" t="str">
        <f t="shared" si="8"/>
        <v>Quarter 1 1900</v>
      </c>
    </row>
    <row r="495" spans="11:11">
      <c r="K495" s="28" t="str">
        <f t="shared" si="8"/>
        <v>Quarter 1 1900</v>
      </c>
    </row>
    <row r="496" spans="11:11">
      <c r="K496" s="28" t="str">
        <f t="shared" si="8"/>
        <v>Quarter 1 1900</v>
      </c>
    </row>
    <row r="497" spans="11:11">
      <c r="K497" s="28" t="str">
        <f t="shared" si="8"/>
        <v>Quarter 1 1900</v>
      </c>
    </row>
    <row r="498" spans="11:11">
      <c r="K498" s="28" t="str">
        <f t="shared" si="8"/>
        <v>Quarter 1 1900</v>
      </c>
    </row>
    <row r="499" spans="11:11">
      <c r="K499" s="28" t="str">
        <f t="shared" si="8"/>
        <v>Quarter 1 1900</v>
      </c>
    </row>
    <row r="500" spans="11:11">
      <c r="K500" s="28" t="str">
        <f t="shared" si="8"/>
        <v>Quarter 1 1900</v>
      </c>
    </row>
    <row r="501" spans="11:11">
      <c r="K501" s="28" t="str">
        <f t="shared" si="8"/>
        <v>Quarter 1 1900</v>
      </c>
    </row>
    <row r="502" spans="11:11">
      <c r="K502" s="28" t="str">
        <f t="shared" si="8"/>
        <v>Quarter 1 1900</v>
      </c>
    </row>
    <row r="503" spans="11:11">
      <c r="K503" s="28" t="str">
        <f t="shared" si="8"/>
        <v>Quarter 1 1900</v>
      </c>
    </row>
    <row r="504" spans="11:11">
      <c r="K504" s="28" t="str">
        <f t="shared" si="8"/>
        <v>Quarter 1 1900</v>
      </c>
    </row>
    <row r="505" spans="11:11">
      <c r="K505" s="28" t="str">
        <f t="shared" si="8"/>
        <v>Quarter 1 1900</v>
      </c>
    </row>
    <row r="506" spans="11:11">
      <c r="K506" s="28" t="str">
        <f t="shared" si="8"/>
        <v>Quarter 1 1900</v>
      </c>
    </row>
    <row r="507" spans="11:11">
      <c r="K507" s="28" t="str">
        <f t="shared" si="8"/>
        <v>Quarter 1 1900</v>
      </c>
    </row>
    <row r="508" spans="11:11">
      <c r="K508" s="28" t="str">
        <f t="shared" si="8"/>
        <v>Quarter 1 1900</v>
      </c>
    </row>
    <row r="509" spans="11:11">
      <c r="K509" s="28" t="str">
        <f t="shared" si="8"/>
        <v>Quarter 1 1900</v>
      </c>
    </row>
    <row r="510" spans="11:11">
      <c r="K510" s="28" t="str">
        <f t="shared" si="8"/>
        <v>Quarter 1 1900</v>
      </c>
    </row>
    <row r="511" spans="11:11">
      <c r="K511" s="28" t="str">
        <f t="shared" si="8"/>
        <v>Quarter 1 1900</v>
      </c>
    </row>
    <row r="512" spans="11:11">
      <c r="K512" s="28" t="str">
        <f t="shared" si="8"/>
        <v>Quarter 1 1900</v>
      </c>
    </row>
    <row r="513" spans="11:11">
      <c r="K513" s="28" t="str">
        <f t="shared" si="8"/>
        <v>Quarter 1 1900</v>
      </c>
    </row>
    <row r="514" spans="11:11">
      <c r="K514" s="28" t="str">
        <f t="shared" si="8"/>
        <v>Quarter 1 1900</v>
      </c>
    </row>
    <row r="515" spans="11:11">
      <c r="K515" s="28" t="str">
        <f t="shared" si="8"/>
        <v>Quarter 1 1900</v>
      </c>
    </row>
    <row r="516" spans="11:11">
      <c r="K516" s="28" t="str">
        <f t="shared" si="8"/>
        <v>Quarter 1 1900</v>
      </c>
    </row>
    <row r="517" spans="11:11">
      <c r="K517" s="28" t="str">
        <f t="shared" si="8"/>
        <v>Quarter 1 1900</v>
      </c>
    </row>
    <row r="518" spans="11:11">
      <c r="K518" s="28" t="str">
        <f t="shared" si="8"/>
        <v>Quarter 1 1900</v>
      </c>
    </row>
    <row r="519" spans="11:11">
      <c r="K519" s="28" t="str">
        <f t="shared" si="8"/>
        <v>Quarter 1 1900</v>
      </c>
    </row>
    <row r="520" spans="11:11">
      <c r="K520" s="28" t="str">
        <f t="shared" si="8"/>
        <v>Quarter 1 1900</v>
      </c>
    </row>
    <row r="521" spans="11:11">
      <c r="K521" s="28" t="str">
        <f t="shared" si="8"/>
        <v>Quarter 1 1900</v>
      </c>
    </row>
    <row r="522" spans="11:11">
      <c r="K522" s="28" t="str">
        <f t="shared" si="8"/>
        <v>Quarter 1 1900</v>
      </c>
    </row>
    <row r="523" spans="11:11">
      <c r="K523" s="28" t="str">
        <f t="shared" si="8"/>
        <v>Quarter 1 1900</v>
      </c>
    </row>
    <row r="524" spans="11:11">
      <c r="K524" s="28" t="str">
        <f t="shared" si="8"/>
        <v>Quarter 1 1900</v>
      </c>
    </row>
    <row r="525" spans="11:11">
      <c r="K525" s="28" t="str">
        <f t="shared" si="8"/>
        <v>Quarter 1 1900</v>
      </c>
    </row>
    <row r="526" spans="11:11">
      <c r="K526" s="28" t="str">
        <f t="shared" si="8"/>
        <v>Quarter 1 1900</v>
      </c>
    </row>
    <row r="527" spans="11:11">
      <c r="K527" s="28" t="str">
        <f t="shared" si="8"/>
        <v>Quarter 1 1900</v>
      </c>
    </row>
    <row r="528" spans="11:11">
      <c r="K528" s="28" t="str">
        <f t="shared" si="8"/>
        <v>Quarter 1 1900</v>
      </c>
    </row>
    <row r="529" spans="11:11">
      <c r="K529" s="28" t="str">
        <f t="shared" si="8"/>
        <v>Quarter 1 1900</v>
      </c>
    </row>
    <row r="530" spans="11:11">
      <c r="K530" s="28" t="str">
        <f t="shared" ref="K530:K593" si="9">"Quarter "&amp;INT((MONTH(B530)-1)/3)+1&amp;" "&amp;YEAR(B530)</f>
        <v>Quarter 1 1900</v>
      </c>
    </row>
    <row r="531" spans="11:11">
      <c r="K531" s="28" t="str">
        <f t="shared" si="9"/>
        <v>Quarter 1 1900</v>
      </c>
    </row>
    <row r="532" spans="11:11">
      <c r="K532" s="28" t="str">
        <f t="shared" si="9"/>
        <v>Quarter 1 1900</v>
      </c>
    </row>
    <row r="533" spans="11:11">
      <c r="K533" s="28" t="str">
        <f t="shared" si="9"/>
        <v>Quarter 1 1900</v>
      </c>
    </row>
    <row r="534" spans="11:11">
      <c r="K534" s="28" t="str">
        <f t="shared" si="9"/>
        <v>Quarter 1 1900</v>
      </c>
    </row>
    <row r="535" spans="11:11">
      <c r="K535" s="28" t="str">
        <f t="shared" si="9"/>
        <v>Quarter 1 1900</v>
      </c>
    </row>
    <row r="536" spans="11:11">
      <c r="K536" s="28" t="str">
        <f t="shared" si="9"/>
        <v>Quarter 1 1900</v>
      </c>
    </row>
    <row r="537" spans="11:11">
      <c r="K537" s="28" t="str">
        <f t="shared" si="9"/>
        <v>Quarter 1 1900</v>
      </c>
    </row>
    <row r="538" spans="11:11">
      <c r="K538" s="28" t="str">
        <f t="shared" si="9"/>
        <v>Quarter 1 1900</v>
      </c>
    </row>
    <row r="539" spans="11:11">
      <c r="K539" s="28" t="str">
        <f t="shared" si="9"/>
        <v>Quarter 1 1900</v>
      </c>
    </row>
    <row r="540" spans="11:11">
      <c r="K540" s="28" t="str">
        <f t="shared" si="9"/>
        <v>Quarter 1 1900</v>
      </c>
    </row>
    <row r="541" spans="11:11">
      <c r="K541" s="28" t="str">
        <f t="shared" si="9"/>
        <v>Quarter 1 1900</v>
      </c>
    </row>
    <row r="542" spans="11:11">
      <c r="K542" s="28" t="str">
        <f t="shared" si="9"/>
        <v>Quarter 1 1900</v>
      </c>
    </row>
    <row r="543" spans="11:11">
      <c r="K543" s="28" t="str">
        <f t="shared" si="9"/>
        <v>Quarter 1 1900</v>
      </c>
    </row>
    <row r="544" spans="11:11">
      <c r="K544" s="28" t="str">
        <f t="shared" si="9"/>
        <v>Quarter 1 1900</v>
      </c>
    </row>
    <row r="545" spans="11:11">
      <c r="K545" s="28" t="str">
        <f t="shared" si="9"/>
        <v>Quarter 1 1900</v>
      </c>
    </row>
    <row r="546" spans="11:11">
      <c r="K546" s="28" t="str">
        <f t="shared" si="9"/>
        <v>Quarter 1 1900</v>
      </c>
    </row>
    <row r="547" spans="11:11">
      <c r="K547" s="28" t="str">
        <f t="shared" si="9"/>
        <v>Quarter 1 1900</v>
      </c>
    </row>
    <row r="548" spans="11:11">
      <c r="K548" s="28" t="str">
        <f t="shared" si="9"/>
        <v>Quarter 1 1900</v>
      </c>
    </row>
    <row r="549" spans="11:11">
      <c r="K549" s="28" t="str">
        <f t="shared" si="9"/>
        <v>Quarter 1 1900</v>
      </c>
    </row>
    <row r="550" spans="11:11">
      <c r="K550" s="28" t="str">
        <f t="shared" si="9"/>
        <v>Quarter 1 1900</v>
      </c>
    </row>
    <row r="551" spans="11:11">
      <c r="K551" s="28" t="str">
        <f t="shared" si="9"/>
        <v>Quarter 1 1900</v>
      </c>
    </row>
    <row r="552" spans="11:11">
      <c r="K552" s="28" t="str">
        <f t="shared" si="9"/>
        <v>Quarter 1 1900</v>
      </c>
    </row>
    <row r="553" spans="11:11">
      <c r="K553" s="28" t="str">
        <f t="shared" si="9"/>
        <v>Quarter 1 1900</v>
      </c>
    </row>
    <row r="554" spans="11:11">
      <c r="K554" s="28" t="str">
        <f t="shared" si="9"/>
        <v>Quarter 1 1900</v>
      </c>
    </row>
    <row r="555" spans="11:11">
      <c r="K555" s="28" t="str">
        <f t="shared" si="9"/>
        <v>Quarter 1 1900</v>
      </c>
    </row>
    <row r="556" spans="11:11">
      <c r="K556" s="28" t="str">
        <f t="shared" si="9"/>
        <v>Quarter 1 1900</v>
      </c>
    </row>
    <row r="557" spans="11:11">
      <c r="K557" s="28" t="str">
        <f t="shared" si="9"/>
        <v>Quarter 1 1900</v>
      </c>
    </row>
    <row r="558" spans="11:11">
      <c r="K558" s="28" t="str">
        <f t="shared" si="9"/>
        <v>Quarter 1 1900</v>
      </c>
    </row>
    <row r="559" spans="11:11">
      <c r="K559" s="28" t="str">
        <f t="shared" si="9"/>
        <v>Quarter 1 1900</v>
      </c>
    </row>
    <row r="560" spans="11:11">
      <c r="K560" s="28" t="str">
        <f t="shared" si="9"/>
        <v>Quarter 1 1900</v>
      </c>
    </row>
    <row r="561" spans="11:11">
      <c r="K561" s="28" t="str">
        <f t="shared" si="9"/>
        <v>Quarter 1 1900</v>
      </c>
    </row>
    <row r="562" spans="11:11">
      <c r="K562" s="28" t="str">
        <f t="shared" si="9"/>
        <v>Quarter 1 1900</v>
      </c>
    </row>
    <row r="563" spans="11:11">
      <c r="K563" s="28" t="str">
        <f t="shared" si="9"/>
        <v>Quarter 1 1900</v>
      </c>
    </row>
    <row r="564" spans="11:11">
      <c r="K564" s="28" t="str">
        <f t="shared" si="9"/>
        <v>Quarter 1 1900</v>
      </c>
    </row>
    <row r="565" spans="11:11">
      <c r="K565" s="28" t="str">
        <f t="shared" si="9"/>
        <v>Quarter 1 1900</v>
      </c>
    </row>
    <row r="566" spans="11:11">
      <c r="K566" s="28" t="str">
        <f t="shared" si="9"/>
        <v>Quarter 1 1900</v>
      </c>
    </row>
    <row r="567" spans="11:11">
      <c r="K567" s="28" t="str">
        <f t="shared" si="9"/>
        <v>Quarter 1 1900</v>
      </c>
    </row>
    <row r="568" spans="11:11">
      <c r="K568" s="28" t="str">
        <f t="shared" si="9"/>
        <v>Quarter 1 1900</v>
      </c>
    </row>
    <row r="569" spans="11:11">
      <c r="K569" s="28" t="str">
        <f t="shared" si="9"/>
        <v>Quarter 1 1900</v>
      </c>
    </row>
    <row r="570" spans="11:11">
      <c r="K570" s="28" t="str">
        <f t="shared" si="9"/>
        <v>Quarter 1 1900</v>
      </c>
    </row>
    <row r="571" spans="11:11">
      <c r="K571" s="28" t="str">
        <f t="shared" si="9"/>
        <v>Quarter 1 1900</v>
      </c>
    </row>
    <row r="572" spans="11:11">
      <c r="K572" s="28" t="str">
        <f t="shared" si="9"/>
        <v>Quarter 1 1900</v>
      </c>
    </row>
    <row r="573" spans="11:11">
      <c r="K573" s="28" t="str">
        <f t="shared" si="9"/>
        <v>Quarter 1 1900</v>
      </c>
    </row>
    <row r="574" spans="11:11">
      <c r="K574" s="28" t="str">
        <f t="shared" si="9"/>
        <v>Quarter 1 1900</v>
      </c>
    </row>
    <row r="575" spans="11:11">
      <c r="K575" s="28" t="str">
        <f t="shared" si="9"/>
        <v>Quarter 1 1900</v>
      </c>
    </row>
    <row r="576" spans="11:11">
      <c r="K576" s="28" t="str">
        <f t="shared" si="9"/>
        <v>Quarter 1 1900</v>
      </c>
    </row>
    <row r="577" spans="11:11">
      <c r="K577" s="28" t="str">
        <f t="shared" si="9"/>
        <v>Quarter 1 1900</v>
      </c>
    </row>
    <row r="578" spans="11:11">
      <c r="K578" s="28" t="str">
        <f t="shared" si="9"/>
        <v>Quarter 1 1900</v>
      </c>
    </row>
    <row r="579" spans="11:11">
      <c r="K579" s="28" t="str">
        <f t="shared" si="9"/>
        <v>Quarter 1 1900</v>
      </c>
    </row>
    <row r="580" spans="11:11">
      <c r="K580" s="28" t="str">
        <f t="shared" si="9"/>
        <v>Quarter 1 1900</v>
      </c>
    </row>
    <row r="581" spans="11:11">
      <c r="K581" s="28" t="str">
        <f t="shared" si="9"/>
        <v>Quarter 1 1900</v>
      </c>
    </row>
    <row r="582" spans="11:11">
      <c r="K582" s="28" t="str">
        <f t="shared" si="9"/>
        <v>Quarter 1 1900</v>
      </c>
    </row>
    <row r="583" spans="11:11">
      <c r="K583" s="28" t="str">
        <f t="shared" si="9"/>
        <v>Quarter 1 1900</v>
      </c>
    </row>
    <row r="584" spans="11:11">
      <c r="K584" s="28" t="str">
        <f t="shared" si="9"/>
        <v>Quarter 1 1900</v>
      </c>
    </row>
    <row r="585" spans="11:11">
      <c r="K585" s="28" t="str">
        <f t="shared" si="9"/>
        <v>Quarter 1 1900</v>
      </c>
    </row>
    <row r="586" spans="11:11">
      <c r="K586" s="28" t="str">
        <f t="shared" si="9"/>
        <v>Quarter 1 1900</v>
      </c>
    </row>
    <row r="587" spans="11:11">
      <c r="K587" s="28" t="str">
        <f t="shared" si="9"/>
        <v>Quarter 1 1900</v>
      </c>
    </row>
    <row r="588" spans="11:11">
      <c r="K588" s="28" t="str">
        <f t="shared" si="9"/>
        <v>Quarter 1 1900</v>
      </c>
    </row>
    <row r="589" spans="11:11">
      <c r="K589" s="28" t="str">
        <f t="shared" si="9"/>
        <v>Quarter 1 1900</v>
      </c>
    </row>
    <row r="590" spans="11:11">
      <c r="K590" s="28" t="str">
        <f t="shared" si="9"/>
        <v>Quarter 1 1900</v>
      </c>
    </row>
    <row r="591" spans="11:11">
      <c r="K591" s="28" t="str">
        <f t="shared" si="9"/>
        <v>Quarter 1 1900</v>
      </c>
    </row>
    <row r="592" spans="11:11">
      <c r="K592" s="28" t="str">
        <f t="shared" si="9"/>
        <v>Quarter 1 1900</v>
      </c>
    </row>
    <row r="593" spans="11:11">
      <c r="K593" s="28" t="str">
        <f t="shared" si="9"/>
        <v>Quarter 1 1900</v>
      </c>
    </row>
    <row r="594" spans="11:11">
      <c r="K594" s="28" t="str">
        <f t="shared" ref="K594:K657" si="10">"Quarter "&amp;INT((MONTH(B594)-1)/3)+1&amp;" "&amp;YEAR(B594)</f>
        <v>Quarter 1 1900</v>
      </c>
    </row>
    <row r="595" spans="11:11">
      <c r="K595" s="28" t="str">
        <f t="shared" si="10"/>
        <v>Quarter 1 1900</v>
      </c>
    </row>
    <row r="596" spans="11:11">
      <c r="K596" s="28" t="str">
        <f t="shared" si="10"/>
        <v>Quarter 1 1900</v>
      </c>
    </row>
    <row r="597" spans="11:11">
      <c r="K597" s="28" t="str">
        <f t="shared" si="10"/>
        <v>Quarter 1 1900</v>
      </c>
    </row>
    <row r="598" spans="11:11">
      <c r="K598" s="28" t="str">
        <f t="shared" si="10"/>
        <v>Quarter 1 1900</v>
      </c>
    </row>
    <row r="599" spans="11:11">
      <c r="K599" s="28" t="str">
        <f t="shared" si="10"/>
        <v>Quarter 1 1900</v>
      </c>
    </row>
    <row r="600" spans="11:11">
      <c r="K600" s="28" t="str">
        <f t="shared" si="10"/>
        <v>Quarter 1 1900</v>
      </c>
    </row>
    <row r="601" spans="11:11">
      <c r="K601" s="28" t="str">
        <f t="shared" si="10"/>
        <v>Quarter 1 1900</v>
      </c>
    </row>
    <row r="602" spans="11:11">
      <c r="K602" s="28" t="str">
        <f t="shared" si="10"/>
        <v>Quarter 1 1900</v>
      </c>
    </row>
    <row r="603" spans="11:11">
      <c r="K603" s="28" t="str">
        <f t="shared" si="10"/>
        <v>Quarter 1 1900</v>
      </c>
    </row>
    <row r="604" spans="11:11">
      <c r="K604" s="28" t="str">
        <f t="shared" si="10"/>
        <v>Quarter 1 1900</v>
      </c>
    </row>
    <row r="605" spans="11:11">
      <c r="K605" s="28" t="str">
        <f t="shared" si="10"/>
        <v>Quarter 1 1900</v>
      </c>
    </row>
    <row r="606" spans="11:11">
      <c r="K606" s="28" t="str">
        <f t="shared" si="10"/>
        <v>Quarter 1 1900</v>
      </c>
    </row>
    <row r="607" spans="11:11">
      <c r="K607" s="28" t="str">
        <f t="shared" si="10"/>
        <v>Quarter 1 1900</v>
      </c>
    </row>
    <row r="608" spans="11:11">
      <c r="K608" s="28" t="str">
        <f t="shared" si="10"/>
        <v>Quarter 1 1900</v>
      </c>
    </row>
    <row r="609" spans="11:11">
      <c r="K609" s="28" t="str">
        <f t="shared" si="10"/>
        <v>Quarter 1 1900</v>
      </c>
    </row>
    <row r="610" spans="11:11">
      <c r="K610" s="28" t="str">
        <f t="shared" si="10"/>
        <v>Quarter 1 1900</v>
      </c>
    </row>
    <row r="611" spans="11:11">
      <c r="K611" s="28" t="str">
        <f t="shared" si="10"/>
        <v>Quarter 1 1900</v>
      </c>
    </row>
    <row r="612" spans="11:11">
      <c r="K612" s="28" t="str">
        <f t="shared" si="10"/>
        <v>Quarter 1 1900</v>
      </c>
    </row>
    <row r="613" spans="11:11">
      <c r="K613" s="28" t="str">
        <f t="shared" si="10"/>
        <v>Quarter 1 1900</v>
      </c>
    </row>
    <row r="614" spans="11:11">
      <c r="K614" s="28" t="str">
        <f t="shared" si="10"/>
        <v>Quarter 1 1900</v>
      </c>
    </row>
    <row r="615" spans="11:11">
      <c r="K615" s="28" t="str">
        <f t="shared" si="10"/>
        <v>Quarter 1 1900</v>
      </c>
    </row>
    <row r="616" spans="11:11">
      <c r="K616" s="28" t="str">
        <f t="shared" si="10"/>
        <v>Quarter 1 1900</v>
      </c>
    </row>
    <row r="617" spans="11:11">
      <c r="K617" s="28" t="str">
        <f t="shared" si="10"/>
        <v>Quarter 1 1900</v>
      </c>
    </row>
    <row r="618" spans="11:11">
      <c r="K618" s="28" t="str">
        <f t="shared" si="10"/>
        <v>Quarter 1 1900</v>
      </c>
    </row>
    <row r="619" spans="11:11">
      <c r="K619" s="28" t="str">
        <f t="shared" si="10"/>
        <v>Quarter 1 1900</v>
      </c>
    </row>
    <row r="620" spans="11:11">
      <c r="K620" s="28" t="str">
        <f t="shared" si="10"/>
        <v>Quarter 1 1900</v>
      </c>
    </row>
    <row r="621" spans="11:11">
      <c r="K621" s="28" t="str">
        <f t="shared" si="10"/>
        <v>Quarter 1 1900</v>
      </c>
    </row>
    <row r="622" spans="11:11">
      <c r="K622" s="28" t="str">
        <f t="shared" si="10"/>
        <v>Quarter 1 1900</v>
      </c>
    </row>
    <row r="623" spans="11:11">
      <c r="K623" s="28" t="str">
        <f t="shared" si="10"/>
        <v>Quarter 1 1900</v>
      </c>
    </row>
    <row r="624" spans="11:11">
      <c r="K624" s="28" t="str">
        <f t="shared" si="10"/>
        <v>Quarter 1 1900</v>
      </c>
    </row>
    <row r="625" spans="11:11">
      <c r="K625" s="28" t="str">
        <f t="shared" si="10"/>
        <v>Quarter 1 1900</v>
      </c>
    </row>
    <row r="626" spans="11:11">
      <c r="K626" s="28" t="str">
        <f t="shared" si="10"/>
        <v>Quarter 1 1900</v>
      </c>
    </row>
    <row r="627" spans="11:11">
      <c r="K627" s="28" t="str">
        <f t="shared" si="10"/>
        <v>Quarter 1 1900</v>
      </c>
    </row>
    <row r="628" spans="11:11">
      <c r="K628" s="28" t="str">
        <f t="shared" si="10"/>
        <v>Quarter 1 1900</v>
      </c>
    </row>
    <row r="629" spans="11:11">
      <c r="K629" s="28" t="str">
        <f t="shared" si="10"/>
        <v>Quarter 1 1900</v>
      </c>
    </row>
    <row r="630" spans="11:11">
      <c r="K630" s="28" t="str">
        <f t="shared" si="10"/>
        <v>Quarter 1 1900</v>
      </c>
    </row>
    <row r="631" spans="11:11">
      <c r="K631" s="28" t="str">
        <f t="shared" si="10"/>
        <v>Quarter 1 1900</v>
      </c>
    </row>
    <row r="632" spans="11:11">
      <c r="K632" s="28" t="str">
        <f t="shared" si="10"/>
        <v>Quarter 1 1900</v>
      </c>
    </row>
    <row r="633" spans="11:11">
      <c r="K633" s="28" t="str">
        <f t="shared" si="10"/>
        <v>Quarter 1 1900</v>
      </c>
    </row>
    <row r="634" spans="11:11">
      <c r="K634" s="28" t="str">
        <f t="shared" si="10"/>
        <v>Quarter 1 1900</v>
      </c>
    </row>
    <row r="635" spans="11:11">
      <c r="K635" s="28" t="str">
        <f t="shared" si="10"/>
        <v>Quarter 1 1900</v>
      </c>
    </row>
    <row r="636" spans="11:11">
      <c r="K636" s="28" t="str">
        <f t="shared" si="10"/>
        <v>Quarter 1 1900</v>
      </c>
    </row>
    <row r="637" spans="11:11">
      <c r="K637" s="28" t="str">
        <f t="shared" si="10"/>
        <v>Quarter 1 1900</v>
      </c>
    </row>
    <row r="638" spans="11:11">
      <c r="K638" s="28" t="str">
        <f t="shared" si="10"/>
        <v>Quarter 1 1900</v>
      </c>
    </row>
    <row r="639" spans="11:11">
      <c r="K639" s="28" t="str">
        <f t="shared" si="10"/>
        <v>Quarter 1 1900</v>
      </c>
    </row>
    <row r="640" spans="11:11">
      <c r="K640" s="28" t="str">
        <f t="shared" si="10"/>
        <v>Quarter 1 1900</v>
      </c>
    </row>
    <row r="641" spans="11:11">
      <c r="K641" s="28" t="str">
        <f t="shared" si="10"/>
        <v>Quarter 1 1900</v>
      </c>
    </row>
    <row r="642" spans="11:11">
      <c r="K642" s="28" t="str">
        <f t="shared" si="10"/>
        <v>Quarter 1 1900</v>
      </c>
    </row>
    <row r="643" spans="11:11">
      <c r="K643" s="28" t="str">
        <f t="shared" si="10"/>
        <v>Quarter 1 1900</v>
      </c>
    </row>
    <row r="644" spans="11:11">
      <c r="K644" s="28" t="str">
        <f t="shared" si="10"/>
        <v>Quarter 1 1900</v>
      </c>
    </row>
    <row r="645" spans="11:11">
      <c r="K645" s="28" t="str">
        <f t="shared" si="10"/>
        <v>Quarter 1 1900</v>
      </c>
    </row>
    <row r="646" spans="11:11">
      <c r="K646" s="28" t="str">
        <f t="shared" si="10"/>
        <v>Quarter 1 1900</v>
      </c>
    </row>
    <row r="647" spans="11:11">
      <c r="K647" s="28" t="str">
        <f t="shared" si="10"/>
        <v>Quarter 1 1900</v>
      </c>
    </row>
    <row r="648" spans="11:11">
      <c r="K648" s="28" t="str">
        <f t="shared" si="10"/>
        <v>Quarter 1 1900</v>
      </c>
    </row>
    <row r="649" spans="11:11">
      <c r="K649" s="28" t="str">
        <f t="shared" si="10"/>
        <v>Quarter 1 1900</v>
      </c>
    </row>
    <row r="650" spans="11:11">
      <c r="K650" s="28" t="str">
        <f t="shared" si="10"/>
        <v>Quarter 1 1900</v>
      </c>
    </row>
    <row r="651" spans="11:11">
      <c r="K651" s="28" t="str">
        <f t="shared" si="10"/>
        <v>Quarter 1 1900</v>
      </c>
    </row>
    <row r="652" spans="11:11">
      <c r="K652" s="28" t="str">
        <f t="shared" si="10"/>
        <v>Quarter 1 1900</v>
      </c>
    </row>
    <row r="653" spans="11:11">
      <c r="K653" s="28" t="str">
        <f t="shared" si="10"/>
        <v>Quarter 1 1900</v>
      </c>
    </row>
    <row r="654" spans="11:11">
      <c r="K654" s="28" t="str">
        <f t="shared" si="10"/>
        <v>Quarter 1 1900</v>
      </c>
    </row>
    <row r="655" spans="11:11">
      <c r="K655" s="28" t="str">
        <f t="shared" si="10"/>
        <v>Quarter 1 1900</v>
      </c>
    </row>
    <row r="656" spans="11:11">
      <c r="K656" s="28" t="str">
        <f t="shared" si="10"/>
        <v>Quarter 1 1900</v>
      </c>
    </row>
    <row r="657" spans="11:11">
      <c r="K657" s="28" t="str">
        <f t="shared" si="10"/>
        <v>Quarter 1 1900</v>
      </c>
    </row>
    <row r="658" spans="11:11">
      <c r="K658" s="28" t="str">
        <f t="shared" ref="K658:K721" si="11">"Quarter "&amp;INT((MONTH(B658)-1)/3)+1&amp;" "&amp;YEAR(B658)</f>
        <v>Quarter 1 1900</v>
      </c>
    </row>
    <row r="659" spans="11:11">
      <c r="K659" s="28" t="str">
        <f t="shared" si="11"/>
        <v>Quarter 1 1900</v>
      </c>
    </row>
    <row r="660" spans="11:11">
      <c r="K660" s="28" t="str">
        <f t="shared" si="11"/>
        <v>Quarter 1 1900</v>
      </c>
    </row>
    <row r="661" spans="11:11">
      <c r="K661" s="28" t="str">
        <f t="shared" si="11"/>
        <v>Quarter 1 1900</v>
      </c>
    </row>
    <row r="662" spans="11:11">
      <c r="K662" s="28" t="str">
        <f t="shared" si="11"/>
        <v>Quarter 1 1900</v>
      </c>
    </row>
    <row r="663" spans="11:11">
      <c r="K663" s="28" t="str">
        <f t="shared" si="11"/>
        <v>Quarter 1 1900</v>
      </c>
    </row>
    <row r="664" spans="11:11">
      <c r="K664" s="28" t="str">
        <f t="shared" si="11"/>
        <v>Quarter 1 1900</v>
      </c>
    </row>
    <row r="665" spans="11:11">
      <c r="K665" s="28" t="str">
        <f t="shared" si="11"/>
        <v>Quarter 1 1900</v>
      </c>
    </row>
    <row r="666" spans="11:11">
      <c r="K666" s="28" t="str">
        <f t="shared" si="11"/>
        <v>Quarter 1 1900</v>
      </c>
    </row>
    <row r="667" spans="11:11">
      <c r="K667" s="28" t="str">
        <f t="shared" si="11"/>
        <v>Quarter 1 1900</v>
      </c>
    </row>
    <row r="668" spans="11:11">
      <c r="K668" s="28" t="str">
        <f t="shared" si="11"/>
        <v>Quarter 1 1900</v>
      </c>
    </row>
    <row r="669" spans="11:11">
      <c r="K669" s="28" t="str">
        <f t="shared" si="11"/>
        <v>Quarter 1 1900</v>
      </c>
    </row>
    <row r="670" spans="11:11">
      <c r="K670" s="28" t="str">
        <f t="shared" si="11"/>
        <v>Quarter 1 1900</v>
      </c>
    </row>
    <row r="671" spans="11:11">
      <c r="K671" s="28" t="str">
        <f t="shared" si="11"/>
        <v>Quarter 1 1900</v>
      </c>
    </row>
    <row r="672" spans="11:11">
      <c r="K672" s="28" t="str">
        <f t="shared" si="11"/>
        <v>Quarter 1 1900</v>
      </c>
    </row>
    <row r="673" spans="11:11">
      <c r="K673" s="28" t="str">
        <f t="shared" si="11"/>
        <v>Quarter 1 1900</v>
      </c>
    </row>
    <row r="674" spans="11:11">
      <c r="K674" s="28" t="str">
        <f t="shared" si="11"/>
        <v>Quarter 1 1900</v>
      </c>
    </row>
    <row r="675" spans="11:11">
      <c r="K675" s="28" t="str">
        <f t="shared" si="11"/>
        <v>Quarter 1 1900</v>
      </c>
    </row>
    <row r="676" spans="11:11">
      <c r="K676" s="28" t="str">
        <f t="shared" si="11"/>
        <v>Quarter 1 1900</v>
      </c>
    </row>
    <row r="677" spans="11:11">
      <c r="K677" s="28" t="str">
        <f t="shared" si="11"/>
        <v>Quarter 1 1900</v>
      </c>
    </row>
    <row r="678" spans="11:11">
      <c r="K678" s="28" t="str">
        <f t="shared" si="11"/>
        <v>Quarter 1 1900</v>
      </c>
    </row>
    <row r="679" spans="11:11">
      <c r="K679" s="28" t="str">
        <f t="shared" si="11"/>
        <v>Quarter 1 1900</v>
      </c>
    </row>
    <row r="680" spans="11:11">
      <c r="K680" s="28" t="str">
        <f t="shared" si="11"/>
        <v>Quarter 1 1900</v>
      </c>
    </row>
    <row r="681" spans="11:11">
      <c r="K681" s="28" t="str">
        <f t="shared" si="11"/>
        <v>Quarter 1 1900</v>
      </c>
    </row>
    <row r="682" spans="11:11">
      <c r="K682" s="28" t="str">
        <f t="shared" si="11"/>
        <v>Quarter 1 1900</v>
      </c>
    </row>
    <row r="683" spans="11:11">
      <c r="K683" s="28" t="str">
        <f t="shared" si="11"/>
        <v>Quarter 1 1900</v>
      </c>
    </row>
    <row r="684" spans="11:11">
      <c r="K684" s="28" t="str">
        <f t="shared" si="11"/>
        <v>Quarter 1 1900</v>
      </c>
    </row>
    <row r="685" spans="11:11">
      <c r="K685" s="28" t="str">
        <f t="shared" si="11"/>
        <v>Quarter 1 1900</v>
      </c>
    </row>
    <row r="686" spans="11:11">
      <c r="K686" s="28" t="str">
        <f t="shared" si="11"/>
        <v>Quarter 1 1900</v>
      </c>
    </row>
    <row r="687" spans="11:11">
      <c r="K687" s="28" t="str">
        <f t="shared" si="11"/>
        <v>Quarter 1 1900</v>
      </c>
    </row>
    <row r="688" spans="11:11">
      <c r="K688" s="28" t="str">
        <f t="shared" si="11"/>
        <v>Quarter 1 1900</v>
      </c>
    </row>
    <row r="689" spans="11:11">
      <c r="K689" s="28" t="str">
        <f t="shared" si="11"/>
        <v>Quarter 1 1900</v>
      </c>
    </row>
    <row r="690" spans="11:11">
      <c r="K690" s="28" t="str">
        <f t="shared" si="11"/>
        <v>Quarter 1 1900</v>
      </c>
    </row>
    <row r="691" spans="11:11">
      <c r="K691" s="28" t="str">
        <f t="shared" si="11"/>
        <v>Quarter 1 1900</v>
      </c>
    </row>
    <row r="692" spans="11:11">
      <c r="K692" s="28" t="str">
        <f t="shared" si="11"/>
        <v>Quarter 1 1900</v>
      </c>
    </row>
    <row r="693" spans="11:11">
      <c r="K693" s="28" t="str">
        <f t="shared" si="11"/>
        <v>Quarter 1 1900</v>
      </c>
    </row>
    <row r="694" spans="11:11">
      <c r="K694" s="28" t="str">
        <f t="shared" si="11"/>
        <v>Quarter 1 1900</v>
      </c>
    </row>
    <row r="695" spans="11:11">
      <c r="K695" s="28" t="str">
        <f t="shared" si="11"/>
        <v>Quarter 1 1900</v>
      </c>
    </row>
    <row r="696" spans="11:11">
      <c r="K696" s="28" t="str">
        <f t="shared" si="11"/>
        <v>Quarter 1 1900</v>
      </c>
    </row>
    <row r="697" spans="11:11">
      <c r="K697" s="28" t="str">
        <f t="shared" si="11"/>
        <v>Quarter 1 1900</v>
      </c>
    </row>
    <row r="698" spans="11:11">
      <c r="K698" s="28" t="str">
        <f t="shared" si="11"/>
        <v>Quarter 1 1900</v>
      </c>
    </row>
    <row r="699" spans="11:11">
      <c r="K699" s="28" t="str">
        <f t="shared" si="11"/>
        <v>Quarter 1 1900</v>
      </c>
    </row>
    <row r="700" spans="11:11">
      <c r="K700" s="28" t="str">
        <f t="shared" si="11"/>
        <v>Quarter 1 1900</v>
      </c>
    </row>
    <row r="701" spans="11:11">
      <c r="K701" s="28" t="str">
        <f t="shared" si="11"/>
        <v>Quarter 1 1900</v>
      </c>
    </row>
    <row r="702" spans="11:11">
      <c r="K702" s="28" t="str">
        <f t="shared" si="11"/>
        <v>Quarter 1 1900</v>
      </c>
    </row>
    <row r="703" spans="11:11">
      <c r="K703" s="28" t="str">
        <f t="shared" si="11"/>
        <v>Quarter 1 1900</v>
      </c>
    </row>
    <row r="704" spans="11:11">
      <c r="K704" s="28" t="str">
        <f t="shared" si="11"/>
        <v>Quarter 1 1900</v>
      </c>
    </row>
    <row r="705" spans="11:11">
      <c r="K705" s="28" t="str">
        <f t="shared" si="11"/>
        <v>Quarter 1 1900</v>
      </c>
    </row>
    <row r="706" spans="11:11">
      <c r="K706" s="28" t="str">
        <f t="shared" si="11"/>
        <v>Quarter 1 1900</v>
      </c>
    </row>
    <row r="707" spans="11:11">
      <c r="K707" s="28" t="str">
        <f t="shared" si="11"/>
        <v>Quarter 1 1900</v>
      </c>
    </row>
    <row r="708" spans="11:11">
      <c r="K708" s="28" t="str">
        <f t="shared" si="11"/>
        <v>Quarter 1 1900</v>
      </c>
    </row>
    <row r="709" spans="11:11">
      <c r="K709" s="28" t="str">
        <f t="shared" si="11"/>
        <v>Quarter 1 1900</v>
      </c>
    </row>
    <row r="710" spans="11:11">
      <c r="K710" s="28" t="str">
        <f t="shared" si="11"/>
        <v>Quarter 1 1900</v>
      </c>
    </row>
    <row r="711" spans="11:11">
      <c r="K711" s="28" t="str">
        <f t="shared" si="11"/>
        <v>Quarter 1 1900</v>
      </c>
    </row>
    <row r="712" spans="11:11">
      <c r="K712" s="28" t="str">
        <f t="shared" si="11"/>
        <v>Quarter 1 1900</v>
      </c>
    </row>
    <row r="713" spans="11:11">
      <c r="K713" s="28" t="str">
        <f t="shared" si="11"/>
        <v>Quarter 1 1900</v>
      </c>
    </row>
    <row r="714" spans="11:11">
      <c r="K714" s="28" t="str">
        <f t="shared" si="11"/>
        <v>Quarter 1 1900</v>
      </c>
    </row>
    <row r="715" spans="11:11">
      <c r="K715" s="28" t="str">
        <f t="shared" si="11"/>
        <v>Quarter 1 1900</v>
      </c>
    </row>
    <row r="716" spans="11:11">
      <c r="K716" s="28" t="str">
        <f t="shared" si="11"/>
        <v>Quarter 1 1900</v>
      </c>
    </row>
    <row r="717" spans="11:11">
      <c r="K717" s="28" t="str">
        <f t="shared" si="11"/>
        <v>Quarter 1 1900</v>
      </c>
    </row>
    <row r="718" spans="11:11">
      <c r="K718" s="28" t="str">
        <f t="shared" si="11"/>
        <v>Quarter 1 1900</v>
      </c>
    </row>
    <row r="719" spans="11:11">
      <c r="K719" s="28" t="str">
        <f t="shared" si="11"/>
        <v>Quarter 1 1900</v>
      </c>
    </row>
    <row r="720" spans="11:11">
      <c r="K720" s="28" t="str">
        <f t="shared" si="11"/>
        <v>Quarter 1 1900</v>
      </c>
    </row>
    <row r="721" spans="11:11">
      <c r="K721" s="28" t="str">
        <f t="shared" si="11"/>
        <v>Quarter 1 1900</v>
      </c>
    </row>
    <row r="722" spans="11:11">
      <c r="K722" s="28" t="str">
        <f t="shared" ref="K722:K785" si="12">"Quarter "&amp;INT((MONTH(B722)-1)/3)+1&amp;" "&amp;YEAR(B722)</f>
        <v>Quarter 1 1900</v>
      </c>
    </row>
    <row r="723" spans="11:11">
      <c r="K723" s="28" t="str">
        <f t="shared" si="12"/>
        <v>Quarter 1 1900</v>
      </c>
    </row>
    <row r="724" spans="11:11">
      <c r="K724" s="28" t="str">
        <f t="shared" si="12"/>
        <v>Quarter 1 1900</v>
      </c>
    </row>
    <row r="725" spans="11:11">
      <c r="K725" s="28" t="str">
        <f t="shared" si="12"/>
        <v>Quarter 1 1900</v>
      </c>
    </row>
    <row r="726" spans="11:11">
      <c r="K726" s="28" t="str">
        <f t="shared" si="12"/>
        <v>Quarter 1 1900</v>
      </c>
    </row>
    <row r="727" spans="11:11">
      <c r="K727" s="28" t="str">
        <f t="shared" si="12"/>
        <v>Quarter 1 1900</v>
      </c>
    </row>
    <row r="728" spans="11:11">
      <c r="K728" s="28" t="str">
        <f t="shared" si="12"/>
        <v>Quarter 1 1900</v>
      </c>
    </row>
    <row r="729" spans="11:11">
      <c r="K729" s="28" t="str">
        <f t="shared" si="12"/>
        <v>Quarter 1 1900</v>
      </c>
    </row>
    <row r="730" spans="11:11">
      <c r="K730" s="28" t="str">
        <f t="shared" si="12"/>
        <v>Quarter 1 1900</v>
      </c>
    </row>
    <row r="731" spans="11:11">
      <c r="K731" s="28" t="str">
        <f t="shared" si="12"/>
        <v>Quarter 1 1900</v>
      </c>
    </row>
    <row r="732" spans="11:11">
      <c r="K732" s="28" t="str">
        <f t="shared" si="12"/>
        <v>Quarter 1 1900</v>
      </c>
    </row>
    <row r="733" spans="11:11">
      <c r="K733" s="28" t="str">
        <f t="shared" si="12"/>
        <v>Quarter 1 1900</v>
      </c>
    </row>
    <row r="734" spans="11:11">
      <c r="K734" s="28" t="str">
        <f t="shared" si="12"/>
        <v>Quarter 1 1900</v>
      </c>
    </row>
    <row r="735" spans="11:11">
      <c r="K735" s="28" t="str">
        <f t="shared" si="12"/>
        <v>Quarter 1 1900</v>
      </c>
    </row>
    <row r="736" spans="11:11">
      <c r="K736" s="28" t="str">
        <f t="shared" si="12"/>
        <v>Quarter 1 1900</v>
      </c>
    </row>
    <row r="737" spans="11:11">
      <c r="K737" s="28" t="str">
        <f t="shared" si="12"/>
        <v>Quarter 1 1900</v>
      </c>
    </row>
    <row r="738" spans="11:11">
      <c r="K738" s="28" t="str">
        <f t="shared" si="12"/>
        <v>Quarter 1 1900</v>
      </c>
    </row>
    <row r="739" spans="11:11">
      <c r="K739" s="28" t="str">
        <f t="shared" si="12"/>
        <v>Quarter 1 1900</v>
      </c>
    </row>
    <row r="740" spans="11:11">
      <c r="K740" s="28" t="str">
        <f t="shared" si="12"/>
        <v>Quarter 1 1900</v>
      </c>
    </row>
    <row r="741" spans="11:11">
      <c r="K741" s="28" t="str">
        <f t="shared" si="12"/>
        <v>Quarter 1 1900</v>
      </c>
    </row>
    <row r="742" spans="11:11">
      <c r="K742" s="28" t="str">
        <f t="shared" si="12"/>
        <v>Quarter 1 1900</v>
      </c>
    </row>
    <row r="743" spans="11:11">
      <c r="K743" s="28" t="str">
        <f t="shared" si="12"/>
        <v>Quarter 1 1900</v>
      </c>
    </row>
    <row r="744" spans="11:11">
      <c r="K744" s="28" t="str">
        <f t="shared" si="12"/>
        <v>Quarter 1 1900</v>
      </c>
    </row>
    <row r="745" spans="11:11">
      <c r="K745" s="28" t="str">
        <f t="shared" si="12"/>
        <v>Quarter 1 1900</v>
      </c>
    </row>
    <row r="746" spans="11:11">
      <c r="K746" s="28" t="str">
        <f t="shared" si="12"/>
        <v>Quarter 1 1900</v>
      </c>
    </row>
    <row r="747" spans="11:11">
      <c r="K747" s="28" t="str">
        <f t="shared" si="12"/>
        <v>Quarter 1 1900</v>
      </c>
    </row>
    <row r="748" spans="11:11">
      <c r="K748" s="28" t="str">
        <f t="shared" si="12"/>
        <v>Quarter 1 1900</v>
      </c>
    </row>
    <row r="749" spans="11:11">
      <c r="K749" s="28" t="str">
        <f t="shared" si="12"/>
        <v>Quarter 1 1900</v>
      </c>
    </row>
    <row r="750" spans="11:11">
      <c r="K750" s="28" t="str">
        <f t="shared" si="12"/>
        <v>Quarter 1 1900</v>
      </c>
    </row>
    <row r="751" spans="11:11">
      <c r="K751" s="28" t="str">
        <f t="shared" si="12"/>
        <v>Quarter 1 1900</v>
      </c>
    </row>
    <row r="752" spans="11:11">
      <c r="K752" s="28" t="str">
        <f t="shared" si="12"/>
        <v>Quarter 1 1900</v>
      </c>
    </row>
    <row r="753" spans="11:11">
      <c r="K753" s="28" t="str">
        <f t="shared" si="12"/>
        <v>Quarter 1 1900</v>
      </c>
    </row>
    <row r="754" spans="11:11">
      <c r="K754" s="28" t="str">
        <f t="shared" si="12"/>
        <v>Quarter 1 1900</v>
      </c>
    </row>
    <row r="755" spans="11:11">
      <c r="K755" s="28" t="str">
        <f t="shared" si="12"/>
        <v>Quarter 1 1900</v>
      </c>
    </row>
    <row r="756" spans="11:11">
      <c r="K756" s="28" t="str">
        <f t="shared" si="12"/>
        <v>Quarter 1 1900</v>
      </c>
    </row>
    <row r="757" spans="11:11">
      <c r="K757" s="28" t="str">
        <f t="shared" si="12"/>
        <v>Quarter 1 1900</v>
      </c>
    </row>
    <row r="758" spans="11:11">
      <c r="K758" s="28" t="str">
        <f t="shared" si="12"/>
        <v>Quarter 1 1900</v>
      </c>
    </row>
    <row r="759" spans="11:11">
      <c r="K759" s="28" t="str">
        <f t="shared" si="12"/>
        <v>Quarter 1 1900</v>
      </c>
    </row>
    <row r="760" spans="11:11">
      <c r="K760" s="28" t="str">
        <f t="shared" si="12"/>
        <v>Quarter 1 1900</v>
      </c>
    </row>
    <row r="761" spans="11:11">
      <c r="K761" s="28" t="str">
        <f t="shared" si="12"/>
        <v>Quarter 1 1900</v>
      </c>
    </row>
    <row r="762" spans="11:11">
      <c r="K762" s="28" t="str">
        <f t="shared" si="12"/>
        <v>Quarter 1 1900</v>
      </c>
    </row>
    <row r="763" spans="11:11">
      <c r="K763" s="28" t="str">
        <f t="shared" si="12"/>
        <v>Quarter 1 1900</v>
      </c>
    </row>
    <row r="764" spans="11:11">
      <c r="K764" s="28" t="str">
        <f t="shared" si="12"/>
        <v>Quarter 1 1900</v>
      </c>
    </row>
    <row r="765" spans="11:11">
      <c r="K765" s="28" t="str">
        <f t="shared" si="12"/>
        <v>Quarter 1 1900</v>
      </c>
    </row>
    <row r="766" spans="11:11">
      <c r="K766" s="28" t="str">
        <f t="shared" si="12"/>
        <v>Quarter 1 1900</v>
      </c>
    </row>
    <row r="767" spans="11:11">
      <c r="K767" s="28" t="str">
        <f t="shared" si="12"/>
        <v>Quarter 1 1900</v>
      </c>
    </row>
    <row r="768" spans="11:11">
      <c r="K768" s="28" t="str">
        <f t="shared" si="12"/>
        <v>Quarter 1 1900</v>
      </c>
    </row>
    <row r="769" spans="11:11">
      <c r="K769" s="28" t="str">
        <f t="shared" si="12"/>
        <v>Quarter 1 1900</v>
      </c>
    </row>
    <row r="770" spans="11:11">
      <c r="K770" s="28" t="str">
        <f t="shared" si="12"/>
        <v>Quarter 1 1900</v>
      </c>
    </row>
    <row r="771" spans="11:11">
      <c r="K771" s="28" t="str">
        <f t="shared" si="12"/>
        <v>Quarter 1 1900</v>
      </c>
    </row>
    <row r="772" spans="11:11">
      <c r="K772" s="28" t="str">
        <f t="shared" si="12"/>
        <v>Quarter 1 1900</v>
      </c>
    </row>
    <row r="773" spans="11:11">
      <c r="K773" s="28" t="str">
        <f t="shared" si="12"/>
        <v>Quarter 1 1900</v>
      </c>
    </row>
    <row r="774" spans="11:11">
      <c r="K774" s="28" t="str">
        <f t="shared" si="12"/>
        <v>Quarter 1 1900</v>
      </c>
    </row>
    <row r="775" spans="11:11">
      <c r="K775" s="28" t="str">
        <f t="shared" si="12"/>
        <v>Quarter 1 1900</v>
      </c>
    </row>
    <row r="776" spans="11:11">
      <c r="K776" s="28" t="str">
        <f t="shared" si="12"/>
        <v>Quarter 1 1900</v>
      </c>
    </row>
    <row r="777" spans="11:11">
      <c r="K777" s="28" t="str">
        <f t="shared" si="12"/>
        <v>Quarter 1 1900</v>
      </c>
    </row>
    <row r="778" spans="11:11">
      <c r="K778" s="28" t="str">
        <f t="shared" si="12"/>
        <v>Quarter 1 1900</v>
      </c>
    </row>
    <row r="779" spans="11:11">
      <c r="K779" s="28" t="str">
        <f t="shared" si="12"/>
        <v>Quarter 1 1900</v>
      </c>
    </row>
    <row r="780" spans="11:11">
      <c r="K780" s="28" t="str">
        <f t="shared" si="12"/>
        <v>Quarter 1 1900</v>
      </c>
    </row>
    <row r="781" spans="11:11">
      <c r="K781" s="28" t="str">
        <f t="shared" si="12"/>
        <v>Quarter 1 1900</v>
      </c>
    </row>
    <row r="782" spans="11:11">
      <c r="K782" s="28" t="str">
        <f t="shared" si="12"/>
        <v>Quarter 1 1900</v>
      </c>
    </row>
    <row r="783" spans="11:11">
      <c r="K783" s="28" t="str">
        <f t="shared" si="12"/>
        <v>Quarter 1 1900</v>
      </c>
    </row>
    <row r="784" spans="11:11">
      <c r="K784" s="28" t="str">
        <f t="shared" si="12"/>
        <v>Quarter 1 1900</v>
      </c>
    </row>
    <row r="785" spans="11:11">
      <c r="K785" s="28" t="str">
        <f t="shared" si="12"/>
        <v>Quarter 1 1900</v>
      </c>
    </row>
    <row r="786" spans="11:11">
      <c r="K786" s="28" t="str">
        <f t="shared" ref="K786:K849" si="13">"Quarter "&amp;INT((MONTH(B786)-1)/3)+1&amp;" "&amp;YEAR(B786)</f>
        <v>Quarter 1 1900</v>
      </c>
    </row>
    <row r="787" spans="11:11">
      <c r="K787" s="28" t="str">
        <f t="shared" si="13"/>
        <v>Quarter 1 1900</v>
      </c>
    </row>
    <row r="788" spans="11:11">
      <c r="K788" s="28" t="str">
        <f t="shared" si="13"/>
        <v>Quarter 1 1900</v>
      </c>
    </row>
    <row r="789" spans="11:11">
      <c r="K789" s="28" t="str">
        <f t="shared" si="13"/>
        <v>Quarter 1 1900</v>
      </c>
    </row>
    <row r="790" spans="11:11">
      <c r="K790" s="28" t="str">
        <f t="shared" si="13"/>
        <v>Quarter 1 1900</v>
      </c>
    </row>
    <row r="791" spans="11:11">
      <c r="K791" s="28" t="str">
        <f t="shared" si="13"/>
        <v>Quarter 1 1900</v>
      </c>
    </row>
    <row r="792" spans="11:11">
      <c r="K792" s="28" t="str">
        <f t="shared" si="13"/>
        <v>Quarter 1 1900</v>
      </c>
    </row>
    <row r="793" spans="11:11">
      <c r="K793" s="28" t="str">
        <f t="shared" si="13"/>
        <v>Quarter 1 1900</v>
      </c>
    </row>
    <row r="794" spans="11:11">
      <c r="K794" s="28" t="str">
        <f t="shared" si="13"/>
        <v>Quarter 1 1900</v>
      </c>
    </row>
    <row r="795" spans="11:11">
      <c r="K795" s="28" t="str">
        <f t="shared" si="13"/>
        <v>Quarter 1 1900</v>
      </c>
    </row>
    <row r="796" spans="11:11">
      <c r="K796" s="28" t="str">
        <f t="shared" si="13"/>
        <v>Quarter 1 1900</v>
      </c>
    </row>
    <row r="797" spans="11:11">
      <c r="K797" s="28" t="str">
        <f t="shared" si="13"/>
        <v>Quarter 1 1900</v>
      </c>
    </row>
    <row r="798" spans="11:11">
      <c r="K798" s="28" t="str">
        <f t="shared" si="13"/>
        <v>Quarter 1 1900</v>
      </c>
    </row>
    <row r="799" spans="11:11">
      <c r="K799" s="28" t="str">
        <f t="shared" si="13"/>
        <v>Quarter 1 1900</v>
      </c>
    </row>
    <row r="800" spans="11:11">
      <c r="K800" s="28" t="str">
        <f t="shared" si="13"/>
        <v>Quarter 1 1900</v>
      </c>
    </row>
    <row r="801" spans="11:11">
      <c r="K801" s="28" t="str">
        <f t="shared" si="13"/>
        <v>Quarter 1 1900</v>
      </c>
    </row>
    <row r="802" spans="11:11">
      <c r="K802" s="28" t="str">
        <f t="shared" si="13"/>
        <v>Quarter 1 1900</v>
      </c>
    </row>
    <row r="803" spans="11:11">
      <c r="K803" s="28" t="str">
        <f t="shared" si="13"/>
        <v>Quarter 1 1900</v>
      </c>
    </row>
    <row r="804" spans="11:11">
      <c r="K804" s="28" t="str">
        <f t="shared" si="13"/>
        <v>Quarter 1 1900</v>
      </c>
    </row>
    <row r="805" spans="11:11">
      <c r="K805" s="28" t="str">
        <f t="shared" si="13"/>
        <v>Quarter 1 1900</v>
      </c>
    </row>
    <row r="806" spans="11:11">
      <c r="K806" s="28" t="str">
        <f t="shared" si="13"/>
        <v>Quarter 1 1900</v>
      </c>
    </row>
    <row r="807" spans="11:11">
      <c r="K807" s="28" t="str">
        <f t="shared" si="13"/>
        <v>Quarter 1 1900</v>
      </c>
    </row>
    <row r="808" spans="11:11">
      <c r="K808" s="28" t="str">
        <f t="shared" si="13"/>
        <v>Quarter 1 1900</v>
      </c>
    </row>
    <row r="809" spans="11:11">
      <c r="K809" s="28" t="str">
        <f t="shared" si="13"/>
        <v>Quarter 1 1900</v>
      </c>
    </row>
    <row r="810" spans="11:11">
      <c r="K810" s="28" t="str">
        <f t="shared" si="13"/>
        <v>Quarter 1 1900</v>
      </c>
    </row>
    <row r="811" spans="11:11">
      <c r="K811" s="28" t="str">
        <f t="shared" si="13"/>
        <v>Quarter 1 1900</v>
      </c>
    </row>
    <row r="812" spans="11:11">
      <c r="K812" s="28" t="str">
        <f t="shared" si="13"/>
        <v>Quarter 1 1900</v>
      </c>
    </row>
    <row r="813" spans="11:11">
      <c r="K813" s="28" t="str">
        <f t="shared" si="13"/>
        <v>Quarter 1 1900</v>
      </c>
    </row>
    <row r="814" spans="11:11">
      <c r="K814" s="28" t="str">
        <f t="shared" si="13"/>
        <v>Quarter 1 1900</v>
      </c>
    </row>
    <row r="815" spans="11:11">
      <c r="K815" s="28" t="str">
        <f t="shared" si="13"/>
        <v>Quarter 1 1900</v>
      </c>
    </row>
    <row r="816" spans="11:11">
      <c r="K816" s="28" t="str">
        <f t="shared" si="13"/>
        <v>Quarter 1 1900</v>
      </c>
    </row>
    <row r="817" spans="11:11">
      <c r="K817" s="28" t="str">
        <f t="shared" si="13"/>
        <v>Quarter 1 1900</v>
      </c>
    </row>
    <row r="818" spans="11:11">
      <c r="K818" s="28" t="str">
        <f t="shared" si="13"/>
        <v>Quarter 1 1900</v>
      </c>
    </row>
    <row r="819" spans="11:11">
      <c r="K819" s="28" t="str">
        <f t="shared" si="13"/>
        <v>Quarter 1 1900</v>
      </c>
    </row>
    <row r="820" spans="11:11">
      <c r="K820" s="28" t="str">
        <f t="shared" si="13"/>
        <v>Quarter 1 1900</v>
      </c>
    </row>
    <row r="821" spans="11:11">
      <c r="K821" s="28" t="str">
        <f t="shared" si="13"/>
        <v>Quarter 1 1900</v>
      </c>
    </row>
    <row r="822" spans="11:11">
      <c r="K822" s="28" t="str">
        <f t="shared" si="13"/>
        <v>Quarter 1 1900</v>
      </c>
    </row>
    <row r="823" spans="11:11">
      <c r="K823" s="28" t="str">
        <f t="shared" si="13"/>
        <v>Quarter 1 1900</v>
      </c>
    </row>
    <row r="824" spans="11:11">
      <c r="K824" s="28" t="str">
        <f t="shared" si="13"/>
        <v>Quarter 1 1900</v>
      </c>
    </row>
    <row r="825" spans="11:11">
      <c r="K825" s="28" t="str">
        <f t="shared" si="13"/>
        <v>Quarter 1 1900</v>
      </c>
    </row>
    <row r="826" spans="11:11">
      <c r="K826" s="28" t="str">
        <f t="shared" si="13"/>
        <v>Quarter 1 1900</v>
      </c>
    </row>
    <row r="827" spans="11:11">
      <c r="K827" s="28" t="str">
        <f t="shared" si="13"/>
        <v>Quarter 1 1900</v>
      </c>
    </row>
    <row r="828" spans="11:11">
      <c r="K828" s="28" t="str">
        <f t="shared" si="13"/>
        <v>Quarter 1 1900</v>
      </c>
    </row>
    <row r="829" spans="11:11">
      <c r="K829" s="28" t="str">
        <f t="shared" si="13"/>
        <v>Quarter 1 1900</v>
      </c>
    </row>
    <row r="830" spans="11:11">
      <c r="K830" s="28" t="str">
        <f t="shared" si="13"/>
        <v>Quarter 1 1900</v>
      </c>
    </row>
    <row r="831" spans="11:11">
      <c r="K831" s="28" t="str">
        <f t="shared" si="13"/>
        <v>Quarter 1 1900</v>
      </c>
    </row>
    <row r="832" spans="11:11">
      <c r="K832" s="28" t="str">
        <f t="shared" si="13"/>
        <v>Quarter 1 1900</v>
      </c>
    </row>
    <row r="833" spans="11:11">
      <c r="K833" s="28" t="str">
        <f t="shared" si="13"/>
        <v>Quarter 1 1900</v>
      </c>
    </row>
    <row r="834" spans="11:11">
      <c r="K834" s="28" t="str">
        <f t="shared" si="13"/>
        <v>Quarter 1 1900</v>
      </c>
    </row>
    <row r="835" spans="11:11">
      <c r="K835" s="28" t="str">
        <f t="shared" si="13"/>
        <v>Quarter 1 1900</v>
      </c>
    </row>
    <row r="836" spans="11:11">
      <c r="K836" s="28" t="str">
        <f t="shared" si="13"/>
        <v>Quarter 1 1900</v>
      </c>
    </row>
    <row r="837" spans="11:11">
      <c r="K837" s="28" t="str">
        <f t="shared" si="13"/>
        <v>Quarter 1 1900</v>
      </c>
    </row>
    <row r="838" spans="11:11">
      <c r="K838" s="28" t="str">
        <f t="shared" si="13"/>
        <v>Quarter 1 1900</v>
      </c>
    </row>
    <row r="839" spans="11:11">
      <c r="K839" s="28" t="str">
        <f t="shared" si="13"/>
        <v>Quarter 1 1900</v>
      </c>
    </row>
    <row r="840" spans="11:11">
      <c r="K840" s="28" t="str">
        <f t="shared" si="13"/>
        <v>Quarter 1 1900</v>
      </c>
    </row>
    <row r="841" spans="11:11">
      <c r="K841" s="28" t="str">
        <f t="shared" si="13"/>
        <v>Quarter 1 1900</v>
      </c>
    </row>
    <row r="842" spans="11:11">
      <c r="K842" s="28" t="str">
        <f t="shared" si="13"/>
        <v>Quarter 1 1900</v>
      </c>
    </row>
    <row r="843" spans="11:11">
      <c r="K843" s="28" t="str">
        <f t="shared" si="13"/>
        <v>Quarter 1 1900</v>
      </c>
    </row>
    <row r="844" spans="11:11">
      <c r="K844" s="28" t="str">
        <f t="shared" si="13"/>
        <v>Quarter 1 1900</v>
      </c>
    </row>
    <row r="845" spans="11:11">
      <c r="K845" s="28" t="str">
        <f t="shared" si="13"/>
        <v>Quarter 1 1900</v>
      </c>
    </row>
    <row r="846" spans="11:11">
      <c r="K846" s="28" t="str">
        <f t="shared" si="13"/>
        <v>Quarter 1 1900</v>
      </c>
    </row>
    <row r="847" spans="11:11">
      <c r="K847" s="28" t="str">
        <f t="shared" si="13"/>
        <v>Quarter 1 1900</v>
      </c>
    </row>
    <row r="848" spans="11:11">
      <c r="K848" s="28" t="str">
        <f t="shared" si="13"/>
        <v>Quarter 1 1900</v>
      </c>
    </row>
    <row r="849" spans="11:11">
      <c r="K849" s="28" t="str">
        <f t="shared" si="13"/>
        <v>Quarter 1 1900</v>
      </c>
    </row>
    <row r="850" spans="11:11">
      <c r="K850" s="28" t="str">
        <f t="shared" ref="K850:K913" si="14">"Quarter "&amp;INT((MONTH(B850)-1)/3)+1&amp;" "&amp;YEAR(B850)</f>
        <v>Quarter 1 1900</v>
      </c>
    </row>
    <row r="851" spans="11:11">
      <c r="K851" s="28" t="str">
        <f t="shared" si="14"/>
        <v>Quarter 1 1900</v>
      </c>
    </row>
    <row r="852" spans="11:11">
      <c r="K852" s="28" t="str">
        <f t="shared" si="14"/>
        <v>Quarter 1 1900</v>
      </c>
    </row>
    <row r="853" spans="11:11">
      <c r="K853" s="28" t="str">
        <f t="shared" si="14"/>
        <v>Quarter 1 1900</v>
      </c>
    </row>
    <row r="854" spans="11:11">
      <c r="K854" s="28" t="str">
        <f t="shared" si="14"/>
        <v>Quarter 1 1900</v>
      </c>
    </row>
    <row r="855" spans="11:11">
      <c r="K855" s="28" t="str">
        <f t="shared" si="14"/>
        <v>Quarter 1 1900</v>
      </c>
    </row>
    <row r="856" spans="11:11">
      <c r="K856" s="28" t="str">
        <f t="shared" si="14"/>
        <v>Quarter 1 1900</v>
      </c>
    </row>
    <row r="857" spans="11:11">
      <c r="K857" s="28" t="str">
        <f t="shared" si="14"/>
        <v>Quarter 1 1900</v>
      </c>
    </row>
    <row r="858" spans="11:11">
      <c r="K858" s="28" t="str">
        <f t="shared" si="14"/>
        <v>Quarter 1 1900</v>
      </c>
    </row>
    <row r="859" spans="11:11">
      <c r="K859" s="28" t="str">
        <f t="shared" si="14"/>
        <v>Quarter 1 1900</v>
      </c>
    </row>
    <row r="860" spans="11:11">
      <c r="K860" s="28" t="str">
        <f t="shared" si="14"/>
        <v>Quarter 1 1900</v>
      </c>
    </row>
    <row r="861" spans="11:11">
      <c r="K861" s="28" t="str">
        <f t="shared" si="14"/>
        <v>Quarter 1 1900</v>
      </c>
    </row>
    <row r="862" spans="11:11">
      <c r="K862" s="28" t="str">
        <f t="shared" si="14"/>
        <v>Quarter 1 1900</v>
      </c>
    </row>
    <row r="863" spans="11:11">
      <c r="K863" s="28" t="str">
        <f t="shared" si="14"/>
        <v>Quarter 1 1900</v>
      </c>
    </row>
    <row r="864" spans="11:11">
      <c r="K864" s="28" t="str">
        <f t="shared" si="14"/>
        <v>Quarter 1 1900</v>
      </c>
    </row>
    <row r="865" spans="11:11">
      <c r="K865" s="28" t="str">
        <f t="shared" si="14"/>
        <v>Quarter 1 1900</v>
      </c>
    </row>
    <row r="866" spans="11:11">
      <c r="K866" s="28" t="str">
        <f t="shared" si="14"/>
        <v>Quarter 1 1900</v>
      </c>
    </row>
    <row r="867" spans="11:11">
      <c r="K867" s="28" t="str">
        <f t="shared" si="14"/>
        <v>Quarter 1 1900</v>
      </c>
    </row>
    <row r="868" spans="11:11">
      <c r="K868" s="28" t="str">
        <f t="shared" si="14"/>
        <v>Quarter 1 1900</v>
      </c>
    </row>
    <row r="869" spans="11:11">
      <c r="K869" s="28" t="str">
        <f t="shared" si="14"/>
        <v>Quarter 1 1900</v>
      </c>
    </row>
    <row r="870" spans="11:11">
      <c r="K870" s="28" t="str">
        <f t="shared" si="14"/>
        <v>Quarter 1 1900</v>
      </c>
    </row>
    <row r="871" spans="11:11">
      <c r="K871" s="28" t="str">
        <f t="shared" si="14"/>
        <v>Quarter 1 1900</v>
      </c>
    </row>
    <row r="872" spans="11:11">
      <c r="K872" s="28" t="str">
        <f t="shared" si="14"/>
        <v>Quarter 1 1900</v>
      </c>
    </row>
    <row r="873" spans="11:11">
      <c r="K873" s="28" t="str">
        <f t="shared" si="14"/>
        <v>Quarter 1 1900</v>
      </c>
    </row>
    <row r="874" spans="11:11">
      <c r="K874" s="28" t="str">
        <f t="shared" si="14"/>
        <v>Quarter 1 1900</v>
      </c>
    </row>
    <row r="875" spans="11:11">
      <c r="K875" s="28" t="str">
        <f t="shared" si="14"/>
        <v>Quarter 1 1900</v>
      </c>
    </row>
    <row r="876" spans="11:11">
      <c r="K876" s="28" t="str">
        <f t="shared" si="14"/>
        <v>Quarter 1 1900</v>
      </c>
    </row>
    <row r="877" spans="11:11">
      <c r="K877" s="28" t="str">
        <f t="shared" si="14"/>
        <v>Quarter 1 1900</v>
      </c>
    </row>
    <row r="878" spans="11:11">
      <c r="K878" s="28" t="str">
        <f t="shared" si="14"/>
        <v>Quarter 1 1900</v>
      </c>
    </row>
    <row r="879" spans="11:11">
      <c r="K879" s="28" t="str">
        <f t="shared" si="14"/>
        <v>Quarter 1 1900</v>
      </c>
    </row>
    <row r="880" spans="11:11">
      <c r="K880" s="28" t="str">
        <f t="shared" si="14"/>
        <v>Quarter 1 1900</v>
      </c>
    </row>
    <row r="881" spans="11:11">
      <c r="K881" s="28" t="str">
        <f t="shared" si="14"/>
        <v>Quarter 1 1900</v>
      </c>
    </row>
    <row r="882" spans="11:11">
      <c r="K882" s="28" t="str">
        <f t="shared" si="14"/>
        <v>Quarter 1 1900</v>
      </c>
    </row>
    <row r="883" spans="11:11">
      <c r="K883" s="28" t="str">
        <f t="shared" si="14"/>
        <v>Quarter 1 1900</v>
      </c>
    </row>
    <row r="884" spans="11:11">
      <c r="K884" s="28" t="str">
        <f t="shared" si="14"/>
        <v>Quarter 1 1900</v>
      </c>
    </row>
    <row r="885" spans="11:11">
      <c r="K885" s="28" t="str">
        <f t="shared" si="14"/>
        <v>Quarter 1 1900</v>
      </c>
    </row>
    <row r="886" spans="11:11">
      <c r="K886" s="28" t="str">
        <f t="shared" si="14"/>
        <v>Quarter 1 1900</v>
      </c>
    </row>
    <row r="887" spans="11:11">
      <c r="K887" s="28" t="str">
        <f t="shared" si="14"/>
        <v>Quarter 1 1900</v>
      </c>
    </row>
    <row r="888" spans="11:11">
      <c r="K888" s="28" t="str">
        <f t="shared" si="14"/>
        <v>Quarter 1 1900</v>
      </c>
    </row>
    <row r="889" spans="11:11">
      <c r="K889" s="28" t="str">
        <f t="shared" si="14"/>
        <v>Quarter 1 1900</v>
      </c>
    </row>
    <row r="890" spans="11:11">
      <c r="K890" s="28" t="str">
        <f t="shared" si="14"/>
        <v>Quarter 1 1900</v>
      </c>
    </row>
    <row r="891" spans="11:11">
      <c r="K891" s="28" t="str">
        <f t="shared" si="14"/>
        <v>Quarter 1 1900</v>
      </c>
    </row>
    <row r="892" spans="11:11">
      <c r="K892" s="28" t="str">
        <f t="shared" si="14"/>
        <v>Quarter 1 1900</v>
      </c>
    </row>
    <row r="893" spans="11:11">
      <c r="K893" s="28" t="str">
        <f t="shared" si="14"/>
        <v>Quarter 1 1900</v>
      </c>
    </row>
    <row r="894" spans="11:11">
      <c r="K894" s="28" t="str">
        <f t="shared" si="14"/>
        <v>Quarter 1 1900</v>
      </c>
    </row>
    <row r="895" spans="11:11">
      <c r="K895" s="28" t="str">
        <f t="shared" si="14"/>
        <v>Quarter 1 1900</v>
      </c>
    </row>
    <row r="896" spans="11:11">
      <c r="K896" s="28" t="str">
        <f t="shared" si="14"/>
        <v>Quarter 1 1900</v>
      </c>
    </row>
    <row r="897" spans="11:11">
      <c r="K897" s="28" t="str">
        <f t="shared" si="14"/>
        <v>Quarter 1 1900</v>
      </c>
    </row>
    <row r="898" spans="11:11">
      <c r="K898" s="28" t="str">
        <f t="shared" si="14"/>
        <v>Quarter 1 1900</v>
      </c>
    </row>
    <row r="899" spans="11:11">
      <c r="K899" s="28" t="str">
        <f t="shared" si="14"/>
        <v>Quarter 1 1900</v>
      </c>
    </row>
    <row r="900" spans="11:11">
      <c r="K900" s="28" t="str">
        <f t="shared" si="14"/>
        <v>Quarter 1 1900</v>
      </c>
    </row>
    <row r="901" spans="11:11">
      <c r="K901" s="28" t="str">
        <f t="shared" si="14"/>
        <v>Quarter 1 1900</v>
      </c>
    </row>
    <row r="902" spans="11:11">
      <c r="K902" s="28" t="str">
        <f t="shared" si="14"/>
        <v>Quarter 1 1900</v>
      </c>
    </row>
    <row r="903" spans="11:11">
      <c r="K903" s="28" t="str">
        <f t="shared" si="14"/>
        <v>Quarter 1 1900</v>
      </c>
    </row>
    <row r="904" spans="11:11">
      <c r="K904" s="28" t="str">
        <f t="shared" si="14"/>
        <v>Quarter 1 1900</v>
      </c>
    </row>
    <row r="905" spans="11:11">
      <c r="K905" s="28" t="str">
        <f t="shared" si="14"/>
        <v>Quarter 1 1900</v>
      </c>
    </row>
    <row r="906" spans="11:11">
      <c r="K906" s="28" t="str">
        <f t="shared" si="14"/>
        <v>Quarter 1 1900</v>
      </c>
    </row>
    <row r="907" spans="11:11">
      <c r="K907" s="28" t="str">
        <f t="shared" si="14"/>
        <v>Quarter 1 1900</v>
      </c>
    </row>
    <row r="908" spans="11:11">
      <c r="K908" s="28" t="str">
        <f t="shared" si="14"/>
        <v>Quarter 1 1900</v>
      </c>
    </row>
    <row r="909" spans="11:11">
      <c r="K909" s="28" t="str">
        <f t="shared" si="14"/>
        <v>Quarter 1 1900</v>
      </c>
    </row>
    <row r="910" spans="11:11">
      <c r="K910" s="28" t="str">
        <f t="shared" si="14"/>
        <v>Quarter 1 1900</v>
      </c>
    </row>
    <row r="911" spans="11:11">
      <c r="K911" s="28" t="str">
        <f t="shared" si="14"/>
        <v>Quarter 1 1900</v>
      </c>
    </row>
    <row r="912" spans="11:11">
      <c r="K912" s="28" t="str">
        <f t="shared" si="14"/>
        <v>Quarter 1 1900</v>
      </c>
    </row>
    <row r="913" spans="11:11">
      <c r="K913" s="28" t="str">
        <f t="shared" si="14"/>
        <v>Quarter 1 1900</v>
      </c>
    </row>
    <row r="914" spans="11:11">
      <c r="K914" s="28" t="str">
        <f t="shared" ref="K914:K977" si="15">"Quarter "&amp;INT((MONTH(B914)-1)/3)+1&amp;" "&amp;YEAR(B914)</f>
        <v>Quarter 1 1900</v>
      </c>
    </row>
    <row r="915" spans="11:11">
      <c r="K915" s="28" t="str">
        <f t="shared" si="15"/>
        <v>Quarter 1 1900</v>
      </c>
    </row>
    <row r="916" spans="11:11">
      <c r="K916" s="28" t="str">
        <f t="shared" si="15"/>
        <v>Quarter 1 1900</v>
      </c>
    </row>
    <row r="917" spans="11:11">
      <c r="K917" s="28" t="str">
        <f t="shared" si="15"/>
        <v>Quarter 1 1900</v>
      </c>
    </row>
    <row r="918" spans="11:11">
      <c r="K918" s="28" t="str">
        <f t="shared" si="15"/>
        <v>Quarter 1 1900</v>
      </c>
    </row>
    <row r="919" spans="11:11">
      <c r="K919" s="28" t="str">
        <f t="shared" si="15"/>
        <v>Quarter 1 1900</v>
      </c>
    </row>
    <row r="920" spans="11:11">
      <c r="K920" s="28" t="str">
        <f t="shared" si="15"/>
        <v>Quarter 1 1900</v>
      </c>
    </row>
    <row r="921" spans="11:11">
      <c r="K921" s="28" t="str">
        <f t="shared" si="15"/>
        <v>Quarter 1 1900</v>
      </c>
    </row>
    <row r="922" spans="11:11">
      <c r="K922" s="28" t="str">
        <f t="shared" si="15"/>
        <v>Quarter 1 1900</v>
      </c>
    </row>
    <row r="923" spans="11:11">
      <c r="K923" s="28" t="str">
        <f t="shared" si="15"/>
        <v>Quarter 1 1900</v>
      </c>
    </row>
    <row r="924" spans="11:11">
      <c r="K924" s="28" t="str">
        <f t="shared" si="15"/>
        <v>Quarter 1 1900</v>
      </c>
    </row>
    <row r="925" spans="11:11">
      <c r="K925" s="28" t="str">
        <f t="shared" si="15"/>
        <v>Quarter 1 1900</v>
      </c>
    </row>
    <row r="926" spans="11:11">
      <c r="K926" s="28" t="str">
        <f t="shared" si="15"/>
        <v>Quarter 1 1900</v>
      </c>
    </row>
    <row r="927" spans="11:11">
      <c r="K927" s="28" t="str">
        <f t="shared" si="15"/>
        <v>Quarter 1 1900</v>
      </c>
    </row>
    <row r="928" spans="11:11">
      <c r="K928" s="28" t="str">
        <f t="shared" si="15"/>
        <v>Quarter 1 1900</v>
      </c>
    </row>
    <row r="929" spans="11:11">
      <c r="K929" s="28" t="str">
        <f t="shared" si="15"/>
        <v>Quarter 1 1900</v>
      </c>
    </row>
    <row r="930" spans="11:11">
      <c r="K930" s="28" t="str">
        <f t="shared" si="15"/>
        <v>Quarter 1 1900</v>
      </c>
    </row>
    <row r="931" spans="11:11">
      <c r="K931" s="28" t="str">
        <f t="shared" si="15"/>
        <v>Quarter 1 1900</v>
      </c>
    </row>
    <row r="932" spans="11:11">
      <c r="K932" s="28" t="str">
        <f t="shared" si="15"/>
        <v>Quarter 1 1900</v>
      </c>
    </row>
    <row r="933" spans="11:11">
      <c r="K933" s="28" t="str">
        <f t="shared" si="15"/>
        <v>Quarter 1 1900</v>
      </c>
    </row>
    <row r="934" spans="11:11">
      <c r="K934" s="28" t="str">
        <f t="shared" si="15"/>
        <v>Quarter 1 1900</v>
      </c>
    </row>
    <row r="935" spans="11:11">
      <c r="K935" s="28" t="str">
        <f t="shared" si="15"/>
        <v>Quarter 1 1900</v>
      </c>
    </row>
    <row r="936" spans="11:11">
      <c r="K936" s="28" t="str">
        <f t="shared" si="15"/>
        <v>Quarter 1 1900</v>
      </c>
    </row>
    <row r="937" spans="11:11">
      <c r="K937" s="28" t="str">
        <f t="shared" si="15"/>
        <v>Quarter 1 1900</v>
      </c>
    </row>
    <row r="938" spans="11:11">
      <c r="K938" s="28" t="str">
        <f t="shared" si="15"/>
        <v>Quarter 1 1900</v>
      </c>
    </row>
    <row r="939" spans="11:11">
      <c r="K939" s="28" t="str">
        <f t="shared" si="15"/>
        <v>Quarter 1 1900</v>
      </c>
    </row>
    <row r="940" spans="11:11">
      <c r="K940" s="28" t="str">
        <f t="shared" si="15"/>
        <v>Quarter 1 1900</v>
      </c>
    </row>
    <row r="941" spans="11:11">
      <c r="K941" s="28" t="str">
        <f t="shared" si="15"/>
        <v>Quarter 1 1900</v>
      </c>
    </row>
    <row r="942" spans="11:11">
      <c r="K942" s="28" t="str">
        <f t="shared" si="15"/>
        <v>Quarter 1 1900</v>
      </c>
    </row>
    <row r="943" spans="11:11">
      <c r="K943" s="28" t="str">
        <f t="shared" si="15"/>
        <v>Quarter 1 1900</v>
      </c>
    </row>
    <row r="944" spans="11:11">
      <c r="K944" s="28" t="str">
        <f t="shared" si="15"/>
        <v>Quarter 1 1900</v>
      </c>
    </row>
    <row r="945" spans="11:11">
      <c r="K945" s="28" t="str">
        <f t="shared" si="15"/>
        <v>Quarter 1 1900</v>
      </c>
    </row>
    <row r="946" spans="11:11">
      <c r="K946" s="28" t="str">
        <f t="shared" si="15"/>
        <v>Quarter 1 1900</v>
      </c>
    </row>
    <row r="947" spans="11:11">
      <c r="K947" s="28" t="str">
        <f t="shared" si="15"/>
        <v>Quarter 1 1900</v>
      </c>
    </row>
    <row r="948" spans="11:11">
      <c r="K948" s="28" t="str">
        <f t="shared" si="15"/>
        <v>Quarter 1 1900</v>
      </c>
    </row>
    <row r="949" spans="11:11">
      <c r="K949" s="28" t="str">
        <f t="shared" si="15"/>
        <v>Quarter 1 1900</v>
      </c>
    </row>
    <row r="950" spans="11:11">
      <c r="K950" s="28" t="str">
        <f t="shared" si="15"/>
        <v>Quarter 1 1900</v>
      </c>
    </row>
    <row r="951" spans="11:11">
      <c r="K951" s="28" t="str">
        <f t="shared" si="15"/>
        <v>Quarter 1 1900</v>
      </c>
    </row>
    <row r="952" spans="11:11">
      <c r="K952" s="28" t="str">
        <f t="shared" si="15"/>
        <v>Quarter 1 1900</v>
      </c>
    </row>
    <row r="953" spans="11:11">
      <c r="K953" s="28" t="str">
        <f t="shared" si="15"/>
        <v>Quarter 1 1900</v>
      </c>
    </row>
    <row r="954" spans="11:11">
      <c r="K954" s="28" t="str">
        <f t="shared" si="15"/>
        <v>Quarter 1 1900</v>
      </c>
    </row>
    <row r="955" spans="11:11">
      <c r="K955" s="28" t="str">
        <f t="shared" si="15"/>
        <v>Quarter 1 1900</v>
      </c>
    </row>
    <row r="956" spans="11:11">
      <c r="K956" s="28" t="str">
        <f t="shared" si="15"/>
        <v>Quarter 1 1900</v>
      </c>
    </row>
    <row r="957" spans="11:11">
      <c r="K957" s="28" t="str">
        <f t="shared" si="15"/>
        <v>Quarter 1 1900</v>
      </c>
    </row>
    <row r="958" spans="11:11">
      <c r="K958" s="28" t="str">
        <f t="shared" si="15"/>
        <v>Quarter 1 1900</v>
      </c>
    </row>
    <row r="959" spans="11:11">
      <c r="K959" s="28" t="str">
        <f t="shared" si="15"/>
        <v>Quarter 1 1900</v>
      </c>
    </row>
    <row r="960" spans="11:11">
      <c r="K960" s="28" t="str">
        <f t="shared" si="15"/>
        <v>Quarter 1 1900</v>
      </c>
    </row>
    <row r="961" spans="11:11">
      <c r="K961" s="28" t="str">
        <f t="shared" si="15"/>
        <v>Quarter 1 1900</v>
      </c>
    </row>
    <row r="962" spans="11:11">
      <c r="K962" s="28" t="str">
        <f t="shared" si="15"/>
        <v>Quarter 1 1900</v>
      </c>
    </row>
    <row r="963" spans="11:11">
      <c r="K963" s="28" t="str">
        <f t="shared" si="15"/>
        <v>Quarter 1 1900</v>
      </c>
    </row>
    <row r="964" spans="11:11">
      <c r="K964" s="28" t="str">
        <f t="shared" si="15"/>
        <v>Quarter 1 1900</v>
      </c>
    </row>
    <row r="965" spans="11:11">
      <c r="K965" s="28" t="str">
        <f t="shared" si="15"/>
        <v>Quarter 1 1900</v>
      </c>
    </row>
    <row r="966" spans="11:11">
      <c r="K966" s="28" t="str">
        <f t="shared" si="15"/>
        <v>Quarter 1 1900</v>
      </c>
    </row>
    <row r="967" spans="11:11">
      <c r="K967" s="28" t="str">
        <f t="shared" si="15"/>
        <v>Quarter 1 1900</v>
      </c>
    </row>
    <row r="968" spans="11:11">
      <c r="K968" s="28" t="str">
        <f t="shared" si="15"/>
        <v>Quarter 1 1900</v>
      </c>
    </row>
    <row r="969" spans="11:11">
      <c r="K969" s="28" t="str">
        <f t="shared" si="15"/>
        <v>Quarter 1 1900</v>
      </c>
    </row>
    <row r="970" spans="11:11">
      <c r="K970" s="28" t="str">
        <f t="shared" si="15"/>
        <v>Quarter 1 1900</v>
      </c>
    </row>
    <row r="971" spans="11:11">
      <c r="K971" s="28" t="str">
        <f t="shared" si="15"/>
        <v>Quarter 1 1900</v>
      </c>
    </row>
    <row r="972" spans="11:11">
      <c r="K972" s="28" t="str">
        <f t="shared" si="15"/>
        <v>Quarter 1 1900</v>
      </c>
    </row>
    <row r="973" spans="11:11">
      <c r="K973" s="28" t="str">
        <f t="shared" si="15"/>
        <v>Quarter 1 1900</v>
      </c>
    </row>
    <row r="974" spans="11:11">
      <c r="K974" s="28" t="str">
        <f t="shared" si="15"/>
        <v>Quarter 1 1900</v>
      </c>
    </row>
    <row r="975" spans="11:11">
      <c r="K975" s="28" t="str">
        <f t="shared" si="15"/>
        <v>Quarter 1 1900</v>
      </c>
    </row>
    <row r="976" spans="11:11">
      <c r="K976" s="28" t="str">
        <f t="shared" si="15"/>
        <v>Quarter 1 1900</v>
      </c>
    </row>
    <row r="977" spans="11:11">
      <c r="K977" s="28" t="str">
        <f t="shared" si="15"/>
        <v>Quarter 1 1900</v>
      </c>
    </row>
    <row r="978" spans="11:11">
      <c r="K978" s="28" t="str">
        <f t="shared" ref="K978:K1041" si="16">"Quarter "&amp;INT((MONTH(B978)-1)/3)+1&amp;" "&amp;YEAR(B978)</f>
        <v>Quarter 1 1900</v>
      </c>
    </row>
    <row r="979" spans="11:11">
      <c r="K979" s="28" t="str">
        <f t="shared" si="16"/>
        <v>Quarter 1 1900</v>
      </c>
    </row>
    <row r="980" spans="11:11">
      <c r="K980" s="28" t="str">
        <f t="shared" si="16"/>
        <v>Quarter 1 1900</v>
      </c>
    </row>
    <row r="981" spans="11:11">
      <c r="K981" s="28" t="str">
        <f t="shared" si="16"/>
        <v>Quarter 1 1900</v>
      </c>
    </row>
    <row r="982" spans="11:11">
      <c r="K982" s="28" t="str">
        <f t="shared" si="16"/>
        <v>Quarter 1 1900</v>
      </c>
    </row>
    <row r="983" spans="11:11">
      <c r="K983" s="28" t="str">
        <f t="shared" si="16"/>
        <v>Quarter 1 1900</v>
      </c>
    </row>
    <row r="984" spans="11:11">
      <c r="K984" s="28" t="str">
        <f t="shared" si="16"/>
        <v>Quarter 1 1900</v>
      </c>
    </row>
    <row r="985" spans="11:11">
      <c r="K985" s="28" t="str">
        <f t="shared" si="16"/>
        <v>Quarter 1 1900</v>
      </c>
    </row>
    <row r="986" spans="11:11">
      <c r="K986" s="28" t="str">
        <f t="shared" si="16"/>
        <v>Quarter 1 1900</v>
      </c>
    </row>
    <row r="987" spans="11:11">
      <c r="K987" s="28" t="str">
        <f t="shared" si="16"/>
        <v>Quarter 1 1900</v>
      </c>
    </row>
    <row r="988" spans="11:11">
      <c r="K988" s="28" t="str">
        <f t="shared" si="16"/>
        <v>Quarter 1 1900</v>
      </c>
    </row>
    <row r="989" spans="11:11">
      <c r="K989" s="28" t="str">
        <f t="shared" si="16"/>
        <v>Quarter 1 1900</v>
      </c>
    </row>
    <row r="990" spans="11:11">
      <c r="K990" s="28" t="str">
        <f t="shared" si="16"/>
        <v>Quarter 1 1900</v>
      </c>
    </row>
    <row r="991" spans="11:11">
      <c r="K991" s="28" t="str">
        <f t="shared" si="16"/>
        <v>Quarter 1 1900</v>
      </c>
    </row>
    <row r="992" spans="11:11">
      <c r="K992" s="28" t="str">
        <f t="shared" si="16"/>
        <v>Quarter 1 1900</v>
      </c>
    </row>
    <row r="993" spans="11:11">
      <c r="K993" s="28" t="str">
        <f t="shared" si="16"/>
        <v>Quarter 1 1900</v>
      </c>
    </row>
    <row r="994" spans="11:11">
      <c r="K994" s="28" t="str">
        <f t="shared" si="16"/>
        <v>Quarter 1 1900</v>
      </c>
    </row>
    <row r="995" spans="11:11">
      <c r="K995" s="28" t="str">
        <f t="shared" si="16"/>
        <v>Quarter 1 1900</v>
      </c>
    </row>
    <row r="996" spans="11:11">
      <c r="K996" s="28" t="str">
        <f t="shared" si="16"/>
        <v>Quarter 1 1900</v>
      </c>
    </row>
    <row r="997" spans="11:11">
      <c r="K997" s="28" t="str">
        <f t="shared" si="16"/>
        <v>Quarter 1 1900</v>
      </c>
    </row>
    <row r="998" spans="11:11">
      <c r="K998" s="28" t="str">
        <f t="shared" si="16"/>
        <v>Quarter 1 1900</v>
      </c>
    </row>
    <row r="999" spans="11:11">
      <c r="K999" s="28" t="str">
        <f t="shared" si="16"/>
        <v>Quarter 1 1900</v>
      </c>
    </row>
    <row r="1000" spans="11:11">
      <c r="K1000" s="28" t="str">
        <f t="shared" si="16"/>
        <v>Quarter 1 1900</v>
      </c>
    </row>
    <row r="1001" spans="11:11">
      <c r="K1001" s="28" t="str">
        <f t="shared" si="16"/>
        <v>Quarter 1 1900</v>
      </c>
    </row>
    <row r="1002" spans="11:11">
      <c r="K1002" s="28" t="str">
        <f t="shared" si="16"/>
        <v>Quarter 1 1900</v>
      </c>
    </row>
    <row r="1003" spans="11:11">
      <c r="K1003" s="28" t="str">
        <f t="shared" si="16"/>
        <v>Quarter 1 1900</v>
      </c>
    </row>
    <row r="1004" spans="11:11">
      <c r="K1004" s="28" t="str">
        <f t="shared" si="16"/>
        <v>Quarter 1 1900</v>
      </c>
    </row>
    <row r="1005" spans="11:11">
      <c r="K1005" s="28" t="str">
        <f t="shared" si="16"/>
        <v>Quarter 1 1900</v>
      </c>
    </row>
    <row r="1006" spans="11:11">
      <c r="K1006" s="28" t="str">
        <f t="shared" si="16"/>
        <v>Quarter 1 1900</v>
      </c>
    </row>
    <row r="1007" spans="11:11">
      <c r="K1007" s="28" t="str">
        <f t="shared" si="16"/>
        <v>Quarter 1 1900</v>
      </c>
    </row>
    <row r="1008" spans="11:11">
      <c r="K1008" s="28" t="str">
        <f t="shared" si="16"/>
        <v>Quarter 1 1900</v>
      </c>
    </row>
    <row r="1009" spans="11:11">
      <c r="K1009" s="28" t="str">
        <f t="shared" si="16"/>
        <v>Quarter 1 1900</v>
      </c>
    </row>
    <row r="1010" spans="11:11">
      <c r="K1010" s="28" t="str">
        <f t="shared" si="16"/>
        <v>Quarter 1 1900</v>
      </c>
    </row>
    <row r="1011" spans="11:11">
      <c r="K1011" s="28" t="str">
        <f t="shared" si="16"/>
        <v>Quarter 1 1900</v>
      </c>
    </row>
    <row r="1012" spans="11:11">
      <c r="K1012" s="28" t="str">
        <f t="shared" si="16"/>
        <v>Quarter 1 1900</v>
      </c>
    </row>
    <row r="1013" spans="11:11">
      <c r="K1013" s="28" t="str">
        <f t="shared" si="16"/>
        <v>Quarter 1 1900</v>
      </c>
    </row>
    <row r="1014" spans="11:11">
      <c r="K1014" s="28" t="str">
        <f t="shared" si="16"/>
        <v>Quarter 1 1900</v>
      </c>
    </row>
    <row r="1015" spans="11:11">
      <c r="K1015" s="28" t="str">
        <f t="shared" si="16"/>
        <v>Quarter 1 1900</v>
      </c>
    </row>
    <row r="1016" spans="11:11">
      <c r="K1016" s="28" t="str">
        <f t="shared" si="16"/>
        <v>Quarter 1 1900</v>
      </c>
    </row>
    <row r="1017" spans="11:11">
      <c r="K1017" s="28" t="str">
        <f t="shared" si="16"/>
        <v>Quarter 1 1900</v>
      </c>
    </row>
    <row r="1018" spans="11:11">
      <c r="K1018" s="28" t="str">
        <f t="shared" si="16"/>
        <v>Quarter 1 1900</v>
      </c>
    </row>
    <row r="1019" spans="11:11">
      <c r="K1019" s="28" t="str">
        <f t="shared" si="16"/>
        <v>Quarter 1 1900</v>
      </c>
    </row>
    <row r="1020" spans="11:11">
      <c r="K1020" s="28" t="str">
        <f t="shared" si="16"/>
        <v>Quarter 1 1900</v>
      </c>
    </row>
    <row r="1021" spans="11:11">
      <c r="K1021" s="28" t="str">
        <f t="shared" si="16"/>
        <v>Quarter 1 1900</v>
      </c>
    </row>
    <row r="1022" spans="11:11">
      <c r="K1022" s="28" t="str">
        <f t="shared" si="16"/>
        <v>Quarter 1 1900</v>
      </c>
    </row>
    <row r="1023" spans="11:11">
      <c r="K1023" s="28" t="str">
        <f t="shared" si="16"/>
        <v>Quarter 1 1900</v>
      </c>
    </row>
    <row r="1024" spans="11:11">
      <c r="K1024" s="28" t="str">
        <f t="shared" si="16"/>
        <v>Quarter 1 1900</v>
      </c>
    </row>
    <row r="1025" spans="11:11">
      <c r="K1025" s="28" t="str">
        <f t="shared" si="16"/>
        <v>Quarter 1 1900</v>
      </c>
    </row>
    <row r="1026" spans="11:11">
      <c r="K1026" s="28" t="str">
        <f t="shared" si="16"/>
        <v>Quarter 1 1900</v>
      </c>
    </row>
    <row r="1027" spans="11:11">
      <c r="K1027" s="28" t="str">
        <f t="shared" si="16"/>
        <v>Quarter 1 1900</v>
      </c>
    </row>
    <row r="1028" spans="11:11">
      <c r="K1028" s="28" t="str">
        <f t="shared" si="16"/>
        <v>Quarter 1 1900</v>
      </c>
    </row>
    <row r="1029" spans="11:11">
      <c r="K1029" s="28" t="str">
        <f t="shared" si="16"/>
        <v>Quarter 1 1900</v>
      </c>
    </row>
    <row r="1030" spans="11:11">
      <c r="K1030" s="28" t="str">
        <f t="shared" si="16"/>
        <v>Quarter 1 1900</v>
      </c>
    </row>
    <row r="1031" spans="11:11">
      <c r="K1031" s="28" t="str">
        <f t="shared" si="16"/>
        <v>Quarter 1 1900</v>
      </c>
    </row>
    <row r="1032" spans="11:11">
      <c r="K1032" s="28" t="str">
        <f t="shared" si="16"/>
        <v>Quarter 1 1900</v>
      </c>
    </row>
    <row r="1033" spans="11:11">
      <c r="K1033" s="28" t="str">
        <f t="shared" si="16"/>
        <v>Quarter 1 1900</v>
      </c>
    </row>
    <row r="1034" spans="11:11">
      <c r="K1034" s="28" t="str">
        <f t="shared" si="16"/>
        <v>Quarter 1 1900</v>
      </c>
    </row>
    <row r="1035" spans="11:11">
      <c r="K1035" s="28" t="str">
        <f t="shared" si="16"/>
        <v>Quarter 1 1900</v>
      </c>
    </row>
    <row r="1036" spans="11:11">
      <c r="K1036" s="28" t="str">
        <f t="shared" si="16"/>
        <v>Quarter 1 1900</v>
      </c>
    </row>
    <row r="1037" spans="11:11">
      <c r="K1037" s="28" t="str">
        <f t="shared" si="16"/>
        <v>Quarter 1 1900</v>
      </c>
    </row>
    <row r="1038" spans="11:11">
      <c r="K1038" s="28" t="str">
        <f t="shared" si="16"/>
        <v>Quarter 1 1900</v>
      </c>
    </row>
    <row r="1039" spans="11:11">
      <c r="K1039" s="28" t="str">
        <f t="shared" si="16"/>
        <v>Quarter 1 1900</v>
      </c>
    </row>
    <row r="1040" spans="11:11">
      <c r="K1040" s="28" t="str">
        <f t="shared" si="16"/>
        <v>Quarter 1 1900</v>
      </c>
    </row>
    <row r="1041" spans="11:11">
      <c r="K1041" s="28" t="str">
        <f t="shared" si="16"/>
        <v>Quarter 1 1900</v>
      </c>
    </row>
    <row r="1042" spans="11:11">
      <c r="K1042" s="28" t="str">
        <f t="shared" ref="K1042:K1105" si="17">"Quarter "&amp;INT((MONTH(B1042)-1)/3)+1&amp;" "&amp;YEAR(B1042)</f>
        <v>Quarter 1 1900</v>
      </c>
    </row>
    <row r="1043" spans="11:11">
      <c r="K1043" s="28" t="str">
        <f t="shared" si="17"/>
        <v>Quarter 1 1900</v>
      </c>
    </row>
    <row r="1044" spans="11:11">
      <c r="K1044" s="28" t="str">
        <f t="shared" si="17"/>
        <v>Quarter 1 1900</v>
      </c>
    </row>
    <row r="1045" spans="11:11">
      <c r="K1045" s="28" t="str">
        <f t="shared" si="17"/>
        <v>Quarter 1 1900</v>
      </c>
    </row>
    <row r="1046" spans="11:11">
      <c r="K1046" s="28" t="str">
        <f t="shared" si="17"/>
        <v>Quarter 1 1900</v>
      </c>
    </row>
    <row r="1047" spans="11:11">
      <c r="K1047" s="28" t="str">
        <f t="shared" si="17"/>
        <v>Quarter 1 1900</v>
      </c>
    </row>
    <row r="1048" spans="11:11">
      <c r="K1048" s="28" t="str">
        <f t="shared" si="17"/>
        <v>Quarter 1 1900</v>
      </c>
    </row>
    <row r="1049" spans="11:11">
      <c r="K1049" s="28" t="str">
        <f t="shared" si="17"/>
        <v>Quarter 1 1900</v>
      </c>
    </row>
    <row r="1050" spans="11:11">
      <c r="K1050" s="28" t="str">
        <f t="shared" si="17"/>
        <v>Quarter 1 1900</v>
      </c>
    </row>
    <row r="1051" spans="11:11">
      <c r="K1051" s="28" t="str">
        <f t="shared" si="17"/>
        <v>Quarter 1 1900</v>
      </c>
    </row>
    <row r="1052" spans="11:11">
      <c r="K1052" s="28" t="str">
        <f t="shared" si="17"/>
        <v>Quarter 1 1900</v>
      </c>
    </row>
    <row r="1053" spans="11:11">
      <c r="K1053" s="28" t="str">
        <f t="shared" si="17"/>
        <v>Quarter 1 1900</v>
      </c>
    </row>
    <row r="1054" spans="11:11">
      <c r="K1054" s="28" t="str">
        <f t="shared" si="17"/>
        <v>Quarter 1 1900</v>
      </c>
    </row>
    <row r="1055" spans="11:11">
      <c r="K1055" s="28" t="str">
        <f t="shared" si="17"/>
        <v>Quarter 1 1900</v>
      </c>
    </row>
    <row r="1056" spans="11:11">
      <c r="K1056" s="28" t="str">
        <f t="shared" si="17"/>
        <v>Quarter 1 1900</v>
      </c>
    </row>
    <row r="1057" spans="11:11">
      <c r="K1057" s="28" t="str">
        <f t="shared" si="17"/>
        <v>Quarter 1 1900</v>
      </c>
    </row>
    <row r="1058" spans="11:11">
      <c r="K1058" s="28" t="str">
        <f t="shared" si="17"/>
        <v>Quarter 1 1900</v>
      </c>
    </row>
    <row r="1059" spans="11:11">
      <c r="K1059" s="28" t="str">
        <f t="shared" si="17"/>
        <v>Quarter 1 1900</v>
      </c>
    </row>
    <row r="1060" spans="11:11">
      <c r="K1060" s="28" t="str">
        <f t="shared" si="17"/>
        <v>Quarter 1 1900</v>
      </c>
    </row>
    <row r="1061" spans="11:11">
      <c r="K1061" s="28" t="str">
        <f t="shared" si="17"/>
        <v>Quarter 1 1900</v>
      </c>
    </row>
    <row r="1062" spans="11:11">
      <c r="K1062" s="28" t="str">
        <f t="shared" si="17"/>
        <v>Quarter 1 1900</v>
      </c>
    </row>
    <row r="1063" spans="11:11">
      <c r="K1063" s="28" t="str">
        <f t="shared" si="17"/>
        <v>Quarter 1 1900</v>
      </c>
    </row>
    <row r="1064" spans="11:11">
      <c r="K1064" s="28" t="str">
        <f t="shared" si="17"/>
        <v>Quarter 1 1900</v>
      </c>
    </row>
    <row r="1065" spans="11:11">
      <c r="K1065" s="28" t="str">
        <f t="shared" si="17"/>
        <v>Quarter 1 1900</v>
      </c>
    </row>
    <row r="1066" spans="11:11">
      <c r="K1066" s="28" t="str">
        <f t="shared" si="17"/>
        <v>Quarter 1 1900</v>
      </c>
    </row>
    <row r="1067" spans="11:11">
      <c r="K1067" s="28" t="str">
        <f t="shared" si="17"/>
        <v>Quarter 1 1900</v>
      </c>
    </row>
    <row r="1068" spans="11:11">
      <c r="K1068" s="28" t="str">
        <f t="shared" si="17"/>
        <v>Quarter 1 1900</v>
      </c>
    </row>
    <row r="1069" spans="11:11">
      <c r="K1069" s="28" t="str">
        <f t="shared" si="17"/>
        <v>Quarter 1 1900</v>
      </c>
    </row>
    <row r="1070" spans="11:11">
      <c r="K1070" s="28" t="str">
        <f t="shared" si="17"/>
        <v>Quarter 1 1900</v>
      </c>
    </row>
    <row r="1071" spans="11:11">
      <c r="K1071" s="28" t="str">
        <f t="shared" si="17"/>
        <v>Quarter 1 1900</v>
      </c>
    </row>
    <row r="1072" spans="11:11">
      <c r="K1072" s="28" t="str">
        <f t="shared" si="17"/>
        <v>Quarter 1 1900</v>
      </c>
    </row>
    <row r="1073" spans="11:11">
      <c r="K1073" s="28" t="str">
        <f t="shared" si="17"/>
        <v>Quarter 1 1900</v>
      </c>
    </row>
    <row r="1074" spans="11:11">
      <c r="K1074" s="28" t="str">
        <f t="shared" si="17"/>
        <v>Quarter 1 1900</v>
      </c>
    </row>
    <row r="1075" spans="11:11">
      <c r="K1075" s="28" t="str">
        <f t="shared" si="17"/>
        <v>Quarter 1 1900</v>
      </c>
    </row>
    <row r="1076" spans="11:11">
      <c r="K1076" s="28" t="str">
        <f t="shared" si="17"/>
        <v>Quarter 1 1900</v>
      </c>
    </row>
    <row r="1077" spans="11:11">
      <c r="K1077" s="28" t="str">
        <f t="shared" si="17"/>
        <v>Quarter 1 1900</v>
      </c>
    </row>
    <row r="1078" spans="11:11">
      <c r="K1078" s="28" t="str">
        <f t="shared" si="17"/>
        <v>Quarter 1 1900</v>
      </c>
    </row>
    <row r="1079" spans="11:11">
      <c r="K1079" s="28" t="str">
        <f t="shared" si="17"/>
        <v>Quarter 1 1900</v>
      </c>
    </row>
    <row r="1080" spans="11:11">
      <c r="K1080" s="28" t="str">
        <f t="shared" si="17"/>
        <v>Quarter 1 1900</v>
      </c>
    </row>
    <row r="1081" spans="11:11">
      <c r="K1081" s="28" t="str">
        <f t="shared" si="17"/>
        <v>Quarter 1 1900</v>
      </c>
    </row>
    <row r="1082" spans="11:11">
      <c r="K1082" s="28" t="str">
        <f t="shared" si="17"/>
        <v>Quarter 1 1900</v>
      </c>
    </row>
    <row r="1083" spans="11:11">
      <c r="K1083" s="28" t="str">
        <f t="shared" si="17"/>
        <v>Quarter 1 1900</v>
      </c>
    </row>
    <row r="1084" spans="11:11">
      <c r="K1084" s="28" t="str">
        <f t="shared" si="17"/>
        <v>Quarter 1 1900</v>
      </c>
    </row>
    <row r="1085" spans="11:11">
      <c r="K1085" s="28" t="str">
        <f t="shared" si="17"/>
        <v>Quarter 1 1900</v>
      </c>
    </row>
    <row r="1086" spans="11:11">
      <c r="K1086" s="28" t="str">
        <f t="shared" si="17"/>
        <v>Quarter 1 1900</v>
      </c>
    </row>
    <row r="1087" spans="11:11">
      <c r="K1087" s="28" t="str">
        <f t="shared" si="17"/>
        <v>Quarter 1 1900</v>
      </c>
    </row>
    <row r="1088" spans="11:11">
      <c r="K1088" s="28" t="str">
        <f t="shared" si="17"/>
        <v>Quarter 1 1900</v>
      </c>
    </row>
    <row r="1089" spans="11:11">
      <c r="K1089" s="28" t="str">
        <f t="shared" si="17"/>
        <v>Quarter 1 1900</v>
      </c>
    </row>
    <row r="1090" spans="11:11">
      <c r="K1090" s="28" t="str">
        <f t="shared" si="17"/>
        <v>Quarter 1 1900</v>
      </c>
    </row>
    <row r="1091" spans="11:11">
      <c r="K1091" s="28" t="str">
        <f t="shared" si="17"/>
        <v>Quarter 1 1900</v>
      </c>
    </row>
    <row r="1092" spans="11:11">
      <c r="K1092" s="28" t="str">
        <f t="shared" si="17"/>
        <v>Quarter 1 1900</v>
      </c>
    </row>
    <row r="1093" spans="11:11">
      <c r="K1093" s="28" t="str">
        <f t="shared" si="17"/>
        <v>Quarter 1 1900</v>
      </c>
    </row>
    <row r="1094" spans="11:11">
      <c r="K1094" s="28" t="str">
        <f t="shared" si="17"/>
        <v>Quarter 1 1900</v>
      </c>
    </row>
    <row r="1095" spans="11:11">
      <c r="K1095" s="28" t="str">
        <f t="shared" si="17"/>
        <v>Quarter 1 1900</v>
      </c>
    </row>
    <row r="1096" spans="11:11">
      <c r="K1096" s="28" t="str">
        <f t="shared" si="17"/>
        <v>Quarter 1 1900</v>
      </c>
    </row>
    <row r="1097" spans="11:11">
      <c r="K1097" s="28" t="str">
        <f t="shared" si="17"/>
        <v>Quarter 1 1900</v>
      </c>
    </row>
    <row r="1098" spans="11:11">
      <c r="K1098" s="28" t="str">
        <f t="shared" si="17"/>
        <v>Quarter 1 1900</v>
      </c>
    </row>
    <row r="1099" spans="11:11">
      <c r="K1099" s="28" t="str">
        <f t="shared" si="17"/>
        <v>Quarter 1 1900</v>
      </c>
    </row>
    <row r="1100" spans="11:11">
      <c r="K1100" s="28" t="str">
        <f t="shared" si="17"/>
        <v>Quarter 1 1900</v>
      </c>
    </row>
    <row r="1101" spans="11:11">
      <c r="K1101" s="28" t="str">
        <f t="shared" si="17"/>
        <v>Quarter 1 1900</v>
      </c>
    </row>
    <row r="1102" spans="11:11">
      <c r="K1102" s="28" t="str">
        <f t="shared" si="17"/>
        <v>Quarter 1 1900</v>
      </c>
    </row>
    <row r="1103" spans="11:11">
      <c r="K1103" s="28" t="str">
        <f t="shared" si="17"/>
        <v>Quarter 1 1900</v>
      </c>
    </row>
    <row r="1104" spans="11:11">
      <c r="K1104" s="28" t="str">
        <f t="shared" si="17"/>
        <v>Quarter 1 1900</v>
      </c>
    </row>
    <row r="1105" spans="11:11">
      <c r="K1105" s="28" t="str">
        <f t="shared" si="17"/>
        <v>Quarter 1 1900</v>
      </c>
    </row>
    <row r="1106" spans="11:11">
      <c r="K1106" s="28" t="str">
        <f t="shared" ref="K1106:K1169" si="18">"Quarter "&amp;INT((MONTH(B1106)-1)/3)+1&amp;" "&amp;YEAR(B1106)</f>
        <v>Quarter 1 1900</v>
      </c>
    </row>
    <row r="1107" spans="11:11">
      <c r="K1107" s="28" t="str">
        <f t="shared" si="18"/>
        <v>Quarter 1 1900</v>
      </c>
    </row>
    <row r="1108" spans="11:11">
      <c r="K1108" s="28" t="str">
        <f t="shared" si="18"/>
        <v>Quarter 1 1900</v>
      </c>
    </row>
    <row r="1109" spans="11:11">
      <c r="K1109" s="28" t="str">
        <f t="shared" si="18"/>
        <v>Quarter 1 1900</v>
      </c>
    </row>
    <row r="1110" spans="11:11">
      <c r="K1110" s="28" t="str">
        <f t="shared" si="18"/>
        <v>Quarter 1 1900</v>
      </c>
    </row>
    <row r="1111" spans="11:11">
      <c r="K1111" s="28" t="str">
        <f t="shared" si="18"/>
        <v>Quarter 1 1900</v>
      </c>
    </row>
    <row r="1112" spans="11:11">
      <c r="K1112" s="28" t="str">
        <f t="shared" si="18"/>
        <v>Quarter 1 1900</v>
      </c>
    </row>
    <row r="1113" spans="11:11">
      <c r="K1113" s="28" t="str">
        <f t="shared" si="18"/>
        <v>Quarter 1 1900</v>
      </c>
    </row>
    <row r="1114" spans="11:11">
      <c r="K1114" s="28" t="str">
        <f t="shared" si="18"/>
        <v>Quarter 1 1900</v>
      </c>
    </row>
    <row r="1115" spans="11:11">
      <c r="K1115" s="28" t="str">
        <f t="shared" si="18"/>
        <v>Quarter 1 1900</v>
      </c>
    </row>
    <row r="1116" spans="11:11">
      <c r="K1116" s="28" t="str">
        <f t="shared" si="18"/>
        <v>Quarter 1 1900</v>
      </c>
    </row>
    <row r="1117" spans="11:11">
      <c r="K1117" s="28" t="str">
        <f t="shared" si="18"/>
        <v>Quarter 1 1900</v>
      </c>
    </row>
    <row r="1118" spans="11:11">
      <c r="K1118" s="28" t="str">
        <f t="shared" si="18"/>
        <v>Quarter 1 1900</v>
      </c>
    </row>
    <row r="1119" spans="11:11">
      <c r="K1119" s="28" t="str">
        <f t="shared" si="18"/>
        <v>Quarter 1 1900</v>
      </c>
    </row>
    <row r="1120" spans="11:11">
      <c r="K1120" s="28" t="str">
        <f t="shared" si="18"/>
        <v>Quarter 1 1900</v>
      </c>
    </row>
    <row r="1121" spans="11:11">
      <c r="K1121" s="28" t="str">
        <f t="shared" si="18"/>
        <v>Quarter 1 1900</v>
      </c>
    </row>
    <row r="1122" spans="11:11">
      <c r="K1122" s="28" t="str">
        <f t="shared" si="18"/>
        <v>Quarter 1 1900</v>
      </c>
    </row>
    <row r="1123" spans="11:11">
      <c r="K1123" s="28" t="str">
        <f t="shared" si="18"/>
        <v>Quarter 1 1900</v>
      </c>
    </row>
    <row r="1124" spans="11:11">
      <c r="K1124" s="28" t="str">
        <f t="shared" si="18"/>
        <v>Quarter 1 1900</v>
      </c>
    </row>
    <row r="1125" spans="11:11">
      <c r="K1125" s="28" t="str">
        <f t="shared" si="18"/>
        <v>Quarter 1 1900</v>
      </c>
    </row>
    <row r="1126" spans="11:11">
      <c r="K1126" s="28" t="str">
        <f t="shared" si="18"/>
        <v>Quarter 1 1900</v>
      </c>
    </row>
    <row r="1127" spans="11:11">
      <c r="K1127" s="28" t="str">
        <f t="shared" si="18"/>
        <v>Quarter 1 1900</v>
      </c>
    </row>
    <row r="1128" spans="11:11">
      <c r="K1128" s="28" t="str">
        <f t="shared" si="18"/>
        <v>Quarter 1 1900</v>
      </c>
    </row>
    <row r="1129" spans="11:11">
      <c r="K1129" s="28" t="str">
        <f t="shared" si="18"/>
        <v>Quarter 1 1900</v>
      </c>
    </row>
    <row r="1130" spans="11:11">
      <c r="K1130" s="28" t="str">
        <f t="shared" si="18"/>
        <v>Quarter 1 1900</v>
      </c>
    </row>
    <row r="1131" spans="11:11">
      <c r="K1131" s="28" t="str">
        <f t="shared" si="18"/>
        <v>Quarter 1 1900</v>
      </c>
    </row>
    <row r="1132" spans="11:11">
      <c r="K1132" s="28" t="str">
        <f t="shared" si="18"/>
        <v>Quarter 1 1900</v>
      </c>
    </row>
    <row r="1133" spans="11:11">
      <c r="K1133" s="28" t="str">
        <f t="shared" si="18"/>
        <v>Quarter 1 1900</v>
      </c>
    </row>
    <row r="1134" spans="11:11">
      <c r="K1134" s="28" t="str">
        <f t="shared" si="18"/>
        <v>Quarter 1 1900</v>
      </c>
    </row>
    <row r="1135" spans="11:11">
      <c r="K1135" s="28" t="str">
        <f t="shared" si="18"/>
        <v>Quarter 1 1900</v>
      </c>
    </row>
    <row r="1136" spans="11:11">
      <c r="K1136" s="28" t="str">
        <f t="shared" si="18"/>
        <v>Quarter 1 1900</v>
      </c>
    </row>
    <row r="1137" spans="11:11">
      <c r="K1137" s="28" t="str">
        <f t="shared" si="18"/>
        <v>Quarter 1 1900</v>
      </c>
    </row>
    <row r="1138" spans="11:11">
      <c r="K1138" s="28" t="str">
        <f t="shared" si="18"/>
        <v>Quarter 1 1900</v>
      </c>
    </row>
    <row r="1139" spans="11:11">
      <c r="K1139" s="28" t="str">
        <f t="shared" si="18"/>
        <v>Quarter 1 1900</v>
      </c>
    </row>
    <row r="1140" spans="11:11">
      <c r="K1140" s="28" t="str">
        <f t="shared" si="18"/>
        <v>Quarter 1 1900</v>
      </c>
    </row>
    <row r="1141" spans="11:11">
      <c r="K1141" s="28" t="str">
        <f t="shared" si="18"/>
        <v>Quarter 1 1900</v>
      </c>
    </row>
    <row r="1142" spans="11:11">
      <c r="K1142" s="28" t="str">
        <f t="shared" si="18"/>
        <v>Quarter 1 1900</v>
      </c>
    </row>
    <row r="1143" spans="11:11">
      <c r="K1143" s="28" t="str">
        <f t="shared" si="18"/>
        <v>Quarter 1 1900</v>
      </c>
    </row>
    <row r="1144" spans="11:11">
      <c r="K1144" s="28" t="str">
        <f t="shared" si="18"/>
        <v>Quarter 1 1900</v>
      </c>
    </row>
    <row r="1145" spans="11:11">
      <c r="K1145" s="28" t="str">
        <f t="shared" si="18"/>
        <v>Quarter 1 1900</v>
      </c>
    </row>
    <row r="1146" spans="11:11">
      <c r="K1146" s="28" t="str">
        <f t="shared" si="18"/>
        <v>Quarter 1 1900</v>
      </c>
    </row>
    <row r="1147" spans="11:11">
      <c r="K1147" s="28" t="str">
        <f t="shared" si="18"/>
        <v>Quarter 1 1900</v>
      </c>
    </row>
    <row r="1148" spans="11:11">
      <c r="K1148" s="28" t="str">
        <f t="shared" si="18"/>
        <v>Quarter 1 1900</v>
      </c>
    </row>
    <row r="1149" spans="11:11">
      <c r="K1149" s="28" t="str">
        <f t="shared" si="18"/>
        <v>Quarter 1 1900</v>
      </c>
    </row>
    <row r="1150" spans="11:11">
      <c r="K1150" s="28" t="str">
        <f t="shared" si="18"/>
        <v>Quarter 1 1900</v>
      </c>
    </row>
    <row r="1151" spans="11:11">
      <c r="K1151" s="28" t="str">
        <f t="shared" si="18"/>
        <v>Quarter 1 1900</v>
      </c>
    </row>
    <row r="1152" spans="11:11">
      <c r="K1152" s="28" t="str">
        <f t="shared" si="18"/>
        <v>Quarter 1 1900</v>
      </c>
    </row>
    <row r="1153" spans="11:11">
      <c r="K1153" s="28" t="str">
        <f t="shared" si="18"/>
        <v>Quarter 1 1900</v>
      </c>
    </row>
    <row r="1154" spans="11:11">
      <c r="K1154" s="28" t="str">
        <f t="shared" si="18"/>
        <v>Quarter 1 1900</v>
      </c>
    </row>
    <row r="1155" spans="11:11">
      <c r="K1155" s="28" t="str">
        <f t="shared" si="18"/>
        <v>Quarter 1 1900</v>
      </c>
    </row>
    <row r="1156" spans="11:11">
      <c r="K1156" s="28" t="str">
        <f t="shared" si="18"/>
        <v>Quarter 1 1900</v>
      </c>
    </row>
    <row r="1157" spans="11:11">
      <c r="K1157" s="28" t="str">
        <f t="shared" si="18"/>
        <v>Quarter 1 1900</v>
      </c>
    </row>
    <row r="1158" spans="11:11">
      <c r="K1158" s="28" t="str">
        <f t="shared" si="18"/>
        <v>Quarter 1 1900</v>
      </c>
    </row>
    <row r="1159" spans="11:11">
      <c r="K1159" s="28" t="str">
        <f t="shared" si="18"/>
        <v>Quarter 1 1900</v>
      </c>
    </row>
    <row r="1160" spans="11:11">
      <c r="K1160" s="28" t="str">
        <f t="shared" si="18"/>
        <v>Quarter 1 1900</v>
      </c>
    </row>
    <row r="1161" spans="11:11">
      <c r="K1161" s="28" t="str">
        <f t="shared" si="18"/>
        <v>Quarter 1 1900</v>
      </c>
    </row>
    <row r="1162" spans="11:11">
      <c r="K1162" s="28" t="str">
        <f t="shared" si="18"/>
        <v>Quarter 1 1900</v>
      </c>
    </row>
    <row r="1163" spans="11:11">
      <c r="K1163" s="28" t="str">
        <f t="shared" si="18"/>
        <v>Quarter 1 1900</v>
      </c>
    </row>
    <row r="1164" spans="11:11">
      <c r="K1164" s="28" t="str">
        <f t="shared" si="18"/>
        <v>Quarter 1 1900</v>
      </c>
    </row>
    <row r="1165" spans="11:11">
      <c r="K1165" s="28" t="str">
        <f t="shared" si="18"/>
        <v>Quarter 1 1900</v>
      </c>
    </row>
    <row r="1166" spans="11:11">
      <c r="K1166" s="28" t="str">
        <f t="shared" si="18"/>
        <v>Quarter 1 1900</v>
      </c>
    </row>
    <row r="1167" spans="11:11">
      <c r="K1167" s="28" t="str">
        <f t="shared" si="18"/>
        <v>Quarter 1 1900</v>
      </c>
    </row>
    <row r="1168" spans="11:11">
      <c r="K1168" s="28" t="str">
        <f t="shared" si="18"/>
        <v>Quarter 1 1900</v>
      </c>
    </row>
    <row r="1169" spans="11:11">
      <c r="K1169" s="28" t="str">
        <f t="shared" si="18"/>
        <v>Quarter 1 1900</v>
      </c>
    </row>
    <row r="1170" spans="11:11">
      <c r="K1170" s="28" t="str">
        <f t="shared" ref="K1170:K1233" si="19">"Quarter "&amp;INT((MONTH(B1170)-1)/3)+1&amp;" "&amp;YEAR(B1170)</f>
        <v>Quarter 1 1900</v>
      </c>
    </row>
    <row r="1171" spans="11:11">
      <c r="K1171" s="28" t="str">
        <f t="shared" si="19"/>
        <v>Quarter 1 1900</v>
      </c>
    </row>
    <row r="1172" spans="11:11">
      <c r="K1172" s="28" t="str">
        <f t="shared" si="19"/>
        <v>Quarter 1 1900</v>
      </c>
    </row>
    <row r="1173" spans="11:11">
      <c r="K1173" s="28" t="str">
        <f t="shared" si="19"/>
        <v>Quarter 1 1900</v>
      </c>
    </row>
    <row r="1174" spans="11:11">
      <c r="K1174" s="28" t="str">
        <f t="shared" si="19"/>
        <v>Quarter 1 1900</v>
      </c>
    </row>
    <row r="1175" spans="11:11">
      <c r="K1175" s="28" t="str">
        <f t="shared" si="19"/>
        <v>Quarter 1 1900</v>
      </c>
    </row>
    <row r="1176" spans="11:11">
      <c r="K1176" s="28" t="str">
        <f t="shared" si="19"/>
        <v>Quarter 1 1900</v>
      </c>
    </row>
    <row r="1177" spans="11:11">
      <c r="K1177" s="28" t="str">
        <f t="shared" si="19"/>
        <v>Quarter 1 1900</v>
      </c>
    </row>
    <row r="1178" spans="11:11">
      <c r="K1178" s="28" t="str">
        <f t="shared" si="19"/>
        <v>Quarter 1 1900</v>
      </c>
    </row>
    <row r="1179" spans="11:11">
      <c r="K1179" s="28" t="str">
        <f t="shared" si="19"/>
        <v>Quarter 1 1900</v>
      </c>
    </row>
    <row r="1180" spans="11:11">
      <c r="K1180" s="28" t="str">
        <f t="shared" si="19"/>
        <v>Quarter 1 1900</v>
      </c>
    </row>
    <row r="1181" spans="11:11">
      <c r="K1181" s="28" t="str">
        <f t="shared" si="19"/>
        <v>Quarter 1 1900</v>
      </c>
    </row>
    <row r="1182" spans="11:11">
      <c r="K1182" s="28" t="str">
        <f t="shared" si="19"/>
        <v>Quarter 1 1900</v>
      </c>
    </row>
    <row r="1183" spans="11:11">
      <c r="K1183" s="28" t="str">
        <f t="shared" si="19"/>
        <v>Quarter 1 1900</v>
      </c>
    </row>
    <row r="1184" spans="11:11">
      <c r="K1184" s="28" t="str">
        <f t="shared" si="19"/>
        <v>Quarter 1 1900</v>
      </c>
    </row>
    <row r="1185" spans="11:11">
      <c r="K1185" s="28" t="str">
        <f t="shared" si="19"/>
        <v>Quarter 1 1900</v>
      </c>
    </row>
    <row r="1186" spans="11:11">
      <c r="K1186" s="28" t="str">
        <f t="shared" si="19"/>
        <v>Quarter 1 1900</v>
      </c>
    </row>
    <row r="1187" spans="11:11">
      <c r="K1187" s="28" t="str">
        <f t="shared" si="19"/>
        <v>Quarter 1 1900</v>
      </c>
    </row>
    <row r="1188" spans="11:11">
      <c r="K1188" s="28" t="str">
        <f t="shared" si="19"/>
        <v>Quarter 1 1900</v>
      </c>
    </row>
    <row r="1189" spans="11:11">
      <c r="K1189" s="28" t="str">
        <f t="shared" si="19"/>
        <v>Quarter 1 1900</v>
      </c>
    </row>
    <row r="1190" spans="11:11">
      <c r="K1190" s="28" t="str">
        <f t="shared" si="19"/>
        <v>Quarter 1 1900</v>
      </c>
    </row>
    <row r="1191" spans="11:11">
      <c r="K1191" s="28" t="str">
        <f t="shared" si="19"/>
        <v>Quarter 1 1900</v>
      </c>
    </row>
    <row r="1192" spans="11:11">
      <c r="K1192" s="28" t="str">
        <f t="shared" si="19"/>
        <v>Quarter 1 1900</v>
      </c>
    </row>
    <row r="1193" spans="11:11">
      <c r="K1193" s="28" t="str">
        <f t="shared" si="19"/>
        <v>Quarter 1 1900</v>
      </c>
    </row>
    <row r="1194" spans="11:11">
      <c r="K1194" s="28" t="str">
        <f t="shared" si="19"/>
        <v>Quarter 1 1900</v>
      </c>
    </row>
    <row r="1195" spans="11:11">
      <c r="K1195" s="28" t="str">
        <f t="shared" si="19"/>
        <v>Quarter 1 1900</v>
      </c>
    </row>
    <row r="1196" spans="11:11">
      <c r="K1196" s="28" t="str">
        <f t="shared" si="19"/>
        <v>Quarter 1 1900</v>
      </c>
    </row>
    <row r="1197" spans="11:11">
      <c r="K1197" s="28" t="str">
        <f t="shared" si="19"/>
        <v>Quarter 1 1900</v>
      </c>
    </row>
    <row r="1198" spans="11:11">
      <c r="K1198" s="28" t="str">
        <f t="shared" si="19"/>
        <v>Quarter 1 1900</v>
      </c>
    </row>
    <row r="1199" spans="11:11">
      <c r="K1199" s="28" t="str">
        <f t="shared" si="19"/>
        <v>Quarter 1 1900</v>
      </c>
    </row>
    <row r="1200" spans="11:11">
      <c r="K1200" s="28" t="str">
        <f t="shared" si="19"/>
        <v>Quarter 1 1900</v>
      </c>
    </row>
    <row r="1201" spans="11:11">
      <c r="K1201" s="28" t="str">
        <f t="shared" si="19"/>
        <v>Quarter 1 1900</v>
      </c>
    </row>
    <row r="1202" spans="11:11">
      <c r="K1202" s="28" t="str">
        <f t="shared" si="19"/>
        <v>Quarter 1 1900</v>
      </c>
    </row>
    <row r="1203" spans="11:11">
      <c r="K1203" s="28" t="str">
        <f t="shared" si="19"/>
        <v>Quarter 1 1900</v>
      </c>
    </row>
    <row r="1204" spans="11:11">
      <c r="K1204" s="28" t="str">
        <f t="shared" si="19"/>
        <v>Quarter 1 1900</v>
      </c>
    </row>
    <row r="1205" spans="11:11">
      <c r="K1205" s="28" t="str">
        <f t="shared" si="19"/>
        <v>Quarter 1 1900</v>
      </c>
    </row>
    <row r="1206" spans="11:11">
      <c r="K1206" s="28" t="str">
        <f t="shared" si="19"/>
        <v>Quarter 1 1900</v>
      </c>
    </row>
    <row r="1207" spans="11:11">
      <c r="K1207" s="28" t="str">
        <f t="shared" si="19"/>
        <v>Quarter 1 1900</v>
      </c>
    </row>
    <row r="1208" spans="11:11">
      <c r="K1208" s="28" t="str">
        <f t="shared" si="19"/>
        <v>Quarter 1 1900</v>
      </c>
    </row>
    <row r="1209" spans="11:11">
      <c r="K1209" s="28" t="str">
        <f t="shared" si="19"/>
        <v>Quarter 1 1900</v>
      </c>
    </row>
    <row r="1210" spans="11:11">
      <c r="K1210" s="28" t="str">
        <f t="shared" si="19"/>
        <v>Quarter 1 1900</v>
      </c>
    </row>
    <row r="1211" spans="11:11">
      <c r="K1211" s="28" t="str">
        <f t="shared" si="19"/>
        <v>Quarter 1 1900</v>
      </c>
    </row>
    <row r="1212" spans="11:11">
      <c r="K1212" s="28" t="str">
        <f t="shared" si="19"/>
        <v>Quarter 1 1900</v>
      </c>
    </row>
    <row r="1213" spans="11:11">
      <c r="K1213" s="28" t="str">
        <f t="shared" si="19"/>
        <v>Quarter 1 1900</v>
      </c>
    </row>
    <row r="1214" spans="11:11">
      <c r="K1214" s="28" t="str">
        <f t="shared" si="19"/>
        <v>Quarter 1 1900</v>
      </c>
    </row>
    <row r="1215" spans="11:11">
      <c r="K1215" s="28" t="str">
        <f t="shared" si="19"/>
        <v>Quarter 1 1900</v>
      </c>
    </row>
    <row r="1216" spans="11:11">
      <c r="K1216" s="28" t="str">
        <f t="shared" si="19"/>
        <v>Quarter 1 1900</v>
      </c>
    </row>
    <row r="1217" spans="11:11">
      <c r="K1217" s="28" t="str">
        <f t="shared" si="19"/>
        <v>Quarter 1 1900</v>
      </c>
    </row>
    <row r="1218" spans="11:11">
      <c r="K1218" s="28" t="str">
        <f t="shared" si="19"/>
        <v>Quarter 1 1900</v>
      </c>
    </row>
    <row r="1219" spans="11:11">
      <c r="K1219" s="28" t="str">
        <f t="shared" si="19"/>
        <v>Quarter 1 1900</v>
      </c>
    </row>
    <row r="1220" spans="11:11">
      <c r="K1220" s="28" t="str">
        <f t="shared" si="19"/>
        <v>Quarter 1 1900</v>
      </c>
    </row>
    <row r="1221" spans="11:11">
      <c r="K1221" s="28" t="str">
        <f t="shared" si="19"/>
        <v>Quarter 1 1900</v>
      </c>
    </row>
    <row r="1222" spans="11:11">
      <c r="K1222" s="28" t="str">
        <f t="shared" si="19"/>
        <v>Quarter 1 1900</v>
      </c>
    </row>
    <row r="1223" spans="11:11">
      <c r="K1223" s="28" t="str">
        <f t="shared" si="19"/>
        <v>Quarter 1 1900</v>
      </c>
    </row>
    <row r="1224" spans="11:11">
      <c r="K1224" s="28" t="str">
        <f t="shared" si="19"/>
        <v>Quarter 1 1900</v>
      </c>
    </row>
    <row r="1225" spans="11:11">
      <c r="K1225" s="28" t="str">
        <f t="shared" si="19"/>
        <v>Quarter 1 1900</v>
      </c>
    </row>
    <row r="1226" spans="11:11">
      <c r="K1226" s="28" t="str">
        <f t="shared" si="19"/>
        <v>Quarter 1 1900</v>
      </c>
    </row>
    <row r="1227" spans="11:11">
      <c r="K1227" s="28" t="str">
        <f t="shared" si="19"/>
        <v>Quarter 1 1900</v>
      </c>
    </row>
    <row r="1228" spans="11:11">
      <c r="K1228" s="28" t="str">
        <f t="shared" si="19"/>
        <v>Quarter 1 1900</v>
      </c>
    </row>
    <row r="1229" spans="11:11">
      <c r="K1229" s="28" t="str">
        <f t="shared" si="19"/>
        <v>Quarter 1 1900</v>
      </c>
    </row>
    <row r="1230" spans="11:11">
      <c r="K1230" s="28" t="str">
        <f t="shared" si="19"/>
        <v>Quarter 1 1900</v>
      </c>
    </row>
    <row r="1231" spans="11:11">
      <c r="K1231" s="28" t="str">
        <f t="shared" si="19"/>
        <v>Quarter 1 1900</v>
      </c>
    </row>
    <row r="1232" spans="11:11">
      <c r="K1232" s="28" t="str">
        <f t="shared" si="19"/>
        <v>Quarter 1 1900</v>
      </c>
    </row>
    <row r="1233" spans="11:11">
      <c r="K1233" s="28" t="str">
        <f t="shared" si="19"/>
        <v>Quarter 1 1900</v>
      </c>
    </row>
    <row r="1234" spans="11:11">
      <c r="K1234" s="28" t="str">
        <f t="shared" ref="K1234:K1297" si="20">"Quarter "&amp;INT((MONTH(B1234)-1)/3)+1&amp;" "&amp;YEAR(B1234)</f>
        <v>Quarter 1 1900</v>
      </c>
    </row>
    <row r="1235" spans="11:11">
      <c r="K1235" s="28" t="str">
        <f t="shared" si="20"/>
        <v>Quarter 1 1900</v>
      </c>
    </row>
    <row r="1236" spans="11:11">
      <c r="K1236" s="28" t="str">
        <f t="shared" si="20"/>
        <v>Quarter 1 1900</v>
      </c>
    </row>
    <row r="1237" spans="11:11">
      <c r="K1237" s="28" t="str">
        <f t="shared" si="20"/>
        <v>Quarter 1 1900</v>
      </c>
    </row>
    <row r="1238" spans="11:11">
      <c r="K1238" s="28" t="str">
        <f t="shared" si="20"/>
        <v>Quarter 1 1900</v>
      </c>
    </row>
    <row r="1239" spans="11:11">
      <c r="K1239" s="28" t="str">
        <f t="shared" si="20"/>
        <v>Quarter 1 1900</v>
      </c>
    </row>
    <row r="1240" spans="11:11">
      <c r="K1240" s="28" t="str">
        <f t="shared" si="20"/>
        <v>Quarter 1 1900</v>
      </c>
    </row>
    <row r="1241" spans="11:11">
      <c r="K1241" s="28" t="str">
        <f t="shared" si="20"/>
        <v>Quarter 1 1900</v>
      </c>
    </row>
    <row r="1242" spans="11:11">
      <c r="K1242" s="28" t="str">
        <f t="shared" si="20"/>
        <v>Quarter 1 1900</v>
      </c>
    </row>
    <row r="1243" spans="11:11">
      <c r="K1243" s="28" t="str">
        <f t="shared" si="20"/>
        <v>Quarter 1 1900</v>
      </c>
    </row>
    <row r="1244" spans="11:11">
      <c r="K1244" s="28" t="str">
        <f t="shared" si="20"/>
        <v>Quarter 1 1900</v>
      </c>
    </row>
    <row r="1245" spans="11:11">
      <c r="K1245" s="28" t="str">
        <f t="shared" si="20"/>
        <v>Quarter 1 1900</v>
      </c>
    </row>
    <row r="1246" spans="11:11">
      <c r="K1246" s="28" t="str">
        <f t="shared" si="20"/>
        <v>Quarter 1 1900</v>
      </c>
    </row>
    <row r="1247" spans="11:11">
      <c r="K1247" s="28" t="str">
        <f t="shared" si="20"/>
        <v>Quarter 1 1900</v>
      </c>
    </row>
    <row r="1248" spans="11:11">
      <c r="K1248" s="28" t="str">
        <f t="shared" si="20"/>
        <v>Quarter 1 1900</v>
      </c>
    </row>
    <row r="1249" spans="11:11">
      <c r="K1249" s="28" t="str">
        <f t="shared" si="20"/>
        <v>Quarter 1 1900</v>
      </c>
    </row>
    <row r="1250" spans="11:11">
      <c r="K1250" s="28" t="str">
        <f t="shared" si="20"/>
        <v>Quarter 1 1900</v>
      </c>
    </row>
    <row r="1251" spans="11:11">
      <c r="K1251" s="28" t="str">
        <f t="shared" si="20"/>
        <v>Quarter 1 1900</v>
      </c>
    </row>
    <row r="1252" spans="11:11">
      <c r="K1252" s="28" t="str">
        <f t="shared" si="20"/>
        <v>Quarter 1 1900</v>
      </c>
    </row>
    <row r="1253" spans="11:11">
      <c r="K1253" s="28" t="str">
        <f t="shared" si="20"/>
        <v>Quarter 1 1900</v>
      </c>
    </row>
    <row r="1254" spans="11:11">
      <c r="K1254" s="28" t="str">
        <f t="shared" si="20"/>
        <v>Quarter 1 1900</v>
      </c>
    </row>
    <row r="1255" spans="11:11">
      <c r="K1255" s="28" t="str">
        <f t="shared" si="20"/>
        <v>Quarter 1 1900</v>
      </c>
    </row>
    <row r="1256" spans="11:11">
      <c r="K1256" s="28" t="str">
        <f t="shared" si="20"/>
        <v>Quarter 1 1900</v>
      </c>
    </row>
    <row r="1257" spans="11:11">
      <c r="K1257" s="28" t="str">
        <f t="shared" si="20"/>
        <v>Quarter 1 1900</v>
      </c>
    </row>
    <row r="1258" spans="11:11">
      <c r="K1258" s="28" t="str">
        <f t="shared" si="20"/>
        <v>Quarter 1 1900</v>
      </c>
    </row>
    <row r="1259" spans="11:11">
      <c r="K1259" s="28" t="str">
        <f t="shared" si="20"/>
        <v>Quarter 1 1900</v>
      </c>
    </row>
    <row r="1260" spans="11:11">
      <c r="K1260" s="28" t="str">
        <f t="shared" si="20"/>
        <v>Quarter 1 1900</v>
      </c>
    </row>
    <row r="1261" spans="11:11">
      <c r="K1261" s="28" t="str">
        <f t="shared" si="20"/>
        <v>Quarter 1 1900</v>
      </c>
    </row>
    <row r="1262" spans="11:11">
      <c r="K1262" s="28" t="str">
        <f t="shared" si="20"/>
        <v>Quarter 1 1900</v>
      </c>
    </row>
    <row r="1263" spans="11:11">
      <c r="K1263" s="28" t="str">
        <f t="shared" si="20"/>
        <v>Quarter 1 1900</v>
      </c>
    </row>
    <row r="1264" spans="11:11">
      <c r="K1264" s="28" t="str">
        <f t="shared" si="20"/>
        <v>Quarter 1 1900</v>
      </c>
    </row>
    <row r="1265" spans="11:11">
      <c r="K1265" s="28" t="str">
        <f t="shared" si="20"/>
        <v>Quarter 1 1900</v>
      </c>
    </row>
    <row r="1266" spans="11:11">
      <c r="K1266" s="28" t="str">
        <f t="shared" si="20"/>
        <v>Quarter 1 1900</v>
      </c>
    </row>
    <row r="1267" spans="11:11">
      <c r="K1267" s="28" t="str">
        <f t="shared" si="20"/>
        <v>Quarter 1 1900</v>
      </c>
    </row>
    <row r="1268" spans="11:11">
      <c r="K1268" s="28" t="str">
        <f t="shared" si="20"/>
        <v>Quarter 1 1900</v>
      </c>
    </row>
    <row r="1269" spans="11:11">
      <c r="K1269" s="28" t="str">
        <f t="shared" si="20"/>
        <v>Quarter 1 1900</v>
      </c>
    </row>
    <row r="1270" spans="11:11">
      <c r="K1270" s="28" t="str">
        <f t="shared" si="20"/>
        <v>Quarter 1 1900</v>
      </c>
    </row>
    <row r="1271" spans="11:11">
      <c r="K1271" s="28" t="str">
        <f t="shared" si="20"/>
        <v>Quarter 1 1900</v>
      </c>
    </row>
    <row r="1272" spans="11:11">
      <c r="K1272" s="28" t="str">
        <f t="shared" si="20"/>
        <v>Quarter 1 1900</v>
      </c>
    </row>
    <row r="1273" spans="11:11">
      <c r="K1273" s="28" t="str">
        <f t="shared" si="20"/>
        <v>Quarter 1 1900</v>
      </c>
    </row>
    <row r="1274" spans="11:11">
      <c r="K1274" s="28" t="str">
        <f t="shared" si="20"/>
        <v>Quarter 1 1900</v>
      </c>
    </row>
    <row r="1275" spans="11:11">
      <c r="K1275" s="28" t="str">
        <f t="shared" si="20"/>
        <v>Quarter 1 1900</v>
      </c>
    </row>
    <row r="1276" spans="11:11">
      <c r="K1276" s="28" t="str">
        <f t="shared" si="20"/>
        <v>Quarter 1 1900</v>
      </c>
    </row>
    <row r="1277" spans="11:11">
      <c r="K1277" s="28" t="str">
        <f t="shared" si="20"/>
        <v>Quarter 1 1900</v>
      </c>
    </row>
    <row r="1278" spans="11:11">
      <c r="K1278" s="28" t="str">
        <f t="shared" si="20"/>
        <v>Quarter 1 1900</v>
      </c>
    </row>
    <row r="1279" spans="11:11">
      <c r="K1279" s="28" t="str">
        <f t="shared" si="20"/>
        <v>Quarter 1 1900</v>
      </c>
    </row>
    <row r="1280" spans="11:11">
      <c r="K1280" s="28" t="str">
        <f t="shared" si="20"/>
        <v>Quarter 1 1900</v>
      </c>
    </row>
    <row r="1281" spans="11:11">
      <c r="K1281" s="28" t="str">
        <f t="shared" si="20"/>
        <v>Quarter 1 1900</v>
      </c>
    </row>
    <row r="1282" spans="11:11">
      <c r="K1282" s="28" t="str">
        <f t="shared" si="20"/>
        <v>Quarter 1 1900</v>
      </c>
    </row>
    <row r="1283" spans="11:11">
      <c r="K1283" s="28" t="str">
        <f t="shared" si="20"/>
        <v>Quarter 1 1900</v>
      </c>
    </row>
    <row r="1284" spans="11:11">
      <c r="K1284" s="28" t="str">
        <f t="shared" si="20"/>
        <v>Quarter 1 1900</v>
      </c>
    </row>
    <row r="1285" spans="11:11">
      <c r="K1285" s="28" t="str">
        <f t="shared" si="20"/>
        <v>Quarter 1 1900</v>
      </c>
    </row>
    <row r="1286" spans="11:11">
      <c r="K1286" s="28" t="str">
        <f t="shared" si="20"/>
        <v>Quarter 1 1900</v>
      </c>
    </row>
    <row r="1287" spans="11:11">
      <c r="K1287" s="28" t="str">
        <f t="shared" si="20"/>
        <v>Quarter 1 1900</v>
      </c>
    </row>
    <row r="1288" spans="11:11">
      <c r="K1288" s="28" t="str">
        <f t="shared" si="20"/>
        <v>Quarter 1 1900</v>
      </c>
    </row>
    <row r="1289" spans="11:11">
      <c r="K1289" s="28" t="str">
        <f t="shared" si="20"/>
        <v>Quarter 1 1900</v>
      </c>
    </row>
    <row r="1290" spans="11:11">
      <c r="K1290" s="28" t="str">
        <f t="shared" si="20"/>
        <v>Quarter 1 1900</v>
      </c>
    </row>
    <row r="1291" spans="11:11">
      <c r="K1291" s="28" t="str">
        <f t="shared" si="20"/>
        <v>Quarter 1 1900</v>
      </c>
    </row>
    <row r="1292" spans="11:11">
      <c r="K1292" s="28" t="str">
        <f t="shared" si="20"/>
        <v>Quarter 1 1900</v>
      </c>
    </row>
    <row r="1293" spans="11:11">
      <c r="K1293" s="28" t="str">
        <f t="shared" si="20"/>
        <v>Quarter 1 1900</v>
      </c>
    </row>
    <row r="1294" spans="11:11">
      <c r="K1294" s="28" t="str">
        <f t="shared" si="20"/>
        <v>Quarter 1 1900</v>
      </c>
    </row>
    <row r="1295" spans="11:11">
      <c r="K1295" s="28" t="str">
        <f t="shared" si="20"/>
        <v>Quarter 1 1900</v>
      </c>
    </row>
    <row r="1296" spans="11:11">
      <c r="K1296" s="28" t="str">
        <f t="shared" si="20"/>
        <v>Quarter 1 1900</v>
      </c>
    </row>
    <row r="1297" spans="11:11">
      <c r="K1297" s="28" t="str">
        <f t="shared" si="20"/>
        <v>Quarter 1 1900</v>
      </c>
    </row>
    <row r="1298" spans="11:11">
      <c r="K1298" s="28" t="str">
        <f t="shared" ref="K1298:K1361" si="21">"Quarter "&amp;INT((MONTH(B1298)-1)/3)+1&amp;" "&amp;YEAR(B1298)</f>
        <v>Quarter 1 1900</v>
      </c>
    </row>
    <row r="1299" spans="11:11">
      <c r="K1299" s="28" t="str">
        <f t="shared" si="21"/>
        <v>Quarter 1 1900</v>
      </c>
    </row>
    <row r="1300" spans="11:11">
      <c r="K1300" s="28" t="str">
        <f t="shared" si="21"/>
        <v>Quarter 1 1900</v>
      </c>
    </row>
    <row r="1301" spans="11:11">
      <c r="K1301" s="28" t="str">
        <f t="shared" si="21"/>
        <v>Quarter 1 1900</v>
      </c>
    </row>
    <row r="1302" spans="11:11">
      <c r="K1302" s="28" t="str">
        <f t="shared" si="21"/>
        <v>Quarter 1 1900</v>
      </c>
    </row>
    <row r="1303" spans="11:11">
      <c r="K1303" s="28" t="str">
        <f t="shared" si="21"/>
        <v>Quarter 1 1900</v>
      </c>
    </row>
    <row r="1304" spans="11:11">
      <c r="K1304" s="28" t="str">
        <f t="shared" si="21"/>
        <v>Quarter 1 1900</v>
      </c>
    </row>
    <row r="1305" spans="11:11">
      <c r="K1305" s="28" t="str">
        <f t="shared" si="21"/>
        <v>Quarter 1 1900</v>
      </c>
    </row>
    <row r="1306" spans="11:11">
      <c r="K1306" s="28" t="str">
        <f t="shared" si="21"/>
        <v>Quarter 1 1900</v>
      </c>
    </row>
    <row r="1307" spans="11:11">
      <c r="K1307" s="28" t="str">
        <f t="shared" si="21"/>
        <v>Quarter 1 1900</v>
      </c>
    </row>
    <row r="1308" spans="11:11">
      <c r="K1308" s="28" t="str">
        <f t="shared" si="21"/>
        <v>Quarter 1 1900</v>
      </c>
    </row>
    <row r="1309" spans="11:11">
      <c r="K1309" s="28" t="str">
        <f t="shared" si="21"/>
        <v>Quarter 1 1900</v>
      </c>
    </row>
    <row r="1310" spans="11:11">
      <c r="K1310" s="28" t="str">
        <f t="shared" si="21"/>
        <v>Quarter 1 1900</v>
      </c>
    </row>
    <row r="1311" spans="11:11">
      <c r="K1311" s="28" t="str">
        <f t="shared" si="21"/>
        <v>Quarter 1 1900</v>
      </c>
    </row>
    <row r="1312" spans="11:11">
      <c r="K1312" s="28" t="str">
        <f t="shared" si="21"/>
        <v>Quarter 1 1900</v>
      </c>
    </row>
    <row r="1313" spans="11:11">
      <c r="K1313" s="28" t="str">
        <f t="shared" si="21"/>
        <v>Quarter 1 1900</v>
      </c>
    </row>
    <row r="1314" spans="11:11">
      <c r="K1314" s="28" t="str">
        <f t="shared" si="21"/>
        <v>Quarter 1 1900</v>
      </c>
    </row>
    <row r="1315" spans="11:11">
      <c r="K1315" s="28" t="str">
        <f t="shared" si="21"/>
        <v>Quarter 1 1900</v>
      </c>
    </row>
    <row r="1316" spans="11:11">
      <c r="K1316" s="28" t="str">
        <f t="shared" si="21"/>
        <v>Quarter 1 1900</v>
      </c>
    </row>
    <row r="1317" spans="11:11">
      <c r="K1317" s="28" t="str">
        <f t="shared" si="21"/>
        <v>Quarter 1 1900</v>
      </c>
    </row>
    <row r="1318" spans="11:11">
      <c r="K1318" s="28" t="str">
        <f t="shared" si="21"/>
        <v>Quarter 1 1900</v>
      </c>
    </row>
    <row r="1319" spans="11:11">
      <c r="K1319" s="28" t="str">
        <f t="shared" si="21"/>
        <v>Quarter 1 1900</v>
      </c>
    </row>
    <row r="1320" spans="11:11">
      <c r="K1320" s="28" t="str">
        <f t="shared" si="21"/>
        <v>Quarter 1 1900</v>
      </c>
    </row>
    <row r="1321" spans="11:11">
      <c r="K1321" s="28" t="str">
        <f t="shared" si="21"/>
        <v>Quarter 1 1900</v>
      </c>
    </row>
    <row r="1322" spans="11:11">
      <c r="K1322" s="28" t="str">
        <f t="shared" si="21"/>
        <v>Quarter 1 1900</v>
      </c>
    </row>
    <row r="1323" spans="11:11">
      <c r="K1323" s="28" t="str">
        <f t="shared" si="21"/>
        <v>Quarter 1 1900</v>
      </c>
    </row>
    <row r="1324" spans="11:11">
      <c r="K1324" s="28" t="str">
        <f t="shared" si="21"/>
        <v>Quarter 1 1900</v>
      </c>
    </row>
    <row r="1325" spans="11:11">
      <c r="K1325" s="28" t="str">
        <f t="shared" si="21"/>
        <v>Quarter 1 1900</v>
      </c>
    </row>
    <row r="1326" spans="11:11">
      <c r="K1326" s="28" t="str">
        <f t="shared" si="21"/>
        <v>Quarter 1 1900</v>
      </c>
    </row>
    <row r="1327" spans="11:11">
      <c r="K1327" s="28" t="str">
        <f t="shared" si="21"/>
        <v>Quarter 1 1900</v>
      </c>
    </row>
    <row r="1328" spans="11:11">
      <c r="K1328" s="28" t="str">
        <f t="shared" si="21"/>
        <v>Quarter 1 1900</v>
      </c>
    </row>
    <row r="1329" spans="11:11">
      <c r="K1329" s="28" t="str">
        <f t="shared" si="21"/>
        <v>Quarter 1 1900</v>
      </c>
    </row>
    <row r="1330" spans="11:11">
      <c r="K1330" s="28" t="str">
        <f t="shared" si="21"/>
        <v>Quarter 1 1900</v>
      </c>
    </row>
    <row r="1331" spans="11:11">
      <c r="K1331" s="28" t="str">
        <f t="shared" si="21"/>
        <v>Quarter 1 1900</v>
      </c>
    </row>
    <row r="1332" spans="11:11">
      <c r="K1332" s="28" t="str">
        <f t="shared" si="21"/>
        <v>Quarter 1 1900</v>
      </c>
    </row>
    <row r="1333" spans="11:11">
      <c r="K1333" s="28" t="str">
        <f t="shared" si="21"/>
        <v>Quarter 1 1900</v>
      </c>
    </row>
    <row r="1334" spans="11:11">
      <c r="K1334" s="28" t="str">
        <f t="shared" si="21"/>
        <v>Quarter 1 1900</v>
      </c>
    </row>
    <row r="1335" spans="11:11">
      <c r="K1335" s="28" t="str">
        <f t="shared" si="21"/>
        <v>Quarter 1 1900</v>
      </c>
    </row>
    <row r="1336" spans="11:11">
      <c r="K1336" s="28" t="str">
        <f t="shared" si="21"/>
        <v>Quarter 1 1900</v>
      </c>
    </row>
    <row r="1337" spans="11:11">
      <c r="K1337" s="28" t="str">
        <f t="shared" si="21"/>
        <v>Quarter 1 1900</v>
      </c>
    </row>
    <row r="1338" spans="11:11">
      <c r="K1338" s="28" t="str">
        <f t="shared" si="21"/>
        <v>Quarter 1 1900</v>
      </c>
    </row>
    <row r="1339" spans="11:11">
      <c r="K1339" s="28" t="str">
        <f t="shared" si="21"/>
        <v>Quarter 1 1900</v>
      </c>
    </row>
    <row r="1340" spans="11:11">
      <c r="K1340" s="28" t="str">
        <f t="shared" si="21"/>
        <v>Quarter 1 1900</v>
      </c>
    </row>
    <row r="1341" spans="11:11">
      <c r="K1341" s="28" t="str">
        <f t="shared" si="21"/>
        <v>Quarter 1 1900</v>
      </c>
    </row>
    <row r="1342" spans="11:11">
      <c r="K1342" s="28" t="str">
        <f t="shared" si="21"/>
        <v>Quarter 1 1900</v>
      </c>
    </row>
    <row r="1343" spans="11:11">
      <c r="K1343" s="28" t="str">
        <f t="shared" si="21"/>
        <v>Quarter 1 1900</v>
      </c>
    </row>
    <row r="1344" spans="11:11">
      <c r="K1344" s="28" t="str">
        <f t="shared" si="21"/>
        <v>Quarter 1 1900</v>
      </c>
    </row>
    <row r="1345" spans="11:11">
      <c r="K1345" s="28" t="str">
        <f t="shared" si="21"/>
        <v>Quarter 1 1900</v>
      </c>
    </row>
    <row r="1346" spans="11:11">
      <c r="K1346" s="28" t="str">
        <f t="shared" si="21"/>
        <v>Quarter 1 1900</v>
      </c>
    </row>
    <row r="1347" spans="11:11">
      <c r="K1347" s="28" t="str">
        <f t="shared" si="21"/>
        <v>Quarter 1 1900</v>
      </c>
    </row>
    <row r="1348" spans="11:11">
      <c r="K1348" s="28" t="str">
        <f t="shared" si="21"/>
        <v>Quarter 1 1900</v>
      </c>
    </row>
    <row r="1349" spans="11:11">
      <c r="K1349" s="28" t="str">
        <f t="shared" si="21"/>
        <v>Quarter 1 1900</v>
      </c>
    </row>
    <row r="1350" spans="11:11">
      <c r="K1350" s="28" t="str">
        <f t="shared" si="21"/>
        <v>Quarter 1 1900</v>
      </c>
    </row>
    <row r="1351" spans="11:11">
      <c r="K1351" s="28" t="str">
        <f t="shared" si="21"/>
        <v>Quarter 1 1900</v>
      </c>
    </row>
    <row r="1352" spans="11:11">
      <c r="K1352" s="28" t="str">
        <f t="shared" si="21"/>
        <v>Quarter 1 1900</v>
      </c>
    </row>
    <row r="1353" spans="11:11">
      <c r="K1353" s="28" t="str">
        <f t="shared" si="21"/>
        <v>Quarter 1 1900</v>
      </c>
    </row>
    <row r="1354" spans="11:11">
      <c r="K1354" s="28" t="str">
        <f t="shared" si="21"/>
        <v>Quarter 1 1900</v>
      </c>
    </row>
    <row r="1355" spans="11:11">
      <c r="K1355" s="28" t="str">
        <f t="shared" si="21"/>
        <v>Quarter 1 1900</v>
      </c>
    </row>
    <row r="1356" spans="11:11">
      <c r="K1356" s="28" t="str">
        <f t="shared" si="21"/>
        <v>Quarter 1 1900</v>
      </c>
    </row>
    <row r="1357" spans="11:11">
      <c r="K1357" s="28" t="str">
        <f t="shared" si="21"/>
        <v>Quarter 1 1900</v>
      </c>
    </row>
    <row r="1358" spans="11:11">
      <c r="K1358" s="28" t="str">
        <f t="shared" si="21"/>
        <v>Quarter 1 1900</v>
      </c>
    </row>
    <row r="1359" spans="11:11">
      <c r="K1359" s="28" t="str">
        <f t="shared" si="21"/>
        <v>Quarter 1 1900</v>
      </c>
    </row>
    <row r="1360" spans="11:11">
      <c r="K1360" s="28" t="str">
        <f t="shared" si="21"/>
        <v>Quarter 1 1900</v>
      </c>
    </row>
    <row r="1361" spans="11:11">
      <c r="K1361" s="28" t="str">
        <f t="shared" si="21"/>
        <v>Quarter 1 1900</v>
      </c>
    </row>
    <row r="1362" spans="11:11">
      <c r="K1362" s="28" t="str">
        <f t="shared" ref="K1362:K1425" si="22">"Quarter "&amp;INT((MONTH(B1362)-1)/3)+1&amp;" "&amp;YEAR(B1362)</f>
        <v>Quarter 1 1900</v>
      </c>
    </row>
    <row r="1363" spans="11:11">
      <c r="K1363" s="28" t="str">
        <f t="shared" si="22"/>
        <v>Quarter 1 1900</v>
      </c>
    </row>
    <row r="1364" spans="11:11">
      <c r="K1364" s="28" t="str">
        <f t="shared" si="22"/>
        <v>Quarter 1 1900</v>
      </c>
    </row>
    <row r="1365" spans="11:11">
      <c r="K1365" s="28" t="str">
        <f t="shared" si="22"/>
        <v>Quarter 1 1900</v>
      </c>
    </row>
    <row r="1366" spans="11:11">
      <c r="K1366" s="28" t="str">
        <f t="shared" si="22"/>
        <v>Quarter 1 1900</v>
      </c>
    </row>
    <row r="1367" spans="11:11">
      <c r="K1367" s="28" t="str">
        <f t="shared" si="22"/>
        <v>Quarter 1 1900</v>
      </c>
    </row>
    <row r="1368" spans="11:11">
      <c r="K1368" s="28" t="str">
        <f t="shared" si="22"/>
        <v>Quarter 1 1900</v>
      </c>
    </row>
    <row r="1369" spans="11:11">
      <c r="K1369" s="28" t="str">
        <f t="shared" si="22"/>
        <v>Quarter 1 1900</v>
      </c>
    </row>
    <row r="1370" spans="11:11">
      <c r="K1370" s="28" t="str">
        <f t="shared" si="22"/>
        <v>Quarter 1 1900</v>
      </c>
    </row>
    <row r="1371" spans="11:11">
      <c r="K1371" s="28" t="str">
        <f t="shared" si="22"/>
        <v>Quarter 1 1900</v>
      </c>
    </row>
    <row r="1372" spans="11:11">
      <c r="K1372" s="28" t="str">
        <f t="shared" si="22"/>
        <v>Quarter 1 1900</v>
      </c>
    </row>
    <row r="1373" spans="11:11">
      <c r="K1373" s="28" t="str">
        <f t="shared" si="22"/>
        <v>Quarter 1 1900</v>
      </c>
    </row>
    <row r="1374" spans="11:11">
      <c r="K1374" s="28" t="str">
        <f t="shared" si="22"/>
        <v>Quarter 1 1900</v>
      </c>
    </row>
    <row r="1375" spans="11:11">
      <c r="K1375" s="28" t="str">
        <f t="shared" si="22"/>
        <v>Quarter 1 1900</v>
      </c>
    </row>
    <row r="1376" spans="11:11">
      <c r="K1376" s="28" t="str">
        <f t="shared" si="22"/>
        <v>Quarter 1 1900</v>
      </c>
    </row>
    <row r="1377" spans="11:11">
      <c r="K1377" s="28" t="str">
        <f t="shared" si="22"/>
        <v>Quarter 1 1900</v>
      </c>
    </row>
    <row r="1378" spans="11:11">
      <c r="K1378" s="28" t="str">
        <f t="shared" si="22"/>
        <v>Quarter 1 1900</v>
      </c>
    </row>
    <row r="1379" spans="11:11">
      <c r="K1379" s="28" t="str">
        <f t="shared" si="22"/>
        <v>Quarter 1 1900</v>
      </c>
    </row>
    <row r="1380" spans="11:11">
      <c r="K1380" s="28" t="str">
        <f t="shared" si="22"/>
        <v>Quarter 1 1900</v>
      </c>
    </row>
    <row r="1381" spans="11:11">
      <c r="K1381" s="28" t="str">
        <f t="shared" si="22"/>
        <v>Quarter 1 1900</v>
      </c>
    </row>
    <row r="1382" spans="11:11">
      <c r="K1382" s="28" t="str">
        <f t="shared" si="22"/>
        <v>Quarter 1 1900</v>
      </c>
    </row>
    <row r="1383" spans="11:11">
      <c r="K1383" s="28" t="str">
        <f t="shared" si="22"/>
        <v>Quarter 1 1900</v>
      </c>
    </row>
    <row r="1384" spans="11:11">
      <c r="K1384" s="28" t="str">
        <f t="shared" si="22"/>
        <v>Quarter 1 1900</v>
      </c>
    </row>
    <row r="1385" spans="11:11">
      <c r="K1385" s="28" t="str">
        <f t="shared" si="22"/>
        <v>Quarter 1 1900</v>
      </c>
    </row>
    <row r="1386" spans="11:11">
      <c r="K1386" s="28" t="str">
        <f t="shared" si="22"/>
        <v>Quarter 1 1900</v>
      </c>
    </row>
    <row r="1387" spans="11:11">
      <c r="K1387" s="28" t="str">
        <f t="shared" si="22"/>
        <v>Quarter 1 1900</v>
      </c>
    </row>
    <row r="1388" spans="11:11">
      <c r="K1388" s="28" t="str">
        <f t="shared" si="22"/>
        <v>Quarter 1 1900</v>
      </c>
    </row>
    <row r="1389" spans="11:11">
      <c r="K1389" s="28" t="str">
        <f t="shared" si="22"/>
        <v>Quarter 1 1900</v>
      </c>
    </row>
    <row r="1390" spans="11:11">
      <c r="K1390" s="28" t="str">
        <f t="shared" si="22"/>
        <v>Quarter 1 1900</v>
      </c>
    </row>
    <row r="1391" spans="11:11">
      <c r="K1391" s="28" t="str">
        <f t="shared" si="22"/>
        <v>Quarter 1 1900</v>
      </c>
    </row>
    <row r="1392" spans="11:11">
      <c r="K1392" s="28" t="str">
        <f t="shared" si="22"/>
        <v>Quarter 1 1900</v>
      </c>
    </row>
    <row r="1393" spans="11:11">
      <c r="K1393" s="28" t="str">
        <f t="shared" si="22"/>
        <v>Quarter 1 1900</v>
      </c>
    </row>
    <row r="1394" spans="11:11">
      <c r="K1394" s="28" t="str">
        <f t="shared" si="22"/>
        <v>Quarter 1 1900</v>
      </c>
    </row>
    <row r="1395" spans="11:11">
      <c r="K1395" s="28" t="str">
        <f t="shared" si="22"/>
        <v>Quarter 1 1900</v>
      </c>
    </row>
    <row r="1396" spans="11:11">
      <c r="K1396" s="28" t="str">
        <f t="shared" si="22"/>
        <v>Quarter 1 1900</v>
      </c>
    </row>
    <row r="1397" spans="11:11">
      <c r="K1397" s="28" t="str">
        <f t="shared" si="22"/>
        <v>Quarter 1 1900</v>
      </c>
    </row>
    <row r="1398" spans="11:11">
      <c r="K1398" s="28" t="str">
        <f t="shared" si="22"/>
        <v>Quarter 1 1900</v>
      </c>
    </row>
    <row r="1399" spans="11:11">
      <c r="K1399" s="28" t="str">
        <f t="shared" si="22"/>
        <v>Quarter 1 1900</v>
      </c>
    </row>
    <row r="1400" spans="11:11">
      <c r="K1400" s="28" t="str">
        <f t="shared" si="22"/>
        <v>Quarter 1 1900</v>
      </c>
    </row>
    <row r="1401" spans="11:11">
      <c r="K1401" s="28" t="str">
        <f t="shared" si="22"/>
        <v>Quarter 1 1900</v>
      </c>
    </row>
    <row r="1402" spans="11:11">
      <c r="K1402" s="28" t="str">
        <f t="shared" si="22"/>
        <v>Quarter 1 1900</v>
      </c>
    </row>
    <row r="1403" spans="11:11">
      <c r="K1403" s="28" t="str">
        <f t="shared" si="22"/>
        <v>Quarter 1 1900</v>
      </c>
    </row>
    <row r="1404" spans="11:11">
      <c r="K1404" s="28" t="str">
        <f t="shared" si="22"/>
        <v>Quarter 1 1900</v>
      </c>
    </row>
    <row r="1405" spans="11:11">
      <c r="K1405" s="28" t="str">
        <f t="shared" si="22"/>
        <v>Quarter 1 1900</v>
      </c>
    </row>
    <row r="1406" spans="11:11">
      <c r="K1406" s="28" t="str">
        <f t="shared" si="22"/>
        <v>Quarter 1 1900</v>
      </c>
    </row>
    <row r="1407" spans="11:11">
      <c r="K1407" s="28" t="str">
        <f t="shared" si="22"/>
        <v>Quarter 1 1900</v>
      </c>
    </row>
    <row r="1408" spans="11:11">
      <c r="K1408" s="28" t="str">
        <f t="shared" si="22"/>
        <v>Quarter 1 1900</v>
      </c>
    </row>
    <row r="1409" spans="11:11">
      <c r="K1409" s="28" t="str">
        <f t="shared" si="22"/>
        <v>Quarter 1 1900</v>
      </c>
    </row>
    <row r="1410" spans="11:11">
      <c r="K1410" s="28" t="str">
        <f t="shared" si="22"/>
        <v>Quarter 1 1900</v>
      </c>
    </row>
    <row r="1411" spans="11:11">
      <c r="K1411" s="28" t="str">
        <f t="shared" si="22"/>
        <v>Quarter 1 1900</v>
      </c>
    </row>
    <row r="1412" spans="11:11">
      <c r="K1412" s="28" t="str">
        <f t="shared" si="22"/>
        <v>Quarter 1 1900</v>
      </c>
    </row>
    <row r="1413" spans="11:11">
      <c r="K1413" s="28" t="str">
        <f t="shared" si="22"/>
        <v>Quarter 1 1900</v>
      </c>
    </row>
    <row r="1414" spans="11:11">
      <c r="K1414" s="28" t="str">
        <f t="shared" si="22"/>
        <v>Quarter 1 1900</v>
      </c>
    </row>
    <row r="1415" spans="11:11">
      <c r="K1415" s="28" t="str">
        <f t="shared" si="22"/>
        <v>Quarter 1 1900</v>
      </c>
    </row>
    <row r="1416" spans="11:11">
      <c r="K1416" s="28" t="str">
        <f t="shared" si="22"/>
        <v>Quarter 1 1900</v>
      </c>
    </row>
    <row r="1417" spans="11:11">
      <c r="K1417" s="28" t="str">
        <f t="shared" si="22"/>
        <v>Quarter 1 1900</v>
      </c>
    </row>
    <row r="1418" spans="11:11">
      <c r="K1418" s="28" t="str">
        <f t="shared" si="22"/>
        <v>Quarter 1 1900</v>
      </c>
    </row>
    <row r="1419" spans="11:11">
      <c r="K1419" s="28" t="str">
        <f t="shared" si="22"/>
        <v>Quarter 1 1900</v>
      </c>
    </row>
    <row r="1420" spans="11:11">
      <c r="K1420" s="28" t="str">
        <f t="shared" si="22"/>
        <v>Quarter 1 1900</v>
      </c>
    </row>
    <row r="1421" spans="11:11">
      <c r="K1421" s="28" t="str">
        <f t="shared" si="22"/>
        <v>Quarter 1 1900</v>
      </c>
    </row>
    <row r="1422" spans="11:11">
      <c r="K1422" s="28" t="str">
        <f t="shared" si="22"/>
        <v>Quarter 1 1900</v>
      </c>
    </row>
    <row r="1423" spans="11:11">
      <c r="K1423" s="28" t="str">
        <f t="shared" si="22"/>
        <v>Quarter 1 1900</v>
      </c>
    </row>
    <row r="1424" spans="11:11">
      <c r="K1424" s="28" t="str">
        <f t="shared" si="22"/>
        <v>Quarter 1 1900</v>
      </c>
    </row>
    <row r="1425" spans="11:11">
      <c r="K1425" s="28" t="str">
        <f t="shared" si="22"/>
        <v>Quarter 1 1900</v>
      </c>
    </row>
    <row r="1426" spans="11:11">
      <c r="K1426" s="28" t="str">
        <f t="shared" ref="K1426:K1489" si="23">"Quarter "&amp;INT((MONTH(B1426)-1)/3)+1&amp;" "&amp;YEAR(B1426)</f>
        <v>Quarter 1 1900</v>
      </c>
    </row>
    <row r="1427" spans="11:11">
      <c r="K1427" s="28" t="str">
        <f t="shared" si="23"/>
        <v>Quarter 1 1900</v>
      </c>
    </row>
    <row r="1428" spans="11:11">
      <c r="K1428" s="28" t="str">
        <f t="shared" si="23"/>
        <v>Quarter 1 1900</v>
      </c>
    </row>
    <row r="1429" spans="11:11">
      <c r="K1429" s="28" t="str">
        <f t="shared" si="23"/>
        <v>Quarter 1 1900</v>
      </c>
    </row>
    <row r="1430" spans="11:11">
      <c r="K1430" s="28" t="str">
        <f t="shared" si="23"/>
        <v>Quarter 1 1900</v>
      </c>
    </row>
    <row r="1431" spans="11:11">
      <c r="K1431" s="28" t="str">
        <f t="shared" si="23"/>
        <v>Quarter 1 1900</v>
      </c>
    </row>
    <row r="1432" spans="11:11">
      <c r="K1432" s="28" t="str">
        <f t="shared" si="23"/>
        <v>Quarter 1 1900</v>
      </c>
    </row>
    <row r="1433" spans="11:11">
      <c r="K1433" s="28" t="str">
        <f t="shared" si="23"/>
        <v>Quarter 1 1900</v>
      </c>
    </row>
    <row r="1434" spans="11:11">
      <c r="K1434" s="28" t="str">
        <f t="shared" si="23"/>
        <v>Quarter 1 1900</v>
      </c>
    </row>
    <row r="1435" spans="11:11">
      <c r="K1435" s="28" t="str">
        <f t="shared" si="23"/>
        <v>Quarter 1 1900</v>
      </c>
    </row>
    <row r="1436" spans="11:11">
      <c r="K1436" s="28" t="str">
        <f t="shared" si="23"/>
        <v>Quarter 1 1900</v>
      </c>
    </row>
    <row r="1437" spans="11:11">
      <c r="K1437" s="28" t="str">
        <f t="shared" si="23"/>
        <v>Quarter 1 1900</v>
      </c>
    </row>
    <row r="1438" spans="11:11">
      <c r="K1438" s="28" t="str">
        <f t="shared" si="23"/>
        <v>Quarter 1 1900</v>
      </c>
    </row>
    <row r="1439" spans="11:11">
      <c r="K1439" s="28" t="str">
        <f t="shared" si="23"/>
        <v>Quarter 1 1900</v>
      </c>
    </row>
    <row r="1440" spans="11:11">
      <c r="K1440" s="28" t="str">
        <f t="shared" si="23"/>
        <v>Quarter 1 1900</v>
      </c>
    </row>
    <row r="1441" spans="11:11">
      <c r="K1441" s="28" t="str">
        <f t="shared" si="23"/>
        <v>Quarter 1 1900</v>
      </c>
    </row>
    <row r="1442" spans="11:11">
      <c r="K1442" s="28" t="str">
        <f t="shared" si="23"/>
        <v>Quarter 1 1900</v>
      </c>
    </row>
    <row r="1443" spans="11:11">
      <c r="K1443" s="28" t="str">
        <f t="shared" si="23"/>
        <v>Quarter 1 1900</v>
      </c>
    </row>
    <row r="1444" spans="11:11">
      <c r="K1444" s="28" t="str">
        <f t="shared" si="23"/>
        <v>Quarter 1 1900</v>
      </c>
    </row>
    <row r="1445" spans="11:11">
      <c r="K1445" s="28" t="str">
        <f t="shared" si="23"/>
        <v>Quarter 1 1900</v>
      </c>
    </row>
    <row r="1446" spans="11:11">
      <c r="K1446" s="28" t="str">
        <f t="shared" si="23"/>
        <v>Quarter 1 1900</v>
      </c>
    </row>
    <row r="1447" spans="11:11">
      <c r="K1447" s="28" t="str">
        <f t="shared" si="23"/>
        <v>Quarter 1 1900</v>
      </c>
    </row>
    <row r="1448" spans="11:11">
      <c r="K1448" s="28" t="str">
        <f t="shared" si="23"/>
        <v>Quarter 1 1900</v>
      </c>
    </row>
    <row r="1449" spans="11:11">
      <c r="K1449" s="28" t="str">
        <f t="shared" si="23"/>
        <v>Quarter 1 1900</v>
      </c>
    </row>
    <row r="1450" spans="11:11">
      <c r="K1450" s="28" t="str">
        <f t="shared" si="23"/>
        <v>Quarter 1 1900</v>
      </c>
    </row>
    <row r="1451" spans="11:11">
      <c r="K1451" s="28" t="str">
        <f t="shared" si="23"/>
        <v>Quarter 1 1900</v>
      </c>
    </row>
    <row r="1452" spans="11:11">
      <c r="K1452" s="28" t="str">
        <f t="shared" si="23"/>
        <v>Quarter 1 1900</v>
      </c>
    </row>
    <row r="1453" spans="11:11">
      <c r="K1453" s="28" t="str">
        <f t="shared" si="23"/>
        <v>Quarter 1 1900</v>
      </c>
    </row>
    <row r="1454" spans="11:11">
      <c r="K1454" s="28" t="str">
        <f t="shared" si="23"/>
        <v>Quarter 1 1900</v>
      </c>
    </row>
    <row r="1455" spans="11:11">
      <c r="K1455" s="28" t="str">
        <f t="shared" si="23"/>
        <v>Quarter 1 1900</v>
      </c>
    </row>
    <row r="1456" spans="11:11">
      <c r="K1456" s="28" t="str">
        <f t="shared" si="23"/>
        <v>Quarter 1 1900</v>
      </c>
    </row>
    <row r="1457" spans="11:11">
      <c r="K1457" s="28" t="str">
        <f t="shared" si="23"/>
        <v>Quarter 1 1900</v>
      </c>
    </row>
    <row r="1458" spans="11:11">
      <c r="K1458" s="28" t="str">
        <f t="shared" si="23"/>
        <v>Quarter 1 1900</v>
      </c>
    </row>
    <row r="1459" spans="11:11">
      <c r="K1459" s="28" t="str">
        <f t="shared" si="23"/>
        <v>Quarter 1 1900</v>
      </c>
    </row>
    <row r="1460" spans="11:11">
      <c r="K1460" s="28" t="str">
        <f t="shared" si="23"/>
        <v>Quarter 1 1900</v>
      </c>
    </row>
    <row r="1461" spans="11:11">
      <c r="K1461" s="28" t="str">
        <f t="shared" si="23"/>
        <v>Quarter 1 1900</v>
      </c>
    </row>
    <row r="1462" spans="11:11">
      <c r="K1462" s="28" t="str">
        <f t="shared" si="23"/>
        <v>Quarter 1 1900</v>
      </c>
    </row>
    <row r="1463" spans="11:11">
      <c r="K1463" s="28" t="str">
        <f t="shared" si="23"/>
        <v>Quarter 1 1900</v>
      </c>
    </row>
    <row r="1464" spans="11:11">
      <c r="K1464" s="28" t="str">
        <f t="shared" si="23"/>
        <v>Quarter 1 1900</v>
      </c>
    </row>
    <row r="1465" spans="11:11">
      <c r="K1465" s="28" t="str">
        <f t="shared" si="23"/>
        <v>Quarter 1 1900</v>
      </c>
    </row>
    <row r="1466" spans="11:11">
      <c r="K1466" s="28" t="str">
        <f t="shared" si="23"/>
        <v>Quarter 1 1900</v>
      </c>
    </row>
    <row r="1467" spans="11:11">
      <c r="K1467" s="28" t="str">
        <f t="shared" si="23"/>
        <v>Quarter 1 1900</v>
      </c>
    </row>
    <row r="1468" spans="11:11">
      <c r="K1468" s="28" t="str">
        <f t="shared" si="23"/>
        <v>Quarter 1 1900</v>
      </c>
    </row>
    <row r="1469" spans="11:11">
      <c r="K1469" s="28" t="str">
        <f t="shared" si="23"/>
        <v>Quarter 1 1900</v>
      </c>
    </row>
    <row r="1470" spans="11:11">
      <c r="K1470" s="28" t="str">
        <f t="shared" si="23"/>
        <v>Quarter 1 1900</v>
      </c>
    </row>
    <row r="1471" spans="11:11">
      <c r="K1471" s="28" t="str">
        <f t="shared" si="23"/>
        <v>Quarter 1 1900</v>
      </c>
    </row>
    <row r="1472" spans="11:11">
      <c r="K1472" s="28" t="str">
        <f t="shared" si="23"/>
        <v>Quarter 1 1900</v>
      </c>
    </row>
    <row r="1473" spans="11:11">
      <c r="K1473" s="28" t="str">
        <f t="shared" si="23"/>
        <v>Quarter 1 1900</v>
      </c>
    </row>
    <row r="1474" spans="11:11">
      <c r="K1474" s="28" t="str">
        <f t="shared" si="23"/>
        <v>Quarter 1 1900</v>
      </c>
    </row>
    <row r="1475" spans="11:11">
      <c r="K1475" s="28" t="str">
        <f t="shared" si="23"/>
        <v>Quarter 1 1900</v>
      </c>
    </row>
    <row r="1476" spans="11:11">
      <c r="K1476" s="28" t="str">
        <f t="shared" si="23"/>
        <v>Quarter 1 1900</v>
      </c>
    </row>
    <row r="1477" spans="11:11">
      <c r="K1477" s="28" t="str">
        <f t="shared" si="23"/>
        <v>Quarter 1 1900</v>
      </c>
    </row>
    <row r="1478" spans="11:11">
      <c r="K1478" s="28" t="str">
        <f t="shared" si="23"/>
        <v>Quarter 1 1900</v>
      </c>
    </row>
    <row r="1479" spans="11:11">
      <c r="K1479" s="28" t="str">
        <f t="shared" si="23"/>
        <v>Quarter 1 1900</v>
      </c>
    </row>
    <row r="1480" spans="11:11">
      <c r="K1480" s="28" t="str">
        <f t="shared" si="23"/>
        <v>Quarter 1 1900</v>
      </c>
    </row>
    <row r="1481" spans="11:11">
      <c r="K1481" s="28" t="str">
        <f t="shared" si="23"/>
        <v>Quarter 1 1900</v>
      </c>
    </row>
    <row r="1482" spans="11:11">
      <c r="K1482" s="28" t="str">
        <f t="shared" si="23"/>
        <v>Quarter 1 1900</v>
      </c>
    </row>
    <row r="1483" spans="11:11">
      <c r="K1483" s="28" t="str">
        <f t="shared" si="23"/>
        <v>Quarter 1 1900</v>
      </c>
    </row>
    <row r="1484" spans="11:11">
      <c r="K1484" s="28" t="str">
        <f t="shared" si="23"/>
        <v>Quarter 1 1900</v>
      </c>
    </row>
    <row r="1485" spans="11:11">
      <c r="K1485" s="28" t="str">
        <f t="shared" si="23"/>
        <v>Quarter 1 1900</v>
      </c>
    </row>
    <row r="1486" spans="11:11">
      <c r="K1486" s="28" t="str">
        <f t="shared" si="23"/>
        <v>Quarter 1 1900</v>
      </c>
    </row>
    <row r="1487" spans="11:11">
      <c r="K1487" s="28" t="str">
        <f t="shared" si="23"/>
        <v>Quarter 1 1900</v>
      </c>
    </row>
    <row r="1488" spans="11:11">
      <c r="K1488" s="28" t="str">
        <f t="shared" si="23"/>
        <v>Quarter 1 1900</v>
      </c>
    </row>
    <row r="1489" spans="11:11">
      <c r="K1489" s="28" t="str">
        <f t="shared" si="23"/>
        <v>Quarter 1 1900</v>
      </c>
    </row>
    <row r="1490" spans="11:11">
      <c r="K1490" s="28" t="str">
        <f t="shared" ref="K1490:K1553" si="24">"Quarter "&amp;INT((MONTH(B1490)-1)/3)+1&amp;" "&amp;YEAR(B1490)</f>
        <v>Quarter 1 1900</v>
      </c>
    </row>
    <row r="1491" spans="11:11">
      <c r="K1491" s="28" t="str">
        <f t="shared" si="24"/>
        <v>Quarter 1 1900</v>
      </c>
    </row>
    <row r="1492" spans="11:11">
      <c r="K1492" s="28" t="str">
        <f t="shared" si="24"/>
        <v>Quarter 1 1900</v>
      </c>
    </row>
    <row r="1493" spans="11:11">
      <c r="K1493" s="28" t="str">
        <f t="shared" si="24"/>
        <v>Quarter 1 1900</v>
      </c>
    </row>
    <row r="1494" spans="11:11">
      <c r="K1494" s="28" t="str">
        <f t="shared" si="24"/>
        <v>Quarter 1 1900</v>
      </c>
    </row>
    <row r="1495" spans="11:11">
      <c r="K1495" s="28" t="str">
        <f t="shared" si="24"/>
        <v>Quarter 1 1900</v>
      </c>
    </row>
    <row r="1496" spans="11:11">
      <c r="K1496" s="28" t="str">
        <f t="shared" si="24"/>
        <v>Quarter 1 1900</v>
      </c>
    </row>
    <row r="1497" spans="11:11">
      <c r="K1497" s="28" t="str">
        <f t="shared" si="24"/>
        <v>Quarter 1 1900</v>
      </c>
    </row>
    <row r="1498" spans="11:11">
      <c r="K1498" s="28" t="str">
        <f t="shared" si="24"/>
        <v>Quarter 1 1900</v>
      </c>
    </row>
    <row r="1499" spans="11:11">
      <c r="K1499" s="28" t="str">
        <f t="shared" si="24"/>
        <v>Quarter 1 1900</v>
      </c>
    </row>
    <row r="1500" spans="11:11">
      <c r="K1500" s="28" t="str">
        <f t="shared" si="24"/>
        <v>Quarter 1 1900</v>
      </c>
    </row>
    <row r="1501" spans="11:11">
      <c r="K1501" s="28" t="str">
        <f t="shared" si="24"/>
        <v>Quarter 1 1900</v>
      </c>
    </row>
    <row r="1502" spans="11:11">
      <c r="K1502" s="28" t="str">
        <f t="shared" si="24"/>
        <v>Quarter 1 1900</v>
      </c>
    </row>
    <row r="1503" spans="11:11">
      <c r="K1503" s="28" t="str">
        <f t="shared" si="24"/>
        <v>Quarter 1 1900</v>
      </c>
    </row>
    <row r="1504" spans="11:11">
      <c r="K1504" s="28" t="str">
        <f t="shared" si="24"/>
        <v>Quarter 1 1900</v>
      </c>
    </row>
    <row r="1505" spans="11:11">
      <c r="K1505" s="28" t="str">
        <f t="shared" si="24"/>
        <v>Quarter 1 1900</v>
      </c>
    </row>
    <row r="1506" spans="11:11">
      <c r="K1506" s="28" t="str">
        <f t="shared" si="24"/>
        <v>Quarter 1 1900</v>
      </c>
    </row>
    <row r="1507" spans="11:11">
      <c r="K1507" s="28" t="str">
        <f t="shared" si="24"/>
        <v>Quarter 1 1900</v>
      </c>
    </row>
    <row r="1508" spans="11:11">
      <c r="K1508" s="28" t="str">
        <f t="shared" si="24"/>
        <v>Quarter 1 1900</v>
      </c>
    </row>
    <row r="1509" spans="11:11">
      <c r="K1509" s="28" t="str">
        <f t="shared" si="24"/>
        <v>Quarter 1 1900</v>
      </c>
    </row>
    <row r="1510" spans="11:11">
      <c r="K1510" s="28" t="str">
        <f t="shared" si="24"/>
        <v>Quarter 1 1900</v>
      </c>
    </row>
    <row r="1511" spans="11:11">
      <c r="K1511" s="28" t="str">
        <f t="shared" si="24"/>
        <v>Quarter 1 1900</v>
      </c>
    </row>
    <row r="1512" spans="11:11">
      <c r="K1512" s="28" t="str">
        <f t="shared" si="24"/>
        <v>Quarter 1 1900</v>
      </c>
    </row>
    <row r="1513" spans="11:11">
      <c r="K1513" s="28" t="str">
        <f t="shared" si="24"/>
        <v>Quarter 1 1900</v>
      </c>
    </row>
    <row r="1514" spans="11:11">
      <c r="K1514" s="28" t="str">
        <f t="shared" si="24"/>
        <v>Quarter 1 1900</v>
      </c>
    </row>
    <row r="1515" spans="11:11">
      <c r="K1515" s="28" t="str">
        <f t="shared" si="24"/>
        <v>Quarter 1 1900</v>
      </c>
    </row>
    <row r="1516" spans="11:11">
      <c r="K1516" s="28" t="str">
        <f t="shared" si="24"/>
        <v>Quarter 1 1900</v>
      </c>
    </row>
    <row r="1517" spans="11:11">
      <c r="K1517" s="28" t="str">
        <f t="shared" si="24"/>
        <v>Quarter 1 1900</v>
      </c>
    </row>
    <row r="1518" spans="11:11">
      <c r="K1518" s="28" t="str">
        <f t="shared" si="24"/>
        <v>Quarter 1 1900</v>
      </c>
    </row>
    <row r="1519" spans="11:11">
      <c r="K1519" s="28" t="str">
        <f t="shared" si="24"/>
        <v>Quarter 1 1900</v>
      </c>
    </row>
    <row r="1520" spans="11:11">
      <c r="K1520" s="28" t="str">
        <f t="shared" si="24"/>
        <v>Quarter 1 1900</v>
      </c>
    </row>
    <row r="1521" spans="11:11">
      <c r="K1521" s="28" t="str">
        <f t="shared" si="24"/>
        <v>Quarter 1 1900</v>
      </c>
    </row>
    <row r="1522" spans="11:11">
      <c r="K1522" s="28" t="str">
        <f t="shared" si="24"/>
        <v>Quarter 1 1900</v>
      </c>
    </row>
    <row r="1523" spans="11:11">
      <c r="K1523" s="28" t="str">
        <f t="shared" si="24"/>
        <v>Quarter 1 1900</v>
      </c>
    </row>
    <row r="1524" spans="11:11">
      <c r="K1524" s="28" t="str">
        <f t="shared" si="24"/>
        <v>Quarter 1 1900</v>
      </c>
    </row>
    <row r="1525" spans="11:11">
      <c r="K1525" s="28" t="str">
        <f t="shared" si="24"/>
        <v>Quarter 1 1900</v>
      </c>
    </row>
    <row r="1526" spans="11:11">
      <c r="K1526" s="28" t="str">
        <f t="shared" si="24"/>
        <v>Quarter 1 1900</v>
      </c>
    </row>
    <row r="1527" spans="11:11">
      <c r="K1527" s="28" t="str">
        <f t="shared" si="24"/>
        <v>Quarter 1 1900</v>
      </c>
    </row>
    <row r="1528" spans="11:11">
      <c r="K1528" s="28" t="str">
        <f t="shared" si="24"/>
        <v>Quarter 1 1900</v>
      </c>
    </row>
    <row r="1529" spans="11:11">
      <c r="K1529" s="28" t="str">
        <f t="shared" si="24"/>
        <v>Quarter 1 1900</v>
      </c>
    </row>
    <row r="1530" spans="11:11">
      <c r="K1530" s="28" t="str">
        <f t="shared" si="24"/>
        <v>Quarter 1 1900</v>
      </c>
    </row>
    <row r="1531" spans="11:11">
      <c r="K1531" s="28" t="str">
        <f t="shared" si="24"/>
        <v>Quarter 1 1900</v>
      </c>
    </row>
    <row r="1532" spans="11:11">
      <c r="K1532" s="28" t="str">
        <f t="shared" si="24"/>
        <v>Quarter 1 1900</v>
      </c>
    </row>
    <row r="1533" spans="11:11">
      <c r="K1533" s="28" t="str">
        <f t="shared" si="24"/>
        <v>Quarter 1 1900</v>
      </c>
    </row>
    <row r="1534" spans="11:11">
      <c r="K1534" s="28" t="str">
        <f t="shared" si="24"/>
        <v>Quarter 1 1900</v>
      </c>
    </row>
    <row r="1535" spans="11:11">
      <c r="K1535" s="28" t="str">
        <f t="shared" si="24"/>
        <v>Quarter 1 1900</v>
      </c>
    </row>
    <row r="1536" spans="11:11">
      <c r="K1536" s="28" t="str">
        <f t="shared" si="24"/>
        <v>Quarter 1 1900</v>
      </c>
    </row>
    <row r="1537" spans="11:11">
      <c r="K1537" s="28" t="str">
        <f t="shared" si="24"/>
        <v>Quarter 1 1900</v>
      </c>
    </row>
    <row r="1538" spans="11:11">
      <c r="K1538" s="28" t="str">
        <f t="shared" si="24"/>
        <v>Quarter 1 1900</v>
      </c>
    </row>
    <row r="1539" spans="11:11">
      <c r="K1539" s="28" t="str">
        <f t="shared" si="24"/>
        <v>Quarter 1 1900</v>
      </c>
    </row>
    <row r="1540" spans="11:11">
      <c r="K1540" s="28" t="str">
        <f t="shared" si="24"/>
        <v>Quarter 1 1900</v>
      </c>
    </row>
    <row r="1541" spans="11:11">
      <c r="K1541" s="28" t="str">
        <f t="shared" si="24"/>
        <v>Quarter 1 1900</v>
      </c>
    </row>
    <row r="1542" spans="11:11">
      <c r="K1542" s="28" t="str">
        <f t="shared" si="24"/>
        <v>Quarter 1 1900</v>
      </c>
    </row>
    <row r="1543" spans="11:11">
      <c r="K1543" s="28" t="str">
        <f t="shared" si="24"/>
        <v>Quarter 1 1900</v>
      </c>
    </row>
    <row r="1544" spans="11:11">
      <c r="K1544" s="28" t="str">
        <f t="shared" si="24"/>
        <v>Quarter 1 1900</v>
      </c>
    </row>
    <row r="1545" spans="11:11">
      <c r="K1545" s="28" t="str">
        <f t="shared" si="24"/>
        <v>Quarter 1 1900</v>
      </c>
    </row>
    <row r="1546" spans="11:11">
      <c r="K1546" s="28" t="str">
        <f t="shared" si="24"/>
        <v>Quarter 1 1900</v>
      </c>
    </row>
    <row r="1547" spans="11:11">
      <c r="K1547" s="28" t="str">
        <f t="shared" si="24"/>
        <v>Quarter 1 1900</v>
      </c>
    </row>
    <row r="1548" spans="11:11">
      <c r="K1548" s="28" t="str">
        <f t="shared" si="24"/>
        <v>Quarter 1 1900</v>
      </c>
    </row>
    <row r="1549" spans="11:11">
      <c r="K1549" s="28" t="str">
        <f t="shared" si="24"/>
        <v>Quarter 1 1900</v>
      </c>
    </row>
    <row r="1550" spans="11:11">
      <c r="K1550" s="28" t="str">
        <f t="shared" si="24"/>
        <v>Quarter 1 1900</v>
      </c>
    </row>
    <row r="1551" spans="11:11">
      <c r="K1551" s="28" t="str">
        <f t="shared" si="24"/>
        <v>Quarter 1 1900</v>
      </c>
    </row>
    <row r="1552" spans="11:11">
      <c r="K1552" s="28" t="str">
        <f t="shared" si="24"/>
        <v>Quarter 1 1900</v>
      </c>
    </row>
    <row r="1553" spans="11:11">
      <c r="K1553" s="28" t="str">
        <f t="shared" si="24"/>
        <v>Quarter 1 1900</v>
      </c>
    </row>
    <row r="1554" spans="11:11">
      <c r="K1554" s="28" t="str">
        <f t="shared" ref="K1554:K1617" si="25">"Quarter "&amp;INT((MONTH(B1554)-1)/3)+1&amp;" "&amp;YEAR(B1554)</f>
        <v>Quarter 1 1900</v>
      </c>
    </row>
    <row r="1555" spans="11:11">
      <c r="K1555" s="28" t="str">
        <f t="shared" si="25"/>
        <v>Quarter 1 1900</v>
      </c>
    </row>
    <row r="1556" spans="11:11">
      <c r="K1556" s="28" t="str">
        <f t="shared" si="25"/>
        <v>Quarter 1 1900</v>
      </c>
    </row>
    <row r="1557" spans="11:11">
      <c r="K1557" s="28" t="str">
        <f t="shared" si="25"/>
        <v>Quarter 1 1900</v>
      </c>
    </row>
    <row r="1558" spans="11:11">
      <c r="K1558" s="28" t="str">
        <f t="shared" si="25"/>
        <v>Quarter 1 1900</v>
      </c>
    </row>
    <row r="1559" spans="11:11">
      <c r="K1559" s="28" t="str">
        <f t="shared" si="25"/>
        <v>Quarter 1 1900</v>
      </c>
    </row>
    <row r="1560" spans="11:11">
      <c r="K1560" s="28" t="str">
        <f t="shared" si="25"/>
        <v>Quarter 1 1900</v>
      </c>
    </row>
    <row r="1561" spans="11:11">
      <c r="K1561" s="28" t="str">
        <f t="shared" si="25"/>
        <v>Quarter 1 1900</v>
      </c>
    </row>
    <row r="1562" spans="11:11">
      <c r="K1562" s="28" t="str">
        <f t="shared" si="25"/>
        <v>Quarter 1 1900</v>
      </c>
    </row>
    <row r="1563" spans="11:11">
      <c r="K1563" s="28" t="str">
        <f t="shared" si="25"/>
        <v>Quarter 1 1900</v>
      </c>
    </row>
    <row r="1564" spans="11:11">
      <c r="K1564" s="28" t="str">
        <f t="shared" si="25"/>
        <v>Quarter 1 1900</v>
      </c>
    </row>
    <row r="1565" spans="11:11">
      <c r="K1565" s="28" t="str">
        <f t="shared" si="25"/>
        <v>Quarter 1 1900</v>
      </c>
    </row>
    <row r="1566" spans="11:11">
      <c r="K1566" s="28" t="str">
        <f t="shared" si="25"/>
        <v>Quarter 1 1900</v>
      </c>
    </row>
    <row r="1567" spans="11:11">
      <c r="K1567" s="28" t="str">
        <f t="shared" si="25"/>
        <v>Quarter 1 1900</v>
      </c>
    </row>
    <row r="1568" spans="11:11">
      <c r="K1568" s="28" t="str">
        <f t="shared" si="25"/>
        <v>Quarter 1 1900</v>
      </c>
    </row>
    <row r="1569" spans="11:11">
      <c r="K1569" s="28" t="str">
        <f t="shared" si="25"/>
        <v>Quarter 1 1900</v>
      </c>
    </row>
    <row r="1570" spans="11:11">
      <c r="K1570" s="28" t="str">
        <f t="shared" si="25"/>
        <v>Quarter 1 1900</v>
      </c>
    </row>
    <row r="1571" spans="11:11">
      <c r="K1571" s="28" t="str">
        <f t="shared" si="25"/>
        <v>Quarter 1 1900</v>
      </c>
    </row>
    <row r="1572" spans="11:11">
      <c r="K1572" s="28" t="str">
        <f t="shared" si="25"/>
        <v>Quarter 1 1900</v>
      </c>
    </row>
    <row r="1573" spans="11:11">
      <c r="K1573" s="28" t="str">
        <f t="shared" si="25"/>
        <v>Quarter 1 1900</v>
      </c>
    </row>
    <row r="1574" spans="11:11">
      <c r="K1574" s="28" t="str">
        <f t="shared" si="25"/>
        <v>Quarter 1 1900</v>
      </c>
    </row>
    <row r="1575" spans="11:11">
      <c r="K1575" s="28" t="str">
        <f t="shared" si="25"/>
        <v>Quarter 1 1900</v>
      </c>
    </row>
    <row r="1576" spans="11:11">
      <c r="K1576" s="28" t="str">
        <f t="shared" si="25"/>
        <v>Quarter 1 1900</v>
      </c>
    </row>
    <row r="1577" spans="11:11">
      <c r="K1577" s="28" t="str">
        <f t="shared" si="25"/>
        <v>Quarter 1 1900</v>
      </c>
    </row>
    <row r="1578" spans="11:11">
      <c r="K1578" s="28" t="str">
        <f t="shared" si="25"/>
        <v>Quarter 1 1900</v>
      </c>
    </row>
    <row r="1579" spans="11:11">
      <c r="K1579" s="28" t="str">
        <f t="shared" si="25"/>
        <v>Quarter 1 1900</v>
      </c>
    </row>
    <row r="1580" spans="11:11">
      <c r="K1580" s="28" t="str">
        <f t="shared" si="25"/>
        <v>Quarter 1 1900</v>
      </c>
    </row>
    <row r="1581" spans="11:11">
      <c r="K1581" s="28" t="str">
        <f t="shared" si="25"/>
        <v>Quarter 1 1900</v>
      </c>
    </row>
    <row r="1582" spans="11:11">
      <c r="K1582" s="28" t="str">
        <f t="shared" si="25"/>
        <v>Quarter 1 1900</v>
      </c>
    </row>
    <row r="1583" spans="11:11">
      <c r="K1583" s="28" t="str">
        <f t="shared" si="25"/>
        <v>Quarter 1 1900</v>
      </c>
    </row>
    <row r="1584" spans="11:11">
      <c r="K1584" s="28" t="str">
        <f t="shared" si="25"/>
        <v>Quarter 1 1900</v>
      </c>
    </row>
    <row r="1585" spans="11:11">
      <c r="K1585" s="28" t="str">
        <f t="shared" si="25"/>
        <v>Quarter 1 1900</v>
      </c>
    </row>
    <row r="1586" spans="11:11">
      <c r="K1586" s="28" t="str">
        <f t="shared" si="25"/>
        <v>Quarter 1 1900</v>
      </c>
    </row>
    <row r="1587" spans="11:11">
      <c r="K1587" s="28" t="str">
        <f t="shared" si="25"/>
        <v>Quarter 1 1900</v>
      </c>
    </row>
    <row r="1588" spans="11:11">
      <c r="K1588" s="28" t="str">
        <f t="shared" si="25"/>
        <v>Quarter 1 1900</v>
      </c>
    </row>
    <row r="1589" spans="11:11">
      <c r="K1589" s="28" t="str">
        <f t="shared" si="25"/>
        <v>Quarter 1 1900</v>
      </c>
    </row>
    <row r="1590" spans="11:11">
      <c r="K1590" s="28" t="str">
        <f t="shared" si="25"/>
        <v>Quarter 1 1900</v>
      </c>
    </row>
    <row r="1591" spans="11:11">
      <c r="K1591" s="28" t="str">
        <f t="shared" si="25"/>
        <v>Quarter 1 1900</v>
      </c>
    </row>
    <row r="1592" spans="11:11">
      <c r="K1592" s="28" t="str">
        <f t="shared" si="25"/>
        <v>Quarter 1 1900</v>
      </c>
    </row>
    <row r="1593" spans="11:11">
      <c r="K1593" s="28" t="str">
        <f t="shared" si="25"/>
        <v>Quarter 1 1900</v>
      </c>
    </row>
    <row r="1594" spans="11:11">
      <c r="K1594" s="28" t="str">
        <f t="shared" si="25"/>
        <v>Quarter 1 1900</v>
      </c>
    </row>
    <row r="1595" spans="11:11">
      <c r="K1595" s="28" t="str">
        <f t="shared" si="25"/>
        <v>Quarter 1 1900</v>
      </c>
    </row>
    <row r="1596" spans="11:11">
      <c r="K1596" s="28" t="str">
        <f t="shared" si="25"/>
        <v>Quarter 1 1900</v>
      </c>
    </row>
    <row r="1597" spans="11:11">
      <c r="K1597" s="28" t="str">
        <f t="shared" si="25"/>
        <v>Quarter 1 1900</v>
      </c>
    </row>
    <row r="1598" spans="11:11">
      <c r="K1598" s="28" t="str">
        <f t="shared" si="25"/>
        <v>Quarter 1 1900</v>
      </c>
    </row>
    <row r="1599" spans="11:11">
      <c r="K1599" s="28" t="str">
        <f t="shared" si="25"/>
        <v>Quarter 1 1900</v>
      </c>
    </row>
    <row r="1600" spans="11:11">
      <c r="K1600" s="28" t="str">
        <f t="shared" si="25"/>
        <v>Quarter 1 1900</v>
      </c>
    </row>
    <row r="1601" spans="11:11">
      <c r="K1601" s="28" t="str">
        <f t="shared" si="25"/>
        <v>Quarter 1 1900</v>
      </c>
    </row>
    <row r="1602" spans="11:11">
      <c r="K1602" s="28" t="str">
        <f t="shared" si="25"/>
        <v>Quarter 1 1900</v>
      </c>
    </row>
    <row r="1603" spans="11:11">
      <c r="K1603" s="28" t="str">
        <f t="shared" si="25"/>
        <v>Quarter 1 1900</v>
      </c>
    </row>
    <row r="1604" spans="11:11">
      <c r="K1604" s="28" t="str">
        <f t="shared" si="25"/>
        <v>Quarter 1 1900</v>
      </c>
    </row>
    <row r="1605" spans="11:11">
      <c r="K1605" s="28" t="str">
        <f t="shared" si="25"/>
        <v>Quarter 1 1900</v>
      </c>
    </row>
    <row r="1606" spans="11:11">
      <c r="K1606" s="28" t="str">
        <f t="shared" si="25"/>
        <v>Quarter 1 1900</v>
      </c>
    </row>
    <row r="1607" spans="11:11">
      <c r="K1607" s="28" t="str">
        <f t="shared" si="25"/>
        <v>Quarter 1 1900</v>
      </c>
    </row>
    <row r="1608" spans="11:11">
      <c r="K1608" s="28" t="str">
        <f t="shared" si="25"/>
        <v>Quarter 1 1900</v>
      </c>
    </row>
    <row r="1609" spans="11:11">
      <c r="K1609" s="28" t="str">
        <f t="shared" si="25"/>
        <v>Quarter 1 1900</v>
      </c>
    </row>
    <row r="1610" spans="11:11">
      <c r="K1610" s="28" t="str">
        <f t="shared" si="25"/>
        <v>Quarter 1 1900</v>
      </c>
    </row>
    <row r="1611" spans="11:11">
      <c r="K1611" s="28" t="str">
        <f t="shared" si="25"/>
        <v>Quarter 1 1900</v>
      </c>
    </row>
    <row r="1612" spans="11:11">
      <c r="K1612" s="28" t="str">
        <f t="shared" si="25"/>
        <v>Quarter 1 1900</v>
      </c>
    </row>
    <row r="1613" spans="11:11">
      <c r="K1613" s="28" t="str">
        <f t="shared" si="25"/>
        <v>Quarter 1 1900</v>
      </c>
    </row>
    <row r="1614" spans="11:11">
      <c r="K1614" s="28" t="str">
        <f t="shared" si="25"/>
        <v>Quarter 1 1900</v>
      </c>
    </row>
    <row r="1615" spans="11:11">
      <c r="K1615" s="28" t="str">
        <f t="shared" si="25"/>
        <v>Quarter 1 1900</v>
      </c>
    </row>
    <row r="1616" spans="11:11">
      <c r="K1616" s="28" t="str">
        <f t="shared" si="25"/>
        <v>Quarter 1 1900</v>
      </c>
    </row>
    <row r="1617" spans="11:11">
      <c r="K1617" s="28" t="str">
        <f t="shared" si="25"/>
        <v>Quarter 1 1900</v>
      </c>
    </row>
    <row r="1618" spans="11:11">
      <c r="K1618" s="28" t="str">
        <f t="shared" ref="K1618:K1681" si="26">"Quarter "&amp;INT((MONTH(B1618)-1)/3)+1&amp;" "&amp;YEAR(B1618)</f>
        <v>Quarter 1 1900</v>
      </c>
    </row>
    <row r="1619" spans="11:11">
      <c r="K1619" s="28" t="str">
        <f t="shared" si="26"/>
        <v>Quarter 1 1900</v>
      </c>
    </row>
    <row r="1620" spans="11:11">
      <c r="K1620" s="28" t="str">
        <f t="shared" si="26"/>
        <v>Quarter 1 1900</v>
      </c>
    </row>
    <row r="1621" spans="11:11">
      <c r="K1621" s="28" t="str">
        <f t="shared" si="26"/>
        <v>Quarter 1 1900</v>
      </c>
    </row>
    <row r="1622" spans="11:11">
      <c r="K1622" s="28" t="str">
        <f t="shared" si="26"/>
        <v>Quarter 1 1900</v>
      </c>
    </row>
    <row r="1623" spans="11:11">
      <c r="K1623" s="28" t="str">
        <f t="shared" si="26"/>
        <v>Quarter 1 1900</v>
      </c>
    </row>
    <row r="1624" spans="11:11">
      <c r="K1624" s="28" t="str">
        <f t="shared" si="26"/>
        <v>Quarter 1 1900</v>
      </c>
    </row>
    <row r="1625" spans="11:11">
      <c r="K1625" s="28" t="str">
        <f t="shared" si="26"/>
        <v>Quarter 1 1900</v>
      </c>
    </row>
    <row r="1626" spans="11:11">
      <c r="K1626" s="28" t="str">
        <f t="shared" si="26"/>
        <v>Quarter 1 1900</v>
      </c>
    </row>
    <row r="1627" spans="11:11">
      <c r="K1627" s="28" t="str">
        <f t="shared" si="26"/>
        <v>Quarter 1 1900</v>
      </c>
    </row>
    <row r="1628" spans="11:11">
      <c r="K1628" s="28" t="str">
        <f t="shared" si="26"/>
        <v>Quarter 1 1900</v>
      </c>
    </row>
    <row r="1629" spans="11:11">
      <c r="K1629" s="28" t="str">
        <f t="shared" si="26"/>
        <v>Quarter 1 1900</v>
      </c>
    </row>
    <row r="1630" spans="11:11">
      <c r="K1630" s="28" t="str">
        <f t="shared" si="26"/>
        <v>Quarter 1 1900</v>
      </c>
    </row>
    <row r="1631" spans="11:11">
      <c r="K1631" s="28" t="str">
        <f t="shared" si="26"/>
        <v>Quarter 1 1900</v>
      </c>
    </row>
    <row r="1632" spans="11:11">
      <c r="K1632" s="28" t="str">
        <f t="shared" si="26"/>
        <v>Quarter 1 1900</v>
      </c>
    </row>
    <row r="1633" spans="11:11">
      <c r="K1633" s="28" t="str">
        <f t="shared" si="26"/>
        <v>Quarter 1 1900</v>
      </c>
    </row>
    <row r="1634" spans="11:11">
      <c r="K1634" s="28" t="str">
        <f t="shared" si="26"/>
        <v>Quarter 1 1900</v>
      </c>
    </row>
    <row r="1635" spans="11:11">
      <c r="K1635" s="28" t="str">
        <f t="shared" si="26"/>
        <v>Quarter 1 1900</v>
      </c>
    </row>
    <row r="1636" spans="11:11">
      <c r="K1636" s="28" t="str">
        <f t="shared" si="26"/>
        <v>Quarter 1 1900</v>
      </c>
    </row>
    <row r="1637" spans="11:11">
      <c r="K1637" s="28" t="str">
        <f t="shared" si="26"/>
        <v>Quarter 1 1900</v>
      </c>
    </row>
    <row r="1638" spans="11:11">
      <c r="K1638" s="28" t="str">
        <f t="shared" si="26"/>
        <v>Quarter 1 1900</v>
      </c>
    </row>
    <row r="1639" spans="11:11">
      <c r="K1639" s="28" t="str">
        <f t="shared" si="26"/>
        <v>Quarter 1 1900</v>
      </c>
    </row>
    <row r="1640" spans="11:11">
      <c r="K1640" s="28" t="str">
        <f t="shared" si="26"/>
        <v>Quarter 1 1900</v>
      </c>
    </row>
    <row r="1641" spans="11:11">
      <c r="K1641" s="28" t="str">
        <f t="shared" si="26"/>
        <v>Quarter 1 1900</v>
      </c>
    </row>
    <row r="1642" spans="11:11">
      <c r="K1642" s="28" t="str">
        <f t="shared" si="26"/>
        <v>Quarter 1 1900</v>
      </c>
    </row>
    <row r="1643" spans="11:11">
      <c r="K1643" s="28" t="str">
        <f t="shared" si="26"/>
        <v>Quarter 1 1900</v>
      </c>
    </row>
    <row r="1644" spans="11:11">
      <c r="K1644" s="28" t="str">
        <f t="shared" si="26"/>
        <v>Quarter 1 1900</v>
      </c>
    </row>
    <row r="1645" spans="11:11">
      <c r="K1645" s="28" t="str">
        <f t="shared" si="26"/>
        <v>Quarter 1 1900</v>
      </c>
    </row>
    <row r="1646" spans="11:11">
      <c r="K1646" s="28" t="str">
        <f t="shared" si="26"/>
        <v>Quarter 1 1900</v>
      </c>
    </row>
    <row r="1647" spans="11:11">
      <c r="K1647" s="28" t="str">
        <f t="shared" si="26"/>
        <v>Quarter 1 1900</v>
      </c>
    </row>
    <row r="1648" spans="11:11">
      <c r="K1648" s="28" t="str">
        <f t="shared" si="26"/>
        <v>Quarter 1 1900</v>
      </c>
    </row>
    <row r="1649" spans="11:11">
      <c r="K1649" s="28" t="str">
        <f t="shared" si="26"/>
        <v>Quarter 1 1900</v>
      </c>
    </row>
    <row r="1650" spans="11:11">
      <c r="K1650" s="28" t="str">
        <f t="shared" si="26"/>
        <v>Quarter 1 1900</v>
      </c>
    </row>
    <row r="1651" spans="11:11">
      <c r="K1651" s="28" t="str">
        <f t="shared" si="26"/>
        <v>Quarter 1 1900</v>
      </c>
    </row>
    <row r="1652" spans="11:11">
      <c r="K1652" s="28" t="str">
        <f t="shared" si="26"/>
        <v>Quarter 1 1900</v>
      </c>
    </row>
    <row r="1653" spans="11:11">
      <c r="K1653" s="28" t="str">
        <f t="shared" si="26"/>
        <v>Quarter 1 1900</v>
      </c>
    </row>
    <row r="1654" spans="11:11">
      <c r="K1654" s="28" t="str">
        <f t="shared" si="26"/>
        <v>Quarter 1 1900</v>
      </c>
    </row>
    <row r="1655" spans="11:11">
      <c r="K1655" s="28" t="str">
        <f t="shared" si="26"/>
        <v>Quarter 1 1900</v>
      </c>
    </row>
    <row r="1656" spans="11:11">
      <c r="K1656" s="28" t="str">
        <f t="shared" si="26"/>
        <v>Quarter 1 1900</v>
      </c>
    </row>
    <row r="1657" spans="11:11">
      <c r="K1657" s="28" t="str">
        <f t="shared" si="26"/>
        <v>Quarter 1 1900</v>
      </c>
    </row>
    <row r="1658" spans="11:11">
      <c r="K1658" s="28" t="str">
        <f t="shared" si="26"/>
        <v>Quarter 1 1900</v>
      </c>
    </row>
    <row r="1659" spans="11:11">
      <c r="K1659" s="28" t="str">
        <f t="shared" si="26"/>
        <v>Quarter 1 1900</v>
      </c>
    </row>
    <row r="1660" spans="11:11">
      <c r="K1660" s="28" t="str">
        <f t="shared" si="26"/>
        <v>Quarter 1 1900</v>
      </c>
    </row>
    <row r="1661" spans="11:11">
      <c r="K1661" s="28" t="str">
        <f t="shared" si="26"/>
        <v>Quarter 1 1900</v>
      </c>
    </row>
    <row r="1662" spans="11:11">
      <c r="K1662" s="28" t="str">
        <f t="shared" si="26"/>
        <v>Quarter 1 1900</v>
      </c>
    </row>
    <row r="1663" spans="11:11">
      <c r="K1663" s="28" t="str">
        <f t="shared" si="26"/>
        <v>Quarter 1 1900</v>
      </c>
    </row>
    <row r="1664" spans="11:11">
      <c r="K1664" s="28" t="str">
        <f t="shared" si="26"/>
        <v>Quarter 1 1900</v>
      </c>
    </row>
    <row r="1665" spans="11:11">
      <c r="K1665" s="28" t="str">
        <f t="shared" si="26"/>
        <v>Quarter 1 1900</v>
      </c>
    </row>
    <row r="1666" spans="11:11">
      <c r="K1666" s="28" t="str">
        <f t="shared" si="26"/>
        <v>Quarter 1 1900</v>
      </c>
    </row>
    <row r="1667" spans="11:11">
      <c r="K1667" s="28" t="str">
        <f t="shared" si="26"/>
        <v>Quarter 1 1900</v>
      </c>
    </row>
    <row r="1668" spans="11:11">
      <c r="K1668" s="28" t="str">
        <f t="shared" si="26"/>
        <v>Quarter 1 1900</v>
      </c>
    </row>
    <row r="1669" spans="11:11">
      <c r="K1669" s="28" t="str">
        <f t="shared" si="26"/>
        <v>Quarter 1 1900</v>
      </c>
    </row>
    <row r="1670" spans="11:11">
      <c r="K1670" s="28" t="str">
        <f t="shared" si="26"/>
        <v>Quarter 1 1900</v>
      </c>
    </row>
    <row r="1671" spans="11:11">
      <c r="K1671" s="28" t="str">
        <f t="shared" si="26"/>
        <v>Quarter 1 1900</v>
      </c>
    </row>
    <row r="1672" spans="11:11">
      <c r="K1672" s="28" t="str">
        <f t="shared" si="26"/>
        <v>Quarter 1 1900</v>
      </c>
    </row>
    <row r="1673" spans="11:11">
      <c r="K1673" s="28" t="str">
        <f t="shared" si="26"/>
        <v>Quarter 1 1900</v>
      </c>
    </row>
    <row r="1674" spans="11:11">
      <c r="K1674" s="28" t="str">
        <f t="shared" si="26"/>
        <v>Quarter 1 1900</v>
      </c>
    </row>
    <row r="1675" spans="11:11">
      <c r="K1675" s="28" t="str">
        <f t="shared" si="26"/>
        <v>Quarter 1 1900</v>
      </c>
    </row>
    <row r="1676" spans="11:11">
      <c r="K1676" s="28" t="str">
        <f t="shared" si="26"/>
        <v>Quarter 1 1900</v>
      </c>
    </row>
    <row r="1677" spans="11:11">
      <c r="K1677" s="28" t="str">
        <f t="shared" si="26"/>
        <v>Quarter 1 1900</v>
      </c>
    </row>
    <row r="1678" spans="11:11">
      <c r="K1678" s="28" t="str">
        <f t="shared" si="26"/>
        <v>Quarter 1 1900</v>
      </c>
    </row>
    <row r="1679" spans="11:11">
      <c r="K1679" s="28" t="str">
        <f t="shared" si="26"/>
        <v>Quarter 1 1900</v>
      </c>
    </row>
    <row r="1680" spans="11:11">
      <c r="K1680" s="28" t="str">
        <f t="shared" si="26"/>
        <v>Quarter 1 1900</v>
      </c>
    </row>
    <row r="1681" spans="11:11">
      <c r="K1681" s="28" t="str">
        <f t="shared" si="26"/>
        <v>Quarter 1 1900</v>
      </c>
    </row>
    <row r="1682" spans="11:11">
      <c r="K1682" s="28" t="str">
        <f t="shared" ref="K1682:K1745" si="27">"Quarter "&amp;INT((MONTH(B1682)-1)/3)+1&amp;" "&amp;YEAR(B1682)</f>
        <v>Quarter 1 1900</v>
      </c>
    </row>
    <row r="1683" spans="11:11">
      <c r="K1683" s="28" t="str">
        <f t="shared" si="27"/>
        <v>Quarter 1 1900</v>
      </c>
    </row>
    <row r="1684" spans="11:11">
      <c r="K1684" s="28" t="str">
        <f t="shared" si="27"/>
        <v>Quarter 1 1900</v>
      </c>
    </row>
    <row r="1685" spans="11:11">
      <c r="K1685" s="28" t="str">
        <f t="shared" si="27"/>
        <v>Quarter 1 1900</v>
      </c>
    </row>
    <row r="1686" spans="11:11">
      <c r="K1686" s="28" t="str">
        <f t="shared" si="27"/>
        <v>Quarter 1 1900</v>
      </c>
    </row>
    <row r="1687" spans="11:11">
      <c r="K1687" s="28" t="str">
        <f t="shared" si="27"/>
        <v>Quarter 1 1900</v>
      </c>
    </row>
    <row r="1688" spans="11:11">
      <c r="K1688" s="28" t="str">
        <f t="shared" si="27"/>
        <v>Quarter 1 1900</v>
      </c>
    </row>
    <row r="1689" spans="11:11">
      <c r="K1689" s="28" t="str">
        <f t="shared" si="27"/>
        <v>Quarter 1 1900</v>
      </c>
    </row>
    <row r="1690" spans="11:11">
      <c r="K1690" s="28" t="str">
        <f t="shared" si="27"/>
        <v>Quarter 1 1900</v>
      </c>
    </row>
    <row r="1691" spans="11:11">
      <c r="K1691" s="28" t="str">
        <f t="shared" si="27"/>
        <v>Quarter 1 1900</v>
      </c>
    </row>
    <row r="1692" spans="11:11">
      <c r="K1692" s="28" t="str">
        <f t="shared" si="27"/>
        <v>Quarter 1 1900</v>
      </c>
    </row>
    <row r="1693" spans="11:11">
      <c r="K1693" s="28" t="str">
        <f t="shared" si="27"/>
        <v>Quarter 1 1900</v>
      </c>
    </row>
    <row r="1694" spans="11:11">
      <c r="K1694" s="28" t="str">
        <f t="shared" si="27"/>
        <v>Quarter 1 1900</v>
      </c>
    </row>
    <row r="1695" spans="11:11">
      <c r="K1695" s="28" t="str">
        <f t="shared" si="27"/>
        <v>Quarter 1 1900</v>
      </c>
    </row>
    <row r="1696" spans="11:11">
      <c r="K1696" s="28" t="str">
        <f t="shared" si="27"/>
        <v>Quarter 1 1900</v>
      </c>
    </row>
    <row r="1697" spans="11:11">
      <c r="K1697" s="28" t="str">
        <f t="shared" si="27"/>
        <v>Quarter 1 1900</v>
      </c>
    </row>
    <row r="1698" spans="11:11">
      <c r="K1698" s="28" t="str">
        <f t="shared" si="27"/>
        <v>Quarter 1 1900</v>
      </c>
    </row>
    <row r="1699" spans="11:11">
      <c r="K1699" s="28" t="str">
        <f t="shared" si="27"/>
        <v>Quarter 1 1900</v>
      </c>
    </row>
    <row r="1700" spans="11:11">
      <c r="K1700" s="28" t="str">
        <f t="shared" si="27"/>
        <v>Quarter 1 1900</v>
      </c>
    </row>
    <row r="1701" spans="11:11">
      <c r="K1701" s="28" t="str">
        <f t="shared" si="27"/>
        <v>Quarter 1 1900</v>
      </c>
    </row>
    <row r="1702" spans="11:11">
      <c r="K1702" s="28" t="str">
        <f t="shared" si="27"/>
        <v>Quarter 1 1900</v>
      </c>
    </row>
    <row r="1703" spans="11:11">
      <c r="K1703" s="28" t="str">
        <f t="shared" si="27"/>
        <v>Quarter 1 1900</v>
      </c>
    </row>
    <row r="1704" spans="11:11">
      <c r="K1704" s="28" t="str">
        <f t="shared" si="27"/>
        <v>Quarter 1 1900</v>
      </c>
    </row>
    <row r="1705" spans="11:11">
      <c r="K1705" s="28" t="str">
        <f t="shared" si="27"/>
        <v>Quarter 1 1900</v>
      </c>
    </row>
    <row r="1706" spans="11:11">
      <c r="K1706" s="28" t="str">
        <f t="shared" si="27"/>
        <v>Quarter 1 1900</v>
      </c>
    </row>
    <row r="1707" spans="11:11">
      <c r="K1707" s="28" t="str">
        <f t="shared" si="27"/>
        <v>Quarter 1 1900</v>
      </c>
    </row>
    <row r="1708" spans="11:11">
      <c r="K1708" s="28" t="str">
        <f t="shared" si="27"/>
        <v>Quarter 1 1900</v>
      </c>
    </row>
    <row r="1709" spans="11:11">
      <c r="K1709" s="28" t="str">
        <f t="shared" si="27"/>
        <v>Quarter 1 1900</v>
      </c>
    </row>
    <row r="1710" spans="11:11">
      <c r="K1710" s="28" t="str">
        <f t="shared" si="27"/>
        <v>Quarter 1 1900</v>
      </c>
    </row>
    <row r="1711" spans="11:11">
      <c r="K1711" s="28" t="str">
        <f t="shared" si="27"/>
        <v>Quarter 1 1900</v>
      </c>
    </row>
    <row r="1712" spans="11:11">
      <c r="K1712" s="28" t="str">
        <f t="shared" si="27"/>
        <v>Quarter 1 1900</v>
      </c>
    </row>
    <row r="1713" spans="11:11">
      <c r="K1713" s="28" t="str">
        <f t="shared" si="27"/>
        <v>Quarter 1 1900</v>
      </c>
    </row>
    <row r="1714" spans="11:11">
      <c r="K1714" s="28" t="str">
        <f t="shared" si="27"/>
        <v>Quarter 1 1900</v>
      </c>
    </row>
    <row r="1715" spans="11:11">
      <c r="K1715" s="28" t="str">
        <f t="shared" si="27"/>
        <v>Quarter 1 1900</v>
      </c>
    </row>
    <row r="1716" spans="11:11">
      <c r="K1716" s="28" t="str">
        <f t="shared" si="27"/>
        <v>Quarter 1 1900</v>
      </c>
    </row>
    <row r="1717" spans="11:11">
      <c r="K1717" s="28" t="str">
        <f t="shared" si="27"/>
        <v>Quarter 1 1900</v>
      </c>
    </row>
    <row r="1718" spans="11:11">
      <c r="K1718" s="28" t="str">
        <f t="shared" si="27"/>
        <v>Quarter 1 1900</v>
      </c>
    </row>
    <row r="1719" spans="11:11">
      <c r="K1719" s="28" t="str">
        <f t="shared" si="27"/>
        <v>Quarter 1 1900</v>
      </c>
    </row>
    <row r="1720" spans="11:11">
      <c r="K1720" s="28" t="str">
        <f t="shared" si="27"/>
        <v>Quarter 1 1900</v>
      </c>
    </row>
    <row r="1721" spans="11:11">
      <c r="K1721" s="28" t="str">
        <f t="shared" si="27"/>
        <v>Quarter 1 1900</v>
      </c>
    </row>
    <row r="1722" spans="11:11">
      <c r="K1722" s="28" t="str">
        <f t="shared" si="27"/>
        <v>Quarter 1 1900</v>
      </c>
    </row>
    <row r="1723" spans="11:11">
      <c r="K1723" s="28" t="str">
        <f t="shared" si="27"/>
        <v>Quarter 1 1900</v>
      </c>
    </row>
    <row r="1724" spans="11:11">
      <c r="K1724" s="28" t="str">
        <f t="shared" si="27"/>
        <v>Quarter 1 1900</v>
      </c>
    </row>
    <row r="1725" spans="11:11">
      <c r="K1725" s="28" t="str">
        <f t="shared" si="27"/>
        <v>Quarter 1 1900</v>
      </c>
    </row>
    <row r="1726" spans="11:11">
      <c r="K1726" s="28" t="str">
        <f t="shared" si="27"/>
        <v>Quarter 1 1900</v>
      </c>
    </row>
    <row r="1727" spans="11:11">
      <c r="K1727" s="28" t="str">
        <f t="shared" si="27"/>
        <v>Quarter 1 1900</v>
      </c>
    </row>
    <row r="1728" spans="11:11">
      <c r="K1728" s="28" t="str">
        <f t="shared" si="27"/>
        <v>Quarter 1 1900</v>
      </c>
    </row>
    <row r="1729" spans="11:11">
      <c r="K1729" s="28" t="str">
        <f t="shared" si="27"/>
        <v>Quarter 1 1900</v>
      </c>
    </row>
    <row r="1730" spans="11:11">
      <c r="K1730" s="28" t="str">
        <f t="shared" si="27"/>
        <v>Quarter 1 1900</v>
      </c>
    </row>
    <row r="1731" spans="11:11">
      <c r="K1731" s="28" t="str">
        <f t="shared" si="27"/>
        <v>Quarter 1 1900</v>
      </c>
    </row>
    <row r="1732" spans="11:11">
      <c r="K1732" s="28" t="str">
        <f t="shared" si="27"/>
        <v>Quarter 1 1900</v>
      </c>
    </row>
    <row r="1733" spans="11:11">
      <c r="K1733" s="28" t="str">
        <f t="shared" si="27"/>
        <v>Quarter 1 1900</v>
      </c>
    </row>
    <row r="1734" spans="11:11">
      <c r="K1734" s="28" t="str">
        <f t="shared" si="27"/>
        <v>Quarter 1 1900</v>
      </c>
    </row>
    <row r="1735" spans="11:11">
      <c r="K1735" s="28" t="str">
        <f t="shared" si="27"/>
        <v>Quarter 1 1900</v>
      </c>
    </row>
    <row r="1736" spans="11:11">
      <c r="K1736" s="28" t="str">
        <f t="shared" si="27"/>
        <v>Quarter 1 1900</v>
      </c>
    </row>
    <row r="1737" spans="11:11">
      <c r="K1737" s="28" t="str">
        <f t="shared" si="27"/>
        <v>Quarter 1 1900</v>
      </c>
    </row>
    <row r="1738" spans="11:11">
      <c r="K1738" s="28" t="str">
        <f t="shared" si="27"/>
        <v>Quarter 1 1900</v>
      </c>
    </row>
    <row r="1739" spans="11:11">
      <c r="K1739" s="28" t="str">
        <f t="shared" si="27"/>
        <v>Quarter 1 1900</v>
      </c>
    </row>
    <row r="1740" spans="11:11">
      <c r="K1740" s="28" t="str">
        <f t="shared" si="27"/>
        <v>Quarter 1 1900</v>
      </c>
    </row>
    <row r="1741" spans="11:11">
      <c r="K1741" s="28" t="str">
        <f t="shared" si="27"/>
        <v>Quarter 1 1900</v>
      </c>
    </row>
    <row r="1742" spans="11:11">
      <c r="K1742" s="28" t="str">
        <f t="shared" si="27"/>
        <v>Quarter 1 1900</v>
      </c>
    </row>
    <row r="1743" spans="11:11">
      <c r="K1743" s="28" t="str">
        <f t="shared" si="27"/>
        <v>Quarter 1 1900</v>
      </c>
    </row>
    <row r="1744" spans="11:11">
      <c r="K1744" s="28" t="str">
        <f t="shared" si="27"/>
        <v>Quarter 1 1900</v>
      </c>
    </row>
    <row r="1745" spans="11:11">
      <c r="K1745" s="28" t="str">
        <f t="shared" si="27"/>
        <v>Quarter 1 1900</v>
      </c>
    </row>
    <row r="1746" spans="11:11">
      <c r="K1746" s="28" t="str">
        <f t="shared" ref="K1746:K1809" si="28">"Quarter "&amp;INT((MONTH(B1746)-1)/3)+1&amp;" "&amp;YEAR(B1746)</f>
        <v>Quarter 1 1900</v>
      </c>
    </row>
    <row r="1747" spans="11:11">
      <c r="K1747" s="28" t="str">
        <f t="shared" si="28"/>
        <v>Quarter 1 1900</v>
      </c>
    </row>
    <row r="1748" spans="11:11">
      <c r="K1748" s="28" t="str">
        <f t="shared" si="28"/>
        <v>Quarter 1 1900</v>
      </c>
    </row>
    <row r="1749" spans="11:11">
      <c r="K1749" s="28" t="str">
        <f t="shared" si="28"/>
        <v>Quarter 1 1900</v>
      </c>
    </row>
    <row r="1750" spans="11:11">
      <c r="K1750" s="28" t="str">
        <f t="shared" si="28"/>
        <v>Quarter 1 1900</v>
      </c>
    </row>
    <row r="1751" spans="11:11">
      <c r="K1751" s="28" t="str">
        <f t="shared" si="28"/>
        <v>Quarter 1 1900</v>
      </c>
    </row>
    <row r="1752" spans="11:11">
      <c r="K1752" s="28" t="str">
        <f t="shared" si="28"/>
        <v>Quarter 1 1900</v>
      </c>
    </row>
    <row r="1753" spans="11:11">
      <c r="K1753" s="28" t="str">
        <f t="shared" si="28"/>
        <v>Quarter 1 1900</v>
      </c>
    </row>
    <row r="1754" spans="11:11">
      <c r="K1754" s="28" t="str">
        <f t="shared" si="28"/>
        <v>Quarter 1 1900</v>
      </c>
    </row>
    <row r="1755" spans="11:11">
      <c r="K1755" s="28" t="str">
        <f t="shared" si="28"/>
        <v>Quarter 1 1900</v>
      </c>
    </row>
    <row r="1756" spans="11:11">
      <c r="K1756" s="28" t="str">
        <f t="shared" si="28"/>
        <v>Quarter 1 1900</v>
      </c>
    </row>
    <row r="1757" spans="11:11">
      <c r="K1757" s="28" t="str">
        <f t="shared" si="28"/>
        <v>Quarter 1 1900</v>
      </c>
    </row>
    <row r="1758" spans="11:11">
      <c r="K1758" s="28" t="str">
        <f t="shared" si="28"/>
        <v>Quarter 1 1900</v>
      </c>
    </row>
    <row r="1759" spans="11:11">
      <c r="K1759" s="28" t="str">
        <f t="shared" si="28"/>
        <v>Quarter 1 1900</v>
      </c>
    </row>
    <row r="1760" spans="11:11">
      <c r="K1760" s="28" t="str">
        <f t="shared" si="28"/>
        <v>Quarter 1 1900</v>
      </c>
    </row>
    <row r="1761" spans="11:11">
      <c r="K1761" s="28" t="str">
        <f t="shared" si="28"/>
        <v>Quarter 1 1900</v>
      </c>
    </row>
    <row r="1762" spans="11:11">
      <c r="K1762" s="28" t="str">
        <f t="shared" si="28"/>
        <v>Quarter 1 1900</v>
      </c>
    </row>
    <row r="1763" spans="11:11">
      <c r="K1763" s="28" t="str">
        <f t="shared" si="28"/>
        <v>Quarter 1 1900</v>
      </c>
    </row>
    <row r="1764" spans="11:11">
      <c r="K1764" s="28" t="str">
        <f t="shared" si="28"/>
        <v>Quarter 1 1900</v>
      </c>
    </row>
    <row r="1765" spans="11:11">
      <c r="K1765" s="28" t="str">
        <f t="shared" si="28"/>
        <v>Quarter 1 1900</v>
      </c>
    </row>
    <row r="1766" spans="11:11">
      <c r="K1766" s="28" t="str">
        <f t="shared" si="28"/>
        <v>Quarter 1 1900</v>
      </c>
    </row>
    <row r="1767" spans="11:11">
      <c r="K1767" s="28" t="str">
        <f t="shared" si="28"/>
        <v>Quarter 1 1900</v>
      </c>
    </row>
    <row r="1768" spans="11:11">
      <c r="K1768" s="28" t="str">
        <f t="shared" si="28"/>
        <v>Quarter 1 1900</v>
      </c>
    </row>
    <row r="1769" spans="11:11">
      <c r="K1769" s="28" t="str">
        <f t="shared" si="28"/>
        <v>Quarter 1 1900</v>
      </c>
    </row>
    <row r="1770" spans="11:11">
      <c r="K1770" s="28" t="str">
        <f t="shared" si="28"/>
        <v>Quarter 1 1900</v>
      </c>
    </row>
    <row r="1771" spans="11:11">
      <c r="K1771" s="28" t="str">
        <f t="shared" si="28"/>
        <v>Quarter 1 1900</v>
      </c>
    </row>
    <row r="1772" spans="11:11">
      <c r="K1772" s="28" t="str">
        <f t="shared" si="28"/>
        <v>Quarter 1 1900</v>
      </c>
    </row>
    <row r="1773" spans="11:11">
      <c r="K1773" s="28" t="str">
        <f t="shared" si="28"/>
        <v>Quarter 1 1900</v>
      </c>
    </row>
    <row r="1774" spans="11:11">
      <c r="K1774" s="28" t="str">
        <f t="shared" si="28"/>
        <v>Quarter 1 1900</v>
      </c>
    </row>
    <row r="1775" spans="11:11">
      <c r="K1775" s="28" t="str">
        <f t="shared" si="28"/>
        <v>Quarter 1 1900</v>
      </c>
    </row>
    <row r="1776" spans="11:11">
      <c r="K1776" s="28" t="str">
        <f t="shared" si="28"/>
        <v>Quarter 1 1900</v>
      </c>
    </row>
    <row r="1777" spans="11:11">
      <c r="K1777" s="28" t="str">
        <f t="shared" si="28"/>
        <v>Quarter 1 1900</v>
      </c>
    </row>
    <row r="1778" spans="11:11">
      <c r="K1778" s="28" t="str">
        <f t="shared" si="28"/>
        <v>Quarter 1 1900</v>
      </c>
    </row>
    <row r="1779" spans="11:11">
      <c r="K1779" s="28" t="str">
        <f t="shared" si="28"/>
        <v>Quarter 1 1900</v>
      </c>
    </row>
    <row r="1780" spans="11:11">
      <c r="K1780" s="28" t="str">
        <f t="shared" si="28"/>
        <v>Quarter 1 1900</v>
      </c>
    </row>
    <row r="1781" spans="11:11">
      <c r="K1781" s="28" t="str">
        <f t="shared" si="28"/>
        <v>Quarter 1 1900</v>
      </c>
    </row>
    <row r="1782" spans="11:11">
      <c r="K1782" s="28" t="str">
        <f t="shared" si="28"/>
        <v>Quarter 1 1900</v>
      </c>
    </row>
    <row r="1783" spans="11:11">
      <c r="K1783" s="28" t="str">
        <f t="shared" si="28"/>
        <v>Quarter 1 1900</v>
      </c>
    </row>
    <row r="1784" spans="11:11">
      <c r="K1784" s="28" t="str">
        <f t="shared" si="28"/>
        <v>Quarter 1 1900</v>
      </c>
    </row>
    <row r="1785" spans="11:11">
      <c r="K1785" s="28" t="str">
        <f t="shared" si="28"/>
        <v>Quarter 1 1900</v>
      </c>
    </row>
    <row r="1786" spans="11:11">
      <c r="K1786" s="28" t="str">
        <f t="shared" si="28"/>
        <v>Quarter 1 1900</v>
      </c>
    </row>
    <row r="1787" spans="11:11">
      <c r="K1787" s="28" t="str">
        <f t="shared" si="28"/>
        <v>Quarter 1 1900</v>
      </c>
    </row>
    <row r="1788" spans="11:11">
      <c r="K1788" s="28" t="str">
        <f t="shared" si="28"/>
        <v>Quarter 1 1900</v>
      </c>
    </row>
    <row r="1789" spans="11:11">
      <c r="K1789" s="28" t="str">
        <f t="shared" si="28"/>
        <v>Quarter 1 1900</v>
      </c>
    </row>
    <row r="1790" spans="11:11">
      <c r="K1790" s="28" t="str">
        <f t="shared" si="28"/>
        <v>Quarter 1 1900</v>
      </c>
    </row>
    <row r="1791" spans="11:11">
      <c r="K1791" s="28" t="str">
        <f t="shared" si="28"/>
        <v>Quarter 1 1900</v>
      </c>
    </row>
    <row r="1792" spans="11:11">
      <c r="K1792" s="28" t="str">
        <f t="shared" si="28"/>
        <v>Quarter 1 1900</v>
      </c>
    </row>
    <row r="1793" spans="11:11">
      <c r="K1793" s="28" t="str">
        <f t="shared" si="28"/>
        <v>Quarter 1 1900</v>
      </c>
    </row>
    <row r="1794" spans="11:11">
      <c r="K1794" s="28" t="str">
        <f t="shared" si="28"/>
        <v>Quarter 1 1900</v>
      </c>
    </row>
    <row r="1795" spans="11:11">
      <c r="K1795" s="28" t="str">
        <f t="shared" si="28"/>
        <v>Quarter 1 1900</v>
      </c>
    </row>
    <row r="1796" spans="11:11">
      <c r="K1796" s="28" t="str">
        <f t="shared" si="28"/>
        <v>Quarter 1 1900</v>
      </c>
    </row>
    <row r="1797" spans="11:11">
      <c r="K1797" s="28" t="str">
        <f t="shared" si="28"/>
        <v>Quarter 1 1900</v>
      </c>
    </row>
    <row r="1798" spans="11:11">
      <c r="K1798" s="28" t="str">
        <f t="shared" si="28"/>
        <v>Quarter 1 1900</v>
      </c>
    </row>
    <row r="1799" spans="11:11">
      <c r="K1799" s="28" t="str">
        <f t="shared" si="28"/>
        <v>Quarter 1 1900</v>
      </c>
    </row>
    <row r="1800" spans="11:11">
      <c r="K1800" s="28" t="str">
        <f t="shared" si="28"/>
        <v>Quarter 1 1900</v>
      </c>
    </row>
    <row r="1801" spans="11:11">
      <c r="K1801" s="28" t="str">
        <f t="shared" si="28"/>
        <v>Quarter 1 1900</v>
      </c>
    </row>
    <row r="1802" spans="11:11">
      <c r="K1802" s="28" t="str">
        <f t="shared" si="28"/>
        <v>Quarter 1 1900</v>
      </c>
    </row>
    <row r="1803" spans="11:11">
      <c r="K1803" s="28" t="str">
        <f t="shared" si="28"/>
        <v>Quarter 1 1900</v>
      </c>
    </row>
    <row r="1804" spans="11:11">
      <c r="K1804" s="28" t="str">
        <f t="shared" si="28"/>
        <v>Quarter 1 1900</v>
      </c>
    </row>
    <row r="1805" spans="11:11">
      <c r="K1805" s="28" t="str">
        <f t="shared" si="28"/>
        <v>Quarter 1 1900</v>
      </c>
    </row>
    <row r="1806" spans="11:11">
      <c r="K1806" s="28" t="str">
        <f t="shared" si="28"/>
        <v>Quarter 1 1900</v>
      </c>
    </row>
    <row r="1807" spans="11:11">
      <c r="K1807" s="28" t="str">
        <f t="shared" si="28"/>
        <v>Quarter 1 1900</v>
      </c>
    </row>
    <row r="1808" spans="11:11">
      <c r="K1808" s="28" t="str">
        <f t="shared" si="28"/>
        <v>Quarter 1 1900</v>
      </c>
    </row>
    <row r="1809" spans="11:11">
      <c r="K1809" s="28" t="str">
        <f t="shared" si="28"/>
        <v>Quarter 1 1900</v>
      </c>
    </row>
    <row r="1810" spans="11:11">
      <c r="K1810" s="28" t="str">
        <f t="shared" ref="K1810:K1873" si="29">"Quarter "&amp;INT((MONTH(B1810)-1)/3)+1&amp;" "&amp;YEAR(B1810)</f>
        <v>Quarter 1 1900</v>
      </c>
    </row>
    <row r="1811" spans="11:11">
      <c r="K1811" s="28" t="str">
        <f t="shared" si="29"/>
        <v>Quarter 1 1900</v>
      </c>
    </row>
    <row r="1812" spans="11:11">
      <c r="K1812" s="28" t="str">
        <f t="shared" si="29"/>
        <v>Quarter 1 1900</v>
      </c>
    </row>
    <row r="1813" spans="11:11">
      <c r="K1813" s="28" t="str">
        <f t="shared" si="29"/>
        <v>Quarter 1 1900</v>
      </c>
    </row>
    <row r="1814" spans="11:11">
      <c r="K1814" s="28" t="str">
        <f t="shared" si="29"/>
        <v>Quarter 1 1900</v>
      </c>
    </row>
    <row r="1815" spans="11:11">
      <c r="K1815" s="28" t="str">
        <f t="shared" si="29"/>
        <v>Quarter 1 1900</v>
      </c>
    </row>
    <row r="1816" spans="11:11">
      <c r="K1816" s="28" t="str">
        <f t="shared" si="29"/>
        <v>Quarter 1 1900</v>
      </c>
    </row>
    <row r="1817" spans="11:11">
      <c r="K1817" s="28" t="str">
        <f t="shared" si="29"/>
        <v>Quarter 1 1900</v>
      </c>
    </row>
    <row r="1818" spans="11:11">
      <c r="K1818" s="28" t="str">
        <f t="shared" si="29"/>
        <v>Quarter 1 1900</v>
      </c>
    </row>
    <row r="1819" spans="11:11">
      <c r="K1819" s="28" t="str">
        <f t="shared" si="29"/>
        <v>Quarter 1 1900</v>
      </c>
    </row>
    <row r="1820" spans="11:11">
      <c r="K1820" s="28" t="str">
        <f t="shared" si="29"/>
        <v>Quarter 1 1900</v>
      </c>
    </row>
    <row r="1821" spans="11:11">
      <c r="K1821" s="28" t="str">
        <f t="shared" si="29"/>
        <v>Quarter 1 1900</v>
      </c>
    </row>
    <row r="1822" spans="11:11">
      <c r="K1822" s="28" t="str">
        <f t="shared" si="29"/>
        <v>Quarter 1 1900</v>
      </c>
    </row>
    <row r="1823" spans="11:11">
      <c r="K1823" s="28" t="str">
        <f t="shared" si="29"/>
        <v>Quarter 1 1900</v>
      </c>
    </row>
    <row r="1824" spans="11:11">
      <c r="K1824" s="28" t="str">
        <f t="shared" si="29"/>
        <v>Quarter 1 1900</v>
      </c>
    </row>
    <row r="1825" spans="11:11">
      <c r="K1825" s="28" t="str">
        <f t="shared" si="29"/>
        <v>Quarter 1 1900</v>
      </c>
    </row>
    <row r="1826" spans="11:11">
      <c r="K1826" s="28" t="str">
        <f t="shared" si="29"/>
        <v>Quarter 1 1900</v>
      </c>
    </row>
    <row r="1827" spans="11:11">
      <c r="K1827" s="28" t="str">
        <f t="shared" si="29"/>
        <v>Quarter 1 1900</v>
      </c>
    </row>
    <row r="1828" spans="11:11">
      <c r="K1828" s="28" t="str">
        <f t="shared" si="29"/>
        <v>Quarter 1 1900</v>
      </c>
    </row>
    <row r="1829" spans="11:11">
      <c r="K1829" s="28" t="str">
        <f t="shared" si="29"/>
        <v>Quarter 1 1900</v>
      </c>
    </row>
    <row r="1830" spans="11:11">
      <c r="K1830" s="28" t="str">
        <f t="shared" si="29"/>
        <v>Quarter 1 1900</v>
      </c>
    </row>
    <row r="1831" spans="11:11">
      <c r="K1831" s="28" t="str">
        <f t="shared" si="29"/>
        <v>Quarter 1 1900</v>
      </c>
    </row>
    <row r="1832" spans="11:11">
      <c r="K1832" s="28" t="str">
        <f t="shared" si="29"/>
        <v>Quarter 1 1900</v>
      </c>
    </row>
    <row r="1833" spans="11:11">
      <c r="K1833" s="28" t="str">
        <f t="shared" si="29"/>
        <v>Quarter 1 1900</v>
      </c>
    </row>
    <row r="1834" spans="11:11">
      <c r="K1834" s="28" t="str">
        <f t="shared" si="29"/>
        <v>Quarter 1 1900</v>
      </c>
    </row>
    <row r="1835" spans="11:11">
      <c r="K1835" s="28" t="str">
        <f t="shared" si="29"/>
        <v>Quarter 1 1900</v>
      </c>
    </row>
    <row r="1836" spans="11:11">
      <c r="K1836" s="28" t="str">
        <f t="shared" si="29"/>
        <v>Quarter 1 1900</v>
      </c>
    </row>
    <row r="1837" spans="11:11">
      <c r="K1837" s="28" t="str">
        <f t="shared" si="29"/>
        <v>Quarter 1 1900</v>
      </c>
    </row>
    <row r="1838" spans="11:11">
      <c r="K1838" s="28" t="str">
        <f t="shared" si="29"/>
        <v>Quarter 1 1900</v>
      </c>
    </row>
    <row r="1839" spans="11:11">
      <c r="K1839" s="28" t="str">
        <f t="shared" si="29"/>
        <v>Quarter 1 1900</v>
      </c>
    </row>
    <row r="1840" spans="11:11">
      <c r="K1840" s="28" t="str">
        <f t="shared" si="29"/>
        <v>Quarter 1 1900</v>
      </c>
    </row>
    <row r="1841" spans="11:11">
      <c r="K1841" s="28" t="str">
        <f t="shared" si="29"/>
        <v>Quarter 1 1900</v>
      </c>
    </row>
    <row r="1842" spans="11:11">
      <c r="K1842" s="28" t="str">
        <f t="shared" si="29"/>
        <v>Quarter 1 1900</v>
      </c>
    </row>
    <row r="1843" spans="11:11">
      <c r="K1843" s="28" t="str">
        <f t="shared" si="29"/>
        <v>Quarter 1 1900</v>
      </c>
    </row>
    <row r="1844" spans="11:11">
      <c r="K1844" s="28" t="str">
        <f t="shared" si="29"/>
        <v>Quarter 1 1900</v>
      </c>
    </row>
    <row r="1845" spans="11:11">
      <c r="K1845" s="28" t="str">
        <f t="shared" si="29"/>
        <v>Quarter 1 1900</v>
      </c>
    </row>
    <row r="1846" spans="11:11">
      <c r="K1846" s="28" t="str">
        <f t="shared" si="29"/>
        <v>Quarter 1 1900</v>
      </c>
    </row>
    <row r="1847" spans="11:11">
      <c r="K1847" s="28" t="str">
        <f t="shared" si="29"/>
        <v>Quarter 1 1900</v>
      </c>
    </row>
    <row r="1848" spans="11:11">
      <c r="K1848" s="28" t="str">
        <f t="shared" si="29"/>
        <v>Quarter 1 1900</v>
      </c>
    </row>
    <row r="1849" spans="11:11">
      <c r="K1849" s="28" t="str">
        <f t="shared" si="29"/>
        <v>Quarter 1 1900</v>
      </c>
    </row>
    <row r="1850" spans="11:11">
      <c r="K1850" s="28" t="str">
        <f t="shared" si="29"/>
        <v>Quarter 1 1900</v>
      </c>
    </row>
    <row r="1851" spans="11:11">
      <c r="K1851" s="28" t="str">
        <f t="shared" si="29"/>
        <v>Quarter 1 1900</v>
      </c>
    </row>
    <row r="1852" spans="11:11">
      <c r="K1852" s="28" t="str">
        <f t="shared" si="29"/>
        <v>Quarter 1 1900</v>
      </c>
    </row>
    <row r="1853" spans="11:11">
      <c r="K1853" s="28" t="str">
        <f t="shared" si="29"/>
        <v>Quarter 1 1900</v>
      </c>
    </row>
    <row r="1854" spans="11:11">
      <c r="K1854" s="28" t="str">
        <f t="shared" si="29"/>
        <v>Quarter 1 1900</v>
      </c>
    </row>
    <row r="1855" spans="11:11">
      <c r="K1855" s="28" t="str">
        <f t="shared" si="29"/>
        <v>Quarter 1 1900</v>
      </c>
    </row>
    <row r="1856" spans="11:11">
      <c r="K1856" s="28" t="str">
        <f t="shared" si="29"/>
        <v>Quarter 1 1900</v>
      </c>
    </row>
    <row r="1857" spans="11:11">
      <c r="K1857" s="28" t="str">
        <f t="shared" si="29"/>
        <v>Quarter 1 1900</v>
      </c>
    </row>
    <row r="1858" spans="11:11">
      <c r="K1858" s="28" t="str">
        <f t="shared" si="29"/>
        <v>Quarter 1 1900</v>
      </c>
    </row>
    <row r="1859" spans="11:11">
      <c r="K1859" s="28" t="str">
        <f t="shared" si="29"/>
        <v>Quarter 1 1900</v>
      </c>
    </row>
    <row r="1860" spans="11:11">
      <c r="K1860" s="28" t="str">
        <f t="shared" si="29"/>
        <v>Quarter 1 1900</v>
      </c>
    </row>
    <row r="1861" spans="11:11">
      <c r="K1861" s="28" t="str">
        <f t="shared" si="29"/>
        <v>Quarter 1 1900</v>
      </c>
    </row>
    <row r="1862" spans="11:11">
      <c r="K1862" s="28" t="str">
        <f t="shared" si="29"/>
        <v>Quarter 1 1900</v>
      </c>
    </row>
    <row r="1863" spans="11:11">
      <c r="K1863" s="28" t="str">
        <f t="shared" si="29"/>
        <v>Quarter 1 1900</v>
      </c>
    </row>
    <row r="1864" spans="11:11">
      <c r="K1864" s="28" t="str">
        <f t="shared" si="29"/>
        <v>Quarter 1 1900</v>
      </c>
    </row>
    <row r="1865" spans="11:11">
      <c r="K1865" s="28" t="str">
        <f t="shared" si="29"/>
        <v>Quarter 1 1900</v>
      </c>
    </row>
    <row r="1866" spans="11:11">
      <c r="K1866" s="28" t="str">
        <f t="shared" si="29"/>
        <v>Quarter 1 1900</v>
      </c>
    </row>
    <row r="1867" spans="11:11">
      <c r="K1867" s="28" t="str">
        <f t="shared" si="29"/>
        <v>Quarter 1 1900</v>
      </c>
    </row>
    <row r="1868" spans="11:11">
      <c r="K1868" s="28" t="str">
        <f t="shared" si="29"/>
        <v>Quarter 1 1900</v>
      </c>
    </row>
    <row r="1869" spans="11:11">
      <c r="K1869" s="28" t="str">
        <f t="shared" si="29"/>
        <v>Quarter 1 1900</v>
      </c>
    </row>
    <row r="1870" spans="11:11">
      <c r="K1870" s="28" t="str">
        <f t="shared" si="29"/>
        <v>Quarter 1 1900</v>
      </c>
    </row>
    <row r="1871" spans="11:11">
      <c r="K1871" s="28" t="str">
        <f t="shared" si="29"/>
        <v>Quarter 1 1900</v>
      </c>
    </row>
    <row r="1872" spans="11:11">
      <c r="K1872" s="28" t="str">
        <f t="shared" si="29"/>
        <v>Quarter 1 1900</v>
      </c>
    </row>
    <row r="1873" spans="11:11">
      <c r="K1873" s="28" t="str">
        <f t="shared" si="29"/>
        <v>Quarter 1 1900</v>
      </c>
    </row>
    <row r="1874" spans="11:11">
      <c r="K1874" s="28" t="str">
        <f t="shared" ref="K1874:K1937" si="30">"Quarter "&amp;INT((MONTH(B1874)-1)/3)+1&amp;" "&amp;YEAR(B1874)</f>
        <v>Quarter 1 1900</v>
      </c>
    </row>
    <row r="1875" spans="11:11">
      <c r="K1875" s="28" t="str">
        <f t="shared" si="30"/>
        <v>Quarter 1 1900</v>
      </c>
    </row>
    <row r="1876" spans="11:11">
      <c r="K1876" s="28" t="str">
        <f t="shared" si="30"/>
        <v>Quarter 1 1900</v>
      </c>
    </row>
    <row r="1877" spans="11:11">
      <c r="K1877" s="28" t="str">
        <f t="shared" si="30"/>
        <v>Quarter 1 1900</v>
      </c>
    </row>
    <row r="1878" spans="11:11">
      <c r="K1878" s="28" t="str">
        <f t="shared" si="30"/>
        <v>Quarter 1 1900</v>
      </c>
    </row>
    <row r="1879" spans="11:11">
      <c r="K1879" s="28" t="str">
        <f t="shared" si="30"/>
        <v>Quarter 1 1900</v>
      </c>
    </row>
    <row r="1880" spans="11:11">
      <c r="K1880" s="28" t="str">
        <f t="shared" si="30"/>
        <v>Quarter 1 1900</v>
      </c>
    </row>
    <row r="1881" spans="11:11">
      <c r="K1881" s="28" t="str">
        <f t="shared" si="30"/>
        <v>Quarter 1 1900</v>
      </c>
    </row>
    <row r="1882" spans="11:11">
      <c r="K1882" s="28" t="str">
        <f t="shared" si="30"/>
        <v>Quarter 1 1900</v>
      </c>
    </row>
    <row r="1883" spans="11:11">
      <c r="K1883" s="28" t="str">
        <f t="shared" si="30"/>
        <v>Quarter 1 1900</v>
      </c>
    </row>
    <row r="1884" spans="11:11">
      <c r="K1884" s="28" t="str">
        <f t="shared" si="30"/>
        <v>Quarter 1 1900</v>
      </c>
    </row>
    <row r="1885" spans="11:11">
      <c r="K1885" s="28" t="str">
        <f t="shared" si="30"/>
        <v>Quarter 1 1900</v>
      </c>
    </row>
    <row r="1886" spans="11:11">
      <c r="K1886" s="28" t="str">
        <f t="shared" si="30"/>
        <v>Quarter 1 1900</v>
      </c>
    </row>
    <row r="1887" spans="11:11">
      <c r="K1887" s="28" t="str">
        <f t="shared" si="30"/>
        <v>Quarter 1 1900</v>
      </c>
    </row>
    <row r="1888" spans="11:11">
      <c r="K1888" s="28" t="str">
        <f t="shared" si="30"/>
        <v>Quarter 1 1900</v>
      </c>
    </row>
    <row r="1889" spans="11:11">
      <c r="K1889" s="28" t="str">
        <f t="shared" si="30"/>
        <v>Quarter 1 1900</v>
      </c>
    </row>
    <row r="1890" spans="11:11">
      <c r="K1890" s="28" t="str">
        <f t="shared" si="30"/>
        <v>Quarter 1 1900</v>
      </c>
    </row>
    <row r="1891" spans="11:11">
      <c r="K1891" s="28" t="str">
        <f t="shared" si="30"/>
        <v>Quarter 1 1900</v>
      </c>
    </row>
    <row r="1892" spans="11:11">
      <c r="K1892" s="28" t="str">
        <f t="shared" si="30"/>
        <v>Quarter 1 1900</v>
      </c>
    </row>
    <row r="1893" spans="11:11">
      <c r="K1893" s="28" t="str">
        <f t="shared" si="30"/>
        <v>Quarter 1 1900</v>
      </c>
    </row>
    <row r="1894" spans="11:11">
      <c r="K1894" s="28" t="str">
        <f t="shared" si="30"/>
        <v>Quarter 1 1900</v>
      </c>
    </row>
    <row r="1895" spans="11:11">
      <c r="K1895" s="28" t="str">
        <f t="shared" si="30"/>
        <v>Quarter 1 1900</v>
      </c>
    </row>
    <row r="1896" spans="11:11">
      <c r="K1896" s="28" t="str">
        <f t="shared" si="30"/>
        <v>Quarter 1 1900</v>
      </c>
    </row>
    <row r="1897" spans="11:11">
      <c r="K1897" s="28" t="str">
        <f t="shared" si="30"/>
        <v>Quarter 1 1900</v>
      </c>
    </row>
    <row r="1898" spans="11:11">
      <c r="K1898" s="28" t="str">
        <f t="shared" si="30"/>
        <v>Quarter 1 1900</v>
      </c>
    </row>
    <row r="1899" spans="11:11">
      <c r="K1899" s="28" t="str">
        <f t="shared" si="30"/>
        <v>Quarter 1 1900</v>
      </c>
    </row>
    <row r="1900" spans="11:11">
      <c r="K1900" s="28" t="str">
        <f t="shared" si="30"/>
        <v>Quarter 1 1900</v>
      </c>
    </row>
    <row r="1901" spans="11:11">
      <c r="K1901" s="28" t="str">
        <f t="shared" si="30"/>
        <v>Quarter 1 1900</v>
      </c>
    </row>
    <row r="1902" spans="11:11">
      <c r="K1902" s="28" t="str">
        <f t="shared" si="30"/>
        <v>Quarter 1 1900</v>
      </c>
    </row>
    <row r="1903" spans="11:11">
      <c r="K1903" s="28" t="str">
        <f t="shared" si="30"/>
        <v>Quarter 1 1900</v>
      </c>
    </row>
    <row r="1904" spans="11:11">
      <c r="K1904" s="28" t="str">
        <f t="shared" si="30"/>
        <v>Quarter 1 1900</v>
      </c>
    </row>
    <row r="1905" spans="11:11">
      <c r="K1905" s="28" t="str">
        <f t="shared" si="30"/>
        <v>Quarter 1 1900</v>
      </c>
    </row>
    <row r="1906" spans="11:11">
      <c r="K1906" s="28" t="str">
        <f t="shared" si="30"/>
        <v>Quarter 1 1900</v>
      </c>
    </row>
    <row r="1907" spans="11:11">
      <c r="K1907" s="28" t="str">
        <f t="shared" si="30"/>
        <v>Quarter 1 1900</v>
      </c>
    </row>
    <row r="1908" spans="11:11">
      <c r="K1908" s="28" t="str">
        <f t="shared" si="30"/>
        <v>Quarter 1 1900</v>
      </c>
    </row>
    <row r="1909" spans="11:11">
      <c r="K1909" s="28" t="str">
        <f t="shared" si="30"/>
        <v>Quarter 1 1900</v>
      </c>
    </row>
    <row r="1910" spans="11:11">
      <c r="K1910" s="28" t="str">
        <f t="shared" si="30"/>
        <v>Quarter 1 1900</v>
      </c>
    </row>
    <row r="1911" spans="11:11">
      <c r="K1911" s="28" t="str">
        <f t="shared" si="30"/>
        <v>Quarter 1 1900</v>
      </c>
    </row>
    <row r="1912" spans="11:11">
      <c r="K1912" s="28" t="str">
        <f t="shared" si="30"/>
        <v>Quarter 1 1900</v>
      </c>
    </row>
    <row r="1913" spans="11:11">
      <c r="K1913" s="28" t="str">
        <f t="shared" si="30"/>
        <v>Quarter 1 1900</v>
      </c>
    </row>
    <row r="1914" spans="11:11">
      <c r="K1914" s="28" t="str">
        <f t="shared" si="30"/>
        <v>Quarter 1 1900</v>
      </c>
    </row>
    <row r="1915" spans="11:11">
      <c r="K1915" s="28" t="str">
        <f t="shared" si="30"/>
        <v>Quarter 1 1900</v>
      </c>
    </row>
    <row r="1916" spans="11:11">
      <c r="K1916" s="28" t="str">
        <f t="shared" si="30"/>
        <v>Quarter 1 1900</v>
      </c>
    </row>
    <row r="1917" spans="11:11">
      <c r="K1917" s="28" t="str">
        <f t="shared" si="30"/>
        <v>Quarter 1 1900</v>
      </c>
    </row>
    <row r="1918" spans="11:11">
      <c r="K1918" s="28" t="str">
        <f t="shared" si="30"/>
        <v>Quarter 1 1900</v>
      </c>
    </row>
    <row r="1919" spans="11:11">
      <c r="K1919" s="28" t="str">
        <f t="shared" si="30"/>
        <v>Quarter 1 1900</v>
      </c>
    </row>
    <row r="1920" spans="11:11">
      <c r="K1920" s="28" t="str">
        <f t="shared" si="30"/>
        <v>Quarter 1 1900</v>
      </c>
    </row>
    <row r="1921" spans="11:11">
      <c r="K1921" s="28" t="str">
        <f t="shared" si="30"/>
        <v>Quarter 1 1900</v>
      </c>
    </row>
    <row r="1922" spans="11:11">
      <c r="K1922" s="28" t="str">
        <f t="shared" si="30"/>
        <v>Quarter 1 1900</v>
      </c>
    </row>
    <row r="1923" spans="11:11">
      <c r="K1923" s="28" t="str">
        <f t="shared" si="30"/>
        <v>Quarter 1 1900</v>
      </c>
    </row>
    <row r="1924" spans="11:11">
      <c r="K1924" s="28" t="str">
        <f t="shared" si="30"/>
        <v>Quarter 1 1900</v>
      </c>
    </row>
    <row r="1925" spans="11:11">
      <c r="K1925" s="28" t="str">
        <f t="shared" si="30"/>
        <v>Quarter 1 1900</v>
      </c>
    </row>
    <row r="1926" spans="11:11">
      <c r="K1926" s="28" t="str">
        <f t="shared" si="30"/>
        <v>Quarter 1 1900</v>
      </c>
    </row>
    <row r="1927" spans="11:11">
      <c r="K1927" s="28" t="str">
        <f t="shared" si="30"/>
        <v>Quarter 1 1900</v>
      </c>
    </row>
    <row r="1928" spans="11:11">
      <c r="K1928" s="28" t="str">
        <f t="shared" si="30"/>
        <v>Quarter 1 1900</v>
      </c>
    </row>
    <row r="1929" spans="11:11">
      <c r="K1929" s="28" t="str">
        <f t="shared" si="30"/>
        <v>Quarter 1 1900</v>
      </c>
    </row>
    <row r="1930" spans="11:11">
      <c r="K1930" s="28" t="str">
        <f t="shared" si="30"/>
        <v>Quarter 1 1900</v>
      </c>
    </row>
    <row r="1931" spans="11:11">
      <c r="K1931" s="28" t="str">
        <f t="shared" si="30"/>
        <v>Quarter 1 1900</v>
      </c>
    </row>
    <row r="1932" spans="11:11">
      <c r="K1932" s="28" t="str">
        <f t="shared" si="30"/>
        <v>Quarter 1 1900</v>
      </c>
    </row>
    <row r="1933" spans="11:11">
      <c r="K1933" s="28" t="str">
        <f t="shared" si="30"/>
        <v>Quarter 1 1900</v>
      </c>
    </row>
    <row r="1934" spans="11:11">
      <c r="K1934" s="28" t="str">
        <f t="shared" si="30"/>
        <v>Quarter 1 1900</v>
      </c>
    </row>
    <row r="1935" spans="11:11">
      <c r="K1935" s="28" t="str">
        <f t="shared" si="30"/>
        <v>Quarter 1 1900</v>
      </c>
    </row>
    <row r="1936" spans="11:11">
      <c r="K1936" s="28" t="str">
        <f t="shared" si="30"/>
        <v>Quarter 1 1900</v>
      </c>
    </row>
    <row r="1937" spans="11:11">
      <c r="K1937" s="28" t="str">
        <f t="shared" si="30"/>
        <v>Quarter 1 1900</v>
      </c>
    </row>
    <row r="1938" spans="11:11">
      <c r="K1938" s="28" t="str">
        <f t="shared" ref="K1938:K2001" si="31">"Quarter "&amp;INT((MONTH(B1938)-1)/3)+1&amp;" "&amp;YEAR(B1938)</f>
        <v>Quarter 1 1900</v>
      </c>
    </row>
    <row r="1939" spans="11:11">
      <c r="K1939" s="28" t="str">
        <f t="shared" si="31"/>
        <v>Quarter 1 1900</v>
      </c>
    </row>
    <row r="1940" spans="11:11">
      <c r="K1940" s="28" t="str">
        <f t="shared" si="31"/>
        <v>Quarter 1 1900</v>
      </c>
    </row>
    <row r="1941" spans="11:11">
      <c r="K1941" s="28" t="str">
        <f t="shared" si="31"/>
        <v>Quarter 1 1900</v>
      </c>
    </row>
    <row r="1942" spans="11:11">
      <c r="K1942" s="28" t="str">
        <f t="shared" si="31"/>
        <v>Quarter 1 1900</v>
      </c>
    </row>
    <row r="1943" spans="11:11">
      <c r="K1943" s="28" t="str">
        <f t="shared" si="31"/>
        <v>Quarter 1 1900</v>
      </c>
    </row>
    <row r="1944" spans="11:11">
      <c r="K1944" s="28" t="str">
        <f t="shared" si="31"/>
        <v>Quarter 1 1900</v>
      </c>
    </row>
    <row r="1945" spans="11:11">
      <c r="K1945" s="28" t="str">
        <f t="shared" si="31"/>
        <v>Quarter 1 1900</v>
      </c>
    </row>
    <row r="1946" spans="11:11">
      <c r="K1946" s="28" t="str">
        <f t="shared" si="31"/>
        <v>Quarter 1 1900</v>
      </c>
    </row>
    <row r="1947" spans="11:11">
      <c r="K1947" s="28" t="str">
        <f t="shared" si="31"/>
        <v>Quarter 1 1900</v>
      </c>
    </row>
    <row r="1948" spans="11:11">
      <c r="K1948" s="28" t="str">
        <f t="shared" si="31"/>
        <v>Quarter 1 1900</v>
      </c>
    </row>
    <row r="1949" spans="11:11">
      <c r="K1949" s="28" t="str">
        <f t="shared" si="31"/>
        <v>Quarter 1 1900</v>
      </c>
    </row>
    <row r="1950" spans="11:11">
      <c r="K1950" s="28" t="str">
        <f t="shared" si="31"/>
        <v>Quarter 1 1900</v>
      </c>
    </row>
    <row r="1951" spans="11:11">
      <c r="K1951" s="28" t="str">
        <f t="shared" si="31"/>
        <v>Quarter 1 1900</v>
      </c>
    </row>
    <row r="1952" spans="11:11">
      <c r="K1952" s="28" t="str">
        <f t="shared" si="31"/>
        <v>Quarter 1 1900</v>
      </c>
    </row>
    <row r="1953" spans="11:11">
      <c r="K1953" s="28" t="str">
        <f t="shared" si="31"/>
        <v>Quarter 1 1900</v>
      </c>
    </row>
    <row r="1954" spans="11:11">
      <c r="K1954" s="28" t="str">
        <f t="shared" si="31"/>
        <v>Quarter 1 1900</v>
      </c>
    </row>
    <row r="1955" spans="11:11">
      <c r="K1955" s="28" t="str">
        <f t="shared" si="31"/>
        <v>Quarter 1 1900</v>
      </c>
    </row>
    <row r="1956" spans="11:11">
      <c r="K1956" s="28" t="str">
        <f t="shared" si="31"/>
        <v>Quarter 1 1900</v>
      </c>
    </row>
    <row r="1957" spans="11:11">
      <c r="K1957" s="28" t="str">
        <f t="shared" si="31"/>
        <v>Quarter 1 1900</v>
      </c>
    </row>
    <row r="1958" spans="11:11">
      <c r="K1958" s="28" t="str">
        <f t="shared" si="31"/>
        <v>Quarter 1 1900</v>
      </c>
    </row>
    <row r="1959" spans="11:11">
      <c r="K1959" s="28" t="str">
        <f t="shared" si="31"/>
        <v>Quarter 1 1900</v>
      </c>
    </row>
    <row r="1960" spans="11:11">
      <c r="K1960" s="28" t="str">
        <f t="shared" si="31"/>
        <v>Quarter 1 1900</v>
      </c>
    </row>
    <row r="1961" spans="11:11">
      <c r="K1961" s="28" t="str">
        <f t="shared" si="31"/>
        <v>Quarter 1 1900</v>
      </c>
    </row>
    <row r="1962" spans="11:11">
      <c r="K1962" s="28" t="str">
        <f t="shared" si="31"/>
        <v>Quarter 1 1900</v>
      </c>
    </row>
    <row r="1963" spans="11:11">
      <c r="K1963" s="28" t="str">
        <f t="shared" si="31"/>
        <v>Quarter 1 1900</v>
      </c>
    </row>
    <row r="1964" spans="11:11">
      <c r="K1964" s="28" t="str">
        <f t="shared" si="31"/>
        <v>Quarter 1 1900</v>
      </c>
    </row>
    <row r="1965" spans="11:11">
      <c r="K1965" s="28" t="str">
        <f t="shared" si="31"/>
        <v>Quarter 1 1900</v>
      </c>
    </row>
    <row r="1966" spans="11:11">
      <c r="K1966" s="28" t="str">
        <f t="shared" si="31"/>
        <v>Quarter 1 1900</v>
      </c>
    </row>
    <row r="1967" spans="11:11">
      <c r="K1967" s="28" t="str">
        <f t="shared" si="31"/>
        <v>Quarter 1 1900</v>
      </c>
    </row>
    <row r="1968" spans="11:11">
      <c r="K1968" s="28" t="str">
        <f t="shared" si="31"/>
        <v>Quarter 1 1900</v>
      </c>
    </row>
    <row r="1969" spans="11:11">
      <c r="K1969" s="28" t="str">
        <f t="shared" si="31"/>
        <v>Quarter 1 1900</v>
      </c>
    </row>
    <row r="1970" spans="11:11">
      <c r="K1970" s="28" t="str">
        <f t="shared" si="31"/>
        <v>Quarter 1 1900</v>
      </c>
    </row>
    <row r="1971" spans="11:11">
      <c r="K1971" s="28" t="str">
        <f t="shared" si="31"/>
        <v>Quarter 1 1900</v>
      </c>
    </row>
    <row r="1972" spans="11:11">
      <c r="K1972" s="28" t="str">
        <f t="shared" si="31"/>
        <v>Quarter 1 1900</v>
      </c>
    </row>
    <row r="1973" spans="11:11">
      <c r="K1973" s="28" t="str">
        <f t="shared" si="31"/>
        <v>Quarter 1 1900</v>
      </c>
    </row>
    <row r="1974" spans="11:11">
      <c r="K1974" s="28" t="str">
        <f t="shared" si="31"/>
        <v>Quarter 1 1900</v>
      </c>
    </row>
    <row r="1975" spans="11:11">
      <c r="K1975" s="28" t="str">
        <f t="shared" si="31"/>
        <v>Quarter 1 1900</v>
      </c>
    </row>
    <row r="1976" spans="11:11">
      <c r="K1976" s="28" t="str">
        <f t="shared" si="31"/>
        <v>Quarter 1 1900</v>
      </c>
    </row>
    <row r="1977" spans="11:11">
      <c r="K1977" s="28" t="str">
        <f t="shared" si="31"/>
        <v>Quarter 1 1900</v>
      </c>
    </row>
    <row r="1978" spans="11:11">
      <c r="K1978" s="28" t="str">
        <f t="shared" si="31"/>
        <v>Quarter 1 1900</v>
      </c>
    </row>
    <row r="1979" spans="11:11">
      <c r="K1979" s="28" t="str">
        <f t="shared" si="31"/>
        <v>Quarter 1 1900</v>
      </c>
    </row>
    <row r="1980" spans="11:11">
      <c r="K1980" s="28" t="str">
        <f t="shared" si="31"/>
        <v>Quarter 1 1900</v>
      </c>
    </row>
    <row r="1981" spans="11:11">
      <c r="K1981" s="28" t="str">
        <f t="shared" si="31"/>
        <v>Quarter 1 1900</v>
      </c>
    </row>
    <row r="1982" spans="11:11">
      <c r="K1982" s="28" t="str">
        <f t="shared" si="31"/>
        <v>Quarter 1 1900</v>
      </c>
    </row>
    <row r="1983" spans="11:11">
      <c r="K1983" s="28" t="str">
        <f t="shared" si="31"/>
        <v>Quarter 1 1900</v>
      </c>
    </row>
    <row r="1984" spans="11:11">
      <c r="K1984" s="28" t="str">
        <f t="shared" si="31"/>
        <v>Quarter 1 1900</v>
      </c>
    </row>
    <row r="1985" spans="11:11">
      <c r="K1985" s="28" t="str">
        <f t="shared" si="31"/>
        <v>Quarter 1 1900</v>
      </c>
    </row>
    <row r="1986" spans="11:11">
      <c r="K1986" s="28" t="str">
        <f t="shared" si="31"/>
        <v>Quarter 1 1900</v>
      </c>
    </row>
    <row r="1987" spans="11:11">
      <c r="K1987" s="28" t="str">
        <f t="shared" si="31"/>
        <v>Quarter 1 1900</v>
      </c>
    </row>
    <row r="1988" spans="11:11">
      <c r="K1988" s="28" t="str">
        <f t="shared" si="31"/>
        <v>Quarter 1 1900</v>
      </c>
    </row>
    <row r="1989" spans="11:11">
      <c r="K1989" s="28" t="str">
        <f t="shared" si="31"/>
        <v>Quarter 1 1900</v>
      </c>
    </row>
    <row r="1990" spans="11:11">
      <c r="K1990" s="28" t="str">
        <f t="shared" si="31"/>
        <v>Quarter 1 1900</v>
      </c>
    </row>
    <row r="1991" spans="11:11">
      <c r="K1991" s="28" t="str">
        <f t="shared" si="31"/>
        <v>Quarter 1 1900</v>
      </c>
    </row>
    <row r="1992" spans="11:11">
      <c r="K1992" s="28" t="str">
        <f t="shared" si="31"/>
        <v>Quarter 1 1900</v>
      </c>
    </row>
    <row r="1993" spans="11:11">
      <c r="K1993" s="28" t="str">
        <f t="shared" si="31"/>
        <v>Quarter 1 1900</v>
      </c>
    </row>
    <row r="1994" spans="11:11">
      <c r="K1994" s="28" t="str">
        <f t="shared" si="31"/>
        <v>Quarter 1 1900</v>
      </c>
    </row>
    <row r="1995" spans="11:11">
      <c r="K1995" s="28" t="str">
        <f t="shared" si="31"/>
        <v>Quarter 1 1900</v>
      </c>
    </row>
    <row r="1996" spans="11:11">
      <c r="K1996" s="28" t="str">
        <f t="shared" si="31"/>
        <v>Quarter 1 1900</v>
      </c>
    </row>
    <row r="1997" spans="11:11">
      <c r="K1997" s="28" t="str">
        <f t="shared" si="31"/>
        <v>Quarter 1 1900</v>
      </c>
    </row>
    <row r="1998" spans="11:11">
      <c r="K1998" s="28" t="str">
        <f t="shared" si="31"/>
        <v>Quarter 1 1900</v>
      </c>
    </row>
    <row r="1999" spans="11:11">
      <c r="K1999" s="28" t="str">
        <f t="shared" si="31"/>
        <v>Quarter 1 1900</v>
      </c>
    </row>
    <row r="2000" spans="11:11">
      <c r="K2000" s="28" t="str">
        <f t="shared" si="31"/>
        <v>Quarter 1 1900</v>
      </c>
    </row>
    <row r="2001" spans="11:11">
      <c r="K2001" s="28" t="str">
        <f t="shared" si="31"/>
        <v>Quarter 1 1900</v>
      </c>
    </row>
    <row r="2002" spans="11:11">
      <c r="K2002" s="28" t="str">
        <f t="shared" ref="K2002:K2065" si="32">"Quarter "&amp;INT((MONTH(B2002)-1)/3)+1&amp;" "&amp;YEAR(B2002)</f>
        <v>Quarter 1 1900</v>
      </c>
    </row>
    <row r="2003" spans="11:11">
      <c r="K2003" s="28" t="str">
        <f t="shared" si="32"/>
        <v>Quarter 1 1900</v>
      </c>
    </row>
    <row r="2004" spans="11:11">
      <c r="K2004" s="28" t="str">
        <f t="shared" si="32"/>
        <v>Quarter 1 1900</v>
      </c>
    </row>
    <row r="2005" spans="11:11">
      <c r="K2005" s="28" t="str">
        <f t="shared" si="32"/>
        <v>Quarter 1 1900</v>
      </c>
    </row>
    <row r="2006" spans="11:11">
      <c r="K2006" s="28" t="str">
        <f t="shared" si="32"/>
        <v>Quarter 1 1900</v>
      </c>
    </row>
    <row r="2007" spans="11:11">
      <c r="K2007" s="28" t="str">
        <f t="shared" si="32"/>
        <v>Quarter 1 1900</v>
      </c>
    </row>
    <row r="2008" spans="11:11">
      <c r="K2008" s="28" t="str">
        <f t="shared" si="32"/>
        <v>Quarter 1 1900</v>
      </c>
    </row>
    <row r="2009" spans="11:11">
      <c r="K2009" s="28" t="str">
        <f t="shared" si="32"/>
        <v>Quarter 1 1900</v>
      </c>
    </row>
    <row r="2010" spans="11:11">
      <c r="K2010" s="28" t="str">
        <f t="shared" si="32"/>
        <v>Quarter 1 1900</v>
      </c>
    </row>
    <row r="2011" spans="11:11">
      <c r="K2011" s="28" t="str">
        <f t="shared" si="32"/>
        <v>Quarter 1 1900</v>
      </c>
    </row>
    <row r="2012" spans="11:11">
      <c r="K2012" s="28" t="str">
        <f t="shared" si="32"/>
        <v>Quarter 1 1900</v>
      </c>
    </row>
    <row r="2013" spans="11:11">
      <c r="K2013" s="28" t="str">
        <f t="shared" si="32"/>
        <v>Quarter 1 1900</v>
      </c>
    </row>
    <row r="2014" spans="11:11">
      <c r="K2014" s="28" t="str">
        <f t="shared" si="32"/>
        <v>Quarter 1 1900</v>
      </c>
    </row>
    <row r="2015" spans="11:11">
      <c r="K2015" s="28" t="str">
        <f t="shared" si="32"/>
        <v>Quarter 1 1900</v>
      </c>
    </row>
    <row r="2016" spans="11:11">
      <c r="K2016" s="28" t="str">
        <f t="shared" si="32"/>
        <v>Quarter 1 1900</v>
      </c>
    </row>
    <row r="2017" spans="11:11">
      <c r="K2017" s="28" t="str">
        <f t="shared" si="32"/>
        <v>Quarter 1 1900</v>
      </c>
    </row>
    <row r="2018" spans="11:11">
      <c r="K2018" s="28" t="str">
        <f t="shared" si="32"/>
        <v>Quarter 1 1900</v>
      </c>
    </row>
    <row r="2019" spans="11:11">
      <c r="K2019" s="28" t="str">
        <f t="shared" si="32"/>
        <v>Quarter 1 1900</v>
      </c>
    </row>
    <row r="2020" spans="11:11">
      <c r="K2020" s="28" t="str">
        <f t="shared" si="32"/>
        <v>Quarter 1 1900</v>
      </c>
    </row>
    <row r="2021" spans="11:11">
      <c r="K2021" s="28" t="str">
        <f t="shared" si="32"/>
        <v>Quarter 1 1900</v>
      </c>
    </row>
    <row r="2022" spans="11:11">
      <c r="K2022" s="28" t="str">
        <f t="shared" si="32"/>
        <v>Quarter 1 1900</v>
      </c>
    </row>
    <row r="2023" spans="11:11">
      <c r="K2023" s="28" t="str">
        <f t="shared" si="32"/>
        <v>Quarter 1 1900</v>
      </c>
    </row>
    <row r="2024" spans="11:11">
      <c r="K2024" s="28" t="str">
        <f t="shared" si="32"/>
        <v>Quarter 1 1900</v>
      </c>
    </row>
    <row r="2025" spans="11:11">
      <c r="K2025" s="28" t="str">
        <f t="shared" si="32"/>
        <v>Quarter 1 1900</v>
      </c>
    </row>
    <row r="2026" spans="11:11">
      <c r="K2026" s="28" t="str">
        <f t="shared" si="32"/>
        <v>Quarter 1 1900</v>
      </c>
    </row>
    <row r="2027" spans="11:11">
      <c r="K2027" s="28" t="str">
        <f t="shared" si="32"/>
        <v>Quarter 1 1900</v>
      </c>
    </row>
    <row r="2028" spans="11:11">
      <c r="K2028" s="28" t="str">
        <f t="shared" si="32"/>
        <v>Quarter 1 1900</v>
      </c>
    </row>
    <row r="2029" spans="11:11">
      <c r="K2029" s="28" t="str">
        <f t="shared" si="32"/>
        <v>Quarter 1 1900</v>
      </c>
    </row>
    <row r="2030" spans="11:11">
      <c r="K2030" s="28" t="str">
        <f t="shared" si="32"/>
        <v>Quarter 1 1900</v>
      </c>
    </row>
    <row r="2031" spans="11:11">
      <c r="K2031" s="28" t="str">
        <f t="shared" si="32"/>
        <v>Quarter 1 1900</v>
      </c>
    </row>
    <row r="2032" spans="11:11">
      <c r="K2032" s="28" t="str">
        <f t="shared" si="32"/>
        <v>Quarter 1 1900</v>
      </c>
    </row>
    <row r="2033" spans="11:11">
      <c r="K2033" s="28" t="str">
        <f t="shared" si="32"/>
        <v>Quarter 1 1900</v>
      </c>
    </row>
    <row r="2034" spans="11:11">
      <c r="K2034" s="28" t="str">
        <f t="shared" si="32"/>
        <v>Quarter 1 1900</v>
      </c>
    </row>
    <row r="2035" spans="11:11">
      <c r="K2035" s="28" t="str">
        <f t="shared" si="32"/>
        <v>Quarter 1 1900</v>
      </c>
    </row>
    <row r="2036" spans="11:11">
      <c r="K2036" s="28" t="str">
        <f t="shared" si="32"/>
        <v>Quarter 1 1900</v>
      </c>
    </row>
    <row r="2037" spans="11:11">
      <c r="K2037" s="28" t="str">
        <f t="shared" si="32"/>
        <v>Quarter 1 1900</v>
      </c>
    </row>
    <row r="2038" spans="11:11">
      <c r="K2038" s="28" t="str">
        <f t="shared" si="32"/>
        <v>Quarter 1 1900</v>
      </c>
    </row>
    <row r="2039" spans="11:11">
      <c r="K2039" s="28" t="str">
        <f t="shared" si="32"/>
        <v>Quarter 1 1900</v>
      </c>
    </row>
    <row r="2040" spans="11:11">
      <c r="K2040" s="28" t="str">
        <f t="shared" si="32"/>
        <v>Quarter 1 1900</v>
      </c>
    </row>
    <row r="2041" spans="11:11">
      <c r="K2041" s="28" t="str">
        <f t="shared" si="32"/>
        <v>Quarter 1 1900</v>
      </c>
    </row>
    <row r="2042" spans="11:11">
      <c r="K2042" s="28" t="str">
        <f t="shared" si="32"/>
        <v>Quarter 1 1900</v>
      </c>
    </row>
    <row r="2043" spans="11:11">
      <c r="K2043" s="28" t="str">
        <f t="shared" si="32"/>
        <v>Quarter 1 1900</v>
      </c>
    </row>
    <row r="2044" spans="11:11">
      <c r="K2044" s="28" t="str">
        <f t="shared" si="32"/>
        <v>Quarter 1 1900</v>
      </c>
    </row>
    <row r="2045" spans="11:11">
      <c r="K2045" s="28" t="str">
        <f t="shared" si="32"/>
        <v>Quarter 1 1900</v>
      </c>
    </row>
    <row r="2046" spans="11:11">
      <c r="K2046" s="28" t="str">
        <f t="shared" si="32"/>
        <v>Quarter 1 1900</v>
      </c>
    </row>
    <row r="2047" spans="11:11">
      <c r="K2047" s="28" t="str">
        <f t="shared" si="32"/>
        <v>Quarter 1 1900</v>
      </c>
    </row>
    <row r="2048" spans="11:11">
      <c r="K2048" s="28" t="str">
        <f t="shared" si="32"/>
        <v>Quarter 1 1900</v>
      </c>
    </row>
    <row r="2049" spans="11:11">
      <c r="K2049" s="28" t="str">
        <f t="shared" si="32"/>
        <v>Quarter 1 1900</v>
      </c>
    </row>
    <row r="2050" spans="11:11">
      <c r="K2050" s="28" t="str">
        <f t="shared" si="32"/>
        <v>Quarter 1 1900</v>
      </c>
    </row>
    <row r="2051" spans="11:11">
      <c r="K2051" s="28" t="str">
        <f t="shared" si="32"/>
        <v>Quarter 1 1900</v>
      </c>
    </row>
    <row r="2052" spans="11:11">
      <c r="K2052" s="28" t="str">
        <f t="shared" si="32"/>
        <v>Quarter 1 1900</v>
      </c>
    </row>
    <row r="2053" spans="11:11">
      <c r="K2053" s="28" t="str">
        <f t="shared" si="32"/>
        <v>Quarter 1 1900</v>
      </c>
    </row>
    <row r="2054" spans="11:11">
      <c r="K2054" s="28" t="str">
        <f t="shared" si="32"/>
        <v>Quarter 1 1900</v>
      </c>
    </row>
    <row r="2055" spans="11:11">
      <c r="K2055" s="28" t="str">
        <f t="shared" si="32"/>
        <v>Quarter 1 1900</v>
      </c>
    </row>
    <row r="2056" spans="11:11">
      <c r="K2056" s="28" t="str">
        <f t="shared" si="32"/>
        <v>Quarter 1 1900</v>
      </c>
    </row>
    <row r="2057" spans="11:11">
      <c r="K2057" s="28" t="str">
        <f t="shared" si="32"/>
        <v>Quarter 1 1900</v>
      </c>
    </row>
    <row r="2058" spans="11:11">
      <c r="K2058" s="28" t="str">
        <f t="shared" si="32"/>
        <v>Quarter 1 1900</v>
      </c>
    </row>
    <row r="2059" spans="11:11">
      <c r="K2059" s="28" t="str">
        <f t="shared" si="32"/>
        <v>Quarter 1 1900</v>
      </c>
    </row>
    <row r="2060" spans="11:11">
      <c r="K2060" s="28" t="str">
        <f t="shared" si="32"/>
        <v>Quarter 1 1900</v>
      </c>
    </row>
    <row r="2061" spans="11:11">
      <c r="K2061" s="28" t="str">
        <f t="shared" si="32"/>
        <v>Quarter 1 1900</v>
      </c>
    </row>
    <row r="2062" spans="11:11">
      <c r="K2062" s="28" t="str">
        <f t="shared" si="32"/>
        <v>Quarter 1 1900</v>
      </c>
    </row>
    <row r="2063" spans="11:11">
      <c r="K2063" s="28" t="str">
        <f t="shared" si="32"/>
        <v>Quarter 1 1900</v>
      </c>
    </row>
    <row r="2064" spans="11:11">
      <c r="K2064" s="28" t="str">
        <f t="shared" si="32"/>
        <v>Quarter 1 1900</v>
      </c>
    </row>
    <row r="2065" spans="11:11">
      <c r="K2065" s="28" t="str">
        <f t="shared" si="32"/>
        <v>Quarter 1 1900</v>
      </c>
    </row>
    <row r="2066" spans="11:11">
      <c r="K2066" s="28" t="str">
        <f t="shared" ref="K2066:K2129" si="33">"Quarter "&amp;INT((MONTH(B2066)-1)/3)+1&amp;" "&amp;YEAR(B2066)</f>
        <v>Quarter 1 1900</v>
      </c>
    </row>
    <row r="2067" spans="11:11">
      <c r="K2067" s="28" t="str">
        <f t="shared" si="33"/>
        <v>Quarter 1 1900</v>
      </c>
    </row>
    <row r="2068" spans="11:11">
      <c r="K2068" s="28" t="str">
        <f t="shared" si="33"/>
        <v>Quarter 1 1900</v>
      </c>
    </row>
    <row r="2069" spans="11:11">
      <c r="K2069" s="28" t="str">
        <f t="shared" si="33"/>
        <v>Quarter 1 1900</v>
      </c>
    </row>
    <row r="2070" spans="11:11">
      <c r="K2070" s="28" t="str">
        <f t="shared" si="33"/>
        <v>Quarter 1 1900</v>
      </c>
    </row>
    <row r="2071" spans="11:11">
      <c r="K2071" s="28" t="str">
        <f t="shared" si="33"/>
        <v>Quarter 1 1900</v>
      </c>
    </row>
    <row r="2072" spans="11:11">
      <c r="K2072" s="28" t="str">
        <f t="shared" si="33"/>
        <v>Quarter 1 1900</v>
      </c>
    </row>
    <row r="2073" spans="11:11">
      <c r="K2073" s="28" t="str">
        <f t="shared" si="33"/>
        <v>Quarter 1 1900</v>
      </c>
    </row>
    <row r="2074" spans="11:11">
      <c r="K2074" s="28" t="str">
        <f t="shared" si="33"/>
        <v>Quarter 1 1900</v>
      </c>
    </row>
    <row r="2075" spans="11:11">
      <c r="K2075" s="28" t="str">
        <f t="shared" si="33"/>
        <v>Quarter 1 1900</v>
      </c>
    </row>
    <row r="2076" spans="11:11">
      <c r="K2076" s="28" t="str">
        <f t="shared" si="33"/>
        <v>Quarter 1 1900</v>
      </c>
    </row>
    <row r="2077" spans="11:11">
      <c r="K2077" s="28" t="str">
        <f t="shared" si="33"/>
        <v>Quarter 1 1900</v>
      </c>
    </row>
    <row r="2078" spans="11:11">
      <c r="K2078" s="28" t="str">
        <f t="shared" si="33"/>
        <v>Quarter 1 1900</v>
      </c>
    </row>
    <row r="2079" spans="11:11">
      <c r="K2079" s="28" t="str">
        <f t="shared" si="33"/>
        <v>Quarter 1 1900</v>
      </c>
    </row>
    <row r="2080" spans="11:11">
      <c r="K2080" s="28" t="str">
        <f t="shared" si="33"/>
        <v>Quarter 1 1900</v>
      </c>
    </row>
    <row r="2081" spans="11:11">
      <c r="K2081" s="28" t="str">
        <f t="shared" si="33"/>
        <v>Quarter 1 1900</v>
      </c>
    </row>
    <row r="2082" spans="11:11">
      <c r="K2082" s="28" t="str">
        <f t="shared" si="33"/>
        <v>Quarter 1 1900</v>
      </c>
    </row>
    <row r="2083" spans="11:11">
      <c r="K2083" s="28" t="str">
        <f t="shared" si="33"/>
        <v>Quarter 1 1900</v>
      </c>
    </row>
    <row r="2084" spans="11:11">
      <c r="K2084" s="28" t="str">
        <f t="shared" si="33"/>
        <v>Quarter 1 1900</v>
      </c>
    </row>
    <row r="2085" spans="11:11">
      <c r="K2085" s="28" t="str">
        <f t="shared" si="33"/>
        <v>Quarter 1 1900</v>
      </c>
    </row>
    <row r="2086" spans="11:11">
      <c r="K2086" s="28" t="str">
        <f t="shared" si="33"/>
        <v>Quarter 1 1900</v>
      </c>
    </row>
    <row r="2087" spans="11:11">
      <c r="K2087" s="28" t="str">
        <f t="shared" si="33"/>
        <v>Quarter 1 1900</v>
      </c>
    </row>
    <row r="2088" spans="11:11">
      <c r="K2088" s="28" t="str">
        <f t="shared" si="33"/>
        <v>Quarter 1 1900</v>
      </c>
    </row>
    <row r="2089" spans="11:11">
      <c r="K2089" s="28" t="str">
        <f t="shared" si="33"/>
        <v>Quarter 1 1900</v>
      </c>
    </row>
    <row r="2090" spans="11:11">
      <c r="K2090" s="28" t="str">
        <f t="shared" si="33"/>
        <v>Quarter 1 1900</v>
      </c>
    </row>
    <row r="2091" spans="11:11">
      <c r="K2091" s="28" t="str">
        <f t="shared" si="33"/>
        <v>Quarter 1 1900</v>
      </c>
    </row>
    <row r="2092" spans="11:11">
      <c r="K2092" s="28" t="str">
        <f t="shared" si="33"/>
        <v>Quarter 1 1900</v>
      </c>
    </row>
    <row r="2093" spans="11:11">
      <c r="K2093" s="28" t="str">
        <f t="shared" si="33"/>
        <v>Quarter 1 1900</v>
      </c>
    </row>
    <row r="2094" spans="11:11">
      <c r="K2094" s="28" t="str">
        <f t="shared" si="33"/>
        <v>Quarter 1 1900</v>
      </c>
    </row>
    <row r="2095" spans="11:11">
      <c r="K2095" s="28" t="str">
        <f t="shared" si="33"/>
        <v>Quarter 1 1900</v>
      </c>
    </row>
    <row r="2096" spans="11:11">
      <c r="K2096" s="28" t="str">
        <f t="shared" si="33"/>
        <v>Quarter 1 1900</v>
      </c>
    </row>
    <row r="2097" spans="11:11">
      <c r="K2097" s="28" t="str">
        <f t="shared" si="33"/>
        <v>Quarter 1 1900</v>
      </c>
    </row>
    <row r="2098" spans="11:11">
      <c r="K2098" s="28" t="str">
        <f t="shared" si="33"/>
        <v>Quarter 1 1900</v>
      </c>
    </row>
    <row r="2099" spans="11:11">
      <c r="K2099" s="28" t="str">
        <f t="shared" si="33"/>
        <v>Quarter 1 1900</v>
      </c>
    </row>
    <row r="2100" spans="11:11">
      <c r="K2100" s="28" t="str">
        <f t="shared" si="33"/>
        <v>Quarter 1 1900</v>
      </c>
    </row>
    <row r="2101" spans="11:11">
      <c r="K2101" s="28" t="str">
        <f t="shared" si="33"/>
        <v>Quarter 1 1900</v>
      </c>
    </row>
    <row r="2102" spans="11:11">
      <c r="K2102" s="28" t="str">
        <f t="shared" si="33"/>
        <v>Quarter 1 1900</v>
      </c>
    </row>
    <row r="2103" spans="11:11">
      <c r="K2103" s="28" t="str">
        <f t="shared" si="33"/>
        <v>Quarter 1 1900</v>
      </c>
    </row>
    <row r="2104" spans="11:11">
      <c r="K2104" s="28" t="str">
        <f t="shared" si="33"/>
        <v>Quarter 1 1900</v>
      </c>
    </row>
    <row r="2105" spans="11:11">
      <c r="K2105" s="28" t="str">
        <f t="shared" si="33"/>
        <v>Quarter 1 1900</v>
      </c>
    </row>
    <row r="2106" spans="11:11">
      <c r="K2106" s="28" t="str">
        <f t="shared" si="33"/>
        <v>Quarter 1 1900</v>
      </c>
    </row>
    <row r="2107" spans="11:11">
      <c r="K2107" s="28" t="str">
        <f t="shared" si="33"/>
        <v>Quarter 1 1900</v>
      </c>
    </row>
    <row r="2108" spans="11:11">
      <c r="K2108" s="28" t="str">
        <f t="shared" si="33"/>
        <v>Quarter 1 1900</v>
      </c>
    </row>
    <row r="2109" spans="11:11">
      <c r="K2109" s="28" t="str">
        <f t="shared" si="33"/>
        <v>Quarter 1 1900</v>
      </c>
    </row>
    <row r="2110" spans="11:11">
      <c r="K2110" s="28" t="str">
        <f t="shared" si="33"/>
        <v>Quarter 1 1900</v>
      </c>
    </row>
    <row r="2111" spans="11:11">
      <c r="K2111" s="28" t="str">
        <f t="shared" si="33"/>
        <v>Quarter 1 1900</v>
      </c>
    </row>
    <row r="2112" spans="11:11">
      <c r="K2112" s="28" t="str">
        <f t="shared" si="33"/>
        <v>Quarter 1 1900</v>
      </c>
    </row>
    <row r="2113" spans="11:11">
      <c r="K2113" s="28" t="str">
        <f t="shared" si="33"/>
        <v>Quarter 1 1900</v>
      </c>
    </row>
    <row r="2114" spans="11:11">
      <c r="K2114" s="28" t="str">
        <f t="shared" si="33"/>
        <v>Quarter 1 1900</v>
      </c>
    </row>
    <row r="2115" spans="11:11">
      <c r="K2115" s="28" t="str">
        <f t="shared" si="33"/>
        <v>Quarter 1 1900</v>
      </c>
    </row>
    <row r="2116" spans="11:11">
      <c r="K2116" s="28" t="str">
        <f t="shared" si="33"/>
        <v>Quarter 1 1900</v>
      </c>
    </row>
    <row r="2117" spans="11:11">
      <c r="K2117" s="28" t="str">
        <f t="shared" si="33"/>
        <v>Quarter 1 1900</v>
      </c>
    </row>
    <row r="2118" spans="11:11">
      <c r="K2118" s="28" t="str">
        <f t="shared" si="33"/>
        <v>Quarter 1 1900</v>
      </c>
    </row>
    <row r="2119" spans="11:11">
      <c r="K2119" s="28" t="str">
        <f t="shared" si="33"/>
        <v>Quarter 1 1900</v>
      </c>
    </row>
    <row r="2120" spans="11:11">
      <c r="K2120" s="28" t="str">
        <f t="shared" si="33"/>
        <v>Quarter 1 1900</v>
      </c>
    </row>
    <row r="2121" spans="11:11">
      <c r="K2121" s="28" t="str">
        <f t="shared" si="33"/>
        <v>Quarter 1 1900</v>
      </c>
    </row>
    <row r="2122" spans="11:11">
      <c r="K2122" s="28" t="str">
        <f t="shared" si="33"/>
        <v>Quarter 1 1900</v>
      </c>
    </row>
    <row r="2123" spans="11:11">
      <c r="K2123" s="28" t="str">
        <f t="shared" si="33"/>
        <v>Quarter 1 1900</v>
      </c>
    </row>
    <row r="2124" spans="11:11">
      <c r="K2124" s="28" t="str">
        <f t="shared" si="33"/>
        <v>Quarter 1 1900</v>
      </c>
    </row>
    <row r="2125" spans="11:11">
      <c r="K2125" s="28" t="str">
        <f t="shared" si="33"/>
        <v>Quarter 1 1900</v>
      </c>
    </row>
    <row r="2126" spans="11:11">
      <c r="K2126" s="28" t="str">
        <f t="shared" si="33"/>
        <v>Quarter 1 1900</v>
      </c>
    </row>
    <row r="2127" spans="11:11">
      <c r="K2127" s="28" t="str">
        <f t="shared" si="33"/>
        <v>Quarter 1 1900</v>
      </c>
    </row>
    <row r="2128" spans="11:11">
      <c r="K2128" s="28" t="str">
        <f t="shared" si="33"/>
        <v>Quarter 1 1900</v>
      </c>
    </row>
    <row r="2129" spans="11:11">
      <c r="K2129" s="28" t="str">
        <f t="shared" si="33"/>
        <v>Quarter 1 1900</v>
      </c>
    </row>
    <row r="2130" spans="11:11">
      <c r="K2130" s="28" t="str">
        <f t="shared" ref="K2130:K2193" si="34">"Quarter "&amp;INT((MONTH(B2130)-1)/3)+1&amp;" "&amp;YEAR(B2130)</f>
        <v>Quarter 1 1900</v>
      </c>
    </row>
    <row r="2131" spans="11:11">
      <c r="K2131" s="28" t="str">
        <f t="shared" si="34"/>
        <v>Quarter 1 1900</v>
      </c>
    </row>
    <row r="2132" spans="11:11">
      <c r="K2132" s="28" t="str">
        <f t="shared" si="34"/>
        <v>Quarter 1 1900</v>
      </c>
    </row>
    <row r="2133" spans="11:11">
      <c r="K2133" s="28" t="str">
        <f t="shared" si="34"/>
        <v>Quarter 1 1900</v>
      </c>
    </row>
    <row r="2134" spans="11:11">
      <c r="K2134" s="28" t="str">
        <f t="shared" si="34"/>
        <v>Quarter 1 1900</v>
      </c>
    </row>
    <row r="2135" spans="11:11">
      <c r="K2135" s="28" t="str">
        <f t="shared" si="34"/>
        <v>Quarter 1 1900</v>
      </c>
    </row>
    <row r="2136" spans="11:11">
      <c r="K2136" s="28" t="str">
        <f t="shared" si="34"/>
        <v>Quarter 1 1900</v>
      </c>
    </row>
    <row r="2137" spans="11:11">
      <c r="K2137" s="28" t="str">
        <f t="shared" si="34"/>
        <v>Quarter 1 1900</v>
      </c>
    </row>
    <row r="2138" spans="11:11">
      <c r="K2138" s="28" t="str">
        <f t="shared" si="34"/>
        <v>Quarter 1 1900</v>
      </c>
    </row>
    <row r="2139" spans="11:11">
      <c r="K2139" s="28" t="str">
        <f t="shared" si="34"/>
        <v>Quarter 1 1900</v>
      </c>
    </row>
    <row r="2140" spans="11:11">
      <c r="K2140" s="28" t="str">
        <f t="shared" si="34"/>
        <v>Quarter 1 1900</v>
      </c>
    </row>
    <row r="2141" spans="11:11">
      <c r="K2141" s="28" t="str">
        <f t="shared" si="34"/>
        <v>Quarter 1 1900</v>
      </c>
    </row>
    <row r="2142" spans="11:11">
      <c r="K2142" s="28" t="str">
        <f t="shared" si="34"/>
        <v>Quarter 1 1900</v>
      </c>
    </row>
    <row r="2143" spans="11:11">
      <c r="K2143" s="28" t="str">
        <f t="shared" si="34"/>
        <v>Quarter 1 1900</v>
      </c>
    </row>
    <row r="2144" spans="11:11">
      <c r="K2144" s="28" t="str">
        <f t="shared" si="34"/>
        <v>Quarter 1 1900</v>
      </c>
    </row>
    <row r="2145" spans="11:11">
      <c r="K2145" s="28" t="str">
        <f t="shared" si="34"/>
        <v>Quarter 1 1900</v>
      </c>
    </row>
    <row r="2146" spans="11:11">
      <c r="K2146" s="28" t="str">
        <f t="shared" si="34"/>
        <v>Quarter 1 1900</v>
      </c>
    </row>
    <row r="2147" spans="11:11">
      <c r="K2147" s="28" t="str">
        <f t="shared" si="34"/>
        <v>Quarter 1 1900</v>
      </c>
    </row>
    <row r="2148" spans="11:11">
      <c r="K2148" s="28" t="str">
        <f t="shared" si="34"/>
        <v>Quarter 1 1900</v>
      </c>
    </row>
    <row r="2149" spans="11:11">
      <c r="K2149" s="28" t="str">
        <f t="shared" si="34"/>
        <v>Quarter 1 1900</v>
      </c>
    </row>
    <row r="2150" spans="11:11">
      <c r="K2150" s="28" t="str">
        <f t="shared" si="34"/>
        <v>Quarter 1 1900</v>
      </c>
    </row>
    <row r="2151" spans="11:11">
      <c r="K2151" s="28" t="str">
        <f t="shared" si="34"/>
        <v>Quarter 1 1900</v>
      </c>
    </row>
    <row r="2152" spans="11:11">
      <c r="K2152" s="28" t="str">
        <f t="shared" si="34"/>
        <v>Quarter 1 1900</v>
      </c>
    </row>
    <row r="2153" spans="11:11">
      <c r="K2153" s="28" t="str">
        <f t="shared" si="34"/>
        <v>Quarter 1 1900</v>
      </c>
    </row>
    <row r="2154" spans="11:11">
      <c r="K2154" s="28" t="str">
        <f t="shared" si="34"/>
        <v>Quarter 1 1900</v>
      </c>
    </row>
    <row r="2155" spans="11:11">
      <c r="K2155" s="28" t="str">
        <f t="shared" si="34"/>
        <v>Quarter 1 1900</v>
      </c>
    </row>
    <row r="2156" spans="11:11">
      <c r="K2156" s="28" t="str">
        <f t="shared" si="34"/>
        <v>Quarter 1 1900</v>
      </c>
    </row>
    <row r="2157" spans="11:11">
      <c r="K2157" s="28" t="str">
        <f t="shared" si="34"/>
        <v>Quarter 1 1900</v>
      </c>
    </row>
    <row r="2158" spans="11:11">
      <c r="K2158" s="28" t="str">
        <f t="shared" si="34"/>
        <v>Quarter 1 1900</v>
      </c>
    </row>
    <row r="2159" spans="11:11">
      <c r="K2159" s="28" t="str">
        <f t="shared" si="34"/>
        <v>Quarter 1 1900</v>
      </c>
    </row>
    <row r="2160" spans="11:11">
      <c r="K2160" s="28" t="str">
        <f t="shared" si="34"/>
        <v>Quarter 1 1900</v>
      </c>
    </row>
    <row r="2161" spans="11:11">
      <c r="K2161" s="28" t="str">
        <f t="shared" si="34"/>
        <v>Quarter 1 1900</v>
      </c>
    </row>
    <row r="2162" spans="11:11">
      <c r="K2162" s="28" t="str">
        <f t="shared" si="34"/>
        <v>Quarter 1 1900</v>
      </c>
    </row>
    <row r="2163" spans="11:11">
      <c r="K2163" s="28" t="str">
        <f t="shared" si="34"/>
        <v>Quarter 1 1900</v>
      </c>
    </row>
    <row r="2164" spans="11:11">
      <c r="K2164" s="28" t="str">
        <f t="shared" si="34"/>
        <v>Quarter 1 1900</v>
      </c>
    </row>
    <row r="2165" spans="11:11">
      <c r="K2165" s="28" t="str">
        <f t="shared" si="34"/>
        <v>Quarter 1 1900</v>
      </c>
    </row>
    <row r="2166" spans="11:11">
      <c r="K2166" s="28" t="str">
        <f t="shared" si="34"/>
        <v>Quarter 1 1900</v>
      </c>
    </row>
    <row r="2167" spans="11:11">
      <c r="K2167" s="28" t="str">
        <f t="shared" si="34"/>
        <v>Quarter 1 1900</v>
      </c>
    </row>
    <row r="2168" spans="11:11">
      <c r="K2168" s="28" t="str">
        <f t="shared" si="34"/>
        <v>Quarter 1 1900</v>
      </c>
    </row>
    <row r="2169" spans="11:11">
      <c r="K2169" s="28" t="str">
        <f t="shared" si="34"/>
        <v>Quarter 1 1900</v>
      </c>
    </row>
    <row r="2170" spans="11:11">
      <c r="K2170" s="28" t="str">
        <f t="shared" si="34"/>
        <v>Quarter 1 1900</v>
      </c>
    </row>
    <row r="2171" spans="11:11">
      <c r="K2171" s="28" t="str">
        <f t="shared" si="34"/>
        <v>Quarter 1 1900</v>
      </c>
    </row>
    <row r="2172" spans="11:11">
      <c r="K2172" s="28" t="str">
        <f t="shared" si="34"/>
        <v>Quarter 1 1900</v>
      </c>
    </row>
    <row r="2173" spans="11:11">
      <c r="K2173" s="28" t="str">
        <f t="shared" si="34"/>
        <v>Quarter 1 1900</v>
      </c>
    </row>
    <row r="2174" spans="11:11">
      <c r="K2174" s="28" t="str">
        <f t="shared" si="34"/>
        <v>Quarter 1 1900</v>
      </c>
    </row>
    <row r="2175" spans="11:11">
      <c r="K2175" s="28" t="str">
        <f t="shared" si="34"/>
        <v>Quarter 1 1900</v>
      </c>
    </row>
    <row r="2176" spans="11:11">
      <c r="K2176" s="28" t="str">
        <f t="shared" si="34"/>
        <v>Quarter 1 1900</v>
      </c>
    </row>
    <row r="2177" spans="11:11">
      <c r="K2177" s="28" t="str">
        <f t="shared" si="34"/>
        <v>Quarter 1 1900</v>
      </c>
    </row>
    <row r="2178" spans="11:11">
      <c r="K2178" s="28" t="str">
        <f t="shared" si="34"/>
        <v>Quarter 1 1900</v>
      </c>
    </row>
    <row r="2179" spans="11:11">
      <c r="K2179" s="28" t="str">
        <f t="shared" si="34"/>
        <v>Quarter 1 1900</v>
      </c>
    </row>
    <row r="2180" spans="11:11">
      <c r="K2180" s="28" t="str">
        <f t="shared" si="34"/>
        <v>Quarter 1 1900</v>
      </c>
    </row>
    <row r="2181" spans="11:11">
      <c r="K2181" s="28" t="str">
        <f t="shared" si="34"/>
        <v>Quarter 1 1900</v>
      </c>
    </row>
    <row r="2182" spans="11:11">
      <c r="K2182" s="28" t="str">
        <f t="shared" si="34"/>
        <v>Quarter 1 1900</v>
      </c>
    </row>
    <row r="2183" spans="11:11">
      <c r="K2183" s="28" t="str">
        <f t="shared" si="34"/>
        <v>Quarter 1 1900</v>
      </c>
    </row>
    <row r="2184" spans="11:11">
      <c r="K2184" s="28" t="str">
        <f t="shared" si="34"/>
        <v>Quarter 1 1900</v>
      </c>
    </row>
    <row r="2185" spans="11:11">
      <c r="K2185" s="28" t="str">
        <f t="shared" si="34"/>
        <v>Quarter 1 1900</v>
      </c>
    </row>
    <row r="2186" spans="11:11">
      <c r="K2186" s="28" t="str">
        <f t="shared" si="34"/>
        <v>Quarter 1 1900</v>
      </c>
    </row>
    <row r="2187" spans="11:11">
      <c r="K2187" s="28" t="str">
        <f t="shared" si="34"/>
        <v>Quarter 1 1900</v>
      </c>
    </row>
    <row r="2188" spans="11:11">
      <c r="K2188" s="28" t="str">
        <f t="shared" si="34"/>
        <v>Quarter 1 1900</v>
      </c>
    </row>
    <row r="2189" spans="11:11">
      <c r="K2189" s="28" t="str">
        <f t="shared" si="34"/>
        <v>Quarter 1 1900</v>
      </c>
    </row>
    <row r="2190" spans="11:11">
      <c r="K2190" s="28" t="str">
        <f t="shared" si="34"/>
        <v>Quarter 1 1900</v>
      </c>
    </row>
    <row r="2191" spans="11:11">
      <c r="K2191" s="28" t="str">
        <f t="shared" si="34"/>
        <v>Quarter 1 1900</v>
      </c>
    </row>
    <row r="2192" spans="11:11">
      <c r="K2192" s="28" t="str">
        <f t="shared" si="34"/>
        <v>Quarter 1 1900</v>
      </c>
    </row>
    <row r="2193" spans="11:11">
      <c r="K2193" s="28" t="str">
        <f t="shared" si="34"/>
        <v>Quarter 1 1900</v>
      </c>
    </row>
    <row r="2194" spans="11:11">
      <c r="K2194" s="28" t="str">
        <f t="shared" ref="K2194:K2257" si="35">"Quarter "&amp;INT((MONTH(B2194)-1)/3)+1&amp;" "&amp;YEAR(B2194)</f>
        <v>Quarter 1 1900</v>
      </c>
    </row>
    <row r="2195" spans="11:11">
      <c r="K2195" s="28" t="str">
        <f t="shared" si="35"/>
        <v>Quarter 1 1900</v>
      </c>
    </row>
    <row r="2196" spans="11:11">
      <c r="K2196" s="28" t="str">
        <f t="shared" si="35"/>
        <v>Quarter 1 1900</v>
      </c>
    </row>
    <row r="2197" spans="11:11">
      <c r="K2197" s="28" t="str">
        <f t="shared" si="35"/>
        <v>Quarter 1 1900</v>
      </c>
    </row>
    <row r="2198" spans="11:11">
      <c r="K2198" s="28" t="str">
        <f t="shared" si="35"/>
        <v>Quarter 1 1900</v>
      </c>
    </row>
    <row r="2199" spans="11:11">
      <c r="K2199" s="28" t="str">
        <f t="shared" si="35"/>
        <v>Quarter 1 1900</v>
      </c>
    </row>
    <row r="2200" spans="11:11">
      <c r="K2200" s="28" t="str">
        <f t="shared" si="35"/>
        <v>Quarter 1 1900</v>
      </c>
    </row>
    <row r="2201" spans="11:11">
      <c r="K2201" s="28" t="str">
        <f t="shared" si="35"/>
        <v>Quarter 1 1900</v>
      </c>
    </row>
    <row r="2202" spans="11:11">
      <c r="K2202" s="28" t="str">
        <f t="shared" si="35"/>
        <v>Quarter 1 1900</v>
      </c>
    </row>
    <row r="2203" spans="11:11">
      <c r="K2203" s="28" t="str">
        <f t="shared" si="35"/>
        <v>Quarter 1 1900</v>
      </c>
    </row>
    <row r="2204" spans="11:11">
      <c r="K2204" s="28" t="str">
        <f t="shared" si="35"/>
        <v>Quarter 1 1900</v>
      </c>
    </row>
    <row r="2205" spans="11:11">
      <c r="K2205" s="28" t="str">
        <f t="shared" si="35"/>
        <v>Quarter 1 1900</v>
      </c>
    </row>
    <row r="2206" spans="11:11">
      <c r="K2206" s="28" t="str">
        <f t="shared" si="35"/>
        <v>Quarter 1 1900</v>
      </c>
    </row>
    <row r="2207" spans="11:11">
      <c r="K2207" s="28" t="str">
        <f t="shared" si="35"/>
        <v>Quarter 1 1900</v>
      </c>
    </row>
    <row r="2208" spans="11:11">
      <c r="K2208" s="28" t="str">
        <f t="shared" si="35"/>
        <v>Quarter 1 1900</v>
      </c>
    </row>
    <row r="2209" spans="11:11">
      <c r="K2209" s="28" t="str">
        <f t="shared" si="35"/>
        <v>Quarter 1 1900</v>
      </c>
    </row>
    <row r="2210" spans="11:11">
      <c r="K2210" s="28" t="str">
        <f t="shared" si="35"/>
        <v>Quarter 1 1900</v>
      </c>
    </row>
    <row r="2211" spans="11:11">
      <c r="K2211" s="28" t="str">
        <f t="shared" si="35"/>
        <v>Quarter 1 1900</v>
      </c>
    </row>
    <row r="2212" spans="11:11">
      <c r="K2212" s="28" t="str">
        <f t="shared" si="35"/>
        <v>Quarter 1 1900</v>
      </c>
    </row>
    <row r="2213" spans="11:11">
      <c r="K2213" s="28" t="str">
        <f t="shared" si="35"/>
        <v>Quarter 1 1900</v>
      </c>
    </row>
    <row r="2214" spans="11:11">
      <c r="K2214" s="28" t="str">
        <f t="shared" si="35"/>
        <v>Quarter 1 1900</v>
      </c>
    </row>
    <row r="2215" spans="11:11">
      <c r="K2215" s="28" t="str">
        <f t="shared" si="35"/>
        <v>Quarter 1 1900</v>
      </c>
    </row>
    <row r="2216" spans="11:11">
      <c r="K2216" s="28" t="str">
        <f t="shared" si="35"/>
        <v>Quarter 1 1900</v>
      </c>
    </row>
    <row r="2217" spans="11:11">
      <c r="K2217" s="28" t="str">
        <f t="shared" si="35"/>
        <v>Quarter 1 1900</v>
      </c>
    </row>
    <row r="2218" spans="11:11">
      <c r="K2218" s="28" t="str">
        <f t="shared" si="35"/>
        <v>Quarter 1 1900</v>
      </c>
    </row>
    <row r="2219" spans="11:11">
      <c r="K2219" s="28" t="str">
        <f t="shared" si="35"/>
        <v>Quarter 1 1900</v>
      </c>
    </row>
    <row r="2220" spans="11:11">
      <c r="K2220" s="28" t="str">
        <f t="shared" si="35"/>
        <v>Quarter 1 1900</v>
      </c>
    </row>
    <row r="2221" spans="11:11">
      <c r="K2221" s="28" t="str">
        <f t="shared" si="35"/>
        <v>Quarter 1 1900</v>
      </c>
    </row>
    <row r="2222" spans="11:11">
      <c r="K2222" s="28" t="str">
        <f t="shared" si="35"/>
        <v>Quarter 1 1900</v>
      </c>
    </row>
    <row r="2223" spans="11:11">
      <c r="K2223" s="28" t="str">
        <f t="shared" si="35"/>
        <v>Quarter 1 1900</v>
      </c>
    </row>
    <row r="2224" spans="11:11">
      <c r="K2224" s="28" t="str">
        <f t="shared" si="35"/>
        <v>Quarter 1 1900</v>
      </c>
    </row>
    <row r="2225" spans="11:11">
      <c r="K2225" s="28" t="str">
        <f t="shared" si="35"/>
        <v>Quarter 1 1900</v>
      </c>
    </row>
    <row r="2226" spans="11:11">
      <c r="K2226" s="28" t="str">
        <f t="shared" si="35"/>
        <v>Quarter 1 1900</v>
      </c>
    </row>
    <row r="2227" spans="11:11">
      <c r="K2227" s="28" t="str">
        <f t="shared" si="35"/>
        <v>Quarter 1 1900</v>
      </c>
    </row>
    <row r="2228" spans="11:11">
      <c r="K2228" s="28" t="str">
        <f t="shared" si="35"/>
        <v>Quarter 1 1900</v>
      </c>
    </row>
    <row r="2229" spans="11:11">
      <c r="K2229" s="28" t="str">
        <f t="shared" si="35"/>
        <v>Quarter 1 1900</v>
      </c>
    </row>
    <row r="2230" spans="11:11">
      <c r="K2230" s="28" t="str">
        <f t="shared" si="35"/>
        <v>Quarter 1 1900</v>
      </c>
    </row>
    <row r="2231" spans="11:11">
      <c r="K2231" s="28" t="str">
        <f t="shared" si="35"/>
        <v>Quarter 1 1900</v>
      </c>
    </row>
    <row r="2232" spans="11:11">
      <c r="K2232" s="28" t="str">
        <f t="shared" si="35"/>
        <v>Quarter 1 1900</v>
      </c>
    </row>
    <row r="2233" spans="11:11">
      <c r="K2233" s="28" t="str">
        <f t="shared" si="35"/>
        <v>Quarter 1 1900</v>
      </c>
    </row>
    <row r="2234" spans="11:11">
      <c r="K2234" s="28" t="str">
        <f t="shared" si="35"/>
        <v>Quarter 1 1900</v>
      </c>
    </row>
    <row r="2235" spans="11:11">
      <c r="K2235" s="28" t="str">
        <f t="shared" si="35"/>
        <v>Quarter 1 1900</v>
      </c>
    </row>
    <row r="2236" spans="11:11">
      <c r="K2236" s="28" t="str">
        <f t="shared" si="35"/>
        <v>Quarter 1 1900</v>
      </c>
    </row>
    <row r="2237" spans="11:11">
      <c r="K2237" s="28" t="str">
        <f t="shared" si="35"/>
        <v>Quarter 1 1900</v>
      </c>
    </row>
    <row r="2238" spans="11:11">
      <c r="K2238" s="28" t="str">
        <f t="shared" si="35"/>
        <v>Quarter 1 1900</v>
      </c>
    </row>
    <row r="2239" spans="11:11">
      <c r="K2239" s="28" t="str">
        <f t="shared" si="35"/>
        <v>Quarter 1 1900</v>
      </c>
    </row>
    <row r="2240" spans="11:11">
      <c r="K2240" s="28" t="str">
        <f t="shared" si="35"/>
        <v>Quarter 1 1900</v>
      </c>
    </row>
    <row r="2241" spans="11:11">
      <c r="K2241" s="28" t="str">
        <f t="shared" si="35"/>
        <v>Quarter 1 1900</v>
      </c>
    </row>
    <row r="2242" spans="11:11">
      <c r="K2242" s="28" t="str">
        <f t="shared" si="35"/>
        <v>Quarter 1 1900</v>
      </c>
    </row>
    <row r="2243" spans="11:11">
      <c r="K2243" s="28" t="str">
        <f t="shared" si="35"/>
        <v>Quarter 1 1900</v>
      </c>
    </row>
    <row r="2244" spans="11:11">
      <c r="K2244" s="28" t="str">
        <f t="shared" si="35"/>
        <v>Quarter 1 1900</v>
      </c>
    </row>
    <row r="2245" spans="11:11">
      <c r="K2245" s="28" t="str">
        <f t="shared" si="35"/>
        <v>Quarter 1 1900</v>
      </c>
    </row>
    <row r="2246" spans="11:11">
      <c r="K2246" s="28" t="str">
        <f t="shared" si="35"/>
        <v>Quarter 1 1900</v>
      </c>
    </row>
    <row r="2247" spans="11:11">
      <c r="K2247" s="28" t="str">
        <f t="shared" si="35"/>
        <v>Quarter 1 1900</v>
      </c>
    </row>
    <row r="2248" spans="11:11">
      <c r="K2248" s="28" t="str">
        <f t="shared" si="35"/>
        <v>Quarter 1 1900</v>
      </c>
    </row>
    <row r="2249" spans="11:11">
      <c r="K2249" s="28" t="str">
        <f t="shared" si="35"/>
        <v>Quarter 1 1900</v>
      </c>
    </row>
    <row r="2250" spans="11:11">
      <c r="K2250" s="28" t="str">
        <f t="shared" si="35"/>
        <v>Quarter 1 1900</v>
      </c>
    </row>
    <row r="2251" spans="11:11">
      <c r="K2251" s="28" t="str">
        <f t="shared" si="35"/>
        <v>Quarter 1 1900</v>
      </c>
    </row>
    <row r="2252" spans="11:11">
      <c r="K2252" s="28" t="str">
        <f t="shared" si="35"/>
        <v>Quarter 1 1900</v>
      </c>
    </row>
    <row r="2253" spans="11:11">
      <c r="K2253" s="28" t="str">
        <f t="shared" si="35"/>
        <v>Quarter 1 1900</v>
      </c>
    </row>
    <row r="2254" spans="11:11">
      <c r="K2254" s="28" t="str">
        <f t="shared" si="35"/>
        <v>Quarter 1 1900</v>
      </c>
    </row>
    <row r="2255" spans="11:11">
      <c r="K2255" s="28" t="str">
        <f t="shared" si="35"/>
        <v>Quarter 1 1900</v>
      </c>
    </row>
    <row r="2256" spans="11:11">
      <c r="K2256" s="28" t="str">
        <f t="shared" si="35"/>
        <v>Quarter 1 1900</v>
      </c>
    </row>
    <row r="2257" spans="11:11">
      <c r="K2257" s="28" t="str">
        <f t="shared" si="35"/>
        <v>Quarter 1 1900</v>
      </c>
    </row>
    <row r="2258" spans="11:11">
      <c r="K2258" s="28" t="str">
        <f t="shared" ref="K2258:K2321" si="36">"Quarter "&amp;INT((MONTH(B2258)-1)/3)+1&amp;" "&amp;YEAR(B2258)</f>
        <v>Quarter 1 1900</v>
      </c>
    </row>
    <row r="2259" spans="11:11">
      <c r="K2259" s="28" t="str">
        <f t="shared" si="36"/>
        <v>Quarter 1 1900</v>
      </c>
    </row>
    <row r="2260" spans="11:11">
      <c r="K2260" s="28" t="str">
        <f t="shared" si="36"/>
        <v>Quarter 1 1900</v>
      </c>
    </row>
    <row r="2261" spans="11:11">
      <c r="K2261" s="28" t="str">
        <f t="shared" si="36"/>
        <v>Quarter 1 1900</v>
      </c>
    </row>
    <row r="2262" spans="11:11">
      <c r="K2262" s="28" t="str">
        <f t="shared" si="36"/>
        <v>Quarter 1 1900</v>
      </c>
    </row>
    <row r="2263" spans="11:11">
      <c r="K2263" s="28" t="str">
        <f t="shared" si="36"/>
        <v>Quarter 1 1900</v>
      </c>
    </row>
    <row r="2264" spans="11:11">
      <c r="K2264" s="28" t="str">
        <f t="shared" si="36"/>
        <v>Quarter 1 1900</v>
      </c>
    </row>
    <row r="2265" spans="11:11">
      <c r="K2265" s="28" t="str">
        <f t="shared" si="36"/>
        <v>Quarter 1 1900</v>
      </c>
    </row>
    <row r="2266" spans="11:11">
      <c r="K2266" s="28" t="str">
        <f t="shared" si="36"/>
        <v>Quarter 1 1900</v>
      </c>
    </row>
    <row r="2267" spans="11:11">
      <c r="K2267" s="28" t="str">
        <f t="shared" si="36"/>
        <v>Quarter 1 1900</v>
      </c>
    </row>
    <row r="2268" spans="11:11">
      <c r="K2268" s="28" t="str">
        <f t="shared" si="36"/>
        <v>Quarter 1 1900</v>
      </c>
    </row>
    <row r="2269" spans="11:11">
      <c r="K2269" s="28" t="str">
        <f t="shared" si="36"/>
        <v>Quarter 1 1900</v>
      </c>
    </row>
    <row r="2270" spans="11:11">
      <c r="K2270" s="28" t="str">
        <f t="shared" si="36"/>
        <v>Quarter 1 1900</v>
      </c>
    </row>
    <row r="2271" spans="11:11">
      <c r="K2271" s="28" t="str">
        <f t="shared" si="36"/>
        <v>Quarter 1 1900</v>
      </c>
    </row>
    <row r="2272" spans="11:11">
      <c r="K2272" s="28" t="str">
        <f t="shared" si="36"/>
        <v>Quarter 1 1900</v>
      </c>
    </row>
    <row r="2273" spans="11:11">
      <c r="K2273" s="28" t="str">
        <f t="shared" si="36"/>
        <v>Quarter 1 1900</v>
      </c>
    </row>
    <row r="2274" spans="11:11">
      <c r="K2274" s="28" t="str">
        <f t="shared" si="36"/>
        <v>Quarter 1 1900</v>
      </c>
    </row>
    <row r="2275" spans="11:11">
      <c r="K2275" s="28" t="str">
        <f t="shared" si="36"/>
        <v>Quarter 1 1900</v>
      </c>
    </row>
    <row r="2276" spans="11:11">
      <c r="K2276" s="28" t="str">
        <f t="shared" si="36"/>
        <v>Quarter 1 1900</v>
      </c>
    </row>
    <row r="2277" spans="11:11">
      <c r="K2277" s="28" t="str">
        <f t="shared" si="36"/>
        <v>Quarter 1 1900</v>
      </c>
    </row>
    <row r="2278" spans="11:11">
      <c r="K2278" s="28" t="str">
        <f t="shared" si="36"/>
        <v>Quarter 1 1900</v>
      </c>
    </row>
    <row r="2279" spans="11:11">
      <c r="K2279" s="28" t="str">
        <f t="shared" si="36"/>
        <v>Quarter 1 1900</v>
      </c>
    </row>
    <row r="2280" spans="11:11">
      <c r="K2280" s="28" t="str">
        <f t="shared" si="36"/>
        <v>Quarter 1 1900</v>
      </c>
    </row>
    <row r="2281" spans="11:11">
      <c r="K2281" s="28" t="str">
        <f t="shared" si="36"/>
        <v>Quarter 1 1900</v>
      </c>
    </row>
    <row r="2282" spans="11:11">
      <c r="K2282" s="28" t="str">
        <f t="shared" si="36"/>
        <v>Quarter 1 1900</v>
      </c>
    </row>
    <row r="2283" spans="11:11">
      <c r="K2283" s="28" t="str">
        <f t="shared" si="36"/>
        <v>Quarter 1 1900</v>
      </c>
    </row>
    <row r="2284" spans="11:11">
      <c r="K2284" s="28" t="str">
        <f t="shared" si="36"/>
        <v>Quarter 1 1900</v>
      </c>
    </row>
    <row r="2285" spans="11:11">
      <c r="K2285" s="28" t="str">
        <f t="shared" si="36"/>
        <v>Quarter 1 1900</v>
      </c>
    </row>
    <row r="2286" spans="11:11">
      <c r="K2286" s="28" t="str">
        <f t="shared" si="36"/>
        <v>Quarter 1 1900</v>
      </c>
    </row>
    <row r="2287" spans="11:11">
      <c r="K2287" s="28" t="str">
        <f t="shared" si="36"/>
        <v>Quarter 1 1900</v>
      </c>
    </row>
    <row r="2288" spans="11:11">
      <c r="K2288" s="28" t="str">
        <f t="shared" si="36"/>
        <v>Quarter 1 1900</v>
      </c>
    </row>
    <row r="2289" spans="11:11">
      <c r="K2289" s="28" t="str">
        <f t="shared" si="36"/>
        <v>Quarter 1 1900</v>
      </c>
    </row>
    <row r="2290" spans="11:11">
      <c r="K2290" s="28" t="str">
        <f t="shared" si="36"/>
        <v>Quarter 1 1900</v>
      </c>
    </row>
    <row r="2291" spans="11:11">
      <c r="K2291" s="28" t="str">
        <f t="shared" si="36"/>
        <v>Quarter 1 1900</v>
      </c>
    </row>
    <row r="2292" spans="11:11">
      <c r="K2292" s="28" t="str">
        <f t="shared" si="36"/>
        <v>Quarter 1 1900</v>
      </c>
    </row>
    <row r="2293" spans="11:11">
      <c r="K2293" s="28" t="str">
        <f t="shared" si="36"/>
        <v>Quarter 1 1900</v>
      </c>
    </row>
    <row r="2294" spans="11:11">
      <c r="K2294" s="28" t="str">
        <f t="shared" si="36"/>
        <v>Quarter 1 1900</v>
      </c>
    </row>
    <row r="2295" spans="11:11">
      <c r="K2295" s="28" t="str">
        <f t="shared" si="36"/>
        <v>Quarter 1 1900</v>
      </c>
    </row>
    <row r="2296" spans="11:11">
      <c r="K2296" s="28" t="str">
        <f t="shared" si="36"/>
        <v>Quarter 1 1900</v>
      </c>
    </row>
    <row r="2297" spans="11:11">
      <c r="K2297" s="28" t="str">
        <f t="shared" si="36"/>
        <v>Quarter 1 1900</v>
      </c>
    </row>
    <row r="2298" spans="11:11">
      <c r="K2298" s="28" t="str">
        <f t="shared" si="36"/>
        <v>Quarter 1 1900</v>
      </c>
    </row>
    <row r="2299" spans="11:11">
      <c r="K2299" s="28" t="str">
        <f t="shared" si="36"/>
        <v>Quarter 1 1900</v>
      </c>
    </row>
    <row r="2300" spans="11:11">
      <c r="K2300" s="28" t="str">
        <f t="shared" si="36"/>
        <v>Quarter 1 1900</v>
      </c>
    </row>
    <row r="2301" spans="11:11">
      <c r="K2301" s="28" t="str">
        <f t="shared" si="36"/>
        <v>Quarter 1 1900</v>
      </c>
    </row>
    <row r="2302" spans="11:11">
      <c r="K2302" s="28" t="str">
        <f t="shared" si="36"/>
        <v>Quarter 1 1900</v>
      </c>
    </row>
    <row r="2303" spans="11:11">
      <c r="K2303" s="28" t="str">
        <f t="shared" si="36"/>
        <v>Quarter 1 1900</v>
      </c>
    </row>
    <row r="2304" spans="11:11">
      <c r="K2304" s="28" t="str">
        <f t="shared" si="36"/>
        <v>Quarter 1 1900</v>
      </c>
    </row>
    <row r="2305" spans="11:11">
      <c r="K2305" s="28" t="str">
        <f t="shared" si="36"/>
        <v>Quarter 1 1900</v>
      </c>
    </row>
    <row r="2306" spans="11:11">
      <c r="K2306" s="28" t="str">
        <f t="shared" si="36"/>
        <v>Quarter 1 1900</v>
      </c>
    </row>
    <row r="2307" spans="11:11">
      <c r="K2307" s="28" t="str">
        <f t="shared" si="36"/>
        <v>Quarter 1 1900</v>
      </c>
    </row>
    <row r="2308" spans="11:11">
      <c r="K2308" s="28" t="str">
        <f t="shared" si="36"/>
        <v>Quarter 1 1900</v>
      </c>
    </row>
    <row r="2309" spans="11:11">
      <c r="K2309" s="28" t="str">
        <f t="shared" si="36"/>
        <v>Quarter 1 1900</v>
      </c>
    </row>
    <row r="2310" spans="11:11">
      <c r="K2310" s="28" t="str">
        <f t="shared" si="36"/>
        <v>Quarter 1 1900</v>
      </c>
    </row>
    <row r="2311" spans="11:11">
      <c r="K2311" s="28" t="str">
        <f t="shared" si="36"/>
        <v>Quarter 1 1900</v>
      </c>
    </row>
    <row r="2312" spans="11:11">
      <c r="K2312" s="28" t="str">
        <f t="shared" si="36"/>
        <v>Quarter 1 1900</v>
      </c>
    </row>
    <row r="2313" spans="11:11">
      <c r="K2313" s="28" t="str">
        <f t="shared" si="36"/>
        <v>Quarter 1 1900</v>
      </c>
    </row>
    <row r="2314" spans="11:11">
      <c r="K2314" s="28" t="str">
        <f t="shared" si="36"/>
        <v>Quarter 1 1900</v>
      </c>
    </row>
    <row r="2315" spans="11:11">
      <c r="K2315" s="28" t="str">
        <f t="shared" si="36"/>
        <v>Quarter 1 1900</v>
      </c>
    </row>
    <row r="2316" spans="11:11">
      <c r="K2316" s="28" t="str">
        <f t="shared" si="36"/>
        <v>Quarter 1 1900</v>
      </c>
    </row>
    <row r="2317" spans="11:11">
      <c r="K2317" s="28" t="str">
        <f t="shared" si="36"/>
        <v>Quarter 1 1900</v>
      </c>
    </row>
    <row r="2318" spans="11:11">
      <c r="K2318" s="28" t="str">
        <f t="shared" si="36"/>
        <v>Quarter 1 1900</v>
      </c>
    </row>
    <row r="2319" spans="11:11">
      <c r="K2319" s="28" t="str">
        <f t="shared" si="36"/>
        <v>Quarter 1 1900</v>
      </c>
    </row>
    <row r="2320" spans="11:11">
      <c r="K2320" s="28" t="str">
        <f t="shared" si="36"/>
        <v>Quarter 1 1900</v>
      </c>
    </row>
    <row r="2321" spans="11:11">
      <c r="K2321" s="28" t="str">
        <f t="shared" si="36"/>
        <v>Quarter 1 1900</v>
      </c>
    </row>
    <row r="2322" spans="11:11">
      <c r="K2322" s="28" t="str">
        <f t="shared" ref="K2322:K2385" si="37">"Quarter "&amp;INT((MONTH(B2322)-1)/3)+1&amp;" "&amp;YEAR(B2322)</f>
        <v>Quarter 1 1900</v>
      </c>
    </row>
    <row r="2323" spans="11:11">
      <c r="K2323" s="28" t="str">
        <f t="shared" si="37"/>
        <v>Quarter 1 1900</v>
      </c>
    </row>
    <row r="2324" spans="11:11">
      <c r="K2324" s="28" t="str">
        <f t="shared" si="37"/>
        <v>Quarter 1 1900</v>
      </c>
    </row>
    <row r="2325" spans="11:11">
      <c r="K2325" s="28" t="str">
        <f t="shared" si="37"/>
        <v>Quarter 1 1900</v>
      </c>
    </row>
    <row r="2326" spans="11:11">
      <c r="K2326" s="28" t="str">
        <f t="shared" si="37"/>
        <v>Quarter 1 1900</v>
      </c>
    </row>
    <row r="2327" spans="11:11">
      <c r="K2327" s="28" t="str">
        <f t="shared" si="37"/>
        <v>Quarter 1 1900</v>
      </c>
    </row>
    <row r="2328" spans="11:11">
      <c r="K2328" s="28" t="str">
        <f t="shared" si="37"/>
        <v>Quarter 1 1900</v>
      </c>
    </row>
    <row r="2329" spans="11:11">
      <c r="K2329" s="28" t="str">
        <f t="shared" si="37"/>
        <v>Quarter 1 1900</v>
      </c>
    </row>
    <row r="2330" spans="11:11">
      <c r="K2330" s="28" t="str">
        <f t="shared" si="37"/>
        <v>Quarter 1 1900</v>
      </c>
    </row>
    <row r="2331" spans="11:11">
      <c r="K2331" s="28" t="str">
        <f t="shared" si="37"/>
        <v>Quarter 1 1900</v>
      </c>
    </row>
    <row r="2332" spans="11:11">
      <c r="K2332" s="28" t="str">
        <f t="shared" si="37"/>
        <v>Quarter 1 1900</v>
      </c>
    </row>
    <row r="2333" spans="11:11">
      <c r="K2333" s="28" t="str">
        <f t="shared" si="37"/>
        <v>Quarter 1 1900</v>
      </c>
    </row>
    <row r="2334" spans="11:11">
      <c r="K2334" s="28" t="str">
        <f t="shared" si="37"/>
        <v>Quarter 1 1900</v>
      </c>
    </row>
    <row r="2335" spans="11:11">
      <c r="K2335" s="28" t="str">
        <f t="shared" si="37"/>
        <v>Quarter 1 1900</v>
      </c>
    </row>
    <row r="2336" spans="11:11">
      <c r="K2336" s="28" t="str">
        <f t="shared" si="37"/>
        <v>Quarter 1 1900</v>
      </c>
    </row>
    <row r="2337" spans="11:11">
      <c r="K2337" s="28" t="str">
        <f t="shared" si="37"/>
        <v>Quarter 1 1900</v>
      </c>
    </row>
    <row r="2338" spans="11:11">
      <c r="K2338" s="28" t="str">
        <f t="shared" si="37"/>
        <v>Quarter 1 1900</v>
      </c>
    </row>
    <row r="2339" spans="11:11">
      <c r="K2339" s="28" t="str">
        <f t="shared" si="37"/>
        <v>Quarter 1 1900</v>
      </c>
    </row>
    <row r="2340" spans="11:11">
      <c r="K2340" s="28" t="str">
        <f t="shared" si="37"/>
        <v>Quarter 1 1900</v>
      </c>
    </row>
    <row r="2341" spans="11:11">
      <c r="K2341" s="28" t="str">
        <f t="shared" si="37"/>
        <v>Quarter 1 1900</v>
      </c>
    </row>
    <row r="2342" spans="11:11">
      <c r="K2342" s="28" t="str">
        <f t="shared" si="37"/>
        <v>Quarter 1 1900</v>
      </c>
    </row>
    <row r="2343" spans="11:11">
      <c r="K2343" s="28" t="str">
        <f t="shared" si="37"/>
        <v>Quarter 1 1900</v>
      </c>
    </row>
    <row r="2344" spans="11:11">
      <c r="K2344" s="28" t="str">
        <f t="shared" si="37"/>
        <v>Quarter 1 1900</v>
      </c>
    </row>
    <row r="2345" spans="11:11">
      <c r="K2345" s="28" t="str">
        <f t="shared" si="37"/>
        <v>Quarter 1 1900</v>
      </c>
    </row>
    <row r="2346" spans="11:11">
      <c r="K2346" s="28" t="str">
        <f t="shared" si="37"/>
        <v>Quarter 1 1900</v>
      </c>
    </row>
    <row r="2347" spans="11:11">
      <c r="K2347" s="28" t="str">
        <f t="shared" si="37"/>
        <v>Quarter 1 1900</v>
      </c>
    </row>
    <row r="2348" spans="11:11">
      <c r="K2348" s="28" t="str">
        <f t="shared" si="37"/>
        <v>Quarter 1 1900</v>
      </c>
    </row>
    <row r="2349" spans="11:11">
      <c r="K2349" s="28" t="str">
        <f t="shared" si="37"/>
        <v>Quarter 1 1900</v>
      </c>
    </row>
    <row r="2350" spans="11:11">
      <c r="K2350" s="28" t="str">
        <f t="shared" si="37"/>
        <v>Quarter 1 1900</v>
      </c>
    </row>
    <row r="2351" spans="11:11">
      <c r="K2351" s="28" t="str">
        <f t="shared" si="37"/>
        <v>Quarter 1 1900</v>
      </c>
    </row>
    <row r="2352" spans="11:11">
      <c r="K2352" s="28" t="str">
        <f t="shared" si="37"/>
        <v>Quarter 1 1900</v>
      </c>
    </row>
    <row r="2353" spans="11:11">
      <c r="K2353" s="28" t="str">
        <f t="shared" si="37"/>
        <v>Quarter 1 1900</v>
      </c>
    </row>
    <row r="2354" spans="11:11">
      <c r="K2354" s="28" t="str">
        <f t="shared" si="37"/>
        <v>Quarter 1 1900</v>
      </c>
    </row>
    <row r="2355" spans="11:11">
      <c r="K2355" s="28" t="str">
        <f t="shared" si="37"/>
        <v>Quarter 1 1900</v>
      </c>
    </row>
    <row r="2356" spans="11:11">
      <c r="K2356" s="28" t="str">
        <f t="shared" si="37"/>
        <v>Quarter 1 1900</v>
      </c>
    </row>
    <row r="2357" spans="11:11">
      <c r="K2357" s="28" t="str">
        <f t="shared" si="37"/>
        <v>Quarter 1 1900</v>
      </c>
    </row>
    <row r="2358" spans="11:11">
      <c r="K2358" s="28" t="str">
        <f t="shared" si="37"/>
        <v>Quarter 1 1900</v>
      </c>
    </row>
    <row r="2359" spans="11:11">
      <c r="K2359" s="28" t="str">
        <f t="shared" si="37"/>
        <v>Quarter 1 1900</v>
      </c>
    </row>
    <row r="2360" spans="11:11">
      <c r="K2360" s="28" t="str">
        <f t="shared" si="37"/>
        <v>Quarter 1 1900</v>
      </c>
    </row>
    <row r="2361" spans="11:11">
      <c r="K2361" s="28" t="str">
        <f t="shared" si="37"/>
        <v>Quarter 1 1900</v>
      </c>
    </row>
    <row r="2362" spans="11:11">
      <c r="K2362" s="28" t="str">
        <f t="shared" si="37"/>
        <v>Quarter 1 1900</v>
      </c>
    </row>
    <row r="2363" spans="11:11">
      <c r="K2363" s="28" t="str">
        <f t="shared" si="37"/>
        <v>Quarter 1 1900</v>
      </c>
    </row>
    <row r="2364" spans="11:11">
      <c r="K2364" s="28" t="str">
        <f t="shared" si="37"/>
        <v>Quarter 1 1900</v>
      </c>
    </row>
    <row r="2365" spans="11:11">
      <c r="K2365" s="28" t="str">
        <f t="shared" si="37"/>
        <v>Quarter 1 1900</v>
      </c>
    </row>
    <row r="2366" spans="11:11">
      <c r="K2366" s="28" t="str">
        <f t="shared" si="37"/>
        <v>Quarter 1 1900</v>
      </c>
    </row>
    <row r="2367" spans="11:11">
      <c r="K2367" s="28" t="str">
        <f t="shared" si="37"/>
        <v>Quarter 1 1900</v>
      </c>
    </row>
    <row r="2368" spans="11:11">
      <c r="K2368" s="28" t="str">
        <f t="shared" si="37"/>
        <v>Quarter 1 1900</v>
      </c>
    </row>
    <row r="2369" spans="11:11">
      <c r="K2369" s="28" t="str">
        <f t="shared" si="37"/>
        <v>Quarter 1 1900</v>
      </c>
    </row>
    <row r="2370" spans="11:11">
      <c r="K2370" s="28" t="str">
        <f t="shared" si="37"/>
        <v>Quarter 1 1900</v>
      </c>
    </row>
    <row r="2371" spans="11:11">
      <c r="K2371" s="28" t="str">
        <f t="shared" si="37"/>
        <v>Quarter 1 1900</v>
      </c>
    </row>
    <row r="2372" spans="11:11">
      <c r="K2372" s="28" t="str">
        <f t="shared" si="37"/>
        <v>Quarter 1 1900</v>
      </c>
    </row>
    <row r="2373" spans="11:11">
      <c r="K2373" s="28" t="str">
        <f t="shared" si="37"/>
        <v>Quarter 1 1900</v>
      </c>
    </row>
    <row r="2374" spans="11:11">
      <c r="K2374" s="28" t="str">
        <f t="shared" si="37"/>
        <v>Quarter 1 1900</v>
      </c>
    </row>
    <row r="2375" spans="11:11">
      <c r="K2375" s="28" t="str">
        <f t="shared" si="37"/>
        <v>Quarter 1 1900</v>
      </c>
    </row>
    <row r="2376" spans="11:11">
      <c r="K2376" s="28" t="str">
        <f t="shared" si="37"/>
        <v>Quarter 1 1900</v>
      </c>
    </row>
    <row r="2377" spans="11:11">
      <c r="K2377" s="28" t="str">
        <f t="shared" si="37"/>
        <v>Quarter 1 1900</v>
      </c>
    </row>
    <row r="2378" spans="11:11">
      <c r="K2378" s="28" t="str">
        <f t="shared" si="37"/>
        <v>Quarter 1 1900</v>
      </c>
    </row>
    <row r="2379" spans="11:11">
      <c r="K2379" s="28" t="str">
        <f t="shared" si="37"/>
        <v>Quarter 1 1900</v>
      </c>
    </row>
    <row r="2380" spans="11:11">
      <c r="K2380" s="28" t="str">
        <f t="shared" si="37"/>
        <v>Quarter 1 1900</v>
      </c>
    </row>
    <row r="2381" spans="11:11">
      <c r="K2381" s="28" t="str">
        <f t="shared" si="37"/>
        <v>Quarter 1 1900</v>
      </c>
    </row>
    <row r="2382" spans="11:11">
      <c r="K2382" s="28" t="str">
        <f t="shared" si="37"/>
        <v>Quarter 1 1900</v>
      </c>
    </row>
    <row r="2383" spans="11:11">
      <c r="K2383" s="28" t="str">
        <f t="shared" si="37"/>
        <v>Quarter 1 1900</v>
      </c>
    </row>
    <row r="2384" spans="11:11">
      <c r="K2384" s="28" t="str">
        <f t="shared" si="37"/>
        <v>Quarter 1 1900</v>
      </c>
    </row>
    <row r="2385" spans="11:11">
      <c r="K2385" s="28" t="str">
        <f t="shared" si="37"/>
        <v>Quarter 1 1900</v>
      </c>
    </row>
    <row r="2386" spans="11:11">
      <c r="K2386" s="28" t="str">
        <f t="shared" ref="K2386:K2449" si="38">"Quarter "&amp;INT((MONTH(B2386)-1)/3)+1&amp;" "&amp;YEAR(B2386)</f>
        <v>Quarter 1 1900</v>
      </c>
    </row>
    <row r="2387" spans="11:11">
      <c r="K2387" s="28" t="str">
        <f t="shared" si="38"/>
        <v>Quarter 1 1900</v>
      </c>
    </row>
    <row r="2388" spans="11:11">
      <c r="K2388" s="28" t="str">
        <f t="shared" si="38"/>
        <v>Quarter 1 1900</v>
      </c>
    </row>
    <row r="2389" spans="11:11">
      <c r="K2389" s="28" t="str">
        <f t="shared" si="38"/>
        <v>Quarter 1 1900</v>
      </c>
    </row>
    <row r="2390" spans="11:11">
      <c r="K2390" s="28" t="str">
        <f t="shared" si="38"/>
        <v>Quarter 1 1900</v>
      </c>
    </row>
    <row r="2391" spans="11:11">
      <c r="K2391" s="28" t="str">
        <f t="shared" si="38"/>
        <v>Quarter 1 1900</v>
      </c>
    </row>
    <row r="2392" spans="11:11">
      <c r="K2392" s="28" t="str">
        <f t="shared" si="38"/>
        <v>Quarter 1 1900</v>
      </c>
    </row>
    <row r="2393" spans="11:11">
      <c r="K2393" s="28" t="str">
        <f t="shared" si="38"/>
        <v>Quarter 1 1900</v>
      </c>
    </row>
    <row r="2394" spans="11:11">
      <c r="K2394" s="28" t="str">
        <f t="shared" si="38"/>
        <v>Quarter 1 1900</v>
      </c>
    </row>
    <row r="2395" spans="11:11">
      <c r="K2395" s="28" t="str">
        <f t="shared" si="38"/>
        <v>Quarter 1 1900</v>
      </c>
    </row>
    <row r="2396" spans="11:11">
      <c r="K2396" s="28" t="str">
        <f t="shared" si="38"/>
        <v>Quarter 1 1900</v>
      </c>
    </row>
    <row r="2397" spans="11:11">
      <c r="K2397" s="28" t="str">
        <f t="shared" si="38"/>
        <v>Quarter 1 1900</v>
      </c>
    </row>
    <row r="2398" spans="11:11">
      <c r="K2398" s="28" t="str">
        <f t="shared" si="38"/>
        <v>Quarter 1 1900</v>
      </c>
    </row>
    <row r="2399" spans="11:11">
      <c r="K2399" s="28" t="str">
        <f t="shared" si="38"/>
        <v>Quarter 1 1900</v>
      </c>
    </row>
    <row r="2400" spans="11:11">
      <c r="K2400" s="28" t="str">
        <f t="shared" si="38"/>
        <v>Quarter 1 1900</v>
      </c>
    </row>
    <row r="2401" spans="11:11">
      <c r="K2401" s="28" t="str">
        <f t="shared" si="38"/>
        <v>Quarter 1 1900</v>
      </c>
    </row>
    <row r="2402" spans="11:11">
      <c r="K2402" s="28" t="str">
        <f t="shared" si="38"/>
        <v>Quarter 1 1900</v>
      </c>
    </row>
    <row r="2403" spans="11:11">
      <c r="K2403" s="28" t="str">
        <f t="shared" si="38"/>
        <v>Quarter 1 1900</v>
      </c>
    </row>
    <row r="2404" spans="11:11">
      <c r="K2404" s="28" t="str">
        <f t="shared" si="38"/>
        <v>Quarter 1 1900</v>
      </c>
    </row>
    <row r="2405" spans="11:11">
      <c r="K2405" s="28" t="str">
        <f t="shared" si="38"/>
        <v>Quarter 1 1900</v>
      </c>
    </row>
    <row r="2406" spans="11:11">
      <c r="K2406" s="28" t="str">
        <f t="shared" si="38"/>
        <v>Quarter 1 1900</v>
      </c>
    </row>
    <row r="2407" spans="11:11">
      <c r="K2407" s="28" t="str">
        <f t="shared" si="38"/>
        <v>Quarter 1 1900</v>
      </c>
    </row>
    <row r="2408" spans="11:11">
      <c r="K2408" s="28" t="str">
        <f t="shared" si="38"/>
        <v>Quarter 1 1900</v>
      </c>
    </row>
    <row r="2409" spans="11:11">
      <c r="K2409" s="28" t="str">
        <f t="shared" si="38"/>
        <v>Quarter 1 1900</v>
      </c>
    </row>
    <row r="2410" spans="11:11">
      <c r="K2410" s="28" t="str">
        <f t="shared" si="38"/>
        <v>Quarter 1 1900</v>
      </c>
    </row>
    <row r="2411" spans="11:11">
      <c r="K2411" s="28" t="str">
        <f t="shared" si="38"/>
        <v>Quarter 1 1900</v>
      </c>
    </row>
    <row r="2412" spans="11:11">
      <c r="K2412" s="28" t="str">
        <f t="shared" si="38"/>
        <v>Quarter 1 1900</v>
      </c>
    </row>
    <row r="2413" spans="11:11">
      <c r="K2413" s="28" t="str">
        <f t="shared" si="38"/>
        <v>Quarter 1 1900</v>
      </c>
    </row>
    <row r="2414" spans="11:11">
      <c r="K2414" s="28" t="str">
        <f t="shared" si="38"/>
        <v>Quarter 1 1900</v>
      </c>
    </row>
    <row r="2415" spans="11:11">
      <c r="K2415" s="28" t="str">
        <f t="shared" si="38"/>
        <v>Quarter 1 1900</v>
      </c>
    </row>
    <row r="2416" spans="11:11">
      <c r="K2416" s="28" t="str">
        <f t="shared" si="38"/>
        <v>Quarter 1 1900</v>
      </c>
    </row>
    <row r="2417" spans="11:11">
      <c r="K2417" s="28" t="str">
        <f t="shared" si="38"/>
        <v>Quarter 1 1900</v>
      </c>
    </row>
    <row r="2418" spans="11:11">
      <c r="K2418" s="28" t="str">
        <f t="shared" si="38"/>
        <v>Quarter 1 1900</v>
      </c>
    </row>
    <row r="2419" spans="11:11">
      <c r="K2419" s="28" t="str">
        <f t="shared" si="38"/>
        <v>Quarter 1 1900</v>
      </c>
    </row>
    <row r="2420" spans="11:11">
      <c r="K2420" s="28" t="str">
        <f t="shared" si="38"/>
        <v>Quarter 1 1900</v>
      </c>
    </row>
    <row r="2421" spans="11:11">
      <c r="K2421" s="28" t="str">
        <f t="shared" si="38"/>
        <v>Quarter 1 1900</v>
      </c>
    </row>
    <row r="2422" spans="11:11">
      <c r="K2422" s="28" t="str">
        <f t="shared" si="38"/>
        <v>Quarter 1 1900</v>
      </c>
    </row>
    <row r="2423" spans="11:11">
      <c r="K2423" s="28" t="str">
        <f t="shared" si="38"/>
        <v>Quarter 1 1900</v>
      </c>
    </row>
    <row r="2424" spans="11:11">
      <c r="K2424" s="28" t="str">
        <f t="shared" si="38"/>
        <v>Quarter 1 1900</v>
      </c>
    </row>
    <row r="2425" spans="11:11">
      <c r="K2425" s="28" t="str">
        <f t="shared" si="38"/>
        <v>Quarter 1 1900</v>
      </c>
    </row>
    <row r="2426" spans="11:11">
      <c r="K2426" s="28" t="str">
        <f t="shared" si="38"/>
        <v>Quarter 1 1900</v>
      </c>
    </row>
    <row r="2427" spans="11:11">
      <c r="K2427" s="28" t="str">
        <f t="shared" si="38"/>
        <v>Quarter 1 1900</v>
      </c>
    </row>
    <row r="2428" spans="11:11">
      <c r="K2428" s="28" t="str">
        <f t="shared" si="38"/>
        <v>Quarter 1 1900</v>
      </c>
    </row>
    <row r="2429" spans="11:11">
      <c r="K2429" s="28" t="str">
        <f t="shared" si="38"/>
        <v>Quarter 1 1900</v>
      </c>
    </row>
    <row r="2430" spans="11:11">
      <c r="K2430" s="28" t="str">
        <f t="shared" si="38"/>
        <v>Quarter 1 1900</v>
      </c>
    </row>
    <row r="2431" spans="11:11">
      <c r="K2431" s="28" t="str">
        <f t="shared" si="38"/>
        <v>Quarter 1 1900</v>
      </c>
    </row>
    <row r="2432" spans="11:11">
      <c r="K2432" s="28" t="str">
        <f t="shared" si="38"/>
        <v>Quarter 1 1900</v>
      </c>
    </row>
    <row r="2433" spans="11:11">
      <c r="K2433" s="28" t="str">
        <f t="shared" si="38"/>
        <v>Quarter 1 1900</v>
      </c>
    </row>
    <row r="2434" spans="11:11">
      <c r="K2434" s="28" t="str">
        <f t="shared" si="38"/>
        <v>Quarter 1 1900</v>
      </c>
    </row>
    <row r="2435" spans="11:11">
      <c r="K2435" s="28" t="str">
        <f t="shared" si="38"/>
        <v>Quarter 1 1900</v>
      </c>
    </row>
    <row r="2436" spans="11:11">
      <c r="K2436" s="28" t="str">
        <f t="shared" si="38"/>
        <v>Quarter 1 1900</v>
      </c>
    </row>
    <row r="2437" spans="11:11">
      <c r="K2437" s="28" t="str">
        <f t="shared" si="38"/>
        <v>Quarter 1 1900</v>
      </c>
    </row>
    <row r="2438" spans="11:11">
      <c r="K2438" s="28" t="str">
        <f t="shared" si="38"/>
        <v>Quarter 1 1900</v>
      </c>
    </row>
    <row r="2439" spans="11:11">
      <c r="K2439" s="28" t="str">
        <f t="shared" si="38"/>
        <v>Quarter 1 1900</v>
      </c>
    </row>
    <row r="2440" spans="11:11">
      <c r="K2440" s="28" t="str">
        <f t="shared" si="38"/>
        <v>Quarter 1 1900</v>
      </c>
    </row>
    <row r="2441" spans="11:11">
      <c r="K2441" s="28" t="str">
        <f t="shared" si="38"/>
        <v>Quarter 1 1900</v>
      </c>
    </row>
    <row r="2442" spans="11:11">
      <c r="K2442" s="28" t="str">
        <f t="shared" si="38"/>
        <v>Quarter 1 1900</v>
      </c>
    </row>
    <row r="2443" spans="11:11">
      <c r="K2443" s="28" t="str">
        <f t="shared" si="38"/>
        <v>Quarter 1 1900</v>
      </c>
    </row>
    <row r="2444" spans="11:11">
      <c r="K2444" s="28" t="str">
        <f t="shared" si="38"/>
        <v>Quarter 1 1900</v>
      </c>
    </row>
    <row r="2445" spans="11:11">
      <c r="K2445" s="28" t="str">
        <f t="shared" si="38"/>
        <v>Quarter 1 1900</v>
      </c>
    </row>
    <row r="2446" spans="11:11">
      <c r="K2446" s="28" t="str">
        <f t="shared" si="38"/>
        <v>Quarter 1 1900</v>
      </c>
    </row>
    <row r="2447" spans="11:11">
      <c r="K2447" s="28" t="str">
        <f t="shared" si="38"/>
        <v>Quarter 1 1900</v>
      </c>
    </row>
    <row r="2448" spans="11:11">
      <c r="K2448" s="28" t="str">
        <f t="shared" si="38"/>
        <v>Quarter 1 1900</v>
      </c>
    </row>
    <row r="2449" spans="11:11">
      <c r="K2449" s="28" t="str">
        <f t="shared" si="38"/>
        <v>Quarter 1 1900</v>
      </c>
    </row>
    <row r="2450" spans="11:11">
      <c r="K2450" s="28" t="str">
        <f t="shared" ref="K2450:K2513" si="39">"Quarter "&amp;INT((MONTH(B2450)-1)/3)+1&amp;" "&amp;YEAR(B2450)</f>
        <v>Quarter 1 1900</v>
      </c>
    </row>
    <row r="2451" spans="11:11">
      <c r="K2451" s="28" t="str">
        <f t="shared" si="39"/>
        <v>Quarter 1 1900</v>
      </c>
    </row>
    <row r="2452" spans="11:11">
      <c r="K2452" s="28" t="str">
        <f t="shared" si="39"/>
        <v>Quarter 1 1900</v>
      </c>
    </row>
    <row r="2453" spans="11:11">
      <c r="K2453" s="28" t="str">
        <f t="shared" si="39"/>
        <v>Quarter 1 1900</v>
      </c>
    </row>
    <row r="2454" spans="11:11">
      <c r="K2454" s="28" t="str">
        <f t="shared" si="39"/>
        <v>Quarter 1 1900</v>
      </c>
    </row>
    <row r="2455" spans="11:11">
      <c r="K2455" s="28" t="str">
        <f t="shared" si="39"/>
        <v>Quarter 1 1900</v>
      </c>
    </row>
    <row r="2456" spans="11:11">
      <c r="K2456" s="28" t="str">
        <f t="shared" si="39"/>
        <v>Quarter 1 1900</v>
      </c>
    </row>
    <row r="2457" spans="11:11">
      <c r="K2457" s="28" t="str">
        <f t="shared" si="39"/>
        <v>Quarter 1 1900</v>
      </c>
    </row>
    <row r="2458" spans="11:11">
      <c r="K2458" s="28" t="str">
        <f t="shared" si="39"/>
        <v>Quarter 1 1900</v>
      </c>
    </row>
    <row r="2459" spans="11:11">
      <c r="K2459" s="28" t="str">
        <f t="shared" si="39"/>
        <v>Quarter 1 1900</v>
      </c>
    </row>
    <row r="2460" spans="11:11">
      <c r="K2460" s="28" t="str">
        <f t="shared" si="39"/>
        <v>Quarter 1 1900</v>
      </c>
    </row>
    <row r="2461" spans="11:11">
      <c r="K2461" s="28" t="str">
        <f t="shared" si="39"/>
        <v>Quarter 1 1900</v>
      </c>
    </row>
    <row r="2462" spans="11:11">
      <c r="K2462" s="28" t="str">
        <f t="shared" si="39"/>
        <v>Quarter 1 1900</v>
      </c>
    </row>
    <row r="2463" spans="11:11">
      <c r="K2463" s="28" t="str">
        <f t="shared" si="39"/>
        <v>Quarter 1 1900</v>
      </c>
    </row>
    <row r="2464" spans="11:11">
      <c r="K2464" s="28" t="str">
        <f t="shared" si="39"/>
        <v>Quarter 1 1900</v>
      </c>
    </row>
    <row r="2465" spans="11:11">
      <c r="K2465" s="28" t="str">
        <f t="shared" si="39"/>
        <v>Quarter 1 1900</v>
      </c>
    </row>
    <row r="2466" spans="11:11">
      <c r="K2466" s="28" t="str">
        <f t="shared" si="39"/>
        <v>Quarter 1 1900</v>
      </c>
    </row>
    <row r="2467" spans="11:11">
      <c r="K2467" s="28" t="str">
        <f t="shared" si="39"/>
        <v>Quarter 1 1900</v>
      </c>
    </row>
    <row r="2468" spans="11:11">
      <c r="K2468" s="28" t="str">
        <f t="shared" si="39"/>
        <v>Quarter 1 1900</v>
      </c>
    </row>
    <row r="2469" spans="11:11">
      <c r="K2469" s="28" t="str">
        <f t="shared" si="39"/>
        <v>Quarter 1 1900</v>
      </c>
    </row>
    <row r="2470" spans="11:11">
      <c r="K2470" s="28" t="str">
        <f t="shared" si="39"/>
        <v>Quarter 1 1900</v>
      </c>
    </row>
    <row r="2471" spans="11:11">
      <c r="K2471" s="28" t="str">
        <f t="shared" si="39"/>
        <v>Quarter 1 1900</v>
      </c>
    </row>
    <row r="2472" spans="11:11">
      <c r="K2472" s="28" t="str">
        <f t="shared" si="39"/>
        <v>Quarter 1 1900</v>
      </c>
    </row>
    <row r="2473" spans="11:11">
      <c r="K2473" s="28" t="str">
        <f t="shared" si="39"/>
        <v>Quarter 1 1900</v>
      </c>
    </row>
    <row r="2474" spans="11:11">
      <c r="K2474" s="28" t="str">
        <f t="shared" si="39"/>
        <v>Quarter 1 1900</v>
      </c>
    </row>
    <row r="2475" spans="11:11">
      <c r="K2475" s="28" t="str">
        <f t="shared" si="39"/>
        <v>Quarter 1 1900</v>
      </c>
    </row>
    <row r="2476" spans="11:11">
      <c r="K2476" s="28" t="str">
        <f t="shared" si="39"/>
        <v>Quarter 1 1900</v>
      </c>
    </row>
    <row r="2477" spans="11:11">
      <c r="K2477" s="28" t="str">
        <f t="shared" si="39"/>
        <v>Quarter 1 1900</v>
      </c>
    </row>
    <row r="2478" spans="11:11">
      <c r="K2478" s="28" t="str">
        <f t="shared" si="39"/>
        <v>Quarter 1 1900</v>
      </c>
    </row>
    <row r="2479" spans="11:11">
      <c r="K2479" s="28" t="str">
        <f t="shared" si="39"/>
        <v>Quarter 1 1900</v>
      </c>
    </row>
    <row r="2480" spans="11:11">
      <c r="K2480" s="28" t="str">
        <f t="shared" si="39"/>
        <v>Quarter 1 1900</v>
      </c>
    </row>
    <row r="2481" spans="11:11">
      <c r="K2481" s="28" t="str">
        <f t="shared" si="39"/>
        <v>Quarter 1 1900</v>
      </c>
    </row>
    <row r="2482" spans="11:11">
      <c r="K2482" s="28" t="str">
        <f t="shared" si="39"/>
        <v>Quarter 1 1900</v>
      </c>
    </row>
    <row r="2483" spans="11:11">
      <c r="K2483" s="28" t="str">
        <f t="shared" si="39"/>
        <v>Quarter 1 1900</v>
      </c>
    </row>
    <row r="2484" spans="11:11">
      <c r="K2484" s="28" t="str">
        <f t="shared" si="39"/>
        <v>Quarter 1 1900</v>
      </c>
    </row>
    <row r="2485" spans="11:11">
      <c r="K2485" s="28" t="str">
        <f t="shared" si="39"/>
        <v>Quarter 1 1900</v>
      </c>
    </row>
    <row r="2486" spans="11:11">
      <c r="K2486" s="28" t="str">
        <f t="shared" si="39"/>
        <v>Quarter 1 1900</v>
      </c>
    </row>
    <row r="2487" spans="11:11">
      <c r="K2487" s="28" t="str">
        <f t="shared" si="39"/>
        <v>Quarter 1 1900</v>
      </c>
    </row>
    <row r="2488" spans="11:11">
      <c r="K2488" s="28" t="str">
        <f t="shared" si="39"/>
        <v>Quarter 1 1900</v>
      </c>
    </row>
    <row r="2489" spans="11:11">
      <c r="K2489" s="28" t="str">
        <f t="shared" si="39"/>
        <v>Quarter 1 1900</v>
      </c>
    </row>
    <row r="2490" spans="11:11">
      <c r="K2490" s="28" t="str">
        <f t="shared" si="39"/>
        <v>Quarter 1 1900</v>
      </c>
    </row>
    <row r="2491" spans="11:11">
      <c r="K2491" s="28" t="str">
        <f t="shared" si="39"/>
        <v>Quarter 1 1900</v>
      </c>
    </row>
    <row r="2492" spans="11:11">
      <c r="K2492" s="28" t="str">
        <f t="shared" si="39"/>
        <v>Quarter 1 1900</v>
      </c>
    </row>
    <row r="2493" spans="11:11">
      <c r="K2493" s="28" t="str">
        <f t="shared" si="39"/>
        <v>Quarter 1 1900</v>
      </c>
    </row>
    <row r="2494" spans="11:11">
      <c r="K2494" s="28" t="str">
        <f t="shared" si="39"/>
        <v>Quarter 1 1900</v>
      </c>
    </row>
    <row r="2495" spans="11:11">
      <c r="K2495" s="28" t="str">
        <f t="shared" si="39"/>
        <v>Quarter 1 1900</v>
      </c>
    </row>
    <row r="2496" spans="11:11">
      <c r="K2496" s="28" t="str">
        <f t="shared" si="39"/>
        <v>Quarter 1 1900</v>
      </c>
    </row>
    <row r="2497" spans="11:11">
      <c r="K2497" s="28" t="str">
        <f t="shared" si="39"/>
        <v>Quarter 1 1900</v>
      </c>
    </row>
    <row r="2498" spans="11:11">
      <c r="K2498" s="28" t="str">
        <f t="shared" si="39"/>
        <v>Quarter 1 1900</v>
      </c>
    </row>
    <row r="2499" spans="11:11">
      <c r="K2499" s="28" t="str">
        <f t="shared" si="39"/>
        <v>Quarter 1 1900</v>
      </c>
    </row>
    <row r="2500" spans="11:11">
      <c r="K2500" s="28" t="str">
        <f t="shared" si="39"/>
        <v>Quarter 1 1900</v>
      </c>
    </row>
    <row r="2501" spans="11:11">
      <c r="K2501" s="28" t="str">
        <f t="shared" si="39"/>
        <v>Quarter 1 1900</v>
      </c>
    </row>
    <row r="2502" spans="11:11">
      <c r="K2502" s="28" t="str">
        <f t="shared" si="39"/>
        <v>Quarter 1 1900</v>
      </c>
    </row>
    <row r="2503" spans="11:11">
      <c r="K2503" s="28" t="str">
        <f t="shared" si="39"/>
        <v>Quarter 1 1900</v>
      </c>
    </row>
    <row r="2504" spans="11:11">
      <c r="K2504" s="28" t="str">
        <f t="shared" si="39"/>
        <v>Quarter 1 1900</v>
      </c>
    </row>
    <row r="2505" spans="11:11">
      <c r="K2505" s="28" t="str">
        <f t="shared" si="39"/>
        <v>Quarter 1 1900</v>
      </c>
    </row>
    <row r="2506" spans="11:11">
      <c r="K2506" s="28" t="str">
        <f t="shared" si="39"/>
        <v>Quarter 1 1900</v>
      </c>
    </row>
    <row r="2507" spans="11:11">
      <c r="K2507" s="28" t="str">
        <f t="shared" si="39"/>
        <v>Quarter 1 1900</v>
      </c>
    </row>
    <row r="2508" spans="11:11">
      <c r="K2508" s="28" t="str">
        <f t="shared" si="39"/>
        <v>Quarter 1 1900</v>
      </c>
    </row>
    <row r="2509" spans="11:11">
      <c r="K2509" s="28" t="str">
        <f t="shared" si="39"/>
        <v>Quarter 1 1900</v>
      </c>
    </row>
    <row r="2510" spans="11:11">
      <c r="K2510" s="28" t="str">
        <f t="shared" si="39"/>
        <v>Quarter 1 1900</v>
      </c>
    </row>
    <row r="2511" spans="11:11">
      <c r="K2511" s="28" t="str">
        <f t="shared" si="39"/>
        <v>Quarter 1 1900</v>
      </c>
    </row>
    <row r="2512" spans="11:11">
      <c r="K2512" s="28" t="str">
        <f t="shared" si="39"/>
        <v>Quarter 1 1900</v>
      </c>
    </row>
    <row r="2513" spans="11:11">
      <c r="K2513" s="28" t="str">
        <f t="shared" si="39"/>
        <v>Quarter 1 1900</v>
      </c>
    </row>
    <row r="2514" spans="11:11">
      <c r="K2514" s="28" t="str">
        <f t="shared" ref="K2514:K2577" si="40">"Quarter "&amp;INT((MONTH(B2514)-1)/3)+1&amp;" "&amp;YEAR(B2514)</f>
        <v>Quarter 1 1900</v>
      </c>
    </row>
    <row r="2515" spans="11:11">
      <c r="K2515" s="28" t="str">
        <f t="shared" si="40"/>
        <v>Quarter 1 1900</v>
      </c>
    </row>
    <row r="2516" spans="11:11">
      <c r="K2516" s="28" t="str">
        <f t="shared" si="40"/>
        <v>Quarter 1 1900</v>
      </c>
    </row>
    <row r="2517" spans="11:11">
      <c r="K2517" s="28" t="str">
        <f t="shared" si="40"/>
        <v>Quarter 1 1900</v>
      </c>
    </row>
    <row r="2518" spans="11:11">
      <c r="K2518" s="28" t="str">
        <f t="shared" si="40"/>
        <v>Quarter 1 1900</v>
      </c>
    </row>
    <row r="2519" spans="11:11">
      <c r="K2519" s="28" t="str">
        <f t="shared" si="40"/>
        <v>Quarter 1 1900</v>
      </c>
    </row>
    <row r="2520" spans="11:11">
      <c r="K2520" s="28" t="str">
        <f t="shared" si="40"/>
        <v>Quarter 1 1900</v>
      </c>
    </row>
    <row r="2521" spans="11:11">
      <c r="K2521" s="28" t="str">
        <f t="shared" si="40"/>
        <v>Quarter 1 1900</v>
      </c>
    </row>
    <row r="2522" spans="11:11">
      <c r="K2522" s="28" t="str">
        <f t="shared" si="40"/>
        <v>Quarter 1 1900</v>
      </c>
    </row>
    <row r="2523" spans="11:11">
      <c r="K2523" s="28" t="str">
        <f t="shared" si="40"/>
        <v>Quarter 1 1900</v>
      </c>
    </row>
    <row r="2524" spans="11:11">
      <c r="K2524" s="28" t="str">
        <f t="shared" si="40"/>
        <v>Quarter 1 1900</v>
      </c>
    </row>
    <row r="2525" spans="11:11">
      <c r="K2525" s="28" t="str">
        <f t="shared" si="40"/>
        <v>Quarter 1 1900</v>
      </c>
    </row>
    <row r="2526" spans="11:11">
      <c r="K2526" s="28" t="str">
        <f t="shared" si="40"/>
        <v>Quarter 1 1900</v>
      </c>
    </row>
    <row r="2527" spans="11:11">
      <c r="K2527" s="28" t="str">
        <f t="shared" si="40"/>
        <v>Quarter 1 1900</v>
      </c>
    </row>
    <row r="2528" spans="11:11">
      <c r="K2528" s="28" t="str">
        <f t="shared" si="40"/>
        <v>Quarter 1 1900</v>
      </c>
    </row>
    <row r="2529" spans="11:11">
      <c r="K2529" s="28" t="str">
        <f t="shared" si="40"/>
        <v>Quarter 1 1900</v>
      </c>
    </row>
    <row r="2530" spans="11:11">
      <c r="K2530" s="28" t="str">
        <f t="shared" si="40"/>
        <v>Quarter 1 1900</v>
      </c>
    </row>
    <row r="2531" spans="11:11">
      <c r="K2531" s="28" t="str">
        <f t="shared" si="40"/>
        <v>Quarter 1 1900</v>
      </c>
    </row>
    <row r="2532" spans="11:11">
      <c r="K2532" s="28" t="str">
        <f t="shared" si="40"/>
        <v>Quarter 1 1900</v>
      </c>
    </row>
    <row r="2533" spans="11:11">
      <c r="K2533" s="28" t="str">
        <f t="shared" si="40"/>
        <v>Quarter 1 1900</v>
      </c>
    </row>
    <row r="2534" spans="11:11">
      <c r="K2534" s="28" t="str">
        <f t="shared" si="40"/>
        <v>Quarter 1 1900</v>
      </c>
    </row>
    <row r="2535" spans="11:11">
      <c r="K2535" s="28" t="str">
        <f t="shared" si="40"/>
        <v>Quarter 1 1900</v>
      </c>
    </row>
    <row r="2536" spans="11:11">
      <c r="K2536" s="28" t="str">
        <f t="shared" si="40"/>
        <v>Quarter 1 1900</v>
      </c>
    </row>
    <row r="2537" spans="11:11">
      <c r="K2537" s="28" t="str">
        <f t="shared" si="40"/>
        <v>Quarter 1 1900</v>
      </c>
    </row>
    <row r="2538" spans="11:11">
      <c r="K2538" s="28" t="str">
        <f t="shared" si="40"/>
        <v>Quarter 1 1900</v>
      </c>
    </row>
    <row r="2539" spans="11:11">
      <c r="K2539" s="28" t="str">
        <f t="shared" si="40"/>
        <v>Quarter 1 1900</v>
      </c>
    </row>
    <row r="2540" spans="11:11">
      <c r="K2540" s="28" t="str">
        <f t="shared" si="40"/>
        <v>Quarter 1 1900</v>
      </c>
    </row>
    <row r="2541" spans="11:11">
      <c r="K2541" s="28" t="str">
        <f t="shared" si="40"/>
        <v>Quarter 1 1900</v>
      </c>
    </row>
    <row r="2542" spans="11:11">
      <c r="K2542" s="28" t="str">
        <f t="shared" si="40"/>
        <v>Quarter 1 1900</v>
      </c>
    </row>
    <row r="2543" spans="11:11">
      <c r="K2543" s="28" t="str">
        <f t="shared" si="40"/>
        <v>Quarter 1 1900</v>
      </c>
    </row>
    <row r="2544" spans="11:11">
      <c r="K2544" s="28" t="str">
        <f t="shared" si="40"/>
        <v>Quarter 1 1900</v>
      </c>
    </row>
    <row r="2545" spans="11:11">
      <c r="K2545" s="28" t="str">
        <f t="shared" si="40"/>
        <v>Quarter 1 1900</v>
      </c>
    </row>
    <row r="2546" spans="11:11">
      <c r="K2546" s="28" t="str">
        <f t="shared" si="40"/>
        <v>Quarter 1 1900</v>
      </c>
    </row>
    <row r="2547" spans="11:11">
      <c r="K2547" s="28" t="str">
        <f t="shared" si="40"/>
        <v>Quarter 1 1900</v>
      </c>
    </row>
    <row r="2548" spans="11:11">
      <c r="K2548" s="28" t="str">
        <f t="shared" si="40"/>
        <v>Quarter 1 1900</v>
      </c>
    </row>
    <row r="2549" spans="11:11">
      <c r="K2549" s="28" t="str">
        <f t="shared" si="40"/>
        <v>Quarter 1 1900</v>
      </c>
    </row>
    <row r="2550" spans="11:11">
      <c r="K2550" s="28" t="str">
        <f t="shared" si="40"/>
        <v>Quarter 1 1900</v>
      </c>
    </row>
    <row r="2551" spans="11:11">
      <c r="K2551" s="28" t="str">
        <f t="shared" si="40"/>
        <v>Quarter 1 1900</v>
      </c>
    </row>
    <row r="2552" spans="11:11">
      <c r="K2552" s="28" t="str">
        <f t="shared" si="40"/>
        <v>Quarter 1 1900</v>
      </c>
    </row>
    <row r="2553" spans="11:11">
      <c r="K2553" s="28" t="str">
        <f t="shared" si="40"/>
        <v>Quarter 1 1900</v>
      </c>
    </row>
    <row r="2554" spans="11:11">
      <c r="K2554" s="28" t="str">
        <f t="shared" si="40"/>
        <v>Quarter 1 1900</v>
      </c>
    </row>
    <row r="2555" spans="11:11">
      <c r="K2555" s="28" t="str">
        <f t="shared" si="40"/>
        <v>Quarter 1 1900</v>
      </c>
    </row>
    <row r="2556" spans="11:11">
      <c r="K2556" s="28" t="str">
        <f t="shared" si="40"/>
        <v>Quarter 1 1900</v>
      </c>
    </row>
    <row r="2557" spans="11:11">
      <c r="K2557" s="28" t="str">
        <f t="shared" si="40"/>
        <v>Quarter 1 1900</v>
      </c>
    </row>
    <row r="2558" spans="11:11">
      <c r="K2558" s="28" t="str">
        <f t="shared" si="40"/>
        <v>Quarter 1 1900</v>
      </c>
    </row>
    <row r="2559" spans="11:11">
      <c r="K2559" s="28" t="str">
        <f t="shared" si="40"/>
        <v>Quarter 1 1900</v>
      </c>
    </row>
    <row r="2560" spans="11:11">
      <c r="K2560" s="28" t="str">
        <f t="shared" si="40"/>
        <v>Quarter 1 1900</v>
      </c>
    </row>
    <row r="2561" spans="11:11">
      <c r="K2561" s="28" t="str">
        <f t="shared" si="40"/>
        <v>Quarter 1 1900</v>
      </c>
    </row>
    <row r="2562" spans="11:11">
      <c r="K2562" s="28" t="str">
        <f t="shared" si="40"/>
        <v>Quarter 1 1900</v>
      </c>
    </row>
    <row r="2563" spans="11:11">
      <c r="K2563" s="28" t="str">
        <f t="shared" si="40"/>
        <v>Quarter 1 1900</v>
      </c>
    </row>
    <row r="2564" spans="11:11">
      <c r="K2564" s="28" t="str">
        <f t="shared" si="40"/>
        <v>Quarter 1 1900</v>
      </c>
    </row>
    <row r="2565" spans="11:11">
      <c r="K2565" s="28" t="str">
        <f t="shared" si="40"/>
        <v>Quarter 1 1900</v>
      </c>
    </row>
    <row r="2566" spans="11:11">
      <c r="K2566" s="28" t="str">
        <f t="shared" si="40"/>
        <v>Quarter 1 1900</v>
      </c>
    </row>
    <row r="2567" spans="11:11">
      <c r="K2567" s="28" t="str">
        <f t="shared" si="40"/>
        <v>Quarter 1 1900</v>
      </c>
    </row>
    <row r="2568" spans="11:11">
      <c r="K2568" s="28" t="str">
        <f t="shared" si="40"/>
        <v>Quarter 1 1900</v>
      </c>
    </row>
    <row r="2569" spans="11:11">
      <c r="K2569" s="28" t="str">
        <f t="shared" si="40"/>
        <v>Quarter 1 1900</v>
      </c>
    </row>
    <row r="2570" spans="11:11">
      <c r="K2570" s="28" t="str">
        <f t="shared" si="40"/>
        <v>Quarter 1 1900</v>
      </c>
    </row>
    <row r="2571" spans="11:11">
      <c r="K2571" s="28" t="str">
        <f t="shared" si="40"/>
        <v>Quarter 1 1900</v>
      </c>
    </row>
    <row r="2572" spans="11:11">
      <c r="K2572" s="28" t="str">
        <f t="shared" si="40"/>
        <v>Quarter 1 1900</v>
      </c>
    </row>
    <row r="2573" spans="11:11">
      <c r="K2573" s="28" t="str">
        <f t="shared" si="40"/>
        <v>Quarter 1 1900</v>
      </c>
    </row>
    <row r="2574" spans="11:11">
      <c r="K2574" s="28" t="str">
        <f t="shared" si="40"/>
        <v>Quarter 1 1900</v>
      </c>
    </row>
    <row r="2575" spans="11:11">
      <c r="K2575" s="28" t="str">
        <f t="shared" si="40"/>
        <v>Quarter 1 1900</v>
      </c>
    </row>
    <row r="2576" spans="11:11">
      <c r="K2576" s="28" t="str">
        <f t="shared" si="40"/>
        <v>Quarter 1 1900</v>
      </c>
    </row>
    <row r="2577" spans="11:11">
      <c r="K2577" s="28" t="str">
        <f t="shared" si="40"/>
        <v>Quarter 1 1900</v>
      </c>
    </row>
    <row r="2578" spans="11:11">
      <c r="K2578" s="28" t="str">
        <f t="shared" ref="K2578:K2641" si="41">"Quarter "&amp;INT((MONTH(B2578)-1)/3)+1&amp;" "&amp;YEAR(B2578)</f>
        <v>Quarter 1 1900</v>
      </c>
    </row>
    <row r="2579" spans="11:11">
      <c r="K2579" s="28" t="str">
        <f t="shared" si="41"/>
        <v>Quarter 1 1900</v>
      </c>
    </row>
    <row r="2580" spans="11:11">
      <c r="K2580" s="28" t="str">
        <f t="shared" si="41"/>
        <v>Quarter 1 1900</v>
      </c>
    </row>
    <row r="2581" spans="11:11">
      <c r="K2581" s="28" t="str">
        <f t="shared" si="41"/>
        <v>Quarter 1 1900</v>
      </c>
    </row>
    <row r="2582" spans="11:11">
      <c r="K2582" s="28" t="str">
        <f t="shared" si="41"/>
        <v>Quarter 1 1900</v>
      </c>
    </row>
    <row r="2583" spans="11:11">
      <c r="K2583" s="28" t="str">
        <f t="shared" si="41"/>
        <v>Quarter 1 1900</v>
      </c>
    </row>
    <row r="2584" spans="11:11">
      <c r="K2584" s="28" t="str">
        <f t="shared" si="41"/>
        <v>Quarter 1 1900</v>
      </c>
    </row>
    <row r="2585" spans="11:11">
      <c r="K2585" s="28" t="str">
        <f t="shared" si="41"/>
        <v>Quarter 1 1900</v>
      </c>
    </row>
    <row r="2586" spans="11:11">
      <c r="K2586" s="28" t="str">
        <f t="shared" si="41"/>
        <v>Quarter 1 1900</v>
      </c>
    </row>
    <row r="2587" spans="11:11">
      <c r="K2587" s="28" t="str">
        <f t="shared" si="41"/>
        <v>Quarter 1 1900</v>
      </c>
    </row>
    <row r="2588" spans="11:11">
      <c r="K2588" s="28" t="str">
        <f t="shared" si="41"/>
        <v>Quarter 1 1900</v>
      </c>
    </row>
    <row r="2589" spans="11:11">
      <c r="K2589" s="28" t="str">
        <f t="shared" si="41"/>
        <v>Quarter 1 1900</v>
      </c>
    </row>
    <row r="2590" spans="11:11">
      <c r="K2590" s="28" t="str">
        <f t="shared" si="41"/>
        <v>Quarter 1 1900</v>
      </c>
    </row>
    <row r="2591" spans="11:11">
      <c r="K2591" s="28" t="str">
        <f t="shared" si="41"/>
        <v>Quarter 1 1900</v>
      </c>
    </row>
    <row r="2592" spans="11:11">
      <c r="K2592" s="28" t="str">
        <f t="shared" si="41"/>
        <v>Quarter 1 1900</v>
      </c>
    </row>
    <row r="2593" spans="11:11">
      <c r="K2593" s="28" t="str">
        <f t="shared" si="41"/>
        <v>Quarter 1 1900</v>
      </c>
    </row>
    <row r="2594" spans="11:11">
      <c r="K2594" s="28" t="str">
        <f t="shared" si="41"/>
        <v>Quarter 1 1900</v>
      </c>
    </row>
    <row r="2595" spans="11:11">
      <c r="K2595" s="28" t="str">
        <f t="shared" si="41"/>
        <v>Quarter 1 1900</v>
      </c>
    </row>
    <row r="2596" spans="11:11">
      <c r="K2596" s="28" t="str">
        <f t="shared" si="41"/>
        <v>Quarter 1 1900</v>
      </c>
    </row>
    <row r="2597" spans="11:11">
      <c r="K2597" s="28" t="str">
        <f t="shared" si="41"/>
        <v>Quarter 1 1900</v>
      </c>
    </row>
    <row r="2598" spans="11:11">
      <c r="K2598" s="28" t="str">
        <f t="shared" si="41"/>
        <v>Quarter 1 1900</v>
      </c>
    </row>
    <row r="2599" spans="11:11">
      <c r="K2599" s="28" t="str">
        <f t="shared" si="41"/>
        <v>Quarter 1 1900</v>
      </c>
    </row>
    <row r="2600" spans="11:11">
      <c r="K2600" s="28" t="str">
        <f t="shared" si="41"/>
        <v>Quarter 1 1900</v>
      </c>
    </row>
    <row r="2601" spans="11:11">
      <c r="K2601" s="28" t="str">
        <f t="shared" si="41"/>
        <v>Quarter 1 1900</v>
      </c>
    </row>
    <row r="2602" spans="11:11">
      <c r="K2602" s="28" t="str">
        <f t="shared" si="41"/>
        <v>Quarter 1 1900</v>
      </c>
    </row>
    <row r="2603" spans="11:11">
      <c r="K2603" s="28" t="str">
        <f t="shared" si="41"/>
        <v>Quarter 1 1900</v>
      </c>
    </row>
    <row r="2604" spans="11:11">
      <c r="K2604" s="28" t="str">
        <f t="shared" si="41"/>
        <v>Quarter 1 1900</v>
      </c>
    </row>
    <row r="2605" spans="11:11">
      <c r="K2605" s="28" t="str">
        <f t="shared" si="41"/>
        <v>Quarter 1 1900</v>
      </c>
    </row>
    <row r="2606" spans="11:11">
      <c r="K2606" s="28" t="str">
        <f t="shared" si="41"/>
        <v>Quarter 1 1900</v>
      </c>
    </row>
    <row r="2607" spans="11:11">
      <c r="K2607" s="28" t="str">
        <f t="shared" si="41"/>
        <v>Quarter 1 1900</v>
      </c>
    </row>
    <row r="2608" spans="11:11">
      <c r="K2608" s="28" t="str">
        <f t="shared" si="41"/>
        <v>Quarter 1 1900</v>
      </c>
    </row>
    <row r="2609" spans="11:11">
      <c r="K2609" s="28" t="str">
        <f t="shared" si="41"/>
        <v>Quarter 1 1900</v>
      </c>
    </row>
    <row r="2610" spans="11:11">
      <c r="K2610" s="28" t="str">
        <f t="shared" si="41"/>
        <v>Quarter 1 1900</v>
      </c>
    </row>
    <row r="2611" spans="11:11">
      <c r="K2611" s="28" t="str">
        <f t="shared" si="41"/>
        <v>Quarter 1 1900</v>
      </c>
    </row>
    <row r="2612" spans="11:11">
      <c r="K2612" s="28" t="str">
        <f t="shared" si="41"/>
        <v>Quarter 1 1900</v>
      </c>
    </row>
    <row r="2613" spans="11:11">
      <c r="K2613" s="28" t="str">
        <f t="shared" si="41"/>
        <v>Quarter 1 1900</v>
      </c>
    </row>
    <row r="2614" spans="11:11">
      <c r="K2614" s="28" t="str">
        <f t="shared" si="41"/>
        <v>Quarter 1 1900</v>
      </c>
    </row>
    <row r="2615" spans="11:11">
      <c r="K2615" s="28" t="str">
        <f t="shared" si="41"/>
        <v>Quarter 1 1900</v>
      </c>
    </row>
    <row r="2616" spans="11:11">
      <c r="K2616" s="28" t="str">
        <f t="shared" si="41"/>
        <v>Quarter 1 1900</v>
      </c>
    </row>
    <row r="2617" spans="11:11">
      <c r="K2617" s="28" t="str">
        <f t="shared" si="41"/>
        <v>Quarter 1 1900</v>
      </c>
    </row>
    <row r="2618" spans="11:11">
      <c r="K2618" s="28" t="str">
        <f t="shared" si="41"/>
        <v>Quarter 1 1900</v>
      </c>
    </row>
    <row r="2619" spans="11:11">
      <c r="K2619" s="28" t="str">
        <f t="shared" si="41"/>
        <v>Quarter 1 1900</v>
      </c>
    </row>
    <row r="2620" spans="11:11">
      <c r="K2620" s="28" t="str">
        <f t="shared" si="41"/>
        <v>Quarter 1 1900</v>
      </c>
    </row>
    <row r="2621" spans="11:11">
      <c r="K2621" s="28" t="str">
        <f t="shared" si="41"/>
        <v>Quarter 1 1900</v>
      </c>
    </row>
    <row r="2622" spans="11:11">
      <c r="K2622" s="28" t="str">
        <f t="shared" si="41"/>
        <v>Quarter 1 1900</v>
      </c>
    </row>
    <row r="2623" spans="11:11">
      <c r="K2623" s="28" t="str">
        <f t="shared" si="41"/>
        <v>Quarter 1 1900</v>
      </c>
    </row>
    <row r="2624" spans="11:11">
      <c r="K2624" s="28" t="str">
        <f t="shared" si="41"/>
        <v>Quarter 1 1900</v>
      </c>
    </row>
    <row r="2625" spans="11:11">
      <c r="K2625" s="28" t="str">
        <f t="shared" si="41"/>
        <v>Quarter 1 1900</v>
      </c>
    </row>
    <row r="2626" spans="11:11">
      <c r="K2626" s="28" t="str">
        <f t="shared" si="41"/>
        <v>Quarter 1 1900</v>
      </c>
    </row>
    <row r="2627" spans="11:11">
      <c r="K2627" s="28" t="str">
        <f t="shared" si="41"/>
        <v>Quarter 1 1900</v>
      </c>
    </row>
    <row r="2628" spans="11:11">
      <c r="K2628" s="28" t="str">
        <f t="shared" si="41"/>
        <v>Quarter 1 1900</v>
      </c>
    </row>
    <row r="2629" spans="11:11">
      <c r="K2629" s="28" t="str">
        <f t="shared" si="41"/>
        <v>Quarter 1 1900</v>
      </c>
    </row>
    <row r="2630" spans="11:11">
      <c r="K2630" s="28" t="str">
        <f t="shared" si="41"/>
        <v>Quarter 1 1900</v>
      </c>
    </row>
    <row r="2631" spans="11:11">
      <c r="K2631" s="28" t="str">
        <f t="shared" si="41"/>
        <v>Quarter 1 1900</v>
      </c>
    </row>
    <row r="2632" spans="11:11">
      <c r="K2632" s="28" t="str">
        <f t="shared" si="41"/>
        <v>Quarter 1 1900</v>
      </c>
    </row>
    <row r="2633" spans="11:11">
      <c r="K2633" s="28" t="str">
        <f t="shared" si="41"/>
        <v>Quarter 1 1900</v>
      </c>
    </row>
    <row r="2634" spans="11:11">
      <c r="K2634" s="28" t="str">
        <f t="shared" si="41"/>
        <v>Quarter 1 1900</v>
      </c>
    </row>
    <row r="2635" spans="11:11">
      <c r="K2635" s="28" t="str">
        <f t="shared" si="41"/>
        <v>Quarter 1 1900</v>
      </c>
    </row>
    <row r="2636" spans="11:11">
      <c r="K2636" s="28" t="str">
        <f t="shared" si="41"/>
        <v>Quarter 1 1900</v>
      </c>
    </row>
    <row r="2637" spans="11:11">
      <c r="K2637" s="28" t="str">
        <f t="shared" si="41"/>
        <v>Quarter 1 1900</v>
      </c>
    </row>
    <row r="2638" spans="11:11">
      <c r="K2638" s="28" t="str">
        <f t="shared" si="41"/>
        <v>Quarter 1 1900</v>
      </c>
    </row>
    <row r="2639" spans="11:11">
      <c r="K2639" s="28" t="str">
        <f t="shared" si="41"/>
        <v>Quarter 1 1900</v>
      </c>
    </row>
    <row r="2640" spans="11:11">
      <c r="K2640" s="28" t="str">
        <f t="shared" si="41"/>
        <v>Quarter 1 1900</v>
      </c>
    </row>
    <row r="2641" spans="11:11">
      <c r="K2641" s="28" t="str">
        <f t="shared" si="41"/>
        <v>Quarter 1 1900</v>
      </c>
    </row>
    <row r="2642" spans="11:11">
      <c r="K2642" s="28" t="str">
        <f t="shared" ref="K2642:K2705" si="42">"Quarter "&amp;INT((MONTH(B2642)-1)/3)+1&amp;" "&amp;YEAR(B2642)</f>
        <v>Quarter 1 1900</v>
      </c>
    </row>
    <row r="2643" spans="11:11">
      <c r="K2643" s="28" t="str">
        <f t="shared" si="42"/>
        <v>Quarter 1 1900</v>
      </c>
    </row>
    <row r="2644" spans="11:11">
      <c r="K2644" s="28" t="str">
        <f t="shared" si="42"/>
        <v>Quarter 1 1900</v>
      </c>
    </row>
    <row r="2645" spans="11:11">
      <c r="K2645" s="28" t="str">
        <f t="shared" si="42"/>
        <v>Quarter 1 1900</v>
      </c>
    </row>
    <row r="2646" spans="11:11">
      <c r="K2646" s="28" t="str">
        <f t="shared" si="42"/>
        <v>Quarter 1 1900</v>
      </c>
    </row>
    <row r="2647" spans="11:11">
      <c r="K2647" s="28" t="str">
        <f t="shared" si="42"/>
        <v>Quarter 1 1900</v>
      </c>
    </row>
    <row r="2648" spans="11:11">
      <c r="K2648" s="28" t="str">
        <f t="shared" si="42"/>
        <v>Quarter 1 1900</v>
      </c>
    </row>
    <row r="2649" spans="11:11">
      <c r="K2649" s="28" t="str">
        <f t="shared" si="42"/>
        <v>Quarter 1 1900</v>
      </c>
    </row>
    <row r="2650" spans="11:11">
      <c r="K2650" s="28" t="str">
        <f t="shared" si="42"/>
        <v>Quarter 1 1900</v>
      </c>
    </row>
    <row r="2651" spans="11:11">
      <c r="K2651" s="28" t="str">
        <f t="shared" si="42"/>
        <v>Quarter 1 1900</v>
      </c>
    </row>
    <row r="2652" spans="11:11">
      <c r="K2652" s="28" t="str">
        <f t="shared" si="42"/>
        <v>Quarter 1 1900</v>
      </c>
    </row>
    <row r="2653" spans="11:11">
      <c r="K2653" s="28" t="str">
        <f t="shared" si="42"/>
        <v>Quarter 1 1900</v>
      </c>
    </row>
    <row r="2654" spans="11:11">
      <c r="K2654" s="28" t="str">
        <f t="shared" si="42"/>
        <v>Quarter 1 1900</v>
      </c>
    </row>
    <row r="2655" spans="11:11">
      <c r="K2655" s="28" t="str">
        <f t="shared" si="42"/>
        <v>Quarter 1 1900</v>
      </c>
    </row>
    <row r="2656" spans="11:11">
      <c r="K2656" s="28" t="str">
        <f t="shared" si="42"/>
        <v>Quarter 1 1900</v>
      </c>
    </row>
    <row r="2657" spans="11:11">
      <c r="K2657" s="28" t="str">
        <f t="shared" si="42"/>
        <v>Quarter 1 1900</v>
      </c>
    </row>
    <row r="2658" spans="11:11">
      <c r="K2658" s="28" t="str">
        <f t="shared" si="42"/>
        <v>Quarter 1 1900</v>
      </c>
    </row>
    <row r="2659" spans="11:11">
      <c r="K2659" s="28" t="str">
        <f t="shared" si="42"/>
        <v>Quarter 1 1900</v>
      </c>
    </row>
    <row r="2660" spans="11:11">
      <c r="K2660" s="28" t="str">
        <f t="shared" si="42"/>
        <v>Quarter 1 1900</v>
      </c>
    </row>
    <row r="2661" spans="11:11">
      <c r="K2661" s="28" t="str">
        <f t="shared" si="42"/>
        <v>Quarter 1 1900</v>
      </c>
    </row>
    <row r="2662" spans="11:11">
      <c r="K2662" s="28" t="str">
        <f t="shared" si="42"/>
        <v>Quarter 1 1900</v>
      </c>
    </row>
    <row r="2663" spans="11:11">
      <c r="K2663" s="28" t="str">
        <f t="shared" si="42"/>
        <v>Quarter 1 1900</v>
      </c>
    </row>
    <row r="2664" spans="11:11">
      <c r="K2664" s="28" t="str">
        <f t="shared" si="42"/>
        <v>Quarter 1 1900</v>
      </c>
    </row>
    <row r="2665" spans="11:11">
      <c r="K2665" s="28" t="str">
        <f t="shared" si="42"/>
        <v>Quarter 1 1900</v>
      </c>
    </row>
    <row r="2666" spans="11:11">
      <c r="K2666" s="28" t="str">
        <f t="shared" si="42"/>
        <v>Quarter 1 1900</v>
      </c>
    </row>
    <row r="2667" spans="11:11">
      <c r="K2667" s="28" t="str">
        <f t="shared" si="42"/>
        <v>Quarter 1 1900</v>
      </c>
    </row>
    <row r="2668" spans="11:11">
      <c r="K2668" s="28" t="str">
        <f t="shared" si="42"/>
        <v>Quarter 1 1900</v>
      </c>
    </row>
    <row r="2669" spans="11:11">
      <c r="K2669" s="28" t="str">
        <f t="shared" si="42"/>
        <v>Quarter 1 1900</v>
      </c>
    </row>
    <row r="2670" spans="11:11">
      <c r="K2670" s="28" t="str">
        <f t="shared" si="42"/>
        <v>Quarter 1 1900</v>
      </c>
    </row>
    <row r="2671" spans="11:11">
      <c r="K2671" s="28" t="str">
        <f t="shared" si="42"/>
        <v>Quarter 1 1900</v>
      </c>
    </row>
    <row r="2672" spans="11:11">
      <c r="K2672" s="28" t="str">
        <f t="shared" si="42"/>
        <v>Quarter 1 1900</v>
      </c>
    </row>
    <row r="2673" spans="11:11">
      <c r="K2673" s="28" t="str">
        <f t="shared" si="42"/>
        <v>Quarter 1 1900</v>
      </c>
    </row>
    <row r="2674" spans="11:11">
      <c r="K2674" s="28" t="str">
        <f t="shared" si="42"/>
        <v>Quarter 1 1900</v>
      </c>
    </row>
    <row r="2675" spans="11:11">
      <c r="K2675" s="28" t="str">
        <f t="shared" si="42"/>
        <v>Quarter 1 1900</v>
      </c>
    </row>
    <row r="2676" spans="11:11">
      <c r="K2676" s="28" t="str">
        <f t="shared" si="42"/>
        <v>Quarter 1 1900</v>
      </c>
    </row>
    <row r="2677" spans="11:11">
      <c r="K2677" s="28" t="str">
        <f t="shared" si="42"/>
        <v>Quarter 1 1900</v>
      </c>
    </row>
    <row r="2678" spans="11:11">
      <c r="K2678" s="28" t="str">
        <f t="shared" si="42"/>
        <v>Quarter 1 1900</v>
      </c>
    </row>
    <row r="2679" spans="11:11">
      <c r="K2679" s="28" t="str">
        <f t="shared" si="42"/>
        <v>Quarter 1 1900</v>
      </c>
    </row>
    <row r="2680" spans="11:11">
      <c r="K2680" s="28" t="str">
        <f t="shared" si="42"/>
        <v>Quarter 1 1900</v>
      </c>
    </row>
    <row r="2681" spans="11:11">
      <c r="K2681" s="28" t="str">
        <f t="shared" si="42"/>
        <v>Quarter 1 1900</v>
      </c>
    </row>
    <row r="2682" spans="11:11">
      <c r="K2682" s="28" t="str">
        <f t="shared" si="42"/>
        <v>Quarter 1 1900</v>
      </c>
    </row>
    <row r="2683" spans="11:11">
      <c r="K2683" s="28" t="str">
        <f t="shared" si="42"/>
        <v>Quarter 1 1900</v>
      </c>
    </row>
    <row r="2684" spans="11:11">
      <c r="K2684" s="28" t="str">
        <f t="shared" si="42"/>
        <v>Quarter 1 1900</v>
      </c>
    </row>
    <row r="2685" spans="11:11">
      <c r="K2685" s="28" t="str">
        <f t="shared" si="42"/>
        <v>Quarter 1 1900</v>
      </c>
    </row>
    <row r="2686" spans="11:11">
      <c r="K2686" s="28" t="str">
        <f t="shared" si="42"/>
        <v>Quarter 1 1900</v>
      </c>
    </row>
    <row r="2687" spans="11:11">
      <c r="K2687" s="28" t="str">
        <f t="shared" si="42"/>
        <v>Quarter 1 1900</v>
      </c>
    </row>
    <row r="2688" spans="11:11">
      <c r="K2688" s="28" t="str">
        <f t="shared" si="42"/>
        <v>Quarter 1 1900</v>
      </c>
    </row>
    <row r="2689" spans="11:11">
      <c r="K2689" s="28" t="str">
        <f t="shared" si="42"/>
        <v>Quarter 1 1900</v>
      </c>
    </row>
    <row r="2690" spans="11:11">
      <c r="K2690" s="28" t="str">
        <f t="shared" si="42"/>
        <v>Quarter 1 1900</v>
      </c>
    </row>
    <row r="2691" spans="11:11">
      <c r="K2691" s="28" t="str">
        <f t="shared" si="42"/>
        <v>Quarter 1 1900</v>
      </c>
    </row>
    <row r="2692" spans="11:11">
      <c r="K2692" s="28" t="str">
        <f t="shared" si="42"/>
        <v>Quarter 1 1900</v>
      </c>
    </row>
    <row r="2693" spans="11:11">
      <c r="K2693" s="28" t="str">
        <f t="shared" si="42"/>
        <v>Quarter 1 1900</v>
      </c>
    </row>
    <row r="2694" spans="11:11">
      <c r="K2694" s="28" t="str">
        <f t="shared" si="42"/>
        <v>Quarter 1 1900</v>
      </c>
    </row>
    <row r="2695" spans="11:11">
      <c r="K2695" s="28" t="str">
        <f t="shared" si="42"/>
        <v>Quarter 1 1900</v>
      </c>
    </row>
    <row r="2696" spans="11:11">
      <c r="K2696" s="28" t="str">
        <f t="shared" si="42"/>
        <v>Quarter 1 1900</v>
      </c>
    </row>
    <row r="2697" spans="11:11">
      <c r="K2697" s="28" t="str">
        <f t="shared" si="42"/>
        <v>Quarter 1 1900</v>
      </c>
    </row>
    <row r="2698" spans="11:11">
      <c r="K2698" s="28" t="str">
        <f t="shared" si="42"/>
        <v>Quarter 1 1900</v>
      </c>
    </row>
    <row r="2699" spans="11:11">
      <c r="K2699" s="28" t="str">
        <f t="shared" si="42"/>
        <v>Quarter 1 1900</v>
      </c>
    </row>
    <row r="2700" spans="11:11">
      <c r="K2700" s="28" t="str">
        <f t="shared" si="42"/>
        <v>Quarter 1 1900</v>
      </c>
    </row>
    <row r="2701" spans="11:11">
      <c r="K2701" s="28" t="str">
        <f t="shared" si="42"/>
        <v>Quarter 1 1900</v>
      </c>
    </row>
    <row r="2702" spans="11:11">
      <c r="K2702" s="28" t="str">
        <f t="shared" si="42"/>
        <v>Quarter 1 1900</v>
      </c>
    </row>
    <row r="2703" spans="11:11">
      <c r="K2703" s="28" t="str">
        <f t="shared" si="42"/>
        <v>Quarter 1 1900</v>
      </c>
    </row>
    <row r="2704" spans="11:11">
      <c r="K2704" s="28" t="str">
        <f t="shared" si="42"/>
        <v>Quarter 1 1900</v>
      </c>
    </row>
    <row r="2705" spans="11:11">
      <c r="K2705" s="28" t="str">
        <f t="shared" si="42"/>
        <v>Quarter 1 1900</v>
      </c>
    </row>
    <row r="2706" spans="11:11">
      <c r="K2706" s="28" t="str">
        <f t="shared" ref="K2706:K2769" si="43">"Quarter "&amp;INT((MONTH(B2706)-1)/3)+1&amp;" "&amp;YEAR(B2706)</f>
        <v>Quarter 1 1900</v>
      </c>
    </row>
    <row r="2707" spans="11:11">
      <c r="K2707" s="28" t="str">
        <f t="shared" si="43"/>
        <v>Quarter 1 1900</v>
      </c>
    </row>
    <row r="2708" spans="11:11">
      <c r="K2708" s="28" t="str">
        <f t="shared" si="43"/>
        <v>Quarter 1 1900</v>
      </c>
    </row>
    <row r="2709" spans="11:11">
      <c r="K2709" s="28" t="str">
        <f t="shared" si="43"/>
        <v>Quarter 1 1900</v>
      </c>
    </row>
    <row r="2710" spans="11:11">
      <c r="K2710" s="28" t="str">
        <f t="shared" si="43"/>
        <v>Quarter 1 1900</v>
      </c>
    </row>
    <row r="2711" spans="11:11">
      <c r="K2711" s="28" t="str">
        <f t="shared" si="43"/>
        <v>Quarter 1 1900</v>
      </c>
    </row>
    <row r="2712" spans="11:11">
      <c r="K2712" s="28" t="str">
        <f t="shared" si="43"/>
        <v>Quarter 1 1900</v>
      </c>
    </row>
    <row r="2713" spans="11:11">
      <c r="K2713" s="28" t="str">
        <f t="shared" si="43"/>
        <v>Quarter 1 1900</v>
      </c>
    </row>
    <row r="2714" spans="11:11">
      <c r="K2714" s="28" t="str">
        <f t="shared" si="43"/>
        <v>Quarter 1 1900</v>
      </c>
    </row>
    <row r="2715" spans="11:11">
      <c r="K2715" s="28" t="str">
        <f t="shared" si="43"/>
        <v>Quarter 1 1900</v>
      </c>
    </row>
    <row r="2716" spans="11:11">
      <c r="K2716" s="28" t="str">
        <f t="shared" si="43"/>
        <v>Quarter 1 1900</v>
      </c>
    </row>
    <row r="2717" spans="11:11">
      <c r="K2717" s="28" t="str">
        <f t="shared" si="43"/>
        <v>Quarter 1 1900</v>
      </c>
    </row>
    <row r="2718" spans="11:11">
      <c r="K2718" s="28" t="str">
        <f t="shared" si="43"/>
        <v>Quarter 1 1900</v>
      </c>
    </row>
    <row r="2719" spans="11:11">
      <c r="K2719" s="28" t="str">
        <f t="shared" si="43"/>
        <v>Quarter 1 1900</v>
      </c>
    </row>
    <row r="2720" spans="11:11">
      <c r="K2720" s="28" t="str">
        <f t="shared" si="43"/>
        <v>Quarter 1 1900</v>
      </c>
    </row>
    <row r="2721" spans="11:11">
      <c r="K2721" s="28" t="str">
        <f t="shared" si="43"/>
        <v>Quarter 1 1900</v>
      </c>
    </row>
    <row r="2722" spans="11:11">
      <c r="K2722" s="28" t="str">
        <f t="shared" si="43"/>
        <v>Quarter 1 1900</v>
      </c>
    </row>
    <row r="2723" spans="11:11">
      <c r="K2723" s="28" t="str">
        <f t="shared" si="43"/>
        <v>Quarter 1 1900</v>
      </c>
    </row>
    <row r="2724" spans="11:11">
      <c r="K2724" s="28" t="str">
        <f t="shared" si="43"/>
        <v>Quarter 1 1900</v>
      </c>
    </row>
    <row r="2725" spans="11:11">
      <c r="K2725" s="28" t="str">
        <f t="shared" si="43"/>
        <v>Quarter 1 1900</v>
      </c>
    </row>
    <row r="2726" spans="11:11">
      <c r="K2726" s="28" t="str">
        <f t="shared" si="43"/>
        <v>Quarter 1 1900</v>
      </c>
    </row>
    <row r="2727" spans="11:11">
      <c r="K2727" s="28" t="str">
        <f t="shared" si="43"/>
        <v>Quarter 1 1900</v>
      </c>
    </row>
    <row r="2728" spans="11:11">
      <c r="K2728" s="28" t="str">
        <f t="shared" si="43"/>
        <v>Quarter 1 1900</v>
      </c>
    </row>
    <row r="2729" spans="11:11">
      <c r="K2729" s="28" t="str">
        <f t="shared" si="43"/>
        <v>Quarter 1 1900</v>
      </c>
    </row>
    <row r="2730" spans="11:11">
      <c r="K2730" s="28" t="str">
        <f t="shared" si="43"/>
        <v>Quarter 1 1900</v>
      </c>
    </row>
    <row r="2731" spans="11:11">
      <c r="K2731" s="28" t="str">
        <f t="shared" si="43"/>
        <v>Quarter 1 1900</v>
      </c>
    </row>
    <row r="2732" spans="11:11">
      <c r="K2732" s="28" t="str">
        <f t="shared" si="43"/>
        <v>Quarter 1 1900</v>
      </c>
    </row>
    <row r="2733" spans="11:11">
      <c r="K2733" s="28" t="str">
        <f t="shared" si="43"/>
        <v>Quarter 1 1900</v>
      </c>
    </row>
    <row r="2734" spans="11:11">
      <c r="K2734" s="28" t="str">
        <f t="shared" si="43"/>
        <v>Quarter 1 1900</v>
      </c>
    </row>
    <row r="2735" spans="11:11">
      <c r="K2735" s="28" t="str">
        <f t="shared" si="43"/>
        <v>Quarter 1 1900</v>
      </c>
    </row>
    <row r="2736" spans="11:11">
      <c r="K2736" s="28" t="str">
        <f t="shared" si="43"/>
        <v>Quarter 1 1900</v>
      </c>
    </row>
    <row r="2737" spans="11:11">
      <c r="K2737" s="28" t="str">
        <f t="shared" si="43"/>
        <v>Quarter 1 1900</v>
      </c>
    </row>
    <row r="2738" spans="11:11">
      <c r="K2738" s="28" t="str">
        <f t="shared" si="43"/>
        <v>Quarter 1 1900</v>
      </c>
    </row>
    <row r="2739" spans="11:11">
      <c r="K2739" s="28" t="str">
        <f t="shared" si="43"/>
        <v>Quarter 1 1900</v>
      </c>
    </row>
    <row r="2740" spans="11:11">
      <c r="K2740" s="28" t="str">
        <f t="shared" si="43"/>
        <v>Quarter 1 1900</v>
      </c>
    </row>
    <row r="2741" spans="11:11">
      <c r="K2741" s="28" t="str">
        <f t="shared" si="43"/>
        <v>Quarter 1 1900</v>
      </c>
    </row>
    <row r="2742" spans="11:11">
      <c r="K2742" s="28" t="str">
        <f t="shared" si="43"/>
        <v>Quarter 1 1900</v>
      </c>
    </row>
    <row r="2743" spans="11:11">
      <c r="K2743" s="28" t="str">
        <f t="shared" si="43"/>
        <v>Quarter 1 1900</v>
      </c>
    </row>
    <row r="2744" spans="11:11">
      <c r="K2744" s="28" t="str">
        <f t="shared" si="43"/>
        <v>Quarter 1 1900</v>
      </c>
    </row>
    <row r="2745" spans="11:11">
      <c r="K2745" s="28" t="str">
        <f t="shared" si="43"/>
        <v>Quarter 1 1900</v>
      </c>
    </row>
    <row r="2746" spans="11:11">
      <c r="K2746" s="28" t="str">
        <f t="shared" si="43"/>
        <v>Quarter 1 1900</v>
      </c>
    </row>
    <row r="2747" spans="11:11">
      <c r="K2747" s="28" t="str">
        <f t="shared" si="43"/>
        <v>Quarter 1 1900</v>
      </c>
    </row>
    <row r="2748" spans="11:11">
      <c r="K2748" s="28" t="str">
        <f t="shared" si="43"/>
        <v>Quarter 1 1900</v>
      </c>
    </row>
    <row r="2749" spans="11:11">
      <c r="K2749" s="28" t="str">
        <f t="shared" si="43"/>
        <v>Quarter 1 1900</v>
      </c>
    </row>
    <row r="2750" spans="11:11">
      <c r="K2750" s="28" t="str">
        <f t="shared" si="43"/>
        <v>Quarter 1 1900</v>
      </c>
    </row>
    <row r="2751" spans="11:11">
      <c r="K2751" s="28" t="str">
        <f t="shared" si="43"/>
        <v>Quarter 1 1900</v>
      </c>
    </row>
    <row r="2752" spans="11:11">
      <c r="K2752" s="28" t="str">
        <f t="shared" si="43"/>
        <v>Quarter 1 1900</v>
      </c>
    </row>
    <row r="2753" spans="11:11">
      <c r="K2753" s="28" t="str">
        <f t="shared" si="43"/>
        <v>Quarter 1 1900</v>
      </c>
    </row>
    <row r="2754" spans="11:11">
      <c r="K2754" s="28" t="str">
        <f t="shared" si="43"/>
        <v>Quarter 1 1900</v>
      </c>
    </row>
    <row r="2755" spans="11:11">
      <c r="K2755" s="28" t="str">
        <f t="shared" si="43"/>
        <v>Quarter 1 1900</v>
      </c>
    </row>
    <row r="2756" spans="11:11">
      <c r="K2756" s="28" t="str">
        <f t="shared" si="43"/>
        <v>Quarter 1 1900</v>
      </c>
    </row>
    <row r="2757" spans="11:11">
      <c r="K2757" s="28" t="str">
        <f t="shared" si="43"/>
        <v>Quarter 1 1900</v>
      </c>
    </row>
    <row r="2758" spans="11:11">
      <c r="K2758" s="28" t="str">
        <f t="shared" si="43"/>
        <v>Quarter 1 1900</v>
      </c>
    </row>
    <row r="2759" spans="11:11">
      <c r="K2759" s="28" t="str">
        <f t="shared" si="43"/>
        <v>Quarter 1 1900</v>
      </c>
    </row>
    <row r="2760" spans="11:11">
      <c r="K2760" s="28" t="str">
        <f t="shared" si="43"/>
        <v>Quarter 1 1900</v>
      </c>
    </row>
    <row r="2761" spans="11:11">
      <c r="K2761" s="28" t="str">
        <f t="shared" si="43"/>
        <v>Quarter 1 1900</v>
      </c>
    </row>
    <row r="2762" spans="11:11">
      <c r="K2762" s="28" t="str">
        <f t="shared" si="43"/>
        <v>Quarter 1 1900</v>
      </c>
    </row>
    <row r="2763" spans="11:11">
      <c r="K2763" s="28" t="str">
        <f t="shared" si="43"/>
        <v>Quarter 1 1900</v>
      </c>
    </row>
    <row r="2764" spans="11:11">
      <c r="K2764" s="28" t="str">
        <f t="shared" si="43"/>
        <v>Quarter 1 1900</v>
      </c>
    </row>
    <row r="2765" spans="11:11">
      <c r="K2765" s="28" t="str">
        <f t="shared" si="43"/>
        <v>Quarter 1 1900</v>
      </c>
    </row>
    <row r="2766" spans="11:11">
      <c r="K2766" s="28" t="str">
        <f t="shared" si="43"/>
        <v>Quarter 1 1900</v>
      </c>
    </row>
    <row r="2767" spans="11:11">
      <c r="K2767" s="28" t="str">
        <f t="shared" si="43"/>
        <v>Quarter 1 1900</v>
      </c>
    </row>
    <row r="2768" spans="11:11">
      <c r="K2768" s="28" t="str">
        <f t="shared" si="43"/>
        <v>Quarter 1 1900</v>
      </c>
    </row>
    <row r="2769" spans="11:11">
      <c r="K2769" s="28" t="str">
        <f t="shared" si="43"/>
        <v>Quarter 1 1900</v>
      </c>
    </row>
    <row r="2770" spans="11:11">
      <c r="K2770" s="28" t="str">
        <f t="shared" ref="K2770:K2833" si="44">"Quarter "&amp;INT((MONTH(B2770)-1)/3)+1&amp;" "&amp;YEAR(B2770)</f>
        <v>Quarter 1 1900</v>
      </c>
    </row>
    <row r="2771" spans="11:11">
      <c r="K2771" s="28" t="str">
        <f t="shared" si="44"/>
        <v>Quarter 1 1900</v>
      </c>
    </row>
    <row r="2772" spans="11:11">
      <c r="K2772" s="28" t="str">
        <f t="shared" si="44"/>
        <v>Quarter 1 1900</v>
      </c>
    </row>
    <row r="2773" spans="11:11">
      <c r="K2773" s="28" t="str">
        <f t="shared" si="44"/>
        <v>Quarter 1 1900</v>
      </c>
    </row>
    <row r="2774" spans="11:11">
      <c r="K2774" s="28" t="str">
        <f t="shared" si="44"/>
        <v>Quarter 1 1900</v>
      </c>
    </row>
    <row r="2775" spans="11:11">
      <c r="K2775" s="28" t="str">
        <f t="shared" si="44"/>
        <v>Quarter 1 1900</v>
      </c>
    </row>
    <row r="2776" spans="11:11">
      <c r="K2776" s="28" t="str">
        <f t="shared" si="44"/>
        <v>Quarter 1 1900</v>
      </c>
    </row>
    <row r="2777" spans="11:11">
      <c r="K2777" s="28" t="str">
        <f t="shared" si="44"/>
        <v>Quarter 1 1900</v>
      </c>
    </row>
    <row r="2778" spans="11:11">
      <c r="K2778" s="28" t="str">
        <f t="shared" si="44"/>
        <v>Quarter 1 1900</v>
      </c>
    </row>
    <row r="2779" spans="11:11">
      <c r="K2779" s="28" t="str">
        <f t="shared" si="44"/>
        <v>Quarter 1 1900</v>
      </c>
    </row>
    <row r="2780" spans="11:11">
      <c r="K2780" s="28" t="str">
        <f t="shared" si="44"/>
        <v>Quarter 1 1900</v>
      </c>
    </row>
    <row r="2781" spans="11:11">
      <c r="K2781" s="28" t="str">
        <f t="shared" si="44"/>
        <v>Quarter 1 1900</v>
      </c>
    </row>
    <row r="2782" spans="11:11">
      <c r="K2782" s="28" t="str">
        <f t="shared" si="44"/>
        <v>Quarter 1 1900</v>
      </c>
    </row>
    <row r="2783" spans="11:11">
      <c r="K2783" s="28" t="str">
        <f t="shared" si="44"/>
        <v>Quarter 1 1900</v>
      </c>
    </row>
    <row r="2784" spans="11:11">
      <c r="K2784" s="28" t="str">
        <f t="shared" si="44"/>
        <v>Quarter 1 1900</v>
      </c>
    </row>
    <row r="2785" spans="11:11">
      <c r="K2785" s="28" t="str">
        <f t="shared" si="44"/>
        <v>Quarter 1 1900</v>
      </c>
    </row>
    <row r="2786" spans="11:11">
      <c r="K2786" s="28" t="str">
        <f t="shared" si="44"/>
        <v>Quarter 1 1900</v>
      </c>
    </row>
    <row r="2787" spans="11:11">
      <c r="K2787" s="28" t="str">
        <f t="shared" si="44"/>
        <v>Quarter 1 1900</v>
      </c>
    </row>
    <row r="2788" spans="11:11">
      <c r="K2788" s="28" t="str">
        <f t="shared" si="44"/>
        <v>Quarter 1 1900</v>
      </c>
    </row>
    <row r="2789" spans="11:11">
      <c r="K2789" s="28" t="str">
        <f t="shared" si="44"/>
        <v>Quarter 1 1900</v>
      </c>
    </row>
    <row r="2790" spans="11:11">
      <c r="K2790" s="28" t="str">
        <f t="shared" si="44"/>
        <v>Quarter 1 1900</v>
      </c>
    </row>
    <row r="2791" spans="11:11">
      <c r="K2791" s="28" t="str">
        <f t="shared" si="44"/>
        <v>Quarter 1 1900</v>
      </c>
    </row>
    <row r="2792" spans="11:11">
      <c r="K2792" s="28" t="str">
        <f t="shared" si="44"/>
        <v>Quarter 1 1900</v>
      </c>
    </row>
    <row r="2793" spans="11:11">
      <c r="K2793" s="28" t="str">
        <f t="shared" si="44"/>
        <v>Quarter 1 1900</v>
      </c>
    </row>
    <row r="2794" spans="11:11">
      <c r="K2794" s="28" t="str">
        <f t="shared" si="44"/>
        <v>Quarter 1 1900</v>
      </c>
    </row>
    <row r="2795" spans="11:11">
      <c r="K2795" s="28" t="str">
        <f t="shared" si="44"/>
        <v>Quarter 1 1900</v>
      </c>
    </row>
    <row r="2796" spans="11:11">
      <c r="K2796" s="28" t="str">
        <f t="shared" si="44"/>
        <v>Quarter 1 1900</v>
      </c>
    </row>
    <row r="2797" spans="11:11">
      <c r="K2797" s="28" t="str">
        <f t="shared" si="44"/>
        <v>Quarter 1 1900</v>
      </c>
    </row>
    <row r="2798" spans="11:11">
      <c r="K2798" s="28" t="str">
        <f t="shared" si="44"/>
        <v>Quarter 1 1900</v>
      </c>
    </row>
    <row r="2799" spans="11:11">
      <c r="K2799" s="28" t="str">
        <f t="shared" si="44"/>
        <v>Quarter 1 1900</v>
      </c>
    </row>
    <row r="2800" spans="11:11">
      <c r="K2800" s="28" t="str">
        <f t="shared" si="44"/>
        <v>Quarter 1 1900</v>
      </c>
    </row>
    <row r="2801" spans="11:11">
      <c r="K2801" s="28" t="str">
        <f t="shared" si="44"/>
        <v>Quarter 1 1900</v>
      </c>
    </row>
    <row r="2802" spans="11:11">
      <c r="K2802" s="28" t="str">
        <f t="shared" si="44"/>
        <v>Quarter 1 1900</v>
      </c>
    </row>
    <row r="2803" spans="11:11">
      <c r="K2803" s="28" t="str">
        <f t="shared" si="44"/>
        <v>Quarter 1 1900</v>
      </c>
    </row>
    <row r="2804" spans="11:11">
      <c r="K2804" s="28" t="str">
        <f t="shared" si="44"/>
        <v>Quarter 1 1900</v>
      </c>
    </row>
    <row r="2805" spans="11:11">
      <c r="K2805" s="28" t="str">
        <f t="shared" si="44"/>
        <v>Quarter 1 1900</v>
      </c>
    </row>
    <row r="2806" spans="11:11">
      <c r="K2806" s="28" t="str">
        <f t="shared" si="44"/>
        <v>Quarter 1 1900</v>
      </c>
    </row>
    <row r="2807" spans="11:11">
      <c r="K2807" s="28" t="str">
        <f t="shared" si="44"/>
        <v>Quarter 1 1900</v>
      </c>
    </row>
    <row r="2808" spans="11:11">
      <c r="K2808" s="28" t="str">
        <f t="shared" si="44"/>
        <v>Quarter 1 1900</v>
      </c>
    </row>
    <row r="2809" spans="11:11">
      <c r="K2809" s="28" t="str">
        <f t="shared" si="44"/>
        <v>Quarter 1 1900</v>
      </c>
    </row>
    <row r="2810" spans="11:11">
      <c r="K2810" s="28" t="str">
        <f t="shared" si="44"/>
        <v>Quarter 1 1900</v>
      </c>
    </row>
    <row r="2811" spans="11:11">
      <c r="K2811" s="28" t="str">
        <f t="shared" si="44"/>
        <v>Quarter 1 1900</v>
      </c>
    </row>
    <row r="2812" spans="11:11">
      <c r="K2812" s="28" t="str">
        <f t="shared" si="44"/>
        <v>Quarter 1 1900</v>
      </c>
    </row>
    <row r="2813" spans="11:11">
      <c r="K2813" s="28" t="str">
        <f t="shared" si="44"/>
        <v>Quarter 1 1900</v>
      </c>
    </row>
    <row r="2814" spans="11:11">
      <c r="K2814" s="28" t="str">
        <f t="shared" si="44"/>
        <v>Quarter 1 1900</v>
      </c>
    </row>
    <row r="2815" spans="11:11">
      <c r="K2815" s="28" t="str">
        <f t="shared" si="44"/>
        <v>Quarter 1 1900</v>
      </c>
    </row>
    <row r="2816" spans="11:11">
      <c r="K2816" s="28" t="str">
        <f t="shared" si="44"/>
        <v>Quarter 1 1900</v>
      </c>
    </row>
    <row r="2817" spans="11:11">
      <c r="K2817" s="28" t="str">
        <f t="shared" si="44"/>
        <v>Quarter 1 1900</v>
      </c>
    </row>
    <row r="2818" spans="11:11">
      <c r="K2818" s="28" t="str">
        <f t="shared" si="44"/>
        <v>Quarter 1 1900</v>
      </c>
    </row>
    <row r="2819" spans="11:11">
      <c r="K2819" s="28" t="str">
        <f t="shared" si="44"/>
        <v>Quarter 1 1900</v>
      </c>
    </row>
    <row r="2820" spans="11:11">
      <c r="K2820" s="28" t="str">
        <f t="shared" si="44"/>
        <v>Quarter 1 1900</v>
      </c>
    </row>
    <row r="2821" spans="11:11">
      <c r="K2821" s="28" t="str">
        <f t="shared" si="44"/>
        <v>Quarter 1 1900</v>
      </c>
    </row>
    <row r="2822" spans="11:11">
      <c r="K2822" s="28" t="str">
        <f t="shared" si="44"/>
        <v>Quarter 1 1900</v>
      </c>
    </row>
    <row r="2823" spans="11:11">
      <c r="K2823" s="28" t="str">
        <f t="shared" si="44"/>
        <v>Quarter 1 1900</v>
      </c>
    </row>
    <row r="2824" spans="11:11">
      <c r="K2824" s="28" t="str">
        <f t="shared" si="44"/>
        <v>Quarter 1 1900</v>
      </c>
    </row>
    <row r="2825" spans="11:11">
      <c r="K2825" s="28" t="str">
        <f t="shared" si="44"/>
        <v>Quarter 1 1900</v>
      </c>
    </row>
    <row r="2826" spans="11:11">
      <c r="K2826" s="28" t="str">
        <f t="shared" si="44"/>
        <v>Quarter 1 1900</v>
      </c>
    </row>
    <row r="2827" spans="11:11">
      <c r="K2827" s="28" t="str">
        <f t="shared" si="44"/>
        <v>Quarter 1 1900</v>
      </c>
    </row>
    <row r="2828" spans="11:11">
      <c r="K2828" s="28" t="str">
        <f t="shared" si="44"/>
        <v>Quarter 1 1900</v>
      </c>
    </row>
    <row r="2829" spans="11:11">
      <c r="K2829" s="28" t="str">
        <f t="shared" si="44"/>
        <v>Quarter 1 1900</v>
      </c>
    </row>
    <row r="2830" spans="11:11">
      <c r="K2830" s="28" t="str">
        <f t="shared" si="44"/>
        <v>Quarter 1 1900</v>
      </c>
    </row>
    <row r="2831" spans="11:11">
      <c r="K2831" s="28" t="str">
        <f t="shared" si="44"/>
        <v>Quarter 1 1900</v>
      </c>
    </row>
    <row r="2832" spans="11:11">
      <c r="K2832" s="28" t="str">
        <f t="shared" si="44"/>
        <v>Quarter 1 1900</v>
      </c>
    </row>
    <row r="2833" spans="11:11">
      <c r="K2833" s="28" t="str">
        <f t="shared" si="44"/>
        <v>Quarter 1 1900</v>
      </c>
    </row>
    <row r="2834" spans="11:11">
      <c r="K2834" s="28" t="str">
        <f t="shared" ref="K2834:K2897" si="45">"Quarter "&amp;INT((MONTH(B2834)-1)/3)+1&amp;" "&amp;YEAR(B2834)</f>
        <v>Quarter 1 1900</v>
      </c>
    </row>
    <row r="2835" spans="11:11">
      <c r="K2835" s="28" t="str">
        <f t="shared" si="45"/>
        <v>Quarter 1 1900</v>
      </c>
    </row>
    <row r="2836" spans="11:11">
      <c r="K2836" s="28" t="str">
        <f t="shared" si="45"/>
        <v>Quarter 1 1900</v>
      </c>
    </row>
    <row r="2837" spans="11:11">
      <c r="K2837" s="28" t="str">
        <f t="shared" si="45"/>
        <v>Quarter 1 1900</v>
      </c>
    </row>
    <row r="2838" spans="11:11">
      <c r="K2838" s="28" t="str">
        <f t="shared" si="45"/>
        <v>Quarter 1 1900</v>
      </c>
    </row>
    <row r="2839" spans="11:11">
      <c r="K2839" s="28" t="str">
        <f t="shared" si="45"/>
        <v>Quarter 1 1900</v>
      </c>
    </row>
    <row r="2840" spans="11:11">
      <c r="K2840" s="28" t="str">
        <f t="shared" si="45"/>
        <v>Quarter 1 1900</v>
      </c>
    </row>
    <row r="2841" spans="11:11">
      <c r="K2841" s="28" t="str">
        <f t="shared" si="45"/>
        <v>Quarter 1 1900</v>
      </c>
    </row>
    <row r="2842" spans="11:11">
      <c r="K2842" s="28" t="str">
        <f t="shared" si="45"/>
        <v>Quarter 1 1900</v>
      </c>
    </row>
    <row r="2843" spans="11:11">
      <c r="K2843" s="28" t="str">
        <f t="shared" si="45"/>
        <v>Quarter 1 1900</v>
      </c>
    </row>
    <row r="2844" spans="11:11">
      <c r="K2844" s="28" t="str">
        <f t="shared" si="45"/>
        <v>Quarter 1 1900</v>
      </c>
    </row>
    <row r="2845" spans="11:11">
      <c r="K2845" s="28" t="str">
        <f t="shared" si="45"/>
        <v>Quarter 1 1900</v>
      </c>
    </row>
    <row r="2846" spans="11:11">
      <c r="K2846" s="28" t="str">
        <f t="shared" si="45"/>
        <v>Quarter 1 1900</v>
      </c>
    </row>
    <row r="2847" spans="11:11">
      <c r="K2847" s="28" t="str">
        <f t="shared" si="45"/>
        <v>Quarter 1 1900</v>
      </c>
    </row>
    <row r="2848" spans="11:11">
      <c r="K2848" s="28" t="str">
        <f t="shared" si="45"/>
        <v>Quarter 1 1900</v>
      </c>
    </row>
    <row r="2849" spans="11:11">
      <c r="K2849" s="28" t="str">
        <f t="shared" si="45"/>
        <v>Quarter 1 1900</v>
      </c>
    </row>
    <row r="2850" spans="11:11">
      <c r="K2850" s="28" t="str">
        <f t="shared" si="45"/>
        <v>Quarter 1 1900</v>
      </c>
    </row>
    <row r="2851" spans="11:11">
      <c r="K2851" s="28" t="str">
        <f t="shared" si="45"/>
        <v>Quarter 1 1900</v>
      </c>
    </row>
    <row r="2852" spans="11:11">
      <c r="K2852" s="28" t="str">
        <f t="shared" si="45"/>
        <v>Quarter 1 1900</v>
      </c>
    </row>
    <row r="2853" spans="11:11">
      <c r="K2853" s="28" t="str">
        <f t="shared" si="45"/>
        <v>Quarter 1 1900</v>
      </c>
    </row>
    <row r="2854" spans="11:11">
      <c r="K2854" s="28" t="str">
        <f t="shared" si="45"/>
        <v>Quarter 1 1900</v>
      </c>
    </row>
    <row r="2855" spans="11:11">
      <c r="K2855" s="28" t="str">
        <f t="shared" si="45"/>
        <v>Quarter 1 1900</v>
      </c>
    </row>
    <row r="2856" spans="11:11">
      <c r="K2856" s="28" t="str">
        <f t="shared" si="45"/>
        <v>Quarter 1 1900</v>
      </c>
    </row>
    <row r="2857" spans="11:11">
      <c r="K2857" s="28" t="str">
        <f t="shared" si="45"/>
        <v>Quarter 1 1900</v>
      </c>
    </row>
    <row r="2858" spans="11:11">
      <c r="K2858" s="28" t="str">
        <f t="shared" si="45"/>
        <v>Quarter 1 1900</v>
      </c>
    </row>
    <row r="2859" spans="11:11">
      <c r="K2859" s="28" t="str">
        <f t="shared" si="45"/>
        <v>Quarter 1 1900</v>
      </c>
    </row>
    <row r="2860" spans="11:11">
      <c r="K2860" s="28" t="str">
        <f t="shared" si="45"/>
        <v>Quarter 1 1900</v>
      </c>
    </row>
    <row r="2861" spans="11:11">
      <c r="K2861" s="28" t="str">
        <f t="shared" si="45"/>
        <v>Quarter 1 1900</v>
      </c>
    </row>
    <row r="2862" spans="11:11">
      <c r="K2862" s="28" t="str">
        <f t="shared" si="45"/>
        <v>Quarter 1 1900</v>
      </c>
    </row>
    <row r="2863" spans="11:11">
      <c r="K2863" s="28" t="str">
        <f t="shared" si="45"/>
        <v>Quarter 1 1900</v>
      </c>
    </row>
    <row r="2864" spans="11:11">
      <c r="K2864" s="28" t="str">
        <f t="shared" si="45"/>
        <v>Quarter 1 1900</v>
      </c>
    </row>
    <row r="2865" spans="11:11">
      <c r="K2865" s="28" t="str">
        <f t="shared" si="45"/>
        <v>Quarter 1 1900</v>
      </c>
    </row>
    <row r="2866" spans="11:11">
      <c r="K2866" s="28" t="str">
        <f t="shared" si="45"/>
        <v>Quarter 1 1900</v>
      </c>
    </row>
    <row r="2867" spans="11:11">
      <c r="K2867" s="28" t="str">
        <f t="shared" si="45"/>
        <v>Quarter 1 1900</v>
      </c>
    </row>
    <row r="2868" spans="11:11">
      <c r="K2868" s="28" t="str">
        <f t="shared" si="45"/>
        <v>Quarter 1 1900</v>
      </c>
    </row>
    <row r="2869" spans="11:11">
      <c r="K2869" s="28" t="str">
        <f t="shared" si="45"/>
        <v>Quarter 1 1900</v>
      </c>
    </row>
    <row r="2870" spans="11:11">
      <c r="K2870" s="28" t="str">
        <f t="shared" si="45"/>
        <v>Quarter 1 1900</v>
      </c>
    </row>
    <row r="2871" spans="11:11">
      <c r="K2871" s="28" t="str">
        <f t="shared" si="45"/>
        <v>Quarter 1 1900</v>
      </c>
    </row>
    <row r="2872" spans="11:11">
      <c r="K2872" s="28" t="str">
        <f t="shared" si="45"/>
        <v>Quarter 1 1900</v>
      </c>
    </row>
    <row r="2873" spans="11:11">
      <c r="K2873" s="28" t="str">
        <f t="shared" si="45"/>
        <v>Quarter 1 1900</v>
      </c>
    </row>
    <row r="2874" spans="11:11">
      <c r="K2874" s="28" t="str">
        <f t="shared" si="45"/>
        <v>Quarter 1 1900</v>
      </c>
    </row>
    <row r="2875" spans="11:11">
      <c r="K2875" s="28" t="str">
        <f t="shared" si="45"/>
        <v>Quarter 1 1900</v>
      </c>
    </row>
    <row r="2876" spans="11:11">
      <c r="K2876" s="28" t="str">
        <f t="shared" si="45"/>
        <v>Quarter 1 1900</v>
      </c>
    </row>
    <row r="2877" spans="11:11">
      <c r="K2877" s="28" t="str">
        <f t="shared" si="45"/>
        <v>Quarter 1 1900</v>
      </c>
    </row>
    <row r="2878" spans="11:11">
      <c r="K2878" s="28" t="str">
        <f t="shared" si="45"/>
        <v>Quarter 1 1900</v>
      </c>
    </row>
    <row r="2879" spans="11:11">
      <c r="K2879" s="28" t="str">
        <f t="shared" si="45"/>
        <v>Quarter 1 1900</v>
      </c>
    </row>
    <row r="2880" spans="11:11">
      <c r="K2880" s="28" t="str">
        <f t="shared" si="45"/>
        <v>Quarter 1 1900</v>
      </c>
    </row>
    <row r="2881" spans="11:11">
      <c r="K2881" s="28" t="str">
        <f t="shared" si="45"/>
        <v>Quarter 1 1900</v>
      </c>
    </row>
    <row r="2882" spans="11:11">
      <c r="K2882" s="28" t="str">
        <f t="shared" si="45"/>
        <v>Quarter 1 1900</v>
      </c>
    </row>
    <row r="2883" spans="11:11">
      <c r="K2883" s="28" t="str">
        <f t="shared" si="45"/>
        <v>Quarter 1 1900</v>
      </c>
    </row>
    <row r="2884" spans="11:11">
      <c r="K2884" s="28" t="str">
        <f t="shared" si="45"/>
        <v>Quarter 1 1900</v>
      </c>
    </row>
    <row r="2885" spans="11:11">
      <c r="K2885" s="28" t="str">
        <f t="shared" si="45"/>
        <v>Quarter 1 1900</v>
      </c>
    </row>
    <row r="2886" spans="11:11">
      <c r="K2886" s="28" t="str">
        <f t="shared" si="45"/>
        <v>Quarter 1 1900</v>
      </c>
    </row>
    <row r="2887" spans="11:11">
      <c r="K2887" s="28" t="str">
        <f t="shared" si="45"/>
        <v>Quarter 1 1900</v>
      </c>
    </row>
    <row r="2888" spans="11:11">
      <c r="K2888" s="28" t="str">
        <f t="shared" si="45"/>
        <v>Quarter 1 1900</v>
      </c>
    </row>
    <row r="2889" spans="11:11">
      <c r="K2889" s="28" t="str">
        <f t="shared" si="45"/>
        <v>Quarter 1 1900</v>
      </c>
    </row>
    <row r="2890" spans="11:11">
      <c r="K2890" s="28" t="str">
        <f t="shared" si="45"/>
        <v>Quarter 1 1900</v>
      </c>
    </row>
    <row r="2891" spans="11:11">
      <c r="K2891" s="28" t="str">
        <f t="shared" si="45"/>
        <v>Quarter 1 1900</v>
      </c>
    </row>
    <row r="2892" spans="11:11">
      <c r="K2892" s="28" t="str">
        <f t="shared" si="45"/>
        <v>Quarter 1 1900</v>
      </c>
    </row>
    <row r="2893" spans="11:11">
      <c r="K2893" s="28" t="str">
        <f t="shared" si="45"/>
        <v>Quarter 1 1900</v>
      </c>
    </row>
    <row r="2894" spans="11:11">
      <c r="K2894" s="28" t="str">
        <f t="shared" si="45"/>
        <v>Quarter 1 1900</v>
      </c>
    </row>
    <row r="2895" spans="11:11">
      <c r="K2895" s="28" t="str">
        <f t="shared" si="45"/>
        <v>Quarter 1 1900</v>
      </c>
    </row>
    <row r="2896" spans="11:11">
      <c r="K2896" s="28" t="str">
        <f t="shared" si="45"/>
        <v>Quarter 1 1900</v>
      </c>
    </row>
    <row r="2897" spans="11:11">
      <c r="K2897" s="28" t="str">
        <f t="shared" si="45"/>
        <v>Quarter 1 1900</v>
      </c>
    </row>
    <row r="2898" spans="11:11">
      <c r="K2898" s="28" t="str">
        <f t="shared" ref="K2898:K2961" si="46">"Quarter "&amp;INT((MONTH(B2898)-1)/3)+1&amp;" "&amp;YEAR(B2898)</f>
        <v>Quarter 1 1900</v>
      </c>
    </row>
    <row r="2899" spans="11:11">
      <c r="K2899" s="28" t="str">
        <f t="shared" si="46"/>
        <v>Quarter 1 1900</v>
      </c>
    </row>
    <row r="2900" spans="11:11">
      <c r="K2900" s="28" t="str">
        <f t="shared" si="46"/>
        <v>Quarter 1 1900</v>
      </c>
    </row>
    <row r="2901" spans="11:11">
      <c r="K2901" s="28" t="str">
        <f t="shared" si="46"/>
        <v>Quarter 1 1900</v>
      </c>
    </row>
    <row r="2902" spans="11:11">
      <c r="K2902" s="28" t="str">
        <f t="shared" si="46"/>
        <v>Quarter 1 1900</v>
      </c>
    </row>
    <row r="2903" spans="11:11">
      <c r="K2903" s="28" t="str">
        <f t="shared" si="46"/>
        <v>Quarter 1 1900</v>
      </c>
    </row>
    <row r="2904" spans="11:11">
      <c r="K2904" s="28" t="str">
        <f t="shared" si="46"/>
        <v>Quarter 1 1900</v>
      </c>
    </row>
    <row r="2905" spans="11:11">
      <c r="K2905" s="28" t="str">
        <f t="shared" si="46"/>
        <v>Quarter 1 1900</v>
      </c>
    </row>
    <row r="2906" spans="11:11">
      <c r="K2906" s="28" t="str">
        <f t="shared" si="46"/>
        <v>Quarter 1 1900</v>
      </c>
    </row>
    <row r="2907" spans="11:11">
      <c r="K2907" s="28" t="str">
        <f t="shared" si="46"/>
        <v>Quarter 1 1900</v>
      </c>
    </row>
    <row r="2908" spans="11:11">
      <c r="K2908" s="28" t="str">
        <f t="shared" si="46"/>
        <v>Quarter 1 1900</v>
      </c>
    </row>
    <row r="2909" spans="11:11">
      <c r="K2909" s="28" t="str">
        <f t="shared" si="46"/>
        <v>Quarter 1 1900</v>
      </c>
    </row>
    <row r="2910" spans="11:11">
      <c r="K2910" s="28" t="str">
        <f t="shared" si="46"/>
        <v>Quarter 1 1900</v>
      </c>
    </row>
    <row r="2911" spans="11:11">
      <c r="K2911" s="28" t="str">
        <f t="shared" si="46"/>
        <v>Quarter 1 1900</v>
      </c>
    </row>
    <row r="2912" spans="11:11">
      <c r="K2912" s="28" t="str">
        <f t="shared" si="46"/>
        <v>Quarter 1 1900</v>
      </c>
    </row>
    <row r="2913" spans="11:11">
      <c r="K2913" s="28" t="str">
        <f t="shared" si="46"/>
        <v>Quarter 1 1900</v>
      </c>
    </row>
    <row r="2914" spans="11:11">
      <c r="K2914" s="28" t="str">
        <f t="shared" si="46"/>
        <v>Quarter 1 1900</v>
      </c>
    </row>
    <row r="2915" spans="11:11">
      <c r="K2915" s="28" t="str">
        <f t="shared" si="46"/>
        <v>Quarter 1 1900</v>
      </c>
    </row>
    <row r="2916" spans="11:11">
      <c r="K2916" s="28" t="str">
        <f t="shared" si="46"/>
        <v>Quarter 1 1900</v>
      </c>
    </row>
    <row r="2917" spans="11:11">
      <c r="K2917" s="28" t="str">
        <f t="shared" si="46"/>
        <v>Quarter 1 1900</v>
      </c>
    </row>
    <row r="2918" spans="11:11">
      <c r="K2918" s="28" t="str">
        <f t="shared" si="46"/>
        <v>Quarter 1 1900</v>
      </c>
    </row>
    <row r="2919" spans="11:11">
      <c r="K2919" s="28" t="str">
        <f t="shared" si="46"/>
        <v>Quarter 1 1900</v>
      </c>
    </row>
    <row r="2920" spans="11:11">
      <c r="K2920" s="28" t="str">
        <f t="shared" si="46"/>
        <v>Quarter 1 1900</v>
      </c>
    </row>
    <row r="2921" spans="11:11">
      <c r="K2921" s="28" t="str">
        <f t="shared" si="46"/>
        <v>Quarter 1 1900</v>
      </c>
    </row>
    <row r="2922" spans="11:11">
      <c r="K2922" s="28" t="str">
        <f t="shared" si="46"/>
        <v>Quarter 1 1900</v>
      </c>
    </row>
    <row r="2923" spans="11:11">
      <c r="K2923" s="28" t="str">
        <f t="shared" si="46"/>
        <v>Quarter 1 1900</v>
      </c>
    </row>
    <row r="2924" spans="11:11">
      <c r="K2924" s="28" t="str">
        <f t="shared" si="46"/>
        <v>Quarter 1 1900</v>
      </c>
    </row>
    <row r="2925" spans="11:11">
      <c r="K2925" s="28" t="str">
        <f t="shared" si="46"/>
        <v>Quarter 1 1900</v>
      </c>
    </row>
    <row r="2926" spans="11:11">
      <c r="K2926" s="28" t="str">
        <f t="shared" si="46"/>
        <v>Quarter 1 1900</v>
      </c>
    </row>
    <row r="2927" spans="11:11">
      <c r="K2927" s="28" t="str">
        <f t="shared" si="46"/>
        <v>Quarter 1 1900</v>
      </c>
    </row>
    <row r="2928" spans="11:11">
      <c r="K2928" s="28" t="str">
        <f t="shared" si="46"/>
        <v>Quarter 1 1900</v>
      </c>
    </row>
    <row r="2929" spans="11:11">
      <c r="K2929" s="28" t="str">
        <f t="shared" si="46"/>
        <v>Quarter 1 1900</v>
      </c>
    </row>
    <row r="2930" spans="11:11">
      <c r="K2930" s="28" t="str">
        <f t="shared" si="46"/>
        <v>Quarter 1 1900</v>
      </c>
    </row>
    <row r="2931" spans="11:11">
      <c r="K2931" s="28" t="str">
        <f t="shared" si="46"/>
        <v>Quarter 1 1900</v>
      </c>
    </row>
    <row r="2932" spans="11:11">
      <c r="K2932" s="28" t="str">
        <f t="shared" si="46"/>
        <v>Quarter 1 1900</v>
      </c>
    </row>
    <row r="2933" spans="11:11">
      <c r="K2933" s="28" t="str">
        <f t="shared" si="46"/>
        <v>Quarter 1 1900</v>
      </c>
    </row>
    <row r="2934" spans="11:11">
      <c r="K2934" s="28" t="str">
        <f t="shared" si="46"/>
        <v>Quarter 1 1900</v>
      </c>
    </row>
    <row r="2935" spans="11:11">
      <c r="K2935" s="28" t="str">
        <f t="shared" si="46"/>
        <v>Quarter 1 1900</v>
      </c>
    </row>
    <row r="2936" spans="11:11">
      <c r="K2936" s="28" t="str">
        <f t="shared" si="46"/>
        <v>Quarter 1 1900</v>
      </c>
    </row>
    <row r="2937" spans="11:11">
      <c r="K2937" s="28" t="str">
        <f t="shared" si="46"/>
        <v>Quarter 1 1900</v>
      </c>
    </row>
    <row r="2938" spans="11:11">
      <c r="K2938" s="28" t="str">
        <f t="shared" si="46"/>
        <v>Quarter 1 1900</v>
      </c>
    </row>
    <row r="2939" spans="11:11">
      <c r="K2939" s="28" t="str">
        <f t="shared" si="46"/>
        <v>Quarter 1 1900</v>
      </c>
    </row>
    <row r="2940" spans="11:11">
      <c r="K2940" s="28" t="str">
        <f t="shared" si="46"/>
        <v>Quarter 1 1900</v>
      </c>
    </row>
    <row r="2941" spans="11:11">
      <c r="K2941" s="28" t="str">
        <f t="shared" si="46"/>
        <v>Quarter 1 1900</v>
      </c>
    </row>
    <row r="2942" spans="11:11">
      <c r="K2942" s="28" t="str">
        <f t="shared" si="46"/>
        <v>Quarter 1 1900</v>
      </c>
    </row>
    <row r="2943" spans="11:11">
      <c r="K2943" s="28" t="str">
        <f t="shared" si="46"/>
        <v>Quarter 1 1900</v>
      </c>
    </row>
    <row r="2944" spans="11:11">
      <c r="K2944" s="28" t="str">
        <f t="shared" si="46"/>
        <v>Quarter 1 1900</v>
      </c>
    </row>
    <row r="2945" spans="11:11">
      <c r="K2945" s="28" t="str">
        <f t="shared" si="46"/>
        <v>Quarter 1 1900</v>
      </c>
    </row>
    <row r="2946" spans="11:11">
      <c r="K2946" s="28" t="str">
        <f t="shared" si="46"/>
        <v>Quarter 1 1900</v>
      </c>
    </row>
    <row r="2947" spans="11:11">
      <c r="K2947" s="28" t="str">
        <f t="shared" si="46"/>
        <v>Quarter 1 1900</v>
      </c>
    </row>
    <row r="2948" spans="11:11">
      <c r="K2948" s="28" t="str">
        <f t="shared" si="46"/>
        <v>Quarter 1 1900</v>
      </c>
    </row>
    <row r="2949" spans="11:11">
      <c r="K2949" s="28" t="str">
        <f t="shared" si="46"/>
        <v>Quarter 1 1900</v>
      </c>
    </row>
    <row r="2950" spans="11:11">
      <c r="K2950" s="28" t="str">
        <f t="shared" si="46"/>
        <v>Quarter 1 1900</v>
      </c>
    </row>
    <row r="2951" spans="11:11">
      <c r="K2951" s="28" t="str">
        <f t="shared" si="46"/>
        <v>Quarter 1 1900</v>
      </c>
    </row>
    <row r="2952" spans="11:11">
      <c r="K2952" s="28" t="str">
        <f t="shared" si="46"/>
        <v>Quarter 1 1900</v>
      </c>
    </row>
    <row r="2953" spans="11:11">
      <c r="K2953" s="28" t="str">
        <f t="shared" si="46"/>
        <v>Quarter 1 1900</v>
      </c>
    </row>
    <row r="2954" spans="11:11">
      <c r="K2954" s="28" t="str">
        <f t="shared" si="46"/>
        <v>Quarter 1 1900</v>
      </c>
    </row>
    <row r="2955" spans="11:11">
      <c r="K2955" s="28" t="str">
        <f t="shared" si="46"/>
        <v>Quarter 1 1900</v>
      </c>
    </row>
    <row r="2956" spans="11:11">
      <c r="K2956" s="28" t="str">
        <f t="shared" si="46"/>
        <v>Quarter 1 1900</v>
      </c>
    </row>
    <row r="2957" spans="11:11">
      <c r="K2957" s="28" t="str">
        <f t="shared" si="46"/>
        <v>Quarter 1 1900</v>
      </c>
    </row>
    <row r="2958" spans="11:11">
      <c r="K2958" s="28" t="str">
        <f t="shared" si="46"/>
        <v>Quarter 1 1900</v>
      </c>
    </row>
    <row r="2959" spans="11:11">
      <c r="K2959" s="28" t="str">
        <f t="shared" si="46"/>
        <v>Quarter 1 1900</v>
      </c>
    </row>
    <row r="2960" spans="11:11">
      <c r="K2960" s="28" t="str">
        <f t="shared" si="46"/>
        <v>Quarter 1 1900</v>
      </c>
    </row>
    <row r="2961" spans="11:11">
      <c r="K2961" s="28" t="str">
        <f t="shared" si="46"/>
        <v>Quarter 1 1900</v>
      </c>
    </row>
    <row r="2962" spans="11:11">
      <c r="K2962" s="28" t="str">
        <f t="shared" ref="K2962:K3025" si="47">"Quarter "&amp;INT((MONTH(B2962)-1)/3)+1&amp;" "&amp;YEAR(B2962)</f>
        <v>Quarter 1 1900</v>
      </c>
    </row>
    <row r="2963" spans="11:11">
      <c r="K2963" s="28" t="str">
        <f t="shared" si="47"/>
        <v>Quarter 1 1900</v>
      </c>
    </row>
    <row r="2964" spans="11:11">
      <c r="K2964" s="28" t="str">
        <f t="shared" si="47"/>
        <v>Quarter 1 1900</v>
      </c>
    </row>
    <row r="2965" spans="11:11">
      <c r="K2965" s="28" t="str">
        <f t="shared" si="47"/>
        <v>Quarter 1 1900</v>
      </c>
    </row>
    <row r="2966" spans="11:11">
      <c r="K2966" s="28" t="str">
        <f t="shared" si="47"/>
        <v>Quarter 1 1900</v>
      </c>
    </row>
    <row r="2967" spans="11:11">
      <c r="K2967" s="28" t="str">
        <f t="shared" si="47"/>
        <v>Quarter 1 1900</v>
      </c>
    </row>
    <row r="2968" spans="11:11">
      <c r="K2968" s="28" t="str">
        <f t="shared" si="47"/>
        <v>Quarter 1 1900</v>
      </c>
    </row>
    <row r="2969" spans="11:11">
      <c r="K2969" s="28" t="str">
        <f t="shared" si="47"/>
        <v>Quarter 1 1900</v>
      </c>
    </row>
    <row r="2970" spans="11:11">
      <c r="K2970" s="28" t="str">
        <f t="shared" si="47"/>
        <v>Quarter 1 1900</v>
      </c>
    </row>
    <row r="2971" spans="11:11">
      <c r="K2971" s="28" t="str">
        <f t="shared" si="47"/>
        <v>Quarter 1 1900</v>
      </c>
    </row>
    <row r="2972" spans="11:11">
      <c r="K2972" s="28" t="str">
        <f t="shared" si="47"/>
        <v>Quarter 1 1900</v>
      </c>
    </row>
    <row r="2973" spans="11:11">
      <c r="K2973" s="28" t="str">
        <f t="shared" si="47"/>
        <v>Quarter 1 1900</v>
      </c>
    </row>
    <row r="2974" spans="11:11">
      <c r="K2974" s="28" t="str">
        <f t="shared" si="47"/>
        <v>Quarter 1 1900</v>
      </c>
    </row>
    <row r="2975" spans="11:11">
      <c r="K2975" s="28" t="str">
        <f t="shared" si="47"/>
        <v>Quarter 1 1900</v>
      </c>
    </row>
    <row r="2976" spans="11:11">
      <c r="K2976" s="28" t="str">
        <f t="shared" si="47"/>
        <v>Quarter 1 1900</v>
      </c>
    </row>
    <row r="2977" spans="11:11">
      <c r="K2977" s="28" t="str">
        <f t="shared" si="47"/>
        <v>Quarter 1 1900</v>
      </c>
    </row>
    <row r="2978" spans="11:11">
      <c r="K2978" s="28" t="str">
        <f t="shared" si="47"/>
        <v>Quarter 1 1900</v>
      </c>
    </row>
    <row r="2979" spans="11:11">
      <c r="K2979" s="28" t="str">
        <f t="shared" si="47"/>
        <v>Quarter 1 1900</v>
      </c>
    </row>
    <row r="2980" spans="11:11">
      <c r="K2980" s="28" t="str">
        <f t="shared" si="47"/>
        <v>Quarter 1 1900</v>
      </c>
    </row>
    <row r="2981" spans="11:11">
      <c r="K2981" s="28" t="str">
        <f t="shared" si="47"/>
        <v>Quarter 1 1900</v>
      </c>
    </row>
    <row r="2982" spans="11:11">
      <c r="K2982" s="28" t="str">
        <f t="shared" si="47"/>
        <v>Quarter 1 1900</v>
      </c>
    </row>
    <row r="2983" spans="11:11">
      <c r="K2983" s="28" t="str">
        <f t="shared" si="47"/>
        <v>Quarter 1 1900</v>
      </c>
    </row>
    <row r="2984" spans="11:11">
      <c r="K2984" s="28" t="str">
        <f t="shared" si="47"/>
        <v>Quarter 1 1900</v>
      </c>
    </row>
    <row r="2985" spans="11:11">
      <c r="K2985" s="28" t="str">
        <f t="shared" si="47"/>
        <v>Quarter 1 1900</v>
      </c>
    </row>
    <row r="2986" spans="11:11">
      <c r="K2986" s="28" t="str">
        <f t="shared" si="47"/>
        <v>Quarter 1 1900</v>
      </c>
    </row>
    <row r="2987" spans="11:11">
      <c r="K2987" s="28" t="str">
        <f t="shared" si="47"/>
        <v>Quarter 1 1900</v>
      </c>
    </row>
    <row r="2988" spans="11:11">
      <c r="K2988" s="28" t="str">
        <f t="shared" si="47"/>
        <v>Quarter 1 1900</v>
      </c>
    </row>
    <row r="2989" spans="11:11">
      <c r="K2989" s="28" t="str">
        <f t="shared" si="47"/>
        <v>Quarter 1 1900</v>
      </c>
    </row>
    <row r="2990" spans="11:11">
      <c r="K2990" s="28" t="str">
        <f t="shared" si="47"/>
        <v>Quarter 1 1900</v>
      </c>
    </row>
    <row r="2991" spans="11:11">
      <c r="K2991" s="28" t="str">
        <f t="shared" si="47"/>
        <v>Quarter 1 1900</v>
      </c>
    </row>
    <row r="2992" spans="11:11">
      <c r="K2992" s="28" t="str">
        <f t="shared" si="47"/>
        <v>Quarter 1 1900</v>
      </c>
    </row>
    <row r="2993" spans="11:11">
      <c r="K2993" s="28" t="str">
        <f t="shared" si="47"/>
        <v>Quarter 1 1900</v>
      </c>
    </row>
    <row r="2994" spans="11:11">
      <c r="K2994" s="28" t="str">
        <f t="shared" si="47"/>
        <v>Quarter 1 1900</v>
      </c>
    </row>
    <row r="2995" spans="11:11">
      <c r="K2995" s="28" t="str">
        <f t="shared" si="47"/>
        <v>Quarter 1 1900</v>
      </c>
    </row>
    <row r="2996" spans="11:11">
      <c r="K2996" s="28" t="str">
        <f t="shared" si="47"/>
        <v>Quarter 1 1900</v>
      </c>
    </row>
    <row r="2997" spans="11:11">
      <c r="K2997" s="28" t="str">
        <f t="shared" si="47"/>
        <v>Quarter 1 1900</v>
      </c>
    </row>
    <row r="2998" spans="11:11">
      <c r="K2998" s="28" t="str">
        <f t="shared" si="47"/>
        <v>Quarter 1 1900</v>
      </c>
    </row>
    <row r="2999" spans="11:11">
      <c r="K2999" s="28" t="str">
        <f t="shared" si="47"/>
        <v>Quarter 1 1900</v>
      </c>
    </row>
    <row r="3000" spans="11:11">
      <c r="K3000" s="28" t="str">
        <f t="shared" si="47"/>
        <v>Quarter 1 1900</v>
      </c>
    </row>
    <row r="3001" spans="11:11">
      <c r="K3001" s="28" t="str">
        <f t="shared" si="47"/>
        <v>Quarter 1 1900</v>
      </c>
    </row>
    <row r="3002" spans="11:11">
      <c r="K3002" s="28" t="str">
        <f t="shared" si="47"/>
        <v>Quarter 1 1900</v>
      </c>
    </row>
    <row r="3003" spans="11:11">
      <c r="K3003" s="28" t="str">
        <f t="shared" si="47"/>
        <v>Quarter 1 1900</v>
      </c>
    </row>
    <row r="3004" spans="11:11">
      <c r="K3004" s="28" t="str">
        <f t="shared" si="47"/>
        <v>Quarter 1 1900</v>
      </c>
    </row>
    <row r="3005" spans="11:11">
      <c r="K3005" s="28" t="str">
        <f t="shared" si="47"/>
        <v>Quarter 1 1900</v>
      </c>
    </row>
    <row r="3006" spans="11:11">
      <c r="K3006" s="28" t="str">
        <f t="shared" si="47"/>
        <v>Quarter 1 1900</v>
      </c>
    </row>
    <row r="3007" spans="11:11">
      <c r="K3007" s="28" t="str">
        <f t="shared" si="47"/>
        <v>Quarter 1 1900</v>
      </c>
    </row>
    <row r="3008" spans="11:11">
      <c r="K3008" s="28" t="str">
        <f t="shared" si="47"/>
        <v>Quarter 1 1900</v>
      </c>
    </row>
    <row r="3009" spans="11:11">
      <c r="K3009" s="28" t="str">
        <f t="shared" si="47"/>
        <v>Quarter 1 1900</v>
      </c>
    </row>
    <row r="3010" spans="11:11">
      <c r="K3010" s="28" t="str">
        <f t="shared" si="47"/>
        <v>Quarter 1 1900</v>
      </c>
    </row>
    <row r="3011" spans="11:11">
      <c r="K3011" s="28" t="str">
        <f t="shared" si="47"/>
        <v>Quarter 1 1900</v>
      </c>
    </row>
    <row r="3012" spans="11:11">
      <c r="K3012" s="28" t="str">
        <f t="shared" si="47"/>
        <v>Quarter 1 1900</v>
      </c>
    </row>
    <row r="3013" spans="11:11">
      <c r="K3013" s="28" t="str">
        <f t="shared" si="47"/>
        <v>Quarter 1 1900</v>
      </c>
    </row>
    <row r="3014" spans="11:11">
      <c r="K3014" s="28" t="str">
        <f t="shared" si="47"/>
        <v>Quarter 1 1900</v>
      </c>
    </row>
    <row r="3015" spans="11:11">
      <c r="K3015" s="28" t="str">
        <f t="shared" si="47"/>
        <v>Quarter 1 1900</v>
      </c>
    </row>
    <row r="3016" spans="11:11">
      <c r="K3016" s="28" t="str">
        <f t="shared" si="47"/>
        <v>Quarter 1 1900</v>
      </c>
    </row>
    <row r="3017" spans="11:11">
      <c r="K3017" s="28" t="str">
        <f t="shared" si="47"/>
        <v>Quarter 1 1900</v>
      </c>
    </row>
    <row r="3018" spans="11:11">
      <c r="K3018" s="28" t="str">
        <f t="shared" si="47"/>
        <v>Quarter 1 1900</v>
      </c>
    </row>
    <row r="3019" spans="11:11">
      <c r="K3019" s="28" t="str">
        <f t="shared" si="47"/>
        <v>Quarter 1 1900</v>
      </c>
    </row>
    <row r="3020" spans="11:11">
      <c r="K3020" s="28" t="str">
        <f t="shared" si="47"/>
        <v>Quarter 1 1900</v>
      </c>
    </row>
    <row r="3021" spans="11:11">
      <c r="K3021" s="28" t="str">
        <f t="shared" si="47"/>
        <v>Quarter 1 1900</v>
      </c>
    </row>
    <row r="3022" spans="11:11">
      <c r="K3022" s="28" t="str">
        <f t="shared" si="47"/>
        <v>Quarter 1 1900</v>
      </c>
    </row>
    <row r="3023" spans="11:11">
      <c r="K3023" s="28" t="str">
        <f t="shared" si="47"/>
        <v>Quarter 1 1900</v>
      </c>
    </row>
    <row r="3024" spans="11:11">
      <c r="K3024" s="28" t="str">
        <f t="shared" si="47"/>
        <v>Quarter 1 1900</v>
      </c>
    </row>
    <row r="3025" spans="11:11">
      <c r="K3025" s="28" t="str">
        <f t="shared" si="47"/>
        <v>Quarter 1 1900</v>
      </c>
    </row>
    <row r="3026" spans="11:11">
      <c r="K3026" s="28" t="str">
        <f t="shared" ref="K3026:K3089" si="48">"Quarter "&amp;INT((MONTH(B3026)-1)/3)+1&amp;" "&amp;YEAR(B3026)</f>
        <v>Quarter 1 1900</v>
      </c>
    </row>
    <row r="3027" spans="11:11">
      <c r="K3027" s="28" t="str">
        <f t="shared" si="48"/>
        <v>Quarter 1 1900</v>
      </c>
    </row>
    <row r="3028" spans="11:11">
      <c r="K3028" s="28" t="str">
        <f t="shared" si="48"/>
        <v>Quarter 1 1900</v>
      </c>
    </row>
    <row r="3029" spans="11:11">
      <c r="K3029" s="28" t="str">
        <f t="shared" si="48"/>
        <v>Quarter 1 1900</v>
      </c>
    </row>
    <row r="3030" spans="11:11">
      <c r="K3030" s="28" t="str">
        <f t="shared" si="48"/>
        <v>Quarter 1 1900</v>
      </c>
    </row>
    <row r="3031" spans="11:11">
      <c r="K3031" s="28" t="str">
        <f t="shared" si="48"/>
        <v>Quarter 1 1900</v>
      </c>
    </row>
    <row r="3032" spans="11:11">
      <c r="K3032" s="28" t="str">
        <f t="shared" si="48"/>
        <v>Quarter 1 1900</v>
      </c>
    </row>
    <row r="3033" spans="11:11">
      <c r="K3033" s="28" t="str">
        <f t="shared" si="48"/>
        <v>Quarter 1 1900</v>
      </c>
    </row>
    <row r="3034" spans="11:11">
      <c r="K3034" s="28" t="str">
        <f t="shared" si="48"/>
        <v>Quarter 1 1900</v>
      </c>
    </row>
    <row r="3035" spans="11:11">
      <c r="K3035" s="28" t="str">
        <f t="shared" si="48"/>
        <v>Quarter 1 1900</v>
      </c>
    </row>
    <row r="3036" spans="11:11">
      <c r="K3036" s="28" t="str">
        <f t="shared" si="48"/>
        <v>Quarter 1 1900</v>
      </c>
    </row>
    <row r="3037" spans="11:11">
      <c r="K3037" s="28" t="str">
        <f t="shared" si="48"/>
        <v>Quarter 1 1900</v>
      </c>
    </row>
    <row r="3038" spans="11:11">
      <c r="K3038" s="28" t="str">
        <f t="shared" si="48"/>
        <v>Quarter 1 1900</v>
      </c>
    </row>
    <row r="3039" spans="11:11">
      <c r="K3039" s="28" t="str">
        <f t="shared" si="48"/>
        <v>Quarter 1 1900</v>
      </c>
    </row>
    <row r="3040" spans="11:11">
      <c r="K3040" s="28" t="str">
        <f t="shared" si="48"/>
        <v>Quarter 1 1900</v>
      </c>
    </row>
    <row r="3041" spans="11:11">
      <c r="K3041" s="28" t="str">
        <f t="shared" si="48"/>
        <v>Quarter 1 1900</v>
      </c>
    </row>
    <row r="3042" spans="11:11">
      <c r="K3042" s="28" t="str">
        <f t="shared" si="48"/>
        <v>Quarter 1 1900</v>
      </c>
    </row>
    <row r="3043" spans="11:11">
      <c r="K3043" s="28" t="str">
        <f t="shared" si="48"/>
        <v>Quarter 1 1900</v>
      </c>
    </row>
    <row r="3044" spans="11:11">
      <c r="K3044" s="28" t="str">
        <f t="shared" si="48"/>
        <v>Quarter 1 1900</v>
      </c>
    </row>
    <row r="3045" spans="11:11">
      <c r="K3045" s="28" t="str">
        <f t="shared" si="48"/>
        <v>Quarter 1 1900</v>
      </c>
    </row>
    <row r="3046" spans="11:11">
      <c r="K3046" s="28" t="str">
        <f t="shared" si="48"/>
        <v>Quarter 1 1900</v>
      </c>
    </row>
    <row r="3047" spans="11:11">
      <c r="K3047" s="28" t="str">
        <f t="shared" si="48"/>
        <v>Quarter 1 1900</v>
      </c>
    </row>
    <row r="3048" spans="11:11">
      <c r="K3048" s="28" t="str">
        <f t="shared" si="48"/>
        <v>Quarter 1 1900</v>
      </c>
    </row>
    <row r="3049" spans="11:11">
      <c r="K3049" s="28" t="str">
        <f t="shared" si="48"/>
        <v>Quarter 1 1900</v>
      </c>
    </row>
    <row r="3050" spans="11:11">
      <c r="K3050" s="28" t="str">
        <f t="shared" si="48"/>
        <v>Quarter 1 1900</v>
      </c>
    </row>
    <row r="3051" spans="11:11">
      <c r="K3051" s="28" t="str">
        <f t="shared" si="48"/>
        <v>Quarter 1 1900</v>
      </c>
    </row>
    <row r="3052" spans="11:11">
      <c r="K3052" s="28" t="str">
        <f t="shared" si="48"/>
        <v>Quarter 1 1900</v>
      </c>
    </row>
    <row r="3053" spans="11:11">
      <c r="K3053" s="28" t="str">
        <f t="shared" si="48"/>
        <v>Quarter 1 1900</v>
      </c>
    </row>
    <row r="3054" spans="11:11">
      <c r="K3054" s="28" t="str">
        <f t="shared" si="48"/>
        <v>Quarter 1 1900</v>
      </c>
    </row>
    <row r="3055" spans="11:11">
      <c r="K3055" s="28" t="str">
        <f t="shared" si="48"/>
        <v>Quarter 1 1900</v>
      </c>
    </row>
    <row r="3056" spans="11:11">
      <c r="K3056" s="28" t="str">
        <f t="shared" si="48"/>
        <v>Quarter 1 1900</v>
      </c>
    </row>
    <row r="3057" spans="11:11">
      <c r="K3057" s="28" t="str">
        <f t="shared" si="48"/>
        <v>Quarter 1 1900</v>
      </c>
    </row>
    <row r="3058" spans="11:11">
      <c r="K3058" s="28" t="str">
        <f t="shared" si="48"/>
        <v>Quarter 1 1900</v>
      </c>
    </row>
    <row r="3059" spans="11:11">
      <c r="K3059" s="28" t="str">
        <f t="shared" si="48"/>
        <v>Quarter 1 1900</v>
      </c>
    </row>
    <row r="3060" spans="11:11">
      <c r="K3060" s="28" t="str">
        <f t="shared" si="48"/>
        <v>Quarter 1 1900</v>
      </c>
    </row>
    <row r="3061" spans="11:11">
      <c r="K3061" s="28" t="str">
        <f t="shared" si="48"/>
        <v>Quarter 1 1900</v>
      </c>
    </row>
    <row r="3062" spans="11:11">
      <c r="K3062" s="28" t="str">
        <f t="shared" si="48"/>
        <v>Quarter 1 1900</v>
      </c>
    </row>
    <row r="3063" spans="11:11">
      <c r="K3063" s="28" t="str">
        <f t="shared" si="48"/>
        <v>Quarter 1 1900</v>
      </c>
    </row>
    <row r="3064" spans="11:11">
      <c r="K3064" s="28" t="str">
        <f t="shared" si="48"/>
        <v>Quarter 1 1900</v>
      </c>
    </row>
    <row r="3065" spans="11:11">
      <c r="K3065" s="28" t="str">
        <f t="shared" si="48"/>
        <v>Quarter 1 1900</v>
      </c>
    </row>
    <row r="3066" spans="11:11">
      <c r="K3066" s="28" t="str">
        <f t="shared" si="48"/>
        <v>Quarter 1 1900</v>
      </c>
    </row>
    <row r="3067" spans="11:11">
      <c r="K3067" s="28" t="str">
        <f t="shared" si="48"/>
        <v>Quarter 1 1900</v>
      </c>
    </row>
    <row r="3068" spans="11:11">
      <c r="K3068" s="28" t="str">
        <f t="shared" si="48"/>
        <v>Quarter 1 1900</v>
      </c>
    </row>
    <row r="3069" spans="11:11">
      <c r="K3069" s="28" t="str">
        <f t="shared" si="48"/>
        <v>Quarter 1 1900</v>
      </c>
    </row>
    <row r="3070" spans="11:11">
      <c r="K3070" s="28" t="str">
        <f t="shared" si="48"/>
        <v>Quarter 1 1900</v>
      </c>
    </row>
    <row r="3071" spans="11:11">
      <c r="K3071" s="28" t="str">
        <f t="shared" si="48"/>
        <v>Quarter 1 1900</v>
      </c>
    </row>
    <row r="3072" spans="11:11">
      <c r="K3072" s="28" t="str">
        <f t="shared" si="48"/>
        <v>Quarter 1 1900</v>
      </c>
    </row>
    <row r="3073" spans="11:11">
      <c r="K3073" s="28" t="str">
        <f t="shared" si="48"/>
        <v>Quarter 1 1900</v>
      </c>
    </row>
    <row r="3074" spans="11:11">
      <c r="K3074" s="28" t="str">
        <f t="shared" si="48"/>
        <v>Quarter 1 1900</v>
      </c>
    </row>
    <row r="3075" spans="11:11">
      <c r="K3075" s="28" t="str">
        <f t="shared" si="48"/>
        <v>Quarter 1 1900</v>
      </c>
    </row>
    <row r="3076" spans="11:11">
      <c r="K3076" s="28" t="str">
        <f t="shared" si="48"/>
        <v>Quarter 1 1900</v>
      </c>
    </row>
    <row r="3077" spans="11:11">
      <c r="K3077" s="28" t="str">
        <f t="shared" si="48"/>
        <v>Quarter 1 1900</v>
      </c>
    </row>
    <row r="3078" spans="11:11">
      <c r="K3078" s="28" t="str">
        <f t="shared" si="48"/>
        <v>Quarter 1 1900</v>
      </c>
    </row>
    <row r="3079" spans="11:11">
      <c r="K3079" s="28" t="str">
        <f t="shared" si="48"/>
        <v>Quarter 1 1900</v>
      </c>
    </row>
    <row r="3080" spans="11:11">
      <c r="K3080" s="28" t="str">
        <f t="shared" si="48"/>
        <v>Quarter 1 1900</v>
      </c>
    </row>
    <row r="3081" spans="11:11">
      <c r="K3081" s="28" t="str">
        <f t="shared" si="48"/>
        <v>Quarter 1 1900</v>
      </c>
    </row>
    <row r="3082" spans="11:11">
      <c r="K3082" s="28" t="str">
        <f t="shared" si="48"/>
        <v>Quarter 1 1900</v>
      </c>
    </row>
    <row r="3083" spans="11:11">
      <c r="K3083" s="28" t="str">
        <f t="shared" si="48"/>
        <v>Quarter 1 1900</v>
      </c>
    </row>
    <row r="3084" spans="11:11">
      <c r="K3084" s="28" t="str">
        <f t="shared" si="48"/>
        <v>Quarter 1 1900</v>
      </c>
    </row>
    <row r="3085" spans="11:11">
      <c r="K3085" s="28" t="str">
        <f t="shared" si="48"/>
        <v>Quarter 1 1900</v>
      </c>
    </row>
    <row r="3086" spans="11:11">
      <c r="K3086" s="28" t="str">
        <f t="shared" si="48"/>
        <v>Quarter 1 1900</v>
      </c>
    </row>
    <row r="3087" spans="11:11">
      <c r="K3087" s="28" t="str">
        <f t="shared" si="48"/>
        <v>Quarter 1 1900</v>
      </c>
    </row>
    <row r="3088" spans="11:11">
      <c r="K3088" s="28" t="str">
        <f t="shared" si="48"/>
        <v>Quarter 1 1900</v>
      </c>
    </row>
    <row r="3089" spans="11:11">
      <c r="K3089" s="28" t="str">
        <f t="shared" si="48"/>
        <v>Quarter 1 1900</v>
      </c>
    </row>
    <row r="3090" spans="11:11">
      <c r="K3090" s="28" t="str">
        <f t="shared" ref="K3090:K3153" si="49">"Quarter "&amp;INT((MONTH(B3090)-1)/3)+1&amp;" "&amp;YEAR(B3090)</f>
        <v>Quarter 1 1900</v>
      </c>
    </row>
    <row r="3091" spans="11:11">
      <c r="K3091" s="28" t="str">
        <f t="shared" si="49"/>
        <v>Quarter 1 1900</v>
      </c>
    </row>
    <row r="3092" spans="11:11">
      <c r="K3092" s="28" t="str">
        <f t="shared" si="49"/>
        <v>Quarter 1 1900</v>
      </c>
    </row>
    <row r="3093" spans="11:11">
      <c r="K3093" s="28" t="str">
        <f t="shared" si="49"/>
        <v>Quarter 1 1900</v>
      </c>
    </row>
    <row r="3094" spans="11:11">
      <c r="K3094" s="28" t="str">
        <f t="shared" si="49"/>
        <v>Quarter 1 1900</v>
      </c>
    </row>
    <row r="3095" spans="11:11">
      <c r="K3095" s="28" t="str">
        <f t="shared" si="49"/>
        <v>Quarter 1 1900</v>
      </c>
    </row>
    <row r="3096" spans="11:11">
      <c r="K3096" s="28" t="str">
        <f t="shared" si="49"/>
        <v>Quarter 1 1900</v>
      </c>
    </row>
    <row r="3097" spans="11:11">
      <c r="K3097" s="28" t="str">
        <f t="shared" si="49"/>
        <v>Quarter 1 1900</v>
      </c>
    </row>
    <row r="3098" spans="11:11">
      <c r="K3098" s="28" t="str">
        <f t="shared" si="49"/>
        <v>Quarter 1 1900</v>
      </c>
    </row>
    <row r="3099" spans="11:11">
      <c r="K3099" s="28" t="str">
        <f t="shared" si="49"/>
        <v>Quarter 1 1900</v>
      </c>
    </row>
    <row r="3100" spans="11:11">
      <c r="K3100" s="28" t="str">
        <f t="shared" si="49"/>
        <v>Quarter 1 1900</v>
      </c>
    </row>
    <row r="3101" spans="11:11">
      <c r="K3101" s="28" t="str">
        <f t="shared" si="49"/>
        <v>Quarter 1 1900</v>
      </c>
    </row>
    <row r="3102" spans="11:11">
      <c r="K3102" s="28" t="str">
        <f t="shared" si="49"/>
        <v>Quarter 1 1900</v>
      </c>
    </row>
    <row r="3103" spans="11:11">
      <c r="K3103" s="28" t="str">
        <f t="shared" si="49"/>
        <v>Quarter 1 1900</v>
      </c>
    </row>
    <row r="3104" spans="11:11">
      <c r="K3104" s="28" t="str">
        <f t="shared" si="49"/>
        <v>Quarter 1 1900</v>
      </c>
    </row>
    <row r="3105" spans="11:11">
      <c r="K3105" s="28" t="str">
        <f t="shared" si="49"/>
        <v>Quarter 1 1900</v>
      </c>
    </row>
    <row r="3106" spans="11:11">
      <c r="K3106" s="28" t="str">
        <f t="shared" si="49"/>
        <v>Quarter 1 1900</v>
      </c>
    </row>
    <row r="3107" spans="11:11">
      <c r="K3107" s="28" t="str">
        <f t="shared" si="49"/>
        <v>Quarter 1 1900</v>
      </c>
    </row>
    <row r="3108" spans="11:11">
      <c r="K3108" s="28" t="str">
        <f t="shared" si="49"/>
        <v>Quarter 1 1900</v>
      </c>
    </row>
    <row r="3109" spans="11:11">
      <c r="K3109" s="28" t="str">
        <f t="shared" si="49"/>
        <v>Quarter 1 1900</v>
      </c>
    </row>
    <row r="3110" spans="11:11">
      <c r="K3110" s="28" t="str">
        <f t="shared" si="49"/>
        <v>Quarter 1 1900</v>
      </c>
    </row>
    <row r="3111" spans="11:11">
      <c r="K3111" s="28" t="str">
        <f t="shared" si="49"/>
        <v>Quarter 1 1900</v>
      </c>
    </row>
    <row r="3112" spans="11:11">
      <c r="K3112" s="28" t="str">
        <f t="shared" si="49"/>
        <v>Quarter 1 1900</v>
      </c>
    </row>
    <row r="3113" spans="11:11">
      <c r="K3113" s="28" t="str">
        <f t="shared" si="49"/>
        <v>Quarter 1 1900</v>
      </c>
    </row>
    <row r="3114" spans="11:11">
      <c r="K3114" s="28" t="str">
        <f t="shared" si="49"/>
        <v>Quarter 1 1900</v>
      </c>
    </row>
    <row r="3115" spans="11:11">
      <c r="K3115" s="28" t="str">
        <f t="shared" si="49"/>
        <v>Quarter 1 1900</v>
      </c>
    </row>
    <row r="3116" spans="11:11">
      <c r="K3116" s="28" t="str">
        <f t="shared" si="49"/>
        <v>Quarter 1 1900</v>
      </c>
    </row>
    <row r="3117" spans="11:11">
      <c r="K3117" s="28" t="str">
        <f t="shared" si="49"/>
        <v>Quarter 1 1900</v>
      </c>
    </row>
    <row r="3118" spans="11:11">
      <c r="K3118" s="28" t="str">
        <f t="shared" si="49"/>
        <v>Quarter 1 1900</v>
      </c>
    </row>
    <row r="3119" spans="11:11">
      <c r="K3119" s="28" t="str">
        <f t="shared" si="49"/>
        <v>Quarter 1 1900</v>
      </c>
    </row>
    <row r="3120" spans="11:11">
      <c r="K3120" s="28" t="str">
        <f t="shared" si="49"/>
        <v>Quarter 1 1900</v>
      </c>
    </row>
    <row r="3121" spans="11:11">
      <c r="K3121" s="28" t="str">
        <f t="shared" si="49"/>
        <v>Quarter 1 1900</v>
      </c>
    </row>
    <row r="3122" spans="11:11">
      <c r="K3122" s="28" t="str">
        <f t="shared" si="49"/>
        <v>Quarter 1 1900</v>
      </c>
    </row>
    <row r="3123" spans="11:11">
      <c r="K3123" s="28" t="str">
        <f t="shared" si="49"/>
        <v>Quarter 1 1900</v>
      </c>
    </row>
    <row r="3124" spans="11:11">
      <c r="K3124" s="28" t="str">
        <f t="shared" si="49"/>
        <v>Quarter 1 1900</v>
      </c>
    </row>
    <row r="3125" spans="11:11">
      <c r="K3125" s="28" t="str">
        <f t="shared" si="49"/>
        <v>Quarter 1 1900</v>
      </c>
    </row>
    <row r="3126" spans="11:11">
      <c r="K3126" s="28" t="str">
        <f t="shared" si="49"/>
        <v>Quarter 1 1900</v>
      </c>
    </row>
    <row r="3127" spans="11:11">
      <c r="K3127" s="28" t="str">
        <f t="shared" si="49"/>
        <v>Quarter 1 1900</v>
      </c>
    </row>
    <row r="3128" spans="11:11">
      <c r="K3128" s="28" t="str">
        <f t="shared" si="49"/>
        <v>Quarter 1 1900</v>
      </c>
    </row>
    <row r="3129" spans="11:11">
      <c r="K3129" s="28" t="str">
        <f t="shared" si="49"/>
        <v>Quarter 1 1900</v>
      </c>
    </row>
    <row r="3130" spans="11:11">
      <c r="K3130" s="28" t="str">
        <f t="shared" si="49"/>
        <v>Quarter 1 1900</v>
      </c>
    </row>
    <row r="3131" spans="11:11">
      <c r="K3131" s="28" t="str">
        <f t="shared" si="49"/>
        <v>Quarter 1 1900</v>
      </c>
    </row>
    <row r="3132" spans="11:11">
      <c r="K3132" s="28" t="str">
        <f t="shared" si="49"/>
        <v>Quarter 1 1900</v>
      </c>
    </row>
    <row r="3133" spans="11:11">
      <c r="K3133" s="28" t="str">
        <f t="shared" si="49"/>
        <v>Quarter 1 1900</v>
      </c>
    </row>
    <row r="3134" spans="11:11">
      <c r="K3134" s="28" t="str">
        <f t="shared" si="49"/>
        <v>Quarter 1 1900</v>
      </c>
    </row>
    <row r="3135" spans="11:11">
      <c r="K3135" s="28" t="str">
        <f t="shared" si="49"/>
        <v>Quarter 1 1900</v>
      </c>
    </row>
    <row r="3136" spans="11:11">
      <c r="K3136" s="28" t="str">
        <f t="shared" si="49"/>
        <v>Quarter 1 1900</v>
      </c>
    </row>
    <row r="3137" spans="11:11">
      <c r="K3137" s="28" t="str">
        <f t="shared" si="49"/>
        <v>Quarter 1 1900</v>
      </c>
    </row>
    <row r="3138" spans="11:11">
      <c r="K3138" s="28" t="str">
        <f t="shared" si="49"/>
        <v>Quarter 1 1900</v>
      </c>
    </row>
    <row r="3139" spans="11:11">
      <c r="K3139" s="28" t="str">
        <f t="shared" si="49"/>
        <v>Quarter 1 1900</v>
      </c>
    </row>
    <row r="3140" spans="11:11">
      <c r="K3140" s="28" t="str">
        <f t="shared" si="49"/>
        <v>Quarter 1 1900</v>
      </c>
    </row>
    <row r="3141" spans="11:11">
      <c r="K3141" s="28" t="str">
        <f t="shared" si="49"/>
        <v>Quarter 1 1900</v>
      </c>
    </row>
    <row r="3142" spans="11:11">
      <c r="K3142" s="28" t="str">
        <f t="shared" si="49"/>
        <v>Quarter 1 1900</v>
      </c>
    </row>
    <row r="3143" spans="11:11">
      <c r="K3143" s="28" t="str">
        <f t="shared" si="49"/>
        <v>Quarter 1 1900</v>
      </c>
    </row>
    <row r="3144" spans="11:11">
      <c r="K3144" s="28" t="str">
        <f t="shared" si="49"/>
        <v>Quarter 1 1900</v>
      </c>
    </row>
    <row r="3145" spans="11:11">
      <c r="K3145" s="28" t="str">
        <f t="shared" si="49"/>
        <v>Quarter 1 1900</v>
      </c>
    </row>
    <row r="3146" spans="11:11">
      <c r="K3146" s="28" t="str">
        <f t="shared" si="49"/>
        <v>Quarter 1 1900</v>
      </c>
    </row>
    <row r="3147" spans="11:11">
      <c r="K3147" s="28" t="str">
        <f t="shared" si="49"/>
        <v>Quarter 1 1900</v>
      </c>
    </row>
    <row r="3148" spans="11:11">
      <c r="K3148" s="28" t="str">
        <f t="shared" si="49"/>
        <v>Quarter 1 1900</v>
      </c>
    </row>
    <row r="3149" spans="11:11">
      <c r="K3149" s="28" t="str">
        <f t="shared" si="49"/>
        <v>Quarter 1 1900</v>
      </c>
    </row>
    <row r="3150" spans="11:11">
      <c r="K3150" s="28" t="str">
        <f t="shared" si="49"/>
        <v>Quarter 1 1900</v>
      </c>
    </row>
    <row r="3151" spans="11:11">
      <c r="K3151" s="28" t="str">
        <f t="shared" si="49"/>
        <v>Quarter 1 1900</v>
      </c>
    </row>
    <row r="3152" spans="11:11">
      <c r="K3152" s="28" t="str">
        <f t="shared" si="49"/>
        <v>Quarter 1 1900</v>
      </c>
    </row>
    <row r="3153" spans="11:11">
      <c r="K3153" s="28" t="str">
        <f t="shared" si="49"/>
        <v>Quarter 1 1900</v>
      </c>
    </row>
    <row r="3154" spans="11:11">
      <c r="K3154" s="28" t="str">
        <f t="shared" ref="K3154:K3217" si="50">"Quarter "&amp;INT((MONTH(B3154)-1)/3)+1&amp;" "&amp;YEAR(B3154)</f>
        <v>Quarter 1 1900</v>
      </c>
    </row>
    <row r="3155" spans="11:11">
      <c r="K3155" s="28" t="str">
        <f t="shared" si="50"/>
        <v>Quarter 1 1900</v>
      </c>
    </row>
    <row r="3156" spans="11:11">
      <c r="K3156" s="28" t="str">
        <f t="shared" si="50"/>
        <v>Quarter 1 1900</v>
      </c>
    </row>
    <row r="3157" spans="11:11">
      <c r="K3157" s="28" t="str">
        <f t="shared" si="50"/>
        <v>Quarter 1 1900</v>
      </c>
    </row>
    <row r="3158" spans="11:11">
      <c r="K3158" s="28" t="str">
        <f t="shared" si="50"/>
        <v>Quarter 1 1900</v>
      </c>
    </row>
    <row r="3159" spans="11:11">
      <c r="K3159" s="28" t="str">
        <f t="shared" si="50"/>
        <v>Quarter 1 1900</v>
      </c>
    </row>
    <row r="3160" spans="11:11">
      <c r="K3160" s="28" t="str">
        <f t="shared" si="50"/>
        <v>Quarter 1 1900</v>
      </c>
    </row>
    <row r="3161" spans="11:11">
      <c r="K3161" s="28" t="str">
        <f t="shared" si="50"/>
        <v>Quarter 1 1900</v>
      </c>
    </row>
    <row r="3162" spans="11:11">
      <c r="K3162" s="28" t="str">
        <f t="shared" si="50"/>
        <v>Quarter 1 1900</v>
      </c>
    </row>
    <row r="3163" spans="11:11">
      <c r="K3163" s="28" t="str">
        <f t="shared" si="50"/>
        <v>Quarter 1 1900</v>
      </c>
    </row>
    <row r="3164" spans="11:11">
      <c r="K3164" s="28" t="str">
        <f t="shared" si="50"/>
        <v>Quarter 1 1900</v>
      </c>
    </row>
    <row r="3165" spans="11:11">
      <c r="K3165" s="28" t="str">
        <f t="shared" si="50"/>
        <v>Quarter 1 1900</v>
      </c>
    </row>
    <row r="3166" spans="11:11">
      <c r="K3166" s="28" t="str">
        <f t="shared" si="50"/>
        <v>Quarter 1 1900</v>
      </c>
    </row>
    <row r="3167" spans="11:11">
      <c r="K3167" s="28" t="str">
        <f t="shared" si="50"/>
        <v>Quarter 1 1900</v>
      </c>
    </row>
    <row r="3168" spans="11:11">
      <c r="K3168" s="28" t="str">
        <f t="shared" si="50"/>
        <v>Quarter 1 1900</v>
      </c>
    </row>
    <row r="3169" spans="11:11">
      <c r="K3169" s="28" t="str">
        <f t="shared" si="50"/>
        <v>Quarter 1 1900</v>
      </c>
    </row>
    <row r="3170" spans="11:11">
      <c r="K3170" s="28" t="str">
        <f t="shared" si="50"/>
        <v>Quarter 1 1900</v>
      </c>
    </row>
    <row r="3171" spans="11:11">
      <c r="K3171" s="28" t="str">
        <f t="shared" si="50"/>
        <v>Quarter 1 1900</v>
      </c>
    </row>
    <row r="3172" spans="11:11">
      <c r="K3172" s="28" t="str">
        <f t="shared" si="50"/>
        <v>Quarter 1 1900</v>
      </c>
    </row>
    <row r="3173" spans="11:11">
      <c r="K3173" s="28" t="str">
        <f t="shared" si="50"/>
        <v>Quarter 1 1900</v>
      </c>
    </row>
    <row r="3174" spans="11:11">
      <c r="K3174" s="28" t="str">
        <f t="shared" si="50"/>
        <v>Quarter 1 1900</v>
      </c>
    </row>
    <row r="3175" spans="11:11">
      <c r="K3175" s="28" t="str">
        <f t="shared" si="50"/>
        <v>Quarter 1 1900</v>
      </c>
    </row>
    <row r="3176" spans="11:11">
      <c r="K3176" s="28" t="str">
        <f t="shared" si="50"/>
        <v>Quarter 1 1900</v>
      </c>
    </row>
    <row r="3177" spans="11:11">
      <c r="K3177" s="28" t="str">
        <f t="shared" si="50"/>
        <v>Quarter 1 1900</v>
      </c>
    </row>
    <row r="3178" spans="11:11">
      <c r="K3178" s="28" t="str">
        <f t="shared" si="50"/>
        <v>Quarter 1 1900</v>
      </c>
    </row>
    <row r="3179" spans="11:11">
      <c r="K3179" s="28" t="str">
        <f t="shared" si="50"/>
        <v>Quarter 1 1900</v>
      </c>
    </row>
    <row r="3180" spans="11:11">
      <c r="K3180" s="28" t="str">
        <f t="shared" si="50"/>
        <v>Quarter 1 1900</v>
      </c>
    </row>
    <row r="3181" spans="11:11">
      <c r="K3181" s="28" t="str">
        <f t="shared" si="50"/>
        <v>Quarter 1 1900</v>
      </c>
    </row>
    <row r="3182" spans="11:11">
      <c r="K3182" s="28" t="str">
        <f t="shared" si="50"/>
        <v>Quarter 1 1900</v>
      </c>
    </row>
    <row r="3183" spans="11:11">
      <c r="K3183" s="28" t="str">
        <f t="shared" si="50"/>
        <v>Quarter 1 1900</v>
      </c>
    </row>
    <row r="3184" spans="11:11">
      <c r="K3184" s="28" t="str">
        <f t="shared" si="50"/>
        <v>Quarter 1 1900</v>
      </c>
    </row>
    <row r="3185" spans="11:11">
      <c r="K3185" s="28" t="str">
        <f t="shared" si="50"/>
        <v>Quarter 1 1900</v>
      </c>
    </row>
    <row r="3186" spans="11:11">
      <c r="K3186" s="28" t="str">
        <f t="shared" si="50"/>
        <v>Quarter 1 1900</v>
      </c>
    </row>
    <row r="3187" spans="11:11">
      <c r="K3187" s="28" t="str">
        <f t="shared" si="50"/>
        <v>Quarter 1 1900</v>
      </c>
    </row>
    <row r="3188" spans="11:11">
      <c r="K3188" s="28" t="str">
        <f t="shared" si="50"/>
        <v>Quarter 1 1900</v>
      </c>
    </row>
    <row r="3189" spans="11:11">
      <c r="K3189" s="28" t="str">
        <f t="shared" si="50"/>
        <v>Quarter 1 1900</v>
      </c>
    </row>
    <row r="3190" spans="11:11">
      <c r="K3190" s="28" t="str">
        <f t="shared" si="50"/>
        <v>Quarter 1 1900</v>
      </c>
    </row>
    <row r="3191" spans="11:11">
      <c r="K3191" s="28" t="str">
        <f t="shared" si="50"/>
        <v>Quarter 1 1900</v>
      </c>
    </row>
    <row r="3192" spans="11:11">
      <c r="K3192" s="28" t="str">
        <f t="shared" si="50"/>
        <v>Quarter 1 1900</v>
      </c>
    </row>
    <row r="3193" spans="11:11">
      <c r="K3193" s="28" t="str">
        <f t="shared" si="50"/>
        <v>Quarter 1 1900</v>
      </c>
    </row>
    <row r="3194" spans="11:11">
      <c r="K3194" s="28" t="str">
        <f t="shared" si="50"/>
        <v>Quarter 1 1900</v>
      </c>
    </row>
    <row r="3195" spans="11:11">
      <c r="K3195" s="28" t="str">
        <f t="shared" si="50"/>
        <v>Quarter 1 1900</v>
      </c>
    </row>
    <row r="3196" spans="11:11">
      <c r="K3196" s="28" t="str">
        <f t="shared" si="50"/>
        <v>Quarter 1 1900</v>
      </c>
    </row>
    <row r="3197" spans="11:11">
      <c r="K3197" s="28" t="str">
        <f t="shared" si="50"/>
        <v>Quarter 1 1900</v>
      </c>
    </row>
    <row r="3198" spans="11:11">
      <c r="K3198" s="28" t="str">
        <f t="shared" si="50"/>
        <v>Quarter 1 1900</v>
      </c>
    </row>
    <row r="3199" spans="11:11">
      <c r="K3199" s="28" t="str">
        <f t="shared" si="50"/>
        <v>Quarter 1 1900</v>
      </c>
    </row>
    <row r="3200" spans="11:11">
      <c r="K3200" s="28" t="str">
        <f t="shared" si="50"/>
        <v>Quarter 1 1900</v>
      </c>
    </row>
    <row r="3201" spans="11:11">
      <c r="K3201" s="28" t="str">
        <f t="shared" si="50"/>
        <v>Quarter 1 1900</v>
      </c>
    </row>
    <row r="3202" spans="11:11">
      <c r="K3202" s="28" t="str">
        <f t="shared" si="50"/>
        <v>Quarter 1 1900</v>
      </c>
    </row>
    <row r="3203" spans="11:11">
      <c r="K3203" s="28" t="str">
        <f t="shared" si="50"/>
        <v>Quarter 1 1900</v>
      </c>
    </row>
    <row r="3204" spans="11:11">
      <c r="K3204" s="28" t="str">
        <f t="shared" si="50"/>
        <v>Quarter 1 1900</v>
      </c>
    </row>
    <row r="3205" spans="11:11">
      <c r="K3205" s="28" t="str">
        <f t="shared" si="50"/>
        <v>Quarter 1 1900</v>
      </c>
    </row>
    <row r="3206" spans="11:11">
      <c r="K3206" s="28" t="str">
        <f t="shared" si="50"/>
        <v>Quarter 1 1900</v>
      </c>
    </row>
    <row r="3207" spans="11:11">
      <c r="K3207" s="28" t="str">
        <f t="shared" si="50"/>
        <v>Quarter 1 1900</v>
      </c>
    </row>
    <row r="3208" spans="11:11">
      <c r="K3208" s="28" t="str">
        <f t="shared" si="50"/>
        <v>Quarter 1 1900</v>
      </c>
    </row>
    <row r="3209" spans="11:11">
      <c r="K3209" s="28" t="str">
        <f t="shared" si="50"/>
        <v>Quarter 1 1900</v>
      </c>
    </row>
    <row r="3210" spans="11:11">
      <c r="K3210" s="28" t="str">
        <f t="shared" si="50"/>
        <v>Quarter 1 1900</v>
      </c>
    </row>
    <row r="3211" spans="11:11">
      <c r="K3211" s="28" t="str">
        <f t="shared" si="50"/>
        <v>Quarter 1 1900</v>
      </c>
    </row>
    <row r="3212" spans="11:11">
      <c r="K3212" s="28" t="str">
        <f t="shared" si="50"/>
        <v>Quarter 1 1900</v>
      </c>
    </row>
    <row r="3213" spans="11:11">
      <c r="K3213" s="28" t="str">
        <f t="shared" si="50"/>
        <v>Quarter 1 1900</v>
      </c>
    </row>
    <row r="3214" spans="11:11">
      <c r="K3214" s="28" t="str">
        <f t="shared" si="50"/>
        <v>Quarter 1 1900</v>
      </c>
    </row>
    <row r="3215" spans="11:11">
      <c r="K3215" s="28" t="str">
        <f t="shared" si="50"/>
        <v>Quarter 1 1900</v>
      </c>
    </row>
    <row r="3216" spans="11:11">
      <c r="K3216" s="28" t="str">
        <f t="shared" si="50"/>
        <v>Quarter 1 1900</v>
      </c>
    </row>
    <row r="3217" spans="11:11">
      <c r="K3217" s="28" t="str">
        <f t="shared" si="50"/>
        <v>Quarter 1 1900</v>
      </c>
    </row>
    <row r="3218" spans="11:11">
      <c r="K3218" s="28" t="str">
        <f t="shared" ref="K3218:K3281" si="51">"Quarter "&amp;INT((MONTH(B3218)-1)/3)+1&amp;" "&amp;YEAR(B3218)</f>
        <v>Quarter 1 1900</v>
      </c>
    </row>
    <row r="3219" spans="11:11">
      <c r="K3219" s="28" t="str">
        <f t="shared" si="51"/>
        <v>Quarter 1 1900</v>
      </c>
    </row>
    <row r="3220" spans="11:11">
      <c r="K3220" s="28" t="str">
        <f t="shared" si="51"/>
        <v>Quarter 1 1900</v>
      </c>
    </row>
    <row r="3221" spans="11:11">
      <c r="K3221" s="28" t="str">
        <f t="shared" si="51"/>
        <v>Quarter 1 1900</v>
      </c>
    </row>
    <row r="3222" spans="11:11">
      <c r="K3222" s="28" t="str">
        <f t="shared" si="51"/>
        <v>Quarter 1 1900</v>
      </c>
    </row>
    <row r="3223" spans="11:11">
      <c r="K3223" s="28" t="str">
        <f t="shared" si="51"/>
        <v>Quarter 1 1900</v>
      </c>
    </row>
    <row r="3224" spans="11:11">
      <c r="K3224" s="28" t="str">
        <f t="shared" si="51"/>
        <v>Quarter 1 1900</v>
      </c>
    </row>
    <row r="3225" spans="11:11">
      <c r="K3225" s="28" t="str">
        <f t="shared" si="51"/>
        <v>Quarter 1 1900</v>
      </c>
    </row>
    <row r="3226" spans="11:11">
      <c r="K3226" s="28" t="str">
        <f t="shared" si="51"/>
        <v>Quarter 1 1900</v>
      </c>
    </row>
    <row r="3227" spans="11:11">
      <c r="K3227" s="28" t="str">
        <f t="shared" si="51"/>
        <v>Quarter 1 1900</v>
      </c>
    </row>
    <row r="3228" spans="11:11">
      <c r="K3228" s="28" t="str">
        <f t="shared" si="51"/>
        <v>Quarter 1 1900</v>
      </c>
    </row>
    <row r="3229" spans="11:11">
      <c r="K3229" s="28" t="str">
        <f t="shared" si="51"/>
        <v>Quarter 1 1900</v>
      </c>
    </row>
    <row r="3230" spans="11:11">
      <c r="K3230" s="28" t="str">
        <f t="shared" si="51"/>
        <v>Quarter 1 1900</v>
      </c>
    </row>
    <row r="3231" spans="11:11">
      <c r="K3231" s="28" t="str">
        <f t="shared" si="51"/>
        <v>Quarter 1 1900</v>
      </c>
    </row>
    <row r="3232" spans="11:11">
      <c r="K3232" s="28" t="str">
        <f t="shared" si="51"/>
        <v>Quarter 1 1900</v>
      </c>
    </row>
    <row r="3233" spans="11:11">
      <c r="K3233" s="28" t="str">
        <f t="shared" si="51"/>
        <v>Quarter 1 1900</v>
      </c>
    </row>
    <row r="3234" spans="11:11">
      <c r="K3234" s="28" t="str">
        <f t="shared" si="51"/>
        <v>Quarter 1 1900</v>
      </c>
    </row>
    <row r="3235" spans="11:11">
      <c r="K3235" s="28" t="str">
        <f t="shared" si="51"/>
        <v>Quarter 1 1900</v>
      </c>
    </row>
    <row r="3236" spans="11:11">
      <c r="K3236" s="28" t="str">
        <f t="shared" si="51"/>
        <v>Quarter 1 1900</v>
      </c>
    </row>
    <row r="3237" spans="11:11">
      <c r="K3237" s="28" t="str">
        <f t="shared" si="51"/>
        <v>Quarter 1 1900</v>
      </c>
    </row>
    <row r="3238" spans="11:11">
      <c r="K3238" s="28" t="str">
        <f t="shared" si="51"/>
        <v>Quarter 1 1900</v>
      </c>
    </row>
    <row r="3239" spans="11:11">
      <c r="K3239" s="28" t="str">
        <f t="shared" si="51"/>
        <v>Quarter 1 1900</v>
      </c>
    </row>
    <row r="3240" spans="11:11">
      <c r="K3240" s="28" t="str">
        <f t="shared" si="51"/>
        <v>Quarter 1 1900</v>
      </c>
    </row>
    <row r="3241" spans="11:11">
      <c r="K3241" s="28" t="str">
        <f t="shared" si="51"/>
        <v>Quarter 1 1900</v>
      </c>
    </row>
    <row r="3242" spans="11:11">
      <c r="K3242" s="28" t="str">
        <f t="shared" si="51"/>
        <v>Quarter 1 1900</v>
      </c>
    </row>
    <row r="3243" spans="11:11">
      <c r="K3243" s="28" t="str">
        <f t="shared" si="51"/>
        <v>Quarter 1 1900</v>
      </c>
    </row>
    <row r="3244" spans="11:11">
      <c r="K3244" s="28" t="str">
        <f t="shared" si="51"/>
        <v>Quarter 1 1900</v>
      </c>
    </row>
    <row r="3245" spans="11:11">
      <c r="K3245" s="28" t="str">
        <f t="shared" si="51"/>
        <v>Quarter 1 1900</v>
      </c>
    </row>
    <row r="3246" spans="11:11">
      <c r="K3246" s="28" t="str">
        <f t="shared" si="51"/>
        <v>Quarter 1 1900</v>
      </c>
    </row>
    <row r="3247" spans="11:11">
      <c r="K3247" s="28" t="str">
        <f t="shared" si="51"/>
        <v>Quarter 1 1900</v>
      </c>
    </row>
    <row r="3248" spans="11:11">
      <c r="K3248" s="28" t="str">
        <f t="shared" si="51"/>
        <v>Quarter 1 1900</v>
      </c>
    </row>
    <row r="3249" spans="11:11">
      <c r="K3249" s="28" t="str">
        <f t="shared" si="51"/>
        <v>Quarter 1 1900</v>
      </c>
    </row>
    <row r="3250" spans="11:11">
      <c r="K3250" s="28" t="str">
        <f t="shared" si="51"/>
        <v>Quarter 1 1900</v>
      </c>
    </row>
    <row r="3251" spans="11:11">
      <c r="K3251" s="28" t="str">
        <f t="shared" si="51"/>
        <v>Quarter 1 1900</v>
      </c>
    </row>
    <row r="3252" spans="11:11">
      <c r="K3252" s="28" t="str">
        <f t="shared" si="51"/>
        <v>Quarter 1 1900</v>
      </c>
    </row>
    <row r="3253" spans="11:11">
      <c r="K3253" s="28" t="str">
        <f t="shared" si="51"/>
        <v>Quarter 1 1900</v>
      </c>
    </row>
    <row r="3254" spans="11:11">
      <c r="K3254" s="28" t="str">
        <f t="shared" si="51"/>
        <v>Quarter 1 1900</v>
      </c>
    </row>
    <row r="3255" spans="11:11">
      <c r="K3255" s="28" t="str">
        <f t="shared" si="51"/>
        <v>Quarter 1 1900</v>
      </c>
    </row>
    <row r="3256" spans="11:11">
      <c r="K3256" s="28" t="str">
        <f t="shared" si="51"/>
        <v>Quarter 1 1900</v>
      </c>
    </row>
    <row r="3257" spans="11:11">
      <c r="K3257" s="28" t="str">
        <f t="shared" si="51"/>
        <v>Quarter 1 1900</v>
      </c>
    </row>
    <row r="3258" spans="11:11">
      <c r="K3258" s="28" t="str">
        <f t="shared" si="51"/>
        <v>Quarter 1 1900</v>
      </c>
    </row>
    <row r="3259" spans="11:11">
      <c r="K3259" s="28" t="str">
        <f t="shared" si="51"/>
        <v>Quarter 1 1900</v>
      </c>
    </row>
    <row r="3260" spans="11:11">
      <c r="K3260" s="28" t="str">
        <f t="shared" si="51"/>
        <v>Quarter 1 1900</v>
      </c>
    </row>
    <row r="3261" spans="11:11">
      <c r="K3261" s="28" t="str">
        <f t="shared" si="51"/>
        <v>Quarter 1 1900</v>
      </c>
    </row>
    <row r="3262" spans="11:11">
      <c r="K3262" s="28" t="str">
        <f t="shared" si="51"/>
        <v>Quarter 1 1900</v>
      </c>
    </row>
    <row r="3263" spans="11:11">
      <c r="K3263" s="28" t="str">
        <f t="shared" si="51"/>
        <v>Quarter 1 1900</v>
      </c>
    </row>
    <row r="3264" spans="11:11">
      <c r="K3264" s="28" t="str">
        <f t="shared" si="51"/>
        <v>Quarter 1 1900</v>
      </c>
    </row>
    <row r="3265" spans="11:11">
      <c r="K3265" s="28" t="str">
        <f t="shared" si="51"/>
        <v>Quarter 1 1900</v>
      </c>
    </row>
    <row r="3266" spans="11:11">
      <c r="K3266" s="28" t="str">
        <f t="shared" si="51"/>
        <v>Quarter 1 1900</v>
      </c>
    </row>
    <row r="3267" spans="11:11">
      <c r="K3267" s="28" t="str">
        <f t="shared" si="51"/>
        <v>Quarter 1 1900</v>
      </c>
    </row>
    <row r="3268" spans="11:11">
      <c r="K3268" s="28" t="str">
        <f t="shared" si="51"/>
        <v>Quarter 1 1900</v>
      </c>
    </row>
    <row r="3269" spans="11:11">
      <c r="K3269" s="28" t="str">
        <f t="shared" si="51"/>
        <v>Quarter 1 1900</v>
      </c>
    </row>
    <row r="3270" spans="11:11">
      <c r="K3270" s="28" t="str">
        <f t="shared" si="51"/>
        <v>Quarter 1 1900</v>
      </c>
    </row>
    <row r="3271" spans="11:11">
      <c r="K3271" s="28" t="str">
        <f t="shared" si="51"/>
        <v>Quarter 1 1900</v>
      </c>
    </row>
    <row r="3272" spans="11:11">
      <c r="K3272" s="28" t="str">
        <f t="shared" si="51"/>
        <v>Quarter 1 1900</v>
      </c>
    </row>
    <row r="3273" spans="11:11">
      <c r="K3273" s="28" t="str">
        <f t="shared" si="51"/>
        <v>Quarter 1 1900</v>
      </c>
    </row>
    <row r="3274" spans="11:11">
      <c r="K3274" s="28" t="str">
        <f t="shared" si="51"/>
        <v>Quarter 1 1900</v>
      </c>
    </row>
    <row r="3275" spans="11:11">
      <c r="K3275" s="28" t="str">
        <f t="shared" si="51"/>
        <v>Quarter 1 1900</v>
      </c>
    </row>
    <row r="3276" spans="11:11">
      <c r="K3276" s="28" t="str">
        <f t="shared" si="51"/>
        <v>Quarter 1 1900</v>
      </c>
    </row>
    <row r="3277" spans="11:11">
      <c r="K3277" s="28" t="str">
        <f t="shared" si="51"/>
        <v>Quarter 1 1900</v>
      </c>
    </row>
    <row r="3278" spans="11:11">
      <c r="K3278" s="28" t="str">
        <f t="shared" si="51"/>
        <v>Quarter 1 1900</v>
      </c>
    </row>
    <row r="3279" spans="11:11">
      <c r="K3279" s="28" t="str">
        <f t="shared" si="51"/>
        <v>Quarter 1 1900</v>
      </c>
    </row>
    <row r="3280" spans="11:11">
      <c r="K3280" s="28" t="str">
        <f t="shared" si="51"/>
        <v>Quarter 1 1900</v>
      </c>
    </row>
    <row r="3281" spans="11:11">
      <c r="K3281" s="28" t="str">
        <f t="shared" si="51"/>
        <v>Quarter 1 1900</v>
      </c>
    </row>
    <row r="3282" spans="11:11">
      <c r="K3282" s="28" t="str">
        <f t="shared" ref="K3282:K3345" si="52">"Quarter "&amp;INT((MONTH(B3282)-1)/3)+1&amp;" "&amp;YEAR(B3282)</f>
        <v>Quarter 1 1900</v>
      </c>
    </row>
    <row r="3283" spans="11:11">
      <c r="K3283" s="28" t="str">
        <f t="shared" si="52"/>
        <v>Quarter 1 1900</v>
      </c>
    </row>
    <row r="3284" spans="11:11">
      <c r="K3284" s="28" t="str">
        <f t="shared" si="52"/>
        <v>Quarter 1 1900</v>
      </c>
    </row>
    <row r="3285" spans="11:11">
      <c r="K3285" s="28" t="str">
        <f t="shared" si="52"/>
        <v>Quarter 1 1900</v>
      </c>
    </row>
    <row r="3286" spans="11:11">
      <c r="K3286" s="28" t="str">
        <f t="shared" si="52"/>
        <v>Quarter 1 1900</v>
      </c>
    </row>
    <row r="3287" spans="11:11">
      <c r="K3287" s="28" t="str">
        <f t="shared" si="52"/>
        <v>Quarter 1 1900</v>
      </c>
    </row>
    <row r="3288" spans="11:11">
      <c r="K3288" s="28" t="str">
        <f t="shared" si="52"/>
        <v>Quarter 1 1900</v>
      </c>
    </row>
    <row r="3289" spans="11:11">
      <c r="K3289" s="28" t="str">
        <f t="shared" si="52"/>
        <v>Quarter 1 1900</v>
      </c>
    </row>
    <row r="3290" spans="11:11">
      <c r="K3290" s="28" t="str">
        <f t="shared" si="52"/>
        <v>Quarter 1 1900</v>
      </c>
    </row>
    <row r="3291" spans="11:11">
      <c r="K3291" s="28" t="str">
        <f t="shared" si="52"/>
        <v>Quarter 1 1900</v>
      </c>
    </row>
    <row r="3292" spans="11:11">
      <c r="K3292" s="28" t="str">
        <f t="shared" si="52"/>
        <v>Quarter 1 1900</v>
      </c>
    </row>
    <row r="3293" spans="11:11">
      <c r="K3293" s="28" t="str">
        <f t="shared" si="52"/>
        <v>Quarter 1 1900</v>
      </c>
    </row>
    <row r="3294" spans="11:11">
      <c r="K3294" s="28" t="str">
        <f t="shared" si="52"/>
        <v>Quarter 1 1900</v>
      </c>
    </row>
    <row r="3295" spans="11:11">
      <c r="K3295" s="28" t="str">
        <f t="shared" si="52"/>
        <v>Quarter 1 1900</v>
      </c>
    </row>
    <row r="3296" spans="11:11">
      <c r="K3296" s="28" t="str">
        <f t="shared" si="52"/>
        <v>Quarter 1 1900</v>
      </c>
    </row>
    <row r="3297" spans="11:11">
      <c r="K3297" s="28" t="str">
        <f t="shared" si="52"/>
        <v>Quarter 1 1900</v>
      </c>
    </row>
    <row r="3298" spans="11:11">
      <c r="K3298" s="28" t="str">
        <f t="shared" si="52"/>
        <v>Quarter 1 1900</v>
      </c>
    </row>
    <row r="3299" spans="11:11">
      <c r="K3299" s="28" t="str">
        <f t="shared" si="52"/>
        <v>Quarter 1 1900</v>
      </c>
    </row>
    <row r="3300" spans="11:11">
      <c r="K3300" s="28" t="str">
        <f t="shared" si="52"/>
        <v>Quarter 1 1900</v>
      </c>
    </row>
    <row r="3301" spans="11:11">
      <c r="K3301" s="28" t="str">
        <f t="shared" si="52"/>
        <v>Quarter 1 1900</v>
      </c>
    </row>
    <row r="3302" spans="11:11">
      <c r="K3302" s="28" t="str">
        <f t="shared" si="52"/>
        <v>Quarter 1 1900</v>
      </c>
    </row>
    <row r="3303" spans="11:11">
      <c r="K3303" s="28" t="str">
        <f t="shared" si="52"/>
        <v>Quarter 1 1900</v>
      </c>
    </row>
    <row r="3304" spans="11:11">
      <c r="K3304" s="28" t="str">
        <f t="shared" si="52"/>
        <v>Quarter 1 1900</v>
      </c>
    </row>
    <row r="3305" spans="11:11">
      <c r="K3305" s="28" t="str">
        <f t="shared" si="52"/>
        <v>Quarter 1 1900</v>
      </c>
    </row>
    <row r="3306" spans="11:11">
      <c r="K3306" s="28" t="str">
        <f t="shared" si="52"/>
        <v>Quarter 1 1900</v>
      </c>
    </row>
    <row r="3307" spans="11:11">
      <c r="K3307" s="28" t="str">
        <f t="shared" si="52"/>
        <v>Quarter 1 1900</v>
      </c>
    </row>
    <row r="3308" spans="11:11">
      <c r="K3308" s="28" t="str">
        <f t="shared" si="52"/>
        <v>Quarter 1 1900</v>
      </c>
    </row>
    <row r="3309" spans="11:11">
      <c r="K3309" s="28" t="str">
        <f t="shared" si="52"/>
        <v>Quarter 1 1900</v>
      </c>
    </row>
    <row r="3310" spans="11:11">
      <c r="K3310" s="28" t="str">
        <f t="shared" si="52"/>
        <v>Quarter 1 1900</v>
      </c>
    </row>
    <row r="3311" spans="11:11">
      <c r="K3311" s="28" t="str">
        <f t="shared" si="52"/>
        <v>Quarter 1 1900</v>
      </c>
    </row>
    <row r="3312" spans="11:11">
      <c r="K3312" s="28" t="str">
        <f t="shared" si="52"/>
        <v>Quarter 1 1900</v>
      </c>
    </row>
    <row r="3313" spans="11:11">
      <c r="K3313" s="28" t="str">
        <f t="shared" si="52"/>
        <v>Quarter 1 1900</v>
      </c>
    </row>
    <row r="3314" spans="11:11">
      <c r="K3314" s="28" t="str">
        <f t="shared" si="52"/>
        <v>Quarter 1 1900</v>
      </c>
    </row>
    <row r="3315" spans="11:11">
      <c r="K3315" s="28" t="str">
        <f t="shared" si="52"/>
        <v>Quarter 1 1900</v>
      </c>
    </row>
    <row r="3316" spans="11:11">
      <c r="K3316" s="28" t="str">
        <f t="shared" si="52"/>
        <v>Quarter 1 1900</v>
      </c>
    </row>
    <row r="3317" spans="11:11">
      <c r="K3317" s="28" t="str">
        <f t="shared" si="52"/>
        <v>Quarter 1 1900</v>
      </c>
    </row>
    <row r="3318" spans="11:11">
      <c r="K3318" s="28" t="str">
        <f t="shared" si="52"/>
        <v>Quarter 1 1900</v>
      </c>
    </row>
    <row r="3319" spans="11:11">
      <c r="K3319" s="28" t="str">
        <f t="shared" si="52"/>
        <v>Quarter 1 1900</v>
      </c>
    </row>
    <row r="3320" spans="11:11">
      <c r="K3320" s="28" t="str">
        <f t="shared" si="52"/>
        <v>Quarter 1 1900</v>
      </c>
    </row>
    <row r="3321" spans="11:11">
      <c r="K3321" s="28" t="str">
        <f t="shared" si="52"/>
        <v>Quarter 1 1900</v>
      </c>
    </row>
    <row r="3322" spans="11:11">
      <c r="K3322" s="28" t="str">
        <f t="shared" si="52"/>
        <v>Quarter 1 1900</v>
      </c>
    </row>
    <row r="3323" spans="11:11">
      <c r="K3323" s="28" t="str">
        <f t="shared" si="52"/>
        <v>Quarter 1 1900</v>
      </c>
    </row>
    <row r="3324" spans="11:11">
      <c r="K3324" s="28" t="str">
        <f t="shared" si="52"/>
        <v>Quarter 1 1900</v>
      </c>
    </row>
    <row r="3325" spans="11:11">
      <c r="K3325" s="28" t="str">
        <f t="shared" si="52"/>
        <v>Quarter 1 1900</v>
      </c>
    </row>
    <row r="3326" spans="11:11">
      <c r="K3326" s="28" t="str">
        <f t="shared" si="52"/>
        <v>Quarter 1 1900</v>
      </c>
    </row>
    <row r="3327" spans="11:11">
      <c r="K3327" s="28" t="str">
        <f t="shared" si="52"/>
        <v>Quarter 1 1900</v>
      </c>
    </row>
    <row r="3328" spans="11:11">
      <c r="K3328" s="28" t="str">
        <f t="shared" si="52"/>
        <v>Quarter 1 1900</v>
      </c>
    </row>
    <row r="3329" spans="11:11">
      <c r="K3329" s="28" t="str">
        <f t="shared" si="52"/>
        <v>Quarter 1 1900</v>
      </c>
    </row>
    <row r="3330" spans="11:11">
      <c r="K3330" s="28" t="str">
        <f t="shared" si="52"/>
        <v>Quarter 1 1900</v>
      </c>
    </row>
    <row r="3331" spans="11:11">
      <c r="K3331" s="28" t="str">
        <f t="shared" si="52"/>
        <v>Quarter 1 1900</v>
      </c>
    </row>
    <row r="3332" spans="11:11">
      <c r="K3332" s="28" t="str">
        <f t="shared" si="52"/>
        <v>Quarter 1 1900</v>
      </c>
    </row>
    <row r="3333" spans="11:11">
      <c r="K3333" s="28" t="str">
        <f t="shared" si="52"/>
        <v>Quarter 1 1900</v>
      </c>
    </row>
    <row r="3334" spans="11:11">
      <c r="K3334" s="28" t="str">
        <f t="shared" si="52"/>
        <v>Quarter 1 1900</v>
      </c>
    </row>
    <row r="3335" spans="11:11">
      <c r="K3335" s="28" t="str">
        <f t="shared" si="52"/>
        <v>Quarter 1 1900</v>
      </c>
    </row>
    <row r="3336" spans="11:11">
      <c r="K3336" s="28" t="str">
        <f t="shared" si="52"/>
        <v>Quarter 1 1900</v>
      </c>
    </row>
    <row r="3337" spans="11:11">
      <c r="K3337" s="28" t="str">
        <f t="shared" si="52"/>
        <v>Quarter 1 1900</v>
      </c>
    </row>
    <row r="3338" spans="11:11">
      <c r="K3338" s="28" t="str">
        <f t="shared" si="52"/>
        <v>Quarter 1 1900</v>
      </c>
    </row>
    <row r="3339" spans="11:11">
      <c r="K3339" s="28" t="str">
        <f t="shared" si="52"/>
        <v>Quarter 1 1900</v>
      </c>
    </row>
    <row r="3340" spans="11:11">
      <c r="K3340" s="28" t="str">
        <f t="shared" si="52"/>
        <v>Quarter 1 1900</v>
      </c>
    </row>
    <row r="3341" spans="11:11">
      <c r="K3341" s="28" t="str">
        <f t="shared" si="52"/>
        <v>Quarter 1 1900</v>
      </c>
    </row>
    <row r="3342" spans="11:11">
      <c r="K3342" s="28" t="str">
        <f t="shared" si="52"/>
        <v>Quarter 1 1900</v>
      </c>
    </row>
    <row r="3343" spans="11:11">
      <c r="K3343" s="28" t="str">
        <f t="shared" si="52"/>
        <v>Quarter 1 1900</v>
      </c>
    </row>
    <row r="3344" spans="11:11">
      <c r="K3344" s="28" t="str">
        <f t="shared" si="52"/>
        <v>Quarter 1 1900</v>
      </c>
    </row>
    <row r="3345" spans="11:11">
      <c r="K3345" s="28" t="str">
        <f t="shared" si="52"/>
        <v>Quarter 1 1900</v>
      </c>
    </row>
    <row r="3346" spans="11:11">
      <c r="K3346" s="28" t="str">
        <f t="shared" ref="K3346:K3409" si="53">"Quarter "&amp;INT((MONTH(B3346)-1)/3)+1&amp;" "&amp;YEAR(B3346)</f>
        <v>Quarter 1 1900</v>
      </c>
    </row>
    <row r="3347" spans="11:11">
      <c r="K3347" s="28" t="str">
        <f t="shared" si="53"/>
        <v>Quarter 1 1900</v>
      </c>
    </row>
    <row r="3348" spans="11:11">
      <c r="K3348" s="28" t="str">
        <f t="shared" si="53"/>
        <v>Quarter 1 1900</v>
      </c>
    </row>
    <row r="3349" spans="11:11">
      <c r="K3349" s="28" t="str">
        <f t="shared" si="53"/>
        <v>Quarter 1 1900</v>
      </c>
    </row>
    <row r="3350" spans="11:11">
      <c r="K3350" s="28" t="str">
        <f t="shared" si="53"/>
        <v>Quarter 1 1900</v>
      </c>
    </row>
    <row r="3351" spans="11:11">
      <c r="K3351" s="28" t="str">
        <f t="shared" si="53"/>
        <v>Quarter 1 1900</v>
      </c>
    </row>
    <row r="3352" spans="11:11">
      <c r="K3352" s="28" t="str">
        <f t="shared" si="53"/>
        <v>Quarter 1 1900</v>
      </c>
    </row>
    <row r="3353" spans="11:11">
      <c r="K3353" s="28" t="str">
        <f t="shared" si="53"/>
        <v>Quarter 1 1900</v>
      </c>
    </row>
    <row r="3354" spans="11:11">
      <c r="K3354" s="28" t="str">
        <f t="shared" si="53"/>
        <v>Quarter 1 1900</v>
      </c>
    </row>
    <row r="3355" spans="11:11">
      <c r="K3355" s="28" t="str">
        <f t="shared" si="53"/>
        <v>Quarter 1 1900</v>
      </c>
    </row>
    <row r="3356" spans="11:11">
      <c r="K3356" s="28" t="str">
        <f t="shared" si="53"/>
        <v>Quarter 1 1900</v>
      </c>
    </row>
    <row r="3357" spans="11:11">
      <c r="K3357" s="28" t="str">
        <f t="shared" si="53"/>
        <v>Quarter 1 1900</v>
      </c>
    </row>
    <row r="3358" spans="11:11">
      <c r="K3358" s="28" t="str">
        <f t="shared" si="53"/>
        <v>Quarter 1 1900</v>
      </c>
    </row>
    <row r="3359" spans="11:11">
      <c r="K3359" s="28" t="str">
        <f t="shared" si="53"/>
        <v>Quarter 1 1900</v>
      </c>
    </row>
    <row r="3360" spans="11:11">
      <c r="K3360" s="28" t="str">
        <f t="shared" si="53"/>
        <v>Quarter 1 1900</v>
      </c>
    </row>
    <row r="3361" spans="11:11">
      <c r="K3361" s="28" t="str">
        <f t="shared" si="53"/>
        <v>Quarter 1 1900</v>
      </c>
    </row>
    <row r="3362" spans="11:11">
      <c r="K3362" s="28" t="str">
        <f t="shared" si="53"/>
        <v>Quarter 1 1900</v>
      </c>
    </row>
    <row r="3363" spans="11:11">
      <c r="K3363" s="28" t="str">
        <f t="shared" si="53"/>
        <v>Quarter 1 1900</v>
      </c>
    </row>
    <row r="3364" spans="11:11">
      <c r="K3364" s="28" t="str">
        <f t="shared" si="53"/>
        <v>Quarter 1 1900</v>
      </c>
    </row>
    <row r="3365" spans="11:11">
      <c r="K3365" s="28" t="str">
        <f t="shared" si="53"/>
        <v>Quarter 1 1900</v>
      </c>
    </row>
    <row r="3366" spans="11:11">
      <c r="K3366" s="28" t="str">
        <f t="shared" si="53"/>
        <v>Quarter 1 1900</v>
      </c>
    </row>
    <row r="3367" spans="11:11">
      <c r="K3367" s="28" t="str">
        <f t="shared" si="53"/>
        <v>Quarter 1 1900</v>
      </c>
    </row>
    <row r="3368" spans="11:11">
      <c r="K3368" s="28" t="str">
        <f t="shared" si="53"/>
        <v>Quarter 1 1900</v>
      </c>
    </row>
    <row r="3369" spans="11:11">
      <c r="K3369" s="28" t="str">
        <f t="shared" si="53"/>
        <v>Quarter 1 1900</v>
      </c>
    </row>
    <row r="3370" spans="11:11">
      <c r="K3370" s="28" t="str">
        <f t="shared" si="53"/>
        <v>Quarter 1 1900</v>
      </c>
    </row>
    <row r="3371" spans="11:11">
      <c r="K3371" s="28" t="str">
        <f t="shared" si="53"/>
        <v>Quarter 1 1900</v>
      </c>
    </row>
    <row r="3372" spans="11:11">
      <c r="K3372" s="28" t="str">
        <f t="shared" si="53"/>
        <v>Quarter 1 1900</v>
      </c>
    </row>
    <row r="3373" spans="11:11">
      <c r="K3373" s="28" t="str">
        <f t="shared" si="53"/>
        <v>Quarter 1 1900</v>
      </c>
    </row>
    <row r="3374" spans="11:11">
      <c r="K3374" s="28" t="str">
        <f t="shared" si="53"/>
        <v>Quarter 1 1900</v>
      </c>
    </row>
    <row r="3375" spans="11:11">
      <c r="K3375" s="28" t="str">
        <f t="shared" si="53"/>
        <v>Quarter 1 1900</v>
      </c>
    </row>
    <row r="3376" spans="11:11">
      <c r="K3376" s="28" t="str">
        <f t="shared" si="53"/>
        <v>Quarter 1 1900</v>
      </c>
    </row>
    <row r="3377" spans="11:11">
      <c r="K3377" s="28" t="str">
        <f t="shared" si="53"/>
        <v>Quarter 1 1900</v>
      </c>
    </row>
    <row r="3378" spans="11:11">
      <c r="K3378" s="28" t="str">
        <f t="shared" si="53"/>
        <v>Quarter 1 1900</v>
      </c>
    </row>
    <row r="3379" spans="11:11">
      <c r="K3379" s="28" t="str">
        <f t="shared" si="53"/>
        <v>Quarter 1 1900</v>
      </c>
    </row>
    <row r="3380" spans="11:11">
      <c r="K3380" s="28" t="str">
        <f t="shared" si="53"/>
        <v>Quarter 1 1900</v>
      </c>
    </row>
    <row r="3381" spans="11:11">
      <c r="K3381" s="28" t="str">
        <f t="shared" si="53"/>
        <v>Quarter 1 1900</v>
      </c>
    </row>
    <row r="3382" spans="11:11">
      <c r="K3382" s="28" t="str">
        <f t="shared" si="53"/>
        <v>Quarter 1 1900</v>
      </c>
    </row>
    <row r="3383" spans="11:11">
      <c r="K3383" s="28" t="str">
        <f t="shared" si="53"/>
        <v>Quarter 1 1900</v>
      </c>
    </row>
    <row r="3384" spans="11:11">
      <c r="K3384" s="28" t="str">
        <f t="shared" si="53"/>
        <v>Quarter 1 1900</v>
      </c>
    </row>
    <row r="3385" spans="11:11">
      <c r="K3385" s="28" t="str">
        <f t="shared" si="53"/>
        <v>Quarter 1 1900</v>
      </c>
    </row>
    <row r="3386" spans="11:11">
      <c r="K3386" s="28" t="str">
        <f t="shared" si="53"/>
        <v>Quarter 1 1900</v>
      </c>
    </row>
    <row r="3387" spans="11:11">
      <c r="K3387" s="28" t="str">
        <f t="shared" si="53"/>
        <v>Quarter 1 1900</v>
      </c>
    </row>
    <row r="3388" spans="11:11">
      <c r="K3388" s="28" t="str">
        <f t="shared" si="53"/>
        <v>Quarter 1 1900</v>
      </c>
    </row>
    <row r="3389" spans="11:11">
      <c r="K3389" s="28" t="str">
        <f t="shared" si="53"/>
        <v>Quarter 1 1900</v>
      </c>
    </row>
    <row r="3390" spans="11:11">
      <c r="K3390" s="28" t="str">
        <f t="shared" si="53"/>
        <v>Quarter 1 1900</v>
      </c>
    </row>
    <row r="3391" spans="11:11">
      <c r="K3391" s="28" t="str">
        <f t="shared" si="53"/>
        <v>Quarter 1 1900</v>
      </c>
    </row>
    <row r="3392" spans="11:11">
      <c r="K3392" s="28" t="str">
        <f t="shared" si="53"/>
        <v>Quarter 1 1900</v>
      </c>
    </row>
    <row r="3393" spans="11:11">
      <c r="K3393" s="28" t="str">
        <f t="shared" si="53"/>
        <v>Quarter 1 1900</v>
      </c>
    </row>
    <row r="3394" spans="11:11">
      <c r="K3394" s="28" t="str">
        <f t="shared" si="53"/>
        <v>Quarter 1 1900</v>
      </c>
    </row>
    <row r="3395" spans="11:11">
      <c r="K3395" s="28" t="str">
        <f t="shared" si="53"/>
        <v>Quarter 1 1900</v>
      </c>
    </row>
    <row r="3396" spans="11:11">
      <c r="K3396" s="28" t="str">
        <f t="shared" si="53"/>
        <v>Quarter 1 1900</v>
      </c>
    </row>
    <row r="3397" spans="11:11">
      <c r="K3397" s="28" t="str">
        <f t="shared" si="53"/>
        <v>Quarter 1 1900</v>
      </c>
    </row>
    <row r="3398" spans="11:11">
      <c r="K3398" s="28" t="str">
        <f t="shared" si="53"/>
        <v>Quarter 1 1900</v>
      </c>
    </row>
    <row r="3399" spans="11:11">
      <c r="K3399" s="28" t="str">
        <f t="shared" si="53"/>
        <v>Quarter 1 1900</v>
      </c>
    </row>
    <row r="3400" spans="11:11">
      <c r="K3400" s="28" t="str">
        <f t="shared" si="53"/>
        <v>Quarter 1 1900</v>
      </c>
    </row>
    <row r="3401" spans="11:11">
      <c r="K3401" s="28" t="str">
        <f t="shared" si="53"/>
        <v>Quarter 1 1900</v>
      </c>
    </row>
    <row r="3402" spans="11:11">
      <c r="K3402" s="28" t="str">
        <f t="shared" si="53"/>
        <v>Quarter 1 1900</v>
      </c>
    </row>
    <row r="3403" spans="11:11">
      <c r="K3403" s="28" t="str">
        <f t="shared" si="53"/>
        <v>Quarter 1 1900</v>
      </c>
    </row>
    <row r="3404" spans="11:11">
      <c r="K3404" s="28" t="str">
        <f t="shared" si="53"/>
        <v>Quarter 1 1900</v>
      </c>
    </row>
    <row r="3405" spans="11:11">
      <c r="K3405" s="28" t="str">
        <f t="shared" si="53"/>
        <v>Quarter 1 1900</v>
      </c>
    </row>
    <row r="3406" spans="11:11">
      <c r="K3406" s="28" t="str">
        <f t="shared" si="53"/>
        <v>Quarter 1 1900</v>
      </c>
    </row>
    <row r="3407" spans="11:11">
      <c r="K3407" s="28" t="str">
        <f t="shared" si="53"/>
        <v>Quarter 1 1900</v>
      </c>
    </row>
    <row r="3408" spans="11:11">
      <c r="K3408" s="28" t="str">
        <f t="shared" si="53"/>
        <v>Quarter 1 1900</v>
      </c>
    </row>
    <row r="3409" spans="11:11">
      <c r="K3409" s="28" t="str">
        <f t="shared" si="53"/>
        <v>Quarter 1 1900</v>
      </c>
    </row>
    <row r="3410" spans="11:11">
      <c r="K3410" s="28" t="str">
        <f t="shared" ref="K3410:K3473" si="54">"Quarter "&amp;INT((MONTH(B3410)-1)/3)+1&amp;" "&amp;YEAR(B3410)</f>
        <v>Quarter 1 1900</v>
      </c>
    </row>
    <row r="3411" spans="11:11">
      <c r="K3411" s="28" t="str">
        <f t="shared" si="54"/>
        <v>Quarter 1 1900</v>
      </c>
    </row>
    <row r="3412" spans="11:11">
      <c r="K3412" s="28" t="str">
        <f t="shared" si="54"/>
        <v>Quarter 1 1900</v>
      </c>
    </row>
    <row r="3413" spans="11:11">
      <c r="K3413" s="28" t="str">
        <f t="shared" si="54"/>
        <v>Quarter 1 1900</v>
      </c>
    </row>
    <row r="3414" spans="11:11">
      <c r="K3414" s="28" t="str">
        <f t="shared" si="54"/>
        <v>Quarter 1 1900</v>
      </c>
    </row>
    <row r="3415" spans="11:11">
      <c r="K3415" s="28" t="str">
        <f t="shared" si="54"/>
        <v>Quarter 1 1900</v>
      </c>
    </row>
    <row r="3416" spans="11:11">
      <c r="K3416" s="28" t="str">
        <f t="shared" si="54"/>
        <v>Quarter 1 1900</v>
      </c>
    </row>
    <row r="3417" spans="11:11">
      <c r="K3417" s="28" t="str">
        <f t="shared" si="54"/>
        <v>Quarter 1 1900</v>
      </c>
    </row>
    <row r="3418" spans="11:11">
      <c r="K3418" s="28" t="str">
        <f t="shared" si="54"/>
        <v>Quarter 1 1900</v>
      </c>
    </row>
    <row r="3419" spans="11:11">
      <c r="K3419" s="28" t="str">
        <f t="shared" si="54"/>
        <v>Quarter 1 1900</v>
      </c>
    </row>
    <row r="3420" spans="11:11">
      <c r="K3420" s="28" t="str">
        <f t="shared" si="54"/>
        <v>Quarter 1 1900</v>
      </c>
    </row>
    <row r="3421" spans="11:11">
      <c r="K3421" s="28" t="str">
        <f t="shared" si="54"/>
        <v>Quarter 1 1900</v>
      </c>
    </row>
    <row r="3422" spans="11:11">
      <c r="K3422" s="28" t="str">
        <f t="shared" si="54"/>
        <v>Quarter 1 1900</v>
      </c>
    </row>
    <row r="3423" spans="11:11">
      <c r="K3423" s="28" t="str">
        <f t="shared" si="54"/>
        <v>Quarter 1 1900</v>
      </c>
    </row>
    <row r="3424" spans="11:11">
      <c r="K3424" s="28" t="str">
        <f t="shared" si="54"/>
        <v>Quarter 1 1900</v>
      </c>
    </row>
    <row r="3425" spans="11:11">
      <c r="K3425" s="28" t="str">
        <f t="shared" si="54"/>
        <v>Quarter 1 1900</v>
      </c>
    </row>
    <row r="3426" spans="11:11">
      <c r="K3426" s="28" t="str">
        <f t="shared" si="54"/>
        <v>Quarter 1 1900</v>
      </c>
    </row>
    <row r="3427" spans="11:11">
      <c r="K3427" s="28" t="str">
        <f t="shared" si="54"/>
        <v>Quarter 1 1900</v>
      </c>
    </row>
    <row r="3428" spans="11:11">
      <c r="K3428" s="28" t="str">
        <f t="shared" si="54"/>
        <v>Quarter 1 1900</v>
      </c>
    </row>
    <row r="3429" spans="11:11">
      <c r="K3429" s="28" t="str">
        <f t="shared" si="54"/>
        <v>Quarter 1 1900</v>
      </c>
    </row>
    <row r="3430" spans="11:11">
      <c r="K3430" s="28" t="str">
        <f t="shared" si="54"/>
        <v>Quarter 1 1900</v>
      </c>
    </row>
    <row r="3431" spans="11:11">
      <c r="K3431" s="28" t="str">
        <f t="shared" si="54"/>
        <v>Quarter 1 1900</v>
      </c>
    </row>
    <row r="3432" spans="11:11">
      <c r="K3432" s="28" t="str">
        <f t="shared" si="54"/>
        <v>Quarter 1 1900</v>
      </c>
    </row>
    <row r="3433" spans="11:11">
      <c r="K3433" s="28" t="str">
        <f t="shared" si="54"/>
        <v>Quarter 1 1900</v>
      </c>
    </row>
    <row r="3434" spans="11:11">
      <c r="K3434" s="28" t="str">
        <f t="shared" si="54"/>
        <v>Quarter 1 1900</v>
      </c>
    </row>
    <row r="3435" spans="11:11">
      <c r="K3435" s="28" t="str">
        <f t="shared" si="54"/>
        <v>Quarter 1 1900</v>
      </c>
    </row>
    <row r="3436" spans="11:11">
      <c r="K3436" s="28" t="str">
        <f t="shared" si="54"/>
        <v>Quarter 1 1900</v>
      </c>
    </row>
    <row r="3437" spans="11:11">
      <c r="K3437" s="28" t="str">
        <f t="shared" si="54"/>
        <v>Quarter 1 1900</v>
      </c>
    </row>
    <row r="3438" spans="11:11">
      <c r="K3438" s="28" t="str">
        <f t="shared" si="54"/>
        <v>Quarter 1 1900</v>
      </c>
    </row>
    <row r="3439" spans="11:11">
      <c r="K3439" s="28" t="str">
        <f t="shared" si="54"/>
        <v>Quarter 1 1900</v>
      </c>
    </row>
    <row r="3440" spans="11:11">
      <c r="K3440" s="28" t="str">
        <f t="shared" si="54"/>
        <v>Quarter 1 1900</v>
      </c>
    </row>
    <row r="3441" spans="11:11">
      <c r="K3441" s="28" t="str">
        <f t="shared" si="54"/>
        <v>Quarter 1 1900</v>
      </c>
    </row>
    <row r="3442" spans="11:11">
      <c r="K3442" s="28" t="str">
        <f t="shared" si="54"/>
        <v>Quarter 1 1900</v>
      </c>
    </row>
    <row r="3443" spans="11:11">
      <c r="K3443" s="28" t="str">
        <f t="shared" si="54"/>
        <v>Quarter 1 1900</v>
      </c>
    </row>
    <row r="3444" spans="11:11">
      <c r="K3444" s="28" t="str">
        <f t="shared" si="54"/>
        <v>Quarter 1 1900</v>
      </c>
    </row>
    <row r="3445" spans="11:11">
      <c r="K3445" s="28" t="str">
        <f t="shared" si="54"/>
        <v>Quarter 1 1900</v>
      </c>
    </row>
    <row r="3446" spans="11:11">
      <c r="K3446" s="28" t="str">
        <f t="shared" si="54"/>
        <v>Quarter 1 1900</v>
      </c>
    </row>
    <row r="3447" spans="11:11">
      <c r="K3447" s="28" t="str">
        <f t="shared" si="54"/>
        <v>Quarter 1 1900</v>
      </c>
    </row>
    <row r="3448" spans="11:11">
      <c r="K3448" s="28" t="str">
        <f t="shared" si="54"/>
        <v>Quarter 1 1900</v>
      </c>
    </row>
    <row r="3449" spans="11:11">
      <c r="K3449" s="28" t="str">
        <f t="shared" si="54"/>
        <v>Quarter 1 1900</v>
      </c>
    </row>
    <row r="3450" spans="11:11">
      <c r="K3450" s="28" t="str">
        <f t="shared" si="54"/>
        <v>Quarter 1 1900</v>
      </c>
    </row>
    <row r="3451" spans="11:11">
      <c r="K3451" s="28" t="str">
        <f t="shared" si="54"/>
        <v>Quarter 1 1900</v>
      </c>
    </row>
    <row r="3452" spans="11:11">
      <c r="K3452" s="28" t="str">
        <f t="shared" si="54"/>
        <v>Quarter 1 1900</v>
      </c>
    </row>
    <row r="3453" spans="11:11">
      <c r="K3453" s="28" t="str">
        <f t="shared" si="54"/>
        <v>Quarter 1 1900</v>
      </c>
    </row>
    <row r="3454" spans="11:11">
      <c r="K3454" s="28" t="str">
        <f t="shared" si="54"/>
        <v>Quarter 1 1900</v>
      </c>
    </row>
    <row r="3455" spans="11:11">
      <c r="K3455" s="28" t="str">
        <f t="shared" si="54"/>
        <v>Quarter 1 1900</v>
      </c>
    </row>
    <row r="3456" spans="11:11">
      <c r="K3456" s="28" t="str">
        <f t="shared" si="54"/>
        <v>Quarter 1 1900</v>
      </c>
    </row>
    <row r="3457" spans="11:11">
      <c r="K3457" s="28" t="str">
        <f t="shared" si="54"/>
        <v>Quarter 1 1900</v>
      </c>
    </row>
    <row r="3458" spans="11:11">
      <c r="K3458" s="28" t="str">
        <f t="shared" si="54"/>
        <v>Quarter 1 1900</v>
      </c>
    </row>
    <row r="3459" spans="11:11">
      <c r="K3459" s="28" t="str">
        <f t="shared" si="54"/>
        <v>Quarter 1 1900</v>
      </c>
    </row>
    <row r="3460" spans="11:11">
      <c r="K3460" s="28" t="str">
        <f t="shared" si="54"/>
        <v>Quarter 1 1900</v>
      </c>
    </row>
    <row r="3461" spans="11:11">
      <c r="K3461" s="28" t="str">
        <f t="shared" si="54"/>
        <v>Quarter 1 1900</v>
      </c>
    </row>
    <row r="3462" spans="11:11">
      <c r="K3462" s="28" t="str">
        <f t="shared" si="54"/>
        <v>Quarter 1 1900</v>
      </c>
    </row>
    <row r="3463" spans="11:11">
      <c r="K3463" s="28" t="str">
        <f t="shared" si="54"/>
        <v>Quarter 1 1900</v>
      </c>
    </row>
    <row r="3464" spans="11:11">
      <c r="K3464" s="28" t="str">
        <f t="shared" si="54"/>
        <v>Quarter 1 1900</v>
      </c>
    </row>
    <row r="3465" spans="11:11">
      <c r="K3465" s="28" t="str">
        <f t="shared" si="54"/>
        <v>Quarter 1 1900</v>
      </c>
    </row>
    <row r="3466" spans="11:11">
      <c r="K3466" s="28" t="str">
        <f t="shared" si="54"/>
        <v>Quarter 1 1900</v>
      </c>
    </row>
    <row r="3467" spans="11:11">
      <c r="K3467" s="28" t="str">
        <f t="shared" si="54"/>
        <v>Quarter 1 1900</v>
      </c>
    </row>
    <row r="3468" spans="11:11">
      <c r="K3468" s="28" t="str">
        <f t="shared" si="54"/>
        <v>Quarter 1 1900</v>
      </c>
    </row>
    <row r="3469" spans="11:11">
      <c r="K3469" s="28" t="str">
        <f t="shared" si="54"/>
        <v>Quarter 1 1900</v>
      </c>
    </row>
    <row r="3470" spans="11:11">
      <c r="K3470" s="28" t="str">
        <f t="shared" si="54"/>
        <v>Quarter 1 1900</v>
      </c>
    </row>
    <row r="3471" spans="11:11">
      <c r="K3471" s="28" t="str">
        <f t="shared" si="54"/>
        <v>Quarter 1 1900</v>
      </c>
    </row>
    <row r="3472" spans="11:11">
      <c r="K3472" s="28" t="str">
        <f t="shared" si="54"/>
        <v>Quarter 1 1900</v>
      </c>
    </row>
    <row r="3473" spans="11:11">
      <c r="K3473" s="28" t="str">
        <f t="shared" si="54"/>
        <v>Quarter 1 1900</v>
      </c>
    </row>
    <row r="3474" spans="11:11">
      <c r="K3474" s="28" t="str">
        <f t="shared" ref="K3474:K3537" si="55">"Quarter "&amp;INT((MONTH(B3474)-1)/3)+1&amp;" "&amp;YEAR(B3474)</f>
        <v>Quarter 1 1900</v>
      </c>
    </row>
    <row r="3475" spans="11:11">
      <c r="K3475" s="28" t="str">
        <f t="shared" si="55"/>
        <v>Quarter 1 1900</v>
      </c>
    </row>
    <row r="3476" spans="11:11">
      <c r="K3476" s="28" t="str">
        <f t="shared" si="55"/>
        <v>Quarter 1 1900</v>
      </c>
    </row>
    <row r="3477" spans="11:11">
      <c r="K3477" s="28" t="str">
        <f t="shared" si="55"/>
        <v>Quarter 1 1900</v>
      </c>
    </row>
    <row r="3478" spans="11:11">
      <c r="K3478" s="28" t="str">
        <f t="shared" si="55"/>
        <v>Quarter 1 1900</v>
      </c>
    </row>
    <row r="3479" spans="11:11">
      <c r="K3479" s="28" t="str">
        <f t="shared" si="55"/>
        <v>Quarter 1 1900</v>
      </c>
    </row>
    <row r="3480" spans="11:11">
      <c r="K3480" s="28" t="str">
        <f t="shared" si="55"/>
        <v>Quarter 1 1900</v>
      </c>
    </row>
    <row r="3481" spans="11:11">
      <c r="K3481" s="28" t="str">
        <f t="shared" si="55"/>
        <v>Quarter 1 1900</v>
      </c>
    </row>
    <row r="3482" spans="11:11">
      <c r="K3482" s="28" t="str">
        <f t="shared" si="55"/>
        <v>Quarter 1 1900</v>
      </c>
    </row>
    <row r="3483" spans="11:11">
      <c r="K3483" s="28" t="str">
        <f t="shared" si="55"/>
        <v>Quarter 1 1900</v>
      </c>
    </row>
    <row r="3484" spans="11:11">
      <c r="K3484" s="28" t="str">
        <f t="shared" si="55"/>
        <v>Quarter 1 1900</v>
      </c>
    </row>
    <row r="3485" spans="11:11">
      <c r="K3485" s="28" t="str">
        <f t="shared" si="55"/>
        <v>Quarter 1 1900</v>
      </c>
    </row>
    <row r="3486" spans="11:11">
      <c r="K3486" s="28" t="str">
        <f t="shared" si="55"/>
        <v>Quarter 1 1900</v>
      </c>
    </row>
    <row r="3487" spans="11:11">
      <c r="K3487" s="28" t="str">
        <f t="shared" si="55"/>
        <v>Quarter 1 1900</v>
      </c>
    </row>
    <row r="3488" spans="11:11">
      <c r="K3488" s="28" t="str">
        <f t="shared" si="55"/>
        <v>Quarter 1 1900</v>
      </c>
    </row>
    <row r="3489" spans="11:11">
      <c r="K3489" s="28" t="str">
        <f t="shared" si="55"/>
        <v>Quarter 1 1900</v>
      </c>
    </row>
    <row r="3490" spans="11:11">
      <c r="K3490" s="28" t="str">
        <f t="shared" si="55"/>
        <v>Quarter 1 1900</v>
      </c>
    </row>
    <row r="3491" spans="11:11">
      <c r="K3491" s="28" t="str">
        <f t="shared" si="55"/>
        <v>Quarter 1 1900</v>
      </c>
    </row>
    <row r="3492" spans="11:11">
      <c r="K3492" s="28" t="str">
        <f t="shared" si="55"/>
        <v>Quarter 1 1900</v>
      </c>
    </row>
    <row r="3493" spans="11:11">
      <c r="K3493" s="28" t="str">
        <f t="shared" si="55"/>
        <v>Quarter 1 1900</v>
      </c>
    </row>
    <row r="3494" spans="11:11">
      <c r="K3494" s="28" t="str">
        <f t="shared" si="55"/>
        <v>Quarter 1 1900</v>
      </c>
    </row>
    <row r="3495" spans="11:11">
      <c r="K3495" s="28" t="str">
        <f t="shared" si="55"/>
        <v>Quarter 1 1900</v>
      </c>
    </row>
    <row r="3496" spans="11:11">
      <c r="K3496" s="28" t="str">
        <f t="shared" si="55"/>
        <v>Quarter 1 1900</v>
      </c>
    </row>
    <row r="3497" spans="11:11">
      <c r="K3497" s="28" t="str">
        <f t="shared" si="55"/>
        <v>Quarter 1 1900</v>
      </c>
    </row>
    <row r="3498" spans="11:11">
      <c r="K3498" s="28" t="str">
        <f t="shared" si="55"/>
        <v>Quarter 1 1900</v>
      </c>
    </row>
    <row r="3499" spans="11:11">
      <c r="K3499" s="28" t="str">
        <f t="shared" si="55"/>
        <v>Quarter 1 1900</v>
      </c>
    </row>
    <row r="3500" spans="11:11">
      <c r="K3500" s="28" t="str">
        <f t="shared" si="55"/>
        <v>Quarter 1 1900</v>
      </c>
    </row>
    <row r="3501" spans="11:11">
      <c r="K3501" s="28" t="str">
        <f t="shared" si="55"/>
        <v>Quarter 1 1900</v>
      </c>
    </row>
    <row r="3502" spans="11:11">
      <c r="K3502" s="28" t="str">
        <f t="shared" si="55"/>
        <v>Quarter 1 1900</v>
      </c>
    </row>
    <row r="3503" spans="11:11">
      <c r="K3503" s="28" t="str">
        <f t="shared" si="55"/>
        <v>Quarter 1 1900</v>
      </c>
    </row>
    <row r="3504" spans="11:11">
      <c r="K3504" s="28" t="str">
        <f t="shared" si="55"/>
        <v>Quarter 1 1900</v>
      </c>
    </row>
    <row r="3505" spans="11:11">
      <c r="K3505" s="28" t="str">
        <f t="shared" si="55"/>
        <v>Quarter 1 1900</v>
      </c>
    </row>
    <row r="3506" spans="11:11">
      <c r="K3506" s="28" t="str">
        <f t="shared" si="55"/>
        <v>Quarter 1 1900</v>
      </c>
    </row>
    <row r="3507" spans="11:11">
      <c r="K3507" s="28" t="str">
        <f t="shared" si="55"/>
        <v>Quarter 1 1900</v>
      </c>
    </row>
    <row r="3508" spans="11:11">
      <c r="K3508" s="28" t="str">
        <f t="shared" si="55"/>
        <v>Quarter 1 1900</v>
      </c>
    </row>
    <row r="3509" spans="11:11">
      <c r="K3509" s="28" t="str">
        <f t="shared" si="55"/>
        <v>Quarter 1 1900</v>
      </c>
    </row>
    <row r="3510" spans="11:11">
      <c r="K3510" s="28" t="str">
        <f t="shared" si="55"/>
        <v>Quarter 1 1900</v>
      </c>
    </row>
    <row r="3511" spans="11:11">
      <c r="K3511" s="28" t="str">
        <f t="shared" si="55"/>
        <v>Quarter 1 1900</v>
      </c>
    </row>
    <row r="3512" spans="11:11">
      <c r="K3512" s="28" t="str">
        <f t="shared" si="55"/>
        <v>Quarter 1 1900</v>
      </c>
    </row>
    <row r="3513" spans="11:11">
      <c r="K3513" s="28" t="str">
        <f t="shared" si="55"/>
        <v>Quarter 1 1900</v>
      </c>
    </row>
    <row r="3514" spans="11:11">
      <c r="K3514" s="28" t="str">
        <f t="shared" si="55"/>
        <v>Quarter 1 1900</v>
      </c>
    </row>
    <row r="3515" spans="11:11">
      <c r="K3515" s="28" t="str">
        <f t="shared" si="55"/>
        <v>Quarter 1 1900</v>
      </c>
    </row>
    <row r="3516" spans="11:11">
      <c r="K3516" s="28" t="str">
        <f t="shared" si="55"/>
        <v>Quarter 1 1900</v>
      </c>
    </row>
    <row r="3517" spans="11:11">
      <c r="K3517" s="28" t="str">
        <f t="shared" si="55"/>
        <v>Quarter 1 1900</v>
      </c>
    </row>
    <row r="3518" spans="11:11">
      <c r="K3518" s="28" t="str">
        <f t="shared" si="55"/>
        <v>Quarter 1 1900</v>
      </c>
    </row>
    <row r="3519" spans="11:11">
      <c r="K3519" s="28" t="str">
        <f t="shared" si="55"/>
        <v>Quarter 1 1900</v>
      </c>
    </row>
    <row r="3520" spans="11:11">
      <c r="K3520" s="28" t="str">
        <f t="shared" si="55"/>
        <v>Quarter 1 1900</v>
      </c>
    </row>
    <row r="3521" spans="11:11">
      <c r="K3521" s="28" t="str">
        <f t="shared" si="55"/>
        <v>Quarter 1 1900</v>
      </c>
    </row>
    <row r="3522" spans="11:11">
      <c r="K3522" s="28" t="str">
        <f t="shared" si="55"/>
        <v>Quarter 1 1900</v>
      </c>
    </row>
    <row r="3523" spans="11:11">
      <c r="K3523" s="28" t="str">
        <f t="shared" si="55"/>
        <v>Quarter 1 1900</v>
      </c>
    </row>
    <row r="3524" spans="11:11">
      <c r="K3524" s="28" t="str">
        <f t="shared" si="55"/>
        <v>Quarter 1 1900</v>
      </c>
    </row>
    <row r="3525" spans="11:11">
      <c r="K3525" s="28" t="str">
        <f t="shared" si="55"/>
        <v>Quarter 1 1900</v>
      </c>
    </row>
    <row r="3526" spans="11:11">
      <c r="K3526" s="28" t="str">
        <f t="shared" si="55"/>
        <v>Quarter 1 1900</v>
      </c>
    </row>
    <row r="3527" spans="11:11">
      <c r="K3527" s="28" t="str">
        <f t="shared" si="55"/>
        <v>Quarter 1 1900</v>
      </c>
    </row>
    <row r="3528" spans="11:11">
      <c r="K3528" s="28" t="str">
        <f t="shared" si="55"/>
        <v>Quarter 1 1900</v>
      </c>
    </row>
    <row r="3529" spans="11:11">
      <c r="K3529" s="28" t="str">
        <f t="shared" si="55"/>
        <v>Quarter 1 1900</v>
      </c>
    </row>
    <row r="3530" spans="11:11">
      <c r="K3530" s="28" t="str">
        <f t="shared" si="55"/>
        <v>Quarter 1 1900</v>
      </c>
    </row>
    <row r="3531" spans="11:11">
      <c r="K3531" s="28" t="str">
        <f t="shared" si="55"/>
        <v>Quarter 1 1900</v>
      </c>
    </row>
    <row r="3532" spans="11:11">
      <c r="K3532" s="28" t="str">
        <f t="shared" si="55"/>
        <v>Quarter 1 1900</v>
      </c>
    </row>
    <row r="3533" spans="11:11">
      <c r="K3533" s="28" t="str">
        <f t="shared" si="55"/>
        <v>Quarter 1 1900</v>
      </c>
    </row>
    <row r="3534" spans="11:11">
      <c r="K3534" s="28" t="str">
        <f t="shared" si="55"/>
        <v>Quarter 1 1900</v>
      </c>
    </row>
    <row r="3535" spans="11:11">
      <c r="K3535" s="28" t="str">
        <f t="shared" si="55"/>
        <v>Quarter 1 1900</v>
      </c>
    </row>
    <row r="3536" spans="11:11">
      <c r="K3536" s="28" t="str">
        <f t="shared" si="55"/>
        <v>Quarter 1 1900</v>
      </c>
    </row>
    <row r="3537" spans="11:11">
      <c r="K3537" s="28" t="str">
        <f t="shared" si="55"/>
        <v>Quarter 1 1900</v>
      </c>
    </row>
    <row r="3538" spans="11:11">
      <c r="K3538" s="28" t="str">
        <f t="shared" ref="K3538:K3601" si="56">"Quarter "&amp;INT((MONTH(B3538)-1)/3)+1&amp;" "&amp;YEAR(B3538)</f>
        <v>Quarter 1 1900</v>
      </c>
    </row>
    <row r="3539" spans="11:11">
      <c r="K3539" s="28" t="str">
        <f t="shared" si="56"/>
        <v>Quarter 1 1900</v>
      </c>
    </row>
    <row r="3540" spans="11:11">
      <c r="K3540" s="28" t="str">
        <f t="shared" si="56"/>
        <v>Quarter 1 1900</v>
      </c>
    </row>
    <row r="3541" spans="11:11">
      <c r="K3541" s="28" t="str">
        <f t="shared" si="56"/>
        <v>Quarter 1 1900</v>
      </c>
    </row>
    <row r="3542" spans="11:11">
      <c r="K3542" s="28" t="str">
        <f t="shared" si="56"/>
        <v>Quarter 1 1900</v>
      </c>
    </row>
    <row r="3543" spans="11:11">
      <c r="K3543" s="28" t="str">
        <f t="shared" si="56"/>
        <v>Quarter 1 1900</v>
      </c>
    </row>
    <row r="3544" spans="11:11">
      <c r="K3544" s="28" t="str">
        <f t="shared" si="56"/>
        <v>Quarter 1 1900</v>
      </c>
    </row>
    <row r="3545" spans="11:11">
      <c r="K3545" s="28" t="str">
        <f t="shared" si="56"/>
        <v>Quarter 1 1900</v>
      </c>
    </row>
    <row r="3546" spans="11:11">
      <c r="K3546" s="28" t="str">
        <f t="shared" si="56"/>
        <v>Quarter 1 1900</v>
      </c>
    </row>
    <row r="3547" spans="11:11">
      <c r="K3547" s="28" t="str">
        <f t="shared" si="56"/>
        <v>Quarter 1 1900</v>
      </c>
    </row>
    <row r="3548" spans="11:11">
      <c r="K3548" s="28" t="str">
        <f t="shared" si="56"/>
        <v>Quarter 1 1900</v>
      </c>
    </row>
    <row r="3549" spans="11:11">
      <c r="K3549" s="28" t="str">
        <f t="shared" si="56"/>
        <v>Quarter 1 1900</v>
      </c>
    </row>
    <row r="3550" spans="11:11">
      <c r="K3550" s="28" t="str">
        <f t="shared" si="56"/>
        <v>Quarter 1 1900</v>
      </c>
    </row>
    <row r="3551" spans="11:11">
      <c r="K3551" s="28" t="str">
        <f t="shared" si="56"/>
        <v>Quarter 1 1900</v>
      </c>
    </row>
    <row r="3552" spans="11:11">
      <c r="K3552" s="28" t="str">
        <f t="shared" si="56"/>
        <v>Quarter 1 1900</v>
      </c>
    </row>
    <row r="3553" spans="11:11">
      <c r="K3553" s="28" t="str">
        <f t="shared" si="56"/>
        <v>Quarter 1 1900</v>
      </c>
    </row>
    <row r="3554" spans="11:11">
      <c r="K3554" s="28" t="str">
        <f t="shared" si="56"/>
        <v>Quarter 1 1900</v>
      </c>
    </row>
    <row r="3555" spans="11:11">
      <c r="K3555" s="28" t="str">
        <f t="shared" si="56"/>
        <v>Quarter 1 1900</v>
      </c>
    </row>
    <row r="3556" spans="11:11">
      <c r="K3556" s="28" t="str">
        <f t="shared" si="56"/>
        <v>Quarter 1 1900</v>
      </c>
    </row>
    <row r="3557" spans="11:11">
      <c r="K3557" s="28" t="str">
        <f t="shared" si="56"/>
        <v>Quarter 1 1900</v>
      </c>
    </row>
    <row r="3558" spans="11:11">
      <c r="K3558" s="28" t="str">
        <f t="shared" si="56"/>
        <v>Quarter 1 1900</v>
      </c>
    </row>
    <row r="3559" spans="11:11">
      <c r="K3559" s="28" t="str">
        <f t="shared" si="56"/>
        <v>Quarter 1 1900</v>
      </c>
    </row>
    <row r="3560" spans="11:11">
      <c r="K3560" s="28" t="str">
        <f t="shared" si="56"/>
        <v>Quarter 1 1900</v>
      </c>
    </row>
    <row r="3561" spans="11:11">
      <c r="K3561" s="28" t="str">
        <f t="shared" si="56"/>
        <v>Quarter 1 1900</v>
      </c>
    </row>
    <row r="3562" spans="11:11">
      <c r="K3562" s="28" t="str">
        <f t="shared" si="56"/>
        <v>Quarter 1 1900</v>
      </c>
    </row>
    <row r="3563" spans="11:11">
      <c r="K3563" s="28" t="str">
        <f t="shared" si="56"/>
        <v>Quarter 1 1900</v>
      </c>
    </row>
    <row r="3564" spans="11:11">
      <c r="K3564" s="28" t="str">
        <f t="shared" si="56"/>
        <v>Quarter 1 1900</v>
      </c>
    </row>
    <row r="3565" spans="11:11">
      <c r="K3565" s="28" t="str">
        <f t="shared" si="56"/>
        <v>Quarter 1 1900</v>
      </c>
    </row>
    <row r="3566" spans="11:11">
      <c r="K3566" s="28" t="str">
        <f t="shared" si="56"/>
        <v>Quarter 1 1900</v>
      </c>
    </row>
    <row r="3567" spans="11:11">
      <c r="K3567" s="28" t="str">
        <f t="shared" si="56"/>
        <v>Quarter 1 1900</v>
      </c>
    </row>
    <row r="3568" spans="11:11">
      <c r="K3568" s="28" t="str">
        <f t="shared" si="56"/>
        <v>Quarter 1 1900</v>
      </c>
    </row>
    <row r="3569" spans="11:11">
      <c r="K3569" s="28" t="str">
        <f t="shared" si="56"/>
        <v>Quarter 1 1900</v>
      </c>
    </row>
    <row r="3570" spans="11:11">
      <c r="K3570" s="28" t="str">
        <f t="shared" si="56"/>
        <v>Quarter 1 1900</v>
      </c>
    </row>
    <row r="3571" spans="11:11">
      <c r="K3571" s="28" t="str">
        <f t="shared" si="56"/>
        <v>Quarter 1 1900</v>
      </c>
    </row>
    <row r="3572" spans="11:11">
      <c r="K3572" s="28" t="str">
        <f t="shared" si="56"/>
        <v>Quarter 1 1900</v>
      </c>
    </row>
    <row r="3573" spans="11:11">
      <c r="K3573" s="28" t="str">
        <f t="shared" si="56"/>
        <v>Quarter 1 1900</v>
      </c>
    </row>
    <row r="3574" spans="11:11">
      <c r="K3574" s="28" t="str">
        <f t="shared" si="56"/>
        <v>Quarter 1 1900</v>
      </c>
    </row>
    <row r="3575" spans="11:11">
      <c r="K3575" s="28" t="str">
        <f t="shared" si="56"/>
        <v>Quarter 1 1900</v>
      </c>
    </row>
    <row r="3576" spans="11:11">
      <c r="K3576" s="28" t="str">
        <f t="shared" si="56"/>
        <v>Quarter 1 1900</v>
      </c>
    </row>
    <row r="3577" spans="11:11">
      <c r="K3577" s="28" t="str">
        <f t="shared" si="56"/>
        <v>Quarter 1 1900</v>
      </c>
    </row>
    <row r="3578" spans="11:11">
      <c r="K3578" s="28" t="str">
        <f t="shared" si="56"/>
        <v>Quarter 1 1900</v>
      </c>
    </row>
    <row r="3579" spans="11:11">
      <c r="K3579" s="28" t="str">
        <f t="shared" si="56"/>
        <v>Quarter 1 1900</v>
      </c>
    </row>
    <row r="3580" spans="11:11">
      <c r="K3580" s="28" t="str">
        <f t="shared" si="56"/>
        <v>Quarter 1 1900</v>
      </c>
    </row>
    <row r="3581" spans="11:11">
      <c r="K3581" s="28" t="str">
        <f t="shared" si="56"/>
        <v>Quarter 1 1900</v>
      </c>
    </row>
    <row r="3582" spans="11:11">
      <c r="K3582" s="28" t="str">
        <f t="shared" si="56"/>
        <v>Quarter 1 1900</v>
      </c>
    </row>
    <row r="3583" spans="11:11">
      <c r="K3583" s="28" t="str">
        <f t="shared" si="56"/>
        <v>Quarter 1 1900</v>
      </c>
    </row>
    <row r="3584" spans="11:11">
      <c r="K3584" s="28" t="str">
        <f t="shared" si="56"/>
        <v>Quarter 1 1900</v>
      </c>
    </row>
    <row r="3585" spans="11:11">
      <c r="K3585" s="28" t="str">
        <f t="shared" si="56"/>
        <v>Quarter 1 1900</v>
      </c>
    </row>
    <row r="3586" spans="11:11">
      <c r="K3586" s="28" t="str">
        <f t="shared" si="56"/>
        <v>Quarter 1 1900</v>
      </c>
    </row>
    <row r="3587" spans="11:11">
      <c r="K3587" s="28" t="str">
        <f t="shared" si="56"/>
        <v>Quarter 1 1900</v>
      </c>
    </row>
    <row r="3588" spans="11:11">
      <c r="K3588" s="28" t="str">
        <f t="shared" si="56"/>
        <v>Quarter 1 1900</v>
      </c>
    </row>
    <row r="3589" spans="11:11">
      <c r="K3589" s="28" t="str">
        <f t="shared" si="56"/>
        <v>Quarter 1 1900</v>
      </c>
    </row>
    <row r="3590" spans="11:11">
      <c r="K3590" s="28" t="str">
        <f t="shared" si="56"/>
        <v>Quarter 1 1900</v>
      </c>
    </row>
    <row r="3591" spans="11:11">
      <c r="K3591" s="28" t="str">
        <f t="shared" si="56"/>
        <v>Quarter 1 1900</v>
      </c>
    </row>
    <row r="3592" spans="11:11">
      <c r="K3592" s="28" t="str">
        <f t="shared" si="56"/>
        <v>Quarter 1 1900</v>
      </c>
    </row>
    <row r="3593" spans="11:11">
      <c r="K3593" s="28" t="str">
        <f t="shared" si="56"/>
        <v>Quarter 1 1900</v>
      </c>
    </row>
    <row r="3594" spans="11:11">
      <c r="K3594" s="28" t="str">
        <f t="shared" si="56"/>
        <v>Quarter 1 1900</v>
      </c>
    </row>
    <row r="3595" spans="11:11">
      <c r="K3595" s="28" t="str">
        <f t="shared" si="56"/>
        <v>Quarter 1 1900</v>
      </c>
    </row>
    <row r="3596" spans="11:11">
      <c r="K3596" s="28" t="str">
        <f t="shared" si="56"/>
        <v>Quarter 1 1900</v>
      </c>
    </row>
    <row r="3597" spans="11:11">
      <c r="K3597" s="28" t="str">
        <f t="shared" si="56"/>
        <v>Quarter 1 1900</v>
      </c>
    </row>
    <row r="3598" spans="11:11">
      <c r="K3598" s="28" t="str">
        <f t="shared" si="56"/>
        <v>Quarter 1 1900</v>
      </c>
    </row>
    <row r="3599" spans="11:11">
      <c r="K3599" s="28" t="str">
        <f t="shared" si="56"/>
        <v>Quarter 1 1900</v>
      </c>
    </row>
    <row r="3600" spans="11:11">
      <c r="K3600" s="28" t="str">
        <f t="shared" si="56"/>
        <v>Quarter 1 1900</v>
      </c>
    </row>
    <row r="3601" spans="11:11">
      <c r="K3601" s="28" t="str">
        <f t="shared" si="56"/>
        <v>Quarter 1 1900</v>
      </c>
    </row>
    <row r="3602" spans="11:11">
      <c r="K3602" s="28" t="str">
        <f t="shared" ref="K3602:K3665" si="57">"Quarter "&amp;INT((MONTH(B3602)-1)/3)+1&amp;" "&amp;YEAR(B3602)</f>
        <v>Quarter 1 1900</v>
      </c>
    </row>
    <row r="3603" spans="11:11">
      <c r="K3603" s="28" t="str">
        <f t="shared" si="57"/>
        <v>Quarter 1 1900</v>
      </c>
    </row>
    <row r="3604" spans="11:11">
      <c r="K3604" s="28" t="str">
        <f t="shared" si="57"/>
        <v>Quarter 1 1900</v>
      </c>
    </row>
    <row r="3605" spans="11:11">
      <c r="K3605" s="28" t="str">
        <f t="shared" si="57"/>
        <v>Quarter 1 1900</v>
      </c>
    </row>
    <row r="3606" spans="11:11">
      <c r="K3606" s="28" t="str">
        <f t="shared" si="57"/>
        <v>Quarter 1 1900</v>
      </c>
    </row>
    <row r="3607" spans="11:11">
      <c r="K3607" s="28" t="str">
        <f t="shared" si="57"/>
        <v>Quarter 1 1900</v>
      </c>
    </row>
    <row r="3608" spans="11:11">
      <c r="K3608" s="28" t="str">
        <f t="shared" si="57"/>
        <v>Quarter 1 1900</v>
      </c>
    </row>
    <row r="3609" spans="11:11">
      <c r="K3609" s="28" t="str">
        <f t="shared" si="57"/>
        <v>Quarter 1 1900</v>
      </c>
    </row>
    <row r="3610" spans="11:11">
      <c r="K3610" s="28" t="str">
        <f t="shared" si="57"/>
        <v>Quarter 1 1900</v>
      </c>
    </row>
    <row r="3611" spans="11:11">
      <c r="K3611" s="28" t="str">
        <f t="shared" si="57"/>
        <v>Quarter 1 1900</v>
      </c>
    </row>
    <row r="3612" spans="11:11">
      <c r="K3612" s="28" t="str">
        <f t="shared" si="57"/>
        <v>Quarter 1 1900</v>
      </c>
    </row>
    <row r="3613" spans="11:11">
      <c r="K3613" s="28" t="str">
        <f t="shared" si="57"/>
        <v>Quarter 1 1900</v>
      </c>
    </row>
    <row r="3614" spans="11:11">
      <c r="K3614" s="28" t="str">
        <f t="shared" si="57"/>
        <v>Quarter 1 1900</v>
      </c>
    </row>
    <row r="3615" spans="11:11">
      <c r="K3615" s="28" t="str">
        <f t="shared" si="57"/>
        <v>Quarter 1 1900</v>
      </c>
    </row>
    <row r="3616" spans="11:11">
      <c r="K3616" s="28" t="str">
        <f t="shared" si="57"/>
        <v>Quarter 1 1900</v>
      </c>
    </row>
    <row r="3617" spans="11:11">
      <c r="K3617" s="28" t="str">
        <f t="shared" si="57"/>
        <v>Quarter 1 1900</v>
      </c>
    </row>
    <row r="3618" spans="11:11">
      <c r="K3618" s="28" t="str">
        <f t="shared" si="57"/>
        <v>Quarter 1 1900</v>
      </c>
    </row>
    <row r="3619" spans="11:11">
      <c r="K3619" s="28" t="str">
        <f t="shared" si="57"/>
        <v>Quarter 1 1900</v>
      </c>
    </row>
    <row r="3620" spans="11:11">
      <c r="K3620" s="28" t="str">
        <f t="shared" si="57"/>
        <v>Quarter 1 1900</v>
      </c>
    </row>
    <row r="3621" spans="11:11">
      <c r="K3621" s="28" t="str">
        <f t="shared" si="57"/>
        <v>Quarter 1 1900</v>
      </c>
    </row>
    <row r="3622" spans="11:11">
      <c r="K3622" s="28" t="str">
        <f t="shared" si="57"/>
        <v>Quarter 1 1900</v>
      </c>
    </row>
    <row r="3623" spans="11:11">
      <c r="K3623" s="28" t="str">
        <f t="shared" si="57"/>
        <v>Quarter 1 1900</v>
      </c>
    </row>
    <row r="3624" spans="11:11">
      <c r="K3624" s="28" t="str">
        <f t="shared" si="57"/>
        <v>Quarter 1 1900</v>
      </c>
    </row>
    <row r="3625" spans="11:11">
      <c r="K3625" s="28" t="str">
        <f t="shared" si="57"/>
        <v>Quarter 1 1900</v>
      </c>
    </row>
    <row r="3626" spans="11:11">
      <c r="K3626" s="28" t="str">
        <f t="shared" si="57"/>
        <v>Quarter 1 1900</v>
      </c>
    </row>
    <row r="3627" spans="11:11">
      <c r="K3627" s="28" t="str">
        <f t="shared" si="57"/>
        <v>Quarter 1 1900</v>
      </c>
    </row>
    <row r="3628" spans="11:11">
      <c r="K3628" s="28" t="str">
        <f t="shared" si="57"/>
        <v>Quarter 1 1900</v>
      </c>
    </row>
    <row r="3629" spans="11:11">
      <c r="K3629" s="28" t="str">
        <f t="shared" si="57"/>
        <v>Quarter 1 1900</v>
      </c>
    </row>
    <row r="3630" spans="11:11">
      <c r="K3630" s="28" t="str">
        <f t="shared" si="57"/>
        <v>Quarter 1 1900</v>
      </c>
    </row>
    <row r="3631" spans="11:11">
      <c r="K3631" s="28" t="str">
        <f t="shared" si="57"/>
        <v>Quarter 1 1900</v>
      </c>
    </row>
    <row r="3632" spans="11:11">
      <c r="K3632" s="28" t="str">
        <f t="shared" si="57"/>
        <v>Quarter 1 1900</v>
      </c>
    </row>
    <row r="3633" spans="11:11">
      <c r="K3633" s="28" t="str">
        <f t="shared" si="57"/>
        <v>Quarter 1 1900</v>
      </c>
    </row>
    <row r="3634" spans="11:11">
      <c r="K3634" s="28" t="str">
        <f t="shared" si="57"/>
        <v>Quarter 1 1900</v>
      </c>
    </row>
    <row r="3635" spans="11:11">
      <c r="K3635" s="28" t="str">
        <f t="shared" si="57"/>
        <v>Quarter 1 1900</v>
      </c>
    </row>
    <row r="3636" spans="11:11">
      <c r="K3636" s="28" t="str">
        <f t="shared" si="57"/>
        <v>Quarter 1 1900</v>
      </c>
    </row>
    <row r="3637" spans="11:11">
      <c r="K3637" s="28" t="str">
        <f t="shared" si="57"/>
        <v>Quarter 1 1900</v>
      </c>
    </row>
    <row r="3638" spans="11:11">
      <c r="K3638" s="28" t="str">
        <f t="shared" si="57"/>
        <v>Quarter 1 1900</v>
      </c>
    </row>
    <row r="3639" spans="11:11">
      <c r="K3639" s="28" t="str">
        <f t="shared" si="57"/>
        <v>Quarter 1 1900</v>
      </c>
    </row>
    <row r="3640" spans="11:11">
      <c r="K3640" s="28" t="str">
        <f t="shared" si="57"/>
        <v>Quarter 1 1900</v>
      </c>
    </row>
    <row r="3641" spans="11:11">
      <c r="K3641" s="28" t="str">
        <f t="shared" si="57"/>
        <v>Quarter 1 1900</v>
      </c>
    </row>
    <row r="3642" spans="11:11">
      <c r="K3642" s="28" t="str">
        <f t="shared" si="57"/>
        <v>Quarter 1 1900</v>
      </c>
    </row>
    <row r="3643" spans="11:11">
      <c r="K3643" s="28" t="str">
        <f t="shared" si="57"/>
        <v>Quarter 1 1900</v>
      </c>
    </row>
    <row r="3644" spans="11:11">
      <c r="K3644" s="28" t="str">
        <f t="shared" si="57"/>
        <v>Quarter 1 1900</v>
      </c>
    </row>
    <row r="3645" spans="11:11">
      <c r="K3645" s="28" t="str">
        <f t="shared" si="57"/>
        <v>Quarter 1 1900</v>
      </c>
    </row>
    <row r="3646" spans="11:11">
      <c r="K3646" s="28" t="str">
        <f t="shared" si="57"/>
        <v>Quarter 1 1900</v>
      </c>
    </row>
    <row r="3647" spans="11:11">
      <c r="K3647" s="28" t="str">
        <f t="shared" si="57"/>
        <v>Quarter 1 1900</v>
      </c>
    </row>
    <row r="3648" spans="11:11">
      <c r="K3648" s="28" t="str">
        <f t="shared" si="57"/>
        <v>Quarter 1 1900</v>
      </c>
    </row>
    <row r="3649" spans="11:11">
      <c r="K3649" s="28" t="str">
        <f t="shared" si="57"/>
        <v>Quarter 1 1900</v>
      </c>
    </row>
    <row r="3650" spans="11:11">
      <c r="K3650" s="28" t="str">
        <f t="shared" si="57"/>
        <v>Quarter 1 1900</v>
      </c>
    </row>
    <row r="3651" spans="11:11">
      <c r="K3651" s="28" t="str">
        <f t="shared" si="57"/>
        <v>Quarter 1 1900</v>
      </c>
    </row>
    <row r="3652" spans="11:11">
      <c r="K3652" s="28" t="str">
        <f t="shared" si="57"/>
        <v>Quarter 1 1900</v>
      </c>
    </row>
    <row r="3653" spans="11:11">
      <c r="K3653" s="28" t="str">
        <f t="shared" si="57"/>
        <v>Quarter 1 1900</v>
      </c>
    </row>
    <row r="3654" spans="11:11">
      <c r="K3654" s="28" t="str">
        <f t="shared" si="57"/>
        <v>Quarter 1 1900</v>
      </c>
    </row>
    <row r="3655" spans="11:11">
      <c r="K3655" s="28" t="str">
        <f t="shared" si="57"/>
        <v>Quarter 1 1900</v>
      </c>
    </row>
    <row r="3656" spans="11:11">
      <c r="K3656" s="28" t="str">
        <f t="shared" si="57"/>
        <v>Quarter 1 1900</v>
      </c>
    </row>
    <row r="3657" spans="11:11">
      <c r="K3657" s="28" t="str">
        <f t="shared" si="57"/>
        <v>Quarter 1 1900</v>
      </c>
    </row>
    <row r="3658" spans="11:11">
      <c r="K3658" s="28" t="str">
        <f t="shared" si="57"/>
        <v>Quarter 1 1900</v>
      </c>
    </row>
    <row r="3659" spans="11:11">
      <c r="K3659" s="28" t="str">
        <f t="shared" si="57"/>
        <v>Quarter 1 1900</v>
      </c>
    </row>
    <row r="3660" spans="11:11">
      <c r="K3660" s="28" t="str">
        <f t="shared" si="57"/>
        <v>Quarter 1 1900</v>
      </c>
    </row>
    <row r="3661" spans="11:11">
      <c r="K3661" s="28" t="str">
        <f t="shared" si="57"/>
        <v>Quarter 1 1900</v>
      </c>
    </row>
    <row r="3662" spans="11:11">
      <c r="K3662" s="28" t="str">
        <f t="shared" si="57"/>
        <v>Quarter 1 1900</v>
      </c>
    </row>
    <row r="3663" spans="11:11">
      <c r="K3663" s="28" t="str">
        <f t="shared" si="57"/>
        <v>Quarter 1 1900</v>
      </c>
    </row>
    <row r="3664" spans="11:11">
      <c r="K3664" s="28" t="str">
        <f t="shared" si="57"/>
        <v>Quarter 1 1900</v>
      </c>
    </row>
    <row r="3665" spans="11:11">
      <c r="K3665" s="28" t="str">
        <f t="shared" si="57"/>
        <v>Quarter 1 1900</v>
      </c>
    </row>
    <row r="3666" spans="11:11">
      <c r="K3666" s="28" t="str">
        <f t="shared" ref="K3666:K3729" si="58">"Quarter "&amp;INT((MONTH(B3666)-1)/3)+1&amp;" "&amp;YEAR(B3666)</f>
        <v>Quarter 1 1900</v>
      </c>
    </row>
    <row r="3667" spans="11:11">
      <c r="K3667" s="28" t="str">
        <f t="shared" si="58"/>
        <v>Quarter 1 1900</v>
      </c>
    </row>
    <row r="3668" spans="11:11">
      <c r="K3668" s="28" t="str">
        <f t="shared" si="58"/>
        <v>Quarter 1 1900</v>
      </c>
    </row>
    <row r="3669" spans="11:11">
      <c r="K3669" s="28" t="str">
        <f t="shared" si="58"/>
        <v>Quarter 1 1900</v>
      </c>
    </row>
    <row r="3670" spans="11:11">
      <c r="K3670" s="28" t="str">
        <f t="shared" si="58"/>
        <v>Quarter 1 1900</v>
      </c>
    </row>
    <row r="3671" spans="11:11">
      <c r="K3671" s="28" t="str">
        <f t="shared" si="58"/>
        <v>Quarter 1 1900</v>
      </c>
    </row>
    <row r="3672" spans="11:11">
      <c r="K3672" s="28" t="str">
        <f t="shared" si="58"/>
        <v>Quarter 1 1900</v>
      </c>
    </row>
    <row r="3673" spans="11:11">
      <c r="K3673" s="28" t="str">
        <f t="shared" si="58"/>
        <v>Quarter 1 1900</v>
      </c>
    </row>
    <row r="3674" spans="11:11">
      <c r="K3674" s="28" t="str">
        <f t="shared" si="58"/>
        <v>Quarter 1 1900</v>
      </c>
    </row>
    <row r="3675" spans="11:11">
      <c r="K3675" s="28" t="str">
        <f t="shared" si="58"/>
        <v>Quarter 1 1900</v>
      </c>
    </row>
    <row r="3676" spans="11:11">
      <c r="K3676" s="28" t="str">
        <f t="shared" si="58"/>
        <v>Quarter 1 1900</v>
      </c>
    </row>
    <row r="3677" spans="11:11">
      <c r="K3677" s="28" t="str">
        <f t="shared" si="58"/>
        <v>Quarter 1 1900</v>
      </c>
    </row>
    <row r="3678" spans="11:11">
      <c r="K3678" s="28" t="str">
        <f t="shared" si="58"/>
        <v>Quarter 1 1900</v>
      </c>
    </row>
    <row r="3679" spans="11:11">
      <c r="K3679" s="28" t="str">
        <f t="shared" si="58"/>
        <v>Quarter 1 1900</v>
      </c>
    </row>
    <row r="3680" spans="11:11">
      <c r="K3680" s="28" t="str">
        <f t="shared" si="58"/>
        <v>Quarter 1 1900</v>
      </c>
    </row>
    <row r="3681" spans="11:11">
      <c r="K3681" s="28" t="str">
        <f t="shared" si="58"/>
        <v>Quarter 1 1900</v>
      </c>
    </row>
    <row r="3682" spans="11:11">
      <c r="K3682" s="28" t="str">
        <f t="shared" si="58"/>
        <v>Quarter 1 1900</v>
      </c>
    </row>
    <row r="3683" spans="11:11">
      <c r="K3683" s="28" t="str">
        <f t="shared" si="58"/>
        <v>Quarter 1 1900</v>
      </c>
    </row>
    <row r="3684" spans="11:11">
      <c r="K3684" s="28" t="str">
        <f t="shared" si="58"/>
        <v>Quarter 1 1900</v>
      </c>
    </row>
    <row r="3685" spans="11:11">
      <c r="K3685" s="28" t="str">
        <f t="shared" si="58"/>
        <v>Quarter 1 1900</v>
      </c>
    </row>
    <row r="3686" spans="11:11">
      <c r="K3686" s="28" t="str">
        <f t="shared" si="58"/>
        <v>Quarter 1 1900</v>
      </c>
    </row>
    <row r="3687" spans="11:11">
      <c r="K3687" s="28" t="str">
        <f t="shared" si="58"/>
        <v>Quarter 1 1900</v>
      </c>
    </row>
    <row r="3688" spans="11:11">
      <c r="K3688" s="28" t="str">
        <f t="shared" si="58"/>
        <v>Quarter 1 1900</v>
      </c>
    </row>
    <row r="3689" spans="11:11">
      <c r="K3689" s="28" t="str">
        <f t="shared" si="58"/>
        <v>Quarter 1 1900</v>
      </c>
    </row>
    <row r="3690" spans="11:11">
      <c r="K3690" s="28" t="str">
        <f t="shared" si="58"/>
        <v>Quarter 1 1900</v>
      </c>
    </row>
    <row r="3691" spans="11:11">
      <c r="K3691" s="28" t="str">
        <f t="shared" si="58"/>
        <v>Quarter 1 1900</v>
      </c>
    </row>
    <row r="3692" spans="11:11">
      <c r="K3692" s="28" t="str">
        <f t="shared" si="58"/>
        <v>Quarter 1 1900</v>
      </c>
    </row>
    <row r="3693" spans="11:11">
      <c r="K3693" s="28" t="str">
        <f t="shared" si="58"/>
        <v>Quarter 1 1900</v>
      </c>
    </row>
    <row r="3694" spans="11:11">
      <c r="K3694" s="28" t="str">
        <f t="shared" si="58"/>
        <v>Quarter 1 1900</v>
      </c>
    </row>
    <row r="3695" spans="11:11">
      <c r="K3695" s="28" t="str">
        <f t="shared" si="58"/>
        <v>Quarter 1 1900</v>
      </c>
    </row>
    <row r="3696" spans="11:11">
      <c r="K3696" s="28" t="str">
        <f t="shared" si="58"/>
        <v>Quarter 1 1900</v>
      </c>
    </row>
    <row r="3697" spans="11:11">
      <c r="K3697" s="28" t="str">
        <f t="shared" si="58"/>
        <v>Quarter 1 1900</v>
      </c>
    </row>
    <row r="3698" spans="11:11">
      <c r="K3698" s="28" t="str">
        <f t="shared" si="58"/>
        <v>Quarter 1 1900</v>
      </c>
    </row>
    <row r="3699" spans="11:11">
      <c r="K3699" s="28" t="str">
        <f t="shared" si="58"/>
        <v>Quarter 1 1900</v>
      </c>
    </row>
    <row r="3700" spans="11:11">
      <c r="K3700" s="28" t="str">
        <f t="shared" si="58"/>
        <v>Quarter 1 1900</v>
      </c>
    </row>
    <row r="3701" spans="11:11">
      <c r="K3701" s="28" t="str">
        <f t="shared" si="58"/>
        <v>Quarter 1 1900</v>
      </c>
    </row>
    <row r="3702" spans="11:11">
      <c r="K3702" s="28" t="str">
        <f t="shared" si="58"/>
        <v>Quarter 1 1900</v>
      </c>
    </row>
    <row r="3703" spans="11:11">
      <c r="K3703" s="28" t="str">
        <f t="shared" si="58"/>
        <v>Quarter 1 1900</v>
      </c>
    </row>
    <row r="3704" spans="11:11">
      <c r="K3704" s="28" t="str">
        <f t="shared" si="58"/>
        <v>Quarter 1 1900</v>
      </c>
    </row>
    <row r="3705" spans="11:11">
      <c r="K3705" s="28" t="str">
        <f t="shared" si="58"/>
        <v>Quarter 1 1900</v>
      </c>
    </row>
    <row r="3706" spans="11:11">
      <c r="K3706" s="28" t="str">
        <f t="shared" si="58"/>
        <v>Quarter 1 1900</v>
      </c>
    </row>
    <row r="3707" spans="11:11">
      <c r="K3707" s="28" t="str">
        <f t="shared" si="58"/>
        <v>Quarter 1 1900</v>
      </c>
    </row>
    <row r="3708" spans="11:11">
      <c r="K3708" s="28" t="str">
        <f t="shared" si="58"/>
        <v>Quarter 1 1900</v>
      </c>
    </row>
    <row r="3709" spans="11:11">
      <c r="K3709" s="28" t="str">
        <f t="shared" si="58"/>
        <v>Quarter 1 1900</v>
      </c>
    </row>
    <row r="3710" spans="11:11">
      <c r="K3710" s="28" t="str">
        <f t="shared" si="58"/>
        <v>Quarter 1 1900</v>
      </c>
    </row>
    <row r="3711" spans="11:11">
      <c r="K3711" s="28" t="str">
        <f t="shared" si="58"/>
        <v>Quarter 1 1900</v>
      </c>
    </row>
    <row r="3712" spans="11:11">
      <c r="K3712" s="28" t="str">
        <f t="shared" si="58"/>
        <v>Quarter 1 1900</v>
      </c>
    </row>
    <row r="3713" spans="11:11">
      <c r="K3713" s="28" t="str">
        <f t="shared" si="58"/>
        <v>Quarter 1 1900</v>
      </c>
    </row>
    <row r="3714" spans="11:11">
      <c r="K3714" s="28" t="str">
        <f t="shared" si="58"/>
        <v>Quarter 1 1900</v>
      </c>
    </row>
    <row r="3715" spans="11:11">
      <c r="K3715" s="28" t="str">
        <f t="shared" si="58"/>
        <v>Quarter 1 1900</v>
      </c>
    </row>
    <row r="3716" spans="11:11">
      <c r="K3716" s="28" t="str">
        <f t="shared" si="58"/>
        <v>Quarter 1 1900</v>
      </c>
    </row>
    <row r="3717" spans="11:11">
      <c r="K3717" s="28" t="str">
        <f t="shared" si="58"/>
        <v>Quarter 1 1900</v>
      </c>
    </row>
    <row r="3718" spans="11:11">
      <c r="K3718" s="28" t="str">
        <f t="shared" si="58"/>
        <v>Quarter 1 1900</v>
      </c>
    </row>
    <row r="3719" spans="11:11">
      <c r="K3719" s="28" t="str">
        <f t="shared" si="58"/>
        <v>Quarter 1 1900</v>
      </c>
    </row>
    <row r="3720" spans="11:11">
      <c r="K3720" s="28" t="str">
        <f t="shared" si="58"/>
        <v>Quarter 1 1900</v>
      </c>
    </row>
    <row r="3721" spans="11:11">
      <c r="K3721" s="28" t="str">
        <f t="shared" si="58"/>
        <v>Quarter 1 1900</v>
      </c>
    </row>
    <row r="3722" spans="11:11">
      <c r="K3722" s="28" t="str">
        <f t="shared" si="58"/>
        <v>Quarter 1 1900</v>
      </c>
    </row>
    <row r="3723" spans="11:11">
      <c r="K3723" s="28" t="str">
        <f t="shared" si="58"/>
        <v>Quarter 1 1900</v>
      </c>
    </row>
    <row r="3724" spans="11:11">
      <c r="K3724" s="28" t="str">
        <f t="shared" si="58"/>
        <v>Quarter 1 1900</v>
      </c>
    </row>
    <row r="3725" spans="11:11">
      <c r="K3725" s="28" t="str">
        <f t="shared" si="58"/>
        <v>Quarter 1 1900</v>
      </c>
    </row>
    <row r="3726" spans="11:11">
      <c r="K3726" s="28" t="str">
        <f t="shared" si="58"/>
        <v>Quarter 1 1900</v>
      </c>
    </row>
    <row r="3727" spans="11:11">
      <c r="K3727" s="28" t="str">
        <f t="shared" si="58"/>
        <v>Quarter 1 1900</v>
      </c>
    </row>
    <row r="3728" spans="11:11">
      <c r="K3728" s="28" t="str">
        <f t="shared" si="58"/>
        <v>Quarter 1 1900</v>
      </c>
    </row>
    <row r="3729" spans="11:11">
      <c r="K3729" s="28" t="str">
        <f t="shared" si="58"/>
        <v>Quarter 1 1900</v>
      </c>
    </row>
    <row r="3730" spans="11:11">
      <c r="K3730" s="28" t="str">
        <f t="shared" ref="K3730:K3793" si="59">"Quarter "&amp;INT((MONTH(B3730)-1)/3)+1&amp;" "&amp;YEAR(B3730)</f>
        <v>Quarter 1 1900</v>
      </c>
    </row>
    <row r="3731" spans="11:11">
      <c r="K3731" s="28" t="str">
        <f t="shared" si="59"/>
        <v>Quarter 1 1900</v>
      </c>
    </row>
    <row r="3732" spans="11:11">
      <c r="K3732" s="28" t="str">
        <f t="shared" si="59"/>
        <v>Quarter 1 1900</v>
      </c>
    </row>
    <row r="3733" spans="11:11">
      <c r="K3733" s="28" t="str">
        <f t="shared" si="59"/>
        <v>Quarter 1 1900</v>
      </c>
    </row>
    <row r="3734" spans="11:11">
      <c r="K3734" s="28" t="str">
        <f t="shared" si="59"/>
        <v>Quarter 1 1900</v>
      </c>
    </row>
    <row r="3735" spans="11:11">
      <c r="K3735" s="28" t="str">
        <f t="shared" si="59"/>
        <v>Quarter 1 1900</v>
      </c>
    </row>
    <row r="3736" spans="11:11">
      <c r="K3736" s="28" t="str">
        <f t="shared" si="59"/>
        <v>Quarter 1 1900</v>
      </c>
    </row>
    <row r="3737" spans="11:11">
      <c r="K3737" s="28" t="str">
        <f t="shared" si="59"/>
        <v>Quarter 1 1900</v>
      </c>
    </row>
    <row r="3738" spans="11:11">
      <c r="K3738" s="28" t="str">
        <f t="shared" si="59"/>
        <v>Quarter 1 1900</v>
      </c>
    </row>
    <row r="3739" spans="11:11">
      <c r="K3739" s="28" t="str">
        <f t="shared" si="59"/>
        <v>Quarter 1 1900</v>
      </c>
    </row>
    <row r="3740" spans="11:11">
      <c r="K3740" s="28" t="str">
        <f t="shared" si="59"/>
        <v>Quarter 1 1900</v>
      </c>
    </row>
    <row r="3741" spans="11:11">
      <c r="K3741" s="28" t="str">
        <f t="shared" si="59"/>
        <v>Quarter 1 1900</v>
      </c>
    </row>
    <row r="3742" spans="11:11">
      <c r="K3742" s="28" t="str">
        <f t="shared" si="59"/>
        <v>Quarter 1 1900</v>
      </c>
    </row>
    <row r="3743" spans="11:11">
      <c r="K3743" s="28" t="str">
        <f t="shared" si="59"/>
        <v>Quarter 1 1900</v>
      </c>
    </row>
    <row r="3744" spans="11:11">
      <c r="K3744" s="28" t="str">
        <f t="shared" si="59"/>
        <v>Quarter 1 1900</v>
      </c>
    </row>
    <row r="3745" spans="11:11">
      <c r="K3745" s="28" t="str">
        <f t="shared" si="59"/>
        <v>Quarter 1 1900</v>
      </c>
    </row>
    <row r="3746" spans="11:11">
      <c r="K3746" s="28" t="str">
        <f t="shared" si="59"/>
        <v>Quarter 1 1900</v>
      </c>
    </row>
    <row r="3747" spans="11:11">
      <c r="K3747" s="28" t="str">
        <f t="shared" si="59"/>
        <v>Quarter 1 1900</v>
      </c>
    </row>
    <row r="3748" spans="11:11">
      <c r="K3748" s="28" t="str">
        <f t="shared" si="59"/>
        <v>Quarter 1 1900</v>
      </c>
    </row>
    <row r="3749" spans="11:11">
      <c r="K3749" s="28" t="str">
        <f t="shared" si="59"/>
        <v>Quarter 1 1900</v>
      </c>
    </row>
    <row r="3750" spans="11:11">
      <c r="K3750" s="28" t="str">
        <f t="shared" si="59"/>
        <v>Quarter 1 1900</v>
      </c>
    </row>
    <row r="3751" spans="11:11">
      <c r="K3751" s="28" t="str">
        <f t="shared" si="59"/>
        <v>Quarter 1 1900</v>
      </c>
    </row>
    <row r="3752" spans="11:11">
      <c r="K3752" s="28" t="str">
        <f t="shared" si="59"/>
        <v>Quarter 1 1900</v>
      </c>
    </row>
    <row r="3753" spans="11:11">
      <c r="K3753" s="28" t="str">
        <f t="shared" si="59"/>
        <v>Quarter 1 1900</v>
      </c>
    </row>
    <row r="3754" spans="11:11">
      <c r="K3754" s="28" t="str">
        <f t="shared" si="59"/>
        <v>Quarter 1 1900</v>
      </c>
    </row>
    <row r="3755" spans="11:11">
      <c r="K3755" s="28" t="str">
        <f t="shared" si="59"/>
        <v>Quarter 1 1900</v>
      </c>
    </row>
    <row r="3756" spans="11:11">
      <c r="K3756" s="28" t="str">
        <f t="shared" si="59"/>
        <v>Quarter 1 1900</v>
      </c>
    </row>
    <row r="3757" spans="11:11">
      <c r="K3757" s="28" t="str">
        <f t="shared" si="59"/>
        <v>Quarter 1 1900</v>
      </c>
    </row>
    <row r="3758" spans="11:11">
      <c r="K3758" s="28" t="str">
        <f t="shared" si="59"/>
        <v>Quarter 1 1900</v>
      </c>
    </row>
    <row r="3759" spans="11:11">
      <c r="K3759" s="28" t="str">
        <f t="shared" si="59"/>
        <v>Quarter 1 1900</v>
      </c>
    </row>
    <row r="3760" spans="11:11">
      <c r="K3760" s="28" t="str">
        <f t="shared" si="59"/>
        <v>Quarter 1 1900</v>
      </c>
    </row>
    <row r="3761" spans="11:11">
      <c r="K3761" s="28" t="str">
        <f t="shared" si="59"/>
        <v>Quarter 1 1900</v>
      </c>
    </row>
    <row r="3762" spans="11:11">
      <c r="K3762" s="28" t="str">
        <f t="shared" si="59"/>
        <v>Quarter 1 1900</v>
      </c>
    </row>
    <row r="3763" spans="11:11">
      <c r="K3763" s="28" t="str">
        <f t="shared" si="59"/>
        <v>Quarter 1 1900</v>
      </c>
    </row>
    <row r="3764" spans="11:11">
      <c r="K3764" s="28" t="str">
        <f t="shared" si="59"/>
        <v>Quarter 1 1900</v>
      </c>
    </row>
    <row r="3765" spans="11:11">
      <c r="K3765" s="28" t="str">
        <f t="shared" si="59"/>
        <v>Quarter 1 1900</v>
      </c>
    </row>
    <row r="3766" spans="11:11">
      <c r="K3766" s="28" t="str">
        <f t="shared" si="59"/>
        <v>Quarter 1 1900</v>
      </c>
    </row>
    <row r="3767" spans="11:11">
      <c r="K3767" s="28" t="str">
        <f t="shared" si="59"/>
        <v>Quarter 1 1900</v>
      </c>
    </row>
    <row r="3768" spans="11:11">
      <c r="K3768" s="28" t="str">
        <f t="shared" si="59"/>
        <v>Quarter 1 1900</v>
      </c>
    </row>
    <row r="3769" spans="11:11">
      <c r="K3769" s="28" t="str">
        <f t="shared" si="59"/>
        <v>Quarter 1 1900</v>
      </c>
    </row>
    <row r="3770" spans="11:11">
      <c r="K3770" s="28" t="str">
        <f t="shared" si="59"/>
        <v>Quarter 1 1900</v>
      </c>
    </row>
    <row r="3771" spans="11:11">
      <c r="K3771" s="28" t="str">
        <f t="shared" si="59"/>
        <v>Quarter 1 1900</v>
      </c>
    </row>
    <row r="3772" spans="11:11">
      <c r="K3772" s="28" t="str">
        <f t="shared" si="59"/>
        <v>Quarter 1 1900</v>
      </c>
    </row>
    <row r="3773" spans="11:11">
      <c r="K3773" s="28" t="str">
        <f t="shared" si="59"/>
        <v>Quarter 1 1900</v>
      </c>
    </row>
    <row r="3774" spans="11:11">
      <c r="K3774" s="28" t="str">
        <f t="shared" si="59"/>
        <v>Quarter 1 1900</v>
      </c>
    </row>
    <row r="3775" spans="11:11">
      <c r="K3775" s="28" t="str">
        <f t="shared" si="59"/>
        <v>Quarter 1 1900</v>
      </c>
    </row>
    <row r="3776" spans="11:11">
      <c r="K3776" s="28" t="str">
        <f t="shared" si="59"/>
        <v>Quarter 1 1900</v>
      </c>
    </row>
    <row r="3777" spans="11:11">
      <c r="K3777" s="28" t="str">
        <f t="shared" si="59"/>
        <v>Quarter 1 1900</v>
      </c>
    </row>
    <row r="3778" spans="11:11">
      <c r="K3778" s="28" t="str">
        <f t="shared" si="59"/>
        <v>Quarter 1 1900</v>
      </c>
    </row>
    <row r="3779" spans="11:11">
      <c r="K3779" s="28" t="str">
        <f t="shared" si="59"/>
        <v>Quarter 1 1900</v>
      </c>
    </row>
    <row r="3780" spans="11:11">
      <c r="K3780" s="28" t="str">
        <f t="shared" si="59"/>
        <v>Quarter 1 1900</v>
      </c>
    </row>
    <row r="3781" spans="11:11">
      <c r="K3781" s="28" t="str">
        <f t="shared" si="59"/>
        <v>Quarter 1 1900</v>
      </c>
    </row>
    <row r="3782" spans="11:11">
      <c r="K3782" s="28" t="str">
        <f t="shared" si="59"/>
        <v>Quarter 1 1900</v>
      </c>
    </row>
    <row r="3783" spans="11:11">
      <c r="K3783" s="28" t="str">
        <f t="shared" si="59"/>
        <v>Quarter 1 1900</v>
      </c>
    </row>
    <row r="3784" spans="11:11">
      <c r="K3784" s="28" t="str">
        <f t="shared" si="59"/>
        <v>Quarter 1 1900</v>
      </c>
    </row>
    <row r="3785" spans="11:11">
      <c r="K3785" s="28" t="str">
        <f t="shared" si="59"/>
        <v>Quarter 1 1900</v>
      </c>
    </row>
    <row r="3786" spans="11:11">
      <c r="K3786" s="28" t="str">
        <f t="shared" si="59"/>
        <v>Quarter 1 1900</v>
      </c>
    </row>
    <row r="3787" spans="11:11">
      <c r="K3787" s="28" t="str">
        <f t="shared" si="59"/>
        <v>Quarter 1 1900</v>
      </c>
    </row>
    <row r="3788" spans="11:11">
      <c r="K3788" s="28" t="str">
        <f t="shared" si="59"/>
        <v>Quarter 1 1900</v>
      </c>
    </row>
    <row r="3789" spans="11:11">
      <c r="K3789" s="28" t="str">
        <f t="shared" si="59"/>
        <v>Quarter 1 1900</v>
      </c>
    </row>
    <row r="3790" spans="11:11">
      <c r="K3790" s="28" t="str">
        <f t="shared" si="59"/>
        <v>Quarter 1 1900</v>
      </c>
    </row>
    <row r="3791" spans="11:11">
      <c r="K3791" s="28" t="str">
        <f t="shared" si="59"/>
        <v>Quarter 1 1900</v>
      </c>
    </row>
    <row r="3792" spans="11:11">
      <c r="K3792" s="28" t="str">
        <f t="shared" si="59"/>
        <v>Quarter 1 1900</v>
      </c>
    </row>
    <row r="3793" spans="11:11">
      <c r="K3793" s="28" t="str">
        <f t="shared" si="59"/>
        <v>Quarter 1 1900</v>
      </c>
    </row>
    <row r="3794" spans="11:11">
      <c r="K3794" s="28" t="str">
        <f t="shared" ref="K3794:K3857" si="60">"Quarter "&amp;INT((MONTH(B3794)-1)/3)+1&amp;" "&amp;YEAR(B3794)</f>
        <v>Quarter 1 1900</v>
      </c>
    </row>
    <row r="3795" spans="11:11">
      <c r="K3795" s="28" t="str">
        <f t="shared" si="60"/>
        <v>Quarter 1 1900</v>
      </c>
    </row>
    <row r="3796" spans="11:11">
      <c r="K3796" s="28" t="str">
        <f t="shared" si="60"/>
        <v>Quarter 1 1900</v>
      </c>
    </row>
    <row r="3797" spans="11:11">
      <c r="K3797" s="28" t="str">
        <f t="shared" si="60"/>
        <v>Quarter 1 1900</v>
      </c>
    </row>
    <row r="3798" spans="11:11">
      <c r="K3798" s="28" t="str">
        <f t="shared" si="60"/>
        <v>Quarter 1 1900</v>
      </c>
    </row>
    <row r="3799" spans="11:11">
      <c r="K3799" s="28" t="str">
        <f t="shared" si="60"/>
        <v>Quarter 1 1900</v>
      </c>
    </row>
    <row r="3800" spans="11:11">
      <c r="K3800" s="28" t="str">
        <f t="shared" si="60"/>
        <v>Quarter 1 1900</v>
      </c>
    </row>
    <row r="3801" spans="11:11">
      <c r="K3801" s="28" t="str">
        <f t="shared" si="60"/>
        <v>Quarter 1 1900</v>
      </c>
    </row>
    <row r="3802" spans="11:11">
      <c r="K3802" s="28" t="str">
        <f t="shared" si="60"/>
        <v>Quarter 1 1900</v>
      </c>
    </row>
    <row r="3803" spans="11:11">
      <c r="K3803" s="28" t="str">
        <f t="shared" si="60"/>
        <v>Quarter 1 1900</v>
      </c>
    </row>
    <row r="3804" spans="11:11">
      <c r="K3804" s="28" t="str">
        <f t="shared" si="60"/>
        <v>Quarter 1 1900</v>
      </c>
    </row>
    <row r="3805" spans="11:11">
      <c r="K3805" s="28" t="str">
        <f t="shared" si="60"/>
        <v>Quarter 1 1900</v>
      </c>
    </row>
    <row r="3806" spans="11:11">
      <c r="K3806" s="28" t="str">
        <f t="shared" si="60"/>
        <v>Quarter 1 1900</v>
      </c>
    </row>
    <row r="3807" spans="11:11">
      <c r="K3807" s="28" t="str">
        <f t="shared" si="60"/>
        <v>Quarter 1 1900</v>
      </c>
    </row>
    <row r="3808" spans="11:11">
      <c r="K3808" s="28" t="str">
        <f t="shared" si="60"/>
        <v>Quarter 1 1900</v>
      </c>
    </row>
    <row r="3809" spans="11:11">
      <c r="K3809" s="28" t="str">
        <f t="shared" si="60"/>
        <v>Quarter 1 1900</v>
      </c>
    </row>
    <row r="3810" spans="11:11">
      <c r="K3810" s="28" t="str">
        <f t="shared" si="60"/>
        <v>Quarter 1 1900</v>
      </c>
    </row>
    <row r="3811" spans="11:11">
      <c r="K3811" s="28" t="str">
        <f t="shared" si="60"/>
        <v>Quarter 1 1900</v>
      </c>
    </row>
    <row r="3812" spans="11:11">
      <c r="K3812" s="28" t="str">
        <f t="shared" si="60"/>
        <v>Quarter 1 1900</v>
      </c>
    </row>
    <row r="3813" spans="11:11">
      <c r="K3813" s="28" t="str">
        <f t="shared" si="60"/>
        <v>Quarter 1 1900</v>
      </c>
    </row>
    <row r="3814" spans="11:11">
      <c r="K3814" s="28" t="str">
        <f t="shared" si="60"/>
        <v>Quarter 1 1900</v>
      </c>
    </row>
    <row r="3815" spans="11:11">
      <c r="K3815" s="28" t="str">
        <f t="shared" si="60"/>
        <v>Quarter 1 1900</v>
      </c>
    </row>
    <row r="3816" spans="11:11">
      <c r="K3816" s="28" t="str">
        <f t="shared" si="60"/>
        <v>Quarter 1 1900</v>
      </c>
    </row>
    <row r="3817" spans="11:11">
      <c r="K3817" s="28" t="str">
        <f t="shared" si="60"/>
        <v>Quarter 1 1900</v>
      </c>
    </row>
    <row r="3818" spans="11:11">
      <c r="K3818" s="28" t="str">
        <f t="shared" si="60"/>
        <v>Quarter 1 1900</v>
      </c>
    </row>
    <row r="3819" spans="11:11">
      <c r="K3819" s="28" t="str">
        <f t="shared" si="60"/>
        <v>Quarter 1 1900</v>
      </c>
    </row>
    <row r="3820" spans="11:11">
      <c r="K3820" s="28" t="str">
        <f t="shared" si="60"/>
        <v>Quarter 1 1900</v>
      </c>
    </row>
    <row r="3821" spans="11:11">
      <c r="K3821" s="28" t="str">
        <f t="shared" si="60"/>
        <v>Quarter 1 1900</v>
      </c>
    </row>
    <row r="3822" spans="11:11">
      <c r="K3822" s="28" t="str">
        <f t="shared" si="60"/>
        <v>Quarter 1 1900</v>
      </c>
    </row>
    <row r="3823" spans="11:11">
      <c r="K3823" s="28" t="str">
        <f t="shared" si="60"/>
        <v>Quarter 1 1900</v>
      </c>
    </row>
    <row r="3824" spans="11:11">
      <c r="K3824" s="28" t="str">
        <f t="shared" si="60"/>
        <v>Quarter 1 1900</v>
      </c>
    </row>
    <row r="3825" spans="11:11">
      <c r="K3825" s="28" t="str">
        <f t="shared" si="60"/>
        <v>Quarter 1 1900</v>
      </c>
    </row>
    <row r="3826" spans="11:11">
      <c r="K3826" s="28" t="str">
        <f t="shared" si="60"/>
        <v>Quarter 1 1900</v>
      </c>
    </row>
    <row r="3827" spans="11:11">
      <c r="K3827" s="28" t="str">
        <f t="shared" si="60"/>
        <v>Quarter 1 1900</v>
      </c>
    </row>
    <row r="3828" spans="11:11">
      <c r="K3828" s="28" t="str">
        <f t="shared" si="60"/>
        <v>Quarter 1 1900</v>
      </c>
    </row>
    <row r="3829" spans="11:11">
      <c r="K3829" s="28" t="str">
        <f t="shared" si="60"/>
        <v>Quarter 1 1900</v>
      </c>
    </row>
    <row r="3830" spans="11:11">
      <c r="K3830" s="28" t="str">
        <f t="shared" si="60"/>
        <v>Quarter 1 1900</v>
      </c>
    </row>
    <row r="3831" spans="11:11">
      <c r="K3831" s="28" t="str">
        <f t="shared" si="60"/>
        <v>Quarter 1 1900</v>
      </c>
    </row>
    <row r="3832" spans="11:11">
      <c r="K3832" s="28" t="str">
        <f t="shared" si="60"/>
        <v>Quarter 1 1900</v>
      </c>
    </row>
    <row r="3833" spans="11:11">
      <c r="K3833" s="28" t="str">
        <f t="shared" si="60"/>
        <v>Quarter 1 1900</v>
      </c>
    </row>
    <row r="3834" spans="11:11">
      <c r="K3834" s="28" t="str">
        <f t="shared" si="60"/>
        <v>Quarter 1 1900</v>
      </c>
    </row>
    <row r="3835" spans="11:11">
      <c r="K3835" s="28" t="str">
        <f t="shared" si="60"/>
        <v>Quarter 1 1900</v>
      </c>
    </row>
    <row r="3836" spans="11:11">
      <c r="K3836" s="28" t="str">
        <f t="shared" si="60"/>
        <v>Quarter 1 1900</v>
      </c>
    </row>
    <row r="3837" spans="11:11">
      <c r="K3837" s="28" t="str">
        <f t="shared" si="60"/>
        <v>Quarter 1 1900</v>
      </c>
    </row>
    <row r="3838" spans="11:11">
      <c r="K3838" s="28" t="str">
        <f t="shared" si="60"/>
        <v>Quarter 1 1900</v>
      </c>
    </row>
    <row r="3839" spans="11:11">
      <c r="K3839" s="28" t="str">
        <f t="shared" si="60"/>
        <v>Quarter 1 1900</v>
      </c>
    </row>
    <row r="3840" spans="11:11">
      <c r="K3840" s="28" t="str">
        <f t="shared" si="60"/>
        <v>Quarter 1 1900</v>
      </c>
    </row>
    <row r="3841" spans="11:11">
      <c r="K3841" s="28" t="str">
        <f t="shared" si="60"/>
        <v>Quarter 1 1900</v>
      </c>
    </row>
    <row r="3842" spans="11:11">
      <c r="K3842" s="28" t="str">
        <f t="shared" si="60"/>
        <v>Quarter 1 1900</v>
      </c>
    </row>
    <row r="3843" spans="11:11">
      <c r="K3843" s="28" t="str">
        <f t="shared" si="60"/>
        <v>Quarter 1 1900</v>
      </c>
    </row>
    <row r="3844" spans="11:11">
      <c r="K3844" s="28" t="str">
        <f t="shared" si="60"/>
        <v>Quarter 1 1900</v>
      </c>
    </row>
    <row r="3845" spans="11:11">
      <c r="K3845" s="28" t="str">
        <f t="shared" si="60"/>
        <v>Quarter 1 1900</v>
      </c>
    </row>
    <row r="3846" spans="11:11">
      <c r="K3846" s="28" t="str">
        <f t="shared" si="60"/>
        <v>Quarter 1 1900</v>
      </c>
    </row>
    <row r="3847" spans="11:11">
      <c r="K3847" s="28" t="str">
        <f t="shared" si="60"/>
        <v>Quarter 1 1900</v>
      </c>
    </row>
    <row r="3848" spans="11:11">
      <c r="K3848" s="28" t="str">
        <f t="shared" si="60"/>
        <v>Quarter 1 1900</v>
      </c>
    </row>
    <row r="3849" spans="11:11">
      <c r="K3849" s="28" t="str">
        <f t="shared" si="60"/>
        <v>Quarter 1 1900</v>
      </c>
    </row>
    <row r="3850" spans="11:11">
      <c r="K3850" s="28" t="str">
        <f t="shared" si="60"/>
        <v>Quarter 1 1900</v>
      </c>
    </row>
    <row r="3851" spans="11:11">
      <c r="K3851" s="28" t="str">
        <f t="shared" si="60"/>
        <v>Quarter 1 1900</v>
      </c>
    </row>
    <row r="3852" spans="11:11">
      <c r="K3852" s="28" t="str">
        <f t="shared" si="60"/>
        <v>Quarter 1 1900</v>
      </c>
    </row>
    <row r="3853" spans="11:11">
      <c r="K3853" s="28" t="str">
        <f t="shared" si="60"/>
        <v>Quarter 1 1900</v>
      </c>
    </row>
    <row r="3854" spans="11:11">
      <c r="K3854" s="28" t="str">
        <f t="shared" si="60"/>
        <v>Quarter 1 1900</v>
      </c>
    </row>
    <row r="3855" spans="11:11">
      <c r="K3855" s="28" t="str">
        <f t="shared" si="60"/>
        <v>Quarter 1 1900</v>
      </c>
    </row>
    <row r="3856" spans="11:11">
      <c r="K3856" s="28" t="str">
        <f t="shared" si="60"/>
        <v>Quarter 1 1900</v>
      </c>
    </row>
    <row r="3857" spans="11:11">
      <c r="K3857" s="28" t="str">
        <f t="shared" si="60"/>
        <v>Quarter 1 1900</v>
      </c>
    </row>
    <row r="3858" spans="11:11">
      <c r="K3858" s="28" t="str">
        <f t="shared" ref="K3858:K3921" si="61">"Quarter "&amp;INT((MONTH(B3858)-1)/3)+1&amp;" "&amp;YEAR(B3858)</f>
        <v>Quarter 1 1900</v>
      </c>
    </row>
    <row r="3859" spans="11:11">
      <c r="K3859" s="28" t="str">
        <f t="shared" si="61"/>
        <v>Quarter 1 1900</v>
      </c>
    </row>
    <row r="3860" spans="11:11">
      <c r="K3860" s="28" t="str">
        <f t="shared" si="61"/>
        <v>Quarter 1 1900</v>
      </c>
    </row>
    <row r="3861" spans="11:11">
      <c r="K3861" s="28" t="str">
        <f t="shared" si="61"/>
        <v>Quarter 1 1900</v>
      </c>
    </row>
    <row r="3862" spans="11:11">
      <c r="K3862" s="28" t="str">
        <f t="shared" si="61"/>
        <v>Quarter 1 1900</v>
      </c>
    </row>
    <row r="3863" spans="11:11">
      <c r="K3863" s="28" t="str">
        <f t="shared" si="61"/>
        <v>Quarter 1 1900</v>
      </c>
    </row>
    <row r="3864" spans="11:11">
      <c r="K3864" s="28" t="str">
        <f t="shared" si="61"/>
        <v>Quarter 1 1900</v>
      </c>
    </row>
    <row r="3865" spans="11:11">
      <c r="K3865" s="28" t="str">
        <f t="shared" si="61"/>
        <v>Quarter 1 1900</v>
      </c>
    </row>
    <row r="3866" spans="11:11">
      <c r="K3866" s="28" t="str">
        <f t="shared" si="61"/>
        <v>Quarter 1 1900</v>
      </c>
    </row>
    <row r="3867" spans="11:11">
      <c r="K3867" s="28" t="str">
        <f t="shared" si="61"/>
        <v>Quarter 1 1900</v>
      </c>
    </row>
    <row r="3868" spans="11:11">
      <c r="K3868" s="28" t="str">
        <f t="shared" si="61"/>
        <v>Quarter 1 1900</v>
      </c>
    </row>
    <row r="3869" spans="11:11">
      <c r="K3869" s="28" t="str">
        <f t="shared" si="61"/>
        <v>Quarter 1 1900</v>
      </c>
    </row>
    <row r="3870" spans="11:11">
      <c r="K3870" s="28" t="str">
        <f t="shared" si="61"/>
        <v>Quarter 1 1900</v>
      </c>
    </row>
    <row r="3871" spans="11:11">
      <c r="K3871" s="28" t="str">
        <f t="shared" si="61"/>
        <v>Quarter 1 1900</v>
      </c>
    </row>
    <row r="3872" spans="11:11">
      <c r="K3872" s="28" t="str">
        <f t="shared" si="61"/>
        <v>Quarter 1 1900</v>
      </c>
    </row>
    <row r="3873" spans="11:11">
      <c r="K3873" s="28" t="str">
        <f t="shared" si="61"/>
        <v>Quarter 1 1900</v>
      </c>
    </row>
    <row r="3874" spans="11:11">
      <c r="K3874" s="28" t="str">
        <f t="shared" si="61"/>
        <v>Quarter 1 1900</v>
      </c>
    </row>
    <row r="3875" spans="11:11">
      <c r="K3875" s="28" t="str">
        <f t="shared" si="61"/>
        <v>Quarter 1 1900</v>
      </c>
    </row>
    <row r="3876" spans="11:11">
      <c r="K3876" s="28" t="str">
        <f t="shared" si="61"/>
        <v>Quarter 1 1900</v>
      </c>
    </row>
    <row r="3877" spans="11:11">
      <c r="K3877" s="28" t="str">
        <f t="shared" si="61"/>
        <v>Quarter 1 1900</v>
      </c>
    </row>
    <row r="3878" spans="11:11">
      <c r="K3878" s="28" t="str">
        <f t="shared" si="61"/>
        <v>Quarter 1 1900</v>
      </c>
    </row>
    <row r="3879" spans="11:11">
      <c r="K3879" s="28" t="str">
        <f t="shared" si="61"/>
        <v>Quarter 1 1900</v>
      </c>
    </row>
    <row r="3880" spans="11:11">
      <c r="K3880" s="28" t="str">
        <f t="shared" si="61"/>
        <v>Quarter 1 1900</v>
      </c>
    </row>
    <row r="3881" spans="11:11">
      <c r="K3881" s="28" t="str">
        <f t="shared" si="61"/>
        <v>Quarter 1 1900</v>
      </c>
    </row>
    <row r="3882" spans="11:11">
      <c r="K3882" s="28" t="str">
        <f t="shared" si="61"/>
        <v>Quarter 1 1900</v>
      </c>
    </row>
    <row r="3883" spans="11:11">
      <c r="K3883" s="28" t="str">
        <f t="shared" si="61"/>
        <v>Quarter 1 1900</v>
      </c>
    </row>
    <row r="3884" spans="11:11">
      <c r="K3884" s="28" t="str">
        <f t="shared" si="61"/>
        <v>Quarter 1 1900</v>
      </c>
    </row>
    <row r="3885" spans="11:11">
      <c r="K3885" s="28" t="str">
        <f t="shared" si="61"/>
        <v>Quarter 1 1900</v>
      </c>
    </row>
    <row r="3886" spans="11:11">
      <c r="K3886" s="28" t="str">
        <f t="shared" si="61"/>
        <v>Quarter 1 1900</v>
      </c>
    </row>
    <row r="3887" spans="11:11">
      <c r="K3887" s="28" t="str">
        <f t="shared" si="61"/>
        <v>Quarter 1 1900</v>
      </c>
    </row>
    <row r="3888" spans="11:11">
      <c r="K3888" s="28" t="str">
        <f t="shared" si="61"/>
        <v>Quarter 1 1900</v>
      </c>
    </row>
    <row r="3889" spans="11:11">
      <c r="K3889" s="28" t="str">
        <f t="shared" si="61"/>
        <v>Quarter 1 1900</v>
      </c>
    </row>
    <row r="3890" spans="11:11">
      <c r="K3890" s="28" t="str">
        <f t="shared" si="61"/>
        <v>Quarter 1 1900</v>
      </c>
    </row>
    <row r="3891" spans="11:11">
      <c r="K3891" s="28" t="str">
        <f t="shared" si="61"/>
        <v>Quarter 1 1900</v>
      </c>
    </row>
    <row r="3892" spans="11:11">
      <c r="K3892" s="28" t="str">
        <f t="shared" si="61"/>
        <v>Quarter 1 1900</v>
      </c>
    </row>
    <row r="3893" spans="11:11">
      <c r="K3893" s="28" t="str">
        <f t="shared" si="61"/>
        <v>Quarter 1 1900</v>
      </c>
    </row>
    <row r="3894" spans="11:11">
      <c r="K3894" s="28" t="str">
        <f t="shared" si="61"/>
        <v>Quarter 1 1900</v>
      </c>
    </row>
    <row r="3895" spans="11:11">
      <c r="K3895" s="28" t="str">
        <f t="shared" si="61"/>
        <v>Quarter 1 1900</v>
      </c>
    </row>
    <row r="3896" spans="11:11">
      <c r="K3896" s="28" t="str">
        <f t="shared" si="61"/>
        <v>Quarter 1 1900</v>
      </c>
    </row>
    <row r="3897" spans="11:11">
      <c r="K3897" s="28" t="str">
        <f t="shared" si="61"/>
        <v>Quarter 1 1900</v>
      </c>
    </row>
    <row r="3898" spans="11:11">
      <c r="K3898" s="28" t="str">
        <f t="shared" si="61"/>
        <v>Quarter 1 1900</v>
      </c>
    </row>
    <row r="3899" spans="11:11">
      <c r="K3899" s="28" t="str">
        <f t="shared" si="61"/>
        <v>Quarter 1 1900</v>
      </c>
    </row>
    <row r="3900" spans="11:11">
      <c r="K3900" s="28" t="str">
        <f t="shared" si="61"/>
        <v>Quarter 1 1900</v>
      </c>
    </row>
    <row r="3901" spans="11:11">
      <c r="K3901" s="28" t="str">
        <f t="shared" si="61"/>
        <v>Quarter 1 1900</v>
      </c>
    </row>
    <row r="3902" spans="11:11">
      <c r="K3902" s="28" t="str">
        <f t="shared" si="61"/>
        <v>Quarter 1 1900</v>
      </c>
    </row>
    <row r="3903" spans="11:11">
      <c r="K3903" s="28" t="str">
        <f t="shared" si="61"/>
        <v>Quarter 1 1900</v>
      </c>
    </row>
    <row r="3904" spans="11:11">
      <c r="K3904" s="28" t="str">
        <f t="shared" si="61"/>
        <v>Quarter 1 1900</v>
      </c>
    </row>
    <row r="3905" spans="11:11">
      <c r="K3905" s="28" t="str">
        <f t="shared" si="61"/>
        <v>Quarter 1 1900</v>
      </c>
    </row>
    <row r="3906" spans="11:11">
      <c r="K3906" s="28" t="str">
        <f t="shared" si="61"/>
        <v>Quarter 1 1900</v>
      </c>
    </row>
    <row r="3907" spans="11:11">
      <c r="K3907" s="28" t="str">
        <f t="shared" si="61"/>
        <v>Quarter 1 1900</v>
      </c>
    </row>
    <row r="3908" spans="11:11">
      <c r="K3908" s="28" t="str">
        <f t="shared" si="61"/>
        <v>Quarter 1 1900</v>
      </c>
    </row>
    <row r="3909" spans="11:11">
      <c r="K3909" s="28" t="str">
        <f t="shared" si="61"/>
        <v>Quarter 1 1900</v>
      </c>
    </row>
    <row r="3910" spans="11:11">
      <c r="K3910" s="28" t="str">
        <f t="shared" si="61"/>
        <v>Quarter 1 1900</v>
      </c>
    </row>
    <row r="3911" spans="11:11">
      <c r="K3911" s="28" t="str">
        <f t="shared" si="61"/>
        <v>Quarter 1 1900</v>
      </c>
    </row>
    <row r="3912" spans="11:11">
      <c r="K3912" s="28" t="str">
        <f t="shared" si="61"/>
        <v>Quarter 1 1900</v>
      </c>
    </row>
    <row r="3913" spans="11:11">
      <c r="K3913" s="28" t="str">
        <f t="shared" si="61"/>
        <v>Quarter 1 1900</v>
      </c>
    </row>
    <row r="3914" spans="11:11">
      <c r="K3914" s="28" t="str">
        <f t="shared" si="61"/>
        <v>Quarter 1 1900</v>
      </c>
    </row>
    <row r="3915" spans="11:11">
      <c r="K3915" s="28" t="str">
        <f t="shared" si="61"/>
        <v>Quarter 1 1900</v>
      </c>
    </row>
    <row r="3916" spans="11:11">
      <c r="K3916" s="28" t="str">
        <f t="shared" si="61"/>
        <v>Quarter 1 1900</v>
      </c>
    </row>
    <row r="3917" spans="11:11">
      <c r="K3917" s="28" t="str">
        <f t="shared" si="61"/>
        <v>Quarter 1 1900</v>
      </c>
    </row>
    <row r="3918" spans="11:11">
      <c r="K3918" s="28" t="str">
        <f t="shared" si="61"/>
        <v>Quarter 1 1900</v>
      </c>
    </row>
    <row r="3919" spans="11:11">
      <c r="K3919" s="28" t="str">
        <f t="shared" si="61"/>
        <v>Quarter 1 1900</v>
      </c>
    </row>
    <row r="3920" spans="11:11">
      <c r="K3920" s="28" t="str">
        <f t="shared" si="61"/>
        <v>Quarter 1 1900</v>
      </c>
    </row>
    <row r="3921" spans="11:11">
      <c r="K3921" s="28" t="str">
        <f t="shared" si="61"/>
        <v>Quarter 1 1900</v>
      </c>
    </row>
    <row r="3922" spans="11:11">
      <c r="K3922" s="28" t="str">
        <f t="shared" ref="K3922:K3985" si="62">"Quarter "&amp;INT((MONTH(B3922)-1)/3)+1&amp;" "&amp;YEAR(B3922)</f>
        <v>Quarter 1 1900</v>
      </c>
    </row>
    <row r="3923" spans="11:11">
      <c r="K3923" s="28" t="str">
        <f t="shared" si="62"/>
        <v>Quarter 1 1900</v>
      </c>
    </row>
    <row r="3924" spans="11:11">
      <c r="K3924" s="28" t="str">
        <f t="shared" si="62"/>
        <v>Quarter 1 1900</v>
      </c>
    </row>
    <row r="3925" spans="11:11">
      <c r="K3925" s="28" t="str">
        <f t="shared" si="62"/>
        <v>Quarter 1 1900</v>
      </c>
    </row>
    <row r="3926" spans="11:11">
      <c r="K3926" s="28" t="str">
        <f t="shared" si="62"/>
        <v>Quarter 1 1900</v>
      </c>
    </row>
    <row r="3927" spans="11:11">
      <c r="K3927" s="28" t="str">
        <f t="shared" si="62"/>
        <v>Quarter 1 1900</v>
      </c>
    </row>
    <row r="3928" spans="11:11">
      <c r="K3928" s="28" t="str">
        <f t="shared" si="62"/>
        <v>Quarter 1 1900</v>
      </c>
    </row>
    <row r="3929" spans="11:11">
      <c r="K3929" s="28" t="str">
        <f t="shared" si="62"/>
        <v>Quarter 1 1900</v>
      </c>
    </row>
    <row r="3930" spans="11:11">
      <c r="K3930" s="28" t="str">
        <f t="shared" si="62"/>
        <v>Quarter 1 1900</v>
      </c>
    </row>
    <row r="3931" spans="11:11">
      <c r="K3931" s="28" t="str">
        <f t="shared" si="62"/>
        <v>Quarter 1 1900</v>
      </c>
    </row>
    <row r="3932" spans="11:11">
      <c r="K3932" s="28" t="str">
        <f t="shared" si="62"/>
        <v>Quarter 1 1900</v>
      </c>
    </row>
    <row r="3933" spans="11:11">
      <c r="K3933" s="28" t="str">
        <f t="shared" si="62"/>
        <v>Quarter 1 1900</v>
      </c>
    </row>
    <row r="3934" spans="11:11">
      <c r="K3934" s="28" t="str">
        <f t="shared" si="62"/>
        <v>Quarter 1 1900</v>
      </c>
    </row>
    <row r="3935" spans="11:11">
      <c r="K3935" s="28" t="str">
        <f t="shared" si="62"/>
        <v>Quarter 1 1900</v>
      </c>
    </row>
    <row r="3936" spans="11:11">
      <c r="K3936" s="28" t="str">
        <f t="shared" si="62"/>
        <v>Quarter 1 1900</v>
      </c>
    </row>
    <row r="3937" spans="11:11">
      <c r="K3937" s="28" t="str">
        <f t="shared" si="62"/>
        <v>Quarter 1 1900</v>
      </c>
    </row>
    <row r="3938" spans="11:11">
      <c r="K3938" s="28" t="str">
        <f t="shared" si="62"/>
        <v>Quarter 1 1900</v>
      </c>
    </row>
    <row r="3939" spans="11:11">
      <c r="K3939" s="28" t="str">
        <f t="shared" si="62"/>
        <v>Quarter 1 1900</v>
      </c>
    </row>
    <row r="3940" spans="11:11">
      <c r="K3940" s="28" t="str">
        <f t="shared" si="62"/>
        <v>Quarter 1 1900</v>
      </c>
    </row>
    <row r="3941" spans="11:11">
      <c r="K3941" s="28" t="str">
        <f t="shared" si="62"/>
        <v>Quarter 1 1900</v>
      </c>
    </row>
    <row r="3942" spans="11:11">
      <c r="K3942" s="28" t="str">
        <f t="shared" si="62"/>
        <v>Quarter 1 1900</v>
      </c>
    </row>
    <row r="3943" spans="11:11">
      <c r="K3943" s="28" t="str">
        <f t="shared" si="62"/>
        <v>Quarter 1 1900</v>
      </c>
    </row>
    <row r="3944" spans="11:11">
      <c r="K3944" s="28" t="str">
        <f t="shared" si="62"/>
        <v>Quarter 1 1900</v>
      </c>
    </row>
    <row r="3945" spans="11:11">
      <c r="K3945" s="28" t="str">
        <f t="shared" si="62"/>
        <v>Quarter 1 1900</v>
      </c>
    </row>
    <row r="3946" spans="11:11">
      <c r="K3946" s="28" t="str">
        <f t="shared" si="62"/>
        <v>Quarter 1 1900</v>
      </c>
    </row>
    <row r="3947" spans="11:11">
      <c r="K3947" s="28" t="str">
        <f t="shared" si="62"/>
        <v>Quarter 1 1900</v>
      </c>
    </row>
    <row r="3948" spans="11:11">
      <c r="K3948" s="28" t="str">
        <f t="shared" si="62"/>
        <v>Quarter 1 1900</v>
      </c>
    </row>
    <row r="3949" spans="11:11">
      <c r="K3949" s="28" t="str">
        <f t="shared" si="62"/>
        <v>Quarter 1 1900</v>
      </c>
    </row>
    <row r="3950" spans="11:11">
      <c r="K3950" s="28" t="str">
        <f t="shared" si="62"/>
        <v>Quarter 1 1900</v>
      </c>
    </row>
    <row r="3951" spans="11:11">
      <c r="K3951" s="28" t="str">
        <f t="shared" si="62"/>
        <v>Quarter 1 1900</v>
      </c>
    </row>
    <row r="3952" spans="11:11">
      <c r="K3952" s="28" t="str">
        <f t="shared" si="62"/>
        <v>Quarter 1 1900</v>
      </c>
    </row>
    <row r="3953" spans="11:11">
      <c r="K3953" s="28" t="str">
        <f t="shared" si="62"/>
        <v>Quarter 1 1900</v>
      </c>
    </row>
    <row r="3954" spans="11:11">
      <c r="K3954" s="28" t="str">
        <f t="shared" si="62"/>
        <v>Quarter 1 1900</v>
      </c>
    </row>
    <row r="3955" spans="11:11">
      <c r="K3955" s="28" t="str">
        <f t="shared" si="62"/>
        <v>Quarter 1 1900</v>
      </c>
    </row>
    <row r="3956" spans="11:11">
      <c r="K3956" s="28" t="str">
        <f t="shared" si="62"/>
        <v>Quarter 1 1900</v>
      </c>
    </row>
    <row r="3957" spans="11:11">
      <c r="K3957" s="28" t="str">
        <f t="shared" si="62"/>
        <v>Quarter 1 1900</v>
      </c>
    </row>
    <row r="3958" spans="11:11">
      <c r="K3958" s="28" t="str">
        <f t="shared" si="62"/>
        <v>Quarter 1 1900</v>
      </c>
    </row>
    <row r="3959" spans="11:11">
      <c r="K3959" s="28" t="str">
        <f t="shared" si="62"/>
        <v>Quarter 1 1900</v>
      </c>
    </row>
    <row r="3960" spans="11:11">
      <c r="K3960" s="28" t="str">
        <f t="shared" si="62"/>
        <v>Quarter 1 1900</v>
      </c>
    </row>
    <row r="3961" spans="11:11">
      <c r="K3961" s="28" t="str">
        <f t="shared" si="62"/>
        <v>Quarter 1 1900</v>
      </c>
    </row>
    <row r="3962" spans="11:11">
      <c r="K3962" s="28" t="str">
        <f t="shared" si="62"/>
        <v>Quarter 1 1900</v>
      </c>
    </row>
    <row r="3963" spans="11:11">
      <c r="K3963" s="28" t="str">
        <f t="shared" si="62"/>
        <v>Quarter 1 1900</v>
      </c>
    </row>
    <row r="3964" spans="11:11">
      <c r="K3964" s="28" t="str">
        <f t="shared" si="62"/>
        <v>Quarter 1 1900</v>
      </c>
    </row>
    <row r="3965" spans="11:11">
      <c r="K3965" s="28" t="str">
        <f t="shared" si="62"/>
        <v>Quarter 1 1900</v>
      </c>
    </row>
    <row r="3966" spans="11:11">
      <c r="K3966" s="28" t="str">
        <f t="shared" si="62"/>
        <v>Quarter 1 1900</v>
      </c>
    </row>
    <row r="3967" spans="11:11">
      <c r="K3967" s="28" t="str">
        <f t="shared" si="62"/>
        <v>Quarter 1 1900</v>
      </c>
    </row>
    <row r="3968" spans="11:11">
      <c r="K3968" s="28" t="str">
        <f t="shared" si="62"/>
        <v>Quarter 1 1900</v>
      </c>
    </row>
    <row r="3969" spans="11:11">
      <c r="K3969" s="28" t="str">
        <f t="shared" si="62"/>
        <v>Quarter 1 1900</v>
      </c>
    </row>
    <row r="3970" spans="11:11">
      <c r="K3970" s="28" t="str">
        <f t="shared" si="62"/>
        <v>Quarter 1 1900</v>
      </c>
    </row>
    <row r="3971" spans="11:11">
      <c r="K3971" s="28" t="str">
        <f t="shared" si="62"/>
        <v>Quarter 1 1900</v>
      </c>
    </row>
    <row r="3972" spans="11:11">
      <c r="K3972" s="28" t="str">
        <f t="shared" si="62"/>
        <v>Quarter 1 1900</v>
      </c>
    </row>
    <row r="3973" spans="11:11">
      <c r="K3973" s="28" t="str">
        <f t="shared" si="62"/>
        <v>Quarter 1 1900</v>
      </c>
    </row>
    <row r="3974" spans="11:11">
      <c r="K3974" s="28" t="str">
        <f t="shared" si="62"/>
        <v>Quarter 1 1900</v>
      </c>
    </row>
    <row r="3975" spans="11:11">
      <c r="K3975" s="28" t="str">
        <f t="shared" si="62"/>
        <v>Quarter 1 1900</v>
      </c>
    </row>
    <row r="3976" spans="11:11">
      <c r="K3976" s="28" t="str">
        <f t="shared" si="62"/>
        <v>Quarter 1 1900</v>
      </c>
    </row>
    <row r="3977" spans="11:11">
      <c r="K3977" s="28" t="str">
        <f t="shared" si="62"/>
        <v>Quarter 1 1900</v>
      </c>
    </row>
    <row r="3978" spans="11:11">
      <c r="K3978" s="28" t="str">
        <f t="shared" si="62"/>
        <v>Quarter 1 1900</v>
      </c>
    </row>
    <row r="3979" spans="11:11">
      <c r="K3979" s="28" t="str">
        <f t="shared" si="62"/>
        <v>Quarter 1 1900</v>
      </c>
    </row>
    <row r="3980" spans="11:11">
      <c r="K3980" s="28" t="str">
        <f t="shared" si="62"/>
        <v>Quarter 1 1900</v>
      </c>
    </row>
    <row r="3981" spans="11:11">
      <c r="K3981" s="28" t="str">
        <f t="shared" si="62"/>
        <v>Quarter 1 1900</v>
      </c>
    </row>
    <row r="3982" spans="11:11">
      <c r="K3982" s="28" t="str">
        <f t="shared" si="62"/>
        <v>Quarter 1 1900</v>
      </c>
    </row>
    <row r="3983" spans="11:11">
      <c r="K3983" s="28" t="str">
        <f t="shared" si="62"/>
        <v>Quarter 1 1900</v>
      </c>
    </row>
    <row r="3984" spans="11:11">
      <c r="K3984" s="28" t="str">
        <f t="shared" si="62"/>
        <v>Quarter 1 1900</v>
      </c>
    </row>
    <row r="3985" spans="11:11">
      <c r="K3985" s="28" t="str">
        <f t="shared" si="62"/>
        <v>Quarter 1 1900</v>
      </c>
    </row>
    <row r="3986" spans="11:11">
      <c r="K3986" s="28" t="str">
        <f t="shared" ref="K3986:K4049" si="63">"Quarter "&amp;INT((MONTH(B3986)-1)/3)+1&amp;" "&amp;YEAR(B3986)</f>
        <v>Quarter 1 1900</v>
      </c>
    </row>
    <row r="3987" spans="11:11">
      <c r="K3987" s="28" t="str">
        <f t="shared" si="63"/>
        <v>Quarter 1 1900</v>
      </c>
    </row>
    <row r="3988" spans="11:11">
      <c r="K3988" s="28" t="str">
        <f t="shared" si="63"/>
        <v>Quarter 1 1900</v>
      </c>
    </row>
    <row r="3989" spans="11:11">
      <c r="K3989" s="28" t="str">
        <f t="shared" si="63"/>
        <v>Quarter 1 1900</v>
      </c>
    </row>
    <row r="3990" spans="11:11">
      <c r="K3990" s="28" t="str">
        <f t="shared" si="63"/>
        <v>Quarter 1 1900</v>
      </c>
    </row>
    <row r="3991" spans="11:11">
      <c r="K3991" s="28" t="str">
        <f t="shared" si="63"/>
        <v>Quarter 1 1900</v>
      </c>
    </row>
    <row r="3992" spans="11:11">
      <c r="K3992" s="28" t="str">
        <f t="shared" si="63"/>
        <v>Quarter 1 1900</v>
      </c>
    </row>
    <row r="3993" spans="11:11">
      <c r="K3993" s="28" t="str">
        <f t="shared" si="63"/>
        <v>Quarter 1 1900</v>
      </c>
    </row>
    <row r="3994" spans="11:11">
      <c r="K3994" s="28" t="str">
        <f t="shared" si="63"/>
        <v>Quarter 1 1900</v>
      </c>
    </row>
    <row r="3995" spans="11:11">
      <c r="K3995" s="28" t="str">
        <f t="shared" si="63"/>
        <v>Quarter 1 1900</v>
      </c>
    </row>
    <row r="3996" spans="11:11">
      <c r="K3996" s="28" t="str">
        <f t="shared" si="63"/>
        <v>Quarter 1 1900</v>
      </c>
    </row>
    <row r="3997" spans="11:11">
      <c r="K3997" s="28" t="str">
        <f t="shared" si="63"/>
        <v>Quarter 1 1900</v>
      </c>
    </row>
    <row r="3998" spans="11:11">
      <c r="K3998" s="28" t="str">
        <f t="shared" si="63"/>
        <v>Quarter 1 1900</v>
      </c>
    </row>
    <row r="3999" spans="11:11">
      <c r="K3999" s="28" t="str">
        <f t="shared" si="63"/>
        <v>Quarter 1 1900</v>
      </c>
    </row>
    <row r="4000" spans="11:11">
      <c r="K4000" s="28" t="str">
        <f t="shared" si="63"/>
        <v>Quarter 1 1900</v>
      </c>
    </row>
    <row r="4001" spans="11:11">
      <c r="K4001" s="28" t="str">
        <f t="shared" si="63"/>
        <v>Quarter 1 1900</v>
      </c>
    </row>
    <row r="4002" spans="11:11">
      <c r="K4002" s="28" t="str">
        <f t="shared" si="63"/>
        <v>Quarter 1 1900</v>
      </c>
    </row>
    <row r="4003" spans="11:11">
      <c r="K4003" s="28" t="str">
        <f t="shared" si="63"/>
        <v>Quarter 1 1900</v>
      </c>
    </row>
    <row r="4004" spans="11:11">
      <c r="K4004" s="28" t="str">
        <f t="shared" si="63"/>
        <v>Quarter 1 1900</v>
      </c>
    </row>
    <row r="4005" spans="11:11">
      <c r="K4005" s="28" t="str">
        <f t="shared" si="63"/>
        <v>Quarter 1 1900</v>
      </c>
    </row>
    <row r="4006" spans="11:11">
      <c r="K4006" s="28" t="str">
        <f t="shared" si="63"/>
        <v>Quarter 1 1900</v>
      </c>
    </row>
    <row r="4007" spans="11:11">
      <c r="K4007" s="28" t="str">
        <f t="shared" si="63"/>
        <v>Quarter 1 1900</v>
      </c>
    </row>
    <row r="4008" spans="11:11">
      <c r="K4008" s="28" t="str">
        <f t="shared" si="63"/>
        <v>Quarter 1 1900</v>
      </c>
    </row>
    <row r="4009" spans="11:11">
      <c r="K4009" s="28" t="str">
        <f t="shared" si="63"/>
        <v>Quarter 1 1900</v>
      </c>
    </row>
    <row r="4010" spans="11:11">
      <c r="K4010" s="28" t="str">
        <f t="shared" si="63"/>
        <v>Quarter 1 1900</v>
      </c>
    </row>
    <row r="4011" spans="11:11">
      <c r="K4011" s="28" t="str">
        <f t="shared" si="63"/>
        <v>Quarter 1 1900</v>
      </c>
    </row>
    <row r="4012" spans="11:11">
      <c r="K4012" s="28" t="str">
        <f t="shared" si="63"/>
        <v>Quarter 1 1900</v>
      </c>
    </row>
    <row r="4013" spans="11:11">
      <c r="K4013" s="28" t="str">
        <f t="shared" si="63"/>
        <v>Quarter 1 1900</v>
      </c>
    </row>
    <row r="4014" spans="11:11">
      <c r="K4014" s="28" t="str">
        <f t="shared" si="63"/>
        <v>Quarter 1 1900</v>
      </c>
    </row>
    <row r="4015" spans="11:11">
      <c r="K4015" s="28" t="str">
        <f t="shared" si="63"/>
        <v>Quarter 1 1900</v>
      </c>
    </row>
    <row r="4016" spans="11:11">
      <c r="K4016" s="28" t="str">
        <f t="shared" si="63"/>
        <v>Quarter 1 1900</v>
      </c>
    </row>
    <row r="4017" spans="11:11">
      <c r="K4017" s="28" t="str">
        <f t="shared" si="63"/>
        <v>Quarter 1 1900</v>
      </c>
    </row>
    <row r="4018" spans="11:11">
      <c r="K4018" s="28" t="str">
        <f t="shared" si="63"/>
        <v>Quarter 1 1900</v>
      </c>
    </row>
    <row r="4019" spans="11:11">
      <c r="K4019" s="28" t="str">
        <f t="shared" si="63"/>
        <v>Quarter 1 1900</v>
      </c>
    </row>
    <row r="4020" spans="11:11">
      <c r="K4020" s="28" t="str">
        <f t="shared" si="63"/>
        <v>Quarter 1 1900</v>
      </c>
    </row>
    <row r="4021" spans="11:11">
      <c r="K4021" s="28" t="str">
        <f t="shared" si="63"/>
        <v>Quarter 1 1900</v>
      </c>
    </row>
    <row r="4022" spans="11:11">
      <c r="K4022" s="28" t="str">
        <f t="shared" si="63"/>
        <v>Quarter 1 1900</v>
      </c>
    </row>
    <row r="4023" spans="11:11">
      <c r="K4023" s="28" t="str">
        <f t="shared" si="63"/>
        <v>Quarter 1 1900</v>
      </c>
    </row>
    <row r="4024" spans="11:11">
      <c r="K4024" s="28" t="str">
        <f t="shared" si="63"/>
        <v>Quarter 1 1900</v>
      </c>
    </row>
    <row r="4025" spans="11:11">
      <c r="K4025" s="28" t="str">
        <f t="shared" si="63"/>
        <v>Quarter 1 1900</v>
      </c>
    </row>
    <row r="4026" spans="11:11">
      <c r="K4026" s="28" t="str">
        <f t="shared" si="63"/>
        <v>Quarter 1 1900</v>
      </c>
    </row>
    <row r="4027" spans="11:11">
      <c r="K4027" s="28" t="str">
        <f t="shared" si="63"/>
        <v>Quarter 1 1900</v>
      </c>
    </row>
    <row r="4028" spans="11:11">
      <c r="K4028" s="28" t="str">
        <f t="shared" si="63"/>
        <v>Quarter 1 1900</v>
      </c>
    </row>
    <row r="4029" spans="11:11">
      <c r="K4029" s="28" t="str">
        <f t="shared" si="63"/>
        <v>Quarter 1 1900</v>
      </c>
    </row>
    <row r="4030" spans="11:11">
      <c r="K4030" s="28" t="str">
        <f t="shared" si="63"/>
        <v>Quarter 1 1900</v>
      </c>
    </row>
    <row r="4031" spans="11:11">
      <c r="K4031" s="28" t="str">
        <f t="shared" si="63"/>
        <v>Quarter 1 1900</v>
      </c>
    </row>
    <row r="4032" spans="11:11">
      <c r="K4032" s="28" t="str">
        <f t="shared" si="63"/>
        <v>Quarter 1 1900</v>
      </c>
    </row>
    <row r="4033" spans="11:11">
      <c r="K4033" s="28" t="str">
        <f t="shared" si="63"/>
        <v>Quarter 1 1900</v>
      </c>
    </row>
    <row r="4034" spans="11:11">
      <c r="K4034" s="28" t="str">
        <f t="shared" si="63"/>
        <v>Quarter 1 1900</v>
      </c>
    </row>
    <row r="4035" spans="11:11">
      <c r="K4035" s="28" t="str">
        <f t="shared" si="63"/>
        <v>Quarter 1 1900</v>
      </c>
    </row>
    <row r="4036" spans="11:11">
      <c r="K4036" s="28" t="str">
        <f t="shared" si="63"/>
        <v>Quarter 1 1900</v>
      </c>
    </row>
    <row r="4037" spans="11:11">
      <c r="K4037" s="28" t="str">
        <f t="shared" si="63"/>
        <v>Quarter 1 1900</v>
      </c>
    </row>
    <row r="4038" spans="11:11">
      <c r="K4038" s="28" t="str">
        <f t="shared" si="63"/>
        <v>Quarter 1 1900</v>
      </c>
    </row>
    <row r="4039" spans="11:11">
      <c r="K4039" s="28" t="str">
        <f t="shared" si="63"/>
        <v>Quarter 1 1900</v>
      </c>
    </row>
    <row r="4040" spans="11:11">
      <c r="K4040" s="28" t="str">
        <f t="shared" si="63"/>
        <v>Quarter 1 1900</v>
      </c>
    </row>
    <row r="4041" spans="11:11">
      <c r="K4041" s="28" t="str">
        <f t="shared" si="63"/>
        <v>Quarter 1 1900</v>
      </c>
    </row>
    <row r="4042" spans="11:11">
      <c r="K4042" s="28" t="str">
        <f t="shared" si="63"/>
        <v>Quarter 1 1900</v>
      </c>
    </row>
    <row r="4043" spans="11:11">
      <c r="K4043" s="28" t="str">
        <f t="shared" si="63"/>
        <v>Quarter 1 1900</v>
      </c>
    </row>
    <row r="4044" spans="11:11">
      <c r="K4044" s="28" t="str">
        <f t="shared" si="63"/>
        <v>Quarter 1 1900</v>
      </c>
    </row>
    <row r="4045" spans="11:11">
      <c r="K4045" s="28" t="str">
        <f t="shared" si="63"/>
        <v>Quarter 1 1900</v>
      </c>
    </row>
    <row r="4046" spans="11:11">
      <c r="K4046" s="28" t="str">
        <f t="shared" si="63"/>
        <v>Quarter 1 1900</v>
      </c>
    </row>
    <row r="4047" spans="11:11">
      <c r="K4047" s="28" t="str">
        <f t="shared" si="63"/>
        <v>Quarter 1 1900</v>
      </c>
    </row>
    <row r="4048" spans="11:11">
      <c r="K4048" s="28" t="str">
        <f t="shared" si="63"/>
        <v>Quarter 1 1900</v>
      </c>
    </row>
    <row r="4049" spans="11:11">
      <c r="K4049" s="28" t="str">
        <f t="shared" si="63"/>
        <v>Quarter 1 1900</v>
      </c>
    </row>
    <row r="4050" spans="11:11">
      <c r="K4050" s="28" t="str">
        <f t="shared" ref="K4050:K4113" si="64">"Quarter "&amp;INT((MONTH(B4050)-1)/3)+1&amp;" "&amp;YEAR(B4050)</f>
        <v>Quarter 1 1900</v>
      </c>
    </row>
    <row r="4051" spans="11:11">
      <c r="K4051" s="28" t="str">
        <f t="shared" si="64"/>
        <v>Quarter 1 1900</v>
      </c>
    </row>
    <row r="4052" spans="11:11">
      <c r="K4052" s="28" t="str">
        <f t="shared" si="64"/>
        <v>Quarter 1 1900</v>
      </c>
    </row>
    <row r="4053" spans="11:11">
      <c r="K4053" s="28" t="str">
        <f t="shared" si="64"/>
        <v>Quarter 1 1900</v>
      </c>
    </row>
    <row r="4054" spans="11:11">
      <c r="K4054" s="28" t="str">
        <f t="shared" si="64"/>
        <v>Quarter 1 1900</v>
      </c>
    </row>
    <row r="4055" spans="11:11">
      <c r="K4055" s="28" t="str">
        <f t="shared" si="64"/>
        <v>Quarter 1 1900</v>
      </c>
    </row>
    <row r="4056" spans="11:11">
      <c r="K4056" s="28" t="str">
        <f t="shared" si="64"/>
        <v>Quarter 1 1900</v>
      </c>
    </row>
    <row r="4057" spans="11:11">
      <c r="K4057" s="28" t="str">
        <f t="shared" si="64"/>
        <v>Quarter 1 1900</v>
      </c>
    </row>
    <row r="4058" spans="11:11">
      <c r="K4058" s="28" t="str">
        <f t="shared" si="64"/>
        <v>Quarter 1 1900</v>
      </c>
    </row>
    <row r="4059" spans="11:11">
      <c r="K4059" s="28" t="str">
        <f t="shared" si="64"/>
        <v>Quarter 1 1900</v>
      </c>
    </row>
    <row r="4060" spans="11:11">
      <c r="K4060" s="28" t="str">
        <f t="shared" si="64"/>
        <v>Quarter 1 1900</v>
      </c>
    </row>
    <row r="4061" spans="11:11">
      <c r="K4061" s="28" t="str">
        <f t="shared" si="64"/>
        <v>Quarter 1 1900</v>
      </c>
    </row>
    <row r="4062" spans="11:11">
      <c r="K4062" s="28" t="str">
        <f t="shared" si="64"/>
        <v>Quarter 1 1900</v>
      </c>
    </row>
    <row r="4063" spans="11:11">
      <c r="K4063" s="28" t="str">
        <f t="shared" si="64"/>
        <v>Quarter 1 1900</v>
      </c>
    </row>
    <row r="4064" spans="11:11">
      <c r="K4064" s="28" t="str">
        <f t="shared" si="64"/>
        <v>Quarter 1 1900</v>
      </c>
    </row>
    <row r="4065" spans="11:11">
      <c r="K4065" s="28" t="str">
        <f t="shared" si="64"/>
        <v>Quarter 1 1900</v>
      </c>
    </row>
    <row r="4066" spans="11:11">
      <c r="K4066" s="28" t="str">
        <f t="shared" si="64"/>
        <v>Quarter 1 1900</v>
      </c>
    </row>
    <row r="4067" spans="11:11">
      <c r="K4067" s="28" t="str">
        <f t="shared" si="64"/>
        <v>Quarter 1 1900</v>
      </c>
    </row>
    <row r="4068" spans="11:11">
      <c r="K4068" s="28" t="str">
        <f t="shared" si="64"/>
        <v>Quarter 1 1900</v>
      </c>
    </row>
    <row r="4069" spans="11:11">
      <c r="K4069" s="28" t="str">
        <f t="shared" si="64"/>
        <v>Quarter 1 1900</v>
      </c>
    </row>
    <row r="4070" spans="11:11">
      <c r="K4070" s="28" t="str">
        <f t="shared" si="64"/>
        <v>Quarter 1 1900</v>
      </c>
    </row>
    <row r="4071" spans="11:11">
      <c r="K4071" s="28" t="str">
        <f t="shared" si="64"/>
        <v>Quarter 1 1900</v>
      </c>
    </row>
    <row r="4072" spans="11:11">
      <c r="K4072" s="28" t="str">
        <f t="shared" si="64"/>
        <v>Quarter 1 1900</v>
      </c>
    </row>
    <row r="4073" spans="11:11">
      <c r="K4073" s="28" t="str">
        <f t="shared" si="64"/>
        <v>Quarter 1 1900</v>
      </c>
    </row>
    <row r="4074" spans="11:11">
      <c r="K4074" s="28" t="str">
        <f t="shared" si="64"/>
        <v>Quarter 1 1900</v>
      </c>
    </row>
    <row r="4075" spans="11:11">
      <c r="K4075" s="28" t="str">
        <f t="shared" si="64"/>
        <v>Quarter 1 1900</v>
      </c>
    </row>
    <row r="4076" spans="11:11">
      <c r="K4076" s="28" t="str">
        <f t="shared" si="64"/>
        <v>Quarter 1 1900</v>
      </c>
    </row>
    <row r="4077" spans="11:11">
      <c r="K4077" s="28" t="str">
        <f t="shared" si="64"/>
        <v>Quarter 1 1900</v>
      </c>
    </row>
    <row r="4078" spans="11:11">
      <c r="K4078" s="28" t="str">
        <f t="shared" si="64"/>
        <v>Quarter 1 1900</v>
      </c>
    </row>
    <row r="4079" spans="11:11">
      <c r="K4079" s="28" t="str">
        <f t="shared" si="64"/>
        <v>Quarter 1 1900</v>
      </c>
    </row>
    <row r="4080" spans="11:11">
      <c r="K4080" s="28" t="str">
        <f t="shared" si="64"/>
        <v>Quarter 1 1900</v>
      </c>
    </row>
    <row r="4081" spans="11:11">
      <c r="K4081" s="28" t="str">
        <f t="shared" si="64"/>
        <v>Quarter 1 1900</v>
      </c>
    </row>
    <row r="4082" spans="11:11">
      <c r="K4082" s="28" t="str">
        <f t="shared" si="64"/>
        <v>Quarter 1 1900</v>
      </c>
    </row>
    <row r="4083" spans="11:11">
      <c r="K4083" s="28" t="str">
        <f t="shared" si="64"/>
        <v>Quarter 1 1900</v>
      </c>
    </row>
    <row r="4084" spans="11:11">
      <c r="K4084" s="28" t="str">
        <f t="shared" si="64"/>
        <v>Quarter 1 1900</v>
      </c>
    </row>
    <row r="4085" spans="11:11">
      <c r="K4085" s="28" t="str">
        <f t="shared" si="64"/>
        <v>Quarter 1 1900</v>
      </c>
    </row>
    <row r="4086" spans="11:11">
      <c r="K4086" s="28" t="str">
        <f t="shared" si="64"/>
        <v>Quarter 1 1900</v>
      </c>
    </row>
    <row r="4087" spans="11:11">
      <c r="K4087" s="28" t="str">
        <f t="shared" si="64"/>
        <v>Quarter 1 1900</v>
      </c>
    </row>
    <row r="4088" spans="11:11">
      <c r="K4088" s="28" t="str">
        <f t="shared" si="64"/>
        <v>Quarter 1 1900</v>
      </c>
    </row>
    <row r="4089" spans="11:11">
      <c r="K4089" s="28" t="str">
        <f t="shared" si="64"/>
        <v>Quarter 1 1900</v>
      </c>
    </row>
    <row r="4090" spans="11:11">
      <c r="K4090" s="28" t="str">
        <f t="shared" si="64"/>
        <v>Quarter 1 1900</v>
      </c>
    </row>
    <row r="4091" spans="11:11">
      <c r="K4091" s="28" t="str">
        <f t="shared" si="64"/>
        <v>Quarter 1 1900</v>
      </c>
    </row>
    <row r="4092" spans="11:11">
      <c r="K4092" s="28" t="str">
        <f t="shared" si="64"/>
        <v>Quarter 1 1900</v>
      </c>
    </row>
    <row r="4093" spans="11:11">
      <c r="K4093" s="28" t="str">
        <f t="shared" si="64"/>
        <v>Quarter 1 1900</v>
      </c>
    </row>
    <row r="4094" spans="11:11">
      <c r="K4094" s="28" t="str">
        <f t="shared" si="64"/>
        <v>Quarter 1 1900</v>
      </c>
    </row>
    <row r="4095" spans="11:11">
      <c r="K4095" s="28" t="str">
        <f t="shared" si="64"/>
        <v>Quarter 1 1900</v>
      </c>
    </row>
    <row r="4096" spans="11:11">
      <c r="K4096" s="28" t="str">
        <f t="shared" si="64"/>
        <v>Quarter 1 1900</v>
      </c>
    </row>
    <row r="4097" spans="11:11">
      <c r="K4097" s="28" t="str">
        <f t="shared" si="64"/>
        <v>Quarter 1 1900</v>
      </c>
    </row>
    <row r="4098" spans="11:11">
      <c r="K4098" s="28" t="str">
        <f t="shared" si="64"/>
        <v>Quarter 1 1900</v>
      </c>
    </row>
    <row r="4099" spans="11:11">
      <c r="K4099" s="28" t="str">
        <f t="shared" si="64"/>
        <v>Quarter 1 1900</v>
      </c>
    </row>
    <row r="4100" spans="11:11">
      <c r="K4100" s="28" t="str">
        <f t="shared" si="64"/>
        <v>Quarter 1 1900</v>
      </c>
    </row>
    <row r="4101" spans="11:11">
      <c r="K4101" s="28" t="str">
        <f t="shared" si="64"/>
        <v>Quarter 1 1900</v>
      </c>
    </row>
    <row r="4102" spans="11:11">
      <c r="K4102" s="28" t="str">
        <f t="shared" si="64"/>
        <v>Quarter 1 1900</v>
      </c>
    </row>
    <row r="4103" spans="11:11">
      <c r="K4103" s="28" t="str">
        <f t="shared" si="64"/>
        <v>Quarter 1 1900</v>
      </c>
    </row>
    <row r="4104" spans="11:11">
      <c r="K4104" s="28" t="str">
        <f t="shared" si="64"/>
        <v>Quarter 1 1900</v>
      </c>
    </row>
    <row r="4105" spans="11:11">
      <c r="K4105" s="28" t="str">
        <f t="shared" si="64"/>
        <v>Quarter 1 1900</v>
      </c>
    </row>
    <row r="4106" spans="11:11">
      <c r="K4106" s="28" t="str">
        <f t="shared" si="64"/>
        <v>Quarter 1 1900</v>
      </c>
    </row>
    <row r="4107" spans="11:11">
      <c r="K4107" s="28" t="str">
        <f t="shared" si="64"/>
        <v>Quarter 1 1900</v>
      </c>
    </row>
    <row r="4108" spans="11:11">
      <c r="K4108" s="28" t="str">
        <f t="shared" si="64"/>
        <v>Quarter 1 1900</v>
      </c>
    </row>
    <row r="4109" spans="11:11">
      <c r="K4109" s="28" t="str">
        <f t="shared" si="64"/>
        <v>Quarter 1 1900</v>
      </c>
    </row>
    <row r="4110" spans="11:11">
      <c r="K4110" s="28" t="str">
        <f t="shared" si="64"/>
        <v>Quarter 1 1900</v>
      </c>
    </row>
    <row r="4111" spans="11:11">
      <c r="K4111" s="28" t="str">
        <f t="shared" si="64"/>
        <v>Quarter 1 1900</v>
      </c>
    </row>
    <row r="4112" spans="11:11">
      <c r="K4112" s="28" t="str">
        <f t="shared" si="64"/>
        <v>Quarter 1 1900</v>
      </c>
    </row>
    <row r="4113" spans="11:11">
      <c r="K4113" s="28" t="str">
        <f t="shared" si="64"/>
        <v>Quarter 1 1900</v>
      </c>
    </row>
    <row r="4114" spans="11:11">
      <c r="K4114" s="28" t="str">
        <f t="shared" ref="K4114:K4177" si="65">"Quarter "&amp;INT((MONTH(B4114)-1)/3)+1&amp;" "&amp;YEAR(B4114)</f>
        <v>Quarter 1 1900</v>
      </c>
    </row>
    <row r="4115" spans="11:11">
      <c r="K4115" s="28" t="str">
        <f t="shared" si="65"/>
        <v>Quarter 1 1900</v>
      </c>
    </row>
    <row r="4116" spans="11:11">
      <c r="K4116" s="28" t="str">
        <f t="shared" si="65"/>
        <v>Quarter 1 1900</v>
      </c>
    </row>
    <row r="4117" spans="11:11">
      <c r="K4117" s="28" t="str">
        <f t="shared" si="65"/>
        <v>Quarter 1 1900</v>
      </c>
    </row>
    <row r="4118" spans="11:11">
      <c r="K4118" s="28" t="str">
        <f t="shared" si="65"/>
        <v>Quarter 1 1900</v>
      </c>
    </row>
    <row r="4119" spans="11:11">
      <c r="K4119" s="28" t="str">
        <f t="shared" si="65"/>
        <v>Quarter 1 1900</v>
      </c>
    </row>
    <row r="4120" spans="11:11">
      <c r="K4120" s="28" t="str">
        <f t="shared" si="65"/>
        <v>Quarter 1 1900</v>
      </c>
    </row>
    <row r="4121" spans="11:11">
      <c r="K4121" s="28" t="str">
        <f t="shared" si="65"/>
        <v>Quarter 1 1900</v>
      </c>
    </row>
    <row r="4122" spans="11:11">
      <c r="K4122" s="28" t="str">
        <f t="shared" si="65"/>
        <v>Quarter 1 1900</v>
      </c>
    </row>
    <row r="4123" spans="11:11">
      <c r="K4123" s="28" t="str">
        <f t="shared" si="65"/>
        <v>Quarter 1 1900</v>
      </c>
    </row>
    <row r="4124" spans="11:11">
      <c r="K4124" s="28" t="str">
        <f t="shared" si="65"/>
        <v>Quarter 1 1900</v>
      </c>
    </row>
    <row r="4125" spans="11:11">
      <c r="K4125" s="28" t="str">
        <f t="shared" si="65"/>
        <v>Quarter 1 1900</v>
      </c>
    </row>
    <row r="4126" spans="11:11">
      <c r="K4126" s="28" t="str">
        <f t="shared" si="65"/>
        <v>Quarter 1 1900</v>
      </c>
    </row>
    <row r="4127" spans="11:11">
      <c r="K4127" s="28" t="str">
        <f t="shared" si="65"/>
        <v>Quarter 1 1900</v>
      </c>
    </row>
    <row r="4128" spans="11:11">
      <c r="K4128" s="28" t="str">
        <f t="shared" si="65"/>
        <v>Quarter 1 1900</v>
      </c>
    </row>
    <row r="4129" spans="11:11">
      <c r="K4129" s="28" t="str">
        <f t="shared" si="65"/>
        <v>Quarter 1 1900</v>
      </c>
    </row>
    <row r="4130" spans="11:11">
      <c r="K4130" s="28" t="str">
        <f t="shared" si="65"/>
        <v>Quarter 1 1900</v>
      </c>
    </row>
    <row r="4131" spans="11:11">
      <c r="K4131" s="28" t="str">
        <f t="shared" si="65"/>
        <v>Quarter 1 1900</v>
      </c>
    </row>
    <row r="4132" spans="11:11">
      <c r="K4132" s="28" t="str">
        <f t="shared" si="65"/>
        <v>Quarter 1 1900</v>
      </c>
    </row>
    <row r="4133" spans="11:11">
      <c r="K4133" s="28" t="str">
        <f t="shared" si="65"/>
        <v>Quarter 1 1900</v>
      </c>
    </row>
    <row r="4134" spans="11:11">
      <c r="K4134" s="28" t="str">
        <f t="shared" si="65"/>
        <v>Quarter 1 1900</v>
      </c>
    </row>
    <row r="4135" spans="11:11">
      <c r="K4135" s="28" t="str">
        <f t="shared" si="65"/>
        <v>Quarter 1 1900</v>
      </c>
    </row>
    <row r="4136" spans="11:11">
      <c r="K4136" s="28" t="str">
        <f t="shared" si="65"/>
        <v>Quarter 1 1900</v>
      </c>
    </row>
    <row r="4137" spans="11:11">
      <c r="K4137" s="28" t="str">
        <f t="shared" si="65"/>
        <v>Quarter 1 1900</v>
      </c>
    </row>
    <row r="4138" spans="11:11">
      <c r="K4138" s="28" t="str">
        <f t="shared" si="65"/>
        <v>Quarter 1 1900</v>
      </c>
    </row>
    <row r="4139" spans="11:11">
      <c r="K4139" s="28" t="str">
        <f t="shared" si="65"/>
        <v>Quarter 1 1900</v>
      </c>
    </row>
    <row r="4140" spans="11:11">
      <c r="K4140" s="28" t="str">
        <f t="shared" si="65"/>
        <v>Quarter 1 1900</v>
      </c>
    </row>
    <row r="4141" spans="11:11">
      <c r="K4141" s="28" t="str">
        <f t="shared" si="65"/>
        <v>Quarter 1 1900</v>
      </c>
    </row>
    <row r="4142" spans="11:11">
      <c r="K4142" s="28" t="str">
        <f t="shared" si="65"/>
        <v>Quarter 1 1900</v>
      </c>
    </row>
    <row r="4143" spans="11:11">
      <c r="K4143" s="28" t="str">
        <f t="shared" si="65"/>
        <v>Quarter 1 1900</v>
      </c>
    </row>
    <row r="4144" spans="11:11">
      <c r="K4144" s="28" t="str">
        <f t="shared" si="65"/>
        <v>Quarter 1 1900</v>
      </c>
    </row>
    <row r="4145" spans="11:11">
      <c r="K4145" s="28" t="str">
        <f t="shared" si="65"/>
        <v>Quarter 1 1900</v>
      </c>
    </row>
    <row r="4146" spans="11:11">
      <c r="K4146" s="28" t="str">
        <f t="shared" si="65"/>
        <v>Quarter 1 1900</v>
      </c>
    </row>
    <row r="4147" spans="11:11">
      <c r="K4147" s="28" t="str">
        <f t="shared" si="65"/>
        <v>Quarter 1 1900</v>
      </c>
    </row>
    <row r="4148" spans="11:11">
      <c r="K4148" s="28" t="str">
        <f t="shared" si="65"/>
        <v>Quarter 1 1900</v>
      </c>
    </row>
    <row r="4149" spans="11:11">
      <c r="K4149" s="28" t="str">
        <f t="shared" si="65"/>
        <v>Quarter 1 1900</v>
      </c>
    </row>
    <row r="4150" spans="11:11">
      <c r="K4150" s="28" t="str">
        <f t="shared" si="65"/>
        <v>Quarter 1 1900</v>
      </c>
    </row>
    <row r="4151" spans="11:11">
      <c r="K4151" s="28" t="str">
        <f t="shared" si="65"/>
        <v>Quarter 1 1900</v>
      </c>
    </row>
    <row r="4152" spans="11:11">
      <c r="K4152" s="28" t="str">
        <f t="shared" si="65"/>
        <v>Quarter 1 1900</v>
      </c>
    </row>
    <row r="4153" spans="11:11">
      <c r="K4153" s="28" t="str">
        <f t="shared" si="65"/>
        <v>Quarter 1 1900</v>
      </c>
    </row>
    <row r="4154" spans="11:11">
      <c r="K4154" s="28" t="str">
        <f t="shared" si="65"/>
        <v>Quarter 1 1900</v>
      </c>
    </row>
    <row r="4155" spans="11:11">
      <c r="K4155" s="28" t="str">
        <f t="shared" si="65"/>
        <v>Quarter 1 1900</v>
      </c>
    </row>
    <row r="4156" spans="11:11">
      <c r="K4156" s="28" t="str">
        <f t="shared" si="65"/>
        <v>Quarter 1 1900</v>
      </c>
    </row>
    <row r="4157" spans="11:11">
      <c r="K4157" s="28" t="str">
        <f t="shared" si="65"/>
        <v>Quarter 1 1900</v>
      </c>
    </row>
    <row r="4158" spans="11:11">
      <c r="K4158" s="28" t="str">
        <f t="shared" si="65"/>
        <v>Quarter 1 1900</v>
      </c>
    </row>
    <row r="4159" spans="11:11">
      <c r="K4159" s="28" t="str">
        <f t="shared" si="65"/>
        <v>Quarter 1 1900</v>
      </c>
    </row>
    <row r="4160" spans="11:11">
      <c r="K4160" s="28" t="str">
        <f t="shared" si="65"/>
        <v>Quarter 1 1900</v>
      </c>
    </row>
    <row r="4161" spans="11:11">
      <c r="K4161" s="28" t="str">
        <f t="shared" si="65"/>
        <v>Quarter 1 1900</v>
      </c>
    </row>
    <row r="4162" spans="11:11">
      <c r="K4162" s="28" t="str">
        <f t="shared" si="65"/>
        <v>Quarter 1 1900</v>
      </c>
    </row>
    <row r="4163" spans="11:11">
      <c r="K4163" s="28" t="str">
        <f t="shared" si="65"/>
        <v>Quarter 1 1900</v>
      </c>
    </row>
    <row r="4164" spans="11:11">
      <c r="K4164" s="28" t="str">
        <f t="shared" si="65"/>
        <v>Quarter 1 1900</v>
      </c>
    </row>
    <row r="4165" spans="11:11">
      <c r="K4165" s="28" t="str">
        <f t="shared" si="65"/>
        <v>Quarter 1 1900</v>
      </c>
    </row>
    <row r="4166" spans="11:11">
      <c r="K4166" s="28" t="str">
        <f t="shared" si="65"/>
        <v>Quarter 1 1900</v>
      </c>
    </row>
    <row r="4167" spans="11:11">
      <c r="K4167" s="28" t="str">
        <f t="shared" si="65"/>
        <v>Quarter 1 1900</v>
      </c>
    </row>
    <row r="4168" spans="11:11">
      <c r="K4168" s="28" t="str">
        <f t="shared" si="65"/>
        <v>Quarter 1 1900</v>
      </c>
    </row>
    <row r="4169" spans="11:11">
      <c r="K4169" s="28" t="str">
        <f t="shared" si="65"/>
        <v>Quarter 1 1900</v>
      </c>
    </row>
    <row r="4170" spans="11:11">
      <c r="K4170" s="28" t="str">
        <f t="shared" si="65"/>
        <v>Quarter 1 1900</v>
      </c>
    </row>
    <row r="4171" spans="11:11">
      <c r="K4171" s="28" t="str">
        <f t="shared" si="65"/>
        <v>Quarter 1 1900</v>
      </c>
    </row>
    <row r="4172" spans="11:11">
      <c r="K4172" s="28" t="str">
        <f t="shared" si="65"/>
        <v>Quarter 1 1900</v>
      </c>
    </row>
    <row r="4173" spans="11:11">
      <c r="K4173" s="28" t="str">
        <f t="shared" si="65"/>
        <v>Quarter 1 1900</v>
      </c>
    </row>
    <row r="4174" spans="11:11">
      <c r="K4174" s="28" t="str">
        <f t="shared" si="65"/>
        <v>Quarter 1 1900</v>
      </c>
    </row>
    <row r="4175" spans="11:11">
      <c r="K4175" s="28" t="str">
        <f t="shared" si="65"/>
        <v>Quarter 1 1900</v>
      </c>
    </row>
    <row r="4176" spans="11:11">
      <c r="K4176" s="28" t="str">
        <f t="shared" si="65"/>
        <v>Quarter 1 1900</v>
      </c>
    </row>
    <row r="4177" spans="11:11">
      <c r="K4177" s="28" t="str">
        <f t="shared" si="65"/>
        <v>Quarter 1 1900</v>
      </c>
    </row>
    <row r="4178" spans="11:11">
      <c r="K4178" s="28" t="str">
        <f t="shared" ref="K4178:K4241" si="66">"Quarter "&amp;INT((MONTH(B4178)-1)/3)+1&amp;" "&amp;YEAR(B4178)</f>
        <v>Quarter 1 1900</v>
      </c>
    </row>
    <row r="4179" spans="11:11">
      <c r="K4179" s="28" t="str">
        <f t="shared" si="66"/>
        <v>Quarter 1 1900</v>
      </c>
    </row>
    <row r="4180" spans="11:11">
      <c r="K4180" s="28" t="str">
        <f t="shared" si="66"/>
        <v>Quarter 1 1900</v>
      </c>
    </row>
    <row r="4181" spans="11:11">
      <c r="K4181" s="28" t="str">
        <f t="shared" si="66"/>
        <v>Quarter 1 1900</v>
      </c>
    </row>
    <row r="4182" spans="11:11">
      <c r="K4182" s="28" t="str">
        <f t="shared" si="66"/>
        <v>Quarter 1 1900</v>
      </c>
    </row>
    <row r="4183" spans="11:11">
      <c r="K4183" s="28" t="str">
        <f t="shared" si="66"/>
        <v>Quarter 1 1900</v>
      </c>
    </row>
    <row r="4184" spans="11:11">
      <c r="K4184" s="28" t="str">
        <f t="shared" si="66"/>
        <v>Quarter 1 1900</v>
      </c>
    </row>
    <row r="4185" spans="11:11">
      <c r="K4185" s="28" t="str">
        <f t="shared" si="66"/>
        <v>Quarter 1 1900</v>
      </c>
    </row>
    <row r="4186" spans="11:11">
      <c r="K4186" s="28" t="str">
        <f t="shared" si="66"/>
        <v>Quarter 1 1900</v>
      </c>
    </row>
    <row r="4187" spans="11:11">
      <c r="K4187" s="28" t="str">
        <f t="shared" si="66"/>
        <v>Quarter 1 1900</v>
      </c>
    </row>
    <row r="4188" spans="11:11">
      <c r="K4188" s="28" t="str">
        <f t="shared" si="66"/>
        <v>Quarter 1 1900</v>
      </c>
    </row>
    <row r="4189" spans="11:11">
      <c r="K4189" s="28" t="str">
        <f t="shared" si="66"/>
        <v>Quarter 1 1900</v>
      </c>
    </row>
    <row r="4190" spans="11:11">
      <c r="K4190" s="28" t="str">
        <f t="shared" si="66"/>
        <v>Quarter 1 1900</v>
      </c>
    </row>
    <row r="4191" spans="11:11">
      <c r="K4191" s="28" t="str">
        <f t="shared" si="66"/>
        <v>Quarter 1 1900</v>
      </c>
    </row>
    <row r="4192" spans="11:11">
      <c r="K4192" s="28" t="str">
        <f t="shared" si="66"/>
        <v>Quarter 1 1900</v>
      </c>
    </row>
    <row r="4193" spans="11:11">
      <c r="K4193" s="28" t="str">
        <f t="shared" si="66"/>
        <v>Quarter 1 1900</v>
      </c>
    </row>
    <row r="4194" spans="11:11">
      <c r="K4194" s="28" t="str">
        <f t="shared" si="66"/>
        <v>Quarter 1 1900</v>
      </c>
    </row>
    <row r="4195" spans="11:11">
      <c r="K4195" s="28" t="str">
        <f t="shared" si="66"/>
        <v>Quarter 1 1900</v>
      </c>
    </row>
    <row r="4196" spans="11:11">
      <c r="K4196" s="28" t="str">
        <f t="shared" si="66"/>
        <v>Quarter 1 1900</v>
      </c>
    </row>
    <row r="4197" spans="11:11">
      <c r="K4197" s="28" t="str">
        <f t="shared" si="66"/>
        <v>Quarter 1 1900</v>
      </c>
    </row>
    <row r="4198" spans="11:11">
      <c r="K4198" s="28" t="str">
        <f t="shared" si="66"/>
        <v>Quarter 1 1900</v>
      </c>
    </row>
    <row r="4199" spans="11:11">
      <c r="K4199" s="28" t="str">
        <f t="shared" si="66"/>
        <v>Quarter 1 1900</v>
      </c>
    </row>
    <row r="4200" spans="11:11">
      <c r="K4200" s="28" t="str">
        <f t="shared" si="66"/>
        <v>Quarter 1 1900</v>
      </c>
    </row>
    <row r="4201" spans="11:11">
      <c r="K4201" s="28" t="str">
        <f t="shared" si="66"/>
        <v>Quarter 1 1900</v>
      </c>
    </row>
    <row r="4202" spans="11:11">
      <c r="K4202" s="28" t="str">
        <f t="shared" si="66"/>
        <v>Quarter 1 1900</v>
      </c>
    </row>
    <row r="4203" spans="11:11">
      <c r="K4203" s="28" t="str">
        <f t="shared" si="66"/>
        <v>Quarter 1 1900</v>
      </c>
    </row>
    <row r="4204" spans="11:11">
      <c r="K4204" s="28" t="str">
        <f t="shared" si="66"/>
        <v>Quarter 1 1900</v>
      </c>
    </row>
    <row r="4205" spans="11:11">
      <c r="K4205" s="28" t="str">
        <f t="shared" si="66"/>
        <v>Quarter 1 1900</v>
      </c>
    </row>
    <row r="4206" spans="11:11">
      <c r="K4206" s="28" t="str">
        <f t="shared" si="66"/>
        <v>Quarter 1 1900</v>
      </c>
    </row>
    <row r="4207" spans="11:11">
      <c r="K4207" s="28" t="str">
        <f t="shared" si="66"/>
        <v>Quarter 1 1900</v>
      </c>
    </row>
    <row r="4208" spans="11:11">
      <c r="K4208" s="28" t="str">
        <f t="shared" si="66"/>
        <v>Quarter 1 1900</v>
      </c>
    </row>
    <row r="4209" spans="11:11">
      <c r="K4209" s="28" t="str">
        <f t="shared" si="66"/>
        <v>Quarter 1 1900</v>
      </c>
    </row>
    <row r="4210" spans="11:11">
      <c r="K4210" s="28" t="str">
        <f t="shared" si="66"/>
        <v>Quarter 1 1900</v>
      </c>
    </row>
    <row r="4211" spans="11:11">
      <c r="K4211" s="28" t="str">
        <f t="shared" si="66"/>
        <v>Quarter 1 1900</v>
      </c>
    </row>
    <row r="4212" spans="11:11">
      <c r="K4212" s="28" t="str">
        <f t="shared" si="66"/>
        <v>Quarter 1 1900</v>
      </c>
    </row>
    <row r="4213" spans="11:11">
      <c r="K4213" s="28" t="str">
        <f t="shared" si="66"/>
        <v>Quarter 1 1900</v>
      </c>
    </row>
    <row r="4214" spans="11:11">
      <c r="K4214" s="28" t="str">
        <f t="shared" si="66"/>
        <v>Quarter 1 1900</v>
      </c>
    </row>
    <row r="4215" spans="11:11">
      <c r="K4215" s="28" t="str">
        <f t="shared" si="66"/>
        <v>Quarter 1 1900</v>
      </c>
    </row>
    <row r="4216" spans="11:11">
      <c r="K4216" s="28" t="str">
        <f t="shared" si="66"/>
        <v>Quarter 1 1900</v>
      </c>
    </row>
    <row r="4217" spans="11:11">
      <c r="K4217" s="28" t="str">
        <f t="shared" si="66"/>
        <v>Quarter 1 1900</v>
      </c>
    </row>
    <row r="4218" spans="11:11">
      <c r="K4218" s="28" t="str">
        <f t="shared" si="66"/>
        <v>Quarter 1 1900</v>
      </c>
    </row>
    <row r="4219" spans="11:11">
      <c r="K4219" s="28" t="str">
        <f t="shared" si="66"/>
        <v>Quarter 1 1900</v>
      </c>
    </row>
    <row r="4220" spans="11:11">
      <c r="K4220" s="28" t="str">
        <f t="shared" si="66"/>
        <v>Quarter 1 1900</v>
      </c>
    </row>
    <row r="4221" spans="11:11">
      <c r="K4221" s="28" t="str">
        <f t="shared" si="66"/>
        <v>Quarter 1 1900</v>
      </c>
    </row>
    <row r="4222" spans="11:11">
      <c r="K4222" s="28" t="str">
        <f t="shared" si="66"/>
        <v>Quarter 1 1900</v>
      </c>
    </row>
    <row r="4223" spans="11:11">
      <c r="K4223" s="28" t="str">
        <f t="shared" si="66"/>
        <v>Quarter 1 1900</v>
      </c>
    </row>
    <row r="4224" spans="11:11">
      <c r="K4224" s="28" t="str">
        <f t="shared" si="66"/>
        <v>Quarter 1 1900</v>
      </c>
    </row>
    <row r="4225" spans="11:11">
      <c r="K4225" s="28" t="str">
        <f t="shared" si="66"/>
        <v>Quarter 1 1900</v>
      </c>
    </row>
    <row r="4226" spans="11:11">
      <c r="K4226" s="28" t="str">
        <f t="shared" si="66"/>
        <v>Quarter 1 1900</v>
      </c>
    </row>
    <row r="4227" spans="11:11">
      <c r="K4227" s="28" t="str">
        <f t="shared" si="66"/>
        <v>Quarter 1 1900</v>
      </c>
    </row>
    <row r="4228" spans="11:11">
      <c r="K4228" s="28" t="str">
        <f t="shared" si="66"/>
        <v>Quarter 1 1900</v>
      </c>
    </row>
    <row r="4229" spans="11:11">
      <c r="K4229" s="28" t="str">
        <f t="shared" si="66"/>
        <v>Quarter 1 1900</v>
      </c>
    </row>
    <row r="4230" spans="11:11">
      <c r="K4230" s="28" t="str">
        <f t="shared" si="66"/>
        <v>Quarter 1 1900</v>
      </c>
    </row>
    <row r="4231" spans="11:11">
      <c r="K4231" s="28" t="str">
        <f t="shared" si="66"/>
        <v>Quarter 1 1900</v>
      </c>
    </row>
    <row r="4232" spans="11:11">
      <c r="K4232" s="28" t="str">
        <f t="shared" si="66"/>
        <v>Quarter 1 1900</v>
      </c>
    </row>
    <row r="4233" spans="11:11">
      <c r="K4233" s="28" t="str">
        <f t="shared" si="66"/>
        <v>Quarter 1 1900</v>
      </c>
    </row>
    <row r="4234" spans="11:11">
      <c r="K4234" s="28" t="str">
        <f t="shared" si="66"/>
        <v>Quarter 1 1900</v>
      </c>
    </row>
    <row r="4235" spans="11:11">
      <c r="K4235" s="28" t="str">
        <f t="shared" si="66"/>
        <v>Quarter 1 1900</v>
      </c>
    </row>
    <row r="4236" spans="11:11">
      <c r="K4236" s="28" t="str">
        <f t="shared" si="66"/>
        <v>Quarter 1 1900</v>
      </c>
    </row>
    <row r="4237" spans="11:11">
      <c r="K4237" s="28" t="str">
        <f t="shared" si="66"/>
        <v>Quarter 1 1900</v>
      </c>
    </row>
    <row r="4238" spans="11:11">
      <c r="K4238" s="28" t="str">
        <f t="shared" si="66"/>
        <v>Quarter 1 1900</v>
      </c>
    </row>
    <row r="4239" spans="11:11">
      <c r="K4239" s="28" t="str">
        <f t="shared" si="66"/>
        <v>Quarter 1 1900</v>
      </c>
    </row>
    <row r="4240" spans="11:11">
      <c r="K4240" s="28" t="str">
        <f t="shared" si="66"/>
        <v>Quarter 1 1900</v>
      </c>
    </row>
    <row r="4241" spans="11:11">
      <c r="K4241" s="28" t="str">
        <f t="shared" si="66"/>
        <v>Quarter 1 1900</v>
      </c>
    </row>
    <row r="4242" spans="11:11">
      <c r="K4242" s="28" t="str">
        <f t="shared" ref="K4242:K4305" si="67">"Quarter "&amp;INT((MONTH(B4242)-1)/3)+1&amp;" "&amp;YEAR(B4242)</f>
        <v>Quarter 1 1900</v>
      </c>
    </row>
    <row r="4243" spans="11:11">
      <c r="K4243" s="28" t="str">
        <f t="shared" si="67"/>
        <v>Quarter 1 1900</v>
      </c>
    </row>
    <row r="4244" spans="11:11">
      <c r="K4244" s="28" t="str">
        <f t="shared" si="67"/>
        <v>Quarter 1 1900</v>
      </c>
    </row>
    <row r="4245" spans="11:11">
      <c r="K4245" s="28" t="str">
        <f t="shared" si="67"/>
        <v>Quarter 1 1900</v>
      </c>
    </row>
    <row r="4246" spans="11:11">
      <c r="K4246" s="28" t="str">
        <f t="shared" si="67"/>
        <v>Quarter 1 1900</v>
      </c>
    </row>
    <row r="4247" spans="11:11">
      <c r="K4247" s="28" t="str">
        <f t="shared" si="67"/>
        <v>Quarter 1 1900</v>
      </c>
    </row>
    <row r="4248" spans="11:11">
      <c r="K4248" s="28" t="str">
        <f t="shared" si="67"/>
        <v>Quarter 1 1900</v>
      </c>
    </row>
    <row r="4249" spans="11:11">
      <c r="K4249" s="28" t="str">
        <f t="shared" si="67"/>
        <v>Quarter 1 1900</v>
      </c>
    </row>
    <row r="4250" spans="11:11">
      <c r="K4250" s="28" t="str">
        <f t="shared" si="67"/>
        <v>Quarter 1 1900</v>
      </c>
    </row>
    <row r="4251" spans="11:11">
      <c r="K4251" s="28" t="str">
        <f t="shared" si="67"/>
        <v>Quarter 1 1900</v>
      </c>
    </row>
    <row r="4252" spans="11:11">
      <c r="K4252" s="28" t="str">
        <f t="shared" si="67"/>
        <v>Quarter 1 1900</v>
      </c>
    </row>
    <row r="4253" spans="11:11">
      <c r="K4253" s="28" t="str">
        <f t="shared" si="67"/>
        <v>Quarter 1 1900</v>
      </c>
    </row>
    <row r="4254" spans="11:11">
      <c r="K4254" s="28" t="str">
        <f t="shared" si="67"/>
        <v>Quarter 1 1900</v>
      </c>
    </row>
    <row r="4255" spans="11:11">
      <c r="K4255" s="28" t="str">
        <f t="shared" si="67"/>
        <v>Quarter 1 1900</v>
      </c>
    </row>
    <row r="4256" spans="11:11">
      <c r="K4256" s="28" t="str">
        <f t="shared" si="67"/>
        <v>Quarter 1 1900</v>
      </c>
    </row>
    <row r="4257" spans="11:11">
      <c r="K4257" s="28" t="str">
        <f t="shared" si="67"/>
        <v>Quarter 1 1900</v>
      </c>
    </row>
    <row r="4258" spans="11:11">
      <c r="K4258" s="28" t="str">
        <f t="shared" si="67"/>
        <v>Quarter 1 1900</v>
      </c>
    </row>
    <row r="4259" spans="11:11">
      <c r="K4259" s="28" t="str">
        <f t="shared" si="67"/>
        <v>Quarter 1 1900</v>
      </c>
    </row>
    <row r="4260" spans="11:11">
      <c r="K4260" s="28" t="str">
        <f t="shared" si="67"/>
        <v>Quarter 1 1900</v>
      </c>
    </row>
    <row r="4261" spans="11:11">
      <c r="K4261" s="28" t="str">
        <f t="shared" si="67"/>
        <v>Quarter 1 1900</v>
      </c>
    </row>
    <row r="4262" spans="11:11">
      <c r="K4262" s="28" t="str">
        <f t="shared" si="67"/>
        <v>Quarter 1 1900</v>
      </c>
    </row>
    <row r="4263" spans="11:11">
      <c r="K4263" s="28" t="str">
        <f t="shared" si="67"/>
        <v>Quarter 1 1900</v>
      </c>
    </row>
    <row r="4264" spans="11:11">
      <c r="K4264" s="28" t="str">
        <f t="shared" si="67"/>
        <v>Quarter 1 1900</v>
      </c>
    </row>
    <row r="4265" spans="11:11">
      <c r="K4265" s="28" t="str">
        <f t="shared" si="67"/>
        <v>Quarter 1 1900</v>
      </c>
    </row>
    <row r="4266" spans="11:11">
      <c r="K4266" s="28" t="str">
        <f t="shared" si="67"/>
        <v>Quarter 1 1900</v>
      </c>
    </row>
    <row r="4267" spans="11:11">
      <c r="K4267" s="28" t="str">
        <f t="shared" si="67"/>
        <v>Quarter 1 1900</v>
      </c>
    </row>
    <row r="4268" spans="11:11">
      <c r="K4268" s="28" t="str">
        <f t="shared" si="67"/>
        <v>Quarter 1 1900</v>
      </c>
    </row>
    <row r="4269" spans="11:11">
      <c r="K4269" s="28" t="str">
        <f t="shared" si="67"/>
        <v>Quarter 1 1900</v>
      </c>
    </row>
    <row r="4270" spans="11:11">
      <c r="K4270" s="28" t="str">
        <f t="shared" si="67"/>
        <v>Quarter 1 1900</v>
      </c>
    </row>
    <row r="4271" spans="11:11">
      <c r="K4271" s="28" t="str">
        <f t="shared" si="67"/>
        <v>Quarter 1 1900</v>
      </c>
    </row>
    <row r="4272" spans="11:11">
      <c r="K4272" s="28" t="str">
        <f t="shared" si="67"/>
        <v>Quarter 1 1900</v>
      </c>
    </row>
    <row r="4273" spans="11:11">
      <c r="K4273" s="28" t="str">
        <f t="shared" si="67"/>
        <v>Quarter 1 1900</v>
      </c>
    </row>
    <row r="4274" spans="11:11">
      <c r="K4274" s="28" t="str">
        <f t="shared" si="67"/>
        <v>Quarter 1 1900</v>
      </c>
    </row>
    <row r="4275" spans="11:11">
      <c r="K4275" s="28" t="str">
        <f t="shared" si="67"/>
        <v>Quarter 1 1900</v>
      </c>
    </row>
    <row r="4276" spans="11:11">
      <c r="K4276" s="28" t="str">
        <f t="shared" si="67"/>
        <v>Quarter 1 1900</v>
      </c>
    </row>
    <row r="4277" spans="11:11">
      <c r="K4277" s="28" t="str">
        <f t="shared" si="67"/>
        <v>Quarter 1 1900</v>
      </c>
    </row>
    <row r="4278" spans="11:11">
      <c r="K4278" s="28" t="str">
        <f t="shared" si="67"/>
        <v>Quarter 1 1900</v>
      </c>
    </row>
    <row r="4279" spans="11:11">
      <c r="K4279" s="28" t="str">
        <f t="shared" si="67"/>
        <v>Quarter 1 1900</v>
      </c>
    </row>
    <row r="4280" spans="11:11">
      <c r="K4280" s="28" t="str">
        <f t="shared" si="67"/>
        <v>Quarter 1 1900</v>
      </c>
    </row>
    <row r="4281" spans="11:11">
      <c r="K4281" s="28" t="str">
        <f t="shared" si="67"/>
        <v>Quarter 1 1900</v>
      </c>
    </row>
    <row r="4282" spans="11:11">
      <c r="K4282" s="28" t="str">
        <f t="shared" si="67"/>
        <v>Quarter 1 1900</v>
      </c>
    </row>
    <row r="4283" spans="11:11">
      <c r="K4283" s="28" t="str">
        <f t="shared" si="67"/>
        <v>Quarter 1 1900</v>
      </c>
    </row>
    <row r="4284" spans="11:11">
      <c r="K4284" s="28" t="str">
        <f t="shared" si="67"/>
        <v>Quarter 1 1900</v>
      </c>
    </row>
    <row r="4285" spans="11:11">
      <c r="K4285" s="28" t="str">
        <f t="shared" si="67"/>
        <v>Quarter 1 1900</v>
      </c>
    </row>
    <row r="4286" spans="11:11">
      <c r="K4286" s="28" t="str">
        <f t="shared" si="67"/>
        <v>Quarter 1 1900</v>
      </c>
    </row>
    <row r="4287" spans="11:11">
      <c r="K4287" s="28" t="str">
        <f t="shared" si="67"/>
        <v>Quarter 1 1900</v>
      </c>
    </row>
    <row r="4288" spans="11:11">
      <c r="K4288" s="28" t="str">
        <f t="shared" si="67"/>
        <v>Quarter 1 1900</v>
      </c>
    </row>
    <row r="4289" spans="11:11">
      <c r="K4289" s="28" t="str">
        <f t="shared" si="67"/>
        <v>Quarter 1 1900</v>
      </c>
    </row>
    <row r="4290" spans="11:11">
      <c r="K4290" s="28" t="str">
        <f t="shared" si="67"/>
        <v>Quarter 1 1900</v>
      </c>
    </row>
    <row r="4291" spans="11:11">
      <c r="K4291" s="28" t="str">
        <f t="shared" si="67"/>
        <v>Quarter 1 1900</v>
      </c>
    </row>
    <row r="4292" spans="11:11">
      <c r="K4292" s="28" t="str">
        <f t="shared" si="67"/>
        <v>Quarter 1 1900</v>
      </c>
    </row>
    <row r="4293" spans="11:11">
      <c r="K4293" s="28" t="str">
        <f t="shared" si="67"/>
        <v>Quarter 1 1900</v>
      </c>
    </row>
    <row r="4294" spans="11:11">
      <c r="K4294" s="28" t="str">
        <f t="shared" si="67"/>
        <v>Quarter 1 1900</v>
      </c>
    </row>
    <row r="4295" spans="11:11">
      <c r="K4295" s="28" t="str">
        <f t="shared" si="67"/>
        <v>Quarter 1 1900</v>
      </c>
    </row>
    <row r="4296" spans="11:11">
      <c r="K4296" s="28" t="str">
        <f t="shared" si="67"/>
        <v>Quarter 1 1900</v>
      </c>
    </row>
    <row r="4297" spans="11:11">
      <c r="K4297" s="28" t="str">
        <f t="shared" si="67"/>
        <v>Quarter 1 1900</v>
      </c>
    </row>
    <row r="4298" spans="11:11">
      <c r="K4298" s="28" t="str">
        <f t="shared" si="67"/>
        <v>Quarter 1 1900</v>
      </c>
    </row>
    <row r="4299" spans="11:11">
      <c r="K4299" s="28" t="str">
        <f t="shared" si="67"/>
        <v>Quarter 1 1900</v>
      </c>
    </row>
    <row r="4300" spans="11:11">
      <c r="K4300" s="28" t="str">
        <f t="shared" si="67"/>
        <v>Quarter 1 1900</v>
      </c>
    </row>
    <row r="4301" spans="11:11">
      <c r="K4301" s="28" t="str">
        <f t="shared" si="67"/>
        <v>Quarter 1 1900</v>
      </c>
    </row>
    <row r="4302" spans="11:11">
      <c r="K4302" s="28" t="str">
        <f t="shared" si="67"/>
        <v>Quarter 1 1900</v>
      </c>
    </row>
    <row r="4303" spans="11:11">
      <c r="K4303" s="28" t="str">
        <f t="shared" si="67"/>
        <v>Quarter 1 1900</v>
      </c>
    </row>
    <row r="4304" spans="11:11">
      <c r="K4304" s="28" t="str">
        <f t="shared" si="67"/>
        <v>Quarter 1 1900</v>
      </c>
    </row>
    <row r="4305" spans="11:11">
      <c r="K4305" s="28" t="str">
        <f t="shared" si="67"/>
        <v>Quarter 1 1900</v>
      </c>
    </row>
    <row r="4306" spans="11:11">
      <c r="K4306" s="28" t="str">
        <f t="shared" ref="K4306:K4369" si="68">"Quarter "&amp;INT((MONTH(B4306)-1)/3)+1&amp;" "&amp;YEAR(B4306)</f>
        <v>Quarter 1 1900</v>
      </c>
    </row>
    <row r="4307" spans="11:11">
      <c r="K4307" s="28" t="str">
        <f t="shared" si="68"/>
        <v>Quarter 1 1900</v>
      </c>
    </row>
    <row r="4308" spans="11:11">
      <c r="K4308" s="28" t="str">
        <f t="shared" si="68"/>
        <v>Quarter 1 1900</v>
      </c>
    </row>
    <row r="4309" spans="11:11">
      <c r="K4309" s="28" t="str">
        <f t="shared" si="68"/>
        <v>Quarter 1 1900</v>
      </c>
    </row>
    <row r="4310" spans="11:11">
      <c r="K4310" s="28" t="str">
        <f t="shared" si="68"/>
        <v>Quarter 1 1900</v>
      </c>
    </row>
    <row r="4311" spans="11:11">
      <c r="K4311" s="28" t="str">
        <f t="shared" si="68"/>
        <v>Quarter 1 1900</v>
      </c>
    </row>
    <row r="4312" spans="11:11">
      <c r="K4312" s="28" t="str">
        <f t="shared" si="68"/>
        <v>Quarter 1 1900</v>
      </c>
    </row>
    <row r="4313" spans="11:11">
      <c r="K4313" s="28" t="str">
        <f t="shared" si="68"/>
        <v>Quarter 1 1900</v>
      </c>
    </row>
    <row r="4314" spans="11:11">
      <c r="K4314" s="28" t="str">
        <f t="shared" si="68"/>
        <v>Quarter 1 1900</v>
      </c>
    </row>
    <row r="4315" spans="11:11">
      <c r="K4315" s="28" t="str">
        <f t="shared" si="68"/>
        <v>Quarter 1 1900</v>
      </c>
    </row>
    <row r="4316" spans="11:11">
      <c r="K4316" s="28" t="str">
        <f t="shared" si="68"/>
        <v>Quarter 1 1900</v>
      </c>
    </row>
    <row r="4317" spans="11:11">
      <c r="K4317" s="28" t="str">
        <f t="shared" si="68"/>
        <v>Quarter 1 1900</v>
      </c>
    </row>
    <row r="4318" spans="11:11">
      <c r="K4318" s="28" t="str">
        <f t="shared" si="68"/>
        <v>Quarter 1 1900</v>
      </c>
    </row>
    <row r="4319" spans="11:11">
      <c r="K4319" s="28" t="str">
        <f t="shared" si="68"/>
        <v>Quarter 1 1900</v>
      </c>
    </row>
    <row r="4320" spans="11:11">
      <c r="K4320" s="28" t="str">
        <f t="shared" si="68"/>
        <v>Quarter 1 1900</v>
      </c>
    </row>
    <row r="4321" spans="11:11">
      <c r="K4321" s="28" t="str">
        <f t="shared" si="68"/>
        <v>Quarter 1 1900</v>
      </c>
    </row>
    <row r="4322" spans="11:11">
      <c r="K4322" s="28" t="str">
        <f t="shared" si="68"/>
        <v>Quarter 1 1900</v>
      </c>
    </row>
    <row r="4323" spans="11:11">
      <c r="K4323" s="28" t="str">
        <f t="shared" si="68"/>
        <v>Quarter 1 1900</v>
      </c>
    </row>
    <row r="4324" spans="11:11">
      <c r="K4324" s="28" t="str">
        <f t="shared" si="68"/>
        <v>Quarter 1 1900</v>
      </c>
    </row>
    <row r="4325" spans="11:11">
      <c r="K4325" s="28" t="str">
        <f t="shared" si="68"/>
        <v>Quarter 1 1900</v>
      </c>
    </row>
    <row r="4326" spans="11:11">
      <c r="K4326" s="28" t="str">
        <f t="shared" si="68"/>
        <v>Quarter 1 1900</v>
      </c>
    </row>
    <row r="4327" spans="11:11">
      <c r="K4327" s="28" t="str">
        <f t="shared" si="68"/>
        <v>Quarter 1 1900</v>
      </c>
    </row>
    <row r="4328" spans="11:11">
      <c r="K4328" s="28" t="str">
        <f t="shared" si="68"/>
        <v>Quarter 1 1900</v>
      </c>
    </row>
    <row r="4329" spans="11:11">
      <c r="K4329" s="28" t="str">
        <f t="shared" si="68"/>
        <v>Quarter 1 1900</v>
      </c>
    </row>
    <row r="4330" spans="11:11">
      <c r="K4330" s="28" t="str">
        <f t="shared" si="68"/>
        <v>Quarter 1 1900</v>
      </c>
    </row>
    <row r="4331" spans="11:11">
      <c r="K4331" s="28" t="str">
        <f t="shared" si="68"/>
        <v>Quarter 1 1900</v>
      </c>
    </row>
    <row r="4332" spans="11:11">
      <c r="K4332" s="28" t="str">
        <f t="shared" si="68"/>
        <v>Quarter 1 1900</v>
      </c>
    </row>
    <row r="4333" spans="11:11">
      <c r="K4333" s="28" t="str">
        <f t="shared" si="68"/>
        <v>Quarter 1 1900</v>
      </c>
    </row>
    <row r="4334" spans="11:11">
      <c r="K4334" s="28" t="str">
        <f t="shared" si="68"/>
        <v>Quarter 1 1900</v>
      </c>
    </row>
    <row r="4335" spans="11:11">
      <c r="K4335" s="28" t="str">
        <f t="shared" si="68"/>
        <v>Quarter 1 1900</v>
      </c>
    </row>
    <row r="4336" spans="11:11">
      <c r="K4336" s="28" t="str">
        <f t="shared" si="68"/>
        <v>Quarter 1 1900</v>
      </c>
    </row>
    <row r="4337" spans="11:11">
      <c r="K4337" s="28" t="str">
        <f t="shared" si="68"/>
        <v>Quarter 1 1900</v>
      </c>
    </row>
    <row r="4338" spans="11:11">
      <c r="K4338" s="28" t="str">
        <f t="shared" si="68"/>
        <v>Quarter 1 1900</v>
      </c>
    </row>
    <row r="4339" spans="11:11">
      <c r="K4339" s="28" t="str">
        <f t="shared" si="68"/>
        <v>Quarter 1 1900</v>
      </c>
    </row>
    <row r="4340" spans="11:11">
      <c r="K4340" s="28" t="str">
        <f t="shared" si="68"/>
        <v>Quarter 1 1900</v>
      </c>
    </row>
    <row r="4341" spans="11:11">
      <c r="K4341" s="28" t="str">
        <f t="shared" si="68"/>
        <v>Quarter 1 1900</v>
      </c>
    </row>
    <row r="4342" spans="11:11">
      <c r="K4342" s="28" t="str">
        <f t="shared" si="68"/>
        <v>Quarter 1 1900</v>
      </c>
    </row>
    <row r="4343" spans="11:11">
      <c r="K4343" s="28" t="str">
        <f t="shared" si="68"/>
        <v>Quarter 1 1900</v>
      </c>
    </row>
    <row r="4344" spans="11:11">
      <c r="K4344" s="28" t="str">
        <f t="shared" si="68"/>
        <v>Quarter 1 1900</v>
      </c>
    </row>
    <row r="4345" spans="11:11">
      <c r="K4345" s="28" t="str">
        <f t="shared" si="68"/>
        <v>Quarter 1 1900</v>
      </c>
    </row>
    <row r="4346" spans="11:11">
      <c r="K4346" s="28" t="str">
        <f t="shared" si="68"/>
        <v>Quarter 1 1900</v>
      </c>
    </row>
    <row r="4347" spans="11:11">
      <c r="K4347" s="28" t="str">
        <f t="shared" si="68"/>
        <v>Quarter 1 1900</v>
      </c>
    </row>
    <row r="4348" spans="11:11">
      <c r="K4348" s="28" t="str">
        <f t="shared" si="68"/>
        <v>Quarter 1 1900</v>
      </c>
    </row>
    <row r="4349" spans="11:11">
      <c r="K4349" s="28" t="str">
        <f t="shared" si="68"/>
        <v>Quarter 1 1900</v>
      </c>
    </row>
    <row r="4350" spans="11:11">
      <c r="K4350" s="28" t="str">
        <f t="shared" si="68"/>
        <v>Quarter 1 1900</v>
      </c>
    </row>
    <row r="4351" spans="11:11">
      <c r="K4351" s="28" t="str">
        <f t="shared" si="68"/>
        <v>Quarter 1 1900</v>
      </c>
    </row>
    <row r="4352" spans="11:11">
      <c r="K4352" s="28" t="str">
        <f t="shared" si="68"/>
        <v>Quarter 1 1900</v>
      </c>
    </row>
    <row r="4353" spans="11:11">
      <c r="K4353" s="28" t="str">
        <f t="shared" si="68"/>
        <v>Quarter 1 1900</v>
      </c>
    </row>
    <row r="4354" spans="11:11">
      <c r="K4354" s="28" t="str">
        <f t="shared" si="68"/>
        <v>Quarter 1 1900</v>
      </c>
    </row>
    <row r="4355" spans="11:11">
      <c r="K4355" s="28" t="str">
        <f t="shared" si="68"/>
        <v>Quarter 1 1900</v>
      </c>
    </row>
    <row r="4356" spans="11:11">
      <c r="K4356" s="28" t="str">
        <f t="shared" si="68"/>
        <v>Quarter 1 1900</v>
      </c>
    </row>
    <row r="4357" spans="11:11">
      <c r="K4357" s="28" t="str">
        <f t="shared" si="68"/>
        <v>Quarter 1 1900</v>
      </c>
    </row>
    <row r="4358" spans="11:11">
      <c r="K4358" s="28" t="str">
        <f t="shared" si="68"/>
        <v>Quarter 1 1900</v>
      </c>
    </row>
    <row r="4359" spans="11:11">
      <c r="K4359" s="28" t="str">
        <f t="shared" si="68"/>
        <v>Quarter 1 1900</v>
      </c>
    </row>
    <row r="4360" spans="11:11">
      <c r="K4360" s="28" t="str">
        <f t="shared" si="68"/>
        <v>Quarter 1 1900</v>
      </c>
    </row>
    <row r="4361" spans="11:11">
      <c r="K4361" s="28" t="str">
        <f t="shared" si="68"/>
        <v>Quarter 1 1900</v>
      </c>
    </row>
    <row r="4362" spans="11:11">
      <c r="K4362" s="28" t="str">
        <f t="shared" si="68"/>
        <v>Quarter 1 1900</v>
      </c>
    </row>
    <row r="4363" spans="11:11">
      <c r="K4363" s="28" t="str">
        <f t="shared" si="68"/>
        <v>Quarter 1 1900</v>
      </c>
    </row>
    <row r="4364" spans="11:11">
      <c r="K4364" s="28" t="str">
        <f t="shared" si="68"/>
        <v>Quarter 1 1900</v>
      </c>
    </row>
    <row r="4365" spans="11:11">
      <c r="K4365" s="28" t="str">
        <f t="shared" si="68"/>
        <v>Quarter 1 1900</v>
      </c>
    </row>
    <row r="4366" spans="11:11">
      <c r="K4366" s="28" t="str">
        <f t="shared" si="68"/>
        <v>Quarter 1 1900</v>
      </c>
    </row>
    <row r="4367" spans="11:11">
      <c r="K4367" s="28" t="str">
        <f t="shared" si="68"/>
        <v>Quarter 1 1900</v>
      </c>
    </row>
    <row r="4368" spans="11:11">
      <c r="K4368" s="28" t="str">
        <f t="shared" si="68"/>
        <v>Quarter 1 1900</v>
      </c>
    </row>
    <row r="4369" spans="11:11">
      <c r="K4369" s="28" t="str">
        <f t="shared" si="68"/>
        <v>Quarter 1 1900</v>
      </c>
    </row>
    <row r="4370" spans="11:11">
      <c r="K4370" s="28" t="str">
        <f t="shared" ref="K4370:K4433" si="69">"Quarter "&amp;INT((MONTH(B4370)-1)/3)+1&amp;" "&amp;YEAR(B4370)</f>
        <v>Quarter 1 1900</v>
      </c>
    </row>
    <row r="4371" spans="11:11">
      <c r="K4371" s="28" t="str">
        <f t="shared" si="69"/>
        <v>Quarter 1 1900</v>
      </c>
    </row>
    <row r="4372" spans="11:11">
      <c r="K4372" s="28" t="str">
        <f t="shared" si="69"/>
        <v>Quarter 1 1900</v>
      </c>
    </row>
    <row r="4373" spans="11:11">
      <c r="K4373" s="28" t="str">
        <f t="shared" si="69"/>
        <v>Quarter 1 1900</v>
      </c>
    </row>
    <row r="4374" spans="11:11">
      <c r="K4374" s="28" t="str">
        <f t="shared" si="69"/>
        <v>Quarter 1 1900</v>
      </c>
    </row>
    <row r="4375" spans="11:11">
      <c r="K4375" s="28" t="str">
        <f t="shared" si="69"/>
        <v>Quarter 1 1900</v>
      </c>
    </row>
    <row r="4376" spans="11:11">
      <c r="K4376" s="28" t="str">
        <f t="shared" si="69"/>
        <v>Quarter 1 1900</v>
      </c>
    </row>
    <row r="4377" spans="11:11">
      <c r="K4377" s="28" t="str">
        <f t="shared" si="69"/>
        <v>Quarter 1 1900</v>
      </c>
    </row>
    <row r="4378" spans="11:11">
      <c r="K4378" s="28" t="str">
        <f t="shared" si="69"/>
        <v>Quarter 1 1900</v>
      </c>
    </row>
    <row r="4379" spans="11:11">
      <c r="K4379" s="28" t="str">
        <f t="shared" si="69"/>
        <v>Quarter 1 1900</v>
      </c>
    </row>
    <row r="4380" spans="11:11">
      <c r="K4380" s="28" t="str">
        <f t="shared" si="69"/>
        <v>Quarter 1 1900</v>
      </c>
    </row>
    <row r="4381" spans="11:11">
      <c r="K4381" s="28" t="str">
        <f t="shared" si="69"/>
        <v>Quarter 1 1900</v>
      </c>
    </row>
    <row r="4382" spans="11:11">
      <c r="K4382" s="28" t="str">
        <f t="shared" si="69"/>
        <v>Quarter 1 1900</v>
      </c>
    </row>
    <row r="4383" spans="11:11">
      <c r="K4383" s="28" t="str">
        <f t="shared" si="69"/>
        <v>Quarter 1 1900</v>
      </c>
    </row>
    <row r="4384" spans="11:11">
      <c r="K4384" s="28" t="str">
        <f t="shared" si="69"/>
        <v>Quarter 1 1900</v>
      </c>
    </row>
    <row r="4385" spans="11:11">
      <c r="K4385" s="28" t="str">
        <f t="shared" si="69"/>
        <v>Quarter 1 1900</v>
      </c>
    </row>
    <row r="4386" spans="11:11">
      <c r="K4386" s="28" t="str">
        <f t="shared" si="69"/>
        <v>Quarter 1 1900</v>
      </c>
    </row>
    <row r="4387" spans="11:11">
      <c r="K4387" s="28" t="str">
        <f t="shared" si="69"/>
        <v>Quarter 1 1900</v>
      </c>
    </row>
    <row r="4388" spans="11:11">
      <c r="K4388" s="28" t="str">
        <f t="shared" si="69"/>
        <v>Quarter 1 1900</v>
      </c>
    </row>
    <row r="4389" spans="11:11">
      <c r="K4389" s="28" t="str">
        <f t="shared" si="69"/>
        <v>Quarter 1 1900</v>
      </c>
    </row>
    <row r="4390" spans="11:11">
      <c r="K4390" s="28" t="str">
        <f t="shared" si="69"/>
        <v>Quarter 1 1900</v>
      </c>
    </row>
    <row r="4391" spans="11:11">
      <c r="K4391" s="28" t="str">
        <f t="shared" si="69"/>
        <v>Quarter 1 1900</v>
      </c>
    </row>
    <row r="4392" spans="11:11">
      <c r="K4392" s="28" t="str">
        <f t="shared" si="69"/>
        <v>Quarter 1 1900</v>
      </c>
    </row>
    <row r="4393" spans="11:11">
      <c r="K4393" s="28" t="str">
        <f t="shared" si="69"/>
        <v>Quarter 1 1900</v>
      </c>
    </row>
    <row r="4394" spans="11:11">
      <c r="K4394" s="28" t="str">
        <f t="shared" si="69"/>
        <v>Quarter 1 1900</v>
      </c>
    </row>
    <row r="4395" spans="11:11">
      <c r="K4395" s="28" t="str">
        <f t="shared" si="69"/>
        <v>Quarter 1 1900</v>
      </c>
    </row>
    <row r="4396" spans="11:11">
      <c r="K4396" s="28" t="str">
        <f t="shared" si="69"/>
        <v>Quarter 1 1900</v>
      </c>
    </row>
    <row r="4397" spans="11:11">
      <c r="K4397" s="28" t="str">
        <f t="shared" si="69"/>
        <v>Quarter 1 1900</v>
      </c>
    </row>
    <row r="4398" spans="11:11">
      <c r="K4398" s="28" t="str">
        <f t="shared" si="69"/>
        <v>Quarter 1 1900</v>
      </c>
    </row>
    <row r="4399" spans="11:11">
      <c r="K4399" s="28" t="str">
        <f t="shared" si="69"/>
        <v>Quarter 1 1900</v>
      </c>
    </row>
    <row r="4400" spans="11:11">
      <c r="K4400" s="28" t="str">
        <f t="shared" si="69"/>
        <v>Quarter 1 1900</v>
      </c>
    </row>
    <row r="4401" spans="11:11">
      <c r="K4401" s="28" t="str">
        <f t="shared" si="69"/>
        <v>Quarter 1 1900</v>
      </c>
    </row>
    <row r="4402" spans="11:11">
      <c r="K4402" s="28" t="str">
        <f t="shared" si="69"/>
        <v>Quarter 1 1900</v>
      </c>
    </row>
    <row r="4403" spans="11:11">
      <c r="K4403" s="28" t="str">
        <f t="shared" si="69"/>
        <v>Quarter 1 1900</v>
      </c>
    </row>
    <row r="4404" spans="11:11">
      <c r="K4404" s="28" t="str">
        <f t="shared" si="69"/>
        <v>Quarter 1 1900</v>
      </c>
    </row>
    <row r="4405" spans="11:11">
      <c r="K4405" s="28" t="str">
        <f t="shared" si="69"/>
        <v>Quarter 1 1900</v>
      </c>
    </row>
    <row r="4406" spans="11:11">
      <c r="K4406" s="28" t="str">
        <f t="shared" si="69"/>
        <v>Quarter 1 1900</v>
      </c>
    </row>
    <row r="4407" spans="11:11">
      <c r="K4407" s="28" t="str">
        <f t="shared" si="69"/>
        <v>Quarter 1 1900</v>
      </c>
    </row>
    <row r="4408" spans="11:11">
      <c r="K4408" s="28" t="str">
        <f t="shared" si="69"/>
        <v>Quarter 1 1900</v>
      </c>
    </row>
    <row r="4409" spans="11:11">
      <c r="K4409" s="28" t="str">
        <f t="shared" si="69"/>
        <v>Quarter 1 1900</v>
      </c>
    </row>
    <row r="4410" spans="11:11">
      <c r="K4410" s="28" t="str">
        <f t="shared" si="69"/>
        <v>Quarter 1 1900</v>
      </c>
    </row>
    <row r="4411" spans="11:11">
      <c r="K4411" s="28" t="str">
        <f t="shared" si="69"/>
        <v>Quarter 1 1900</v>
      </c>
    </row>
    <row r="4412" spans="11:11">
      <c r="K4412" s="28" t="str">
        <f t="shared" si="69"/>
        <v>Quarter 1 1900</v>
      </c>
    </row>
    <row r="4413" spans="11:11">
      <c r="K4413" s="28" t="str">
        <f t="shared" si="69"/>
        <v>Quarter 1 1900</v>
      </c>
    </row>
    <row r="4414" spans="11:11">
      <c r="K4414" s="28" t="str">
        <f t="shared" si="69"/>
        <v>Quarter 1 1900</v>
      </c>
    </row>
    <row r="4415" spans="11:11">
      <c r="K4415" s="28" t="str">
        <f t="shared" si="69"/>
        <v>Quarter 1 1900</v>
      </c>
    </row>
    <row r="4416" spans="11:11">
      <c r="K4416" s="28" t="str">
        <f t="shared" si="69"/>
        <v>Quarter 1 1900</v>
      </c>
    </row>
    <row r="4417" spans="11:11">
      <c r="K4417" s="28" t="str">
        <f t="shared" si="69"/>
        <v>Quarter 1 1900</v>
      </c>
    </row>
    <row r="4418" spans="11:11">
      <c r="K4418" s="28" t="str">
        <f t="shared" si="69"/>
        <v>Quarter 1 1900</v>
      </c>
    </row>
    <row r="4419" spans="11:11">
      <c r="K4419" s="28" t="str">
        <f t="shared" si="69"/>
        <v>Quarter 1 1900</v>
      </c>
    </row>
    <row r="4420" spans="11:11">
      <c r="K4420" s="28" t="str">
        <f t="shared" si="69"/>
        <v>Quarter 1 1900</v>
      </c>
    </row>
    <row r="4421" spans="11:11">
      <c r="K4421" s="28" t="str">
        <f t="shared" si="69"/>
        <v>Quarter 1 1900</v>
      </c>
    </row>
    <row r="4422" spans="11:11">
      <c r="K4422" s="28" t="str">
        <f t="shared" si="69"/>
        <v>Quarter 1 1900</v>
      </c>
    </row>
    <row r="4423" spans="11:11">
      <c r="K4423" s="28" t="str">
        <f t="shared" si="69"/>
        <v>Quarter 1 1900</v>
      </c>
    </row>
    <row r="4424" spans="11:11">
      <c r="K4424" s="28" t="str">
        <f t="shared" si="69"/>
        <v>Quarter 1 1900</v>
      </c>
    </row>
    <row r="4425" spans="11:11">
      <c r="K4425" s="28" t="str">
        <f t="shared" si="69"/>
        <v>Quarter 1 1900</v>
      </c>
    </row>
    <row r="4426" spans="11:11">
      <c r="K4426" s="28" t="str">
        <f t="shared" si="69"/>
        <v>Quarter 1 1900</v>
      </c>
    </row>
    <row r="4427" spans="11:11">
      <c r="K4427" s="28" t="str">
        <f t="shared" si="69"/>
        <v>Quarter 1 1900</v>
      </c>
    </row>
    <row r="4428" spans="11:11">
      <c r="K4428" s="28" t="str">
        <f t="shared" si="69"/>
        <v>Quarter 1 1900</v>
      </c>
    </row>
    <row r="4429" spans="11:11">
      <c r="K4429" s="28" t="str">
        <f t="shared" si="69"/>
        <v>Quarter 1 1900</v>
      </c>
    </row>
    <row r="4430" spans="11:11">
      <c r="K4430" s="28" t="str">
        <f t="shared" si="69"/>
        <v>Quarter 1 1900</v>
      </c>
    </row>
    <row r="4431" spans="11:11">
      <c r="K4431" s="28" t="str">
        <f t="shared" si="69"/>
        <v>Quarter 1 1900</v>
      </c>
    </row>
    <row r="4432" spans="11:11">
      <c r="K4432" s="28" t="str">
        <f t="shared" si="69"/>
        <v>Quarter 1 1900</v>
      </c>
    </row>
    <row r="4433" spans="11:11">
      <c r="K4433" s="28" t="str">
        <f t="shared" si="69"/>
        <v>Quarter 1 1900</v>
      </c>
    </row>
    <row r="4434" spans="11:11">
      <c r="K4434" s="28" t="str">
        <f t="shared" ref="K4434:K4497" si="70">"Quarter "&amp;INT((MONTH(B4434)-1)/3)+1&amp;" "&amp;YEAR(B4434)</f>
        <v>Quarter 1 1900</v>
      </c>
    </row>
    <row r="4435" spans="11:11">
      <c r="K4435" s="28" t="str">
        <f t="shared" si="70"/>
        <v>Quarter 1 1900</v>
      </c>
    </row>
    <row r="4436" spans="11:11">
      <c r="K4436" s="28" t="str">
        <f t="shared" si="70"/>
        <v>Quarter 1 1900</v>
      </c>
    </row>
    <row r="4437" spans="11:11">
      <c r="K4437" s="28" t="str">
        <f t="shared" si="70"/>
        <v>Quarter 1 1900</v>
      </c>
    </row>
    <row r="4438" spans="11:11">
      <c r="K4438" s="28" t="str">
        <f t="shared" si="70"/>
        <v>Quarter 1 1900</v>
      </c>
    </row>
    <row r="4439" spans="11:11">
      <c r="K4439" s="28" t="str">
        <f t="shared" si="70"/>
        <v>Quarter 1 1900</v>
      </c>
    </row>
    <row r="4440" spans="11:11">
      <c r="K4440" s="28" t="str">
        <f t="shared" si="70"/>
        <v>Quarter 1 1900</v>
      </c>
    </row>
    <row r="4441" spans="11:11">
      <c r="K4441" s="28" t="str">
        <f t="shared" si="70"/>
        <v>Quarter 1 1900</v>
      </c>
    </row>
    <row r="4442" spans="11:11">
      <c r="K4442" s="28" t="str">
        <f t="shared" si="70"/>
        <v>Quarter 1 1900</v>
      </c>
    </row>
    <row r="4443" spans="11:11">
      <c r="K4443" s="28" t="str">
        <f t="shared" si="70"/>
        <v>Quarter 1 1900</v>
      </c>
    </row>
    <row r="4444" spans="11:11">
      <c r="K4444" s="28" t="str">
        <f t="shared" si="70"/>
        <v>Quarter 1 1900</v>
      </c>
    </row>
    <row r="4445" spans="11:11">
      <c r="K4445" s="28" t="str">
        <f t="shared" si="70"/>
        <v>Quarter 1 1900</v>
      </c>
    </row>
    <row r="4446" spans="11:11">
      <c r="K4446" s="28" t="str">
        <f t="shared" si="70"/>
        <v>Quarter 1 1900</v>
      </c>
    </row>
    <row r="4447" spans="11:11">
      <c r="K4447" s="28" t="str">
        <f t="shared" si="70"/>
        <v>Quarter 1 1900</v>
      </c>
    </row>
    <row r="4448" spans="11:11">
      <c r="K4448" s="28" t="str">
        <f t="shared" si="70"/>
        <v>Quarter 1 1900</v>
      </c>
    </row>
    <row r="4449" spans="11:11">
      <c r="K4449" s="28" t="str">
        <f t="shared" si="70"/>
        <v>Quarter 1 1900</v>
      </c>
    </row>
    <row r="4450" spans="11:11">
      <c r="K4450" s="28" t="str">
        <f t="shared" si="70"/>
        <v>Quarter 1 1900</v>
      </c>
    </row>
    <row r="4451" spans="11:11">
      <c r="K4451" s="28" t="str">
        <f t="shared" si="70"/>
        <v>Quarter 1 1900</v>
      </c>
    </row>
    <row r="4452" spans="11:11">
      <c r="K4452" s="28" t="str">
        <f t="shared" si="70"/>
        <v>Quarter 1 1900</v>
      </c>
    </row>
    <row r="4453" spans="11:11">
      <c r="K4453" s="28" t="str">
        <f t="shared" si="70"/>
        <v>Quarter 1 1900</v>
      </c>
    </row>
    <row r="4454" spans="11:11">
      <c r="K4454" s="28" t="str">
        <f t="shared" si="70"/>
        <v>Quarter 1 1900</v>
      </c>
    </row>
    <row r="4455" spans="11:11">
      <c r="K4455" s="28" t="str">
        <f t="shared" si="70"/>
        <v>Quarter 1 1900</v>
      </c>
    </row>
    <row r="4456" spans="11:11">
      <c r="K4456" s="28" t="str">
        <f t="shared" si="70"/>
        <v>Quarter 1 1900</v>
      </c>
    </row>
    <row r="4457" spans="11:11">
      <c r="K4457" s="28" t="str">
        <f t="shared" si="70"/>
        <v>Quarter 1 1900</v>
      </c>
    </row>
    <row r="4458" spans="11:11">
      <c r="K4458" s="28" t="str">
        <f t="shared" si="70"/>
        <v>Quarter 1 1900</v>
      </c>
    </row>
    <row r="4459" spans="11:11">
      <c r="K4459" s="28" t="str">
        <f t="shared" si="70"/>
        <v>Quarter 1 1900</v>
      </c>
    </row>
    <row r="4460" spans="11:11">
      <c r="K4460" s="28" t="str">
        <f t="shared" si="70"/>
        <v>Quarter 1 1900</v>
      </c>
    </row>
    <row r="4461" spans="11:11">
      <c r="K4461" s="28" t="str">
        <f t="shared" si="70"/>
        <v>Quarter 1 1900</v>
      </c>
    </row>
    <row r="4462" spans="11:11">
      <c r="K4462" s="28" t="str">
        <f t="shared" si="70"/>
        <v>Quarter 1 1900</v>
      </c>
    </row>
    <row r="4463" spans="11:11">
      <c r="K4463" s="28" t="str">
        <f t="shared" si="70"/>
        <v>Quarter 1 1900</v>
      </c>
    </row>
    <row r="4464" spans="11:11">
      <c r="K4464" s="28" t="str">
        <f t="shared" si="70"/>
        <v>Quarter 1 1900</v>
      </c>
    </row>
    <row r="4465" spans="11:11">
      <c r="K4465" s="28" t="str">
        <f t="shared" si="70"/>
        <v>Quarter 1 1900</v>
      </c>
    </row>
    <row r="4466" spans="11:11">
      <c r="K4466" s="28" t="str">
        <f t="shared" si="70"/>
        <v>Quarter 1 1900</v>
      </c>
    </row>
    <row r="4467" spans="11:11">
      <c r="K4467" s="28" t="str">
        <f t="shared" si="70"/>
        <v>Quarter 1 1900</v>
      </c>
    </row>
    <row r="4468" spans="11:11">
      <c r="K4468" s="28" t="str">
        <f t="shared" si="70"/>
        <v>Quarter 1 1900</v>
      </c>
    </row>
    <row r="4469" spans="11:11">
      <c r="K4469" s="28" t="str">
        <f t="shared" si="70"/>
        <v>Quarter 1 1900</v>
      </c>
    </row>
    <row r="4470" spans="11:11">
      <c r="K4470" s="28" t="str">
        <f t="shared" si="70"/>
        <v>Quarter 1 1900</v>
      </c>
    </row>
    <row r="4471" spans="11:11">
      <c r="K4471" s="28" t="str">
        <f t="shared" si="70"/>
        <v>Quarter 1 1900</v>
      </c>
    </row>
    <row r="4472" spans="11:11">
      <c r="K4472" s="28" t="str">
        <f t="shared" si="70"/>
        <v>Quarter 1 1900</v>
      </c>
    </row>
    <row r="4473" spans="11:11">
      <c r="K4473" s="28" t="str">
        <f t="shared" si="70"/>
        <v>Quarter 1 1900</v>
      </c>
    </row>
    <row r="4474" spans="11:11">
      <c r="K4474" s="28" t="str">
        <f t="shared" si="70"/>
        <v>Quarter 1 1900</v>
      </c>
    </row>
    <row r="4475" spans="11:11">
      <c r="K4475" s="28" t="str">
        <f t="shared" si="70"/>
        <v>Quarter 1 1900</v>
      </c>
    </row>
    <row r="4476" spans="11:11">
      <c r="K4476" s="28" t="str">
        <f t="shared" si="70"/>
        <v>Quarter 1 1900</v>
      </c>
    </row>
    <row r="4477" spans="11:11">
      <c r="K4477" s="28" t="str">
        <f t="shared" si="70"/>
        <v>Quarter 1 1900</v>
      </c>
    </row>
    <row r="4478" spans="11:11">
      <c r="K4478" s="28" t="str">
        <f t="shared" si="70"/>
        <v>Quarter 1 1900</v>
      </c>
    </row>
    <row r="4479" spans="11:11">
      <c r="K4479" s="28" t="str">
        <f t="shared" si="70"/>
        <v>Quarter 1 1900</v>
      </c>
    </row>
    <row r="4480" spans="11:11">
      <c r="K4480" s="28" t="str">
        <f t="shared" si="70"/>
        <v>Quarter 1 1900</v>
      </c>
    </row>
    <row r="4481" spans="11:11">
      <c r="K4481" s="28" t="str">
        <f t="shared" si="70"/>
        <v>Quarter 1 1900</v>
      </c>
    </row>
    <row r="4482" spans="11:11">
      <c r="K4482" s="28" t="str">
        <f t="shared" si="70"/>
        <v>Quarter 1 1900</v>
      </c>
    </row>
    <row r="4483" spans="11:11">
      <c r="K4483" s="28" t="str">
        <f t="shared" si="70"/>
        <v>Quarter 1 1900</v>
      </c>
    </row>
    <row r="4484" spans="11:11">
      <c r="K4484" s="28" t="str">
        <f t="shared" si="70"/>
        <v>Quarter 1 1900</v>
      </c>
    </row>
    <row r="4485" spans="11:11">
      <c r="K4485" s="28" t="str">
        <f t="shared" si="70"/>
        <v>Quarter 1 1900</v>
      </c>
    </row>
    <row r="4486" spans="11:11">
      <c r="K4486" s="28" t="str">
        <f t="shared" si="70"/>
        <v>Quarter 1 1900</v>
      </c>
    </row>
    <row r="4487" spans="11:11">
      <c r="K4487" s="28" t="str">
        <f t="shared" si="70"/>
        <v>Quarter 1 1900</v>
      </c>
    </row>
    <row r="4488" spans="11:11">
      <c r="K4488" s="28" t="str">
        <f t="shared" si="70"/>
        <v>Quarter 1 1900</v>
      </c>
    </row>
    <row r="4489" spans="11:11">
      <c r="K4489" s="28" t="str">
        <f t="shared" si="70"/>
        <v>Quarter 1 1900</v>
      </c>
    </row>
    <row r="4490" spans="11:11">
      <c r="K4490" s="28" t="str">
        <f t="shared" si="70"/>
        <v>Quarter 1 1900</v>
      </c>
    </row>
    <row r="4491" spans="11:11">
      <c r="K4491" s="28" t="str">
        <f t="shared" si="70"/>
        <v>Quarter 1 1900</v>
      </c>
    </row>
    <row r="4492" spans="11:11">
      <c r="K4492" s="28" t="str">
        <f t="shared" si="70"/>
        <v>Quarter 1 1900</v>
      </c>
    </row>
    <row r="4493" spans="11:11">
      <c r="K4493" s="28" t="str">
        <f t="shared" si="70"/>
        <v>Quarter 1 1900</v>
      </c>
    </row>
    <row r="4494" spans="11:11">
      <c r="K4494" s="28" t="str">
        <f t="shared" si="70"/>
        <v>Quarter 1 1900</v>
      </c>
    </row>
    <row r="4495" spans="11:11">
      <c r="K4495" s="28" t="str">
        <f t="shared" si="70"/>
        <v>Quarter 1 1900</v>
      </c>
    </row>
    <row r="4496" spans="11:11">
      <c r="K4496" s="28" t="str">
        <f t="shared" si="70"/>
        <v>Quarter 1 1900</v>
      </c>
    </row>
    <row r="4497" spans="11:11">
      <c r="K4497" s="28" t="str">
        <f t="shared" si="70"/>
        <v>Quarter 1 1900</v>
      </c>
    </row>
    <row r="4498" spans="11:11">
      <c r="K4498" s="28" t="str">
        <f t="shared" ref="K4498:K4561" si="71">"Quarter "&amp;INT((MONTH(B4498)-1)/3)+1&amp;" "&amp;YEAR(B4498)</f>
        <v>Quarter 1 1900</v>
      </c>
    </row>
    <row r="4499" spans="11:11">
      <c r="K4499" s="28" t="str">
        <f t="shared" si="71"/>
        <v>Quarter 1 1900</v>
      </c>
    </row>
    <row r="4500" spans="11:11">
      <c r="K4500" s="28" t="str">
        <f t="shared" si="71"/>
        <v>Quarter 1 1900</v>
      </c>
    </row>
    <row r="4501" spans="11:11">
      <c r="K4501" s="28" t="str">
        <f t="shared" si="71"/>
        <v>Quarter 1 1900</v>
      </c>
    </row>
    <row r="4502" spans="11:11">
      <c r="K4502" s="28" t="str">
        <f t="shared" si="71"/>
        <v>Quarter 1 1900</v>
      </c>
    </row>
    <row r="4503" spans="11:11">
      <c r="K4503" s="28" t="str">
        <f t="shared" si="71"/>
        <v>Quarter 1 1900</v>
      </c>
    </row>
    <row r="4504" spans="11:11">
      <c r="K4504" s="28" t="str">
        <f t="shared" si="71"/>
        <v>Quarter 1 1900</v>
      </c>
    </row>
    <row r="4505" spans="11:11">
      <c r="K4505" s="28" t="str">
        <f t="shared" si="71"/>
        <v>Quarter 1 1900</v>
      </c>
    </row>
    <row r="4506" spans="11:11">
      <c r="K4506" s="28" t="str">
        <f t="shared" si="71"/>
        <v>Quarter 1 1900</v>
      </c>
    </row>
    <row r="4507" spans="11:11">
      <c r="K4507" s="28" t="str">
        <f t="shared" si="71"/>
        <v>Quarter 1 1900</v>
      </c>
    </row>
    <row r="4508" spans="11:11">
      <c r="K4508" s="28" t="str">
        <f t="shared" si="71"/>
        <v>Quarter 1 1900</v>
      </c>
    </row>
    <row r="4509" spans="11:11">
      <c r="K4509" s="28" t="str">
        <f t="shared" si="71"/>
        <v>Quarter 1 1900</v>
      </c>
    </row>
    <row r="4510" spans="11:11">
      <c r="K4510" s="28" t="str">
        <f t="shared" si="71"/>
        <v>Quarter 1 1900</v>
      </c>
    </row>
    <row r="4511" spans="11:11">
      <c r="K4511" s="28" t="str">
        <f t="shared" si="71"/>
        <v>Quarter 1 1900</v>
      </c>
    </row>
    <row r="4512" spans="11:11">
      <c r="K4512" s="28" t="str">
        <f t="shared" si="71"/>
        <v>Quarter 1 1900</v>
      </c>
    </row>
    <row r="4513" spans="11:11">
      <c r="K4513" s="28" t="str">
        <f t="shared" si="71"/>
        <v>Quarter 1 1900</v>
      </c>
    </row>
    <row r="4514" spans="11:11">
      <c r="K4514" s="28" t="str">
        <f t="shared" si="71"/>
        <v>Quarter 1 1900</v>
      </c>
    </row>
    <row r="4515" spans="11:11">
      <c r="K4515" s="28" t="str">
        <f t="shared" si="71"/>
        <v>Quarter 1 1900</v>
      </c>
    </row>
    <row r="4516" spans="11:11">
      <c r="K4516" s="28" t="str">
        <f t="shared" si="71"/>
        <v>Quarter 1 1900</v>
      </c>
    </row>
    <row r="4517" spans="11:11">
      <c r="K4517" s="28" t="str">
        <f t="shared" si="71"/>
        <v>Quarter 1 1900</v>
      </c>
    </row>
    <row r="4518" spans="11:11">
      <c r="K4518" s="28" t="str">
        <f t="shared" si="71"/>
        <v>Quarter 1 1900</v>
      </c>
    </row>
    <row r="4519" spans="11:11">
      <c r="K4519" s="28" t="str">
        <f t="shared" si="71"/>
        <v>Quarter 1 1900</v>
      </c>
    </row>
    <row r="4520" spans="11:11">
      <c r="K4520" s="28" t="str">
        <f t="shared" si="71"/>
        <v>Quarter 1 1900</v>
      </c>
    </row>
    <row r="4521" spans="11:11">
      <c r="K4521" s="28" t="str">
        <f t="shared" si="71"/>
        <v>Quarter 1 1900</v>
      </c>
    </row>
    <row r="4522" spans="11:11">
      <c r="K4522" s="28" t="str">
        <f t="shared" si="71"/>
        <v>Quarter 1 1900</v>
      </c>
    </row>
    <row r="4523" spans="11:11">
      <c r="K4523" s="28" t="str">
        <f t="shared" si="71"/>
        <v>Quarter 1 1900</v>
      </c>
    </row>
    <row r="4524" spans="11:11">
      <c r="K4524" s="28" t="str">
        <f t="shared" si="71"/>
        <v>Quarter 1 1900</v>
      </c>
    </row>
    <row r="4525" spans="11:11">
      <c r="K4525" s="28" t="str">
        <f t="shared" si="71"/>
        <v>Quarter 1 1900</v>
      </c>
    </row>
    <row r="4526" spans="11:11">
      <c r="K4526" s="28" t="str">
        <f t="shared" si="71"/>
        <v>Quarter 1 1900</v>
      </c>
    </row>
    <row r="4527" spans="11:11">
      <c r="K4527" s="28" t="str">
        <f t="shared" si="71"/>
        <v>Quarter 1 1900</v>
      </c>
    </row>
    <row r="4528" spans="11:11">
      <c r="K4528" s="28" t="str">
        <f t="shared" si="71"/>
        <v>Quarter 1 1900</v>
      </c>
    </row>
    <row r="4529" spans="11:11">
      <c r="K4529" s="28" t="str">
        <f t="shared" si="71"/>
        <v>Quarter 1 1900</v>
      </c>
    </row>
    <row r="4530" spans="11:11">
      <c r="K4530" s="28" t="str">
        <f t="shared" si="71"/>
        <v>Quarter 1 1900</v>
      </c>
    </row>
    <row r="4531" spans="11:11">
      <c r="K4531" s="28" t="str">
        <f t="shared" si="71"/>
        <v>Quarter 1 1900</v>
      </c>
    </row>
    <row r="4532" spans="11:11">
      <c r="K4532" s="28" t="str">
        <f t="shared" si="71"/>
        <v>Quarter 1 1900</v>
      </c>
    </row>
    <row r="4533" spans="11:11">
      <c r="K4533" s="28" t="str">
        <f t="shared" si="71"/>
        <v>Quarter 1 1900</v>
      </c>
    </row>
    <row r="4534" spans="11:11">
      <c r="K4534" s="28" t="str">
        <f t="shared" si="71"/>
        <v>Quarter 1 1900</v>
      </c>
    </row>
    <row r="4535" spans="11:11">
      <c r="K4535" s="28" t="str">
        <f t="shared" si="71"/>
        <v>Quarter 1 1900</v>
      </c>
    </row>
    <row r="4536" spans="11:11">
      <c r="K4536" s="28" t="str">
        <f t="shared" si="71"/>
        <v>Quarter 1 1900</v>
      </c>
    </row>
    <row r="4537" spans="11:11">
      <c r="K4537" s="28" t="str">
        <f t="shared" si="71"/>
        <v>Quarter 1 1900</v>
      </c>
    </row>
    <row r="4538" spans="11:11">
      <c r="K4538" s="28" t="str">
        <f t="shared" si="71"/>
        <v>Quarter 1 1900</v>
      </c>
    </row>
    <row r="4539" spans="11:11">
      <c r="K4539" s="28" t="str">
        <f t="shared" si="71"/>
        <v>Quarter 1 1900</v>
      </c>
    </row>
    <row r="4540" spans="11:11">
      <c r="K4540" s="28" t="str">
        <f t="shared" si="71"/>
        <v>Quarter 1 1900</v>
      </c>
    </row>
    <row r="4541" spans="11:11">
      <c r="K4541" s="28" t="str">
        <f t="shared" si="71"/>
        <v>Quarter 1 1900</v>
      </c>
    </row>
    <row r="4542" spans="11:11">
      <c r="K4542" s="28" t="str">
        <f t="shared" si="71"/>
        <v>Quarter 1 1900</v>
      </c>
    </row>
    <row r="4543" spans="11:11">
      <c r="K4543" s="28" t="str">
        <f t="shared" si="71"/>
        <v>Quarter 1 1900</v>
      </c>
    </row>
    <row r="4544" spans="11:11">
      <c r="K4544" s="28" t="str">
        <f t="shared" si="71"/>
        <v>Quarter 1 1900</v>
      </c>
    </row>
    <row r="4545" spans="11:11">
      <c r="K4545" s="28" t="str">
        <f t="shared" si="71"/>
        <v>Quarter 1 1900</v>
      </c>
    </row>
    <row r="4546" spans="11:11">
      <c r="K4546" s="28" t="str">
        <f t="shared" si="71"/>
        <v>Quarter 1 1900</v>
      </c>
    </row>
    <row r="4547" spans="11:11">
      <c r="K4547" s="28" t="str">
        <f t="shared" si="71"/>
        <v>Quarter 1 1900</v>
      </c>
    </row>
    <row r="4548" spans="11:11">
      <c r="K4548" s="28" t="str">
        <f t="shared" si="71"/>
        <v>Quarter 1 1900</v>
      </c>
    </row>
    <row r="4549" spans="11:11">
      <c r="K4549" s="28" t="str">
        <f t="shared" si="71"/>
        <v>Quarter 1 1900</v>
      </c>
    </row>
    <row r="4550" spans="11:11">
      <c r="K4550" s="28" t="str">
        <f t="shared" si="71"/>
        <v>Quarter 1 1900</v>
      </c>
    </row>
    <row r="4551" spans="11:11">
      <c r="K4551" s="28" t="str">
        <f t="shared" si="71"/>
        <v>Quarter 1 1900</v>
      </c>
    </row>
    <row r="4552" spans="11:11">
      <c r="K4552" s="28" t="str">
        <f t="shared" si="71"/>
        <v>Quarter 1 1900</v>
      </c>
    </row>
    <row r="4553" spans="11:11">
      <c r="K4553" s="28" t="str">
        <f t="shared" si="71"/>
        <v>Quarter 1 1900</v>
      </c>
    </row>
    <row r="4554" spans="11:11">
      <c r="K4554" s="28" t="str">
        <f t="shared" si="71"/>
        <v>Quarter 1 1900</v>
      </c>
    </row>
    <row r="4555" spans="11:11">
      <c r="K4555" s="28" t="str">
        <f t="shared" si="71"/>
        <v>Quarter 1 1900</v>
      </c>
    </row>
    <row r="4556" spans="11:11">
      <c r="K4556" s="28" t="str">
        <f t="shared" si="71"/>
        <v>Quarter 1 1900</v>
      </c>
    </row>
    <row r="4557" spans="11:11">
      <c r="K4557" s="28" t="str">
        <f t="shared" si="71"/>
        <v>Quarter 1 1900</v>
      </c>
    </row>
    <row r="4558" spans="11:11">
      <c r="K4558" s="28" t="str">
        <f t="shared" si="71"/>
        <v>Quarter 1 1900</v>
      </c>
    </row>
    <row r="4559" spans="11:11">
      <c r="K4559" s="28" t="str">
        <f t="shared" si="71"/>
        <v>Quarter 1 1900</v>
      </c>
    </row>
    <row r="4560" spans="11:11">
      <c r="K4560" s="28" t="str">
        <f t="shared" si="71"/>
        <v>Quarter 1 1900</v>
      </c>
    </row>
    <row r="4561" spans="11:11">
      <c r="K4561" s="28" t="str">
        <f t="shared" si="71"/>
        <v>Quarter 1 1900</v>
      </c>
    </row>
    <row r="4562" spans="11:11">
      <c r="K4562" s="28" t="str">
        <f t="shared" ref="K4562:K4625" si="72">"Quarter "&amp;INT((MONTH(B4562)-1)/3)+1&amp;" "&amp;YEAR(B4562)</f>
        <v>Quarter 1 1900</v>
      </c>
    </row>
    <row r="4563" spans="11:11">
      <c r="K4563" s="28" t="str">
        <f t="shared" si="72"/>
        <v>Quarter 1 1900</v>
      </c>
    </row>
    <row r="4564" spans="11:11">
      <c r="K4564" s="28" t="str">
        <f t="shared" si="72"/>
        <v>Quarter 1 1900</v>
      </c>
    </row>
    <row r="4565" spans="11:11">
      <c r="K4565" s="28" t="str">
        <f t="shared" si="72"/>
        <v>Quarter 1 1900</v>
      </c>
    </row>
    <row r="4566" spans="11:11">
      <c r="K4566" s="28" t="str">
        <f t="shared" si="72"/>
        <v>Quarter 1 1900</v>
      </c>
    </row>
    <row r="4567" spans="11:11">
      <c r="K4567" s="28" t="str">
        <f t="shared" si="72"/>
        <v>Quarter 1 1900</v>
      </c>
    </row>
    <row r="4568" spans="11:11">
      <c r="K4568" s="28" t="str">
        <f t="shared" si="72"/>
        <v>Quarter 1 1900</v>
      </c>
    </row>
    <row r="4569" spans="11:11">
      <c r="K4569" s="28" t="str">
        <f t="shared" si="72"/>
        <v>Quarter 1 1900</v>
      </c>
    </row>
    <row r="4570" spans="11:11">
      <c r="K4570" s="28" t="str">
        <f t="shared" si="72"/>
        <v>Quarter 1 1900</v>
      </c>
    </row>
    <row r="4571" spans="11:11">
      <c r="K4571" s="28" t="str">
        <f t="shared" si="72"/>
        <v>Quarter 1 1900</v>
      </c>
    </row>
    <row r="4572" spans="11:11">
      <c r="K4572" s="28" t="str">
        <f t="shared" si="72"/>
        <v>Quarter 1 1900</v>
      </c>
    </row>
    <row r="4573" spans="11:11">
      <c r="K4573" s="28" t="str">
        <f t="shared" si="72"/>
        <v>Quarter 1 1900</v>
      </c>
    </row>
    <row r="4574" spans="11:11">
      <c r="K4574" s="28" t="str">
        <f t="shared" si="72"/>
        <v>Quarter 1 1900</v>
      </c>
    </row>
    <row r="4575" spans="11:11">
      <c r="K4575" s="28" t="str">
        <f t="shared" si="72"/>
        <v>Quarter 1 1900</v>
      </c>
    </row>
    <row r="4576" spans="11:11">
      <c r="K4576" s="28" t="str">
        <f t="shared" si="72"/>
        <v>Quarter 1 1900</v>
      </c>
    </row>
    <row r="4577" spans="11:11">
      <c r="K4577" s="28" t="str">
        <f t="shared" si="72"/>
        <v>Quarter 1 1900</v>
      </c>
    </row>
    <row r="4578" spans="11:11">
      <c r="K4578" s="28" t="str">
        <f t="shared" si="72"/>
        <v>Quarter 1 1900</v>
      </c>
    </row>
    <row r="4579" spans="11:11">
      <c r="K4579" s="28" t="str">
        <f t="shared" si="72"/>
        <v>Quarter 1 1900</v>
      </c>
    </row>
    <row r="4580" spans="11:11">
      <c r="K4580" s="28" t="str">
        <f t="shared" si="72"/>
        <v>Quarter 1 1900</v>
      </c>
    </row>
    <row r="4581" spans="11:11">
      <c r="K4581" s="28" t="str">
        <f t="shared" si="72"/>
        <v>Quarter 1 1900</v>
      </c>
    </row>
    <row r="4582" spans="11:11">
      <c r="K4582" s="28" t="str">
        <f t="shared" si="72"/>
        <v>Quarter 1 1900</v>
      </c>
    </row>
    <row r="4583" spans="11:11">
      <c r="K4583" s="28" t="str">
        <f t="shared" si="72"/>
        <v>Quarter 1 1900</v>
      </c>
    </row>
    <row r="4584" spans="11:11">
      <c r="K4584" s="28" t="str">
        <f t="shared" si="72"/>
        <v>Quarter 1 1900</v>
      </c>
    </row>
    <row r="4585" spans="11:11">
      <c r="K4585" s="28" t="str">
        <f t="shared" si="72"/>
        <v>Quarter 1 1900</v>
      </c>
    </row>
    <row r="4586" spans="11:11">
      <c r="K4586" s="28" t="str">
        <f t="shared" si="72"/>
        <v>Quarter 1 1900</v>
      </c>
    </row>
    <row r="4587" spans="11:11">
      <c r="K4587" s="28" t="str">
        <f t="shared" si="72"/>
        <v>Quarter 1 1900</v>
      </c>
    </row>
    <row r="4588" spans="11:11">
      <c r="K4588" s="28" t="str">
        <f t="shared" si="72"/>
        <v>Quarter 1 1900</v>
      </c>
    </row>
    <row r="4589" spans="11:11">
      <c r="K4589" s="28" t="str">
        <f t="shared" si="72"/>
        <v>Quarter 1 1900</v>
      </c>
    </row>
    <row r="4590" spans="11:11">
      <c r="K4590" s="28" t="str">
        <f t="shared" si="72"/>
        <v>Quarter 1 1900</v>
      </c>
    </row>
    <row r="4591" spans="11:11">
      <c r="K4591" s="28" t="str">
        <f t="shared" si="72"/>
        <v>Quarter 1 1900</v>
      </c>
    </row>
    <row r="4592" spans="11:11">
      <c r="K4592" s="28" t="str">
        <f t="shared" si="72"/>
        <v>Quarter 1 1900</v>
      </c>
    </row>
    <row r="4593" spans="11:11">
      <c r="K4593" s="28" t="str">
        <f t="shared" si="72"/>
        <v>Quarter 1 1900</v>
      </c>
    </row>
    <row r="4594" spans="11:11">
      <c r="K4594" s="28" t="str">
        <f t="shared" si="72"/>
        <v>Quarter 1 1900</v>
      </c>
    </row>
    <row r="4595" spans="11:11">
      <c r="K4595" s="28" t="str">
        <f t="shared" si="72"/>
        <v>Quarter 1 1900</v>
      </c>
    </row>
    <row r="4596" spans="11:11">
      <c r="K4596" s="28" t="str">
        <f t="shared" si="72"/>
        <v>Quarter 1 1900</v>
      </c>
    </row>
    <row r="4597" spans="11:11">
      <c r="K4597" s="28" t="str">
        <f t="shared" si="72"/>
        <v>Quarter 1 1900</v>
      </c>
    </row>
    <row r="4598" spans="11:11">
      <c r="K4598" s="28" t="str">
        <f t="shared" si="72"/>
        <v>Quarter 1 1900</v>
      </c>
    </row>
    <row r="4599" spans="11:11">
      <c r="K4599" s="28" t="str">
        <f t="shared" si="72"/>
        <v>Quarter 1 1900</v>
      </c>
    </row>
    <row r="4600" spans="11:11">
      <c r="K4600" s="28" t="str">
        <f t="shared" si="72"/>
        <v>Quarter 1 1900</v>
      </c>
    </row>
    <row r="4601" spans="11:11">
      <c r="K4601" s="28" t="str">
        <f t="shared" si="72"/>
        <v>Quarter 1 1900</v>
      </c>
    </row>
    <row r="4602" spans="11:11">
      <c r="K4602" s="28" t="str">
        <f t="shared" si="72"/>
        <v>Quarter 1 1900</v>
      </c>
    </row>
    <row r="4603" spans="11:11">
      <c r="K4603" s="28" t="str">
        <f t="shared" si="72"/>
        <v>Quarter 1 1900</v>
      </c>
    </row>
    <row r="4604" spans="11:11">
      <c r="K4604" s="28" t="str">
        <f t="shared" si="72"/>
        <v>Quarter 1 1900</v>
      </c>
    </row>
    <row r="4605" spans="11:11">
      <c r="K4605" s="28" t="str">
        <f t="shared" si="72"/>
        <v>Quarter 1 1900</v>
      </c>
    </row>
    <row r="4606" spans="11:11">
      <c r="K4606" s="28" t="str">
        <f t="shared" si="72"/>
        <v>Quarter 1 1900</v>
      </c>
    </row>
    <row r="4607" spans="11:11">
      <c r="K4607" s="28" t="str">
        <f t="shared" si="72"/>
        <v>Quarter 1 1900</v>
      </c>
    </row>
    <row r="4608" spans="11:11">
      <c r="K4608" s="28" t="str">
        <f t="shared" si="72"/>
        <v>Quarter 1 1900</v>
      </c>
    </row>
    <row r="4609" spans="11:11">
      <c r="K4609" s="28" t="str">
        <f t="shared" si="72"/>
        <v>Quarter 1 1900</v>
      </c>
    </row>
    <row r="4610" spans="11:11">
      <c r="K4610" s="28" t="str">
        <f t="shared" si="72"/>
        <v>Quarter 1 1900</v>
      </c>
    </row>
    <row r="4611" spans="11:11">
      <c r="K4611" s="28" t="str">
        <f t="shared" si="72"/>
        <v>Quarter 1 1900</v>
      </c>
    </row>
    <row r="4612" spans="11:11">
      <c r="K4612" s="28" t="str">
        <f t="shared" si="72"/>
        <v>Quarter 1 1900</v>
      </c>
    </row>
    <row r="4613" spans="11:11">
      <c r="K4613" s="28" t="str">
        <f t="shared" si="72"/>
        <v>Quarter 1 1900</v>
      </c>
    </row>
    <row r="4614" spans="11:11">
      <c r="K4614" s="28" t="str">
        <f t="shared" si="72"/>
        <v>Quarter 1 1900</v>
      </c>
    </row>
    <row r="4615" spans="11:11">
      <c r="K4615" s="28" t="str">
        <f t="shared" si="72"/>
        <v>Quarter 1 1900</v>
      </c>
    </row>
    <row r="4616" spans="11:11">
      <c r="K4616" s="28" t="str">
        <f t="shared" si="72"/>
        <v>Quarter 1 1900</v>
      </c>
    </row>
    <row r="4617" spans="11:11">
      <c r="K4617" s="28" t="str">
        <f t="shared" si="72"/>
        <v>Quarter 1 1900</v>
      </c>
    </row>
    <row r="4618" spans="11:11">
      <c r="K4618" s="28" t="str">
        <f t="shared" si="72"/>
        <v>Quarter 1 1900</v>
      </c>
    </row>
    <row r="4619" spans="11:11">
      <c r="K4619" s="28" t="str">
        <f t="shared" si="72"/>
        <v>Quarter 1 1900</v>
      </c>
    </row>
    <row r="4620" spans="11:11">
      <c r="K4620" s="28" t="str">
        <f t="shared" si="72"/>
        <v>Quarter 1 1900</v>
      </c>
    </row>
    <row r="4621" spans="11:11">
      <c r="K4621" s="28" t="str">
        <f t="shared" si="72"/>
        <v>Quarter 1 1900</v>
      </c>
    </row>
    <row r="4622" spans="11:11">
      <c r="K4622" s="28" t="str">
        <f t="shared" si="72"/>
        <v>Quarter 1 1900</v>
      </c>
    </row>
    <row r="4623" spans="11:11">
      <c r="K4623" s="28" t="str">
        <f t="shared" si="72"/>
        <v>Quarter 1 1900</v>
      </c>
    </row>
    <row r="4624" spans="11:11">
      <c r="K4624" s="28" t="str">
        <f t="shared" si="72"/>
        <v>Quarter 1 1900</v>
      </c>
    </row>
    <row r="4625" spans="11:11">
      <c r="K4625" s="28" t="str">
        <f t="shared" si="72"/>
        <v>Quarter 1 1900</v>
      </c>
    </row>
    <row r="4626" spans="11:11">
      <c r="K4626" s="28" t="str">
        <f t="shared" ref="K4626:K4689" si="73">"Quarter "&amp;INT((MONTH(B4626)-1)/3)+1&amp;" "&amp;YEAR(B4626)</f>
        <v>Quarter 1 1900</v>
      </c>
    </row>
    <row r="4627" spans="11:11">
      <c r="K4627" s="28" t="str">
        <f t="shared" si="73"/>
        <v>Quarter 1 1900</v>
      </c>
    </row>
    <row r="4628" spans="11:11">
      <c r="K4628" s="28" t="str">
        <f t="shared" si="73"/>
        <v>Quarter 1 1900</v>
      </c>
    </row>
    <row r="4629" spans="11:11">
      <c r="K4629" s="28" t="str">
        <f t="shared" si="73"/>
        <v>Quarter 1 1900</v>
      </c>
    </row>
    <row r="4630" spans="11:11">
      <c r="K4630" s="28" t="str">
        <f t="shared" si="73"/>
        <v>Quarter 1 1900</v>
      </c>
    </row>
    <row r="4631" spans="11:11">
      <c r="K4631" s="28" t="str">
        <f t="shared" si="73"/>
        <v>Quarter 1 1900</v>
      </c>
    </row>
    <row r="4632" spans="11:11">
      <c r="K4632" s="28" t="str">
        <f t="shared" si="73"/>
        <v>Quarter 1 1900</v>
      </c>
    </row>
    <row r="4633" spans="11:11">
      <c r="K4633" s="28" t="str">
        <f t="shared" si="73"/>
        <v>Quarter 1 1900</v>
      </c>
    </row>
    <row r="4634" spans="11:11">
      <c r="K4634" s="28" t="str">
        <f t="shared" si="73"/>
        <v>Quarter 1 1900</v>
      </c>
    </row>
    <row r="4635" spans="11:11">
      <c r="K4635" s="28" t="str">
        <f t="shared" si="73"/>
        <v>Quarter 1 1900</v>
      </c>
    </row>
    <row r="4636" spans="11:11">
      <c r="K4636" s="28" t="str">
        <f t="shared" si="73"/>
        <v>Quarter 1 1900</v>
      </c>
    </row>
    <row r="4637" spans="11:11">
      <c r="K4637" s="28" t="str">
        <f t="shared" si="73"/>
        <v>Quarter 1 1900</v>
      </c>
    </row>
    <row r="4638" spans="11:11">
      <c r="K4638" s="28" t="str">
        <f t="shared" si="73"/>
        <v>Quarter 1 1900</v>
      </c>
    </row>
    <row r="4639" spans="11:11">
      <c r="K4639" s="28" t="str">
        <f t="shared" si="73"/>
        <v>Quarter 1 1900</v>
      </c>
    </row>
    <row r="4640" spans="11:11">
      <c r="K4640" s="28" t="str">
        <f t="shared" si="73"/>
        <v>Quarter 1 1900</v>
      </c>
    </row>
    <row r="4641" spans="11:11">
      <c r="K4641" s="28" t="str">
        <f t="shared" si="73"/>
        <v>Quarter 1 1900</v>
      </c>
    </row>
    <row r="4642" spans="11:11">
      <c r="K4642" s="28" t="str">
        <f t="shared" si="73"/>
        <v>Quarter 1 1900</v>
      </c>
    </row>
    <row r="4643" spans="11:11">
      <c r="K4643" s="28" t="str">
        <f t="shared" si="73"/>
        <v>Quarter 1 1900</v>
      </c>
    </row>
    <row r="4644" spans="11:11">
      <c r="K4644" s="28" t="str">
        <f t="shared" si="73"/>
        <v>Quarter 1 1900</v>
      </c>
    </row>
    <row r="4645" spans="11:11">
      <c r="K4645" s="28" t="str">
        <f t="shared" si="73"/>
        <v>Quarter 1 1900</v>
      </c>
    </row>
    <row r="4646" spans="11:11">
      <c r="K4646" s="28" t="str">
        <f t="shared" si="73"/>
        <v>Quarter 1 1900</v>
      </c>
    </row>
    <row r="4647" spans="11:11">
      <c r="K4647" s="28" t="str">
        <f t="shared" si="73"/>
        <v>Quarter 1 1900</v>
      </c>
    </row>
    <row r="4648" spans="11:11">
      <c r="K4648" s="28" t="str">
        <f t="shared" si="73"/>
        <v>Quarter 1 1900</v>
      </c>
    </row>
    <row r="4649" spans="11:11">
      <c r="K4649" s="28" t="str">
        <f t="shared" si="73"/>
        <v>Quarter 1 1900</v>
      </c>
    </row>
    <row r="4650" spans="11:11">
      <c r="K4650" s="28" t="str">
        <f t="shared" si="73"/>
        <v>Quarter 1 1900</v>
      </c>
    </row>
    <row r="4651" spans="11:11">
      <c r="K4651" s="28" t="str">
        <f t="shared" si="73"/>
        <v>Quarter 1 1900</v>
      </c>
    </row>
    <row r="4652" spans="11:11">
      <c r="K4652" s="28" t="str">
        <f t="shared" si="73"/>
        <v>Quarter 1 1900</v>
      </c>
    </row>
    <row r="4653" spans="11:11">
      <c r="K4653" s="28" t="str">
        <f t="shared" si="73"/>
        <v>Quarter 1 1900</v>
      </c>
    </row>
    <row r="4654" spans="11:11">
      <c r="K4654" s="28" t="str">
        <f t="shared" si="73"/>
        <v>Quarter 1 1900</v>
      </c>
    </row>
    <row r="4655" spans="11:11">
      <c r="K4655" s="28" t="str">
        <f t="shared" si="73"/>
        <v>Quarter 1 1900</v>
      </c>
    </row>
    <row r="4656" spans="11:11">
      <c r="K4656" s="28" t="str">
        <f t="shared" si="73"/>
        <v>Quarter 1 1900</v>
      </c>
    </row>
    <row r="4657" spans="11:11">
      <c r="K4657" s="28" t="str">
        <f t="shared" si="73"/>
        <v>Quarter 1 1900</v>
      </c>
    </row>
    <row r="4658" spans="11:11">
      <c r="K4658" s="28" t="str">
        <f t="shared" si="73"/>
        <v>Quarter 1 1900</v>
      </c>
    </row>
    <row r="4659" spans="11:11">
      <c r="K4659" s="28" t="str">
        <f t="shared" si="73"/>
        <v>Quarter 1 1900</v>
      </c>
    </row>
    <row r="4660" spans="11:11">
      <c r="K4660" s="28" t="str">
        <f t="shared" si="73"/>
        <v>Quarter 1 1900</v>
      </c>
    </row>
    <row r="4661" spans="11:11">
      <c r="K4661" s="28" t="str">
        <f t="shared" si="73"/>
        <v>Quarter 1 1900</v>
      </c>
    </row>
    <row r="4662" spans="11:11">
      <c r="K4662" s="28" t="str">
        <f t="shared" si="73"/>
        <v>Quarter 1 1900</v>
      </c>
    </row>
    <row r="4663" spans="11:11">
      <c r="K4663" s="28" t="str">
        <f t="shared" si="73"/>
        <v>Quarter 1 1900</v>
      </c>
    </row>
    <row r="4664" spans="11:11">
      <c r="K4664" s="28" t="str">
        <f t="shared" si="73"/>
        <v>Quarter 1 1900</v>
      </c>
    </row>
    <row r="4665" spans="11:11">
      <c r="K4665" s="28" t="str">
        <f t="shared" si="73"/>
        <v>Quarter 1 1900</v>
      </c>
    </row>
    <row r="4666" spans="11:11">
      <c r="K4666" s="28" t="str">
        <f t="shared" si="73"/>
        <v>Quarter 1 1900</v>
      </c>
    </row>
    <row r="4667" spans="11:11">
      <c r="K4667" s="28" t="str">
        <f t="shared" si="73"/>
        <v>Quarter 1 1900</v>
      </c>
    </row>
    <row r="4668" spans="11:11">
      <c r="K4668" s="28" t="str">
        <f t="shared" si="73"/>
        <v>Quarter 1 1900</v>
      </c>
    </row>
    <row r="4669" spans="11:11">
      <c r="K4669" s="28" t="str">
        <f t="shared" si="73"/>
        <v>Quarter 1 1900</v>
      </c>
    </row>
    <row r="4670" spans="11:11">
      <c r="K4670" s="28" t="str">
        <f t="shared" si="73"/>
        <v>Quarter 1 1900</v>
      </c>
    </row>
    <row r="4671" spans="11:11">
      <c r="K4671" s="28" t="str">
        <f t="shared" si="73"/>
        <v>Quarter 1 1900</v>
      </c>
    </row>
    <row r="4672" spans="11:11">
      <c r="K4672" s="28" t="str">
        <f t="shared" si="73"/>
        <v>Quarter 1 1900</v>
      </c>
    </row>
    <row r="4673" spans="11:11">
      <c r="K4673" s="28" t="str">
        <f t="shared" si="73"/>
        <v>Quarter 1 1900</v>
      </c>
    </row>
    <row r="4674" spans="11:11">
      <c r="K4674" s="28" t="str">
        <f t="shared" si="73"/>
        <v>Quarter 1 1900</v>
      </c>
    </row>
    <row r="4675" spans="11:11">
      <c r="K4675" s="28" t="str">
        <f t="shared" si="73"/>
        <v>Quarter 1 1900</v>
      </c>
    </row>
    <row r="4676" spans="11:11">
      <c r="K4676" s="28" t="str">
        <f t="shared" si="73"/>
        <v>Quarter 1 1900</v>
      </c>
    </row>
    <row r="4677" spans="11:11">
      <c r="K4677" s="28" t="str">
        <f t="shared" si="73"/>
        <v>Quarter 1 1900</v>
      </c>
    </row>
    <row r="4678" spans="11:11">
      <c r="K4678" s="28" t="str">
        <f t="shared" si="73"/>
        <v>Quarter 1 1900</v>
      </c>
    </row>
    <row r="4679" spans="11:11">
      <c r="K4679" s="28" t="str">
        <f t="shared" si="73"/>
        <v>Quarter 1 1900</v>
      </c>
    </row>
    <row r="4680" spans="11:11">
      <c r="K4680" s="28" t="str">
        <f t="shared" si="73"/>
        <v>Quarter 1 1900</v>
      </c>
    </row>
    <row r="4681" spans="11:11">
      <c r="K4681" s="28" t="str">
        <f t="shared" si="73"/>
        <v>Quarter 1 1900</v>
      </c>
    </row>
    <row r="4682" spans="11:11">
      <c r="K4682" s="28" t="str">
        <f t="shared" si="73"/>
        <v>Quarter 1 1900</v>
      </c>
    </row>
    <row r="4683" spans="11:11">
      <c r="K4683" s="28" t="str">
        <f t="shared" si="73"/>
        <v>Quarter 1 1900</v>
      </c>
    </row>
    <row r="4684" spans="11:11">
      <c r="K4684" s="28" t="str">
        <f t="shared" si="73"/>
        <v>Quarter 1 1900</v>
      </c>
    </row>
    <row r="4685" spans="11:11">
      <c r="K4685" s="28" t="str">
        <f t="shared" si="73"/>
        <v>Quarter 1 1900</v>
      </c>
    </row>
    <row r="4686" spans="11:11">
      <c r="K4686" s="28" t="str">
        <f t="shared" si="73"/>
        <v>Quarter 1 1900</v>
      </c>
    </row>
    <row r="4687" spans="11:11">
      <c r="K4687" s="28" t="str">
        <f t="shared" si="73"/>
        <v>Quarter 1 1900</v>
      </c>
    </row>
    <row r="4688" spans="11:11">
      <c r="K4688" s="28" t="str">
        <f t="shared" si="73"/>
        <v>Quarter 1 1900</v>
      </c>
    </row>
    <row r="4689" spans="11:11">
      <c r="K4689" s="28" t="str">
        <f t="shared" si="73"/>
        <v>Quarter 1 1900</v>
      </c>
    </row>
    <row r="4690" spans="11:11">
      <c r="K4690" s="28" t="str">
        <f t="shared" ref="K4690:K4753" si="74">"Quarter "&amp;INT((MONTH(B4690)-1)/3)+1&amp;" "&amp;YEAR(B4690)</f>
        <v>Quarter 1 1900</v>
      </c>
    </row>
    <row r="4691" spans="11:11">
      <c r="K4691" s="28" t="str">
        <f t="shared" si="74"/>
        <v>Quarter 1 1900</v>
      </c>
    </row>
    <row r="4692" spans="11:11">
      <c r="K4692" s="28" t="str">
        <f t="shared" si="74"/>
        <v>Quarter 1 1900</v>
      </c>
    </row>
    <row r="4693" spans="11:11">
      <c r="K4693" s="28" t="str">
        <f t="shared" si="74"/>
        <v>Quarter 1 1900</v>
      </c>
    </row>
    <row r="4694" spans="11:11">
      <c r="K4694" s="28" t="str">
        <f t="shared" si="74"/>
        <v>Quarter 1 1900</v>
      </c>
    </row>
    <row r="4695" spans="11:11">
      <c r="K4695" s="28" t="str">
        <f t="shared" si="74"/>
        <v>Quarter 1 1900</v>
      </c>
    </row>
    <row r="4696" spans="11:11">
      <c r="K4696" s="28" t="str">
        <f t="shared" si="74"/>
        <v>Quarter 1 1900</v>
      </c>
    </row>
    <row r="4697" spans="11:11">
      <c r="K4697" s="28" t="str">
        <f t="shared" si="74"/>
        <v>Quarter 1 1900</v>
      </c>
    </row>
    <row r="4698" spans="11:11">
      <c r="K4698" s="28" t="str">
        <f t="shared" si="74"/>
        <v>Quarter 1 1900</v>
      </c>
    </row>
    <row r="4699" spans="11:11">
      <c r="K4699" s="28" t="str">
        <f t="shared" si="74"/>
        <v>Quarter 1 1900</v>
      </c>
    </row>
    <row r="4700" spans="11:11">
      <c r="K4700" s="28" t="str">
        <f t="shared" si="74"/>
        <v>Quarter 1 1900</v>
      </c>
    </row>
    <row r="4701" spans="11:11">
      <c r="K4701" s="28" t="str">
        <f t="shared" si="74"/>
        <v>Quarter 1 1900</v>
      </c>
    </row>
    <row r="4702" spans="11:11">
      <c r="K4702" s="28" t="str">
        <f t="shared" si="74"/>
        <v>Quarter 1 1900</v>
      </c>
    </row>
    <row r="4703" spans="11:11">
      <c r="K4703" s="28" t="str">
        <f t="shared" si="74"/>
        <v>Quarter 1 1900</v>
      </c>
    </row>
    <row r="4704" spans="11:11">
      <c r="K4704" s="28" t="str">
        <f t="shared" si="74"/>
        <v>Quarter 1 1900</v>
      </c>
    </row>
    <row r="4705" spans="11:11">
      <c r="K4705" s="28" t="str">
        <f t="shared" si="74"/>
        <v>Quarter 1 1900</v>
      </c>
    </row>
    <row r="4706" spans="11:11">
      <c r="K4706" s="28" t="str">
        <f t="shared" si="74"/>
        <v>Quarter 1 1900</v>
      </c>
    </row>
    <row r="4707" spans="11:11">
      <c r="K4707" s="28" t="str">
        <f t="shared" si="74"/>
        <v>Quarter 1 1900</v>
      </c>
    </row>
    <row r="4708" spans="11:11">
      <c r="K4708" s="28" t="str">
        <f t="shared" si="74"/>
        <v>Quarter 1 1900</v>
      </c>
    </row>
    <row r="4709" spans="11:11">
      <c r="K4709" s="28" t="str">
        <f t="shared" si="74"/>
        <v>Quarter 1 1900</v>
      </c>
    </row>
    <row r="4710" spans="11:11">
      <c r="K4710" s="28" t="str">
        <f t="shared" si="74"/>
        <v>Quarter 1 1900</v>
      </c>
    </row>
    <row r="4711" spans="11:11">
      <c r="K4711" s="28" t="str">
        <f t="shared" si="74"/>
        <v>Quarter 1 1900</v>
      </c>
    </row>
    <row r="4712" spans="11:11">
      <c r="K4712" s="28" t="str">
        <f t="shared" si="74"/>
        <v>Quarter 1 1900</v>
      </c>
    </row>
    <row r="4713" spans="11:11">
      <c r="K4713" s="28" t="str">
        <f t="shared" si="74"/>
        <v>Quarter 1 1900</v>
      </c>
    </row>
    <row r="4714" spans="11:11">
      <c r="K4714" s="28" t="str">
        <f t="shared" si="74"/>
        <v>Quarter 1 1900</v>
      </c>
    </row>
    <row r="4715" spans="11:11">
      <c r="K4715" s="28" t="str">
        <f t="shared" si="74"/>
        <v>Quarter 1 1900</v>
      </c>
    </row>
    <row r="4716" spans="11:11">
      <c r="K4716" s="28" t="str">
        <f t="shared" si="74"/>
        <v>Quarter 1 1900</v>
      </c>
    </row>
    <row r="4717" spans="11:11">
      <c r="K4717" s="28" t="str">
        <f t="shared" si="74"/>
        <v>Quarter 1 1900</v>
      </c>
    </row>
    <row r="4718" spans="11:11">
      <c r="K4718" s="28" t="str">
        <f t="shared" si="74"/>
        <v>Quarter 1 1900</v>
      </c>
    </row>
    <row r="4719" spans="11:11">
      <c r="K4719" s="28" t="str">
        <f t="shared" si="74"/>
        <v>Quarter 1 1900</v>
      </c>
    </row>
    <row r="4720" spans="11:11">
      <c r="K4720" s="28" t="str">
        <f t="shared" si="74"/>
        <v>Quarter 1 1900</v>
      </c>
    </row>
    <row r="4721" spans="11:11">
      <c r="K4721" s="28" t="str">
        <f t="shared" si="74"/>
        <v>Quarter 1 1900</v>
      </c>
    </row>
    <row r="4722" spans="11:11">
      <c r="K4722" s="28" t="str">
        <f t="shared" si="74"/>
        <v>Quarter 1 1900</v>
      </c>
    </row>
    <row r="4723" spans="11:11">
      <c r="K4723" s="28" t="str">
        <f t="shared" si="74"/>
        <v>Quarter 1 1900</v>
      </c>
    </row>
    <row r="4724" spans="11:11">
      <c r="K4724" s="28" t="str">
        <f t="shared" si="74"/>
        <v>Quarter 1 1900</v>
      </c>
    </row>
    <row r="4725" spans="11:11">
      <c r="K4725" s="28" t="str">
        <f t="shared" si="74"/>
        <v>Quarter 1 1900</v>
      </c>
    </row>
    <row r="4726" spans="11:11">
      <c r="K4726" s="28" t="str">
        <f t="shared" si="74"/>
        <v>Quarter 1 1900</v>
      </c>
    </row>
    <row r="4727" spans="11:11">
      <c r="K4727" s="28" t="str">
        <f t="shared" si="74"/>
        <v>Quarter 1 1900</v>
      </c>
    </row>
    <row r="4728" spans="11:11">
      <c r="K4728" s="28" t="str">
        <f t="shared" si="74"/>
        <v>Quarter 1 1900</v>
      </c>
    </row>
    <row r="4729" spans="11:11">
      <c r="K4729" s="28" t="str">
        <f t="shared" si="74"/>
        <v>Quarter 1 1900</v>
      </c>
    </row>
    <row r="4730" spans="11:11">
      <c r="K4730" s="28" t="str">
        <f t="shared" si="74"/>
        <v>Quarter 1 1900</v>
      </c>
    </row>
    <row r="4731" spans="11:11">
      <c r="K4731" s="28" t="str">
        <f t="shared" si="74"/>
        <v>Quarter 1 1900</v>
      </c>
    </row>
    <row r="4732" spans="11:11">
      <c r="K4732" s="28" t="str">
        <f t="shared" si="74"/>
        <v>Quarter 1 1900</v>
      </c>
    </row>
    <row r="4733" spans="11:11">
      <c r="K4733" s="28" t="str">
        <f t="shared" si="74"/>
        <v>Quarter 1 1900</v>
      </c>
    </row>
    <row r="4734" spans="11:11">
      <c r="K4734" s="28" t="str">
        <f t="shared" si="74"/>
        <v>Quarter 1 1900</v>
      </c>
    </row>
    <row r="4735" spans="11:11">
      <c r="K4735" s="28" t="str">
        <f t="shared" si="74"/>
        <v>Quarter 1 1900</v>
      </c>
    </row>
    <row r="4736" spans="11:11">
      <c r="K4736" s="28" t="str">
        <f t="shared" si="74"/>
        <v>Quarter 1 1900</v>
      </c>
    </row>
    <row r="4737" spans="11:11">
      <c r="K4737" s="28" t="str">
        <f t="shared" si="74"/>
        <v>Quarter 1 1900</v>
      </c>
    </row>
    <row r="4738" spans="11:11">
      <c r="K4738" s="28" t="str">
        <f t="shared" si="74"/>
        <v>Quarter 1 1900</v>
      </c>
    </row>
    <row r="4739" spans="11:11">
      <c r="K4739" s="28" t="str">
        <f t="shared" si="74"/>
        <v>Quarter 1 1900</v>
      </c>
    </row>
    <row r="4740" spans="11:11">
      <c r="K4740" s="28" t="str">
        <f t="shared" si="74"/>
        <v>Quarter 1 1900</v>
      </c>
    </row>
    <row r="4741" spans="11:11">
      <c r="K4741" s="28" t="str">
        <f t="shared" si="74"/>
        <v>Quarter 1 1900</v>
      </c>
    </row>
    <row r="4742" spans="11:11">
      <c r="K4742" s="28" t="str">
        <f t="shared" si="74"/>
        <v>Quarter 1 1900</v>
      </c>
    </row>
    <row r="4743" spans="11:11">
      <c r="K4743" s="28" t="str">
        <f t="shared" si="74"/>
        <v>Quarter 1 1900</v>
      </c>
    </row>
    <row r="4744" spans="11:11">
      <c r="K4744" s="28" t="str">
        <f t="shared" si="74"/>
        <v>Quarter 1 1900</v>
      </c>
    </row>
    <row r="4745" spans="11:11">
      <c r="K4745" s="28" t="str">
        <f t="shared" si="74"/>
        <v>Quarter 1 1900</v>
      </c>
    </row>
    <row r="4746" spans="11:11">
      <c r="K4746" s="28" t="str">
        <f t="shared" si="74"/>
        <v>Quarter 1 1900</v>
      </c>
    </row>
    <row r="4747" spans="11:11">
      <c r="K4747" s="28" t="str">
        <f t="shared" si="74"/>
        <v>Quarter 1 1900</v>
      </c>
    </row>
    <row r="4748" spans="11:11">
      <c r="K4748" s="28" t="str">
        <f t="shared" si="74"/>
        <v>Quarter 1 1900</v>
      </c>
    </row>
    <row r="4749" spans="11:11">
      <c r="K4749" s="28" t="str">
        <f t="shared" si="74"/>
        <v>Quarter 1 1900</v>
      </c>
    </row>
    <row r="4750" spans="11:11">
      <c r="K4750" s="28" t="str">
        <f t="shared" si="74"/>
        <v>Quarter 1 1900</v>
      </c>
    </row>
    <row r="4751" spans="11:11">
      <c r="K4751" s="28" t="str">
        <f t="shared" si="74"/>
        <v>Quarter 1 1900</v>
      </c>
    </row>
    <row r="4752" spans="11:11">
      <c r="K4752" s="28" t="str">
        <f t="shared" si="74"/>
        <v>Quarter 1 1900</v>
      </c>
    </row>
    <row r="4753" spans="11:11">
      <c r="K4753" s="28" t="str">
        <f t="shared" si="74"/>
        <v>Quarter 1 1900</v>
      </c>
    </row>
    <row r="4754" spans="11:11">
      <c r="K4754" s="28" t="str">
        <f t="shared" ref="K4754:K4817" si="75">"Quarter "&amp;INT((MONTH(B4754)-1)/3)+1&amp;" "&amp;YEAR(B4754)</f>
        <v>Quarter 1 1900</v>
      </c>
    </row>
    <row r="4755" spans="11:11">
      <c r="K4755" s="28" t="str">
        <f t="shared" si="75"/>
        <v>Quarter 1 1900</v>
      </c>
    </row>
    <row r="4756" spans="11:11">
      <c r="K4756" s="28" t="str">
        <f t="shared" si="75"/>
        <v>Quarter 1 1900</v>
      </c>
    </row>
    <row r="4757" spans="11:11">
      <c r="K4757" s="28" t="str">
        <f t="shared" si="75"/>
        <v>Quarter 1 1900</v>
      </c>
    </row>
    <row r="4758" spans="11:11">
      <c r="K4758" s="28" t="str">
        <f t="shared" si="75"/>
        <v>Quarter 1 1900</v>
      </c>
    </row>
    <row r="4759" spans="11:11">
      <c r="K4759" s="28" t="str">
        <f t="shared" si="75"/>
        <v>Quarter 1 1900</v>
      </c>
    </row>
    <row r="4760" spans="11:11">
      <c r="K4760" s="28" t="str">
        <f t="shared" si="75"/>
        <v>Quarter 1 1900</v>
      </c>
    </row>
    <row r="4761" spans="11:11">
      <c r="K4761" s="28" t="str">
        <f t="shared" si="75"/>
        <v>Quarter 1 1900</v>
      </c>
    </row>
    <row r="4762" spans="11:11">
      <c r="K4762" s="28" t="str">
        <f t="shared" si="75"/>
        <v>Quarter 1 1900</v>
      </c>
    </row>
    <row r="4763" spans="11:11">
      <c r="K4763" s="28" t="str">
        <f t="shared" si="75"/>
        <v>Quarter 1 1900</v>
      </c>
    </row>
    <row r="4764" spans="11:11">
      <c r="K4764" s="28" t="str">
        <f t="shared" si="75"/>
        <v>Quarter 1 1900</v>
      </c>
    </row>
    <row r="4765" spans="11:11">
      <c r="K4765" s="28" t="str">
        <f t="shared" si="75"/>
        <v>Quarter 1 1900</v>
      </c>
    </row>
    <row r="4766" spans="11:11">
      <c r="K4766" s="28" t="str">
        <f t="shared" si="75"/>
        <v>Quarter 1 1900</v>
      </c>
    </row>
    <row r="4767" spans="11:11">
      <c r="K4767" s="28" t="str">
        <f t="shared" si="75"/>
        <v>Quarter 1 1900</v>
      </c>
    </row>
    <row r="4768" spans="11:11">
      <c r="K4768" s="28" t="str">
        <f t="shared" si="75"/>
        <v>Quarter 1 1900</v>
      </c>
    </row>
    <row r="4769" spans="11:11">
      <c r="K4769" s="28" t="str">
        <f t="shared" si="75"/>
        <v>Quarter 1 1900</v>
      </c>
    </row>
    <row r="4770" spans="11:11">
      <c r="K4770" s="28" t="str">
        <f t="shared" si="75"/>
        <v>Quarter 1 1900</v>
      </c>
    </row>
    <row r="4771" spans="11:11">
      <c r="K4771" s="28" t="str">
        <f t="shared" si="75"/>
        <v>Quarter 1 1900</v>
      </c>
    </row>
    <row r="4772" spans="11:11">
      <c r="K4772" s="28" t="str">
        <f t="shared" si="75"/>
        <v>Quarter 1 1900</v>
      </c>
    </row>
    <row r="4773" spans="11:11">
      <c r="K4773" s="28" t="str">
        <f t="shared" si="75"/>
        <v>Quarter 1 1900</v>
      </c>
    </row>
    <row r="4774" spans="11:11">
      <c r="K4774" s="28" t="str">
        <f t="shared" si="75"/>
        <v>Quarter 1 1900</v>
      </c>
    </row>
    <row r="4775" spans="11:11">
      <c r="K4775" s="28" t="str">
        <f t="shared" si="75"/>
        <v>Quarter 1 1900</v>
      </c>
    </row>
    <row r="4776" spans="11:11">
      <c r="K4776" s="28" t="str">
        <f t="shared" si="75"/>
        <v>Quarter 1 1900</v>
      </c>
    </row>
    <row r="4777" spans="11:11">
      <c r="K4777" s="28" t="str">
        <f t="shared" si="75"/>
        <v>Quarter 1 1900</v>
      </c>
    </row>
    <row r="4778" spans="11:11">
      <c r="K4778" s="28" t="str">
        <f t="shared" si="75"/>
        <v>Quarter 1 1900</v>
      </c>
    </row>
    <row r="4779" spans="11:11">
      <c r="K4779" s="28" t="str">
        <f t="shared" si="75"/>
        <v>Quarter 1 1900</v>
      </c>
    </row>
    <row r="4780" spans="11:11">
      <c r="K4780" s="28" t="str">
        <f t="shared" si="75"/>
        <v>Quarter 1 1900</v>
      </c>
    </row>
    <row r="4781" spans="11:11">
      <c r="K4781" s="28" t="str">
        <f t="shared" si="75"/>
        <v>Quarter 1 1900</v>
      </c>
    </row>
    <row r="4782" spans="11:11">
      <c r="K4782" s="28" t="str">
        <f t="shared" si="75"/>
        <v>Quarter 1 1900</v>
      </c>
    </row>
    <row r="4783" spans="11:11">
      <c r="K4783" s="28" t="str">
        <f t="shared" si="75"/>
        <v>Quarter 1 1900</v>
      </c>
    </row>
    <row r="4784" spans="11:11">
      <c r="K4784" s="28" t="str">
        <f t="shared" si="75"/>
        <v>Quarter 1 1900</v>
      </c>
    </row>
    <row r="4785" spans="11:11">
      <c r="K4785" s="28" t="str">
        <f t="shared" si="75"/>
        <v>Quarter 1 1900</v>
      </c>
    </row>
    <row r="4786" spans="11:11">
      <c r="K4786" s="28" t="str">
        <f t="shared" si="75"/>
        <v>Quarter 1 1900</v>
      </c>
    </row>
    <row r="4787" spans="11:11">
      <c r="K4787" s="28" t="str">
        <f t="shared" si="75"/>
        <v>Quarter 1 1900</v>
      </c>
    </row>
    <row r="4788" spans="11:11">
      <c r="K4788" s="28" t="str">
        <f t="shared" si="75"/>
        <v>Quarter 1 1900</v>
      </c>
    </row>
    <row r="4789" spans="11:11">
      <c r="K4789" s="28" t="str">
        <f t="shared" si="75"/>
        <v>Quarter 1 1900</v>
      </c>
    </row>
    <row r="4790" spans="11:11">
      <c r="K4790" s="28" t="str">
        <f t="shared" si="75"/>
        <v>Quarter 1 1900</v>
      </c>
    </row>
    <row r="4791" spans="11:11">
      <c r="K4791" s="28" t="str">
        <f t="shared" si="75"/>
        <v>Quarter 1 1900</v>
      </c>
    </row>
    <row r="4792" spans="11:11">
      <c r="K4792" s="28" t="str">
        <f t="shared" si="75"/>
        <v>Quarter 1 1900</v>
      </c>
    </row>
    <row r="4793" spans="11:11">
      <c r="K4793" s="28" t="str">
        <f t="shared" si="75"/>
        <v>Quarter 1 1900</v>
      </c>
    </row>
    <row r="4794" spans="11:11">
      <c r="K4794" s="28" t="str">
        <f t="shared" si="75"/>
        <v>Quarter 1 1900</v>
      </c>
    </row>
    <row r="4795" spans="11:11">
      <c r="K4795" s="28" t="str">
        <f t="shared" si="75"/>
        <v>Quarter 1 1900</v>
      </c>
    </row>
    <row r="4796" spans="11:11">
      <c r="K4796" s="28" t="str">
        <f t="shared" si="75"/>
        <v>Quarter 1 1900</v>
      </c>
    </row>
    <row r="4797" spans="11:11">
      <c r="K4797" s="28" t="str">
        <f t="shared" si="75"/>
        <v>Quarter 1 1900</v>
      </c>
    </row>
    <row r="4798" spans="11:11">
      <c r="K4798" s="28" t="str">
        <f t="shared" si="75"/>
        <v>Quarter 1 1900</v>
      </c>
    </row>
    <row r="4799" spans="11:11">
      <c r="K4799" s="28" t="str">
        <f t="shared" si="75"/>
        <v>Quarter 1 1900</v>
      </c>
    </row>
    <row r="4800" spans="11:11">
      <c r="K4800" s="28" t="str">
        <f t="shared" si="75"/>
        <v>Quarter 1 1900</v>
      </c>
    </row>
    <row r="4801" spans="11:11">
      <c r="K4801" s="28" t="str">
        <f t="shared" si="75"/>
        <v>Quarter 1 1900</v>
      </c>
    </row>
    <row r="4802" spans="11:11">
      <c r="K4802" s="28" t="str">
        <f t="shared" si="75"/>
        <v>Quarter 1 1900</v>
      </c>
    </row>
    <row r="4803" spans="11:11">
      <c r="K4803" s="28" t="str">
        <f t="shared" si="75"/>
        <v>Quarter 1 1900</v>
      </c>
    </row>
    <row r="4804" spans="11:11">
      <c r="K4804" s="28" t="str">
        <f t="shared" si="75"/>
        <v>Quarter 1 1900</v>
      </c>
    </row>
    <row r="4805" spans="11:11">
      <c r="K4805" s="28" t="str">
        <f t="shared" si="75"/>
        <v>Quarter 1 1900</v>
      </c>
    </row>
    <row r="4806" spans="11:11">
      <c r="K4806" s="28" t="str">
        <f t="shared" si="75"/>
        <v>Quarter 1 1900</v>
      </c>
    </row>
    <row r="4807" spans="11:11">
      <c r="K4807" s="28" t="str">
        <f t="shared" si="75"/>
        <v>Quarter 1 1900</v>
      </c>
    </row>
    <row r="4808" spans="11:11">
      <c r="K4808" s="28" t="str">
        <f t="shared" si="75"/>
        <v>Quarter 1 1900</v>
      </c>
    </row>
    <row r="4809" spans="11:11">
      <c r="K4809" s="28" t="str">
        <f t="shared" si="75"/>
        <v>Quarter 1 1900</v>
      </c>
    </row>
    <row r="4810" spans="11:11">
      <c r="K4810" s="28" t="str">
        <f t="shared" si="75"/>
        <v>Quarter 1 1900</v>
      </c>
    </row>
    <row r="4811" spans="11:11">
      <c r="K4811" s="28" t="str">
        <f t="shared" si="75"/>
        <v>Quarter 1 1900</v>
      </c>
    </row>
    <row r="4812" spans="11:11">
      <c r="K4812" s="28" t="str">
        <f t="shared" si="75"/>
        <v>Quarter 1 1900</v>
      </c>
    </row>
    <row r="4813" spans="11:11">
      <c r="K4813" s="28" t="str">
        <f t="shared" si="75"/>
        <v>Quarter 1 1900</v>
      </c>
    </row>
    <row r="4814" spans="11:11">
      <c r="K4814" s="28" t="str">
        <f t="shared" si="75"/>
        <v>Quarter 1 1900</v>
      </c>
    </row>
    <row r="4815" spans="11:11">
      <c r="K4815" s="28" t="str">
        <f t="shared" si="75"/>
        <v>Quarter 1 1900</v>
      </c>
    </row>
    <row r="4816" spans="11:11">
      <c r="K4816" s="28" t="str">
        <f t="shared" si="75"/>
        <v>Quarter 1 1900</v>
      </c>
    </row>
    <row r="4817" spans="11:11">
      <c r="K4817" s="28" t="str">
        <f t="shared" si="75"/>
        <v>Quarter 1 1900</v>
      </c>
    </row>
    <row r="4818" spans="11:11">
      <c r="K4818" s="28" t="str">
        <f t="shared" ref="K4818:K4881" si="76">"Quarter "&amp;INT((MONTH(B4818)-1)/3)+1&amp;" "&amp;YEAR(B4818)</f>
        <v>Quarter 1 1900</v>
      </c>
    </row>
    <row r="4819" spans="11:11">
      <c r="K4819" s="28" t="str">
        <f t="shared" si="76"/>
        <v>Quarter 1 1900</v>
      </c>
    </row>
    <row r="4820" spans="11:11">
      <c r="K4820" s="28" t="str">
        <f t="shared" si="76"/>
        <v>Quarter 1 1900</v>
      </c>
    </row>
    <row r="4821" spans="11:11">
      <c r="K4821" s="28" t="str">
        <f t="shared" si="76"/>
        <v>Quarter 1 1900</v>
      </c>
    </row>
    <row r="4822" spans="11:11">
      <c r="K4822" s="28" t="str">
        <f t="shared" si="76"/>
        <v>Quarter 1 1900</v>
      </c>
    </row>
    <row r="4823" spans="11:11">
      <c r="K4823" s="28" t="str">
        <f t="shared" si="76"/>
        <v>Quarter 1 1900</v>
      </c>
    </row>
    <row r="4824" spans="11:11">
      <c r="K4824" s="28" t="str">
        <f t="shared" si="76"/>
        <v>Quarter 1 1900</v>
      </c>
    </row>
    <row r="4825" spans="11:11">
      <c r="K4825" s="28" t="str">
        <f t="shared" si="76"/>
        <v>Quarter 1 1900</v>
      </c>
    </row>
    <row r="4826" spans="11:11">
      <c r="K4826" s="28" t="str">
        <f t="shared" si="76"/>
        <v>Quarter 1 1900</v>
      </c>
    </row>
    <row r="4827" spans="11:11">
      <c r="K4827" s="28" t="str">
        <f t="shared" si="76"/>
        <v>Quarter 1 1900</v>
      </c>
    </row>
    <row r="4828" spans="11:11">
      <c r="K4828" s="28" t="str">
        <f t="shared" si="76"/>
        <v>Quarter 1 1900</v>
      </c>
    </row>
    <row r="4829" spans="11:11">
      <c r="K4829" s="28" t="str">
        <f t="shared" si="76"/>
        <v>Quarter 1 1900</v>
      </c>
    </row>
    <row r="4830" spans="11:11">
      <c r="K4830" s="28" t="str">
        <f t="shared" si="76"/>
        <v>Quarter 1 1900</v>
      </c>
    </row>
    <row r="4831" spans="11:11">
      <c r="K4831" s="28" t="str">
        <f t="shared" si="76"/>
        <v>Quarter 1 1900</v>
      </c>
    </row>
    <row r="4832" spans="11:11">
      <c r="K4832" s="28" t="str">
        <f t="shared" si="76"/>
        <v>Quarter 1 1900</v>
      </c>
    </row>
    <row r="4833" spans="11:11">
      <c r="K4833" s="28" t="str">
        <f t="shared" si="76"/>
        <v>Quarter 1 1900</v>
      </c>
    </row>
    <row r="4834" spans="11:11">
      <c r="K4834" s="28" t="str">
        <f t="shared" si="76"/>
        <v>Quarter 1 1900</v>
      </c>
    </row>
    <row r="4835" spans="11:11">
      <c r="K4835" s="28" t="str">
        <f t="shared" si="76"/>
        <v>Quarter 1 1900</v>
      </c>
    </row>
    <row r="4836" spans="11:11">
      <c r="K4836" s="28" t="str">
        <f t="shared" si="76"/>
        <v>Quarter 1 1900</v>
      </c>
    </row>
    <row r="4837" spans="11:11">
      <c r="K4837" s="28" t="str">
        <f t="shared" si="76"/>
        <v>Quarter 1 1900</v>
      </c>
    </row>
    <row r="4838" spans="11:11">
      <c r="K4838" s="28" t="str">
        <f t="shared" si="76"/>
        <v>Quarter 1 1900</v>
      </c>
    </row>
    <row r="4839" spans="11:11">
      <c r="K4839" s="28" t="str">
        <f t="shared" si="76"/>
        <v>Quarter 1 1900</v>
      </c>
    </row>
    <row r="4840" spans="11:11">
      <c r="K4840" s="28" t="str">
        <f t="shared" si="76"/>
        <v>Quarter 1 1900</v>
      </c>
    </row>
    <row r="4841" spans="11:11">
      <c r="K4841" s="28" t="str">
        <f t="shared" si="76"/>
        <v>Quarter 1 1900</v>
      </c>
    </row>
    <row r="4842" spans="11:11">
      <c r="K4842" s="28" t="str">
        <f t="shared" si="76"/>
        <v>Quarter 1 1900</v>
      </c>
    </row>
    <row r="4843" spans="11:11">
      <c r="K4843" s="28" t="str">
        <f t="shared" si="76"/>
        <v>Quarter 1 1900</v>
      </c>
    </row>
    <row r="4844" spans="11:11">
      <c r="K4844" s="28" t="str">
        <f t="shared" si="76"/>
        <v>Quarter 1 1900</v>
      </c>
    </row>
    <row r="4845" spans="11:11">
      <c r="K4845" s="28" t="str">
        <f t="shared" si="76"/>
        <v>Quarter 1 1900</v>
      </c>
    </row>
    <row r="4846" spans="11:11">
      <c r="K4846" s="28" t="str">
        <f t="shared" si="76"/>
        <v>Quarter 1 1900</v>
      </c>
    </row>
    <row r="4847" spans="11:11">
      <c r="K4847" s="28" t="str">
        <f t="shared" si="76"/>
        <v>Quarter 1 1900</v>
      </c>
    </row>
    <row r="4848" spans="11:11">
      <c r="K4848" s="28" t="str">
        <f t="shared" si="76"/>
        <v>Quarter 1 1900</v>
      </c>
    </row>
    <row r="4849" spans="11:11">
      <c r="K4849" s="28" t="str">
        <f t="shared" si="76"/>
        <v>Quarter 1 1900</v>
      </c>
    </row>
    <row r="4850" spans="11:11">
      <c r="K4850" s="28" t="str">
        <f t="shared" si="76"/>
        <v>Quarter 1 1900</v>
      </c>
    </row>
    <row r="4851" spans="11:11">
      <c r="K4851" s="28" t="str">
        <f t="shared" si="76"/>
        <v>Quarter 1 1900</v>
      </c>
    </row>
    <row r="4852" spans="11:11">
      <c r="K4852" s="28" t="str">
        <f t="shared" si="76"/>
        <v>Quarter 1 1900</v>
      </c>
    </row>
    <row r="4853" spans="11:11">
      <c r="K4853" s="28" t="str">
        <f t="shared" si="76"/>
        <v>Quarter 1 1900</v>
      </c>
    </row>
    <row r="4854" spans="11:11">
      <c r="K4854" s="28" t="str">
        <f t="shared" si="76"/>
        <v>Quarter 1 1900</v>
      </c>
    </row>
    <row r="4855" spans="11:11">
      <c r="K4855" s="28" t="str">
        <f t="shared" si="76"/>
        <v>Quarter 1 1900</v>
      </c>
    </row>
    <row r="4856" spans="11:11">
      <c r="K4856" s="28" t="str">
        <f t="shared" si="76"/>
        <v>Quarter 1 1900</v>
      </c>
    </row>
    <row r="4857" spans="11:11">
      <c r="K4857" s="28" t="str">
        <f t="shared" si="76"/>
        <v>Quarter 1 1900</v>
      </c>
    </row>
    <row r="4858" spans="11:11">
      <c r="K4858" s="28" t="str">
        <f t="shared" si="76"/>
        <v>Quarter 1 1900</v>
      </c>
    </row>
    <row r="4859" spans="11:11">
      <c r="K4859" s="28" t="str">
        <f t="shared" si="76"/>
        <v>Quarter 1 1900</v>
      </c>
    </row>
    <row r="4860" spans="11:11">
      <c r="K4860" s="28" t="str">
        <f t="shared" si="76"/>
        <v>Quarter 1 1900</v>
      </c>
    </row>
    <row r="4861" spans="11:11">
      <c r="K4861" s="28" t="str">
        <f t="shared" si="76"/>
        <v>Quarter 1 1900</v>
      </c>
    </row>
    <row r="4862" spans="11:11">
      <c r="K4862" s="28" t="str">
        <f t="shared" si="76"/>
        <v>Quarter 1 1900</v>
      </c>
    </row>
    <row r="4863" spans="11:11">
      <c r="K4863" s="28" t="str">
        <f t="shared" si="76"/>
        <v>Quarter 1 1900</v>
      </c>
    </row>
    <row r="4864" spans="11:11">
      <c r="K4864" s="28" t="str">
        <f t="shared" si="76"/>
        <v>Quarter 1 1900</v>
      </c>
    </row>
    <row r="4865" spans="11:11">
      <c r="K4865" s="28" t="str">
        <f t="shared" si="76"/>
        <v>Quarter 1 1900</v>
      </c>
    </row>
    <row r="4866" spans="11:11">
      <c r="K4866" s="28" t="str">
        <f t="shared" si="76"/>
        <v>Quarter 1 1900</v>
      </c>
    </row>
    <row r="4867" spans="11:11">
      <c r="K4867" s="28" t="str">
        <f t="shared" si="76"/>
        <v>Quarter 1 1900</v>
      </c>
    </row>
    <row r="4868" spans="11:11">
      <c r="K4868" s="28" t="str">
        <f t="shared" si="76"/>
        <v>Quarter 1 1900</v>
      </c>
    </row>
    <row r="4869" spans="11:11">
      <c r="K4869" s="28" t="str">
        <f t="shared" si="76"/>
        <v>Quarter 1 1900</v>
      </c>
    </row>
    <row r="4870" spans="11:11">
      <c r="K4870" s="28" t="str">
        <f t="shared" si="76"/>
        <v>Quarter 1 1900</v>
      </c>
    </row>
    <row r="4871" spans="11:11">
      <c r="K4871" s="28" t="str">
        <f t="shared" si="76"/>
        <v>Quarter 1 1900</v>
      </c>
    </row>
    <row r="4872" spans="11:11">
      <c r="K4872" s="28" t="str">
        <f t="shared" si="76"/>
        <v>Quarter 1 1900</v>
      </c>
    </row>
    <row r="4873" spans="11:11">
      <c r="K4873" s="28" t="str">
        <f t="shared" si="76"/>
        <v>Quarter 1 1900</v>
      </c>
    </row>
    <row r="4874" spans="11:11">
      <c r="K4874" s="28" t="str">
        <f t="shared" si="76"/>
        <v>Quarter 1 1900</v>
      </c>
    </row>
    <row r="4875" spans="11:11">
      <c r="K4875" s="28" t="str">
        <f t="shared" si="76"/>
        <v>Quarter 1 1900</v>
      </c>
    </row>
    <row r="4876" spans="11:11">
      <c r="K4876" s="28" t="str">
        <f t="shared" si="76"/>
        <v>Quarter 1 1900</v>
      </c>
    </row>
    <row r="4877" spans="11:11">
      <c r="K4877" s="28" t="str">
        <f t="shared" si="76"/>
        <v>Quarter 1 1900</v>
      </c>
    </row>
    <row r="4878" spans="11:11">
      <c r="K4878" s="28" t="str">
        <f t="shared" si="76"/>
        <v>Quarter 1 1900</v>
      </c>
    </row>
    <row r="4879" spans="11:11">
      <c r="K4879" s="28" t="str">
        <f t="shared" si="76"/>
        <v>Quarter 1 1900</v>
      </c>
    </row>
    <row r="4880" spans="11:11">
      <c r="K4880" s="28" t="str">
        <f t="shared" si="76"/>
        <v>Quarter 1 1900</v>
      </c>
    </row>
    <row r="4881" spans="11:11">
      <c r="K4881" s="28" t="str">
        <f t="shared" si="76"/>
        <v>Quarter 1 1900</v>
      </c>
    </row>
    <row r="4882" spans="11:11">
      <c r="K4882" s="28" t="str">
        <f t="shared" ref="K4882:K4945" si="77">"Quarter "&amp;INT((MONTH(B4882)-1)/3)+1&amp;" "&amp;YEAR(B4882)</f>
        <v>Quarter 1 1900</v>
      </c>
    </row>
    <row r="4883" spans="11:11">
      <c r="K4883" s="28" t="str">
        <f t="shared" si="77"/>
        <v>Quarter 1 1900</v>
      </c>
    </row>
    <row r="4884" spans="11:11">
      <c r="K4884" s="28" t="str">
        <f t="shared" si="77"/>
        <v>Quarter 1 1900</v>
      </c>
    </row>
    <row r="4885" spans="11:11">
      <c r="K4885" s="28" t="str">
        <f t="shared" si="77"/>
        <v>Quarter 1 1900</v>
      </c>
    </row>
    <row r="4886" spans="11:11">
      <c r="K4886" s="28" t="str">
        <f t="shared" si="77"/>
        <v>Quarter 1 1900</v>
      </c>
    </row>
    <row r="4887" spans="11:11">
      <c r="K4887" s="28" t="str">
        <f t="shared" si="77"/>
        <v>Quarter 1 1900</v>
      </c>
    </row>
    <row r="4888" spans="11:11">
      <c r="K4888" s="28" t="str">
        <f t="shared" si="77"/>
        <v>Quarter 1 1900</v>
      </c>
    </row>
    <row r="4889" spans="11:11">
      <c r="K4889" s="28" t="str">
        <f t="shared" si="77"/>
        <v>Quarter 1 1900</v>
      </c>
    </row>
    <row r="4890" spans="11:11">
      <c r="K4890" s="28" t="str">
        <f t="shared" si="77"/>
        <v>Quarter 1 1900</v>
      </c>
    </row>
    <row r="4891" spans="11:11">
      <c r="K4891" s="28" t="str">
        <f t="shared" si="77"/>
        <v>Quarter 1 1900</v>
      </c>
    </row>
    <row r="4892" spans="11:11">
      <c r="K4892" s="28" t="str">
        <f t="shared" si="77"/>
        <v>Quarter 1 1900</v>
      </c>
    </row>
    <row r="4893" spans="11:11">
      <c r="K4893" s="28" t="str">
        <f t="shared" si="77"/>
        <v>Quarter 1 1900</v>
      </c>
    </row>
    <row r="4894" spans="11:11">
      <c r="K4894" s="28" t="str">
        <f t="shared" si="77"/>
        <v>Quarter 1 1900</v>
      </c>
    </row>
    <row r="4895" spans="11:11">
      <c r="K4895" s="28" t="str">
        <f t="shared" si="77"/>
        <v>Quarter 1 1900</v>
      </c>
    </row>
    <row r="4896" spans="11:11">
      <c r="K4896" s="28" t="str">
        <f t="shared" si="77"/>
        <v>Quarter 1 1900</v>
      </c>
    </row>
    <row r="4897" spans="11:11">
      <c r="K4897" s="28" t="str">
        <f t="shared" si="77"/>
        <v>Quarter 1 1900</v>
      </c>
    </row>
    <row r="4898" spans="11:11">
      <c r="K4898" s="28" t="str">
        <f t="shared" si="77"/>
        <v>Quarter 1 1900</v>
      </c>
    </row>
    <row r="4899" spans="11:11">
      <c r="K4899" s="28" t="str">
        <f t="shared" si="77"/>
        <v>Quarter 1 1900</v>
      </c>
    </row>
    <row r="4900" spans="11:11">
      <c r="K4900" s="28" t="str">
        <f t="shared" si="77"/>
        <v>Quarter 1 1900</v>
      </c>
    </row>
    <row r="4901" spans="11:11">
      <c r="K4901" s="28" t="str">
        <f t="shared" si="77"/>
        <v>Quarter 1 1900</v>
      </c>
    </row>
    <row r="4902" spans="11:11">
      <c r="K4902" s="28" t="str">
        <f t="shared" si="77"/>
        <v>Quarter 1 1900</v>
      </c>
    </row>
    <row r="4903" spans="11:11">
      <c r="K4903" s="28" t="str">
        <f t="shared" si="77"/>
        <v>Quarter 1 1900</v>
      </c>
    </row>
    <row r="4904" spans="11:11">
      <c r="K4904" s="28" t="str">
        <f t="shared" si="77"/>
        <v>Quarter 1 1900</v>
      </c>
    </row>
    <row r="4905" spans="11:11">
      <c r="K4905" s="28" t="str">
        <f t="shared" si="77"/>
        <v>Quarter 1 1900</v>
      </c>
    </row>
    <row r="4906" spans="11:11">
      <c r="K4906" s="28" t="str">
        <f t="shared" si="77"/>
        <v>Quarter 1 1900</v>
      </c>
    </row>
    <row r="4907" spans="11:11">
      <c r="K4907" s="28" t="str">
        <f t="shared" si="77"/>
        <v>Quarter 1 1900</v>
      </c>
    </row>
    <row r="4908" spans="11:11">
      <c r="K4908" s="28" t="str">
        <f t="shared" si="77"/>
        <v>Quarter 1 1900</v>
      </c>
    </row>
    <row r="4909" spans="11:11">
      <c r="K4909" s="28" t="str">
        <f t="shared" si="77"/>
        <v>Quarter 1 1900</v>
      </c>
    </row>
    <row r="4910" spans="11:11">
      <c r="K4910" s="28" t="str">
        <f t="shared" si="77"/>
        <v>Quarter 1 1900</v>
      </c>
    </row>
    <row r="4911" spans="11:11">
      <c r="K4911" s="28" t="str">
        <f t="shared" si="77"/>
        <v>Quarter 1 1900</v>
      </c>
    </row>
    <row r="4912" spans="11:11">
      <c r="K4912" s="28" t="str">
        <f t="shared" si="77"/>
        <v>Quarter 1 1900</v>
      </c>
    </row>
    <row r="4913" spans="11:11">
      <c r="K4913" s="28" t="str">
        <f t="shared" si="77"/>
        <v>Quarter 1 1900</v>
      </c>
    </row>
    <row r="4914" spans="11:11">
      <c r="K4914" s="28" t="str">
        <f t="shared" si="77"/>
        <v>Quarter 1 1900</v>
      </c>
    </row>
    <row r="4915" spans="11:11">
      <c r="K4915" s="28" t="str">
        <f t="shared" si="77"/>
        <v>Quarter 1 1900</v>
      </c>
    </row>
    <row r="4916" spans="11:11">
      <c r="K4916" s="28" t="str">
        <f t="shared" si="77"/>
        <v>Quarter 1 1900</v>
      </c>
    </row>
    <row r="4917" spans="11:11">
      <c r="K4917" s="28" t="str">
        <f t="shared" si="77"/>
        <v>Quarter 1 1900</v>
      </c>
    </row>
    <row r="4918" spans="11:11">
      <c r="K4918" s="28" t="str">
        <f t="shared" si="77"/>
        <v>Quarter 1 1900</v>
      </c>
    </row>
    <row r="4919" spans="11:11">
      <c r="K4919" s="28" t="str">
        <f t="shared" si="77"/>
        <v>Quarter 1 1900</v>
      </c>
    </row>
    <row r="4920" spans="11:11">
      <c r="K4920" s="28" t="str">
        <f t="shared" si="77"/>
        <v>Quarter 1 1900</v>
      </c>
    </row>
    <row r="4921" spans="11:11">
      <c r="K4921" s="28" t="str">
        <f t="shared" si="77"/>
        <v>Quarter 1 1900</v>
      </c>
    </row>
    <row r="4922" spans="11:11">
      <c r="K4922" s="28" t="str">
        <f t="shared" si="77"/>
        <v>Quarter 1 1900</v>
      </c>
    </row>
    <row r="4923" spans="11:11">
      <c r="K4923" s="28" t="str">
        <f t="shared" si="77"/>
        <v>Quarter 1 1900</v>
      </c>
    </row>
    <row r="4924" spans="11:11">
      <c r="K4924" s="28" t="str">
        <f t="shared" si="77"/>
        <v>Quarter 1 1900</v>
      </c>
    </row>
    <row r="4925" spans="11:11">
      <c r="K4925" s="28" t="str">
        <f t="shared" si="77"/>
        <v>Quarter 1 1900</v>
      </c>
    </row>
    <row r="4926" spans="11:11">
      <c r="K4926" s="28" t="str">
        <f t="shared" si="77"/>
        <v>Quarter 1 1900</v>
      </c>
    </row>
    <row r="4927" spans="11:11">
      <c r="K4927" s="28" t="str">
        <f t="shared" si="77"/>
        <v>Quarter 1 1900</v>
      </c>
    </row>
    <row r="4928" spans="11:11">
      <c r="K4928" s="28" t="str">
        <f t="shared" si="77"/>
        <v>Quarter 1 1900</v>
      </c>
    </row>
    <row r="4929" spans="11:11">
      <c r="K4929" s="28" t="str">
        <f t="shared" si="77"/>
        <v>Quarter 1 1900</v>
      </c>
    </row>
    <row r="4930" spans="11:11">
      <c r="K4930" s="28" t="str">
        <f t="shared" si="77"/>
        <v>Quarter 1 1900</v>
      </c>
    </row>
    <row r="4931" spans="11:11">
      <c r="K4931" s="28" t="str">
        <f t="shared" si="77"/>
        <v>Quarter 1 1900</v>
      </c>
    </row>
    <row r="4932" spans="11:11">
      <c r="K4932" s="28" t="str">
        <f t="shared" si="77"/>
        <v>Quarter 1 1900</v>
      </c>
    </row>
    <row r="4933" spans="11:11">
      <c r="K4933" s="28" t="str">
        <f t="shared" si="77"/>
        <v>Quarter 1 1900</v>
      </c>
    </row>
    <row r="4934" spans="11:11">
      <c r="K4934" s="28" t="str">
        <f t="shared" si="77"/>
        <v>Quarter 1 1900</v>
      </c>
    </row>
    <row r="4935" spans="11:11">
      <c r="K4935" s="28" t="str">
        <f t="shared" si="77"/>
        <v>Quarter 1 1900</v>
      </c>
    </row>
    <row r="4936" spans="11:11">
      <c r="K4936" s="28" t="str">
        <f t="shared" si="77"/>
        <v>Quarter 1 1900</v>
      </c>
    </row>
    <row r="4937" spans="11:11">
      <c r="K4937" s="28" t="str">
        <f t="shared" si="77"/>
        <v>Quarter 1 1900</v>
      </c>
    </row>
    <row r="4938" spans="11:11">
      <c r="K4938" s="28" t="str">
        <f t="shared" si="77"/>
        <v>Quarter 1 1900</v>
      </c>
    </row>
    <row r="4939" spans="11:11">
      <c r="K4939" s="28" t="str">
        <f t="shared" si="77"/>
        <v>Quarter 1 1900</v>
      </c>
    </row>
    <row r="4940" spans="11:11">
      <c r="K4940" s="28" t="str">
        <f t="shared" si="77"/>
        <v>Quarter 1 1900</v>
      </c>
    </row>
    <row r="4941" spans="11:11">
      <c r="K4941" s="28" t="str">
        <f t="shared" si="77"/>
        <v>Quarter 1 1900</v>
      </c>
    </row>
    <row r="4942" spans="11:11">
      <c r="K4942" s="28" t="str">
        <f t="shared" si="77"/>
        <v>Quarter 1 1900</v>
      </c>
    </row>
    <row r="4943" spans="11:11">
      <c r="K4943" s="28" t="str">
        <f t="shared" si="77"/>
        <v>Quarter 1 1900</v>
      </c>
    </row>
    <row r="4944" spans="11:11">
      <c r="K4944" s="28" t="str">
        <f t="shared" si="77"/>
        <v>Quarter 1 1900</v>
      </c>
    </row>
    <row r="4945" spans="11:11">
      <c r="K4945" s="28" t="str">
        <f t="shared" si="77"/>
        <v>Quarter 1 1900</v>
      </c>
    </row>
    <row r="4946" spans="11:11">
      <c r="K4946" s="28" t="str">
        <f t="shared" ref="K4946:K5000" si="78">"Quarter "&amp;INT((MONTH(B4946)-1)/3)+1&amp;" "&amp;YEAR(B4946)</f>
        <v>Quarter 1 1900</v>
      </c>
    </row>
    <row r="4947" spans="11:11">
      <c r="K4947" s="28" t="str">
        <f t="shared" si="78"/>
        <v>Quarter 1 1900</v>
      </c>
    </row>
    <row r="4948" spans="11:11">
      <c r="K4948" s="28" t="str">
        <f t="shared" si="78"/>
        <v>Quarter 1 1900</v>
      </c>
    </row>
    <row r="4949" spans="11:11">
      <c r="K4949" s="28" t="str">
        <f t="shared" si="78"/>
        <v>Quarter 1 1900</v>
      </c>
    </row>
    <row r="4950" spans="11:11">
      <c r="K4950" s="28" t="str">
        <f t="shared" si="78"/>
        <v>Quarter 1 1900</v>
      </c>
    </row>
    <row r="4951" spans="11:11">
      <c r="K4951" s="28" t="str">
        <f t="shared" si="78"/>
        <v>Quarter 1 1900</v>
      </c>
    </row>
    <row r="4952" spans="11:11">
      <c r="K4952" s="28" t="str">
        <f t="shared" si="78"/>
        <v>Quarter 1 1900</v>
      </c>
    </row>
    <row r="4953" spans="11:11">
      <c r="K4953" s="28" t="str">
        <f t="shared" si="78"/>
        <v>Quarter 1 1900</v>
      </c>
    </row>
    <row r="4954" spans="11:11">
      <c r="K4954" s="28" t="str">
        <f t="shared" si="78"/>
        <v>Quarter 1 1900</v>
      </c>
    </row>
    <row r="4955" spans="11:11">
      <c r="K4955" s="28" t="str">
        <f t="shared" si="78"/>
        <v>Quarter 1 1900</v>
      </c>
    </row>
    <row r="4956" spans="11:11">
      <c r="K4956" s="28" t="str">
        <f t="shared" si="78"/>
        <v>Quarter 1 1900</v>
      </c>
    </row>
    <row r="4957" spans="11:11">
      <c r="K4957" s="28" t="str">
        <f t="shared" si="78"/>
        <v>Quarter 1 1900</v>
      </c>
    </row>
    <row r="4958" spans="11:11">
      <c r="K4958" s="28" t="str">
        <f t="shared" si="78"/>
        <v>Quarter 1 1900</v>
      </c>
    </row>
    <row r="4959" spans="11:11">
      <c r="K4959" s="28" t="str">
        <f t="shared" si="78"/>
        <v>Quarter 1 1900</v>
      </c>
    </row>
    <row r="4960" spans="11:11">
      <c r="K4960" s="28" t="str">
        <f t="shared" si="78"/>
        <v>Quarter 1 1900</v>
      </c>
    </row>
    <row r="4961" spans="11:11">
      <c r="K4961" s="28" t="str">
        <f t="shared" si="78"/>
        <v>Quarter 1 1900</v>
      </c>
    </row>
    <row r="4962" spans="11:11">
      <c r="K4962" s="28" t="str">
        <f t="shared" si="78"/>
        <v>Quarter 1 1900</v>
      </c>
    </row>
    <row r="4963" spans="11:11">
      <c r="K4963" s="28" t="str">
        <f t="shared" si="78"/>
        <v>Quarter 1 1900</v>
      </c>
    </row>
    <row r="4964" spans="11:11">
      <c r="K4964" s="28" t="str">
        <f t="shared" si="78"/>
        <v>Quarter 1 1900</v>
      </c>
    </row>
    <row r="4965" spans="11:11">
      <c r="K4965" s="28" t="str">
        <f t="shared" si="78"/>
        <v>Quarter 1 1900</v>
      </c>
    </row>
    <row r="4966" spans="11:11">
      <c r="K4966" s="28" t="str">
        <f t="shared" si="78"/>
        <v>Quarter 1 1900</v>
      </c>
    </row>
    <row r="4967" spans="11:11">
      <c r="K4967" s="28" t="str">
        <f t="shared" si="78"/>
        <v>Quarter 1 1900</v>
      </c>
    </row>
    <row r="4968" spans="11:11">
      <c r="K4968" s="28" t="str">
        <f t="shared" si="78"/>
        <v>Quarter 1 1900</v>
      </c>
    </row>
    <row r="4969" spans="11:11">
      <c r="K4969" s="28" t="str">
        <f t="shared" si="78"/>
        <v>Quarter 1 1900</v>
      </c>
    </row>
    <row r="4970" spans="11:11">
      <c r="K4970" s="28" t="str">
        <f t="shared" si="78"/>
        <v>Quarter 1 1900</v>
      </c>
    </row>
    <row r="4971" spans="11:11">
      <c r="K4971" s="28" t="str">
        <f t="shared" si="78"/>
        <v>Quarter 1 1900</v>
      </c>
    </row>
    <row r="4972" spans="11:11">
      <c r="K4972" s="28" t="str">
        <f t="shared" si="78"/>
        <v>Quarter 1 1900</v>
      </c>
    </row>
    <row r="4973" spans="11:11">
      <c r="K4973" s="28" t="str">
        <f t="shared" si="78"/>
        <v>Quarter 1 1900</v>
      </c>
    </row>
    <row r="4974" spans="11:11">
      <c r="K4974" s="28" t="str">
        <f t="shared" si="78"/>
        <v>Quarter 1 1900</v>
      </c>
    </row>
    <row r="4975" spans="11:11">
      <c r="K4975" s="28" t="str">
        <f t="shared" si="78"/>
        <v>Quarter 1 1900</v>
      </c>
    </row>
    <row r="4976" spans="11:11">
      <c r="K4976" s="28" t="str">
        <f t="shared" si="78"/>
        <v>Quarter 1 1900</v>
      </c>
    </row>
    <row r="4977" spans="11:11">
      <c r="K4977" s="28" t="str">
        <f t="shared" si="78"/>
        <v>Quarter 1 1900</v>
      </c>
    </row>
    <row r="4978" spans="11:11">
      <c r="K4978" s="28" t="str">
        <f t="shared" si="78"/>
        <v>Quarter 1 1900</v>
      </c>
    </row>
    <row r="4979" spans="11:11">
      <c r="K4979" s="28" t="str">
        <f t="shared" si="78"/>
        <v>Quarter 1 1900</v>
      </c>
    </row>
    <row r="4980" spans="11:11">
      <c r="K4980" s="28" t="str">
        <f t="shared" si="78"/>
        <v>Quarter 1 1900</v>
      </c>
    </row>
    <row r="4981" spans="11:11">
      <c r="K4981" s="28" t="str">
        <f t="shared" si="78"/>
        <v>Quarter 1 1900</v>
      </c>
    </row>
    <row r="4982" spans="11:11">
      <c r="K4982" s="28" t="str">
        <f t="shared" si="78"/>
        <v>Quarter 1 1900</v>
      </c>
    </row>
    <row r="4983" spans="11:11">
      <c r="K4983" s="28" t="str">
        <f t="shared" si="78"/>
        <v>Quarter 1 1900</v>
      </c>
    </row>
    <row r="4984" spans="11:11">
      <c r="K4984" s="28" t="str">
        <f t="shared" si="78"/>
        <v>Quarter 1 1900</v>
      </c>
    </row>
    <row r="4985" spans="11:11">
      <c r="K4985" s="28" t="str">
        <f t="shared" si="78"/>
        <v>Quarter 1 1900</v>
      </c>
    </row>
    <row r="4986" spans="11:11">
      <c r="K4986" s="28" t="str">
        <f t="shared" si="78"/>
        <v>Quarter 1 1900</v>
      </c>
    </row>
    <row r="4987" spans="11:11">
      <c r="K4987" s="28" t="str">
        <f t="shared" si="78"/>
        <v>Quarter 1 1900</v>
      </c>
    </row>
    <row r="4988" spans="11:11">
      <c r="K4988" s="28" t="str">
        <f t="shared" si="78"/>
        <v>Quarter 1 1900</v>
      </c>
    </row>
    <row r="4989" spans="11:11">
      <c r="K4989" s="28" t="str">
        <f t="shared" si="78"/>
        <v>Quarter 1 1900</v>
      </c>
    </row>
    <row r="4990" spans="11:11">
      <c r="K4990" s="28" t="str">
        <f t="shared" si="78"/>
        <v>Quarter 1 1900</v>
      </c>
    </row>
    <row r="4991" spans="11:11">
      <c r="K4991" s="28" t="str">
        <f t="shared" si="78"/>
        <v>Quarter 1 1900</v>
      </c>
    </row>
    <row r="4992" spans="11:11">
      <c r="K4992" s="28" t="str">
        <f t="shared" si="78"/>
        <v>Quarter 1 1900</v>
      </c>
    </row>
    <row r="4993" spans="11:11">
      <c r="K4993" s="28" t="str">
        <f t="shared" si="78"/>
        <v>Quarter 1 1900</v>
      </c>
    </row>
    <row r="4994" spans="11:11">
      <c r="K4994" s="28" t="str">
        <f t="shared" si="78"/>
        <v>Quarter 1 1900</v>
      </c>
    </row>
    <row r="4995" spans="11:11">
      <c r="K4995" s="28" t="str">
        <f t="shared" si="78"/>
        <v>Quarter 1 1900</v>
      </c>
    </row>
    <row r="4996" spans="11:11">
      <c r="K4996" s="28" t="str">
        <f t="shared" si="78"/>
        <v>Quarter 1 1900</v>
      </c>
    </row>
    <row r="4997" spans="11:11">
      <c r="K4997" s="28" t="str">
        <f t="shared" si="78"/>
        <v>Quarter 1 1900</v>
      </c>
    </row>
    <row r="4998" spans="11:11">
      <c r="K4998" s="28" t="str">
        <f t="shared" si="78"/>
        <v>Quarter 1 1900</v>
      </c>
    </row>
    <row r="4999" spans="11:11">
      <c r="K4999" s="28" t="str">
        <f t="shared" si="78"/>
        <v>Quarter 1 1900</v>
      </c>
    </row>
    <row r="5000" spans="11:11">
      <c r="K5000" s="28" t="str">
        <f t="shared" si="78"/>
        <v>Quarter 1 1900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AE8BC-20A2-4682-BAE3-60836504BFCA}">
  <dimension ref="A1:M5000"/>
  <sheetViews>
    <sheetView workbookViewId="0">
      <selection activeCell="D23" sqref="D22:D23"/>
    </sheetView>
  </sheetViews>
  <sheetFormatPr defaultColWidth="9.140625" defaultRowHeight="15"/>
  <cols>
    <col min="1" max="3" width="9.140625" style="18"/>
    <col min="4" max="4" width="50.7109375" style="18" bestFit="1" customWidth="1"/>
    <col min="5" max="7" width="9.140625" style="18"/>
    <col min="8" max="8" width="33.7109375" style="18" customWidth="1"/>
    <col min="9" max="11" width="9.140625" style="18"/>
    <col min="12" max="13" width="9.140625" style="20"/>
    <col min="14" max="16384" width="9.140625" style="18"/>
  </cols>
  <sheetData>
    <row r="1" spans="1:13">
      <c r="A1" s="18" t="s">
        <v>21</v>
      </c>
      <c r="B1" s="18" t="s">
        <v>362</v>
      </c>
      <c r="C1" s="18" t="s">
        <v>165</v>
      </c>
      <c r="D1" s="18" t="s">
        <v>74</v>
      </c>
      <c r="E1" s="18" t="s">
        <v>75</v>
      </c>
      <c r="F1" s="18" t="s">
        <v>76</v>
      </c>
      <c r="G1" s="18" t="s">
        <v>77</v>
      </c>
      <c r="H1" s="18" t="s">
        <v>78</v>
      </c>
      <c r="L1" s="20" t="s">
        <v>363</v>
      </c>
      <c r="M1" s="20" t="s">
        <v>364</v>
      </c>
    </row>
    <row r="2" spans="1:13">
      <c r="A2" s="18" t="s">
        <v>22</v>
      </c>
      <c r="B2" s="18" t="s">
        <v>365</v>
      </c>
      <c r="C2" s="18" t="s">
        <v>190</v>
      </c>
      <c r="D2" s="18" t="s">
        <v>87</v>
      </c>
      <c r="E2" s="18">
        <v>371.9</v>
      </c>
      <c r="F2" s="18">
        <v>12458.64</v>
      </c>
      <c r="G2" s="18">
        <v>1610.06</v>
      </c>
      <c r="H2" s="18">
        <v>11220.48</v>
      </c>
      <c r="L2" s="20" t="str">
        <f>+IF(LEFT(D2,1)="1","Asset","N/A")</f>
        <v>Asset</v>
      </c>
      <c r="M2" s="20" t="str">
        <f>+IF(L2="asset",IF(H2&lt;0,"Provide Comment","okay"),"N/A")</f>
        <v>okay</v>
      </c>
    </row>
    <row r="3" spans="1:13">
      <c r="A3" s="18" t="s">
        <v>22</v>
      </c>
      <c r="B3" s="18" t="s">
        <v>365</v>
      </c>
      <c r="C3" s="18" t="s">
        <v>190</v>
      </c>
      <c r="D3" s="18" t="s">
        <v>97</v>
      </c>
      <c r="E3" s="18">
        <v>6103437.79</v>
      </c>
      <c r="F3" s="18">
        <v>0</v>
      </c>
      <c r="G3" s="18">
        <v>0</v>
      </c>
      <c r="H3" s="18">
        <v>6103437.79</v>
      </c>
      <c r="L3" s="20" t="str">
        <f t="shared" ref="L3:L66" si="0">+IF(LEFT(D3,1)="1","Asset","N/A")</f>
        <v>Asset</v>
      </c>
      <c r="M3" s="20" t="str">
        <f t="shared" ref="M3:M66" si="1">+IF(L3="asset",IF(H3&lt;0,"Provide Comment","okay"),"N/A")</f>
        <v>okay</v>
      </c>
    </row>
    <row r="4" spans="1:13">
      <c r="A4" s="18" t="s">
        <v>22</v>
      </c>
      <c r="B4" s="18" t="s">
        <v>365</v>
      </c>
      <c r="C4" s="18" t="s">
        <v>190</v>
      </c>
      <c r="D4" s="18" t="s">
        <v>105</v>
      </c>
      <c r="E4" s="18">
        <v>1899883.39</v>
      </c>
      <c r="F4" s="18">
        <v>89166.27</v>
      </c>
      <c r="G4" s="18">
        <v>0</v>
      </c>
      <c r="H4" s="18">
        <v>1989049.66</v>
      </c>
      <c r="L4" s="20" t="str">
        <f t="shared" si="0"/>
        <v>Asset</v>
      </c>
      <c r="M4" s="20" t="str">
        <f t="shared" si="1"/>
        <v>okay</v>
      </c>
    </row>
    <row r="5" spans="1:13">
      <c r="A5" s="18" t="s">
        <v>22</v>
      </c>
      <c r="B5" s="18" t="s">
        <v>365</v>
      </c>
      <c r="C5" s="18" t="s">
        <v>190</v>
      </c>
      <c r="D5" s="18" t="s">
        <v>108</v>
      </c>
      <c r="E5" s="18">
        <v>0</v>
      </c>
      <c r="F5" s="18">
        <v>0</v>
      </c>
      <c r="G5" s="18">
        <v>0</v>
      </c>
      <c r="H5" s="18">
        <v>0</v>
      </c>
      <c r="L5" s="20" t="str">
        <f t="shared" si="0"/>
        <v>Asset</v>
      </c>
      <c r="M5" s="20" t="str">
        <f t="shared" si="1"/>
        <v>okay</v>
      </c>
    </row>
    <row r="6" spans="1:13">
      <c r="A6" s="18" t="s">
        <v>22</v>
      </c>
      <c r="B6" s="18" t="s">
        <v>365</v>
      </c>
      <c r="C6" s="18" t="s">
        <v>190</v>
      </c>
      <c r="D6" s="18" t="s">
        <v>116</v>
      </c>
      <c r="E6" s="18">
        <v>-76.09</v>
      </c>
      <c r="F6" s="18">
        <v>0</v>
      </c>
      <c r="G6" s="18">
        <v>0</v>
      </c>
      <c r="H6" s="18">
        <v>-76.09</v>
      </c>
      <c r="L6" s="20" t="str">
        <f t="shared" si="0"/>
        <v>N/A</v>
      </c>
      <c r="M6" s="20" t="str">
        <f t="shared" si="1"/>
        <v>N/A</v>
      </c>
    </row>
    <row r="7" spans="1:13">
      <c r="A7" s="18" t="s">
        <v>22</v>
      </c>
      <c r="B7" s="18" t="s">
        <v>365</v>
      </c>
      <c r="C7" s="18" t="s">
        <v>190</v>
      </c>
      <c r="D7" s="18" t="s">
        <v>121</v>
      </c>
      <c r="E7" s="18">
        <v>-166.91</v>
      </c>
      <c r="F7" s="18">
        <v>111.28</v>
      </c>
      <c r="G7" s="18">
        <v>27.82</v>
      </c>
      <c r="H7" s="18">
        <v>-83.45</v>
      </c>
      <c r="L7" s="20" t="str">
        <f t="shared" si="0"/>
        <v>N/A</v>
      </c>
      <c r="M7" s="20" t="str">
        <f t="shared" si="1"/>
        <v>N/A</v>
      </c>
    </row>
    <row r="8" spans="1:13">
      <c r="A8" s="18" t="s">
        <v>22</v>
      </c>
      <c r="B8" s="18" t="s">
        <v>365</v>
      </c>
      <c r="C8" s="18" t="s">
        <v>190</v>
      </c>
      <c r="D8" s="18" t="s">
        <v>124</v>
      </c>
      <c r="E8" s="18">
        <v>-34.090000000000003</v>
      </c>
      <c r="F8" s="18">
        <v>0</v>
      </c>
      <c r="G8" s="18">
        <v>21.22</v>
      </c>
      <c r="H8" s="18">
        <v>-55.31</v>
      </c>
      <c r="L8" s="20" t="str">
        <f t="shared" si="0"/>
        <v>N/A</v>
      </c>
      <c r="M8" s="20" t="str">
        <f t="shared" si="1"/>
        <v>N/A</v>
      </c>
    </row>
    <row r="9" spans="1:13">
      <c r="A9" s="18" t="s">
        <v>22</v>
      </c>
      <c r="B9" s="18" t="s">
        <v>365</v>
      </c>
      <c r="C9" s="18" t="s">
        <v>190</v>
      </c>
      <c r="D9" s="18" t="s">
        <v>127</v>
      </c>
      <c r="E9" s="18">
        <v>0</v>
      </c>
      <c r="F9" s="18">
        <v>0</v>
      </c>
      <c r="G9" s="18">
        <v>0</v>
      </c>
      <c r="H9" s="18">
        <v>0</v>
      </c>
      <c r="L9" s="20" t="str">
        <f t="shared" si="0"/>
        <v>N/A</v>
      </c>
      <c r="M9" s="20" t="str">
        <f t="shared" si="1"/>
        <v>N/A</v>
      </c>
    </row>
    <row r="10" spans="1:13">
      <c r="A10" s="18" t="s">
        <v>22</v>
      </c>
      <c r="B10" s="18" t="s">
        <v>365</v>
      </c>
      <c r="C10" s="18" t="s">
        <v>190</v>
      </c>
      <c r="D10" s="18" t="s">
        <v>95</v>
      </c>
      <c r="E10" s="18">
        <v>-8.2899999999999991</v>
      </c>
      <c r="F10" s="18">
        <v>2.08</v>
      </c>
      <c r="G10" s="18">
        <v>6.23</v>
      </c>
      <c r="H10" s="18">
        <v>-12.44</v>
      </c>
      <c r="L10" s="20" t="str">
        <f t="shared" si="0"/>
        <v>N/A</v>
      </c>
      <c r="M10" s="20" t="str">
        <f t="shared" si="1"/>
        <v>N/A</v>
      </c>
    </row>
    <row r="11" spans="1:13">
      <c r="A11" s="18" t="s">
        <v>22</v>
      </c>
      <c r="B11" s="18" t="s">
        <v>365</v>
      </c>
      <c r="C11" s="18" t="s">
        <v>190</v>
      </c>
      <c r="D11" s="18" t="s">
        <v>132</v>
      </c>
      <c r="E11" s="18">
        <v>0</v>
      </c>
      <c r="F11" s="18">
        <v>0</v>
      </c>
      <c r="G11" s="18">
        <v>0</v>
      </c>
      <c r="H11" s="18">
        <v>0</v>
      </c>
      <c r="L11" s="20" t="str">
        <f t="shared" si="0"/>
        <v>N/A</v>
      </c>
      <c r="M11" s="20" t="str">
        <f t="shared" si="1"/>
        <v>N/A</v>
      </c>
    </row>
    <row r="12" spans="1:13">
      <c r="A12" s="18" t="s">
        <v>22</v>
      </c>
      <c r="B12" s="18" t="s">
        <v>365</v>
      </c>
      <c r="C12" s="18" t="s">
        <v>190</v>
      </c>
      <c r="D12" s="18" t="s">
        <v>135</v>
      </c>
      <c r="E12" s="18">
        <v>-7407407.4100000001</v>
      </c>
      <c r="F12" s="18">
        <v>0</v>
      </c>
      <c r="G12" s="18">
        <v>0</v>
      </c>
      <c r="H12" s="18">
        <v>-7407407.4100000001</v>
      </c>
      <c r="L12" s="20" t="str">
        <f t="shared" si="0"/>
        <v>N/A</v>
      </c>
      <c r="M12" s="20" t="str">
        <f t="shared" si="1"/>
        <v>N/A</v>
      </c>
    </row>
    <row r="13" spans="1:13">
      <c r="A13" s="18" t="s">
        <v>22</v>
      </c>
      <c r="B13" s="18" t="s">
        <v>365</v>
      </c>
      <c r="C13" s="18" t="s">
        <v>190</v>
      </c>
      <c r="D13" s="18" t="s">
        <v>140</v>
      </c>
      <c r="E13" s="18">
        <v>-17717.32</v>
      </c>
      <c r="F13" s="18">
        <v>0</v>
      </c>
      <c r="G13" s="18">
        <v>12456.75</v>
      </c>
      <c r="H13" s="18">
        <v>-30174.07</v>
      </c>
      <c r="L13" s="20" t="str">
        <f t="shared" si="0"/>
        <v>N/A</v>
      </c>
      <c r="M13" s="20" t="str">
        <f t="shared" si="1"/>
        <v>N/A</v>
      </c>
    </row>
    <row r="14" spans="1:13">
      <c r="A14" s="18" t="s">
        <v>22</v>
      </c>
      <c r="B14" s="18" t="s">
        <v>365</v>
      </c>
      <c r="C14" s="18" t="s">
        <v>190</v>
      </c>
      <c r="D14" s="18" t="s">
        <v>143</v>
      </c>
      <c r="E14" s="18">
        <v>1303969.6200000001</v>
      </c>
      <c r="F14" s="18">
        <v>0</v>
      </c>
      <c r="G14" s="18">
        <v>0</v>
      </c>
      <c r="H14" s="18">
        <v>1303969.6200000001</v>
      </c>
      <c r="L14" s="20" t="str">
        <f t="shared" si="0"/>
        <v>N/A</v>
      </c>
      <c r="M14" s="20" t="str">
        <f t="shared" si="1"/>
        <v>N/A</v>
      </c>
    </row>
    <row r="15" spans="1:13">
      <c r="A15" s="18" t="s">
        <v>22</v>
      </c>
      <c r="B15" s="18" t="s">
        <v>365</v>
      </c>
      <c r="C15" s="18" t="s">
        <v>190</v>
      </c>
      <c r="D15" s="18" t="s">
        <v>146</v>
      </c>
      <c r="E15" s="18">
        <v>165236.87</v>
      </c>
      <c r="F15" s="18">
        <v>0</v>
      </c>
      <c r="G15" s="18">
        <v>0</v>
      </c>
      <c r="H15" s="18">
        <v>165236.87</v>
      </c>
      <c r="L15" s="20" t="str">
        <f t="shared" si="0"/>
        <v>N/A</v>
      </c>
      <c r="M15" s="20" t="str">
        <f t="shared" si="1"/>
        <v>N/A</v>
      </c>
    </row>
    <row r="16" spans="1:13">
      <c r="A16" s="18" t="s">
        <v>22</v>
      </c>
      <c r="B16" s="18" t="s">
        <v>365</v>
      </c>
      <c r="C16" s="18" t="s">
        <v>190</v>
      </c>
      <c r="D16" s="18" t="s">
        <v>147</v>
      </c>
      <c r="E16" s="18">
        <v>-1440636.94</v>
      </c>
      <c r="F16" s="18">
        <v>0</v>
      </c>
      <c r="G16" s="18">
        <v>0</v>
      </c>
      <c r="H16" s="18">
        <v>-1440636.94</v>
      </c>
      <c r="L16" s="20" t="str">
        <f t="shared" si="0"/>
        <v>N/A</v>
      </c>
      <c r="M16" s="20" t="str">
        <f t="shared" si="1"/>
        <v>N/A</v>
      </c>
    </row>
    <row r="17" spans="1:13">
      <c r="A17" s="18" t="s">
        <v>22</v>
      </c>
      <c r="B17" s="18" t="s">
        <v>365</v>
      </c>
      <c r="C17" s="18" t="s">
        <v>190</v>
      </c>
      <c r="D17" s="18" t="s">
        <v>153</v>
      </c>
      <c r="E17" s="18">
        <v>0</v>
      </c>
      <c r="F17" s="18">
        <v>0</v>
      </c>
      <c r="G17" s="18">
        <v>0</v>
      </c>
      <c r="H17" s="18">
        <v>0</v>
      </c>
      <c r="L17" s="20" t="str">
        <f t="shared" si="0"/>
        <v>N/A</v>
      </c>
      <c r="M17" s="20" t="str">
        <f t="shared" si="1"/>
        <v>N/A</v>
      </c>
    </row>
    <row r="18" spans="1:13">
      <c r="A18" s="18" t="s">
        <v>22</v>
      </c>
      <c r="B18" s="18" t="s">
        <v>365</v>
      </c>
      <c r="C18" s="18" t="s">
        <v>190</v>
      </c>
      <c r="D18" s="18" t="s">
        <v>155</v>
      </c>
      <c r="E18" s="18">
        <v>0</v>
      </c>
      <c r="F18" s="18">
        <v>0</v>
      </c>
      <c r="G18" s="18">
        <v>0</v>
      </c>
      <c r="H18" s="18">
        <v>0</v>
      </c>
      <c r="L18" s="20" t="str">
        <f t="shared" si="0"/>
        <v>N/A</v>
      </c>
      <c r="M18" s="20" t="str">
        <f t="shared" si="1"/>
        <v>N/A</v>
      </c>
    </row>
    <row r="19" spans="1:13">
      <c r="A19" s="18" t="s">
        <v>22</v>
      </c>
      <c r="B19" s="18" t="s">
        <v>365</v>
      </c>
      <c r="C19" s="18" t="s">
        <v>190</v>
      </c>
      <c r="D19" s="18" t="s">
        <v>156</v>
      </c>
      <c r="E19" s="18">
        <v>-65.25</v>
      </c>
      <c r="F19" s="18">
        <v>0</v>
      </c>
      <c r="G19" s="18">
        <v>1.89</v>
      </c>
      <c r="H19" s="18">
        <v>-67.14</v>
      </c>
      <c r="L19" s="20" t="str">
        <f t="shared" si="0"/>
        <v>N/A</v>
      </c>
      <c r="M19" s="20" t="str">
        <f t="shared" si="1"/>
        <v>N/A</v>
      </c>
    </row>
    <row r="20" spans="1:13">
      <c r="A20" s="18" t="s">
        <v>22</v>
      </c>
      <c r="B20" s="18" t="s">
        <v>365</v>
      </c>
      <c r="C20" s="18" t="s">
        <v>190</v>
      </c>
      <c r="D20" s="18" t="s">
        <v>157</v>
      </c>
      <c r="E20" s="18">
        <v>-611555.71</v>
      </c>
      <c r="F20" s="18">
        <v>0</v>
      </c>
      <c r="G20" s="18">
        <v>89166.27</v>
      </c>
      <c r="H20" s="18">
        <v>-700721.98</v>
      </c>
      <c r="L20" s="20" t="str">
        <f t="shared" si="0"/>
        <v>N/A</v>
      </c>
      <c r="M20" s="20" t="str">
        <f t="shared" si="1"/>
        <v>N/A</v>
      </c>
    </row>
    <row r="21" spans="1:13">
      <c r="A21" s="18" t="s">
        <v>22</v>
      </c>
      <c r="B21" s="18" t="s">
        <v>365</v>
      </c>
      <c r="C21" s="18" t="s">
        <v>190</v>
      </c>
      <c r="D21" s="18" t="s">
        <v>145</v>
      </c>
      <c r="E21" s="18">
        <v>0</v>
      </c>
      <c r="F21" s="18">
        <v>427.91</v>
      </c>
      <c r="G21" s="18">
        <v>0</v>
      </c>
      <c r="H21" s="18">
        <v>427.91</v>
      </c>
      <c r="L21" s="20" t="str">
        <f t="shared" si="0"/>
        <v>N/A</v>
      </c>
      <c r="M21" s="20" t="str">
        <f t="shared" si="1"/>
        <v>N/A</v>
      </c>
    </row>
    <row r="22" spans="1:13">
      <c r="A22" s="18" t="s">
        <v>22</v>
      </c>
      <c r="B22" s="18" t="s">
        <v>365</v>
      </c>
      <c r="C22" s="18" t="s">
        <v>190</v>
      </c>
      <c r="D22" s="18" t="s">
        <v>96</v>
      </c>
      <c r="E22" s="18">
        <v>12.46</v>
      </c>
      <c r="F22" s="18">
        <v>6.23</v>
      </c>
      <c r="G22" s="18">
        <v>0</v>
      </c>
      <c r="H22" s="18">
        <v>18.690000000000001</v>
      </c>
      <c r="L22" s="20" t="str">
        <f t="shared" si="0"/>
        <v>N/A</v>
      </c>
      <c r="M22" s="20" t="str">
        <f t="shared" si="1"/>
        <v>N/A</v>
      </c>
    </row>
    <row r="23" spans="1:13">
      <c r="A23" s="18" t="s">
        <v>22</v>
      </c>
      <c r="B23" s="18" t="s">
        <v>365</v>
      </c>
      <c r="C23" s="18" t="s">
        <v>190</v>
      </c>
      <c r="D23" s="18" t="s">
        <v>104</v>
      </c>
      <c r="E23" s="18">
        <v>28.44</v>
      </c>
      <c r="F23" s="18">
        <v>56.89</v>
      </c>
      <c r="G23" s="18">
        <v>0</v>
      </c>
      <c r="H23" s="18">
        <v>85.33</v>
      </c>
      <c r="L23" s="20" t="str">
        <f t="shared" si="0"/>
        <v>N/A</v>
      </c>
      <c r="M23" s="20" t="str">
        <f t="shared" si="1"/>
        <v>N/A</v>
      </c>
    </row>
    <row r="24" spans="1:13">
      <c r="A24" s="18" t="s">
        <v>22</v>
      </c>
      <c r="B24" s="18" t="s">
        <v>365</v>
      </c>
      <c r="C24" s="18" t="s">
        <v>190</v>
      </c>
      <c r="D24" s="18" t="s">
        <v>359</v>
      </c>
      <c r="E24" s="18">
        <v>1341.87</v>
      </c>
      <c r="F24" s="18">
        <v>12.71</v>
      </c>
      <c r="G24" s="18">
        <v>0</v>
      </c>
      <c r="H24" s="18">
        <v>1354.58</v>
      </c>
      <c r="L24" s="20" t="str">
        <f t="shared" si="0"/>
        <v>N/A</v>
      </c>
      <c r="M24" s="20" t="str">
        <f t="shared" si="1"/>
        <v>N/A</v>
      </c>
    </row>
    <row r="25" spans="1:13">
      <c r="A25" s="18" t="s">
        <v>22</v>
      </c>
      <c r="B25" s="18" t="s">
        <v>365</v>
      </c>
      <c r="C25" s="18" t="s">
        <v>190</v>
      </c>
      <c r="D25" s="18" t="s">
        <v>113</v>
      </c>
      <c r="E25" s="18">
        <v>1826.52</v>
      </c>
      <c r="F25" s="18">
        <v>500.24</v>
      </c>
      <c r="G25" s="18">
        <v>0</v>
      </c>
      <c r="H25" s="18">
        <v>2326.7600000000002</v>
      </c>
      <c r="L25" s="20" t="str">
        <f t="shared" si="0"/>
        <v>N/A</v>
      </c>
      <c r="M25" s="20" t="str">
        <f t="shared" si="1"/>
        <v>N/A</v>
      </c>
    </row>
    <row r="26" spans="1:13">
      <c r="A26" s="18" t="s">
        <v>22</v>
      </c>
      <c r="B26" s="18" t="s">
        <v>365</v>
      </c>
      <c r="C26" s="18" t="s">
        <v>190</v>
      </c>
      <c r="D26" s="18" t="s">
        <v>150</v>
      </c>
      <c r="E26" s="18">
        <v>568.89</v>
      </c>
      <c r="F26" s="18">
        <v>34.35</v>
      </c>
      <c r="G26" s="18">
        <v>0</v>
      </c>
      <c r="H26" s="18">
        <v>603.24</v>
      </c>
      <c r="L26" s="20" t="str">
        <f t="shared" si="0"/>
        <v>N/A</v>
      </c>
      <c r="M26" s="20" t="str">
        <f t="shared" si="1"/>
        <v>N/A</v>
      </c>
    </row>
    <row r="27" spans="1:13">
      <c r="A27" s="18" t="s">
        <v>22</v>
      </c>
      <c r="B27" s="18" t="s">
        <v>365</v>
      </c>
      <c r="C27" s="18" t="s">
        <v>190</v>
      </c>
      <c r="D27" s="18" t="s">
        <v>120</v>
      </c>
      <c r="E27" s="18">
        <v>0.85</v>
      </c>
      <c r="F27" s="18">
        <v>0</v>
      </c>
      <c r="G27" s="18">
        <v>0</v>
      </c>
      <c r="H27" s="18">
        <v>0.85</v>
      </c>
      <c r="L27" s="20" t="str">
        <f t="shared" si="0"/>
        <v>N/A</v>
      </c>
      <c r="M27" s="20" t="str">
        <f t="shared" si="1"/>
        <v>N/A</v>
      </c>
    </row>
    <row r="28" spans="1:13">
      <c r="A28" s="18" t="s">
        <v>22</v>
      </c>
      <c r="B28" s="18" t="s">
        <v>365</v>
      </c>
      <c r="C28" s="18" t="s">
        <v>190</v>
      </c>
      <c r="D28" s="18" t="s">
        <v>123</v>
      </c>
      <c r="E28" s="18">
        <v>532.79</v>
      </c>
      <c r="F28" s="18">
        <v>271.16000000000003</v>
      </c>
      <c r="G28" s="18">
        <v>0</v>
      </c>
      <c r="H28" s="18">
        <v>803.95</v>
      </c>
      <c r="L28" s="20" t="str">
        <f t="shared" si="0"/>
        <v>N/A</v>
      </c>
      <c r="M28" s="20" t="str">
        <f t="shared" si="1"/>
        <v>N/A</v>
      </c>
    </row>
    <row r="29" spans="1:13">
      <c r="A29" s="18" t="s">
        <v>22</v>
      </c>
      <c r="B29" s="18" t="s">
        <v>365</v>
      </c>
      <c r="C29" s="18" t="s">
        <v>190</v>
      </c>
      <c r="D29" s="18" t="s">
        <v>126</v>
      </c>
      <c r="E29" s="18">
        <v>79.31</v>
      </c>
      <c r="F29" s="18">
        <v>15.28</v>
      </c>
      <c r="G29" s="18">
        <v>0</v>
      </c>
      <c r="H29" s="18">
        <v>94.59</v>
      </c>
      <c r="L29" s="20" t="str">
        <f t="shared" si="0"/>
        <v>N/A</v>
      </c>
      <c r="M29" s="20" t="str">
        <f t="shared" si="1"/>
        <v>N/A</v>
      </c>
    </row>
    <row r="30" spans="1:13">
      <c r="A30" s="18" t="s">
        <v>22</v>
      </c>
      <c r="B30" s="18" t="s">
        <v>365</v>
      </c>
      <c r="C30" s="18" t="s">
        <v>190</v>
      </c>
      <c r="D30" s="18" t="s">
        <v>129</v>
      </c>
      <c r="E30" s="18">
        <v>74.06</v>
      </c>
      <c r="F30" s="18">
        <v>21.08</v>
      </c>
      <c r="G30" s="18">
        <v>0</v>
      </c>
      <c r="H30" s="18">
        <v>95.14</v>
      </c>
      <c r="L30" s="20" t="str">
        <f t="shared" si="0"/>
        <v>N/A</v>
      </c>
      <c r="M30" s="20" t="str">
        <f t="shared" si="1"/>
        <v>N/A</v>
      </c>
    </row>
    <row r="31" spans="1:13">
      <c r="A31" s="18" t="s">
        <v>22</v>
      </c>
      <c r="B31" s="18" t="s">
        <v>365</v>
      </c>
      <c r="C31" s="18" t="s">
        <v>190</v>
      </c>
      <c r="D31" s="18" t="s">
        <v>131</v>
      </c>
      <c r="E31" s="18">
        <v>188.11</v>
      </c>
      <c r="F31" s="18">
        <v>134.26</v>
      </c>
      <c r="G31" s="18">
        <v>0</v>
      </c>
      <c r="H31" s="18">
        <v>322.37</v>
      </c>
      <c r="L31" s="20" t="str">
        <f t="shared" si="0"/>
        <v>N/A</v>
      </c>
      <c r="M31" s="20" t="str">
        <f t="shared" si="1"/>
        <v>N/A</v>
      </c>
    </row>
    <row r="32" spans="1:13">
      <c r="A32" s="18" t="s">
        <v>22</v>
      </c>
      <c r="B32" s="18" t="s">
        <v>365</v>
      </c>
      <c r="C32" s="18" t="s">
        <v>190</v>
      </c>
      <c r="D32" s="18" t="s">
        <v>162</v>
      </c>
      <c r="E32" s="18">
        <v>0</v>
      </c>
      <c r="F32" s="18">
        <v>0</v>
      </c>
      <c r="G32" s="18">
        <v>0</v>
      </c>
      <c r="H32" s="18">
        <v>0</v>
      </c>
      <c r="L32" s="20" t="str">
        <f t="shared" si="0"/>
        <v>N/A</v>
      </c>
      <c r="M32" s="20" t="str">
        <f t="shared" si="1"/>
        <v>N/A</v>
      </c>
    </row>
    <row r="33" spans="1:13">
      <c r="A33" s="18" t="s">
        <v>22</v>
      </c>
      <c r="B33" s="18" t="s">
        <v>365</v>
      </c>
      <c r="C33" s="18" t="s">
        <v>190</v>
      </c>
      <c r="D33" s="18" t="s">
        <v>134</v>
      </c>
      <c r="E33" s="18">
        <v>13.5</v>
      </c>
      <c r="F33" s="18">
        <v>16.87</v>
      </c>
      <c r="G33" s="18">
        <v>0</v>
      </c>
      <c r="H33" s="18">
        <v>30.37</v>
      </c>
      <c r="L33" s="20" t="str">
        <f t="shared" si="0"/>
        <v>N/A</v>
      </c>
      <c r="M33" s="20" t="str">
        <f t="shared" si="1"/>
        <v>N/A</v>
      </c>
    </row>
    <row r="34" spans="1:13">
      <c r="A34" s="18" t="s">
        <v>22</v>
      </c>
      <c r="B34" s="18" t="s">
        <v>365</v>
      </c>
      <c r="C34" s="18" t="s">
        <v>190</v>
      </c>
      <c r="D34" s="18" t="s">
        <v>139</v>
      </c>
      <c r="E34" s="18">
        <v>55.64</v>
      </c>
      <c r="F34" s="18">
        <v>27.82</v>
      </c>
      <c r="G34" s="18">
        <v>0</v>
      </c>
      <c r="H34" s="18">
        <v>83.46</v>
      </c>
      <c r="L34" s="20" t="str">
        <f t="shared" si="0"/>
        <v>N/A</v>
      </c>
      <c r="M34" s="20" t="str">
        <f t="shared" si="1"/>
        <v>N/A</v>
      </c>
    </row>
    <row r="35" spans="1:13">
      <c r="A35" s="18" t="s">
        <v>22</v>
      </c>
      <c r="B35" s="18" t="s">
        <v>365</v>
      </c>
      <c r="C35" s="18" t="s">
        <v>190</v>
      </c>
      <c r="D35" s="18" t="s">
        <v>142</v>
      </c>
      <c r="E35" s="18">
        <v>46</v>
      </c>
      <c r="F35" s="18">
        <v>27.17</v>
      </c>
      <c r="G35" s="18">
        <v>0</v>
      </c>
      <c r="H35" s="18">
        <v>73.17</v>
      </c>
      <c r="L35" s="20" t="str">
        <f t="shared" si="0"/>
        <v>N/A</v>
      </c>
      <c r="M35" s="20" t="str">
        <f t="shared" si="1"/>
        <v>N/A</v>
      </c>
    </row>
    <row r="36" spans="1:13">
      <c r="A36" s="18" t="s">
        <v>22</v>
      </c>
      <c r="B36" s="18" t="s">
        <v>365</v>
      </c>
      <c r="C36" s="18" t="s">
        <v>190</v>
      </c>
      <c r="D36" s="18" t="s">
        <v>163</v>
      </c>
      <c r="E36" s="18">
        <v>0</v>
      </c>
      <c r="F36" s="18">
        <v>0</v>
      </c>
      <c r="G36" s="18">
        <v>0</v>
      </c>
      <c r="H36" s="18">
        <v>0</v>
      </c>
      <c r="L36" s="20" t="str">
        <f t="shared" si="0"/>
        <v>N/A</v>
      </c>
      <c r="M36" s="20" t="str">
        <f t="shared" si="1"/>
        <v>N/A</v>
      </c>
    </row>
    <row r="37" spans="1:13">
      <c r="A37" s="18" t="s">
        <v>22</v>
      </c>
      <c r="B37" s="18" t="s">
        <v>365</v>
      </c>
      <c r="C37" s="18" t="s">
        <v>195</v>
      </c>
      <c r="D37" s="18" t="s">
        <v>87</v>
      </c>
      <c r="E37" s="18">
        <v>371.9</v>
      </c>
      <c r="F37" s="18">
        <v>12458.64</v>
      </c>
      <c r="G37" s="18">
        <v>1610.06</v>
      </c>
      <c r="H37" s="18">
        <v>11220.48</v>
      </c>
      <c r="L37" s="20" t="str">
        <f t="shared" si="0"/>
        <v>Asset</v>
      </c>
      <c r="M37" s="20" t="str">
        <f t="shared" si="1"/>
        <v>okay</v>
      </c>
    </row>
    <row r="38" spans="1:13">
      <c r="A38" s="18" t="s">
        <v>22</v>
      </c>
      <c r="B38" s="18" t="s">
        <v>365</v>
      </c>
      <c r="C38" s="18" t="s">
        <v>195</v>
      </c>
      <c r="D38" s="18" t="s">
        <v>97</v>
      </c>
      <c r="E38" s="18">
        <v>6103437.79</v>
      </c>
      <c r="F38" s="18">
        <v>0</v>
      </c>
      <c r="G38" s="18">
        <v>0</v>
      </c>
      <c r="H38" s="18">
        <v>6103437.79</v>
      </c>
      <c r="L38" s="20" t="str">
        <f t="shared" si="0"/>
        <v>Asset</v>
      </c>
      <c r="M38" s="20" t="str">
        <f t="shared" si="1"/>
        <v>okay</v>
      </c>
    </row>
    <row r="39" spans="1:13">
      <c r="A39" s="18" t="s">
        <v>22</v>
      </c>
      <c r="B39" s="18" t="s">
        <v>365</v>
      </c>
      <c r="C39" s="18" t="s">
        <v>195</v>
      </c>
      <c r="D39" s="18" t="s">
        <v>105</v>
      </c>
      <c r="E39" s="18">
        <v>1899883.39</v>
      </c>
      <c r="F39" s="18">
        <v>89166.27</v>
      </c>
      <c r="G39" s="18">
        <v>0</v>
      </c>
      <c r="H39" s="18">
        <v>1989049.66</v>
      </c>
      <c r="L39" s="20" t="str">
        <f t="shared" si="0"/>
        <v>Asset</v>
      </c>
      <c r="M39" s="20" t="str">
        <f t="shared" si="1"/>
        <v>okay</v>
      </c>
    </row>
    <row r="40" spans="1:13">
      <c r="A40" s="18" t="s">
        <v>22</v>
      </c>
      <c r="B40" s="18" t="s">
        <v>365</v>
      </c>
      <c r="C40" s="18" t="s">
        <v>195</v>
      </c>
      <c r="D40" s="18" t="s">
        <v>108</v>
      </c>
      <c r="E40" s="18">
        <v>0</v>
      </c>
      <c r="F40" s="18">
        <v>0</v>
      </c>
      <c r="G40" s="18">
        <v>0</v>
      </c>
      <c r="H40" s="18">
        <v>0</v>
      </c>
      <c r="L40" s="20" t="str">
        <f t="shared" si="0"/>
        <v>Asset</v>
      </c>
      <c r="M40" s="20" t="str">
        <f t="shared" si="1"/>
        <v>okay</v>
      </c>
    </row>
    <row r="41" spans="1:13">
      <c r="A41" s="18" t="s">
        <v>22</v>
      </c>
      <c r="B41" s="18" t="s">
        <v>365</v>
      </c>
      <c r="C41" s="18" t="s">
        <v>195</v>
      </c>
      <c r="D41" s="18" t="s">
        <v>116</v>
      </c>
      <c r="E41" s="18">
        <v>-76.09</v>
      </c>
      <c r="F41" s="18">
        <v>0</v>
      </c>
      <c r="G41" s="18">
        <v>0</v>
      </c>
      <c r="H41" s="18">
        <v>-76.09</v>
      </c>
      <c r="L41" s="20" t="str">
        <f t="shared" si="0"/>
        <v>N/A</v>
      </c>
      <c r="M41" s="20" t="str">
        <f t="shared" si="1"/>
        <v>N/A</v>
      </c>
    </row>
    <row r="42" spans="1:13">
      <c r="A42" s="18" t="s">
        <v>22</v>
      </c>
      <c r="B42" s="18" t="s">
        <v>365</v>
      </c>
      <c r="C42" s="18" t="s">
        <v>195</v>
      </c>
      <c r="D42" s="18" t="s">
        <v>121</v>
      </c>
      <c r="E42" s="18">
        <v>-166.91</v>
      </c>
      <c r="F42" s="18">
        <v>111.28</v>
      </c>
      <c r="G42" s="18">
        <v>27.82</v>
      </c>
      <c r="H42" s="18">
        <v>-83.45</v>
      </c>
      <c r="L42" s="20" t="str">
        <f t="shared" si="0"/>
        <v>N/A</v>
      </c>
      <c r="M42" s="20" t="str">
        <f t="shared" si="1"/>
        <v>N/A</v>
      </c>
    </row>
    <row r="43" spans="1:13">
      <c r="A43" s="18" t="s">
        <v>22</v>
      </c>
      <c r="B43" s="18" t="s">
        <v>365</v>
      </c>
      <c r="C43" s="18" t="s">
        <v>195</v>
      </c>
      <c r="D43" s="18" t="s">
        <v>124</v>
      </c>
      <c r="E43" s="18">
        <v>-34.090000000000003</v>
      </c>
      <c r="F43" s="18">
        <v>0</v>
      </c>
      <c r="G43" s="18">
        <v>21.22</v>
      </c>
      <c r="H43" s="18">
        <v>-55.31</v>
      </c>
      <c r="L43" s="20" t="str">
        <f t="shared" si="0"/>
        <v>N/A</v>
      </c>
      <c r="M43" s="20" t="str">
        <f t="shared" si="1"/>
        <v>N/A</v>
      </c>
    </row>
    <row r="44" spans="1:13">
      <c r="A44" s="18" t="s">
        <v>22</v>
      </c>
      <c r="B44" s="18" t="s">
        <v>365</v>
      </c>
      <c r="C44" s="18" t="s">
        <v>195</v>
      </c>
      <c r="D44" s="18" t="s">
        <v>127</v>
      </c>
      <c r="E44" s="18">
        <v>0</v>
      </c>
      <c r="F44" s="18">
        <v>0</v>
      </c>
      <c r="G44" s="18">
        <v>0</v>
      </c>
      <c r="H44" s="18">
        <v>0</v>
      </c>
      <c r="L44" s="20" t="str">
        <f t="shared" si="0"/>
        <v>N/A</v>
      </c>
      <c r="M44" s="20" t="str">
        <f t="shared" si="1"/>
        <v>N/A</v>
      </c>
    </row>
    <row r="45" spans="1:13">
      <c r="A45" s="18" t="s">
        <v>22</v>
      </c>
      <c r="B45" s="18" t="s">
        <v>365</v>
      </c>
      <c r="C45" s="18" t="s">
        <v>195</v>
      </c>
      <c r="D45" s="18" t="s">
        <v>95</v>
      </c>
      <c r="E45" s="18">
        <v>-8.2899999999999991</v>
      </c>
      <c r="F45" s="18">
        <v>2.08</v>
      </c>
      <c r="G45" s="18">
        <v>6.23</v>
      </c>
      <c r="H45" s="18">
        <v>-12.44</v>
      </c>
      <c r="L45" s="20" t="str">
        <f t="shared" si="0"/>
        <v>N/A</v>
      </c>
      <c r="M45" s="20" t="str">
        <f t="shared" si="1"/>
        <v>N/A</v>
      </c>
    </row>
    <row r="46" spans="1:13">
      <c r="A46" s="18" t="s">
        <v>22</v>
      </c>
      <c r="B46" s="18" t="s">
        <v>365</v>
      </c>
      <c r="C46" s="18" t="s">
        <v>195</v>
      </c>
      <c r="D46" s="18" t="s">
        <v>132</v>
      </c>
      <c r="E46" s="18">
        <v>0</v>
      </c>
      <c r="F46" s="18">
        <v>0</v>
      </c>
      <c r="G46" s="18">
        <v>0</v>
      </c>
      <c r="H46" s="18">
        <v>0</v>
      </c>
      <c r="L46" s="20" t="str">
        <f t="shared" si="0"/>
        <v>N/A</v>
      </c>
      <c r="M46" s="20" t="str">
        <f t="shared" si="1"/>
        <v>N/A</v>
      </c>
    </row>
    <row r="47" spans="1:13">
      <c r="A47" s="18" t="s">
        <v>22</v>
      </c>
      <c r="B47" s="18" t="s">
        <v>365</v>
      </c>
      <c r="C47" s="18" t="s">
        <v>195</v>
      </c>
      <c r="D47" s="18" t="s">
        <v>135</v>
      </c>
      <c r="E47" s="18">
        <v>-7407407.4100000001</v>
      </c>
      <c r="F47" s="18">
        <v>0</v>
      </c>
      <c r="G47" s="18">
        <v>0</v>
      </c>
      <c r="H47" s="18">
        <v>-7407407.4100000001</v>
      </c>
      <c r="L47" s="20" t="str">
        <f t="shared" si="0"/>
        <v>N/A</v>
      </c>
      <c r="M47" s="20" t="str">
        <f t="shared" si="1"/>
        <v>N/A</v>
      </c>
    </row>
    <row r="48" spans="1:13">
      <c r="A48" s="18" t="s">
        <v>22</v>
      </c>
      <c r="B48" s="18" t="s">
        <v>365</v>
      </c>
      <c r="C48" s="18" t="s">
        <v>195</v>
      </c>
      <c r="D48" s="18" t="s">
        <v>140</v>
      </c>
      <c r="E48" s="18">
        <v>-17717.32</v>
      </c>
      <c r="F48" s="18">
        <v>0</v>
      </c>
      <c r="G48" s="18">
        <v>12456.75</v>
      </c>
      <c r="H48" s="18">
        <v>-30174.07</v>
      </c>
      <c r="L48" s="20" t="str">
        <f t="shared" si="0"/>
        <v>N/A</v>
      </c>
      <c r="M48" s="20" t="str">
        <f t="shared" si="1"/>
        <v>N/A</v>
      </c>
    </row>
    <row r="49" spans="1:13">
      <c r="A49" s="18" t="s">
        <v>22</v>
      </c>
      <c r="B49" s="18" t="s">
        <v>365</v>
      </c>
      <c r="C49" s="18" t="s">
        <v>195</v>
      </c>
      <c r="D49" s="18" t="s">
        <v>143</v>
      </c>
      <c r="E49" s="18">
        <v>1303969.6200000001</v>
      </c>
      <c r="F49" s="18">
        <v>0</v>
      </c>
      <c r="G49" s="18">
        <v>0</v>
      </c>
      <c r="H49" s="18">
        <v>1303969.6200000001</v>
      </c>
      <c r="L49" s="20" t="str">
        <f t="shared" si="0"/>
        <v>N/A</v>
      </c>
      <c r="M49" s="20" t="str">
        <f t="shared" si="1"/>
        <v>N/A</v>
      </c>
    </row>
    <row r="50" spans="1:13">
      <c r="A50" s="18" t="s">
        <v>22</v>
      </c>
      <c r="B50" s="18" t="s">
        <v>365</v>
      </c>
      <c r="C50" s="18" t="s">
        <v>195</v>
      </c>
      <c r="D50" s="18" t="s">
        <v>146</v>
      </c>
      <c r="E50" s="18">
        <v>165236.87</v>
      </c>
      <c r="F50" s="18">
        <v>0</v>
      </c>
      <c r="G50" s="18">
        <v>0</v>
      </c>
      <c r="H50" s="18">
        <v>165236.87</v>
      </c>
      <c r="L50" s="20" t="str">
        <f t="shared" si="0"/>
        <v>N/A</v>
      </c>
      <c r="M50" s="20" t="str">
        <f t="shared" si="1"/>
        <v>N/A</v>
      </c>
    </row>
    <row r="51" spans="1:13">
      <c r="A51" s="18" t="s">
        <v>22</v>
      </c>
      <c r="B51" s="18" t="s">
        <v>365</v>
      </c>
      <c r="C51" s="18" t="s">
        <v>195</v>
      </c>
      <c r="D51" s="18" t="s">
        <v>147</v>
      </c>
      <c r="E51" s="18">
        <v>-1440636.94</v>
      </c>
      <c r="F51" s="18">
        <v>0</v>
      </c>
      <c r="G51" s="18">
        <v>0</v>
      </c>
      <c r="H51" s="18">
        <v>-1440636.94</v>
      </c>
      <c r="L51" s="20" t="str">
        <f t="shared" si="0"/>
        <v>N/A</v>
      </c>
      <c r="M51" s="20" t="str">
        <f t="shared" si="1"/>
        <v>N/A</v>
      </c>
    </row>
    <row r="52" spans="1:13">
      <c r="A52" s="18" t="s">
        <v>22</v>
      </c>
      <c r="B52" s="18" t="s">
        <v>365</v>
      </c>
      <c r="C52" s="18" t="s">
        <v>195</v>
      </c>
      <c r="D52" s="18" t="s">
        <v>153</v>
      </c>
      <c r="E52" s="18">
        <v>0</v>
      </c>
      <c r="F52" s="18">
        <v>0</v>
      </c>
      <c r="G52" s="18">
        <v>0</v>
      </c>
      <c r="H52" s="18">
        <v>0</v>
      </c>
      <c r="L52" s="20" t="str">
        <f t="shared" si="0"/>
        <v>N/A</v>
      </c>
      <c r="M52" s="20" t="str">
        <f t="shared" si="1"/>
        <v>N/A</v>
      </c>
    </row>
    <row r="53" spans="1:13">
      <c r="A53" s="18" t="s">
        <v>22</v>
      </c>
      <c r="B53" s="18" t="s">
        <v>365</v>
      </c>
      <c r="C53" s="18" t="s">
        <v>195</v>
      </c>
      <c r="D53" s="18" t="s">
        <v>155</v>
      </c>
      <c r="E53" s="18">
        <v>0</v>
      </c>
      <c r="F53" s="18">
        <v>0</v>
      </c>
      <c r="G53" s="18">
        <v>0</v>
      </c>
      <c r="H53" s="18">
        <v>0</v>
      </c>
      <c r="L53" s="20" t="str">
        <f t="shared" si="0"/>
        <v>N/A</v>
      </c>
      <c r="M53" s="20" t="str">
        <f t="shared" si="1"/>
        <v>N/A</v>
      </c>
    </row>
    <row r="54" spans="1:13">
      <c r="A54" s="18" t="s">
        <v>22</v>
      </c>
      <c r="B54" s="18" t="s">
        <v>365</v>
      </c>
      <c r="C54" s="18" t="s">
        <v>195</v>
      </c>
      <c r="D54" s="18" t="s">
        <v>156</v>
      </c>
      <c r="E54" s="18">
        <v>-65.25</v>
      </c>
      <c r="F54" s="18">
        <v>0</v>
      </c>
      <c r="G54" s="18">
        <v>1.89</v>
      </c>
      <c r="H54" s="18">
        <v>-67.14</v>
      </c>
      <c r="L54" s="20" t="str">
        <f t="shared" si="0"/>
        <v>N/A</v>
      </c>
      <c r="M54" s="20" t="str">
        <f t="shared" si="1"/>
        <v>N/A</v>
      </c>
    </row>
    <row r="55" spans="1:13">
      <c r="A55" s="18" t="s">
        <v>22</v>
      </c>
      <c r="B55" s="18" t="s">
        <v>365</v>
      </c>
      <c r="C55" s="18" t="s">
        <v>195</v>
      </c>
      <c r="D55" s="18" t="s">
        <v>157</v>
      </c>
      <c r="E55" s="18">
        <v>-611555.71</v>
      </c>
      <c r="F55" s="18">
        <v>0</v>
      </c>
      <c r="G55" s="18">
        <v>89166.27</v>
      </c>
      <c r="H55" s="18">
        <v>-700721.98</v>
      </c>
      <c r="L55" s="20" t="str">
        <f t="shared" si="0"/>
        <v>N/A</v>
      </c>
      <c r="M55" s="20" t="str">
        <f t="shared" si="1"/>
        <v>N/A</v>
      </c>
    </row>
    <row r="56" spans="1:13">
      <c r="A56" s="18" t="s">
        <v>22</v>
      </c>
      <c r="B56" s="18" t="s">
        <v>365</v>
      </c>
      <c r="C56" s="18" t="s">
        <v>195</v>
      </c>
      <c r="D56" s="18" t="s">
        <v>145</v>
      </c>
      <c r="E56" s="18">
        <v>0</v>
      </c>
      <c r="F56" s="18">
        <v>427.91</v>
      </c>
      <c r="G56" s="18">
        <v>0</v>
      </c>
      <c r="H56" s="18">
        <v>427.91</v>
      </c>
      <c r="L56" s="20" t="str">
        <f t="shared" si="0"/>
        <v>N/A</v>
      </c>
      <c r="M56" s="20" t="str">
        <f t="shared" si="1"/>
        <v>N/A</v>
      </c>
    </row>
    <row r="57" spans="1:13">
      <c r="A57" s="18" t="s">
        <v>22</v>
      </c>
      <c r="B57" s="18" t="s">
        <v>365</v>
      </c>
      <c r="C57" s="18" t="s">
        <v>195</v>
      </c>
      <c r="D57" s="18" t="s">
        <v>96</v>
      </c>
      <c r="E57" s="18">
        <v>12.46</v>
      </c>
      <c r="F57" s="18">
        <v>6.23</v>
      </c>
      <c r="G57" s="18">
        <v>0</v>
      </c>
      <c r="H57" s="18">
        <v>18.690000000000001</v>
      </c>
      <c r="L57" s="20" t="str">
        <f t="shared" si="0"/>
        <v>N/A</v>
      </c>
      <c r="M57" s="20" t="str">
        <f t="shared" si="1"/>
        <v>N/A</v>
      </c>
    </row>
    <row r="58" spans="1:13">
      <c r="A58" s="18" t="s">
        <v>22</v>
      </c>
      <c r="B58" s="18" t="s">
        <v>365</v>
      </c>
      <c r="C58" s="18" t="s">
        <v>195</v>
      </c>
      <c r="D58" s="18" t="s">
        <v>104</v>
      </c>
      <c r="E58" s="18">
        <v>28.44</v>
      </c>
      <c r="F58" s="18">
        <v>56.89</v>
      </c>
      <c r="G58" s="18">
        <v>0</v>
      </c>
      <c r="H58" s="18">
        <v>85.33</v>
      </c>
      <c r="L58" s="20" t="str">
        <f t="shared" si="0"/>
        <v>N/A</v>
      </c>
      <c r="M58" s="20" t="str">
        <f t="shared" si="1"/>
        <v>N/A</v>
      </c>
    </row>
    <row r="59" spans="1:13">
      <c r="A59" s="18" t="s">
        <v>22</v>
      </c>
      <c r="B59" s="18" t="s">
        <v>365</v>
      </c>
      <c r="C59" s="18" t="s">
        <v>195</v>
      </c>
      <c r="D59" s="18" t="s">
        <v>359</v>
      </c>
      <c r="E59" s="18">
        <v>1341.87</v>
      </c>
      <c r="F59" s="18">
        <v>12.71</v>
      </c>
      <c r="G59" s="18">
        <v>0</v>
      </c>
      <c r="H59" s="18">
        <v>1354.58</v>
      </c>
      <c r="L59" s="20" t="str">
        <f t="shared" si="0"/>
        <v>N/A</v>
      </c>
      <c r="M59" s="20" t="str">
        <f t="shared" si="1"/>
        <v>N/A</v>
      </c>
    </row>
    <row r="60" spans="1:13">
      <c r="A60" s="18" t="s">
        <v>22</v>
      </c>
      <c r="B60" s="18" t="s">
        <v>365</v>
      </c>
      <c r="C60" s="18" t="s">
        <v>195</v>
      </c>
      <c r="D60" s="18" t="s">
        <v>113</v>
      </c>
      <c r="E60" s="18">
        <v>1826.52</v>
      </c>
      <c r="F60" s="18">
        <v>500.24</v>
      </c>
      <c r="G60" s="18">
        <v>0</v>
      </c>
      <c r="H60" s="18">
        <v>2326.7600000000002</v>
      </c>
      <c r="L60" s="20" t="str">
        <f t="shared" si="0"/>
        <v>N/A</v>
      </c>
      <c r="M60" s="20" t="str">
        <f t="shared" si="1"/>
        <v>N/A</v>
      </c>
    </row>
    <row r="61" spans="1:13">
      <c r="A61" s="18" t="s">
        <v>22</v>
      </c>
      <c r="B61" s="18" t="s">
        <v>365</v>
      </c>
      <c r="C61" s="18" t="s">
        <v>195</v>
      </c>
      <c r="D61" s="18" t="s">
        <v>150</v>
      </c>
      <c r="E61" s="18">
        <v>568.89</v>
      </c>
      <c r="F61" s="18">
        <v>34.35</v>
      </c>
      <c r="G61" s="18">
        <v>0</v>
      </c>
      <c r="H61" s="18">
        <v>603.24</v>
      </c>
      <c r="L61" s="20" t="str">
        <f t="shared" si="0"/>
        <v>N/A</v>
      </c>
      <c r="M61" s="20" t="str">
        <f t="shared" si="1"/>
        <v>N/A</v>
      </c>
    </row>
    <row r="62" spans="1:13">
      <c r="A62" s="18" t="s">
        <v>22</v>
      </c>
      <c r="B62" s="18" t="s">
        <v>365</v>
      </c>
      <c r="C62" s="18" t="s">
        <v>195</v>
      </c>
      <c r="D62" s="18" t="s">
        <v>120</v>
      </c>
      <c r="E62" s="18">
        <v>0.85</v>
      </c>
      <c r="F62" s="18">
        <v>0</v>
      </c>
      <c r="G62" s="18">
        <v>0</v>
      </c>
      <c r="H62" s="18">
        <v>0.85</v>
      </c>
      <c r="L62" s="20" t="str">
        <f t="shared" si="0"/>
        <v>N/A</v>
      </c>
      <c r="M62" s="20" t="str">
        <f t="shared" si="1"/>
        <v>N/A</v>
      </c>
    </row>
    <row r="63" spans="1:13">
      <c r="A63" s="18" t="s">
        <v>22</v>
      </c>
      <c r="B63" s="18" t="s">
        <v>365</v>
      </c>
      <c r="C63" s="18" t="s">
        <v>195</v>
      </c>
      <c r="D63" s="18" t="s">
        <v>123</v>
      </c>
      <c r="E63" s="18">
        <v>532.79</v>
      </c>
      <c r="F63" s="18">
        <v>271.16000000000003</v>
      </c>
      <c r="G63" s="18">
        <v>0</v>
      </c>
      <c r="H63" s="18">
        <v>803.95</v>
      </c>
      <c r="L63" s="20" t="str">
        <f t="shared" si="0"/>
        <v>N/A</v>
      </c>
      <c r="M63" s="20" t="str">
        <f t="shared" si="1"/>
        <v>N/A</v>
      </c>
    </row>
    <row r="64" spans="1:13">
      <c r="A64" s="18" t="s">
        <v>22</v>
      </c>
      <c r="B64" s="18" t="s">
        <v>365</v>
      </c>
      <c r="C64" s="18" t="s">
        <v>195</v>
      </c>
      <c r="D64" s="18" t="s">
        <v>126</v>
      </c>
      <c r="E64" s="18">
        <v>79.31</v>
      </c>
      <c r="F64" s="18">
        <v>15.28</v>
      </c>
      <c r="G64" s="18">
        <v>0</v>
      </c>
      <c r="H64" s="18">
        <v>94.59</v>
      </c>
      <c r="L64" s="20" t="str">
        <f t="shared" si="0"/>
        <v>N/A</v>
      </c>
      <c r="M64" s="20" t="str">
        <f t="shared" si="1"/>
        <v>N/A</v>
      </c>
    </row>
    <row r="65" spans="1:13">
      <c r="A65" s="18" t="s">
        <v>22</v>
      </c>
      <c r="B65" s="18" t="s">
        <v>365</v>
      </c>
      <c r="C65" s="18" t="s">
        <v>195</v>
      </c>
      <c r="D65" s="18" t="s">
        <v>129</v>
      </c>
      <c r="E65" s="18">
        <v>74.06</v>
      </c>
      <c r="F65" s="18">
        <v>21.08</v>
      </c>
      <c r="G65" s="18">
        <v>0</v>
      </c>
      <c r="H65" s="18">
        <v>95.14</v>
      </c>
      <c r="L65" s="20" t="str">
        <f t="shared" si="0"/>
        <v>N/A</v>
      </c>
      <c r="M65" s="20" t="str">
        <f t="shared" si="1"/>
        <v>N/A</v>
      </c>
    </row>
    <row r="66" spans="1:13">
      <c r="A66" s="18" t="s">
        <v>22</v>
      </c>
      <c r="B66" s="18" t="s">
        <v>365</v>
      </c>
      <c r="C66" s="18" t="s">
        <v>195</v>
      </c>
      <c r="D66" s="18" t="s">
        <v>131</v>
      </c>
      <c r="E66" s="18">
        <v>188.11</v>
      </c>
      <c r="F66" s="18">
        <v>134.26</v>
      </c>
      <c r="G66" s="18">
        <v>0</v>
      </c>
      <c r="H66" s="18">
        <v>322.37</v>
      </c>
      <c r="L66" s="20" t="str">
        <f t="shared" si="0"/>
        <v>N/A</v>
      </c>
      <c r="M66" s="20" t="str">
        <f t="shared" si="1"/>
        <v>N/A</v>
      </c>
    </row>
    <row r="67" spans="1:13">
      <c r="A67" s="18" t="s">
        <v>22</v>
      </c>
      <c r="B67" s="18" t="s">
        <v>365</v>
      </c>
      <c r="C67" s="18" t="s">
        <v>195</v>
      </c>
      <c r="D67" s="18" t="s">
        <v>162</v>
      </c>
      <c r="E67" s="18">
        <v>0</v>
      </c>
      <c r="F67" s="18">
        <v>0</v>
      </c>
      <c r="G67" s="18">
        <v>0</v>
      </c>
      <c r="H67" s="18">
        <v>0</v>
      </c>
      <c r="L67" s="20" t="str">
        <f t="shared" ref="L67:L130" si="2">+IF(LEFT(D67,1)="1","Asset","N/A")</f>
        <v>N/A</v>
      </c>
      <c r="M67" s="20" t="str">
        <f t="shared" ref="M67:M130" si="3">+IF(L67="asset",IF(H67&lt;0,"Provide Comment","okay"),"N/A")</f>
        <v>N/A</v>
      </c>
    </row>
    <row r="68" spans="1:13">
      <c r="A68" s="18" t="s">
        <v>22</v>
      </c>
      <c r="B68" s="18" t="s">
        <v>365</v>
      </c>
      <c r="C68" s="18" t="s">
        <v>195</v>
      </c>
      <c r="D68" s="18" t="s">
        <v>134</v>
      </c>
      <c r="E68" s="18">
        <v>13.5</v>
      </c>
      <c r="F68" s="18">
        <v>16.87</v>
      </c>
      <c r="G68" s="18">
        <v>0</v>
      </c>
      <c r="H68" s="18">
        <v>30.37</v>
      </c>
      <c r="L68" s="20" t="str">
        <f t="shared" si="2"/>
        <v>N/A</v>
      </c>
      <c r="M68" s="20" t="str">
        <f t="shared" si="3"/>
        <v>N/A</v>
      </c>
    </row>
    <row r="69" spans="1:13">
      <c r="A69" s="18" t="s">
        <v>22</v>
      </c>
      <c r="B69" s="18" t="s">
        <v>365</v>
      </c>
      <c r="C69" s="18" t="s">
        <v>195</v>
      </c>
      <c r="D69" s="18" t="s">
        <v>139</v>
      </c>
      <c r="E69" s="18">
        <v>55.64</v>
      </c>
      <c r="F69" s="18">
        <v>27.82</v>
      </c>
      <c r="G69" s="18">
        <v>0</v>
      </c>
      <c r="H69" s="18">
        <v>83.46</v>
      </c>
      <c r="L69" s="20" t="str">
        <f t="shared" si="2"/>
        <v>N/A</v>
      </c>
      <c r="M69" s="20" t="str">
        <f t="shared" si="3"/>
        <v>N/A</v>
      </c>
    </row>
    <row r="70" spans="1:13">
      <c r="A70" s="18" t="s">
        <v>22</v>
      </c>
      <c r="B70" s="18" t="s">
        <v>365</v>
      </c>
      <c r="C70" s="18" t="s">
        <v>195</v>
      </c>
      <c r="D70" s="18" t="s">
        <v>142</v>
      </c>
      <c r="E70" s="18">
        <v>46</v>
      </c>
      <c r="F70" s="18">
        <v>27.17</v>
      </c>
      <c r="G70" s="18">
        <v>0</v>
      </c>
      <c r="H70" s="18">
        <v>73.17</v>
      </c>
      <c r="L70" s="20" t="str">
        <f t="shared" si="2"/>
        <v>N/A</v>
      </c>
      <c r="M70" s="20" t="str">
        <f t="shared" si="3"/>
        <v>N/A</v>
      </c>
    </row>
    <row r="71" spans="1:13">
      <c r="A71" s="18" t="s">
        <v>22</v>
      </c>
      <c r="B71" s="18" t="s">
        <v>365</v>
      </c>
      <c r="C71" s="18" t="s">
        <v>195</v>
      </c>
      <c r="D71" s="18" t="s">
        <v>163</v>
      </c>
      <c r="E71" s="18">
        <v>0</v>
      </c>
      <c r="F71" s="18">
        <v>0</v>
      </c>
      <c r="G71" s="18">
        <v>0</v>
      </c>
      <c r="H71" s="18">
        <v>0</v>
      </c>
      <c r="L71" s="20" t="str">
        <f t="shared" si="2"/>
        <v>N/A</v>
      </c>
      <c r="M71" s="20" t="str">
        <f t="shared" si="3"/>
        <v>N/A</v>
      </c>
    </row>
    <row r="72" spans="1:13">
      <c r="A72" s="18" t="s">
        <v>22</v>
      </c>
      <c r="B72" s="18" t="s">
        <v>365</v>
      </c>
      <c r="C72" s="18" t="s">
        <v>197</v>
      </c>
      <c r="D72" s="18" t="s">
        <v>87</v>
      </c>
      <c r="E72" s="18">
        <v>185.97</v>
      </c>
      <c r="F72" s="18">
        <v>6229.32</v>
      </c>
      <c r="G72" s="18">
        <v>805.02</v>
      </c>
      <c r="H72" s="18">
        <v>5610.27</v>
      </c>
      <c r="L72" s="20" t="str">
        <f t="shared" si="2"/>
        <v>Asset</v>
      </c>
      <c r="M72" s="20" t="str">
        <f t="shared" si="3"/>
        <v>okay</v>
      </c>
    </row>
    <row r="73" spans="1:13">
      <c r="A73" s="18" t="s">
        <v>22</v>
      </c>
      <c r="B73" s="18" t="s">
        <v>365</v>
      </c>
      <c r="C73" s="18" t="s">
        <v>197</v>
      </c>
      <c r="D73" s="18" t="s">
        <v>97</v>
      </c>
      <c r="E73" s="18">
        <v>3051718.89</v>
      </c>
      <c r="F73" s="18">
        <v>0</v>
      </c>
      <c r="G73" s="18">
        <v>0</v>
      </c>
      <c r="H73" s="18">
        <v>3051718.89</v>
      </c>
      <c r="L73" s="20" t="str">
        <f t="shared" si="2"/>
        <v>Asset</v>
      </c>
      <c r="M73" s="20" t="str">
        <f t="shared" si="3"/>
        <v>okay</v>
      </c>
    </row>
    <row r="74" spans="1:13">
      <c r="A74" s="18" t="s">
        <v>22</v>
      </c>
      <c r="B74" s="18" t="s">
        <v>365</v>
      </c>
      <c r="C74" s="18" t="s">
        <v>197</v>
      </c>
      <c r="D74" s="18" t="s">
        <v>105</v>
      </c>
      <c r="E74" s="18">
        <v>949941.67</v>
      </c>
      <c r="F74" s="18">
        <v>44583.13</v>
      </c>
      <c r="G74" s="18">
        <v>0</v>
      </c>
      <c r="H74" s="18">
        <v>994524.8</v>
      </c>
      <c r="L74" s="20" t="str">
        <f t="shared" si="2"/>
        <v>Asset</v>
      </c>
      <c r="M74" s="20" t="str">
        <f t="shared" si="3"/>
        <v>okay</v>
      </c>
    </row>
    <row r="75" spans="1:13">
      <c r="A75" s="18" t="s">
        <v>22</v>
      </c>
      <c r="B75" s="18" t="s">
        <v>365</v>
      </c>
      <c r="C75" s="18" t="s">
        <v>197</v>
      </c>
      <c r="D75" s="18" t="s">
        <v>108</v>
      </c>
      <c r="E75" s="18">
        <v>0</v>
      </c>
      <c r="F75" s="18">
        <v>0</v>
      </c>
      <c r="G75" s="18">
        <v>0</v>
      </c>
      <c r="H75" s="18">
        <v>0</v>
      </c>
      <c r="L75" s="20" t="str">
        <f t="shared" si="2"/>
        <v>Asset</v>
      </c>
      <c r="M75" s="20" t="str">
        <f t="shared" si="3"/>
        <v>okay</v>
      </c>
    </row>
    <row r="76" spans="1:13">
      <c r="A76" s="18" t="s">
        <v>22</v>
      </c>
      <c r="B76" s="18" t="s">
        <v>365</v>
      </c>
      <c r="C76" s="18" t="s">
        <v>197</v>
      </c>
      <c r="D76" s="18" t="s">
        <v>116</v>
      </c>
      <c r="E76" s="18">
        <v>-38.04</v>
      </c>
      <c r="F76" s="18">
        <v>0</v>
      </c>
      <c r="G76" s="18">
        <v>0</v>
      </c>
      <c r="H76" s="18">
        <v>-38.04</v>
      </c>
      <c r="L76" s="20" t="str">
        <f t="shared" si="2"/>
        <v>N/A</v>
      </c>
      <c r="M76" s="20" t="str">
        <f t="shared" si="3"/>
        <v>N/A</v>
      </c>
    </row>
    <row r="77" spans="1:13">
      <c r="A77" s="18" t="s">
        <v>22</v>
      </c>
      <c r="B77" s="18" t="s">
        <v>365</v>
      </c>
      <c r="C77" s="18" t="s">
        <v>197</v>
      </c>
      <c r="D77" s="18" t="s">
        <v>121</v>
      </c>
      <c r="E77" s="18">
        <v>-83.44</v>
      </c>
      <c r="F77" s="18">
        <v>55.64</v>
      </c>
      <c r="G77" s="18">
        <v>13.91</v>
      </c>
      <c r="H77" s="18">
        <v>-41.71</v>
      </c>
      <c r="L77" s="20" t="str">
        <f t="shared" si="2"/>
        <v>N/A</v>
      </c>
      <c r="M77" s="20" t="str">
        <f t="shared" si="3"/>
        <v>N/A</v>
      </c>
    </row>
    <row r="78" spans="1:13">
      <c r="A78" s="18" t="s">
        <v>22</v>
      </c>
      <c r="B78" s="18" t="s">
        <v>365</v>
      </c>
      <c r="C78" s="18" t="s">
        <v>197</v>
      </c>
      <c r="D78" s="18" t="s">
        <v>124</v>
      </c>
      <c r="E78" s="18">
        <v>-17.05</v>
      </c>
      <c r="F78" s="18">
        <v>0</v>
      </c>
      <c r="G78" s="18">
        <v>10.61</v>
      </c>
      <c r="H78" s="18">
        <v>-27.66</v>
      </c>
      <c r="L78" s="20" t="str">
        <f t="shared" si="2"/>
        <v>N/A</v>
      </c>
      <c r="M78" s="20" t="str">
        <f t="shared" si="3"/>
        <v>N/A</v>
      </c>
    </row>
    <row r="79" spans="1:13">
      <c r="A79" s="18" t="s">
        <v>22</v>
      </c>
      <c r="B79" s="18" t="s">
        <v>365</v>
      </c>
      <c r="C79" s="18" t="s">
        <v>197</v>
      </c>
      <c r="D79" s="18" t="s">
        <v>127</v>
      </c>
      <c r="E79" s="18">
        <v>0</v>
      </c>
      <c r="F79" s="18">
        <v>0</v>
      </c>
      <c r="G79" s="18">
        <v>0</v>
      </c>
      <c r="H79" s="18">
        <v>0</v>
      </c>
      <c r="L79" s="20" t="str">
        <f t="shared" si="2"/>
        <v>N/A</v>
      </c>
      <c r="M79" s="20" t="str">
        <f t="shared" si="3"/>
        <v>N/A</v>
      </c>
    </row>
    <row r="80" spans="1:13">
      <c r="A80" s="18" t="s">
        <v>22</v>
      </c>
      <c r="B80" s="18" t="s">
        <v>365</v>
      </c>
      <c r="C80" s="18" t="s">
        <v>197</v>
      </c>
      <c r="D80" s="18" t="s">
        <v>95</v>
      </c>
      <c r="E80" s="18">
        <v>-4.1100000000000003</v>
      </c>
      <c r="F80" s="18">
        <v>1.04</v>
      </c>
      <c r="G80" s="18">
        <v>3.11</v>
      </c>
      <c r="H80" s="18">
        <v>-6.18</v>
      </c>
      <c r="L80" s="20" t="str">
        <f t="shared" si="2"/>
        <v>N/A</v>
      </c>
      <c r="M80" s="20" t="str">
        <f t="shared" si="3"/>
        <v>N/A</v>
      </c>
    </row>
    <row r="81" spans="1:13">
      <c r="A81" s="18" t="s">
        <v>22</v>
      </c>
      <c r="B81" s="18" t="s">
        <v>365</v>
      </c>
      <c r="C81" s="18" t="s">
        <v>197</v>
      </c>
      <c r="D81" s="18" t="s">
        <v>132</v>
      </c>
      <c r="E81" s="18">
        <v>0</v>
      </c>
      <c r="F81" s="18">
        <v>0</v>
      </c>
      <c r="G81" s="18">
        <v>0</v>
      </c>
      <c r="H81" s="18">
        <v>0</v>
      </c>
      <c r="L81" s="20" t="str">
        <f t="shared" si="2"/>
        <v>N/A</v>
      </c>
      <c r="M81" s="20" t="str">
        <f t="shared" si="3"/>
        <v>N/A</v>
      </c>
    </row>
    <row r="82" spans="1:13">
      <c r="A82" s="18" t="s">
        <v>22</v>
      </c>
      <c r="B82" s="18" t="s">
        <v>365</v>
      </c>
      <c r="C82" s="18" t="s">
        <v>197</v>
      </c>
      <c r="D82" s="18" t="s">
        <v>135</v>
      </c>
      <c r="E82" s="18">
        <v>-3703703.7</v>
      </c>
      <c r="F82" s="18">
        <v>0</v>
      </c>
      <c r="G82" s="18">
        <v>0</v>
      </c>
      <c r="H82" s="18">
        <v>-3703703.7</v>
      </c>
      <c r="L82" s="20" t="str">
        <f t="shared" si="2"/>
        <v>N/A</v>
      </c>
      <c r="M82" s="20" t="str">
        <f t="shared" si="3"/>
        <v>N/A</v>
      </c>
    </row>
    <row r="83" spans="1:13">
      <c r="A83" s="18" t="s">
        <v>22</v>
      </c>
      <c r="B83" s="18" t="s">
        <v>365</v>
      </c>
      <c r="C83" s="18" t="s">
        <v>197</v>
      </c>
      <c r="D83" s="18" t="s">
        <v>140</v>
      </c>
      <c r="E83" s="18">
        <v>-8858.66</v>
      </c>
      <c r="F83" s="18">
        <v>0</v>
      </c>
      <c r="G83" s="18">
        <v>6228.37</v>
      </c>
      <c r="H83" s="18">
        <v>-15087.03</v>
      </c>
      <c r="L83" s="20" t="str">
        <f t="shared" si="2"/>
        <v>N/A</v>
      </c>
      <c r="M83" s="20" t="str">
        <f t="shared" si="3"/>
        <v>N/A</v>
      </c>
    </row>
    <row r="84" spans="1:13">
      <c r="A84" s="18" t="s">
        <v>22</v>
      </c>
      <c r="B84" s="18" t="s">
        <v>365</v>
      </c>
      <c r="C84" s="18" t="s">
        <v>197</v>
      </c>
      <c r="D84" s="18" t="s">
        <v>143</v>
      </c>
      <c r="E84" s="18">
        <v>651984.81000000006</v>
      </c>
      <c r="F84" s="18">
        <v>0</v>
      </c>
      <c r="G84" s="18">
        <v>0</v>
      </c>
      <c r="H84" s="18">
        <v>651984.81000000006</v>
      </c>
      <c r="L84" s="20" t="str">
        <f t="shared" si="2"/>
        <v>N/A</v>
      </c>
      <c r="M84" s="20" t="str">
        <f t="shared" si="3"/>
        <v>N/A</v>
      </c>
    </row>
    <row r="85" spans="1:13">
      <c r="A85" s="18" t="s">
        <v>22</v>
      </c>
      <c r="B85" s="18" t="s">
        <v>365</v>
      </c>
      <c r="C85" s="18" t="s">
        <v>197</v>
      </c>
      <c r="D85" s="18" t="s">
        <v>146</v>
      </c>
      <c r="E85" s="18">
        <v>82618.44</v>
      </c>
      <c r="F85" s="18">
        <v>0</v>
      </c>
      <c r="G85" s="18">
        <v>0</v>
      </c>
      <c r="H85" s="18">
        <v>82618.44</v>
      </c>
      <c r="L85" s="20" t="str">
        <f t="shared" si="2"/>
        <v>N/A</v>
      </c>
      <c r="M85" s="20" t="str">
        <f t="shared" si="3"/>
        <v>N/A</v>
      </c>
    </row>
    <row r="86" spans="1:13">
      <c r="A86" s="18" t="s">
        <v>22</v>
      </c>
      <c r="B86" s="18" t="s">
        <v>365</v>
      </c>
      <c r="C86" s="18" t="s">
        <v>197</v>
      </c>
      <c r="D86" s="18" t="s">
        <v>147</v>
      </c>
      <c r="E86" s="18">
        <v>-720318.53</v>
      </c>
      <c r="F86" s="18">
        <v>0</v>
      </c>
      <c r="G86" s="18">
        <v>0</v>
      </c>
      <c r="H86" s="18">
        <v>-720318.53</v>
      </c>
      <c r="L86" s="20" t="str">
        <f t="shared" si="2"/>
        <v>N/A</v>
      </c>
      <c r="M86" s="20" t="str">
        <f t="shared" si="3"/>
        <v>N/A</v>
      </c>
    </row>
    <row r="87" spans="1:13">
      <c r="A87" s="18" t="s">
        <v>22</v>
      </c>
      <c r="B87" s="18" t="s">
        <v>365</v>
      </c>
      <c r="C87" s="18" t="s">
        <v>197</v>
      </c>
      <c r="D87" s="18" t="s">
        <v>153</v>
      </c>
      <c r="E87" s="18">
        <v>0</v>
      </c>
      <c r="F87" s="18">
        <v>0</v>
      </c>
      <c r="G87" s="18">
        <v>0</v>
      </c>
      <c r="H87" s="18">
        <v>0</v>
      </c>
      <c r="L87" s="20" t="str">
        <f t="shared" si="2"/>
        <v>N/A</v>
      </c>
      <c r="M87" s="20" t="str">
        <f t="shared" si="3"/>
        <v>N/A</v>
      </c>
    </row>
    <row r="88" spans="1:13">
      <c r="A88" s="18" t="s">
        <v>22</v>
      </c>
      <c r="B88" s="18" t="s">
        <v>365</v>
      </c>
      <c r="C88" s="18" t="s">
        <v>197</v>
      </c>
      <c r="D88" s="18" t="s">
        <v>155</v>
      </c>
      <c r="E88" s="18">
        <v>0</v>
      </c>
      <c r="F88" s="18">
        <v>0</v>
      </c>
      <c r="G88" s="18">
        <v>0</v>
      </c>
      <c r="H88" s="18">
        <v>0</v>
      </c>
      <c r="L88" s="20" t="str">
        <f t="shared" si="2"/>
        <v>N/A</v>
      </c>
      <c r="M88" s="20" t="str">
        <f t="shared" si="3"/>
        <v>N/A</v>
      </c>
    </row>
    <row r="89" spans="1:13">
      <c r="A89" s="18" t="s">
        <v>22</v>
      </c>
      <c r="B89" s="18" t="s">
        <v>365</v>
      </c>
      <c r="C89" s="18" t="s">
        <v>197</v>
      </c>
      <c r="D89" s="18" t="s">
        <v>156</v>
      </c>
      <c r="E89" s="18">
        <v>-32.619999999999997</v>
      </c>
      <c r="F89" s="18">
        <v>0</v>
      </c>
      <c r="G89" s="18">
        <v>0.95</v>
      </c>
      <c r="H89" s="18">
        <v>-33.57</v>
      </c>
      <c r="L89" s="20" t="str">
        <f t="shared" si="2"/>
        <v>N/A</v>
      </c>
      <c r="M89" s="20" t="str">
        <f t="shared" si="3"/>
        <v>N/A</v>
      </c>
    </row>
    <row r="90" spans="1:13">
      <c r="A90" s="18" t="s">
        <v>22</v>
      </c>
      <c r="B90" s="18" t="s">
        <v>365</v>
      </c>
      <c r="C90" s="18" t="s">
        <v>197</v>
      </c>
      <c r="D90" s="18" t="s">
        <v>157</v>
      </c>
      <c r="E90" s="18">
        <v>-305777.84999999998</v>
      </c>
      <c r="F90" s="18">
        <v>0</v>
      </c>
      <c r="G90" s="18">
        <v>44583.13</v>
      </c>
      <c r="H90" s="18">
        <v>-350360.98</v>
      </c>
      <c r="L90" s="20" t="str">
        <f t="shared" si="2"/>
        <v>N/A</v>
      </c>
      <c r="M90" s="20" t="str">
        <f t="shared" si="3"/>
        <v>N/A</v>
      </c>
    </row>
    <row r="91" spans="1:13">
      <c r="A91" s="18" t="s">
        <v>22</v>
      </c>
      <c r="B91" s="18" t="s">
        <v>365</v>
      </c>
      <c r="C91" s="18" t="s">
        <v>197</v>
      </c>
      <c r="D91" s="18" t="s">
        <v>145</v>
      </c>
      <c r="E91" s="18">
        <v>0</v>
      </c>
      <c r="F91" s="18">
        <v>213.95</v>
      </c>
      <c r="G91" s="18">
        <v>0</v>
      </c>
      <c r="H91" s="18">
        <v>213.95</v>
      </c>
      <c r="L91" s="20" t="str">
        <f t="shared" si="2"/>
        <v>N/A</v>
      </c>
      <c r="M91" s="20" t="str">
        <f t="shared" si="3"/>
        <v>N/A</v>
      </c>
    </row>
    <row r="92" spans="1:13">
      <c r="A92" s="18" t="s">
        <v>22</v>
      </c>
      <c r="B92" s="18" t="s">
        <v>365</v>
      </c>
      <c r="C92" s="18" t="s">
        <v>197</v>
      </c>
      <c r="D92" s="18" t="s">
        <v>96</v>
      </c>
      <c r="E92" s="18">
        <v>6.22</v>
      </c>
      <c r="F92" s="18">
        <v>3.11</v>
      </c>
      <c r="G92" s="18">
        <v>0</v>
      </c>
      <c r="H92" s="18">
        <v>9.33</v>
      </c>
      <c r="L92" s="20" t="str">
        <f t="shared" si="2"/>
        <v>N/A</v>
      </c>
      <c r="M92" s="20" t="str">
        <f t="shared" si="3"/>
        <v>N/A</v>
      </c>
    </row>
    <row r="93" spans="1:13">
      <c r="A93" s="18" t="s">
        <v>22</v>
      </c>
      <c r="B93" s="18" t="s">
        <v>365</v>
      </c>
      <c r="C93" s="18" t="s">
        <v>197</v>
      </c>
      <c r="D93" s="18" t="s">
        <v>104</v>
      </c>
      <c r="E93" s="18">
        <v>14.22</v>
      </c>
      <c r="F93" s="18">
        <v>28.45</v>
      </c>
      <c r="G93" s="18">
        <v>0</v>
      </c>
      <c r="H93" s="18">
        <v>42.67</v>
      </c>
      <c r="L93" s="20" t="str">
        <f t="shared" si="2"/>
        <v>N/A</v>
      </c>
      <c r="M93" s="20" t="str">
        <f t="shared" si="3"/>
        <v>N/A</v>
      </c>
    </row>
    <row r="94" spans="1:13">
      <c r="A94" s="18" t="s">
        <v>22</v>
      </c>
      <c r="B94" s="18" t="s">
        <v>365</v>
      </c>
      <c r="C94" s="18" t="s">
        <v>197</v>
      </c>
      <c r="D94" s="18" t="s">
        <v>359</v>
      </c>
      <c r="E94" s="18">
        <v>670.93</v>
      </c>
      <c r="F94" s="18">
        <v>6.35</v>
      </c>
      <c r="G94" s="18">
        <v>0</v>
      </c>
      <c r="H94" s="18">
        <v>677.28</v>
      </c>
      <c r="L94" s="20" t="str">
        <f t="shared" si="2"/>
        <v>N/A</v>
      </c>
      <c r="M94" s="20" t="str">
        <f t="shared" si="3"/>
        <v>N/A</v>
      </c>
    </row>
    <row r="95" spans="1:13">
      <c r="A95" s="18" t="s">
        <v>22</v>
      </c>
      <c r="B95" s="18" t="s">
        <v>365</v>
      </c>
      <c r="C95" s="18" t="s">
        <v>197</v>
      </c>
      <c r="D95" s="18" t="s">
        <v>113</v>
      </c>
      <c r="E95" s="18">
        <v>913.27</v>
      </c>
      <c r="F95" s="18">
        <v>250.12</v>
      </c>
      <c r="G95" s="18">
        <v>0</v>
      </c>
      <c r="H95" s="18">
        <v>1163.3900000000001</v>
      </c>
      <c r="L95" s="20" t="str">
        <f t="shared" si="2"/>
        <v>N/A</v>
      </c>
      <c r="M95" s="20" t="str">
        <f t="shared" si="3"/>
        <v>N/A</v>
      </c>
    </row>
    <row r="96" spans="1:13">
      <c r="A96" s="18" t="s">
        <v>22</v>
      </c>
      <c r="B96" s="18" t="s">
        <v>365</v>
      </c>
      <c r="C96" s="18" t="s">
        <v>197</v>
      </c>
      <c r="D96" s="18" t="s">
        <v>150</v>
      </c>
      <c r="E96" s="18">
        <v>284.45</v>
      </c>
      <c r="F96" s="18">
        <v>17.170000000000002</v>
      </c>
      <c r="G96" s="18">
        <v>0</v>
      </c>
      <c r="H96" s="18">
        <v>301.62</v>
      </c>
      <c r="L96" s="20" t="str">
        <f t="shared" si="2"/>
        <v>N/A</v>
      </c>
      <c r="M96" s="20" t="str">
        <f t="shared" si="3"/>
        <v>N/A</v>
      </c>
    </row>
    <row r="97" spans="1:13">
      <c r="A97" s="18" t="s">
        <v>22</v>
      </c>
      <c r="B97" s="18" t="s">
        <v>365</v>
      </c>
      <c r="C97" s="18" t="s">
        <v>197</v>
      </c>
      <c r="D97" s="18" t="s">
        <v>120</v>
      </c>
      <c r="E97" s="18">
        <v>0.43</v>
      </c>
      <c r="F97" s="18">
        <v>0</v>
      </c>
      <c r="G97" s="18">
        <v>0</v>
      </c>
      <c r="H97" s="18">
        <v>0.43</v>
      </c>
      <c r="L97" s="20" t="str">
        <f t="shared" si="2"/>
        <v>N/A</v>
      </c>
      <c r="M97" s="20" t="str">
        <f t="shared" si="3"/>
        <v>N/A</v>
      </c>
    </row>
    <row r="98" spans="1:13">
      <c r="A98" s="18" t="s">
        <v>22</v>
      </c>
      <c r="B98" s="18" t="s">
        <v>365</v>
      </c>
      <c r="C98" s="18" t="s">
        <v>197</v>
      </c>
      <c r="D98" s="18" t="s">
        <v>123</v>
      </c>
      <c r="E98" s="18">
        <v>266.39</v>
      </c>
      <c r="F98" s="18">
        <v>135.58000000000001</v>
      </c>
      <c r="G98" s="18">
        <v>0</v>
      </c>
      <c r="H98" s="18">
        <v>401.97</v>
      </c>
      <c r="L98" s="20" t="str">
        <f t="shared" si="2"/>
        <v>N/A</v>
      </c>
      <c r="M98" s="20" t="str">
        <f t="shared" si="3"/>
        <v>N/A</v>
      </c>
    </row>
    <row r="99" spans="1:13">
      <c r="A99" s="18" t="s">
        <v>22</v>
      </c>
      <c r="B99" s="18" t="s">
        <v>365</v>
      </c>
      <c r="C99" s="18" t="s">
        <v>197</v>
      </c>
      <c r="D99" s="18" t="s">
        <v>126</v>
      </c>
      <c r="E99" s="18">
        <v>39.659999999999997</v>
      </c>
      <c r="F99" s="18">
        <v>7.64</v>
      </c>
      <c r="G99" s="18">
        <v>0</v>
      </c>
      <c r="H99" s="18">
        <v>47.3</v>
      </c>
      <c r="L99" s="20" t="str">
        <f t="shared" si="2"/>
        <v>N/A</v>
      </c>
      <c r="M99" s="20" t="str">
        <f t="shared" si="3"/>
        <v>N/A</v>
      </c>
    </row>
    <row r="100" spans="1:13">
      <c r="A100" s="18" t="s">
        <v>22</v>
      </c>
      <c r="B100" s="18" t="s">
        <v>365</v>
      </c>
      <c r="C100" s="18" t="s">
        <v>197</v>
      </c>
      <c r="D100" s="18" t="s">
        <v>129</v>
      </c>
      <c r="E100" s="18">
        <v>37.020000000000003</v>
      </c>
      <c r="F100" s="18">
        <v>10.54</v>
      </c>
      <c r="G100" s="18">
        <v>0</v>
      </c>
      <c r="H100" s="18">
        <v>47.56</v>
      </c>
      <c r="L100" s="20" t="str">
        <f t="shared" si="2"/>
        <v>N/A</v>
      </c>
      <c r="M100" s="20" t="str">
        <f t="shared" si="3"/>
        <v>N/A</v>
      </c>
    </row>
    <row r="101" spans="1:13">
      <c r="A101" s="18" t="s">
        <v>22</v>
      </c>
      <c r="B101" s="18" t="s">
        <v>365</v>
      </c>
      <c r="C101" s="18" t="s">
        <v>197</v>
      </c>
      <c r="D101" s="18" t="s">
        <v>131</v>
      </c>
      <c r="E101" s="18">
        <v>94.05</v>
      </c>
      <c r="F101" s="18">
        <v>67.14</v>
      </c>
      <c r="G101" s="18">
        <v>0</v>
      </c>
      <c r="H101" s="18">
        <v>161.19</v>
      </c>
      <c r="L101" s="20" t="str">
        <f t="shared" si="2"/>
        <v>N/A</v>
      </c>
      <c r="M101" s="20" t="str">
        <f t="shared" si="3"/>
        <v>N/A</v>
      </c>
    </row>
    <row r="102" spans="1:13">
      <c r="A102" s="18" t="s">
        <v>22</v>
      </c>
      <c r="B102" s="18" t="s">
        <v>365</v>
      </c>
      <c r="C102" s="18" t="s">
        <v>197</v>
      </c>
      <c r="D102" s="18" t="s">
        <v>162</v>
      </c>
      <c r="E102" s="18">
        <v>0</v>
      </c>
      <c r="F102" s="18">
        <v>0</v>
      </c>
      <c r="G102" s="18">
        <v>0</v>
      </c>
      <c r="H102" s="18">
        <v>0</v>
      </c>
      <c r="L102" s="20" t="str">
        <f t="shared" si="2"/>
        <v>N/A</v>
      </c>
      <c r="M102" s="20" t="str">
        <f t="shared" si="3"/>
        <v>N/A</v>
      </c>
    </row>
    <row r="103" spans="1:13">
      <c r="A103" s="18" t="s">
        <v>22</v>
      </c>
      <c r="B103" s="18" t="s">
        <v>365</v>
      </c>
      <c r="C103" s="18" t="s">
        <v>197</v>
      </c>
      <c r="D103" s="18" t="s">
        <v>134</v>
      </c>
      <c r="E103" s="18">
        <v>6.76</v>
      </c>
      <c r="F103" s="18">
        <v>8.43</v>
      </c>
      <c r="G103" s="18">
        <v>0</v>
      </c>
      <c r="H103" s="18">
        <v>15.19</v>
      </c>
      <c r="L103" s="20" t="str">
        <f t="shared" si="2"/>
        <v>N/A</v>
      </c>
      <c r="M103" s="20" t="str">
        <f t="shared" si="3"/>
        <v>N/A</v>
      </c>
    </row>
    <row r="104" spans="1:13">
      <c r="A104" s="18" t="s">
        <v>22</v>
      </c>
      <c r="B104" s="18" t="s">
        <v>365</v>
      </c>
      <c r="C104" s="18" t="s">
        <v>197</v>
      </c>
      <c r="D104" s="18" t="s">
        <v>139</v>
      </c>
      <c r="E104" s="18">
        <v>27.82</v>
      </c>
      <c r="F104" s="18">
        <v>13.91</v>
      </c>
      <c r="G104" s="18">
        <v>0</v>
      </c>
      <c r="H104" s="18">
        <v>41.73</v>
      </c>
      <c r="L104" s="20" t="str">
        <f t="shared" si="2"/>
        <v>N/A</v>
      </c>
      <c r="M104" s="20" t="str">
        <f t="shared" si="3"/>
        <v>N/A</v>
      </c>
    </row>
    <row r="105" spans="1:13">
      <c r="A105" s="18" t="s">
        <v>22</v>
      </c>
      <c r="B105" s="18" t="s">
        <v>365</v>
      </c>
      <c r="C105" s="18" t="s">
        <v>197</v>
      </c>
      <c r="D105" s="18" t="s">
        <v>142</v>
      </c>
      <c r="E105" s="18">
        <v>23</v>
      </c>
      <c r="F105" s="18">
        <v>13.58</v>
      </c>
      <c r="G105" s="18">
        <v>0</v>
      </c>
      <c r="H105" s="18">
        <v>36.58</v>
      </c>
      <c r="L105" s="20" t="str">
        <f t="shared" si="2"/>
        <v>N/A</v>
      </c>
      <c r="M105" s="20" t="str">
        <f t="shared" si="3"/>
        <v>N/A</v>
      </c>
    </row>
    <row r="106" spans="1:13">
      <c r="A106" s="18" t="s">
        <v>22</v>
      </c>
      <c r="B106" s="18" t="s">
        <v>365</v>
      </c>
      <c r="C106" s="18" t="s">
        <v>197</v>
      </c>
      <c r="D106" s="18" t="s">
        <v>163</v>
      </c>
      <c r="E106" s="18">
        <v>0</v>
      </c>
      <c r="F106" s="18">
        <v>0</v>
      </c>
      <c r="G106" s="18">
        <v>0</v>
      </c>
      <c r="H106" s="18">
        <v>0</v>
      </c>
      <c r="L106" s="20" t="str">
        <f t="shared" si="2"/>
        <v>N/A</v>
      </c>
      <c r="M106" s="20" t="str">
        <f t="shared" si="3"/>
        <v>N/A</v>
      </c>
    </row>
    <row r="107" spans="1:13">
      <c r="A107" s="18" t="s">
        <v>22</v>
      </c>
      <c r="B107" s="18" t="s">
        <v>365</v>
      </c>
      <c r="C107" s="18" t="s">
        <v>199</v>
      </c>
      <c r="D107" s="18" t="s">
        <v>87</v>
      </c>
      <c r="E107" s="18">
        <v>309.75</v>
      </c>
      <c r="F107" s="18">
        <v>8409.58</v>
      </c>
      <c r="G107" s="18">
        <v>20134.02</v>
      </c>
      <c r="H107" s="18">
        <v>-11414.69</v>
      </c>
      <c r="L107" s="20" t="str">
        <f t="shared" si="2"/>
        <v>Asset</v>
      </c>
      <c r="M107" s="20" t="str">
        <f t="shared" si="3"/>
        <v>Provide Comment</v>
      </c>
    </row>
    <row r="108" spans="1:13">
      <c r="A108" s="18" t="s">
        <v>22</v>
      </c>
      <c r="B108" s="18" t="s">
        <v>365</v>
      </c>
      <c r="C108" s="18" t="s">
        <v>199</v>
      </c>
      <c r="D108" s="18" t="s">
        <v>97</v>
      </c>
      <c r="E108" s="18">
        <v>4119820.51</v>
      </c>
      <c r="F108" s="18">
        <v>0</v>
      </c>
      <c r="G108" s="18">
        <v>0</v>
      </c>
      <c r="H108" s="18">
        <v>4119820.51</v>
      </c>
      <c r="L108" s="20" t="str">
        <f t="shared" si="2"/>
        <v>Asset</v>
      </c>
      <c r="M108" s="20" t="str">
        <f t="shared" si="3"/>
        <v>okay</v>
      </c>
    </row>
    <row r="109" spans="1:13">
      <c r="A109" s="18" t="s">
        <v>22</v>
      </c>
      <c r="B109" s="18" t="s">
        <v>365</v>
      </c>
      <c r="C109" s="18" t="s">
        <v>199</v>
      </c>
      <c r="D109" s="18" t="s">
        <v>105</v>
      </c>
      <c r="E109" s="18">
        <v>1282421.27</v>
      </c>
      <c r="F109" s="18">
        <v>60187.23</v>
      </c>
      <c r="G109" s="18">
        <v>0</v>
      </c>
      <c r="H109" s="18">
        <v>1342608.5</v>
      </c>
      <c r="L109" s="20" t="str">
        <f t="shared" si="2"/>
        <v>Asset</v>
      </c>
      <c r="M109" s="20" t="str">
        <f t="shared" si="3"/>
        <v>okay</v>
      </c>
    </row>
    <row r="110" spans="1:13">
      <c r="A110" s="18" t="s">
        <v>22</v>
      </c>
      <c r="B110" s="18" t="s">
        <v>365</v>
      </c>
      <c r="C110" s="18" t="s">
        <v>199</v>
      </c>
      <c r="D110" s="18" t="s">
        <v>108</v>
      </c>
      <c r="E110" s="18">
        <v>0</v>
      </c>
      <c r="F110" s="18">
        <v>0</v>
      </c>
      <c r="G110" s="18">
        <v>0</v>
      </c>
      <c r="H110" s="18">
        <v>0</v>
      </c>
      <c r="L110" s="20" t="str">
        <f t="shared" si="2"/>
        <v>Asset</v>
      </c>
      <c r="M110" s="20" t="str">
        <f t="shared" si="3"/>
        <v>okay</v>
      </c>
    </row>
    <row r="111" spans="1:13">
      <c r="A111" s="18" t="s">
        <v>21</v>
      </c>
      <c r="B111" s="18" t="s">
        <v>22</v>
      </c>
      <c r="C111" s="18" t="s">
        <v>22</v>
      </c>
      <c r="D111" s="18" t="s">
        <v>22</v>
      </c>
      <c r="E111" s="18" t="s">
        <v>22</v>
      </c>
      <c r="F111" s="18" t="s">
        <v>22</v>
      </c>
      <c r="G111" s="18" t="s">
        <v>22</v>
      </c>
      <c r="H111" s="32" t="s">
        <v>22</v>
      </c>
      <c r="L111" s="20" t="str">
        <f t="shared" si="2"/>
        <v>N/A</v>
      </c>
      <c r="M111" s="20" t="str">
        <f t="shared" si="3"/>
        <v>N/A</v>
      </c>
    </row>
    <row r="112" spans="1:13">
      <c r="A112" s="18" t="s">
        <v>22</v>
      </c>
      <c r="B112" s="18" t="s">
        <v>365</v>
      </c>
      <c r="C112" s="18" t="s">
        <v>199</v>
      </c>
      <c r="D112" s="18" t="s">
        <v>116</v>
      </c>
      <c r="E112" s="18">
        <v>-51.35</v>
      </c>
      <c r="F112" s="18">
        <v>0</v>
      </c>
      <c r="G112" s="18">
        <v>0</v>
      </c>
      <c r="H112" s="18">
        <v>-51.35</v>
      </c>
      <c r="L112" s="20" t="str">
        <f t="shared" si="2"/>
        <v>N/A</v>
      </c>
      <c r="M112" s="20" t="str">
        <f t="shared" si="3"/>
        <v>N/A</v>
      </c>
    </row>
    <row r="113" spans="1:13">
      <c r="A113" s="18" t="s">
        <v>22</v>
      </c>
      <c r="B113" s="18" t="s">
        <v>365</v>
      </c>
      <c r="C113" s="18" t="s">
        <v>199</v>
      </c>
      <c r="D113" s="18" t="s">
        <v>121</v>
      </c>
      <c r="E113" s="18">
        <v>-112.68</v>
      </c>
      <c r="F113" s="18">
        <v>75.11</v>
      </c>
      <c r="G113" s="18">
        <v>18.78</v>
      </c>
      <c r="H113" s="18">
        <v>-56.35</v>
      </c>
      <c r="L113" s="20" t="str">
        <f t="shared" si="2"/>
        <v>N/A</v>
      </c>
      <c r="M113" s="20" t="str">
        <f t="shared" si="3"/>
        <v>N/A</v>
      </c>
    </row>
    <row r="114" spans="1:13">
      <c r="A114" s="18" t="s">
        <v>22</v>
      </c>
      <c r="B114" s="18" t="s">
        <v>365</v>
      </c>
      <c r="C114" s="18" t="s">
        <v>199</v>
      </c>
      <c r="D114" s="18" t="s">
        <v>124</v>
      </c>
      <c r="E114" s="18">
        <v>-23.01</v>
      </c>
      <c r="F114" s="18">
        <v>0</v>
      </c>
      <c r="G114" s="18">
        <v>14.32</v>
      </c>
      <c r="H114" s="18">
        <v>-37.33</v>
      </c>
      <c r="L114" s="20" t="str">
        <f t="shared" si="2"/>
        <v>N/A</v>
      </c>
      <c r="M114" s="20" t="str">
        <f t="shared" si="3"/>
        <v>N/A</v>
      </c>
    </row>
    <row r="115" spans="1:13">
      <c r="A115" s="18" t="s">
        <v>22</v>
      </c>
      <c r="B115" s="18" t="s">
        <v>365</v>
      </c>
      <c r="C115" s="18" t="s">
        <v>199</v>
      </c>
      <c r="D115" s="18" t="s">
        <v>127</v>
      </c>
      <c r="E115" s="18">
        <v>0</v>
      </c>
      <c r="F115" s="18">
        <v>0</v>
      </c>
      <c r="G115" s="18">
        <v>0</v>
      </c>
      <c r="H115" s="18">
        <v>0</v>
      </c>
      <c r="L115" s="20" t="str">
        <f t="shared" si="2"/>
        <v>N/A</v>
      </c>
      <c r="M115" s="20" t="str">
        <f t="shared" si="3"/>
        <v>N/A</v>
      </c>
    </row>
    <row r="116" spans="1:13">
      <c r="A116" s="18" t="s">
        <v>22</v>
      </c>
      <c r="B116" s="18" t="s">
        <v>365</v>
      </c>
      <c r="C116" s="18" t="s">
        <v>199</v>
      </c>
      <c r="D116" s="18" t="s">
        <v>95</v>
      </c>
      <c r="E116" s="18">
        <v>-5.6</v>
      </c>
      <c r="F116" s="18">
        <v>1.4</v>
      </c>
      <c r="G116" s="18">
        <v>4.2</v>
      </c>
      <c r="H116" s="18">
        <v>-8.4</v>
      </c>
      <c r="L116" s="20" t="str">
        <f t="shared" si="2"/>
        <v>N/A</v>
      </c>
      <c r="M116" s="20" t="str">
        <f t="shared" si="3"/>
        <v>N/A</v>
      </c>
    </row>
    <row r="117" spans="1:13">
      <c r="A117" s="18" t="s">
        <v>22</v>
      </c>
      <c r="B117" s="18" t="s">
        <v>365</v>
      </c>
      <c r="C117" s="18" t="s">
        <v>199</v>
      </c>
      <c r="D117" s="18" t="s">
        <v>132</v>
      </c>
      <c r="E117" s="18">
        <v>0</v>
      </c>
      <c r="F117" s="18">
        <v>0</v>
      </c>
      <c r="G117" s="18">
        <v>0</v>
      </c>
      <c r="H117" s="18">
        <v>0</v>
      </c>
      <c r="L117" s="20" t="str">
        <f t="shared" si="2"/>
        <v>N/A</v>
      </c>
      <c r="M117" s="20" t="str">
        <f t="shared" si="3"/>
        <v>N/A</v>
      </c>
    </row>
    <row r="118" spans="1:13">
      <c r="A118" s="18" t="s">
        <v>22</v>
      </c>
      <c r="B118" s="18" t="s">
        <v>365</v>
      </c>
      <c r="C118" s="18" t="s">
        <v>199</v>
      </c>
      <c r="D118" s="18" t="s">
        <v>135</v>
      </c>
      <c r="E118" s="18">
        <v>-5000000</v>
      </c>
      <c r="F118" s="18">
        <v>0</v>
      </c>
      <c r="G118" s="18">
        <v>0</v>
      </c>
      <c r="H118" s="18">
        <v>-5000000</v>
      </c>
      <c r="L118" s="20" t="str">
        <f t="shared" si="2"/>
        <v>N/A</v>
      </c>
      <c r="M118" s="20" t="str">
        <f t="shared" si="3"/>
        <v>N/A</v>
      </c>
    </row>
    <row r="119" spans="1:13">
      <c r="A119" s="18" t="s">
        <v>22</v>
      </c>
      <c r="B119" s="18" t="s">
        <v>365</v>
      </c>
      <c r="C119" s="18" t="s">
        <v>199</v>
      </c>
      <c r="D119" s="18" t="s">
        <v>140</v>
      </c>
      <c r="E119" s="18">
        <v>-11959.19</v>
      </c>
      <c r="F119" s="18">
        <v>0</v>
      </c>
      <c r="G119" s="18">
        <v>8408.2999999999993</v>
      </c>
      <c r="H119" s="18">
        <v>-20367.490000000002</v>
      </c>
      <c r="L119" s="20" t="str">
        <f t="shared" si="2"/>
        <v>N/A</v>
      </c>
      <c r="M119" s="20" t="str">
        <f t="shared" si="3"/>
        <v>N/A</v>
      </c>
    </row>
    <row r="120" spans="1:13">
      <c r="A120" s="18" t="s">
        <v>22</v>
      </c>
      <c r="B120" s="18" t="s">
        <v>365</v>
      </c>
      <c r="C120" s="18" t="s">
        <v>199</v>
      </c>
      <c r="D120" s="18" t="s">
        <v>143</v>
      </c>
      <c r="E120" s="18">
        <v>880179.49</v>
      </c>
      <c r="F120" s="18">
        <v>0</v>
      </c>
      <c r="G120" s="18">
        <v>0</v>
      </c>
      <c r="H120" s="18">
        <v>880179.49</v>
      </c>
      <c r="L120" s="20" t="str">
        <f t="shared" si="2"/>
        <v>N/A</v>
      </c>
      <c r="M120" s="20" t="str">
        <f t="shared" si="3"/>
        <v>N/A</v>
      </c>
    </row>
    <row r="121" spans="1:13">
      <c r="A121" s="18" t="s">
        <v>22</v>
      </c>
      <c r="B121" s="18" t="s">
        <v>365</v>
      </c>
      <c r="C121" s="18" t="s">
        <v>199</v>
      </c>
      <c r="D121" s="18" t="s">
        <v>146</v>
      </c>
      <c r="E121" s="18">
        <v>111534.88</v>
      </c>
      <c r="F121" s="18">
        <v>0</v>
      </c>
      <c r="G121" s="18">
        <v>0</v>
      </c>
      <c r="H121" s="18">
        <v>111534.88</v>
      </c>
      <c r="L121" s="20" t="str">
        <f t="shared" si="2"/>
        <v>N/A</v>
      </c>
      <c r="M121" s="20" t="str">
        <f t="shared" si="3"/>
        <v>N/A</v>
      </c>
    </row>
    <row r="122" spans="1:13">
      <c r="A122" s="18" t="s">
        <v>22</v>
      </c>
      <c r="B122" s="18" t="s">
        <v>365</v>
      </c>
      <c r="C122" s="18" t="s">
        <v>199</v>
      </c>
      <c r="D122" s="18" t="s">
        <v>147</v>
      </c>
      <c r="E122" s="18">
        <v>-972429.92</v>
      </c>
      <c r="F122" s="18">
        <v>0</v>
      </c>
      <c r="G122" s="18">
        <v>0</v>
      </c>
      <c r="H122" s="18">
        <v>-972429.92</v>
      </c>
      <c r="L122" s="20" t="str">
        <f t="shared" si="2"/>
        <v>N/A</v>
      </c>
      <c r="M122" s="20" t="str">
        <f t="shared" si="3"/>
        <v>N/A</v>
      </c>
    </row>
    <row r="123" spans="1:13">
      <c r="A123" s="18" t="s">
        <v>22</v>
      </c>
      <c r="B123" s="18" t="s">
        <v>365</v>
      </c>
      <c r="C123" s="18" t="s">
        <v>199</v>
      </c>
      <c r="D123" s="18" t="s">
        <v>153</v>
      </c>
      <c r="E123" s="18">
        <v>0</v>
      </c>
      <c r="F123" s="18">
        <v>0</v>
      </c>
      <c r="G123" s="18">
        <v>0</v>
      </c>
      <c r="H123" s="18">
        <v>0</v>
      </c>
      <c r="L123" s="20" t="str">
        <f t="shared" si="2"/>
        <v>N/A</v>
      </c>
      <c r="M123" s="20" t="str">
        <f t="shared" si="3"/>
        <v>N/A</v>
      </c>
    </row>
    <row r="124" spans="1:13">
      <c r="A124" s="18" t="s">
        <v>22</v>
      </c>
      <c r="B124" s="18" t="s">
        <v>365</v>
      </c>
      <c r="C124" s="18" t="s">
        <v>199</v>
      </c>
      <c r="D124" s="18" t="s">
        <v>155</v>
      </c>
      <c r="E124" s="18">
        <v>0</v>
      </c>
      <c r="F124" s="18">
        <v>0</v>
      </c>
      <c r="G124" s="18">
        <v>0</v>
      </c>
      <c r="H124" s="18">
        <v>0</v>
      </c>
      <c r="L124" s="20" t="str">
        <f t="shared" si="2"/>
        <v>N/A</v>
      </c>
      <c r="M124" s="20" t="str">
        <f t="shared" si="3"/>
        <v>N/A</v>
      </c>
    </row>
    <row r="125" spans="1:13">
      <c r="A125" s="18" t="s">
        <v>22</v>
      </c>
      <c r="B125" s="18" t="s">
        <v>365</v>
      </c>
      <c r="C125" s="18" t="s">
        <v>199</v>
      </c>
      <c r="D125" s="18" t="s">
        <v>156</v>
      </c>
      <c r="E125" s="18">
        <v>-44.04</v>
      </c>
      <c r="F125" s="18">
        <v>0</v>
      </c>
      <c r="G125" s="18">
        <v>1.28</v>
      </c>
      <c r="H125" s="18">
        <v>-45.32</v>
      </c>
      <c r="L125" s="20" t="str">
        <f t="shared" si="2"/>
        <v>N/A</v>
      </c>
      <c r="M125" s="20" t="str">
        <f t="shared" si="3"/>
        <v>N/A</v>
      </c>
    </row>
    <row r="126" spans="1:13">
      <c r="A126" s="18" t="s">
        <v>22</v>
      </c>
      <c r="B126" s="18" t="s">
        <v>365</v>
      </c>
      <c r="C126" s="18" t="s">
        <v>199</v>
      </c>
      <c r="D126" s="18" t="s">
        <v>157</v>
      </c>
      <c r="E126" s="18">
        <v>-412800.09</v>
      </c>
      <c r="F126" s="18">
        <v>0</v>
      </c>
      <c r="G126" s="18">
        <v>60187.23</v>
      </c>
      <c r="H126" s="18">
        <v>-472987.32</v>
      </c>
      <c r="L126" s="20" t="str">
        <f t="shared" si="2"/>
        <v>N/A</v>
      </c>
      <c r="M126" s="20" t="str">
        <f t="shared" si="3"/>
        <v>N/A</v>
      </c>
    </row>
    <row r="127" spans="1:13">
      <c r="A127" s="18" t="s">
        <v>22</v>
      </c>
      <c r="B127" s="18" t="s">
        <v>365</v>
      </c>
      <c r="C127" s="18" t="s">
        <v>199</v>
      </c>
      <c r="D127" s="18" t="s">
        <v>145</v>
      </c>
      <c r="E127" s="18">
        <v>0</v>
      </c>
      <c r="F127" s="18">
        <v>288.83999999999997</v>
      </c>
      <c r="G127" s="18">
        <v>0</v>
      </c>
      <c r="H127" s="18">
        <v>288.83999999999997</v>
      </c>
      <c r="L127" s="20" t="str">
        <f t="shared" si="2"/>
        <v>N/A</v>
      </c>
      <c r="M127" s="20" t="str">
        <f t="shared" si="3"/>
        <v>N/A</v>
      </c>
    </row>
    <row r="128" spans="1:13">
      <c r="A128" s="18" t="s">
        <v>22</v>
      </c>
      <c r="B128" s="18" t="s">
        <v>365</v>
      </c>
      <c r="C128" s="18" t="s">
        <v>199</v>
      </c>
      <c r="D128" s="18" t="s">
        <v>96</v>
      </c>
      <c r="E128" s="18">
        <v>8.4</v>
      </c>
      <c r="F128" s="18">
        <v>4.2</v>
      </c>
      <c r="G128" s="18">
        <v>0</v>
      </c>
      <c r="H128" s="18">
        <v>12.6</v>
      </c>
      <c r="L128" s="20" t="str">
        <f t="shared" si="2"/>
        <v>N/A</v>
      </c>
      <c r="M128" s="20" t="str">
        <f t="shared" si="3"/>
        <v>N/A</v>
      </c>
    </row>
    <row r="129" spans="1:13">
      <c r="A129" s="18" t="s">
        <v>22</v>
      </c>
      <c r="B129" s="18" t="s">
        <v>365</v>
      </c>
      <c r="C129" s="18" t="s">
        <v>199</v>
      </c>
      <c r="D129" s="18" t="s">
        <v>104</v>
      </c>
      <c r="E129" s="18">
        <v>19.2</v>
      </c>
      <c r="F129" s="18">
        <v>38.4</v>
      </c>
      <c r="G129" s="18">
        <v>0</v>
      </c>
      <c r="H129" s="18">
        <v>57.6</v>
      </c>
      <c r="L129" s="20" t="str">
        <f t="shared" si="2"/>
        <v>N/A</v>
      </c>
      <c r="M129" s="20" t="str">
        <f t="shared" si="3"/>
        <v>N/A</v>
      </c>
    </row>
    <row r="130" spans="1:13">
      <c r="A130" s="18" t="s">
        <v>22</v>
      </c>
      <c r="B130" s="18" t="s">
        <v>365</v>
      </c>
      <c r="C130" s="18" t="s">
        <v>199</v>
      </c>
      <c r="D130" s="18" t="s">
        <v>359</v>
      </c>
      <c r="E130" s="18">
        <v>905.76</v>
      </c>
      <c r="F130" s="18">
        <v>8.58</v>
      </c>
      <c r="G130" s="18">
        <v>0</v>
      </c>
      <c r="H130" s="18">
        <v>914.34</v>
      </c>
      <c r="L130" s="20" t="str">
        <f t="shared" si="2"/>
        <v>N/A</v>
      </c>
      <c r="M130" s="20" t="str">
        <f t="shared" si="3"/>
        <v>N/A</v>
      </c>
    </row>
    <row r="131" spans="1:13">
      <c r="A131" s="18" t="s">
        <v>22</v>
      </c>
      <c r="B131" s="18" t="s">
        <v>365</v>
      </c>
      <c r="C131" s="18" t="s">
        <v>199</v>
      </c>
      <c r="D131" s="18" t="s">
        <v>113</v>
      </c>
      <c r="E131" s="18">
        <v>1232.9000000000001</v>
      </c>
      <c r="F131" s="18">
        <v>337.66</v>
      </c>
      <c r="G131" s="18">
        <v>0</v>
      </c>
      <c r="H131" s="18">
        <v>1570.56</v>
      </c>
      <c r="L131" s="20" t="str">
        <f t="shared" ref="L131:L194" si="4">+IF(LEFT(D131,1)="1","Asset","N/A")</f>
        <v>N/A</v>
      </c>
      <c r="M131" s="20" t="str">
        <f t="shared" ref="M131:M194" si="5">+IF(L131="asset",IF(H131&lt;0,"Provide Comment","okay"),"N/A")</f>
        <v>N/A</v>
      </c>
    </row>
    <row r="132" spans="1:13">
      <c r="A132" s="18" t="s">
        <v>22</v>
      </c>
      <c r="B132" s="18" t="s">
        <v>365</v>
      </c>
      <c r="C132" s="18" t="s">
        <v>199</v>
      </c>
      <c r="D132" s="18" t="s">
        <v>150</v>
      </c>
      <c r="E132" s="18">
        <v>384.01</v>
      </c>
      <c r="F132" s="18">
        <v>23.19</v>
      </c>
      <c r="G132" s="18">
        <v>0</v>
      </c>
      <c r="H132" s="18">
        <v>407.2</v>
      </c>
      <c r="L132" s="20" t="str">
        <f t="shared" si="4"/>
        <v>N/A</v>
      </c>
      <c r="M132" s="20" t="str">
        <f t="shared" si="5"/>
        <v>N/A</v>
      </c>
    </row>
    <row r="133" spans="1:13">
      <c r="A133" s="18" t="s">
        <v>22</v>
      </c>
      <c r="B133" s="18" t="s">
        <v>365</v>
      </c>
      <c r="C133" s="18" t="s">
        <v>199</v>
      </c>
      <c r="D133" s="18" t="s">
        <v>120</v>
      </c>
      <c r="E133" s="18">
        <v>0.57999999999999996</v>
      </c>
      <c r="F133" s="18">
        <v>0</v>
      </c>
      <c r="G133" s="18">
        <v>0</v>
      </c>
      <c r="H133" s="18">
        <v>0.57999999999999996</v>
      </c>
      <c r="L133" s="20" t="str">
        <f t="shared" si="4"/>
        <v>N/A</v>
      </c>
      <c r="M133" s="20" t="str">
        <f t="shared" si="5"/>
        <v>N/A</v>
      </c>
    </row>
    <row r="134" spans="1:13">
      <c r="A134" s="18" t="s">
        <v>22</v>
      </c>
      <c r="B134" s="18" t="s">
        <v>365</v>
      </c>
      <c r="C134" s="18" t="s">
        <v>199</v>
      </c>
      <c r="D134" s="18" t="s">
        <v>123</v>
      </c>
      <c r="E134" s="18">
        <v>359.63</v>
      </c>
      <c r="F134" s="18">
        <v>183.03</v>
      </c>
      <c r="G134" s="18">
        <v>0</v>
      </c>
      <c r="H134" s="18">
        <v>542.66</v>
      </c>
      <c r="L134" s="20" t="str">
        <f t="shared" si="4"/>
        <v>N/A</v>
      </c>
      <c r="M134" s="20" t="str">
        <f t="shared" si="5"/>
        <v>N/A</v>
      </c>
    </row>
    <row r="135" spans="1:13">
      <c r="A135" s="18" t="s">
        <v>22</v>
      </c>
      <c r="B135" s="18" t="s">
        <v>365</v>
      </c>
      <c r="C135" s="18" t="s">
        <v>199</v>
      </c>
      <c r="D135" s="18" t="s">
        <v>126</v>
      </c>
      <c r="E135" s="18">
        <v>53.53</v>
      </c>
      <c r="F135" s="18">
        <v>10.32</v>
      </c>
      <c r="G135" s="18">
        <v>0</v>
      </c>
      <c r="H135" s="18">
        <v>63.85</v>
      </c>
      <c r="L135" s="20" t="str">
        <f t="shared" si="4"/>
        <v>N/A</v>
      </c>
      <c r="M135" s="20" t="str">
        <f t="shared" si="5"/>
        <v>N/A</v>
      </c>
    </row>
    <row r="136" spans="1:13">
      <c r="A136" s="18" t="s">
        <v>22</v>
      </c>
      <c r="B136" s="18" t="s">
        <v>365</v>
      </c>
      <c r="C136" s="18" t="s">
        <v>199</v>
      </c>
      <c r="D136" s="18" t="s">
        <v>129</v>
      </c>
      <c r="E136" s="18">
        <v>49.99</v>
      </c>
      <c r="F136" s="18">
        <v>14.23</v>
      </c>
      <c r="G136" s="18">
        <v>0</v>
      </c>
      <c r="H136" s="18">
        <v>64.22</v>
      </c>
      <c r="L136" s="20" t="str">
        <f t="shared" si="4"/>
        <v>N/A</v>
      </c>
      <c r="M136" s="20" t="str">
        <f t="shared" si="5"/>
        <v>N/A</v>
      </c>
    </row>
    <row r="137" spans="1:13">
      <c r="A137" s="18" t="s">
        <v>22</v>
      </c>
      <c r="B137" s="18" t="s">
        <v>365</v>
      </c>
      <c r="C137" s="18" t="s">
        <v>199</v>
      </c>
      <c r="D137" s="18" t="s">
        <v>131</v>
      </c>
      <c r="E137" s="18">
        <v>126.98</v>
      </c>
      <c r="F137" s="18">
        <v>90.63</v>
      </c>
      <c r="G137" s="18">
        <v>0</v>
      </c>
      <c r="H137" s="18">
        <v>217.61</v>
      </c>
      <c r="L137" s="20" t="str">
        <f t="shared" si="4"/>
        <v>N/A</v>
      </c>
      <c r="M137" s="20" t="str">
        <f t="shared" si="5"/>
        <v>N/A</v>
      </c>
    </row>
    <row r="138" spans="1:13">
      <c r="A138" s="18" t="s">
        <v>22</v>
      </c>
      <c r="B138" s="18" t="s">
        <v>365</v>
      </c>
      <c r="C138" s="18" t="s">
        <v>199</v>
      </c>
      <c r="D138" s="18" t="s">
        <v>162</v>
      </c>
      <c r="E138" s="18">
        <v>0</v>
      </c>
      <c r="F138" s="18">
        <v>0</v>
      </c>
      <c r="G138" s="18">
        <v>0</v>
      </c>
      <c r="H138" s="18">
        <v>0</v>
      </c>
      <c r="L138" s="20" t="str">
        <f t="shared" si="4"/>
        <v>N/A</v>
      </c>
      <c r="M138" s="20" t="str">
        <f t="shared" si="5"/>
        <v>N/A</v>
      </c>
    </row>
    <row r="139" spans="1:13">
      <c r="A139" s="18" t="s">
        <v>22</v>
      </c>
      <c r="B139" s="18" t="s">
        <v>365</v>
      </c>
      <c r="C139" s="18" t="s">
        <v>199</v>
      </c>
      <c r="D139" s="18" t="s">
        <v>134</v>
      </c>
      <c r="E139" s="18">
        <v>9.1199999999999992</v>
      </c>
      <c r="F139" s="18">
        <v>11.38</v>
      </c>
      <c r="G139" s="18">
        <v>0</v>
      </c>
      <c r="H139" s="18">
        <v>20.5</v>
      </c>
      <c r="L139" s="20" t="str">
        <f t="shared" si="4"/>
        <v>N/A</v>
      </c>
      <c r="M139" s="20" t="str">
        <f t="shared" si="5"/>
        <v>N/A</v>
      </c>
    </row>
    <row r="140" spans="1:13">
      <c r="A140" s="18" t="s">
        <v>22</v>
      </c>
      <c r="B140" s="18" t="s">
        <v>365</v>
      </c>
      <c r="C140" s="18" t="s">
        <v>199</v>
      </c>
      <c r="D140" s="18" t="s">
        <v>139</v>
      </c>
      <c r="E140" s="18">
        <v>37.56</v>
      </c>
      <c r="F140" s="18">
        <v>18.78</v>
      </c>
      <c r="G140" s="18">
        <v>0</v>
      </c>
      <c r="H140" s="18">
        <v>56.34</v>
      </c>
      <c r="L140" s="20" t="str">
        <f t="shared" si="4"/>
        <v>N/A</v>
      </c>
      <c r="M140" s="20" t="str">
        <f t="shared" si="5"/>
        <v>N/A</v>
      </c>
    </row>
    <row r="141" spans="1:13">
      <c r="A141" s="18" t="s">
        <v>22</v>
      </c>
      <c r="B141" s="18" t="s">
        <v>365</v>
      </c>
      <c r="C141" s="18" t="s">
        <v>199</v>
      </c>
      <c r="D141" s="18" t="s">
        <v>142</v>
      </c>
      <c r="E141" s="18">
        <v>31.04</v>
      </c>
      <c r="F141" s="18">
        <v>18.34</v>
      </c>
      <c r="G141" s="18">
        <v>0</v>
      </c>
      <c r="H141" s="18">
        <v>49.38</v>
      </c>
      <c r="L141" s="20" t="str">
        <f t="shared" si="4"/>
        <v>N/A</v>
      </c>
      <c r="M141" s="20" t="str">
        <f t="shared" si="5"/>
        <v>N/A</v>
      </c>
    </row>
    <row r="142" spans="1:13">
      <c r="A142" s="18" t="s">
        <v>22</v>
      </c>
      <c r="B142" s="18" t="s">
        <v>365</v>
      </c>
      <c r="C142" s="18" t="s">
        <v>199</v>
      </c>
      <c r="D142" s="18" t="s">
        <v>163</v>
      </c>
      <c r="E142" s="18">
        <v>0</v>
      </c>
      <c r="F142" s="18">
        <v>0</v>
      </c>
      <c r="G142" s="18">
        <v>0</v>
      </c>
      <c r="H142" s="18">
        <v>0</v>
      </c>
      <c r="L142" s="20" t="str">
        <f t="shared" si="4"/>
        <v>N/A</v>
      </c>
      <c r="M142" s="20" t="str">
        <f t="shared" si="5"/>
        <v>N/A</v>
      </c>
    </row>
    <row r="143" spans="1:13">
      <c r="A143" s="18" t="s">
        <v>22</v>
      </c>
      <c r="B143" s="18" t="s">
        <v>365</v>
      </c>
      <c r="C143" s="18" t="s">
        <v>201</v>
      </c>
      <c r="D143" s="18" t="s">
        <v>87</v>
      </c>
      <c r="E143" s="18">
        <v>5020.6400000000003</v>
      </c>
      <c r="F143" s="18">
        <v>168191.6</v>
      </c>
      <c r="G143" s="18">
        <v>21735.64</v>
      </c>
      <c r="H143" s="18">
        <v>151476.6</v>
      </c>
      <c r="L143" s="20" t="str">
        <f t="shared" si="4"/>
        <v>Asset</v>
      </c>
      <c r="M143" s="20" t="str">
        <f t="shared" si="5"/>
        <v>okay</v>
      </c>
    </row>
    <row r="144" spans="1:13">
      <c r="A144" s="18" t="s">
        <v>22</v>
      </c>
      <c r="B144" s="18" t="s">
        <v>365</v>
      </c>
      <c r="C144" s="18" t="s">
        <v>201</v>
      </c>
      <c r="D144" s="18" t="s">
        <v>97</v>
      </c>
      <c r="E144" s="18">
        <v>82396410.109999999</v>
      </c>
      <c r="F144" s="18">
        <v>0</v>
      </c>
      <c r="G144" s="18">
        <v>0</v>
      </c>
      <c r="H144" s="18">
        <v>82396410.109999999</v>
      </c>
      <c r="L144" s="20" t="str">
        <f t="shared" si="4"/>
        <v>Asset</v>
      </c>
      <c r="M144" s="20" t="str">
        <f t="shared" si="5"/>
        <v>okay</v>
      </c>
    </row>
    <row r="145" spans="1:13">
      <c r="A145" s="18" t="s">
        <v>22</v>
      </c>
      <c r="B145" s="18" t="s">
        <v>365</v>
      </c>
      <c r="C145" s="18" t="s">
        <v>201</v>
      </c>
      <c r="D145" s="18" t="s">
        <v>105</v>
      </c>
      <c r="E145" s="18">
        <v>25648425.800000001</v>
      </c>
      <c r="F145" s="18">
        <v>1203744.6599999999</v>
      </c>
      <c r="G145" s="18">
        <v>0</v>
      </c>
      <c r="H145" s="18">
        <v>26852170.460000001</v>
      </c>
      <c r="L145" s="20" t="str">
        <f t="shared" si="4"/>
        <v>Asset</v>
      </c>
      <c r="M145" s="20" t="str">
        <f t="shared" si="5"/>
        <v>okay</v>
      </c>
    </row>
    <row r="146" spans="1:13">
      <c r="A146" s="18" t="s">
        <v>22</v>
      </c>
      <c r="B146" s="18" t="s">
        <v>365</v>
      </c>
      <c r="C146" s="18" t="s">
        <v>201</v>
      </c>
      <c r="D146" s="18" t="s">
        <v>108</v>
      </c>
      <c r="E146" s="18">
        <v>0</v>
      </c>
      <c r="F146" s="18">
        <v>0</v>
      </c>
      <c r="G146" s="18">
        <v>0</v>
      </c>
      <c r="H146" s="18">
        <v>0</v>
      </c>
      <c r="L146" s="20" t="str">
        <f t="shared" si="4"/>
        <v>Asset</v>
      </c>
      <c r="M146" s="20" t="str">
        <f t="shared" si="5"/>
        <v>okay</v>
      </c>
    </row>
    <row r="147" spans="1:13">
      <c r="A147" s="18" t="s">
        <v>22</v>
      </c>
      <c r="B147" s="18" t="s">
        <v>365</v>
      </c>
      <c r="C147" s="18" t="s">
        <v>201</v>
      </c>
      <c r="D147" s="18" t="s">
        <v>116</v>
      </c>
      <c r="E147" s="18">
        <v>-1027.0999999999999</v>
      </c>
      <c r="F147" s="18">
        <v>0</v>
      </c>
      <c r="G147" s="18">
        <v>0</v>
      </c>
      <c r="H147" s="18">
        <v>-1027.0999999999999</v>
      </c>
      <c r="L147" s="20" t="str">
        <f t="shared" si="4"/>
        <v>N/A</v>
      </c>
      <c r="M147" s="20" t="str">
        <f t="shared" si="5"/>
        <v>N/A</v>
      </c>
    </row>
    <row r="148" spans="1:13">
      <c r="A148" s="18" t="s">
        <v>22</v>
      </c>
      <c r="B148" s="18" t="s">
        <v>365</v>
      </c>
      <c r="C148" s="18" t="s">
        <v>201</v>
      </c>
      <c r="D148" s="18" t="s">
        <v>121</v>
      </c>
      <c r="E148" s="18">
        <v>-2253.42</v>
      </c>
      <c r="F148" s="18">
        <v>1502.28</v>
      </c>
      <c r="G148" s="18">
        <v>375.57</v>
      </c>
      <c r="H148" s="18">
        <v>-1126.71</v>
      </c>
      <c r="L148" s="20" t="str">
        <f t="shared" si="4"/>
        <v>N/A</v>
      </c>
      <c r="M148" s="20" t="str">
        <f t="shared" si="5"/>
        <v>N/A</v>
      </c>
    </row>
    <row r="149" spans="1:13">
      <c r="A149" s="18" t="s">
        <v>22</v>
      </c>
      <c r="B149" s="18" t="s">
        <v>365</v>
      </c>
      <c r="C149" s="18" t="s">
        <v>201</v>
      </c>
      <c r="D149" s="18" t="s">
        <v>124</v>
      </c>
      <c r="E149" s="18">
        <v>-460.37</v>
      </c>
      <c r="F149" s="18">
        <v>0</v>
      </c>
      <c r="G149" s="18">
        <v>286.5</v>
      </c>
      <c r="H149" s="18">
        <v>-746.87</v>
      </c>
      <c r="L149" s="20" t="str">
        <f t="shared" si="4"/>
        <v>N/A</v>
      </c>
      <c r="M149" s="20" t="str">
        <f t="shared" si="5"/>
        <v>N/A</v>
      </c>
    </row>
    <row r="150" spans="1:13">
      <c r="A150" s="18" t="s">
        <v>22</v>
      </c>
      <c r="B150" s="18" t="s">
        <v>365</v>
      </c>
      <c r="C150" s="18" t="s">
        <v>201</v>
      </c>
      <c r="D150" s="18" t="s">
        <v>127</v>
      </c>
      <c r="E150" s="18">
        <v>0</v>
      </c>
      <c r="F150" s="18">
        <v>0</v>
      </c>
      <c r="G150" s="18">
        <v>0</v>
      </c>
      <c r="H150" s="18">
        <v>0</v>
      </c>
      <c r="L150" s="20" t="str">
        <f t="shared" si="4"/>
        <v>N/A</v>
      </c>
      <c r="M150" s="20" t="str">
        <f t="shared" si="5"/>
        <v>N/A</v>
      </c>
    </row>
    <row r="151" spans="1:13">
      <c r="A151" s="18" t="s">
        <v>22</v>
      </c>
      <c r="B151" s="18" t="s">
        <v>365</v>
      </c>
      <c r="C151" s="18" t="s">
        <v>201</v>
      </c>
      <c r="D151" s="18" t="s">
        <v>95</v>
      </c>
      <c r="E151" s="18">
        <v>-112.06</v>
      </c>
      <c r="F151" s="18">
        <v>28.03</v>
      </c>
      <c r="G151" s="18">
        <v>84.08</v>
      </c>
      <c r="H151" s="18">
        <v>-168.11</v>
      </c>
      <c r="L151" s="20" t="str">
        <f t="shared" si="4"/>
        <v>N/A</v>
      </c>
      <c r="M151" s="20" t="str">
        <f t="shared" si="5"/>
        <v>N/A</v>
      </c>
    </row>
    <row r="152" spans="1:13">
      <c r="A152" s="18" t="s">
        <v>22</v>
      </c>
      <c r="B152" s="18" t="s">
        <v>365</v>
      </c>
      <c r="C152" s="18" t="s">
        <v>201</v>
      </c>
      <c r="D152" s="18" t="s">
        <v>132</v>
      </c>
      <c r="E152" s="18">
        <v>0</v>
      </c>
      <c r="F152" s="18">
        <v>0</v>
      </c>
      <c r="G152" s="18">
        <v>0</v>
      </c>
      <c r="H152" s="18">
        <v>0</v>
      </c>
      <c r="L152" s="20" t="str">
        <f t="shared" si="4"/>
        <v>N/A</v>
      </c>
      <c r="M152" s="20" t="str">
        <f t="shared" si="5"/>
        <v>N/A</v>
      </c>
    </row>
    <row r="153" spans="1:13">
      <c r="A153" s="18" t="s">
        <v>22</v>
      </c>
      <c r="B153" s="18" t="s">
        <v>365</v>
      </c>
      <c r="C153" s="18" t="s">
        <v>201</v>
      </c>
      <c r="D153" s="18" t="s">
        <v>135</v>
      </c>
      <c r="E153" s="18">
        <v>-100000000</v>
      </c>
      <c r="F153" s="18">
        <v>0</v>
      </c>
      <c r="G153" s="18">
        <v>0</v>
      </c>
      <c r="H153" s="18">
        <v>-100000000</v>
      </c>
      <c r="L153" s="20" t="str">
        <f t="shared" si="4"/>
        <v>N/A</v>
      </c>
      <c r="M153" s="20" t="str">
        <f t="shared" si="5"/>
        <v>N/A</v>
      </c>
    </row>
    <row r="154" spans="1:13">
      <c r="A154" s="18" t="s">
        <v>22</v>
      </c>
      <c r="B154" s="18" t="s">
        <v>365</v>
      </c>
      <c r="C154" s="18" t="s">
        <v>201</v>
      </c>
      <c r="D154" s="18" t="s">
        <v>140</v>
      </c>
      <c r="E154" s="18">
        <v>-239183.84</v>
      </c>
      <c r="F154" s="18">
        <v>0</v>
      </c>
      <c r="G154" s="18">
        <v>168166.09</v>
      </c>
      <c r="H154" s="18">
        <v>-407349.93</v>
      </c>
      <c r="L154" s="20" t="str">
        <f t="shared" si="4"/>
        <v>N/A</v>
      </c>
      <c r="M154" s="20" t="str">
        <f t="shared" si="5"/>
        <v>N/A</v>
      </c>
    </row>
    <row r="155" spans="1:13">
      <c r="A155" s="18" t="s">
        <v>22</v>
      </c>
      <c r="B155" s="18" t="s">
        <v>365</v>
      </c>
      <c r="C155" s="18" t="s">
        <v>201</v>
      </c>
      <c r="D155" s="18" t="s">
        <v>143</v>
      </c>
      <c r="E155" s="18">
        <v>17603589.879999999</v>
      </c>
      <c r="F155" s="18">
        <v>0</v>
      </c>
      <c r="G155" s="18">
        <v>0</v>
      </c>
      <c r="H155" s="18">
        <v>17603589.879999999</v>
      </c>
      <c r="L155" s="20" t="str">
        <f t="shared" si="4"/>
        <v>N/A</v>
      </c>
      <c r="M155" s="20" t="str">
        <f t="shared" si="5"/>
        <v>N/A</v>
      </c>
    </row>
    <row r="156" spans="1:13">
      <c r="A156" s="18" t="s">
        <v>22</v>
      </c>
      <c r="B156" s="18" t="s">
        <v>365</v>
      </c>
      <c r="C156" s="18" t="s">
        <v>201</v>
      </c>
      <c r="D156" s="18" t="s">
        <v>146</v>
      </c>
      <c r="E156" s="18">
        <v>2230697.69</v>
      </c>
      <c r="F156" s="18">
        <v>0</v>
      </c>
      <c r="G156" s="18">
        <v>0</v>
      </c>
      <c r="H156" s="18">
        <v>2230697.69</v>
      </c>
      <c r="L156" s="20" t="str">
        <f t="shared" si="4"/>
        <v>N/A</v>
      </c>
      <c r="M156" s="20" t="str">
        <f t="shared" si="5"/>
        <v>N/A</v>
      </c>
    </row>
    <row r="157" spans="1:13">
      <c r="A157" s="18" t="s">
        <v>22</v>
      </c>
      <c r="B157" s="18" t="s">
        <v>365</v>
      </c>
      <c r="C157" s="18" t="s">
        <v>201</v>
      </c>
      <c r="D157" s="18" t="s">
        <v>147</v>
      </c>
      <c r="E157" s="18">
        <v>-19448598.719999999</v>
      </c>
      <c r="F157" s="18">
        <v>0</v>
      </c>
      <c r="G157" s="18">
        <v>0</v>
      </c>
      <c r="H157" s="18">
        <v>-19448598.719999999</v>
      </c>
      <c r="L157" s="20" t="str">
        <f t="shared" si="4"/>
        <v>N/A</v>
      </c>
      <c r="M157" s="20" t="str">
        <f t="shared" si="5"/>
        <v>N/A</v>
      </c>
    </row>
    <row r="158" spans="1:13">
      <c r="A158" s="18" t="s">
        <v>22</v>
      </c>
      <c r="B158" s="18" t="s">
        <v>365</v>
      </c>
      <c r="C158" s="18" t="s">
        <v>201</v>
      </c>
      <c r="D158" s="18" t="s">
        <v>153</v>
      </c>
      <c r="E158" s="18">
        <v>0</v>
      </c>
      <c r="F158" s="18">
        <v>0</v>
      </c>
      <c r="G158" s="18">
        <v>0</v>
      </c>
      <c r="H158" s="18">
        <v>0</v>
      </c>
      <c r="L158" s="20" t="str">
        <f t="shared" si="4"/>
        <v>N/A</v>
      </c>
      <c r="M158" s="20" t="str">
        <f t="shared" si="5"/>
        <v>N/A</v>
      </c>
    </row>
    <row r="159" spans="1:13">
      <c r="A159" s="18" t="s">
        <v>22</v>
      </c>
      <c r="B159" s="18" t="s">
        <v>365</v>
      </c>
      <c r="C159" s="18" t="s">
        <v>201</v>
      </c>
      <c r="D159" s="18" t="s">
        <v>155</v>
      </c>
      <c r="E159" s="18">
        <v>0</v>
      </c>
      <c r="F159" s="18">
        <v>0</v>
      </c>
      <c r="G159" s="18">
        <v>0</v>
      </c>
      <c r="H159" s="18">
        <v>0</v>
      </c>
      <c r="L159" s="20" t="str">
        <f t="shared" si="4"/>
        <v>N/A</v>
      </c>
      <c r="M159" s="20" t="str">
        <f t="shared" si="5"/>
        <v>N/A</v>
      </c>
    </row>
    <row r="160" spans="1:13">
      <c r="A160" s="18" t="s">
        <v>22</v>
      </c>
      <c r="B160" s="18" t="s">
        <v>365</v>
      </c>
      <c r="C160" s="18" t="s">
        <v>201</v>
      </c>
      <c r="D160" s="18" t="s">
        <v>156</v>
      </c>
      <c r="E160" s="18">
        <v>-880.84</v>
      </c>
      <c r="F160" s="18">
        <v>0</v>
      </c>
      <c r="G160" s="18">
        <v>25.51</v>
      </c>
      <c r="H160" s="18">
        <v>-906.35</v>
      </c>
      <c r="L160" s="20" t="str">
        <f t="shared" si="4"/>
        <v>N/A</v>
      </c>
      <c r="M160" s="20" t="str">
        <f t="shared" si="5"/>
        <v>N/A</v>
      </c>
    </row>
    <row r="161" spans="1:13">
      <c r="A161" s="18" t="s">
        <v>22</v>
      </c>
      <c r="B161" s="18" t="s">
        <v>365</v>
      </c>
      <c r="C161" s="18" t="s">
        <v>201</v>
      </c>
      <c r="D161" s="18" t="s">
        <v>157</v>
      </c>
      <c r="E161" s="18">
        <v>-8256002</v>
      </c>
      <c r="F161" s="18">
        <v>0</v>
      </c>
      <c r="G161" s="18">
        <v>1203744.6599999999</v>
      </c>
      <c r="H161" s="18">
        <v>-9459746.6600000001</v>
      </c>
      <c r="L161" s="20" t="str">
        <f t="shared" si="4"/>
        <v>N/A</v>
      </c>
      <c r="M161" s="20" t="str">
        <f t="shared" si="5"/>
        <v>N/A</v>
      </c>
    </row>
    <row r="162" spans="1:13">
      <c r="A162" s="18" t="s">
        <v>22</v>
      </c>
      <c r="B162" s="18" t="s">
        <v>365</v>
      </c>
      <c r="C162" s="18" t="s">
        <v>201</v>
      </c>
      <c r="D162" s="18" t="s">
        <v>145</v>
      </c>
      <c r="E162" s="18">
        <v>0</v>
      </c>
      <c r="F162" s="18">
        <v>5776.78</v>
      </c>
      <c r="G162" s="18">
        <v>0</v>
      </c>
      <c r="H162" s="18">
        <v>5776.78</v>
      </c>
      <c r="L162" s="20" t="str">
        <f t="shared" si="4"/>
        <v>N/A</v>
      </c>
      <c r="M162" s="20" t="str">
        <f t="shared" si="5"/>
        <v>N/A</v>
      </c>
    </row>
    <row r="163" spans="1:13">
      <c r="A163" s="18" t="s">
        <v>22</v>
      </c>
      <c r="B163" s="18" t="s">
        <v>365</v>
      </c>
      <c r="C163" s="18" t="s">
        <v>201</v>
      </c>
      <c r="D163" s="18" t="s">
        <v>96</v>
      </c>
      <c r="E163" s="18">
        <v>168.16</v>
      </c>
      <c r="F163" s="18">
        <v>84.08</v>
      </c>
      <c r="G163" s="18">
        <v>0</v>
      </c>
      <c r="H163" s="18">
        <v>252.24</v>
      </c>
      <c r="L163" s="20" t="str">
        <f t="shared" si="4"/>
        <v>N/A</v>
      </c>
      <c r="M163" s="20" t="str">
        <f t="shared" si="5"/>
        <v>N/A</v>
      </c>
    </row>
    <row r="164" spans="1:13">
      <c r="A164" s="18" t="s">
        <v>22</v>
      </c>
      <c r="B164" s="18" t="s">
        <v>365</v>
      </c>
      <c r="C164" s="18" t="s">
        <v>201</v>
      </c>
      <c r="D164" s="18" t="s">
        <v>104</v>
      </c>
      <c r="E164" s="18">
        <v>383.97</v>
      </c>
      <c r="F164" s="18">
        <v>768.07</v>
      </c>
      <c r="G164" s="18">
        <v>0</v>
      </c>
      <c r="H164" s="18">
        <v>1152.04</v>
      </c>
      <c r="L164" s="20" t="str">
        <f t="shared" si="4"/>
        <v>N/A</v>
      </c>
      <c r="M164" s="20" t="str">
        <f t="shared" si="5"/>
        <v>N/A</v>
      </c>
    </row>
    <row r="165" spans="1:13">
      <c r="A165" s="18" t="s">
        <v>22</v>
      </c>
      <c r="B165" s="18" t="s">
        <v>365</v>
      </c>
      <c r="C165" s="18" t="s">
        <v>201</v>
      </c>
      <c r="D165" s="18" t="s">
        <v>359</v>
      </c>
      <c r="E165" s="18">
        <v>18115.23</v>
      </c>
      <c r="F165" s="18">
        <v>171.53</v>
      </c>
      <c r="G165" s="18">
        <v>0</v>
      </c>
      <c r="H165" s="18">
        <v>18286.759999999998</v>
      </c>
      <c r="L165" s="20" t="str">
        <f t="shared" si="4"/>
        <v>N/A</v>
      </c>
      <c r="M165" s="20" t="str">
        <f t="shared" si="5"/>
        <v>N/A</v>
      </c>
    </row>
    <row r="166" spans="1:13">
      <c r="A166" s="18" t="s">
        <v>22</v>
      </c>
      <c r="B166" s="18" t="s">
        <v>365</v>
      </c>
      <c r="C166" s="18" t="s">
        <v>201</v>
      </c>
      <c r="D166" s="18" t="s">
        <v>113</v>
      </c>
      <c r="E166" s="18">
        <v>24658.080000000002</v>
      </c>
      <c r="F166" s="18">
        <v>6753.21</v>
      </c>
      <c r="G166" s="18">
        <v>0</v>
      </c>
      <c r="H166" s="18">
        <v>31411.29</v>
      </c>
      <c r="L166" s="20" t="str">
        <f t="shared" si="4"/>
        <v>N/A</v>
      </c>
      <c r="M166" s="20" t="str">
        <f t="shared" si="5"/>
        <v>N/A</v>
      </c>
    </row>
    <row r="167" spans="1:13">
      <c r="A167" s="18" t="s">
        <v>22</v>
      </c>
      <c r="B167" s="18" t="s">
        <v>365</v>
      </c>
      <c r="C167" s="18" t="s">
        <v>201</v>
      </c>
      <c r="D167" s="18" t="s">
        <v>150</v>
      </c>
      <c r="E167" s="18">
        <v>7680.13</v>
      </c>
      <c r="F167" s="18">
        <v>463.69</v>
      </c>
      <c r="G167" s="18">
        <v>0</v>
      </c>
      <c r="H167" s="18">
        <v>8143.82</v>
      </c>
      <c r="L167" s="20" t="str">
        <f t="shared" si="4"/>
        <v>N/A</v>
      </c>
      <c r="M167" s="20" t="str">
        <f t="shared" si="5"/>
        <v>N/A</v>
      </c>
    </row>
    <row r="168" spans="1:13">
      <c r="A168" s="18" t="s">
        <v>22</v>
      </c>
      <c r="B168" s="18" t="s">
        <v>365</v>
      </c>
      <c r="C168" s="18" t="s">
        <v>201</v>
      </c>
      <c r="D168" s="18" t="s">
        <v>120</v>
      </c>
      <c r="E168" s="18">
        <v>11.52</v>
      </c>
      <c r="F168" s="18">
        <v>0</v>
      </c>
      <c r="G168" s="18">
        <v>0</v>
      </c>
      <c r="H168" s="18">
        <v>11.52</v>
      </c>
      <c r="L168" s="20" t="str">
        <f t="shared" si="4"/>
        <v>N/A</v>
      </c>
      <c r="M168" s="20" t="str">
        <f t="shared" si="5"/>
        <v>N/A</v>
      </c>
    </row>
    <row r="169" spans="1:13">
      <c r="A169" s="18" t="s">
        <v>22</v>
      </c>
      <c r="B169" s="18" t="s">
        <v>365</v>
      </c>
      <c r="C169" s="18" t="s">
        <v>201</v>
      </c>
      <c r="D169" s="18" t="s">
        <v>123</v>
      </c>
      <c r="E169" s="18">
        <v>7192.61</v>
      </c>
      <c r="F169" s="18">
        <v>3660.6</v>
      </c>
      <c r="G169" s="18">
        <v>0</v>
      </c>
      <c r="H169" s="18">
        <v>10853.21</v>
      </c>
      <c r="L169" s="20" t="str">
        <f t="shared" si="4"/>
        <v>N/A</v>
      </c>
      <c r="M169" s="20" t="str">
        <f t="shared" si="5"/>
        <v>N/A</v>
      </c>
    </row>
    <row r="170" spans="1:13">
      <c r="A170" s="18" t="s">
        <v>22</v>
      </c>
      <c r="B170" s="18" t="s">
        <v>365</v>
      </c>
      <c r="C170" s="18" t="s">
        <v>201</v>
      </c>
      <c r="D170" s="18" t="s">
        <v>126</v>
      </c>
      <c r="E170" s="18">
        <v>1070.69</v>
      </c>
      <c r="F170" s="18">
        <v>206.32</v>
      </c>
      <c r="G170" s="18">
        <v>0</v>
      </c>
      <c r="H170" s="18">
        <v>1277.01</v>
      </c>
      <c r="L170" s="20" t="str">
        <f t="shared" si="4"/>
        <v>N/A</v>
      </c>
      <c r="M170" s="20" t="str">
        <f t="shared" si="5"/>
        <v>N/A</v>
      </c>
    </row>
    <row r="171" spans="1:13">
      <c r="A171" s="18" t="s">
        <v>22</v>
      </c>
      <c r="B171" s="18" t="s">
        <v>365</v>
      </c>
      <c r="C171" s="18" t="s">
        <v>201</v>
      </c>
      <c r="D171" s="18" t="s">
        <v>129</v>
      </c>
      <c r="E171" s="18">
        <v>999.85</v>
      </c>
      <c r="F171" s="18">
        <v>284.52</v>
      </c>
      <c r="G171" s="18">
        <v>0</v>
      </c>
      <c r="H171" s="18">
        <v>1284.3699999999999</v>
      </c>
      <c r="L171" s="20" t="str">
        <f t="shared" si="4"/>
        <v>N/A</v>
      </c>
      <c r="M171" s="20" t="str">
        <f t="shared" si="5"/>
        <v>N/A</v>
      </c>
    </row>
    <row r="172" spans="1:13">
      <c r="A172" s="18" t="s">
        <v>22</v>
      </c>
      <c r="B172" s="18" t="s">
        <v>365</v>
      </c>
      <c r="C172" s="18" t="s">
        <v>201</v>
      </c>
      <c r="D172" s="18" t="s">
        <v>131</v>
      </c>
      <c r="E172" s="18">
        <v>2539.5100000000002</v>
      </c>
      <c r="F172" s="18">
        <v>1812.62</v>
      </c>
      <c r="G172" s="18">
        <v>0</v>
      </c>
      <c r="H172" s="18">
        <v>4352.13</v>
      </c>
      <c r="L172" s="20" t="str">
        <f t="shared" si="4"/>
        <v>N/A</v>
      </c>
      <c r="M172" s="20" t="str">
        <f t="shared" si="5"/>
        <v>N/A</v>
      </c>
    </row>
    <row r="173" spans="1:13">
      <c r="A173" s="18" t="s">
        <v>22</v>
      </c>
      <c r="B173" s="18" t="s">
        <v>365</v>
      </c>
      <c r="C173" s="18" t="s">
        <v>201</v>
      </c>
      <c r="D173" s="18" t="s">
        <v>162</v>
      </c>
      <c r="E173" s="18">
        <v>0</v>
      </c>
      <c r="F173" s="18">
        <v>0</v>
      </c>
      <c r="G173" s="18">
        <v>0</v>
      </c>
      <c r="H173" s="18">
        <v>0</v>
      </c>
      <c r="L173" s="20" t="str">
        <f t="shared" si="4"/>
        <v>N/A</v>
      </c>
      <c r="M173" s="20" t="str">
        <f t="shared" si="5"/>
        <v>N/A</v>
      </c>
    </row>
    <row r="174" spans="1:13">
      <c r="A174" s="18" t="s">
        <v>22</v>
      </c>
      <c r="B174" s="18" t="s">
        <v>365</v>
      </c>
      <c r="C174" s="18" t="s">
        <v>201</v>
      </c>
      <c r="D174" s="18" t="s">
        <v>134</v>
      </c>
      <c r="E174" s="18">
        <v>182.27</v>
      </c>
      <c r="F174" s="18">
        <v>227.69</v>
      </c>
      <c r="G174" s="18">
        <v>0</v>
      </c>
      <c r="H174" s="18">
        <v>409.96</v>
      </c>
      <c r="L174" s="20" t="str">
        <f t="shared" si="4"/>
        <v>N/A</v>
      </c>
      <c r="M174" s="20" t="str">
        <f t="shared" si="5"/>
        <v>N/A</v>
      </c>
    </row>
    <row r="175" spans="1:13">
      <c r="A175" s="18" t="s">
        <v>22</v>
      </c>
      <c r="B175" s="18" t="s">
        <v>365</v>
      </c>
      <c r="C175" s="18" t="s">
        <v>201</v>
      </c>
      <c r="D175" s="18" t="s">
        <v>139</v>
      </c>
      <c r="E175" s="18">
        <v>751.14</v>
      </c>
      <c r="F175" s="18">
        <v>375.57</v>
      </c>
      <c r="G175" s="18">
        <v>0</v>
      </c>
      <c r="H175" s="18">
        <v>1126.71</v>
      </c>
      <c r="L175" s="20" t="str">
        <f t="shared" si="4"/>
        <v>N/A</v>
      </c>
      <c r="M175" s="20" t="str">
        <f t="shared" si="5"/>
        <v>N/A</v>
      </c>
    </row>
    <row r="176" spans="1:13">
      <c r="A176" s="18" t="s">
        <v>22</v>
      </c>
      <c r="B176" s="18" t="s">
        <v>365</v>
      </c>
      <c r="C176" s="18" t="s">
        <v>201</v>
      </c>
      <c r="D176" s="18" t="s">
        <v>142</v>
      </c>
      <c r="E176" s="18">
        <v>621.07000000000005</v>
      </c>
      <c r="F176" s="18">
        <v>366.8</v>
      </c>
      <c r="G176" s="18">
        <v>0</v>
      </c>
      <c r="H176" s="18">
        <v>987.87</v>
      </c>
      <c r="L176" s="20" t="str">
        <f t="shared" si="4"/>
        <v>N/A</v>
      </c>
      <c r="M176" s="20" t="str">
        <f t="shared" si="5"/>
        <v>N/A</v>
      </c>
    </row>
    <row r="177" spans="1:13">
      <c r="A177" s="18" t="s">
        <v>22</v>
      </c>
      <c r="B177" s="18" t="s">
        <v>365</v>
      </c>
      <c r="C177" s="18" t="s">
        <v>201</v>
      </c>
      <c r="D177" s="18" t="s">
        <v>163</v>
      </c>
      <c r="E177" s="18">
        <v>0</v>
      </c>
      <c r="F177" s="18">
        <v>0</v>
      </c>
      <c r="G177" s="18">
        <v>0</v>
      </c>
      <c r="H177" s="18">
        <v>0</v>
      </c>
      <c r="L177" s="20" t="str">
        <f t="shared" si="4"/>
        <v>N/A</v>
      </c>
      <c r="M177" s="20" t="str">
        <f t="shared" si="5"/>
        <v>N/A</v>
      </c>
    </row>
    <row r="178" spans="1:13">
      <c r="A178" s="18" t="s">
        <v>22</v>
      </c>
      <c r="B178" s="18" t="s">
        <v>365</v>
      </c>
      <c r="C178" s="18" t="s">
        <v>203</v>
      </c>
      <c r="D178" s="18" t="s">
        <v>87</v>
      </c>
      <c r="E178" s="18">
        <v>1255.17</v>
      </c>
      <c r="F178" s="18">
        <v>42047.9</v>
      </c>
      <c r="G178" s="18">
        <v>5433.92</v>
      </c>
      <c r="H178" s="18">
        <v>37869.15</v>
      </c>
      <c r="L178" s="20" t="str">
        <f t="shared" si="4"/>
        <v>Asset</v>
      </c>
      <c r="M178" s="20" t="str">
        <f t="shared" si="5"/>
        <v>okay</v>
      </c>
    </row>
    <row r="179" spans="1:13">
      <c r="A179" s="18" t="s">
        <v>22</v>
      </c>
      <c r="B179" s="18" t="s">
        <v>365</v>
      </c>
      <c r="C179" s="18" t="s">
        <v>203</v>
      </c>
      <c r="D179" s="18" t="s">
        <v>97</v>
      </c>
      <c r="E179" s="18">
        <v>20599102.530000001</v>
      </c>
      <c r="F179" s="18">
        <v>0</v>
      </c>
      <c r="G179" s="18">
        <v>0</v>
      </c>
      <c r="H179" s="18">
        <v>20599102.530000001</v>
      </c>
      <c r="L179" s="20" t="str">
        <f t="shared" si="4"/>
        <v>Asset</v>
      </c>
      <c r="M179" s="20" t="str">
        <f t="shared" si="5"/>
        <v>okay</v>
      </c>
    </row>
    <row r="180" spans="1:13">
      <c r="A180" s="18" t="s">
        <v>22</v>
      </c>
      <c r="B180" s="18" t="s">
        <v>365</v>
      </c>
      <c r="C180" s="18" t="s">
        <v>203</v>
      </c>
      <c r="D180" s="18" t="s">
        <v>105</v>
      </c>
      <c r="E180" s="18">
        <v>6412106.4299999997</v>
      </c>
      <c r="F180" s="18">
        <v>300936.17</v>
      </c>
      <c r="G180" s="18">
        <v>0</v>
      </c>
      <c r="H180" s="18">
        <v>6713042.5999999996</v>
      </c>
      <c r="L180" s="20" t="str">
        <f t="shared" si="4"/>
        <v>Asset</v>
      </c>
      <c r="M180" s="20" t="str">
        <f t="shared" si="5"/>
        <v>okay</v>
      </c>
    </row>
    <row r="181" spans="1:13">
      <c r="A181" s="18" t="s">
        <v>22</v>
      </c>
      <c r="B181" s="18" t="s">
        <v>365</v>
      </c>
      <c r="C181" s="18" t="s">
        <v>203</v>
      </c>
      <c r="D181" s="18" t="s">
        <v>108</v>
      </c>
      <c r="E181" s="18">
        <v>0</v>
      </c>
      <c r="F181" s="18">
        <v>0</v>
      </c>
      <c r="G181" s="18">
        <v>0</v>
      </c>
      <c r="H181" s="18">
        <v>0</v>
      </c>
      <c r="L181" s="20" t="str">
        <f t="shared" si="4"/>
        <v>Asset</v>
      </c>
      <c r="M181" s="20" t="str">
        <f t="shared" si="5"/>
        <v>okay</v>
      </c>
    </row>
    <row r="182" spans="1:13">
      <c r="A182" s="18" t="s">
        <v>22</v>
      </c>
      <c r="B182" s="18" t="s">
        <v>365</v>
      </c>
      <c r="C182" s="18" t="s">
        <v>203</v>
      </c>
      <c r="D182" s="18" t="s">
        <v>116</v>
      </c>
      <c r="E182" s="18">
        <v>-256.76</v>
      </c>
      <c r="F182" s="18">
        <v>0</v>
      </c>
      <c r="G182" s="18">
        <v>0</v>
      </c>
      <c r="H182" s="18">
        <v>-256.76</v>
      </c>
      <c r="L182" s="20" t="str">
        <f t="shared" si="4"/>
        <v>N/A</v>
      </c>
      <c r="M182" s="20" t="str">
        <f t="shared" si="5"/>
        <v>N/A</v>
      </c>
    </row>
    <row r="183" spans="1:13">
      <c r="A183" s="18" t="s">
        <v>22</v>
      </c>
      <c r="B183" s="18" t="s">
        <v>365</v>
      </c>
      <c r="C183" s="18" t="s">
        <v>203</v>
      </c>
      <c r="D183" s="18" t="s">
        <v>121</v>
      </c>
      <c r="E183" s="18">
        <v>-563.36</v>
      </c>
      <c r="F183" s="18">
        <v>375.57</v>
      </c>
      <c r="G183" s="18">
        <v>93.89</v>
      </c>
      <c r="H183" s="18">
        <v>-281.68</v>
      </c>
      <c r="L183" s="20" t="str">
        <f t="shared" si="4"/>
        <v>N/A</v>
      </c>
      <c r="M183" s="20" t="str">
        <f t="shared" si="5"/>
        <v>N/A</v>
      </c>
    </row>
    <row r="184" spans="1:13">
      <c r="A184" s="18" t="s">
        <v>22</v>
      </c>
      <c r="B184" s="18" t="s">
        <v>365</v>
      </c>
      <c r="C184" s="18" t="s">
        <v>203</v>
      </c>
      <c r="D184" s="18" t="s">
        <v>124</v>
      </c>
      <c r="E184" s="18">
        <v>-115.08</v>
      </c>
      <c r="F184" s="18">
        <v>0</v>
      </c>
      <c r="G184" s="18">
        <v>71.62</v>
      </c>
      <c r="H184" s="18">
        <v>-186.7</v>
      </c>
      <c r="L184" s="20" t="str">
        <f t="shared" si="4"/>
        <v>N/A</v>
      </c>
      <c r="M184" s="20" t="str">
        <f t="shared" si="5"/>
        <v>N/A</v>
      </c>
    </row>
    <row r="185" spans="1:13">
      <c r="A185" s="18" t="s">
        <v>22</v>
      </c>
      <c r="B185" s="18" t="s">
        <v>365</v>
      </c>
      <c r="C185" s="18" t="s">
        <v>203</v>
      </c>
      <c r="D185" s="18" t="s">
        <v>127</v>
      </c>
      <c r="E185" s="18">
        <v>0</v>
      </c>
      <c r="F185" s="18">
        <v>0</v>
      </c>
      <c r="G185" s="18">
        <v>0</v>
      </c>
      <c r="H185" s="18">
        <v>0</v>
      </c>
      <c r="L185" s="20" t="str">
        <f t="shared" si="4"/>
        <v>N/A</v>
      </c>
      <c r="M185" s="20" t="str">
        <f t="shared" si="5"/>
        <v>N/A</v>
      </c>
    </row>
    <row r="186" spans="1:13">
      <c r="A186" s="18" t="s">
        <v>22</v>
      </c>
      <c r="B186" s="18" t="s">
        <v>365</v>
      </c>
      <c r="C186" s="18" t="s">
        <v>203</v>
      </c>
      <c r="D186" s="18" t="s">
        <v>95</v>
      </c>
      <c r="E186" s="18">
        <v>-28.02</v>
      </c>
      <c r="F186" s="18">
        <v>7.01</v>
      </c>
      <c r="G186" s="18">
        <v>21.02</v>
      </c>
      <c r="H186" s="18">
        <v>-42.03</v>
      </c>
      <c r="L186" s="20" t="str">
        <f t="shared" si="4"/>
        <v>N/A</v>
      </c>
      <c r="M186" s="20" t="str">
        <f t="shared" si="5"/>
        <v>N/A</v>
      </c>
    </row>
    <row r="187" spans="1:13">
      <c r="A187" s="18" t="s">
        <v>22</v>
      </c>
      <c r="B187" s="18" t="s">
        <v>365</v>
      </c>
      <c r="C187" s="18" t="s">
        <v>203</v>
      </c>
      <c r="D187" s="18" t="s">
        <v>132</v>
      </c>
      <c r="E187" s="18">
        <v>0</v>
      </c>
      <c r="F187" s="18">
        <v>0</v>
      </c>
      <c r="G187" s="18">
        <v>0</v>
      </c>
      <c r="H187" s="18">
        <v>0</v>
      </c>
      <c r="L187" s="20" t="str">
        <f t="shared" si="4"/>
        <v>N/A</v>
      </c>
      <c r="M187" s="20" t="str">
        <f t="shared" si="5"/>
        <v>N/A</v>
      </c>
    </row>
    <row r="188" spans="1:13">
      <c r="A188" s="18" t="s">
        <v>22</v>
      </c>
      <c r="B188" s="18" t="s">
        <v>365</v>
      </c>
      <c r="C188" s="18" t="s">
        <v>203</v>
      </c>
      <c r="D188" s="18" t="s">
        <v>135</v>
      </c>
      <c r="E188" s="18">
        <v>-25000000</v>
      </c>
      <c r="F188" s="18">
        <v>0</v>
      </c>
      <c r="G188" s="18">
        <v>0</v>
      </c>
      <c r="H188" s="18">
        <v>-25000000</v>
      </c>
      <c r="L188" s="20" t="str">
        <f t="shared" si="4"/>
        <v>N/A</v>
      </c>
      <c r="M188" s="20" t="str">
        <f t="shared" si="5"/>
        <v>N/A</v>
      </c>
    </row>
    <row r="189" spans="1:13">
      <c r="A189" s="18" t="s">
        <v>22</v>
      </c>
      <c r="B189" s="18" t="s">
        <v>365</v>
      </c>
      <c r="C189" s="18" t="s">
        <v>203</v>
      </c>
      <c r="D189" s="18" t="s">
        <v>140</v>
      </c>
      <c r="E189" s="18">
        <v>-59795.96</v>
      </c>
      <c r="F189" s="18">
        <v>0</v>
      </c>
      <c r="G189" s="18">
        <v>42041.52</v>
      </c>
      <c r="H189" s="18">
        <v>-101837.48</v>
      </c>
      <c r="L189" s="20" t="str">
        <f t="shared" si="4"/>
        <v>N/A</v>
      </c>
      <c r="M189" s="20" t="str">
        <f t="shared" si="5"/>
        <v>N/A</v>
      </c>
    </row>
    <row r="190" spans="1:13">
      <c r="A190" s="18" t="s">
        <v>22</v>
      </c>
      <c r="B190" s="18" t="s">
        <v>365</v>
      </c>
      <c r="C190" s="18" t="s">
        <v>203</v>
      </c>
      <c r="D190" s="18" t="s">
        <v>143</v>
      </c>
      <c r="E190" s="18">
        <v>4400897.47</v>
      </c>
      <c r="F190" s="18">
        <v>0</v>
      </c>
      <c r="G190" s="18">
        <v>0</v>
      </c>
      <c r="H190" s="18">
        <v>4400897.47</v>
      </c>
      <c r="L190" s="20" t="str">
        <f t="shared" si="4"/>
        <v>N/A</v>
      </c>
      <c r="M190" s="20" t="str">
        <f t="shared" si="5"/>
        <v>N/A</v>
      </c>
    </row>
    <row r="191" spans="1:13">
      <c r="A191" s="18" t="s">
        <v>22</v>
      </c>
      <c r="B191" s="18" t="s">
        <v>365</v>
      </c>
      <c r="C191" s="18" t="s">
        <v>203</v>
      </c>
      <c r="D191" s="18" t="s">
        <v>146</v>
      </c>
      <c r="E191" s="18">
        <v>557674.42000000004</v>
      </c>
      <c r="F191" s="18">
        <v>0</v>
      </c>
      <c r="G191" s="18">
        <v>0</v>
      </c>
      <c r="H191" s="18">
        <v>557674.42000000004</v>
      </c>
      <c r="L191" s="20" t="str">
        <f t="shared" si="4"/>
        <v>N/A</v>
      </c>
      <c r="M191" s="20" t="str">
        <f t="shared" si="5"/>
        <v>N/A</v>
      </c>
    </row>
    <row r="192" spans="1:13">
      <c r="A192" s="18" t="s">
        <v>22</v>
      </c>
      <c r="B192" s="18" t="s">
        <v>365</v>
      </c>
      <c r="C192" s="18" t="s">
        <v>203</v>
      </c>
      <c r="D192" s="18" t="s">
        <v>147</v>
      </c>
      <c r="E192" s="18">
        <v>-4862149.6500000004</v>
      </c>
      <c r="F192" s="18">
        <v>0</v>
      </c>
      <c r="G192" s="18">
        <v>0</v>
      </c>
      <c r="H192" s="18">
        <v>-4862149.6500000004</v>
      </c>
      <c r="L192" s="20" t="str">
        <f t="shared" si="4"/>
        <v>N/A</v>
      </c>
      <c r="M192" s="20" t="str">
        <f t="shared" si="5"/>
        <v>N/A</v>
      </c>
    </row>
    <row r="193" spans="1:13">
      <c r="A193" s="18" t="s">
        <v>22</v>
      </c>
      <c r="B193" s="18" t="s">
        <v>365</v>
      </c>
      <c r="C193" s="18" t="s">
        <v>203</v>
      </c>
      <c r="D193" s="18" t="s">
        <v>153</v>
      </c>
      <c r="E193" s="18">
        <v>0</v>
      </c>
      <c r="F193" s="18">
        <v>0</v>
      </c>
      <c r="G193" s="18">
        <v>0</v>
      </c>
      <c r="H193" s="18">
        <v>0</v>
      </c>
      <c r="L193" s="20" t="str">
        <f t="shared" si="4"/>
        <v>N/A</v>
      </c>
      <c r="M193" s="20" t="str">
        <f t="shared" si="5"/>
        <v>N/A</v>
      </c>
    </row>
    <row r="194" spans="1:13">
      <c r="A194" s="18" t="s">
        <v>22</v>
      </c>
      <c r="B194" s="18" t="s">
        <v>365</v>
      </c>
      <c r="C194" s="18" t="s">
        <v>203</v>
      </c>
      <c r="D194" s="18" t="s">
        <v>155</v>
      </c>
      <c r="E194" s="18">
        <v>0</v>
      </c>
      <c r="F194" s="18">
        <v>0</v>
      </c>
      <c r="G194" s="18">
        <v>0</v>
      </c>
      <c r="H194" s="18">
        <v>0</v>
      </c>
      <c r="L194" s="20" t="str">
        <f t="shared" si="4"/>
        <v>N/A</v>
      </c>
      <c r="M194" s="20" t="str">
        <f t="shared" si="5"/>
        <v>N/A</v>
      </c>
    </row>
    <row r="195" spans="1:13">
      <c r="A195" s="18" t="s">
        <v>22</v>
      </c>
      <c r="B195" s="18" t="s">
        <v>365</v>
      </c>
      <c r="C195" s="18" t="s">
        <v>203</v>
      </c>
      <c r="D195" s="18" t="s">
        <v>156</v>
      </c>
      <c r="E195" s="18">
        <v>-220.21</v>
      </c>
      <c r="F195" s="18">
        <v>0</v>
      </c>
      <c r="G195" s="18">
        <v>6.38</v>
      </c>
      <c r="H195" s="18">
        <v>-226.59</v>
      </c>
      <c r="L195" s="20" t="str">
        <f t="shared" ref="L195:L258" si="6">+IF(LEFT(D195,1)="1","Asset","N/A")</f>
        <v>N/A</v>
      </c>
      <c r="M195" s="20" t="str">
        <f t="shared" ref="M195:M258" si="7">+IF(L195="asset",IF(H195&lt;0,"Provide Comment","okay"),"N/A")</f>
        <v>N/A</v>
      </c>
    </row>
    <row r="196" spans="1:13">
      <c r="A196" s="18" t="s">
        <v>22</v>
      </c>
      <c r="B196" s="18" t="s">
        <v>365</v>
      </c>
      <c r="C196" s="18" t="s">
        <v>203</v>
      </c>
      <c r="D196" s="18" t="s">
        <v>157</v>
      </c>
      <c r="E196" s="18">
        <v>-2064000.5</v>
      </c>
      <c r="F196" s="18">
        <v>0</v>
      </c>
      <c r="G196" s="18">
        <v>300936.17</v>
      </c>
      <c r="H196" s="18">
        <v>-2364936.67</v>
      </c>
      <c r="L196" s="20" t="str">
        <f t="shared" si="6"/>
        <v>N/A</v>
      </c>
      <c r="M196" s="20" t="str">
        <f t="shared" si="7"/>
        <v>N/A</v>
      </c>
    </row>
    <row r="197" spans="1:13">
      <c r="A197" s="18" t="s">
        <v>22</v>
      </c>
      <c r="B197" s="18" t="s">
        <v>365</v>
      </c>
      <c r="C197" s="18" t="s">
        <v>203</v>
      </c>
      <c r="D197" s="18" t="s">
        <v>145</v>
      </c>
      <c r="E197" s="18">
        <v>0</v>
      </c>
      <c r="F197" s="18">
        <v>1444.2</v>
      </c>
      <c r="G197" s="18">
        <v>0</v>
      </c>
      <c r="H197" s="18">
        <v>1444.2</v>
      </c>
      <c r="L197" s="20" t="str">
        <f t="shared" si="6"/>
        <v>N/A</v>
      </c>
      <c r="M197" s="20" t="str">
        <f t="shared" si="7"/>
        <v>N/A</v>
      </c>
    </row>
    <row r="198" spans="1:13">
      <c r="A198" s="18" t="s">
        <v>22</v>
      </c>
      <c r="B198" s="18" t="s">
        <v>365</v>
      </c>
      <c r="C198" s="18" t="s">
        <v>203</v>
      </c>
      <c r="D198" s="18" t="s">
        <v>96</v>
      </c>
      <c r="E198" s="18">
        <v>42.04</v>
      </c>
      <c r="F198" s="18">
        <v>21.02</v>
      </c>
      <c r="G198" s="18">
        <v>0</v>
      </c>
      <c r="H198" s="18">
        <v>63.06</v>
      </c>
      <c r="L198" s="20" t="str">
        <f t="shared" si="6"/>
        <v>N/A</v>
      </c>
      <c r="M198" s="20" t="str">
        <f t="shared" si="7"/>
        <v>N/A</v>
      </c>
    </row>
    <row r="199" spans="1:13">
      <c r="A199" s="18" t="s">
        <v>22</v>
      </c>
      <c r="B199" s="18" t="s">
        <v>365</v>
      </c>
      <c r="C199" s="18" t="s">
        <v>203</v>
      </c>
      <c r="D199" s="18" t="s">
        <v>104</v>
      </c>
      <c r="E199" s="18">
        <v>95.99</v>
      </c>
      <c r="F199" s="18">
        <v>192.02</v>
      </c>
      <c r="G199" s="18">
        <v>0</v>
      </c>
      <c r="H199" s="18">
        <v>288.01</v>
      </c>
      <c r="L199" s="20" t="str">
        <f t="shared" si="6"/>
        <v>N/A</v>
      </c>
      <c r="M199" s="20" t="str">
        <f t="shared" si="7"/>
        <v>N/A</v>
      </c>
    </row>
    <row r="200" spans="1:13">
      <c r="A200" s="18" t="s">
        <v>22</v>
      </c>
      <c r="B200" s="18" t="s">
        <v>365</v>
      </c>
      <c r="C200" s="18" t="s">
        <v>203</v>
      </c>
      <c r="D200" s="18" t="s">
        <v>359</v>
      </c>
      <c r="E200" s="18">
        <v>4528.8</v>
      </c>
      <c r="F200" s="18">
        <v>42.88</v>
      </c>
      <c r="G200" s="18">
        <v>0</v>
      </c>
      <c r="H200" s="18">
        <v>4571.68</v>
      </c>
      <c r="L200" s="20" t="str">
        <f t="shared" si="6"/>
        <v>N/A</v>
      </c>
      <c r="M200" s="20" t="str">
        <f t="shared" si="7"/>
        <v>N/A</v>
      </c>
    </row>
    <row r="201" spans="1:13">
      <c r="A201" s="18" t="s">
        <v>22</v>
      </c>
      <c r="B201" s="18" t="s">
        <v>365</v>
      </c>
      <c r="C201" s="18" t="s">
        <v>203</v>
      </c>
      <c r="D201" s="18" t="s">
        <v>113</v>
      </c>
      <c r="E201" s="18">
        <v>6164.52</v>
      </c>
      <c r="F201" s="18">
        <v>1688.3</v>
      </c>
      <c r="G201" s="18">
        <v>0</v>
      </c>
      <c r="H201" s="18">
        <v>7852.82</v>
      </c>
      <c r="L201" s="20" t="str">
        <f t="shared" si="6"/>
        <v>N/A</v>
      </c>
      <c r="M201" s="20" t="str">
        <f t="shared" si="7"/>
        <v>N/A</v>
      </c>
    </row>
    <row r="202" spans="1:13">
      <c r="A202" s="18" t="s">
        <v>22</v>
      </c>
      <c r="B202" s="18" t="s">
        <v>365</v>
      </c>
      <c r="C202" s="18" t="s">
        <v>203</v>
      </c>
      <c r="D202" s="18" t="s">
        <v>150</v>
      </c>
      <c r="E202" s="18">
        <v>1920.03</v>
      </c>
      <c r="F202" s="18">
        <v>115.92</v>
      </c>
      <c r="G202" s="18">
        <v>0</v>
      </c>
      <c r="H202" s="18">
        <v>2035.95</v>
      </c>
      <c r="L202" s="20" t="str">
        <f t="shared" si="6"/>
        <v>N/A</v>
      </c>
      <c r="M202" s="20" t="str">
        <f t="shared" si="7"/>
        <v>N/A</v>
      </c>
    </row>
    <row r="203" spans="1:13">
      <c r="A203" s="18" t="s">
        <v>22</v>
      </c>
      <c r="B203" s="18" t="s">
        <v>365</v>
      </c>
      <c r="C203" s="18" t="s">
        <v>203</v>
      </c>
      <c r="D203" s="18" t="s">
        <v>120</v>
      </c>
      <c r="E203" s="18">
        <v>2.88</v>
      </c>
      <c r="F203" s="18">
        <v>0</v>
      </c>
      <c r="G203" s="18">
        <v>0</v>
      </c>
      <c r="H203" s="18">
        <v>2.88</v>
      </c>
      <c r="L203" s="20" t="str">
        <f t="shared" si="6"/>
        <v>N/A</v>
      </c>
      <c r="M203" s="20" t="str">
        <f t="shared" si="7"/>
        <v>N/A</v>
      </c>
    </row>
    <row r="204" spans="1:13">
      <c r="A204" s="18" t="s">
        <v>22</v>
      </c>
      <c r="B204" s="18" t="s">
        <v>365</v>
      </c>
      <c r="C204" s="18" t="s">
        <v>203</v>
      </c>
      <c r="D204" s="18" t="s">
        <v>123</v>
      </c>
      <c r="E204" s="18">
        <v>1798.15</v>
      </c>
      <c r="F204" s="18">
        <v>915.15</v>
      </c>
      <c r="G204" s="18">
        <v>0</v>
      </c>
      <c r="H204" s="18">
        <v>2713.3</v>
      </c>
      <c r="L204" s="20" t="str">
        <f t="shared" si="6"/>
        <v>N/A</v>
      </c>
      <c r="M204" s="20" t="str">
        <f t="shared" si="7"/>
        <v>N/A</v>
      </c>
    </row>
    <row r="205" spans="1:13">
      <c r="A205" s="18" t="s">
        <v>22</v>
      </c>
      <c r="B205" s="18" t="s">
        <v>365</v>
      </c>
      <c r="C205" s="18" t="s">
        <v>203</v>
      </c>
      <c r="D205" s="18" t="s">
        <v>126</v>
      </c>
      <c r="E205" s="18">
        <v>267.67</v>
      </c>
      <c r="F205" s="18">
        <v>51.58</v>
      </c>
      <c r="G205" s="18">
        <v>0</v>
      </c>
      <c r="H205" s="18">
        <v>319.25</v>
      </c>
      <c r="L205" s="20" t="str">
        <f t="shared" si="6"/>
        <v>N/A</v>
      </c>
      <c r="M205" s="20" t="str">
        <f t="shared" si="7"/>
        <v>N/A</v>
      </c>
    </row>
    <row r="206" spans="1:13">
      <c r="A206" s="18" t="s">
        <v>22</v>
      </c>
      <c r="B206" s="18" t="s">
        <v>365</v>
      </c>
      <c r="C206" s="18" t="s">
        <v>203</v>
      </c>
      <c r="D206" s="18" t="s">
        <v>129</v>
      </c>
      <c r="E206" s="18">
        <v>249.95</v>
      </c>
      <c r="F206" s="18">
        <v>71.13</v>
      </c>
      <c r="G206" s="18">
        <v>0</v>
      </c>
      <c r="H206" s="18">
        <v>321.08</v>
      </c>
      <c r="L206" s="20" t="str">
        <f t="shared" si="6"/>
        <v>N/A</v>
      </c>
      <c r="M206" s="20" t="str">
        <f t="shared" si="7"/>
        <v>N/A</v>
      </c>
    </row>
    <row r="207" spans="1:13">
      <c r="A207" s="18" t="s">
        <v>22</v>
      </c>
      <c r="B207" s="18" t="s">
        <v>365</v>
      </c>
      <c r="C207" s="18" t="s">
        <v>203</v>
      </c>
      <c r="D207" s="18" t="s">
        <v>131</v>
      </c>
      <c r="E207" s="18">
        <v>634.88</v>
      </c>
      <c r="F207" s="18">
        <v>453.16</v>
      </c>
      <c r="G207" s="18">
        <v>0</v>
      </c>
      <c r="H207" s="18">
        <v>1088.04</v>
      </c>
      <c r="L207" s="20" t="str">
        <f t="shared" si="6"/>
        <v>N/A</v>
      </c>
      <c r="M207" s="20" t="str">
        <f t="shared" si="7"/>
        <v>N/A</v>
      </c>
    </row>
    <row r="208" spans="1:13">
      <c r="A208" s="18" t="s">
        <v>22</v>
      </c>
      <c r="B208" s="18" t="s">
        <v>365</v>
      </c>
      <c r="C208" s="18" t="s">
        <v>203</v>
      </c>
      <c r="D208" s="18" t="s">
        <v>162</v>
      </c>
      <c r="E208" s="18">
        <v>0</v>
      </c>
      <c r="F208" s="18">
        <v>0</v>
      </c>
      <c r="G208" s="18">
        <v>0</v>
      </c>
      <c r="H208" s="18">
        <v>0</v>
      </c>
      <c r="L208" s="20" t="str">
        <f t="shared" si="6"/>
        <v>N/A</v>
      </c>
      <c r="M208" s="20" t="str">
        <f t="shared" si="7"/>
        <v>N/A</v>
      </c>
    </row>
    <row r="209" spans="1:13">
      <c r="A209" s="18" t="s">
        <v>22</v>
      </c>
      <c r="B209" s="18" t="s">
        <v>365</v>
      </c>
      <c r="C209" s="18" t="s">
        <v>203</v>
      </c>
      <c r="D209" s="18" t="s">
        <v>134</v>
      </c>
      <c r="E209" s="18">
        <v>45.57</v>
      </c>
      <c r="F209" s="18">
        <v>56.92</v>
      </c>
      <c r="G209" s="18">
        <v>0</v>
      </c>
      <c r="H209" s="18">
        <v>102.49</v>
      </c>
      <c r="L209" s="20" t="str">
        <f t="shared" si="6"/>
        <v>N/A</v>
      </c>
      <c r="M209" s="20" t="str">
        <f t="shared" si="7"/>
        <v>N/A</v>
      </c>
    </row>
    <row r="210" spans="1:13">
      <c r="A210" s="18" t="s">
        <v>22</v>
      </c>
      <c r="B210" s="18" t="s">
        <v>365</v>
      </c>
      <c r="C210" s="18" t="s">
        <v>203</v>
      </c>
      <c r="D210" s="18" t="s">
        <v>139</v>
      </c>
      <c r="E210" s="18">
        <v>187.78</v>
      </c>
      <c r="F210" s="18">
        <v>93.89</v>
      </c>
      <c r="G210" s="18">
        <v>0</v>
      </c>
      <c r="H210" s="18">
        <v>281.67</v>
      </c>
      <c r="L210" s="20" t="str">
        <f t="shared" si="6"/>
        <v>N/A</v>
      </c>
      <c r="M210" s="20" t="str">
        <f t="shared" si="7"/>
        <v>N/A</v>
      </c>
    </row>
    <row r="211" spans="1:13">
      <c r="A211" s="18" t="s">
        <v>22</v>
      </c>
      <c r="B211" s="18" t="s">
        <v>365</v>
      </c>
      <c r="C211" s="18" t="s">
        <v>203</v>
      </c>
      <c r="D211" s="18" t="s">
        <v>142</v>
      </c>
      <c r="E211" s="18">
        <v>155.26</v>
      </c>
      <c r="F211" s="18">
        <v>91.7</v>
      </c>
      <c r="G211" s="18">
        <v>0</v>
      </c>
      <c r="H211" s="18">
        <v>246.96</v>
      </c>
      <c r="L211" s="20" t="str">
        <f t="shared" si="6"/>
        <v>N/A</v>
      </c>
      <c r="M211" s="20" t="str">
        <f t="shared" si="7"/>
        <v>N/A</v>
      </c>
    </row>
    <row r="212" spans="1:13">
      <c r="A212" s="18" t="s">
        <v>22</v>
      </c>
      <c r="B212" s="18" t="s">
        <v>365</v>
      </c>
      <c r="C212" s="18" t="s">
        <v>203</v>
      </c>
      <c r="D212" s="18" t="s">
        <v>163</v>
      </c>
      <c r="E212" s="18">
        <v>0</v>
      </c>
      <c r="F212" s="18">
        <v>0</v>
      </c>
      <c r="G212" s="18">
        <v>0</v>
      </c>
      <c r="H212" s="18">
        <v>0</v>
      </c>
      <c r="L212" s="20" t="str">
        <f t="shared" si="6"/>
        <v>N/A</v>
      </c>
      <c r="M212" s="20" t="str">
        <f t="shared" si="7"/>
        <v>N/A</v>
      </c>
    </row>
    <row r="213" spans="1:13">
      <c r="A213" s="18" t="s">
        <v>22</v>
      </c>
      <c r="B213" s="18" t="s">
        <v>365</v>
      </c>
      <c r="C213" s="18" t="s">
        <v>205</v>
      </c>
      <c r="D213" s="18" t="s">
        <v>87</v>
      </c>
      <c r="E213" s="18">
        <v>49.54</v>
      </c>
      <c r="F213" s="18">
        <v>1661.15</v>
      </c>
      <c r="G213" s="18">
        <v>214.69</v>
      </c>
      <c r="H213" s="18">
        <v>1496</v>
      </c>
      <c r="L213" s="20" t="str">
        <f t="shared" si="6"/>
        <v>Asset</v>
      </c>
      <c r="M213" s="20" t="str">
        <f t="shared" si="7"/>
        <v>okay</v>
      </c>
    </row>
    <row r="214" spans="1:13">
      <c r="A214" s="18" t="s">
        <v>22</v>
      </c>
      <c r="B214" s="18" t="s">
        <v>365</v>
      </c>
      <c r="C214" s="18" t="s">
        <v>205</v>
      </c>
      <c r="D214" s="18" t="s">
        <v>97</v>
      </c>
      <c r="E214" s="18">
        <v>813791.7</v>
      </c>
      <c r="F214" s="18">
        <v>0</v>
      </c>
      <c r="G214" s="18">
        <v>0</v>
      </c>
      <c r="H214" s="18">
        <v>813791.7</v>
      </c>
      <c r="L214" s="20" t="str">
        <f t="shared" si="6"/>
        <v>Asset</v>
      </c>
      <c r="M214" s="20" t="str">
        <f t="shared" si="7"/>
        <v>okay</v>
      </c>
    </row>
    <row r="215" spans="1:13">
      <c r="A215" s="18" t="s">
        <v>22</v>
      </c>
      <c r="B215" s="18" t="s">
        <v>365</v>
      </c>
      <c r="C215" s="18" t="s">
        <v>205</v>
      </c>
      <c r="D215" s="18" t="s">
        <v>105</v>
      </c>
      <c r="E215" s="18">
        <v>253317.78</v>
      </c>
      <c r="F215" s="18">
        <v>11888.83</v>
      </c>
      <c r="G215" s="18">
        <v>0</v>
      </c>
      <c r="H215" s="18">
        <v>265206.61</v>
      </c>
      <c r="L215" s="20" t="str">
        <f t="shared" si="6"/>
        <v>Asset</v>
      </c>
      <c r="M215" s="20" t="str">
        <f t="shared" si="7"/>
        <v>okay</v>
      </c>
    </row>
    <row r="216" spans="1:13">
      <c r="A216" s="18" t="s">
        <v>22</v>
      </c>
      <c r="B216" s="18" t="s">
        <v>365</v>
      </c>
      <c r="C216" s="18" t="s">
        <v>205</v>
      </c>
      <c r="D216" s="18" t="s">
        <v>108</v>
      </c>
      <c r="E216" s="18">
        <v>0</v>
      </c>
      <c r="F216" s="18">
        <v>0</v>
      </c>
      <c r="G216" s="18">
        <v>0</v>
      </c>
      <c r="H216" s="18">
        <v>0</v>
      </c>
      <c r="L216" s="20" t="str">
        <f t="shared" si="6"/>
        <v>Asset</v>
      </c>
      <c r="M216" s="20" t="str">
        <f t="shared" si="7"/>
        <v>okay</v>
      </c>
    </row>
    <row r="217" spans="1:13">
      <c r="A217" s="18" t="s">
        <v>22</v>
      </c>
      <c r="B217" s="18" t="s">
        <v>365</v>
      </c>
      <c r="C217" s="18" t="s">
        <v>205</v>
      </c>
      <c r="D217" s="18" t="s">
        <v>116</v>
      </c>
      <c r="E217" s="18">
        <v>-10.14</v>
      </c>
      <c r="F217" s="18">
        <v>0</v>
      </c>
      <c r="G217" s="18">
        <v>0</v>
      </c>
      <c r="H217" s="18">
        <v>-10.14</v>
      </c>
      <c r="L217" s="20" t="str">
        <f t="shared" si="6"/>
        <v>N/A</v>
      </c>
      <c r="M217" s="20" t="str">
        <f t="shared" si="7"/>
        <v>N/A</v>
      </c>
    </row>
    <row r="218" spans="1:13">
      <c r="A218" s="18" t="s">
        <v>22</v>
      </c>
      <c r="B218" s="18" t="s">
        <v>365</v>
      </c>
      <c r="C218" s="18" t="s">
        <v>205</v>
      </c>
      <c r="D218" s="18" t="s">
        <v>121</v>
      </c>
      <c r="E218" s="18">
        <v>-22.25</v>
      </c>
      <c r="F218" s="18">
        <v>14.84</v>
      </c>
      <c r="G218" s="18">
        <v>3.71</v>
      </c>
      <c r="H218" s="18">
        <v>-11.12</v>
      </c>
      <c r="L218" s="20" t="str">
        <f t="shared" si="6"/>
        <v>N/A</v>
      </c>
      <c r="M218" s="20" t="str">
        <f t="shared" si="7"/>
        <v>N/A</v>
      </c>
    </row>
    <row r="219" spans="1:13">
      <c r="A219" s="18" t="s">
        <v>22</v>
      </c>
      <c r="B219" s="18" t="s">
        <v>365</v>
      </c>
      <c r="C219" s="18" t="s">
        <v>205</v>
      </c>
      <c r="D219" s="18" t="s">
        <v>124</v>
      </c>
      <c r="E219" s="18">
        <v>-4.55</v>
      </c>
      <c r="F219" s="18">
        <v>0</v>
      </c>
      <c r="G219" s="18">
        <v>2.83</v>
      </c>
      <c r="H219" s="18">
        <v>-7.38</v>
      </c>
      <c r="L219" s="20" t="str">
        <f t="shared" si="6"/>
        <v>N/A</v>
      </c>
      <c r="M219" s="20" t="str">
        <f t="shared" si="7"/>
        <v>N/A</v>
      </c>
    </row>
    <row r="220" spans="1:13">
      <c r="A220" s="18" t="s">
        <v>22</v>
      </c>
      <c r="B220" s="18" t="s">
        <v>365</v>
      </c>
      <c r="C220" s="18" t="s">
        <v>205</v>
      </c>
      <c r="D220" s="18" t="s">
        <v>127</v>
      </c>
      <c r="E220" s="18">
        <v>0</v>
      </c>
      <c r="F220" s="18">
        <v>0</v>
      </c>
      <c r="G220" s="18">
        <v>0</v>
      </c>
      <c r="H220" s="18">
        <v>0</v>
      </c>
      <c r="L220" s="20" t="str">
        <f t="shared" si="6"/>
        <v>N/A</v>
      </c>
      <c r="M220" s="20" t="str">
        <f t="shared" si="7"/>
        <v>N/A</v>
      </c>
    </row>
    <row r="221" spans="1:13">
      <c r="A221" s="18" t="s">
        <v>22</v>
      </c>
      <c r="B221" s="18" t="s">
        <v>365</v>
      </c>
      <c r="C221" s="18" t="s">
        <v>205</v>
      </c>
      <c r="D221" s="18" t="s">
        <v>95</v>
      </c>
      <c r="E221" s="18">
        <v>-1.1000000000000001</v>
      </c>
      <c r="F221" s="18">
        <v>0.28000000000000003</v>
      </c>
      <c r="G221" s="18">
        <v>0.83</v>
      </c>
      <c r="H221" s="18">
        <v>-1.65</v>
      </c>
      <c r="L221" s="20" t="str">
        <f t="shared" si="6"/>
        <v>N/A</v>
      </c>
      <c r="M221" s="20" t="str">
        <f t="shared" si="7"/>
        <v>N/A</v>
      </c>
    </row>
    <row r="222" spans="1:13">
      <c r="A222" s="18" t="s">
        <v>22</v>
      </c>
      <c r="B222" s="18" t="s">
        <v>365</v>
      </c>
      <c r="C222" s="18" t="s">
        <v>205</v>
      </c>
      <c r="D222" s="18" t="s">
        <v>132</v>
      </c>
      <c r="E222" s="18">
        <v>0</v>
      </c>
      <c r="F222" s="18">
        <v>0</v>
      </c>
      <c r="G222" s="18">
        <v>0</v>
      </c>
      <c r="H222" s="18">
        <v>0</v>
      </c>
      <c r="L222" s="20" t="str">
        <f t="shared" si="6"/>
        <v>N/A</v>
      </c>
      <c r="M222" s="20" t="str">
        <f t="shared" si="7"/>
        <v>N/A</v>
      </c>
    </row>
    <row r="223" spans="1:13">
      <c r="A223" s="18" t="s">
        <v>22</v>
      </c>
      <c r="B223" s="18" t="s">
        <v>365</v>
      </c>
      <c r="C223" s="18" t="s">
        <v>205</v>
      </c>
      <c r="D223" s="18" t="s">
        <v>135</v>
      </c>
      <c r="E223" s="18">
        <v>-987654.32</v>
      </c>
      <c r="F223" s="18">
        <v>0</v>
      </c>
      <c r="G223" s="18">
        <v>0</v>
      </c>
      <c r="H223" s="18">
        <v>-987654.32</v>
      </c>
      <c r="L223" s="20" t="str">
        <f t="shared" si="6"/>
        <v>N/A</v>
      </c>
      <c r="M223" s="20" t="str">
        <f t="shared" si="7"/>
        <v>N/A</v>
      </c>
    </row>
    <row r="224" spans="1:13">
      <c r="A224" s="18" t="s">
        <v>22</v>
      </c>
      <c r="B224" s="18" t="s">
        <v>365</v>
      </c>
      <c r="C224" s="18" t="s">
        <v>205</v>
      </c>
      <c r="D224" s="18" t="s">
        <v>140</v>
      </c>
      <c r="E224" s="18">
        <v>-2362.31</v>
      </c>
      <c r="F224" s="18">
        <v>0</v>
      </c>
      <c r="G224" s="18">
        <v>1660.9</v>
      </c>
      <c r="H224" s="18">
        <v>-4023.21</v>
      </c>
      <c r="L224" s="20" t="str">
        <f t="shared" si="6"/>
        <v>N/A</v>
      </c>
      <c r="M224" s="20" t="str">
        <f t="shared" si="7"/>
        <v>N/A</v>
      </c>
    </row>
    <row r="225" spans="1:13">
      <c r="A225" s="18" t="s">
        <v>22</v>
      </c>
      <c r="B225" s="18" t="s">
        <v>365</v>
      </c>
      <c r="C225" s="18" t="s">
        <v>205</v>
      </c>
      <c r="D225" s="18" t="s">
        <v>143</v>
      </c>
      <c r="E225" s="18">
        <v>173862.62</v>
      </c>
      <c r="F225" s="18">
        <v>0</v>
      </c>
      <c r="G225" s="18">
        <v>0</v>
      </c>
      <c r="H225" s="18">
        <v>173862.62</v>
      </c>
      <c r="L225" s="20" t="str">
        <f t="shared" si="6"/>
        <v>N/A</v>
      </c>
      <c r="M225" s="20" t="str">
        <f t="shared" si="7"/>
        <v>N/A</v>
      </c>
    </row>
    <row r="226" spans="1:13">
      <c r="A226" s="18" t="s">
        <v>22</v>
      </c>
      <c r="B226" s="18" t="s">
        <v>365</v>
      </c>
      <c r="C226" s="18" t="s">
        <v>205</v>
      </c>
      <c r="D226" s="18" t="s">
        <v>146</v>
      </c>
      <c r="E226" s="18">
        <v>22031.59</v>
      </c>
      <c r="F226" s="18">
        <v>0</v>
      </c>
      <c r="G226" s="18">
        <v>0</v>
      </c>
      <c r="H226" s="18">
        <v>22031.59</v>
      </c>
      <c r="L226" s="20" t="str">
        <f t="shared" si="6"/>
        <v>N/A</v>
      </c>
      <c r="M226" s="20" t="str">
        <f t="shared" si="7"/>
        <v>N/A</v>
      </c>
    </row>
    <row r="227" spans="1:13">
      <c r="A227" s="18" t="s">
        <v>22</v>
      </c>
      <c r="B227" s="18" t="s">
        <v>365</v>
      </c>
      <c r="C227" s="18" t="s">
        <v>205</v>
      </c>
      <c r="D227" s="18" t="s">
        <v>147</v>
      </c>
      <c r="E227" s="18">
        <v>-192084.9</v>
      </c>
      <c r="F227" s="18">
        <v>0</v>
      </c>
      <c r="G227" s="18">
        <v>0</v>
      </c>
      <c r="H227" s="18">
        <v>-192084.9</v>
      </c>
      <c r="L227" s="20" t="str">
        <f t="shared" si="6"/>
        <v>N/A</v>
      </c>
      <c r="M227" s="20" t="str">
        <f t="shared" si="7"/>
        <v>N/A</v>
      </c>
    </row>
    <row r="228" spans="1:13">
      <c r="A228" s="18" t="s">
        <v>22</v>
      </c>
      <c r="B228" s="18" t="s">
        <v>365</v>
      </c>
      <c r="C228" s="18" t="s">
        <v>205</v>
      </c>
      <c r="D228" s="18" t="s">
        <v>153</v>
      </c>
      <c r="E228" s="18">
        <v>0</v>
      </c>
      <c r="F228" s="18">
        <v>0</v>
      </c>
      <c r="G228" s="18">
        <v>0</v>
      </c>
      <c r="H228" s="18">
        <v>0</v>
      </c>
      <c r="L228" s="20" t="str">
        <f t="shared" si="6"/>
        <v>N/A</v>
      </c>
      <c r="M228" s="20" t="str">
        <f t="shared" si="7"/>
        <v>N/A</v>
      </c>
    </row>
    <row r="229" spans="1:13">
      <c r="A229" s="18" t="s">
        <v>22</v>
      </c>
      <c r="B229" s="18" t="s">
        <v>365</v>
      </c>
      <c r="C229" s="18" t="s">
        <v>205</v>
      </c>
      <c r="D229" s="18" t="s">
        <v>155</v>
      </c>
      <c r="E229" s="18">
        <v>0</v>
      </c>
      <c r="F229" s="18">
        <v>0</v>
      </c>
      <c r="G229" s="18">
        <v>0</v>
      </c>
      <c r="H229" s="18">
        <v>0</v>
      </c>
      <c r="L229" s="20" t="str">
        <f t="shared" si="6"/>
        <v>N/A</v>
      </c>
      <c r="M229" s="20" t="str">
        <f t="shared" si="7"/>
        <v>N/A</v>
      </c>
    </row>
    <row r="230" spans="1:13">
      <c r="A230" s="18" t="s">
        <v>22</v>
      </c>
      <c r="B230" s="18" t="s">
        <v>365</v>
      </c>
      <c r="C230" s="18" t="s">
        <v>205</v>
      </c>
      <c r="D230" s="18" t="s">
        <v>156</v>
      </c>
      <c r="E230" s="18">
        <v>-8.6999999999999993</v>
      </c>
      <c r="F230" s="18">
        <v>0</v>
      </c>
      <c r="G230" s="18">
        <v>0.25</v>
      </c>
      <c r="H230" s="18">
        <v>-8.9499999999999993</v>
      </c>
      <c r="L230" s="20" t="str">
        <f t="shared" si="6"/>
        <v>N/A</v>
      </c>
      <c r="M230" s="20" t="str">
        <f t="shared" si="7"/>
        <v>N/A</v>
      </c>
    </row>
    <row r="231" spans="1:13">
      <c r="A231" s="18" t="s">
        <v>22</v>
      </c>
      <c r="B231" s="18" t="s">
        <v>365</v>
      </c>
      <c r="C231" s="18" t="s">
        <v>205</v>
      </c>
      <c r="D231" s="18" t="s">
        <v>157</v>
      </c>
      <c r="E231" s="18">
        <v>-81540.759999999995</v>
      </c>
      <c r="F231" s="18">
        <v>0</v>
      </c>
      <c r="G231" s="18">
        <v>11888.83</v>
      </c>
      <c r="H231" s="18">
        <v>-93429.59</v>
      </c>
      <c r="L231" s="20" t="str">
        <f t="shared" si="6"/>
        <v>N/A</v>
      </c>
      <c r="M231" s="20" t="str">
        <f t="shared" si="7"/>
        <v>N/A</v>
      </c>
    </row>
    <row r="232" spans="1:13">
      <c r="A232" s="18" t="s">
        <v>22</v>
      </c>
      <c r="B232" s="18" t="s">
        <v>365</v>
      </c>
      <c r="C232" s="18" t="s">
        <v>205</v>
      </c>
      <c r="D232" s="18" t="s">
        <v>145</v>
      </c>
      <c r="E232" s="18">
        <v>0</v>
      </c>
      <c r="F232" s="18">
        <v>57.05</v>
      </c>
      <c r="G232" s="18">
        <v>0</v>
      </c>
      <c r="H232" s="18">
        <v>57.05</v>
      </c>
      <c r="L232" s="20" t="str">
        <f t="shared" si="6"/>
        <v>N/A</v>
      </c>
      <c r="M232" s="20" t="str">
        <f t="shared" si="7"/>
        <v>N/A</v>
      </c>
    </row>
    <row r="233" spans="1:13">
      <c r="A233" s="18" t="s">
        <v>22</v>
      </c>
      <c r="B233" s="18" t="s">
        <v>365</v>
      </c>
      <c r="C233" s="18" t="s">
        <v>205</v>
      </c>
      <c r="D233" s="18" t="s">
        <v>96</v>
      </c>
      <c r="E233" s="18">
        <v>1.66</v>
      </c>
      <c r="F233" s="18">
        <v>0.83</v>
      </c>
      <c r="G233" s="18">
        <v>0</v>
      </c>
      <c r="H233" s="18">
        <v>2.4900000000000002</v>
      </c>
      <c r="L233" s="20" t="str">
        <f t="shared" si="6"/>
        <v>N/A</v>
      </c>
      <c r="M233" s="20" t="str">
        <f t="shared" si="7"/>
        <v>N/A</v>
      </c>
    </row>
    <row r="234" spans="1:13">
      <c r="A234" s="18" t="s">
        <v>22</v>
      </c>
      <c r="B234" s="18" t="s">
        <v>365</v>
      </c>
      <c r="C234" s="18" t="s">
        <v>205</v>
      </c>
      <c r="D234" s="18" t="s">
        <v>104</v>
      </c>
      <c r="E234" s="18">
        <v>3.79</v>
      </c>
      <c r="F234" s="18">
        <v>7.59</v>
      </c>
      <c r="G234" s="18">
        <v>0</v>
      </c>
      <c r="H234" s="18">
        <v>11.38</v>
      </c>
      <c r="L234" s="20" t="str">
        <f t="shared" si="6"/>
        <v>N/A</v>
      </c>
      <c r="M234" s="20" t="str">
        <f t="shared" si="7"/>
        <v>N/A</v>
      </c>
    </row>
    <row r="235" spans="1:13">
      <c r="A235" s="18" t="s">
        <v>22</v>
      </c>
      <c r="B235" s="18" t="s">
        <v>365</v>
      </c>
      <c r="C235" s="18" t="s">
        <v>205</v>
      </c>
      <c r="D235" s="18" t="s">
        <v>359</v>
      </c>
      <c r="E235" s="18">
        <v>178.91</v>
      </c>
      <c r="F235" s="18">
        <v>1.69</v>
      </c>
      <c r="G235" s="18">
        <v>0</v>
      </c>
      <c r="H235" s="18">
        <v>180.6</v>
      </c>
      <c r="L235" s="20" t="str">
        <f t="shared" si="6"/>
        <v>N/A</v>
      </c>
      <c r="M235" s="20" t="str">
        <f t="shared" si="7"/>
        <v>N/A</v>
      </c>
    </row>
    <row r="236" spans="1:13">
      <c r="A236" s="18" t="s">
        <v>22</v>
      </c>
      <c r="B236" s="18" t="s">
        <v>365</v>
      </c>
      <c r="C236" s="18" t="s">
        <v>205</v>
      </c>
      <c r="D236" s="18" t="s">
        <v>113</v>
      </c>
      <c r="E236" s="18">
        <v>243.54</v>
      </c>
      <c r="F236" s="18">
        <v>66.7</v>
      </c>
      <c r="G236" s="18">
        <v>0</v>
      </c>
      <c r="H236" s="18">
        <v>310.24</v>
      </c>
      <c r="L236" s="20" t="str">
        <f t="shared" si="6"/>
        <v>N/A</v>
      </c>
      <c r="M236" s="20" t="str">
        <f t="shared" si="7"/>
        <v>N/A</v>
      </c>
    </row>
    <row r="237" spans="1:13">
      <c r="A237" s="18" t="s">
        <v>22</v>
      </c>
      <c r="B237" s="18" t="s">
        <v>365</v>
      </c>
      <c r="C237" s="18" t="s">
        <v>205</v>
      </c>
      <c r="D237" s="18" t="s">
        <v>150</v>
      </c>
      <c r="E237" s="18">
        <v>75.86</v>
      </c>
      <c r="F237" s="18">
        <v>4.58</v>
      </c>
      <c r="G237" s="18">
        <v>0</v>
      </c>
      <c r="H237" s="18">
        <v>80.44</v>
      </c>
      <c r="L237" s="20" t="str">
        <f t="shared" si="6"/>
        <v>N/A</v>
      </c>
      <c r="M237" s="20" t="str">
        <f t="shared" si="7"/>
        <v>N/A</v>
      </c>
    </row>
    <row r="238" spans="1:13">
      <c r="A238" s="18" t="s">
        <v>22</v>
      </c>
      <c r="B238" s="18" t="s">
        <v>365</v>
      </c>
      <c r="C238" s="18" t="s">
        <v>205</v>
      </c>
      <c r="D238" s="18" t="s">
        <v>120</v>
      </c>
      <c r="E238" s="18">
        <v>0.11</v>
      </c>
      <c r="F238" s="18">
        <v>0</v>
      </c>
      <c r="G238" s="18">
        <v>0</v>
      </c>
      <c r="H238" s="18">
        <v>0.11</v>
      </c>
      <c r="L238" s="20" t="str">
        <f t="shared" si="6"/>
        <v>N/A</v>
      </c>
      <c r="M238" s="20" t="str">
        <f t="shared" si="7"/>
        <v>N/A</v>
      </c>
    </row>
    <row r="239" spans="1:13">
      <c r="A239" s="18" t="s">
        <v>22</v>
      </c>
      <c r="B239" s="18" t="s">
        <v>365</v>
      </c>
      <c r="C239" s="18" t="s">
        <v>205</v>
      </c>
      <c r="D239" s="18" t="s">
        <v>123</v>
      </c>
      <c r="E239" s="18">
        <v>71.03</v>
      </c>
      <c r="F239" s="18">
        <v>36.159999999999997</v>
      </c>
      <c r="G239" s="18">
        <v>0</v>
      </c>
      <c r="H239" s="18">
        <v>107.19</v>
      </c>
      <c r="L239" s="20" t="str">
        <f t="shared" si="6"/>
        <v>N/A</v>
      </c>
      <c r="M239" s="20" t="str">
        <f t="shared" si="7"/>
        <v>N/A</v>
      </c>
    </row>
    <row r="240" spans="1:13">
      <c r="A240" s="18" t="s">
        <v>22</v>
      </c>
      <c r="B240" s="18" t="s">
        <v>365</v>
      </c>
      <c r="C240" s="18" t="s">
        <v>205</v>
      </c>
      <c r="D240" s="18" t="s">
        <v>126</v>
      </c>
      <c r="E240" s="18">
        <v>10.58</v>
      </c>
      <c r="F240" s="18">
        <v>2.04</v>
      </c>
      <c r="G240" s="18">
        <v>0</v>
      </c>
      <c r="H240" s="18">
        <v>12.62</v>
      </c>
      <c r="L240" s="20" t="str">
        <f t="shared" si="6"/>
        <v>N/A</v>
      </c>
      <c r="M240" s="20" t="str">
        <f t="shared" si="7"/>
        <v>N/A</v>
      </c>
    </row>
    <row r="241" spans="1:13">
      <c r="A241" s="18" t="s">
        <v>22</v>
      </c>
      <c r="B241" s="18" t="s">
        <v>365</v>
      </c>
      <c r="C241" s="18" t="s">
        <v>205</v>
      </c>
      <c r="D241" s="18" t="s">
        <v>129</v>
      </c>
      <c r="E241" s="18">
        <v>9.8800000000000008</v>
      </c>
      <c r="F241" s="18">
        <v>2.81</v>
      </c>
      <c r="G241" s="18">
        <v>0</v>
      </c>
      <c r="H241" s="18">
        <v>12.69</v>
      </c>
      <c r="L241" s="20" t="str">
        <f t="shared" si="6"/>
        <v>N/A</v>
      </c>
      <c r="M241" s="20" t="str">
        <f t="shared" si="7"/>
        <v>N/A</v>
      </c>
    </row>
    <row r="242" spans="1:13">
      <c r="A242" s="18" t="s">
        <v>22</v>
      </c>
      <c r="B242" s="18" t="s">
        <v>365</v>
      </c>
      <c r="C242" s="18" t="s">
        <v>205</v>
      </c>
      <c r="D242" s="18" t="s">
        <v>131</v>
      </c>
      <c r="E242" s="18">
        <v>25.09</v>
      </c>
      <c r="F242" s="18">
        <v>17.91</v>
      </c>
      <c r="G242" s="18">
        <v>0</v>
      </c>
      <c r="H242" s="18">
        <v>43</v>
      </c>
      <c r="L242" s="20" t="str">
        <f t="shared" si="6"/>
        <v>N/A</v>
      </c>
      <c r="M242" s="20" t="str">
        <f t="shared" si="7"/>
        <v>N/A</v>
      </c>
    </row>
    <row r="243" spans="1:13">
      <c r="A243" s="18" t="s">
        <v>22</v>
      </c>
      <c r="B243" s="18" t="s">
        <v>365</v>
      </c>
      <c r="C243" s="18" t="s">
        <v>205</v>
      </c>
      <c r="D243" s="18" t="s">
        <v>162</v>
      </c>
      <c r="E243" s="18">
        <v>0</v>
      </c>
      <c r="F243" s="18">
        <v>0</v>
      </c>
      <c r="G243" s="18">
        <v>0</v>
      </c>
      <c r="H243" s="18">
        <v>0</v>
      </c>
      <c r="L243" s="20" t="str">
        <f t="shared" si="6"/>
        <v>N/A</v>
      </c>
      <c r="M243" s="20" t="str">
        <f t="shared" si="7"/>
        <v>N/A</v>
      </c>
    </row>
    <row r="244" spans="1:13">
      <c r="A244" s="18" t="s">
        <v>22</v>
      </c>
      <c r="B244" s="18" t="s">
        <v>365</v>
      </c>
      <c r="C244" s="18" t="s">
        <v>205</v>
      </c>
      <c r="D244" s="18" t="s">
        <v>134</v>
      </c>
      <c r="E244" s="18">
        <v>1.8</v>
      </c>
      <c r="F244" s="18">
        <v>2.25</v>
      </c>
      <c r="G244" s="18">
        <v>0</v>
      </c>
      <c r="H244" s="18">
        <v>4.05</v>
      </c>
      <c r="L244" s="20" t="str">
        <f t="shared" si="6"/>
        <v>N/A</v>
      </c>
      <c r="M244" s="20" t="str">
        <f t="shared" si="7"/>
        <v>N/A</v>
      </c>
    </row>
    <row r="245" spans="1:13">
      <c r="A245" s="18" t="s">
        <v>22</v>
      </c>
      <c r="B245" s="18" t="s">
        <v>365</v>
      </c>
      <c r="C245" s="18" t="s">
        <v>205</v>
      </c>
      <c r="D245" s="18" t="s">
        <v>139</v>
      </c>
      <c r="E245" s="18">
        <v>7.42</v>
      </c>
      <c r="F245" s="18">
        <v>3.71</v>
      </c>
      <c r="G245" s="18">
        <v>0</v>
      </c>
      <c r="H245" s="18">
        <v>11.13</v>
      </c>
      <c r="L245" s="20" t="str">
        <f t="shared" si="6"/>
        <v>N/A</v>
      </c>
      <c r="M245" s="20" t="str">
        <f t="shared" si="7"/>
        <v>N/A</v>
      </c>
    </row>
    <row r="246" spans="1:13">
      <c r="A246" s="18" t="s">
        <v>22</v>
      </c>
      <c r="B246" s="18" t="s">
        <v>365</v>
      </c>
      <c r="C246" s="18" t="s">
        <v>205</v>
      </c>
      <c r="D246" s="18" t="s">
        <v>142</v>
      </c>
      <c r="E246" s="18">
        <v>6.13</v>
      </c>
      <c r="F246" s="18">
        <v>3.62</v>
      </c>
      <c r="G246" s="18">
        <v>0</v>
      </c>
      <c r="H246" s="18">
        <v>9.75</v>
      </c>
      <c r="L246" s="20" t="str">
        <f t="shared" si="6"/>
        <v>N/A</v>
      </c>
      <c r="M246" s="20" t="str">
        <f t="shared" si="7"/>
        <v>N/A</v>
      </c>
    </row>
    <row r="247" spans="1:13">
      <c r="A247" s="18" t="s">
        <v>22</v>
      </c>
      <c r="B247" s="18" t="s">
        <v>365</v>
      </c>
      <c r="C247" s="18" t="s">
        <v>205</v>
      </c>
      <c r="D247" s="18" t="s">
        <v>163</v>
      </c>
      <c r="E247" s="18">
        <v>0</v>
      </c>
      <c r="F247" s="18">
        <v>0</v>
      </c>
      <c r="G247" s="18">
        <v>0</v>
      </c>
      <c r="H247" s="18">
        <v>0</v>
      </c>
      <c r="L247" s="20" t="str">
        <f t="shared" si="6"/>
        <v>N/A</v>
      </c>
      <c r="M247" s="20" t="str">
        <f t="shared" si="7"/>
        <v>N/A</v>
      </c>
    </row>
    <row r="248" spans="1:13">
      <c r="A248" s="18" t="s">
        <v>22</v>
      </c>
      <c r="B248" s="18" t="s">
        <v>365</v>
      </c>
      <c r="C248" s="18" t="s">
        <v>207</v>
      </c>
      <c r="D248" s="18" t="s">
        <v>87</v>
      </c>
      <c r="E248" s="18">
        <v>322.58</v>
      </c>
      <c r="F248" s="18">
        <v>10797.48</v>
      </c>
      <c r="G248" s="18">
        <v>24817.57</v>
      </c>
      <c r="H248" s="18">
        <v>-13697.51</v>
      </c>
      <c r="L248" s="20" t="str">
        <f t="shared" si="6"/>
        <v>Asset</v>
      </c>
      <c r="M248" s="20" t="str">
        <f t="shared" si="7"/>
        <v>Provide Comment</v>
      </c>
    </row>
    <row r="249" spans="1:13">
      <c r="A249" s="18" t="s">
        <v>22</v>
      </c>
      <c r="B249" s="18" t="s">
        <v>365</v>
      </c>
      <c r="C249" s="18" t="s">
        <v>207</v>
      </c>
      <c r="D249" s="18" t="s">
        <v>97</v>
      </c>
      <c r="E249" s="18">
        <v>5289646.0800000001</v>
      </c>
      <c r="F249" s="18">
        <v>0</v>
      </c>
      <c r="G249" s="18">
        <v>0</v>
      </c>
      <c r="H249" s="18">
        <v>5289646.0800000001</v>
      </c>
      <c r="L249" s="20" t="str">
        <f t="shared" si="6"/>
        <v>Asset</v>
      </c>
      <c r="M249" s="20" t="str">
        <f t="shared" si="7"/>
        <v>okay</v>
      </c>
    </row>
    <row r="250" spans="1:13">
      <c r="A250" s="18" t="s">
        <v>22</v>
      </c>
      <c r="B250" s="18" t="s">
        <v>365</v>
      </c>
      <c r="C250" s="18" t="s">
        <v>207</v>
      </c>
      <c r="D250" s="18" t="s">
        <v>105</v>
      </c>
      <c r="E250" s="18">
        <v>1646565.59</v>
      </c>
      <c r="F250" s="18">
        <v>77277.440000000002</v>
      </c>
      <c r="G250" s="18">
        <v>0</v>
      </c>
      <c r="H250" s="18">
        <v>1723843.03</v>
      </c>
      <c r="L250" s="20" t="str">
        <f t="shared" si="6"/>
        <v>Asset</v>
      </c>
      <c r="M250" s="20" t="str">
        <f t="shared" si="7"/>
        <v>okay</v>
      </c>
    </row>
    <row r="251" spans="1:13">
      <c r="A251" s="18" t="s">
        <v>22</v>
      </c>
      <c r="B251" s="18" t="s">
        <v>365</v>
      </c>
      <c r="C251" s="18" t="s">
        <v>207</v>
      </c>
      <c r="D251" s="18" t="s">
        <v>108</v>
      </c>
      <c r="E251" s="18">
        <v>0</v>
      </c>
      <c r="F251" s="18">
        <v>0</v>
      </c>
      <c r="G251" s="18">
        <v>0</v>
      </c>
      <c r="H251" s="18">
        <v>0</v>
      </c>
      <c r="L251" s="20" t="str">
        <f t="shared" si="6"/>
        <v>Asset</v>
      </c>
      <c r="M251" s="20" t="str">
        <f t="shared" si="7"/>
        <v>okay</v>
      </c>
    </row>
    <row r="252" spans="1:13">
      <c r="A252" s="18" t="s">
        <v>21</v>
      </c>
      <c r="B252" s="18" t="s">
        <v>362</v>
      </c>
      <c r="C252" s="18" t="s">
        <v>165</v>
      </c>
      <c r="D252" s="18" t="s">
        <v>74</v>
      </c>
      <c r="E252" s="18" t="s">
        <v>75</v>
      </c>
      <c r="F252" s="18" t="s">
        <v>76</v>
      </c>
      <c r="G252" s="18" t="s">
        <v>77</v>
      </c>
      <c r="H252" s="32" t="s">
        <v>78</v>
      </c>
      <c r="L252" s="20" t="str">
        <f t="shared" si="6"/>
        <v>N/A</v>
      </c>
      <c r="M252" s="20" t="str">
        <f t="shared" si="7"/>
        <v>N/A</v>
      </c>
    </row>
    <row r="253" spans="1:13">
      <c r="A253" s="18" t="s">
        <v>22</v>
      </c>
      <c r="B253" s="18" t="s">
        <v>365</v>
      </c>
      <c r="C253" s="18" t="s">
        <v>207</v>
      </c>
      <c r="D253" s="18" t="s">
        <v>116</v>
      </c>
      <c r="E253" s="18">
        <v>-65.930000000000007</v>
      </c>
      <c r="F253" s="18">
        <v>0</v>
      </c>
      <c r="G253" s="18">
        <v>0</v>
      </c>
      <c r="H253" s="18">
        <v>-65.930000000000007</v>
      </c>
      <c r="L253" s="20" t="str">
        <f t="shared" si="6"/>
        <v>N/A</v>
      </c>
      <c r="M253" s="20" t="str">
        <f t="shared" si="7"/>
        <v>N/A</v>
      </c>
    </row>
    <row r="254" spans="1:13">
      <c r="A254" s="18" t="s">
        <v>22</v>
      </c>
      <c r="B254" s="18" t="s">
        <v>365</v>
      </c>
      <c r="C254" s="18" t="s">
        <v>207</v>
      </c>
      <c r="D254" s="18" t="s">
        <v>121</v>
      </c>
      <c r="E254" s="18">
        <v>-144.65</v>
      </c>
      <c r="F254" s="18">
        <v>96.44</v>
      </c>
      <c r="G254" s="18">
        <v>24.11</v>
      </c>
      <c r="H254" s="18">
        <v>-72.319999999999993</v>
      </c>
      <c r="L254" s="20" t="str">
        <f t="shared" si="6"/>
        <v>N/A</v>
      </c>
      <c r="M254" s="20" t="str">
        <f t="shared" si="7"/>
        <v>N/A</v>
      </c>
    </row>
    <row r="255" spans="1:13">
      <c r="A255" s="18" t="s">
        <v>22</v>
      </c>
      <c r="B255" s="18" t="s">
        <v>365</v>
      </c>
      <c r="C255" s="18" t="s">
        <v>207</v>
      </c>
      <c r="D255" s="18" t="s">
        <v>124</v>
      </c>
      <c r="E255" s="18">
        <v>-29.55</v>
      </c>
      <c r="F255" s="18">
        <v>0</v>
      </c>
      <c r="G255" s="18">
        <v>18.39</v>
      </c>
      <c r="H255" s="18">
        <v>-47.94</v>
      </c>
      <c r="L255" s="20" t="str">
        <f t="shared" si="6"/>
        <v>N/A</v>
      </c>
      <c r="M255" s="20" t="str">
        <f t="shared" si="7"/>
        <v>N/A</v>
      </c>
    </row>
    <row r="256" spans="1:13">
      <c r="A256" s="18" t="s">
        <v>22</v>
      </c>
      <c r="B256" s="18" t="s">
        <v>365</v>
      </c>
      <c r="C256" s="18" t="s">
        <v>207</v>
      </c>
      <c r="D256" s="18" t="s">
        <v>127</v>
      </c>
      <c r="E256" s="18">
        <v>0</v>
      </c>
      <c r="F256" s="18">
        <v>0</v>
      </c>
      <c r="G256" s="18">
        <v>0</v>
      </c>
      <c r="H256" s="18">
        <v>0</v>
      </c>
      <c r="L256" s="20" t="str">
        <f t="shared" si="6"/>
        <v>N/A</v>
      </c>
      <c r="M256" s="20" t="str">
        <f t="shared" si="7"/>
        <v>N/A</v>
      </c>
    </row>
    <row r="257" spans="1:13">
      <c r="A257" s="18" t="s">
        <v>22</v>
      </c>
      <c r="B257" s="18" t="s">
        <v>365</v>
      </c>
      <c r="C257" s="18" t="s">
        <v>207</v>
      </c>
      <c r="D257" s="18" t="s">
        <v>95</v>
      </c>
      <c r="E257" s="18">
        <v>-7.2</v>
      </c>
      <c r="F257" s="18">
        <v>1.8</v>
      </c>
      <c r="G257" s="18">
        <v>5.4</v>
      </c>
      <c r="H257" s="18">
        <v>-10.8</v>
      </c>
      <c r="L257" s="20" t="str">
        <f t="shared" si="6"/>
        <v>N/A</v>
      </c>
      <c r="M257" s="20" t="str">
        <f t="shared" si="7"/>
        <v>N/A</v>
      </c>
    </row>
    <row r="258" spans="1:13">
      <c r="A258" s="18" t="s">
        <v>22</v>
      </c>
      <c r="B258" s="18" t="s">
        <v>365</v>
      </c>
      <c r="C258" s="18" t="s">
        <v>207</v>
      </c>
      <c r="D258" s="18" t="s">
        <v>132</v>
      </c>
      <c r="E258" s="18">
        <v>0</v>
      </c>
      <c r="F258" s="18">
        <v>0</v>
      </c>
      <c r="G258" s="18">
        <v>0</v>
      </c>
      <c r="H258" s="18">
        <v>0</v>
      </c>
      <c r="L258" s="20" t="str">
        <f t="shared" si="6"/>
        <v>N/A</v>
      </c>
      <c r="M258" s="20" t="str">
        <f t="shared" si="7"/>
        <v>N/A</v>
      </c>
    </row>
    <row r="259" spans="1:13">
      <c r="A259" s="18" t="s">
        <v>22</v>
      </c>
      <c r="B259" s="18" t="s">
        <v>365</v>
      </c>
      <c r="C259" s="18" t="s">
        <v>207</v>
      </c>
      <c r="D259" s="18" t="s">
        <v>135</v>
      </c>
      <c r="E259" s="18">
        <v>-6419753.0800000001</v>
      </c>
      <c r="F259" s="18">
        <v>0</v>
      </c>
      <c r="G259" s="18">
        <v>0</v>
      </c>
      <c r="H259" s="18">
        <v>-6419753.0800000001</v>
      </c>
      <c r="L259" s="20" t="str">
        <f t="shared" ref="L259:L322" si="8">+IF(LEFT(D259,1)="1","Asset","N/A")</f>
        <v>N/A</v>
      </c>
      <c r="M259" s="20" t="str">
        <f t="shared" ref="M259:M322" si="9">+IF(L259="asset",IF(H259&lt;0,"Provide Comment","okay"),"N/A")</f>
        <v>N/A</v>
      </c>
    </row>
    <row r="260" spans="1:13">
      <c r="A260" s="18" t="s">
        <v>22</v>
      </c>
      <c r="B260" s="18" t="s">
        <v>365</v>
      </c>
      <c r="C260" s="18" t="s">
        <v>207</v>
      </c>
      <c r="D260" s="18" t="s">
        <v>140</v>
      </c>
      <c r="E260" s="18">
        <v>-15355.01</v>
      </c>
      <c r="F260" s="18">
        <v>0</v>
      </c>
      <c r="G260" s="18">
        <v>10795.85</v>
      </c>
      <c r="H260" s="18">
        <v>-26150.86</v>
      </c>
      <c r="L260" s="20" t="str">
        <f t="shared" si="8"/>
        <v>N/A</v>
      </c>
      <c r="M260" s="20" t="str">
        <f t="shared" si="9"/>
        <v>N/A</v>
      </c>
    </row>
    <row r="261" spans="1:13">
      <c r="A261" s="18" t="s">
        <v>22</v>
      </c>
      <c r="B261" s="18" t="s">
        <v>365</v>
      </c>
      <c r="C261" s="18" t="s">
        <v>207</v>
      </c>
      <c r="D261" s="18" t="s">
        <v>143</v>
      </c>
      <c r="E261" s="18">
        <v>1130107</v>
      </c>
      <c r="F261" s="18">
        <v>0</v>
      </c>
      <c r="G261" s="18">
        <v>0</v>
      </c>
      <c r="H261" s="18">
        <v>1130107</v>
      </c>
      <c r="L261" s="20" t="str">
        <f t="shared" si="8"/>
        <v>N/A</v>
      </c>
      <c r="M261" s="20" t="str">
        <f t="shared" si="9"/>
        <v>N/A</v>
      </c>
    </row>
    <row r="262" spans="1:13">
      <c r="A262" s="18" t="s">
        <v>22</v>
      </c>
      <c r="B262" s="18" t="s">
        <v>365</v>
      </c>
      <c r="C262" s="18" t="s">
        <v>207</v>
      </c>
      <c r="D262" s="18" t="s">
        <v>146</v>
      </c>
      <c r="E262" s="18">
        <v>143205.28</v>
      </c>
      <c r="F262" s="18">
        <v>0</v>
      </c>
      <c r="G262" s="18">
        <v>0</v>
      </c>
      <c r="H262" s="18">
        <v>143205.28</v>
      </c>
      <c r="L262" s="20" t="str">
        <f t="shared" si="8"/>
        <v>N/A</v>
      </c>
      <c r="M262" s="20" t="str">
        <f t="shared" si="9"/>
        <v>N/A</v>
      </c>
    </row>
    <row r="263" spans="1:13">
      <c r="A263" s="18" t="s">
        <v>22</v>
      </c>
      <c r="B263" s="18" t="s">
        <v>365</v>
      </c>
      <c r="C263" s="18" t="s">
        <v>207</v>
      </c>
      <c r="D263" s="18" t="s">
        <v>147</v>
      </c>
      <c r="E263" s="18">
        <v>-1248552.03</v>
      </c>
      <c r="F263" s="18">
        <v>0</v>
      </c>
      <c r="G263" s="18">
        <v>0</v>
      </c>
      <c r="H263" s="18">
        <v>-1248552.03</v>
      </c>
      <c r="L263" s="20" t="str">
        <f t="shared" si="8"/>
        <v>N/A</v>
      </c>
      <c r="M263" s="20" t="str">
        <f t="shared" si="9"/>
        <v>N/A</v>
      </c>
    </row>
    <row r="264" spans="1:13">
      <c r="A264" s="18" t="s">
        <v>22</v>
      </c>
      <c r="B264" s="18" t="s">
        <v>365</v>
      </c>
      <c r="C264" s="18" t="s">
        <v>207</v>
      </c>
      <c r="D264" s="18" t="s">
        <v>153</v>
      </c>
      <c r="E264" s="18">
        <v>0</v>
      </c>
      <c r="F264" s="18">
        <v>0</v>
      </c>
      <c r="G264" s="18">
        <v>0</v>
      </c>
      <c r="H264" s="18">
        <v>0</v>
      </c>
      <c r="L264" s="20" t="str">
        <f t="shared" si="8"/>
        <v>N/A</v>
      </c>
      <c r="M264" s="20" t="str">
        <f t="shared" si="9"/>
        <v>N/A</v>
      </c>
    </row>
    <row r="265" spans="1:13">
      <c r="A265" s="18" t="s">
        <v>22</v>
      </c>
      <c r="B265" s="18" t="s">
        <v>365</v>
      </c>
      <c r="C265" s="18" t="s">
        <v>207</v>
      </c>
      <c r="D265" s="18" t="s">
        <v>155</v>
      </c>
      <c r="E265" s="18">
        <v>0</v>
      </c>
      <c r="F265" s="18">
        <v>0</v>
      </c>
      <c r="G265" s="18">
        <v>0</v>
      </c>
      <c r="H265" s="18">
        <v>0</v>
      </c>
      <c r="L265" s="20" t="str">
        <f t="shared" si="8"/>
        <v>N/A</v>
      </c>
      <c r="M265" s="20" t="str">
        <f t="shared" si="9"/>
        <v>N/A</v>
      </c>
    </row>
    <row r="266" spans="1:13">
      <c r="A266" s="18" t="s">
        <v>22</v>
      </c>
      <c r="B266" s="18" t="s">
        <v>365</v>
      </c>
      <c r="C266" s="18" t="s">
        <v>207</v>
      </c>
      <c r="D266" s="18" t="s">
        <v>156</v>
      </c>
      <c r="E266" s="18">
        <v>-56.55</v>
      </c>
      <c r="F266" s="18">
        <v>0</v>
      </c>
      <c r="G266" s="18">
        <v>1.63</v>
      </c>
      <c r="H266" s="18">
        <v>-58.18</v>
      </c>
      <c r="L266" s="20" t="str">
        <f t="shared" si="8"/>
        <v>N/A</v>
      </c>
      <c r="M266" s="20" t="str">
        <f t="shared" si="9"/>
        <v>N/A</v>
      </c>
    </row>
    <row r="267" spans="1:13">
      <c r="A267" s="18" t="s">
        <v>22</v>
      </c>
      <c r="B267" s="18" t="s">
        <v>365</v>
      </c>
      <c r="C267" s="18" t="s">
        <v>207</v>
      </c>
      <c r="D267" s="18" t="s">
        <v>157</v>
      </c>
      <c r="E267" s="18">
        <v>-530014.93000000005</v>
      </c>
      <c r="F267" s="18">
        <v>0</v>
      </c>
      <c r="G267" s="18">
        <v>77277.440000000002</v>
      </c>
      <c r="H267" s="18">
        <v>-607292.37</v>
      </c>
      <c r="L267" s="20" t="str">
        <f t="shared" si="8"/>
        <v>N/A</v>
      </c>
      <c r="M267" s="20" t="str">
        <f t="shared" si="9"/>
        <v>N/A</v>
      </c>
    </row>
    <row r="268" spans="1:13">
      <c r="A268" s="18" t="s">
        <v>22</v>
      </c>
      <c r="B268" s="18" t="s">
        <v>365</v>
      </c>
      <c r="C268" s="18" t="s">
        <v>207</v>
      </c>
      <c r="D268" s="18" t="s">
        <v>145</v>
      </c>
      <c r="E268" s="18">
        <v>0</v>
      </c>
      <c r="F268" s="18">
        <v>370.86</v>
      </c>
      <c r="G268" s="18">
        <v>0</v>
      </c>
      <c r="H268" s="18">
        <v>370.86</v>
      </c>
      <c r="L268" s="20" t="str">
        <f t="shared" si="8"/>
        <v>N/A</v>
      </c>
      <c r="M268" s="20" t="str">
        <f t="shared" si="9"/>
        <v>N/A</v>
      </c>
    </row>
    <row r="269" spans="1:13">
      <c r="A269" s="18" t="s">
        <v>22</v>
      </c>
      <c r="B269" s="18" t="s">
        <v>365</v>
      </c>
      <c r="C269" s="18" t="s">
        <v>207</v>
      </c>
      <c r="D269" s="18" t="s">
        <v>96</v>
      </c>
      <c r="E269" s="18">
        <v>10.8</v>
      </c>
      <c r="F269" s="18">
        <v>5.4</v>
      </c>
      <c r="G269" s="18">
        <v>0</v>
      </c>
      <c r="H269" s="18">
        <v>16.2</v>
      </c>
      <c r="L269" s="20" t="str">
        <f t="shared" si="8"/>
        <v>N/A</v>
      </c>
      <c r="M269" s="20" t="str">
        <f t="shared" si="9"/>
        <v>N/A</v>
      </c>
    </row>
    <row r="270" spans="1:13">
      <c r="A270" s="18" t="s">
        <v>22</v>
      </c>
      <c r="B270" s="18" t="s">
        <v>365</v>
      </c>
      <c r="C270" s="18" t="s">
        <v>207</v>
      </c>
      <c r="D270" s="18" t="s">
        <v>104</v>
      </c>
      <c r="E270" s="18">
        <v>24.65</v>
      </c>
      <c r="F270" s="18">
        <v>49.31</v>
      </c>
      <c r="G270" s="18">
        <v>0</v>
      </c>
      <c r="H270" s="18">
        <v>73.959999999999994</v>
      </c>
      <c r="L270" s="20" t="str">
        <f t="shared" si="8"/>
        <v>N/A</v>
      </c>
      <c r="M270" s="20" t="str">
        <f t="shared" si="9"/>
        <v>N/A</v>
      </c>
    </row>
    <row r="271" spans="1:13">
      <c r="A271" s="18" t="s">
        <v>22</v>
      </c>
      <c r="B271" s="18" t="s">
        <v>365</v>
      </c>
      <c r="C271" s="18" t="s">
        <v>207</v>
      </c>
      <c r="D271" s="18" t="s">
        <v>359</v>
      </c>
      <c r="E271" s="18">
        <v>1162.95</v>
      </c>
      <c r="F271" s="18">
        <v>11.01</v>
      </c>
      <c r="G271" s="18">
        <v>0</v>
      </c>
      <c r="H271" s="18">
        <v>1173.96</v>
      </c>
      <c r="L271" s="20" t="str">
        <f t="shared" si="8"/>
        <v>N/A</v>
      </c>
      <c r="M271" s="20" t="str">
        <f t="shared" si="9"/>
        <v>N/A</v>
      </c>
    </row>
    <row r="272" spans="1:13">
      <c r="A272" s="18" t="s">
        <v>22</v>
      </c>
      <c r="B272" s="18" t="s">
        <v>365</v>
      </c>
      <c r="C272" s="18" t="s">
        <v>207</v>
      </c>
      <c r="D272" s="18" t="s">
        <v>113</v>
      </c>
      <c r="E272" s="18">
        <v>1582.98</v>
      </c>
      <c r="F272" s="18">
        <v>433.54</v>
      </c>
      <c r="G272" s="18">
        <v>0</v>
      </c>
      <c r="H272" s="18">
        <v>2016.52</v>
      </c>
      <c r="L272" s="20" t="str">
        <f t="shared" si="8"/>
        <v>N/A</v>
      </c>
      <c r="M272" s="20" t="str">
        <f t="shared" si="9"/>
        <v>N/A</v>
      </c>
    </row>
    <row r="273" spans="1:13">
      <c r="A273" s="18" t="s">
        <v>22</v>
      </c>
      <c r="B273" s="18" t="s">
        <v>365</v>
      </c>
      <c r="C273" s="18" t="s">
        <v>207</v>
      </c>
      <c r="D273" s="18" t="s">
        <v>150</v>
      </c>
      <c r="E273" s="18">
        <v>493.04</v>
      </c>
      <c r="F273" s="18">
        <v>29.77</v>
      </c>
      <c r="G273" s="18">
        <v>0</v>
      </c>
      <c r="H273" s="18">
        <v>522.80999999999995</v>
      </c>
      <c r="L273" s="20" t="str">
        <f t="shared" si="8"/>
        <v>N/A</v>
      </c>
      <c r="M273" s="20" t="str">
        <f t="shared" si="9"/>
        <v>N/A</v>
      </c>
    </row>
    <row r="274" spans="1:13">
      <c r="A274" s="18" t="s">
        <v>22</v>
      </c>
      <c r="B274" s="18" t="s">
        <v>365</v>
      </c>
      <c r="C274" s="18" t="s">
        <v>207</v>
      </c>
      <c r="D274" s="18" t="s">
        <v>120</v>
      </c>
      <c r="E274" s="18">
        <v>0.74</v>
      </c>
      <c r="F274" s="18">
        <v>0</v>
      </c>
      <c r="G274" s="18">
        <v>0</v>
      </c>
      <c r="H274" s="18">
        <v>0.74</v>
      </c>
      <c r="L274" s="20" t="str">
        <f t="shared" si="8"/>
        <v>N/A</v>
      </c>
      <c r="M274" s="20" t="str">
        <f t="shared" si="9"/>
        <v>N/A</v>
      </c>
    </row>
    <row r="275" spans="1:13">
      <c r="A275" s="18" t="s">
        <v>22</v>
      </c>
      <c r="B275" s="18" t="s">
        <v>365</v>
      </c>
      <c r="C275" s="18" t="s">
        <v>207</v>
      </c>
      <c r="D275" s="18" t="s">
        <v>123</v>
      </c>
      <c r="E275" s="18">
        <v>461.74</v>
      </c>
      <c r="F275" s="18">
        <v>235</v>
      </c>
      <c r="G275" s="18">
        <v>0</v>
      </c>
      <c r="H275" s="18">
        <v>696.74</v>
      </c>
      <c r="L275" s="20" t="str">
        <f t="shared" si="8"/>
        <v>N/A</v>
      </c>
      <c r="M275" s="20" t="str">
        <f t="shared" si="9"/>
        <v>N/A</v>
      </c>
    </row>
    <row r="276" spans="1:13">
      <c r="A276" s="18" t="s">
        <v>22</v>
      </c>
      <c r="B276" s="18" t="s">
        <v>365</v>
      </c>
      <c r="C276" s="18" t="s">
        <v>207</v>
      </c>
      <c r="D276" s="18" t="s">
        <v>126</v>
      </c>
      <c r="E276" s="18">
        <v>68.73</v>
      </c>
      <c r="F276" s="18">
        <v>13.25</v>
      </c>
      <c r="G276" s="18">
        <v>0</v>
      </c>
      <c r="H276" s="18">
        <v>81.98</v>
      </c>
      <c r="L276" s="20" t="str">
        <f t="shared" si="8"/>
        <v>N/A</v>
      </c>
      <c r="M276" s="20" t="str">
        <f t="shared" si="9"/>
        <v>N/A</v>
      </c>
    </row>
    <row r="277" spans="1:13">
      <c r="A277" s="18" t="s">
        <v>22</v>
      </c>
      <c r="B277" s="18" t="s">
        <v>365</v>
      </c>
      <c r="C277" s="18" t="s">
        <v>207</v>
      </c>
      <c r="D277" s="18" t="s">
        <v>129</v>
      </c>
      <c r="E277" s="18">
        <v>64.17</v>
      </c>
      <c r="F277" s="18">
        <v>18.27</v>
      </c>
      <c r="G277" s="18">
        <v>0</v>
      </c>
      <c r="H277" s="18">
        <v>82.44</v>
      </c>
      <c r="L277" s="20" t="str">
        <f t="shared" si="8"/>
        <v>N/A</v>
      </c>
      <c r="M277" s="20" t="str">
        <f t="shared" si="9"/>
        <v>N/A</v>
      </c>
    </row>
    <row r="278" spans="1:13">
      <c r="A278" s="18" t="s">
        <v>22</v>
      </c>
      <c r="B278" s="18" t="s">
        <v>365</v>
      </c>
      <c r="C278" s="18" t="s">
        <v>207</v>
      </c>
      <c r="D278" s="18" t="s">
        <v>131</v>
      </c>
      <c r="E278" s="18">
        <v>163.03</v>
      </c>
      <c r="F278" s="18">
        <v>116.37</v>
      </c>
      <c r="G278" s="18">
        <v>0</v>
      </c>
      <c r="H278" s="18">
        <v>279.39999999999998</v>
      </c>
      <c r="L278" s="20" t="str">
        <f t="shared" si="8"/>
        <v>N/A</v>
      </c>
      <c r="M278" s="20" t="str">
        <f t="shared" si="9"/>
        <v>N/A</v>
      </c>
    </row>
    <row r="279" spans="1:13">
      <c r="A279" s="18" t="s">
        <v>22</v>
      </c>
      <c r="B279" s="18" t="s">
        <v>365</v>
      </c>
      <c r="C279" s="18" t="s">
        <v>207</v>
      </c>
      <c r="D279" s="18" t="s">
        <v>162</v>
      </c>
      <c r="E279" s="18">
        <v>0</v>
      </c>
      <c r="F279" s="18">
        <v>0</v>
      </c>
      <c r="G279" s="18">
        <v>0</v>
      </c>
      <c r="H279" s="18">
        <v>0</v>
      </c>
      <c r="L279" s="20" t="str">
        <f t="shared" si="8"/>
        <v>N/A</v>
      </c>
      <c r="M279" s="20" t="str">
        <f t="shared" si="9"/>
        <v>N/A</v>
      </c>
    </row>
    <row r="280" spans="1:13">
      <c r="A280" s="18" t="s">
        <v>22</v>
      </c>
      <c r="B280" s="18" t="s">
        <v>365</v>
      </c>
      <c r="C280" s="18" t="s">
        <v>207</v>
      </c>
      <c r="D280" s="18" t="s">
        <v>134</v>
      </c>
      <c r="E280" s="18">
        <v>11.7</v>
      </c>
      <c r="F280" s="18">
        <v>14.61</v>
      </c>
      <c r="G280" s="18">
        <v>0</v>
      </c>
      <c r="H280" s="18">
        <v>26.31</v>
      </c>
      <c r="L280" s="20" t="str">
        <f t="shared" si="8"/>
        <v>N/A</v>
      </c>
      <c r="M280" s="20" t="str">
        <f t="shared" si="9"/>
        <v>N/A</v>
      </c>
    </row>
    <row r="281" spans="1:13">
      <c r="A281" s="18" t="s">
        <v>22</v>
      </c>
      <c r="B281" s="18" t="s">
        <v>365</v>
      </c>
      <c r="C281" s="18" t="s">
        <v>207</v>
      </c>
      <c r="D281" s="18" t="s">
        <v>139</v>
      </c>
      <c r="E281" s="18">
        <v>48.22</v>
      </c>
      <c r="F281" s="18">
        <v>24.11</v>
      </c>
      <c r="G281" s="18">
        <v>0</v>
      </c>
      <c r="H281" s="18">
        <v>72.33</v>
      </c>
      <c r="L281" s="20" t="str">
        <f t="shared" si="8"/>
        <v>N/A</v>
      </c>
      <c r="M281" s="20" t="str">
        <f t="shared" si="9"/>
        <v>N/A</v>
      </c>
    </row>
    <row r="282" spans="1:13">
      <c r="A282" s="18" t="s">
        <v>22</v>
      </c>
      <c r="B282" s="18" t="s">
        <v>365</v>
      </c>
      <c r="C282" s="18" t="s">
        <v>207</v>
      </c>
      <c r="D282" s="18" t="s">
        <v>142</v>
      </c>
      <c r="E282" s="18">
        <v>39.869999999999997</v>
      </c>
      <c r="F282" s="18">
        <v>23.55</v>
      </c>
      <c r="G282" s="18">
        <v>0</v>
      </c>
      <c r="H282" s="18">
        <v>63.42</v>
      </c>
      <c r="L282" s="20" t="str">
        <f t="shared" si="8"/>
        <v>N/A</v>
      </c>
      <c r="M282" s="20" t="str">
        <f t="shared" si="9"/>
        <v>N/A</v>
      </c>
    </row>
    <row r="283" spans="1:13">
      <c r="A283" s="18" t="s">
        <v>22</v>
      </c>
      <c r="B283" s="18" t="s">
        <v>365</v>
      </c>
      <c r="C283" s="18" t="s">
        <v>207</v>
      </c>
      <c r="D283" s="18" t="s">
        <v>163</v>
      </c>
      <c r="E283" s="18">
        <v>0</v>
      </c>
      <c r="F283" s="18">
        <v>0</v>
      </c>
      <c r="G283" s="18">
        <v>0</v>
      </c>
      <c r="H283" s="18">
        <v>0</v>
      </c>
      <c r="L283" s="20" t="str">
        <f t="shared" si="8"/>
        <v>N/A</v>
      </c>
      <c r="M283" s="20" t="str">
        <f t="shared" si="9"/>
        <v>N/A</v>
      </c>
    </row>
    <row r="284" spans="1:13">
      <c r="A284" s="18" t="s">
        <v>22</v>
      </c>
      <c r="B284" s="18" t="s">
        <v>365</v>
      </c>
      <c r="C284" s="18" t="s">
        <v>210</v>
      </c>
      <c r="D284" s="18" t="s">
        <v>87</v>
      </c>
      <c r="E284" s="18">
        <v>1735.54</v>
      </c>
      <c r="F284" s="18">
        <v>58140.31</v>
      </c>
      <c r="G284" s="18">
        <v>7513.56</v>
      </c>
      <c r="H284" s="18">
        <v>52362.29</v>
      </c>
      <c r="L284" s="20" t="str">
        <f t="shared" si="8"/>
        <v>Asset</v>
      </c>
      <c r="M284" s="20" t="str">
        <f t="shared" si="9"/>
        <v>okay</v>
      </c>
    </row>
    <row r="285" spans="1:13">
      <c r="A285" s="18" t="s">
        <v>22</v>
      </c>
      <c r="B285" s="18" t="s">
        <v>365</v>
      </c>
      <c r="C285" s="18" t="s">
        <v>210</v>
      </c>
      <c r="D285" s="18" t="s">
        <v>97</v>
      </c>
      <c r="E285" s="18">
        <v>28482709.670000002</v>
      </c>
      <c r="F285" s="18">
        <v>0</v>
      </c>
      <c r="G285" s="18">
        <v>0</v>
      </c>
      <c r="H285" s="18">
        <v>28482709.670000002</v>
      </c>
      <c r="L285" s="20" t="str">
        <f t="shared" si="8"/>
        <v>Asset</v>
      </c>
      <c r="M285" s="20" t="str">
        <f t="shared" si="9"/>
        <v>okay</v>
      </c>
    </row>
    <row r="286" spans="1:13">
      <c r="A286" s="18" t="s">
        <v>22</v>
      </c>
      <c r="B286" s="18" t="s">
        <v>365</v>
      </c>
      <c r="C286" s="18" t="s">
        <v>210</v>
      </c>
      <c r="D286" s="18" t="s">
        <v>105</v>
      </c>
      <c r="E286" s="18">
        <v>8866122.5</v>
      </c>
      <c r="F286" s="18">
        <v>416109.27</v>
      </c>
      <c r="G286" s="18">
        <v>0</v>
      </c>
      <c r="H286" s="18">
        <v>9282231.7699999996</v>
      </c>
      <c r="L286" s="20" t="str">
        <f t="shared" si="8"/>
        <v>Asset</v>
      </c>
      <c r="M286" s="20" t="str">
        <f t="shared" si="9"/>
        <v>okay</v>
      </c>
    </row>
    <row r="287" spans="1:13">
      <c r="A287" s="18" t="s">
        <v>22</v>
      </c>
      <c r="B287" s="18" t="s">
        <v>365</v>
      </c>
      <c r="C287" s="18" t="s">
        <v>210</v>
      </c>
      <c r="D287" s="18" t="s">
        <v>108</v>
      </c>
      <c r="E287" s="18">
        <v>0</v>
      </c>
      <c r="F287" s="18">
        <v>0</v>
      </c>
      <c r="G287" s="18">
        <v>0</v>
      </c>
      <c r="H287" s="18">
        <v>0</v>
      </c>
      <c r="L287" s="20" t="str">
        <f t="shared" si="8"/>
        <v>Asset</v>
      </c>
      <c r="M287" s="20" t="str">
        <f t="shared" si="9"/>
        <v>okay</v>
      </c>
    </row>
    <row r="288" spans="1:13">
      <c r="A288" s="18" t="s">
        <v>22</v>
      </c>
      <c r="B288" s="18" t="s">
        <v>365</v>
      </c>
      <c r="C288" s="18" t="s">
        <v>210</v>
      </c>
      <c r="D288" s="18" t="s">
        <v>116</v>
      </c>
      <c r="E288" s="18">
        <v>-355.04</v>
      </c>
      <c r="F288" s="18">
        <v>0</v>
      </c>
      <c r="G288" s="18">
        <v>0</v>
      </c>
      <c r="H288" s="18">
        <v>-355.04</v>
      </c>
      <c r="L288" s="20" t="str">
        <f t="shared" si="8"/>
        <v>N/A</v>
      </c>
      <c r="M288" s="20" t="str">
        <f t="shared" si="9"/>
        <v>N/A</v>
      </c>
    </row>
    <row r="289" spans="1:13">
      <c r="A289" s="18" t="s">
        <v>22</v>
      </c>
      <c r="B289" s="18" t="s">
        <v>365</v>
      </c>
      <c r="C289" s="18" t="s">
        <v>210</v>
      </c>
      <c r="D289" s="18" t="s">
        <v>121</v>
      </c>
      <c r="E289" s="18">
        <v>-778.97</v>
      </c>
      <c r="F289" s="18">
        <v>519.30999999999995</v>
      </c>
      <c r="G289" s="18">
        <v>129.83000000000001</v>
      </c>
      <c r="H289" s="18">
        <v>-389.49</v>
      </c>
      <c r="L289" s="20" t="str">
        <f t="shared" si="8"/>
        <v>N/A</v>
      </c>
      <c r="M289" s="20" t="str">
        <f t="shared" si="9"/>
        <v>N/A</v>
      </c>
    </row>
    <row r="290" spans="1:13">
      <c r="A290" s="18" t="s">
        <v>22</v>
      </c>
      <c r="B290" s="18" t="s">
        <v>365</v>
      </c>
      <c r="C290" s="18" t="s">
        <v>210</v>
      </c>
      <c r="D290" s="18" t="s">
        <v>124</v>
      </c>
      <c r="E290" s="18">
        <v>-159.13999999999999</v>
      </c>
      <c r="F290" s="18">
        <v>0</v>
      </c>
      <c r="G290" s="18">
        <v>99.04</v>
      </c>
      <c r="H290" s="18">
        <v>-258.18</v>
      </c>
      <c r="L290" s="20" t="str">
        <f t="shared" si="8"/>
        <v>N/A</v>
      </c>
      <c r="M290" s="20" t="str">
        <f t="shared" si="9"/>
        <v>N/A</v>
      </c>
    </row>
    <row r="291" spans="1:13">
      <c r="A291" s="18" t="s">
        <v>22</v>
      </c>
      <c r="B291" s="18" t="s">
        <v>365</v>
      </c>
      <c r="C291" s="18" t="s">
        <v>210</v>
      </c>
      <c r="D291" s="18" t="s">
        <v>127</v>
      </c>
      <c r="E291" s="18">
        <v>0</v>
      </c>
      <c r="F291" s="18">
        <v>0</v>
      </c>
      <c r="G291" s="18">
        <v>0</v>
      </c>
      <c r="H291" s="18">
        <v>0</v>
      </c>
      <c r="L291" s="20" t="str">
        <f t="shared" si="8"/>
        <v>N/A</v>
      </c>
      <c r="M291" s="20" t="str">
        <f t="shared" si="9"/>
        <v>N/A</v>
      </c>
    </row>
    <row r="292" spans="1:13">
      <c r="A292" s="18" t="s">
        <v>22</v>
      </c>
      <c r="B292" s="18" t="s">
        <v>365</v>
      </c>
      <c r="C292" s="18" t="s">
        <v>210</v>
      </c>
      <c r="D292" s="18" t="s">
        <v>95</v>
      </c>
      <c r="E292" s="18">
        <v>-38.76</v>
      </c>
      <c r="F292" s="18">
        <v>9.69</v>
      </c>
      <c r="G292" s="18">
        <v>29.07</v>
      </c>
      <c r="H292" s="18">
        <v>-58.14</v>
      </c>
      <c r="L292" s="20" t="str">
        <f t="shared" si="8"/>
        <v>N/A</v>
      </c>
      <c r="M292" s="20" t="str">
        <f t="shared" si="9"/>
        <v>N/A</v>
      </c>
    </row>
    <row r="293" spans="1:13">
      <c r="A293" s="18" t="s">
        <v>22</v>
      </c>
      <c r="B293" s="18" t="s">
        <v>365</v>
      </c>
      <c r="C293" s="18" t="s">
        <v>210</v>
      </c>
      <c r="D293" s="18" t="s">
        <v>132</v>
      </c>
      <c r="E293" s="18">
        <v>0</v>
      </c>
      <c r="F293" s="18">
        <v>0</v>
      </c>
      <c r="G293" s="18">
        <v>0</v>
      </c>
      <c r="H293" s="18">
        <v>0</v>
      </c>
      <c r="L293" s="20" t="str">
        <f t="shared" si="8"/>
        <v>N/A</v>
      </c>
      <c r="M293" s="20" t="str">
        <f t="shared" si="9"/>
        <v>N/A</v>
      </c>
    </row>
    <row r="294" spans="1:13">
      <c r="A294" s="18" t="s">
        <v>22</v>
      </c>
      <c r="B294" s="18" t="s">
        <v>365</v>
      </c>
      <c r="C294" s="18" t="s">
        <v>210</v>
      </c>
      <c r="D294" s="18" t="s">
        <v>135</v>
      </c>
      <c r="E294" s="18">
        <v>-34567901.229999997</v>
      </c>
      <c r="F294" s="18">
        <v>0</v>
      </c>
      <c r="G294" s="18">
        <v>0</v>
      </c>
      <c r="H294" s="18">
        <v>-34567901.229999997</v>
      </c>
      <c r="L294" s="20" t="str">
        <f t="shared" si="8"/>
        <v>N/A</v>
      </c>
      <c r="M294" s="20" t="str">
        <f t="shared" si="9"/>
        <v>N/A</v>
      </c>
    </row>
    <row r="295" spans="1:13">
      <c r="A295" s="18" t="s">
        <v>22</v>
      </c>
      <c r="B295" s="18" t="s">
        <v>365</v>
      </c>
      <c r="C295" s="18" t="s">
        <v>210</v>
      </c>
      <c r="D295" s="18" t="s">
        <v>140</v>
      </c>
      <c r="E295" s="18">
        <v>-82680.83</v>
      </c>
      <c r="F295" s="18">
        <v>0</v>
      </c>
      <c r="G295" s="18">
        <v>58131.49</v>
      </c>
      <c r="H295" s="18">
        <v>-140812.32</v>
      </c>
      <c r="L295" s="20" t="str">
        <f t="shared" si="8"/>
        <v>N/A</v>
      </c>
      <c r="M295" s="20" t="str">
        <f t="shared" si="9"/>
        <v>N/A</v>
      </c>
    </row>
    <row r="296" spans="1:13">
      <c r="A296" s="18" t="s">
        <v>22</v>
      </c>
      <c r="B296" s="18" t="s">
        <v>365</v>
      </c>
      <c r="C296" s="18" t="s">
        <v>210</v>
      </c>
      <c r="D296" s="18" t="s">
        <v>143</v>
      </c>
      <c r="E296" s="18">
        <v>6085191.5599999996</v>
      </c>
      <c r="F296" s="18">
        <v>0</v>
      </c>
      <c r="G296" s="18">
        <v>0</v>
      </c>
      <c r="H296" s="18">
        <v>6085191.5599999996</v>
      </c>
      <c r="L296" s="20" t="str">
        <f t="shared" si="8"/>
        <v>N/A</v>
      </c>
      <c r="M296" s="20" t="str">
        <f t="shared" si="9"/>
        <v>N/A</v>
      </c>
    </row>
    <row r="297" spans="1:13">
      <c r="A297" s="18" t="s">
        <v>22</v>
      </c>
      <c r="B297" s="18" t="s">
        <v>365</v>
      </c>
      <c r="C297" s="18" t="s">
        <v>210</v>
      </c>
      <c r="D297" s="18" t="s">
        <v>146</v>
      </c>
      <c r="E297" s="18">
        <v>771105.38</v>
      </c>
      <c r="F297" s="18">
        <v>0</v>
      </c>
      <c r="G297" s="18">
        <v>0</v>
      </c>
      <c r="H297" s="18">
        <v>771105.38</v>
      </c>
      <c r="L297" s="20" t="str">
        <f t="shared" si="8"/>
        <v>N/A</v>
      </c>
      <c r="M297" s="20" t="str">
        <f t="shared" si="9"/>
        <v>N/A</v>
      </c>
    </row>
    <row r="298" spans="1:13">
      <c r="A298" s="18" t="s">
        <v>22</v>
      </c>
      <c r="B298" s="18" t="s">
        <v>365</v>
      </c>
      <c r="C298" s="18" t="s">
        <v>210</v>
      </c>
      <c r="D298" s="18" t="s">
        <v>147</v>
      </c>
      <c r="E298" s="18">
        <v>-6722972.4000000004</v>
      </c>
      <c r="F298" s="18">
        <v>0</v>
      </c>
      <c r="G298" s="18">
        <v>0</v>
      </c>
      <c r="H298" s="18">
        <v>-6722972.4000000004</v>
      </c>
      <c r="L298" s="20" t="str">
        <f t="shared" si="8"/>
        <v>N/A</v>
      </c>
      <c r="M298" s="20" t="str">
        <f t="shared" si="9"/>
        <v>N/A</v>
      </c>
    </row>
    <row r="299" spans="1:13">
      <c r="A299" s="18" t="s">
        <v>22</v>
      </c>
      <c r="B299" s="18" t="s">
        <v>365</v>
      </c>
      <c r="C299" s="18" t="s">
        <v>210</v>
      </c>
      <c r="D299" s="18" t="s">
        <v>153</v>
      </c>
      <c r="E299" s="18">
        <v>0</v>
      </c>
      <c r="F299" s="18">
        <v>0</v>
      </c>
      <c r="G299" s="18">
        <v>0</v>
      </c>
      <c r="H299" s="18">
        <v>0</v>
      </c>
      <c r="L299" s="20" t="str">
        <f t="shared" si="8"/>
        <v>N/A</v>
      </c>
      <c r="M299" s="20" t="str">
        <f t="shared" si="9"/>
        <v>N/A</v>
      </c>
    </row>
    <row r="300" spans="1:13">
      <c r="A300" s="18" t="s">
        <v>22</v>
      </c>
      <c r="B300" s="18" t="s">
        <v>365</v>
      </c>
      <c r="C300" s="18" t="s">
        <v>210</v>
      </c>
      <c r="D300" s="18" t="s">
        <v>155</v>
      </c>
      <c r="E300" s="18">
        <v>0</v>
      </c>
      <c r="F300" s="18">
        <v>0</v>
      </c>
      <c r="G300" s="18">
        <v>0</v>
      </c>
      <c r="H300" s="18">
        <v>0</v>
      </c>
      <c r="L300" s="20" t="str">
        <f t="shared" si="8"/>
        <v>N/A</v>
      </c>
      <c r="M300" s="20" t="str">
        <f t="shared" si="9"/>
        <v>N/A</v>
      </c>
    </row>
    <row r="301" spans="1:13">
      <c r="A301" s="18" t="s">
        <v>22</v>
      </c>
      <c r="B301" s="18" t="s">
        <v>365</v>
      </c>
      <c r="C301" s="18" t="s">
        <v>210</v>
      </c>
      <c r="D301" s="18" t="s">
        <v>156</v>
      </c>
      <c r="E301" s="18">
        <v>-304.49</v>
      </c>
      <c r="F301" s="18">
        <v>0</v>
      </c>
      <c r="G301" s="18">
        <v>8.82</v>
      </c>
      <c r="H301" s="18">
        <v>-313.31</v>
      </c>
      <c r="L301" s="20" t="str">
        <f t="shared" si="8"/>
        <v>N/A</v>
      </c>
      <c r="M301" s="20" t="str">
        <f t="shared" si="9"/>
        <v>N/A</v>
      </c>
    </row>
    <row r="302" spans="1:13">
      <c r="A302" s="18" t="s">
        <v>22</v>
      </c>
      <c r="B302" s="18" t="s">
        <v>365</v>
      </c>
      <c r="C302" s="18" t="s">
        <v>210</v>
      </c>
      <c r="D302" s="18" t="s">
        <v>157</v>
      </c>
      <c r="E302" s="18">
        <v>-2853926.62</v>
      </c>
      <c r="F302" s="18">
        <v>0</v>
      </c>
      <c r="G302" s="18">
        <v>416109.27</v>
      </c>
      <c r="H302" s="18">
        <v>-3270035.89</v>
      </c>
      <c r="L302" s="20" t="str">
        <f t="shared" si="8"/>
        <v>N/A</v>
      </c>
      <c r="M302" s="20" t="str">
        <f t="shared" si="9"/>
        <v>N/A</v>
      </c>
    </row>
    <row r="303" spans="1:13">
      <c r="A303" s="18" t="s">
        <v>22</v>
      </c>
      <c r="B303" s="18" t="s">
        <v>365</v>
      </c>
      <c r="C303" s="18" t="s">
        <v>210</v>
      </c>
      <c r="D303" s="18" t="s">
        <v>145</v>
      </c>
      <c r="E303" s="18">
        <v>0</v>
      </c>
      <c r="F303" s="18">
        <v>1996.91</v>
      </c>
      <c r="G303" s="18">
        <v>0</v>
      </c>
      <c r="H303" s="18">
        <v>1996.91</v>
      </c>
      <c r="L303" s="20" t="str">
        <f t="shared" si="8"/>
        <v>N/A</v>
      </c>
      <c r="M303" s="20" t="str">
        <f t="shared" si="9"/>
        <v>N/A</v>
      </c>
    </row>
    <row r="304" spans="1:13">
      <c r="A304" s="18" t="s">
        <v>22</v>
      </c>
      <c r="B304" s="18" t="s">
        <v>365</v>
      </c>
      <c r="C304" s="18" t="s">
        <v>210</v>
      </c>
      <c r="D304" s="18" t="s">
        <v>96</v>
      </c>
      <c r="E304" s="18">
        <v>58.14</v>
      </c>
      <c r="F304" s="18">
        <v>29.07</v>
      </c>
      <c r="G304" s="18">
        <v>0</v>
      </c>
      <c r="H304" s="18">
        <v>87.21</v>
      </c>
      <c r="L304" s="20" t="str">
        <f t="shared" si="8"/>
        <v>N/A</v>
      </c>
      <c r="M304" s="20" t="str">
        <f t="shared" si="9"/>
        <v>N/A</v>
      </c>
    </row>
    <row r="305" spans="1:13">
      <c r="A305" s="18" t="s">
        <v>22</v>
      </c>
      <c r="B305" s="18" t="s">
        <v>365</v>
      </c>
      <c r="C305" s="18" t="s">
        <v>210</v>
      </c>
      <c r="D305" s="18" t="s">
        <v>104</v>
      </c>
      <c r="E305" s="18">
        <v>132.72999999999999</v>
      </c>
      <c r="F305" s="18">
        <v>265.51</v>
      </c>
      <c r="G305" s="18">
        <v>0</v>
      </c>
      <c r="H305" s="18">
        <v>398.24</v>
      </c>
      <c r="L305" s="20" t="str">
        <f t="shared" si="8"/>
        <v>N/A</v>
      </c>
      <c r="M305" s="20" t="str">
        <f t="shared" si="9"/>
        <v>N/A</v>
      </c>
    </row>
    <row r="306" spans="1:13">
      <c r="A306" s="18" t="s">
        <v>22</v>
      </c>
      <c r="B306" s="18" t="s">
        <v>365</v>
      </c>
      <c r="C306" s="18" t="s">
        <v>210</v>
      </c>
      <c r="D306" s="18" t="s">
        <v>359</v>
      </c>
      <c r="E306" s="18">
        <v>6262.05</v>
      </c>
      <c r="F306" s="18">
        <v>59.29</v>
      </c>
      <c r="G306" s="18">
        <v>0</v>
      </c>
      <c r="H306" s="18">
        <v>6321.34</v>
      </c>
      <c r="L306" s="20" t="str">
        <f t="shared" si="8"/>
        <v>N/A</v>
      </c>
      <c r="M306" s="20" t="str">
        <f t="shared" si="9"/>
        <v>N/A</v>
      </c>
    </row>
    <row r="307" spans="1:13">
      <c r="A307" s="18" t="s">
        <v>22</v>
      </c>
      <c r="B307" s="18" t="s">
        <v>365</v>
      </c>
      <c r="C307" s="18" t="s">
        <v>210</v>
      </c>
      <c r="D307" s="18" t="s">
        <v>113</v>
      </c>
      <c r="E307" s="18">
        <v>8523.7900000000009</v>
      </c>
      <c r="F307" s="18">
        <v>2334.44</v>
      </c>
      <c r="G307" s="18">
        <v>0</v>
      </c>
      <c r="H307" s="18">
        <v>10858.23</v>
      </c>
      <c r="L307" s="20" t="str">
        <f t="shared" si="8"/>
        <v>N/A</v>
      </c>
      <c r="M307" s="20" t="str">
        <f t="shared" si="9"/>
        <v>N/A</v>
      </c>
    </row>
    <row r="308" spans="1:13">
      <c r="A308" s="18" t="s">
        <v>22</v>
      </c>
      <c r="B308" s="18" t="s">
        <v>365</v>
      </c>
      <c r="C308" s="18" t="s">
        <v>210</v>
      </c>
      <c r="D308" s="18" t="s">
        <v>150</v>
      </c>
      <c r="E308" s="18">
        <v>2654.86</v>
      </c>
      <c r="F308" s="18">
        <v>160.29</v>
      </c>
      <c r="G308" s="18">
        <v>0</v>
      </c>
      <c r="H308" s="18">
        <v>2815.15</v>
      </c>
      <c r="L308" s="20" t="str">
        <f t="shared" si="8"/>
        <v>N/A</v>
      </c>
      <c r="M308" s="20" t="str">
        <f t="shared" si="9"/>
        <v>N/A</v>
      </c>
    </row>
    <row r="309" spans="1:13">
      <c r="A309" s="18" t="s">
        <v>22</v>
      </c>
      <c r="B309" s="18" t="s">
        <v>365</v>
      </c>
      <c r="C309" s="18" t="s">
        <v>210</v>
      </c>
      <c r="D309" s="18" t="s">
        <v>120</v>
      </c>
      <c r="E309" s="18">
        <v>3.98</v>
      </c>
      <c r="F309" s="18">
        <v>0</v>
      </c>
      <c r="G309" s="18">
        <v>0</v>
      </c>
      <c r="H309" s="18">
        <v>3.98</v>
      </c>
      <c r="L309" s="20" t="str">
        <f t="shared" si="8"/>
        <v>N/A</v>
      </c>
      <c r="M309" s="20" t="str">
        <f t="shared" si="9"/>
        <v>N/A</v>
      </c>
    </row>
    <row r="310" spans="1:13">
      <c r="A310" s="18" t="s">
        <v>22</v>
      </c>
      <c r="B310" s="18" t="s">
        <v>365</v>
      </c>
      <c r="C310" s="18" t="s">
        <v>210</v>
      </c>
      <c r="D310" s="18" t="s">
        <v>123</v>
      </c>
      <c r="E310" s="18">
        <v>2486.33</v>
      </c>
      <c r="F310" s="18">
        <v>1265.3900000000001</v>
      </c>
      <c r="G310" s="18">
        <v>0</v>
      </c>
      <c r="H310" s="18">
        <v>3751.72</v>
      </c>
      <c r="L310" s="20" t="str">
        <f t="shared" si="8"/>
        <v>N/A</v>
      </c>
      <c r="M310" s="20" t="str">
        <f t="shared" si="9"/>
        <v>N/A</v>
      </c>
    </row>
    <row r="311" spans="1:13">
      <c r="A311" s="18" t="s">
        <v>22</v>
      </c>
      <c r="B311" s="18" t="s">
        <v>365</v>
      </c>
      <c r="C311" s="18" t="s">
        <v>210</v>
      </c>
      <c r="D311" s="18" t="s">
        <v>126</v>
      </c>
      <c r="E311" s="18">
        <v>370.12</v>
      </c>
      <c r="F311" s="18">
        <v>71.319999999999993</v>
      </c>
      <c r="G311" s="18">
        <v>0</v>
      </c>
      <c r="H311" s="18">
        <v>441.44</v>
      </c>
      <c r="L311" s="20" t="str">
        <f t="shared" si="8"/>
        <v>N/A</v>
      </c>
      <c r="M311" s="20" t="str">
        <f t="shared" si="9"/>
        <v>N/A</v>
      </c>
    </row>
    <row r="312" spans="1:13">
      <c r="A312" s="18" t="s">
        <v>22</v>
      </c>
      <c r="B312" s="18" t="s">
        <v>365</v>
      </c>
      <c r="C312" s="18" t="s">
        <v>210</v>
      </c>
      <c r="D312" s="18" t="s">
        <v>129</v>
      </c>
      <c r="E312" s="18">
        <v>345.62</v>
      </c>
      <c r="F312" s="18">
        <v>98.35</v>
      </c>
      <c r="G312" s="18">
        <v>0</v>
      </c>
      <c r="H312" s="18">
        <v>443.97</v>
      </c>
      <c r="L312" s="20" t="str">
        <f t="shared" si="8"/>
        <v>N/A</v>
      </c>
      <c r="M312" s="20" t="str">
        <f t="shared" si="9"/>
        <v>N/A</v>
      </c>
    </row>
    <row r="313" spans="1:13">
      <c r="A313" s="18" t="s">
        <v>22</v>
      </c>
      <c r="B313" s="18" t="s">
        <v>365</v>
      </c>
      <c r="C313" s="18" t="s">
        <v>210</v>
      </c>
      <c r="D313" s="18" t="s">
        <v>131</v>
      </c>
      <c r="E313" s="18">
        <v>877.86</v>
      </c>
      <c r="F313" s="18">
        <v>626.59</v>
      </c>
      <c r="G313" s="18">
        <v>0</v>
      </c>
      <c r="H313" s="18">
        <v>1504.45</v>
      </c>
      <c r="L313" s="20" t="str">
        <f t="shared" si="8"/>
        <v>N/A</v>
      </c>
      <c r="M313" s="20" t="str">
        <f t="shared" si="9"/>
        <v>N/A</v>
      </c>
    </row>
    <row r="314" spans="1:13">
      <c r="A314" s="18" t="s">
        <v>22</v>
      </c>
      <c r="B314" s="18" t="s">
        <v>365</v>
      </c>
      <c r="C314" s="18" t="s">
        <v>210</v>
      </c>
      <c r="D314" s="18" t="s">
        <v>162</v>
      </c>
      <c r="E314" s="18">
        <v>0</v>
      </c>
      <c r="F314" s="18">
        <v>0</v>
      </c>
      <c r="G314" s="18">
        <v>0</v>
      </c>
      <c r="H314" s="18">
        <v>0</v>
      </c>
      <c r="L314" s="20" t="str">
        <f t="shared" si="8"/>
        <v>N/A</v>
      </c>
      <c r="M314" s="20" t="str">
        <f t="shared" si="9"/>
        <v>N/A</v>
      </c>
    </row>
    <row r="315" spans="1:13">
      <c r="A315" s="18" t="s">
        <v>22</v>
      </c>
      <c r="B315" s="18" t="s">
        <v>365</v>
      </c>
      <c r="C315" s="18" t="s">
        <v>210</v>
      </c>
      <c r="D315" s="18" t="s">
        <v>134</v>
      </c>
      <c r="E315" s="18">
        <v>62.99</v>
      </c>
      <c r="F315" s="18">
        <v>78.709999999999994</v>
      </c>
      <c r="G315" s="18">
        <v>0</v>
      </c>
      <c r="H315" s="18">
        <v>141.69999999999999</v>
      </c>
      <c r="L315" s="20" t="str">
        <f t="shared" si="8"/>
        <v>N/A</v>
      </c>
      <c r="M315" s="20" t="str">
        <f t="shared" si="9"/>
        <v>N/A</v>
      </c>
    </row>
    <row r="316" spans="1:13">
      <c r="A316" s="18" t="s">
        <v>22</v>
      </c>
      <c r="B316" s="18" t="s">
        <v>365</v>
      </c>
      <c r="C316" s="18" t="s">
        <v>210</v>
      </c>
      <c r="D316" s="18" t="s">
        <v>139</v>
      </c>
      <c r="E316" s="18">
        <v>259.66000000000003</v>
      </c>
      <c r="F316" s="18">
        <v>129.83000000000001</v>
      </c>
      <c r="G316" s="18">
        <v>0</v>
      </c>
      <c r="H316" s="18">
        <v>389.49</v>
      </c>
      <c r="L316" s="20" t="str">
        <f t="shared" si="8"/>
        <v>N/A</v>
      </c>
      <c r="M316" s="20" t="str">
        <f t="shared" si="9"/>
        <v>N/A</v>
      </c>
    </row>
    <row r="317" spans="1:13">
      <c r="A317" s="18" t="s">
        <v>22</v>
      </c>
      <c r="B317" s="18" t="s">
        <v>365</v>
      </c>
      <c r="C317" s="18" t="s">
        <v>210</v>
      </c>
      <c r="D317" s="18" t="s">
        <v>142</v>
      </c>
      <c r="E317" s="18">
        <v>214.7</v>
      </c>
      <c r="F317" s="18">
        <v>126.8</v>
      </c>
      <c r="G317" s="18">
        <v>0</v>
      </c>
      <c r="H317" s="18">
        <v>341.5</v>
      </c>
      <c r="L317" s="20" t="str">
        <f t="shared" si="8"/>
        <v>N/A</v>
      </c>
      <c r="M317" s="20" t="str">
        <f t="shared" si="9"/>
        <v>N/A</v>
      </c>
    </row>
    <row r="318" spans="1:13">
      <c r="A318" s="18" t="s">
        <v>22</v>
      </c>
      <c r="B318" s="18" t="s">
        <v>365</v>
      </c>
      <c r="C318" s="18" t="s">
        <v>210</v>
      </c>
      <c r="D318" s="18" t="s">
        <v>163</v>
      </c>
      <c r="E318" s="18">
        <v>0</v>
      </c>
      <c r="F318" s="18">
        <v>0</v>
      </c>
      <c r="G318" s="18">
        <v>0</v>
      </c>
      <c r="H318" s="18">
        <v>0</v>
      </c>
      <c r="L318" s="20" t="str">
        <f t="shared" si="8"/>
        <v>N/A</v>
      </c>
      <c r="M318" s="20" t="str">
        <f t="shared" si="9"/>
        <v>N/A</v>
      </c>
    </row>
    <row r="319" spans="1:13">
      <c r="A319" s="18" t="s">
        <v>22</v>
      </c>
      <c r="B319" s="18" t="s">
        <v>365</v>
      </c>
      <c r="C319" s="18" t="s">
        <v>212</v>
      </c>
      <c r="D319" s="18" t="s">
        <v>87</v>
      </c>
      <c r="E319" s="18">
        <v>0</v>
      </c>
      <c r="F319" s="18">
        <v>0</v>
      </c>
      <c r="G319" s="18">
        <v>0</v>
      </c>
      <c r="H319" s="18">
        <v>0</v>
      </c>
      <c r="L319" s="20" t="str">
        <f t="shared" si="8"/>
        <v>Asset</v>
      </c>
      <c r="M319" s="20" t="str">
        <f t="shared" si="9"/>
        <v>okay</v>
      </c>
    </row>
    <row r="320" spans="1:13">
      <c r="A320" s="18" t="s">
        <v>22</v>
      </c>
      <c r="B320" s="18" t="s">
        <v>365</v>
      </c>
      <c r="C320" s="18" t="s">
        <v>212</v>
      </c>
      <c r="D320" s="18" t="s">
        <v>97</v>
      </c>
      <c r="E320" s="18">
        <v>0</v>
      </c>
      <c r="F320" s="18">
        <v>0</v>
      </c>
      <c r="G320" s="18">
        <v>0</v>
      </c>
      <c r="H320" s="18">
        <v>0</v>
      </c>
      <c r="L320" s="20" t="str">
        <f t="shared" si="8"/>
        <v>Asset</v>
      </c>
      <c r="M320" s="20" t="str">
        <f t="shared" si="9"/>
        <v>okay</v>
      </c>
    </row>
    <row r="321" spans="1:13">
      <c r="A321" s="18" t="s">
        <v>22</v>
      </c>
      <c r="B321" s="18" t="s">
        <v>365</v>
      </c>
      <c r="C321" s="18" t="s">
        <v>212</v>
      </c>
      <c r="D321" s="18" t="s">
        <v>116</v>
      </c>
      <c r="E321" s="18">
        <v>0</v>
      </c>
      <c r="F321" s="18">
        <v>0</v>
      </c>
      <c r="G321" s="18">
        <v>0</v>
      </c>
      <c r="H321" s="18">
        <v>0</v>
      </c>
      <c r="L321" s="20" t="str">
        <f t="shared" si="8"/>
        <v>N/A</v>
      </c>
      <c r="M321" s="20" t="str">
        <f t="shared" si="9"/>
        <v>N/A</v>
      </c>
    </row>
    <row r="322" spans="1:13">
      <c r="A322" s="18" t="s">
        <v>22</v>
      </c>
      <c r="B322" s="18" t="s">
        <v>365</v>
      </c>
      <c r="C322" s="18" t="s">
        <v>212</v>
      </c>
      <c r="D322" s="18" t="s">
        <v>135</v>
      </c>
      <c r="E322" s="18">
        <v>0</v>
      </c>
      <c r="F322" s="18">
        <v>0</v>
      </c>
      <c r="G322" s="18">
        <v>0</v>
      </c>
      <c r="H322" s="18">
        <v>0</v>
      </c>
      <c r="L322" s="20" t="str">
        <f t="shared" si="8"/>
        <v>N/A</v>
      </c>
      <c r="M322" s="20" t="str">
        <f t="shared" si="9"/>
        <v>N/A</v>
      </c>
    </row>
    <row r="323" spans="1:13">
      <c r="A323" s="18" t="s">
        <v>22</v>
      </c>
      <c r="B323" s="18" t="s">
        <v>365</v>
      </c>
      <c r="C323" s="18" t="s">
        <v>212</v>
      </c>
      <c r="D323" s="18" t="s">
        <v>140</v>
      </c>
      <c r="E323" s="18">
        <v>0</v>
      </c>
      <c r="F323" s="18">
        <v>0</v>
      </c>
      <c r="G323" s="18">
        <v>0</v>
      </c>
      <c r="H323" s="18">
        <v>0</v>
      </c>
      <c r="L323" s="20" t="str">
        <f t="shared" ref="L323:L386" si="10">+IF(LEFT(D323,1)="1","Asset","N/A")</f>
        <v>N/A</v>
      </c>
      <c r="M323" s="20" t="str">
        <f t="shared" ref="M323:M386" si="11">+IF(L323="asset",IF(H323&lt;0,"Provide Comment","okay"),"N/A")</f>
        <v>N/A</v>
      </c>
    </row>
    <row r="324" spans="1:13">
      <c r="A324" s="18" t="s">
        <v>22</v>
      </c>
      <c r="B324" s="18" t="s">
        <v>365</v>
      </c>
      <c r="C324" s="18" t="s">
        <v>212</v>
      </c>
      <c r="D324" s="18" t="s">
        <v>143</v>
      </c>
      <c r="E324" s="18">
        <v>0</v>
      </c>
      <c r="F324" s="18">
        <v>0</v>
      </c>
      <c r="G324" s="18">
        <v>0</v>
      </c>
      <c r="H324" s="18">
        <v>0</v>
      </c>
      <c r="L324" s="20" t="str">
        <f t="shared" si="10"/>
        <v>N/A</v>
      </c>
      <c r="M324" s="20" t="str">
        <f t="shared" si="11"/>
        <v>N/A</v>
      </c>
    </row>
    <row r="325" spans="1:13">
      <c r="A325" s="18" t="s">
        <v>22</v>
      </c>
      <c r="B325" s="18" t="s">
        <v>365</v>
      </c>
      <c r="C325" s="18" t="s">
        <v>212</v>
      </c>
      <c r="D325" s="18" t="s">
        <v>146</v>
      </c>
      <c r="E325" s="18">
        <v>0</v>
      </c>
      <c r="F325" s="18">
        <v>0</v>
      </c>
      <c r="G325" s="18">
        <v>0</v>
      </c>
      <c r="H325" s="18">
        <v>0</v>
      </c>
      <c r="L325" s="20" t="str">
        <f t="shared" si="10"/>
        <v>N/A</v>
      </c>
      <c r="M325" s="20" t="str">
        <f t="shared" si="11"/>
        <v>N/A</v>
      </c>
    </row>
    <row r="326" spans="1:13">
      <c r="A326" s="18" t="s">
        <v>22</v>
      </c>
      <c r="B326" s="18" t="s">
        <v>365</v>
      </c>
      <c r="C326" s="18" t="s">
        <v>212</v>
      </c>
      <c r="D326" s="18" t="s">
        <v>155</v>
      </c>
      <c r="E326" s="18">
        <v>0</v>
      </c>
      <c r="F326" s="18">
        <v>0</v>
      </c>
      <c r="G326" s="18">
        <v>0</v>
      </c>
      <c r="H326" s="18">
        <v>0</v>
      </c>
      <c r="L326" s="20" t="str">
        <f t="shared" si="10"/>
        <v>N/A</v>
      </c>
      <c r="M326" s="20" t="str">
        <f t="shared" si="11"/>
        <v>N/A</v>
      </c>
    </row>
    <row r="327" spans="1:13">
      <c r="A327" s="18" t="s">
        <v>22</v>
      </c>
      <c r="B327" s="18" t="s">
        <v>365</v>
      </c>
      <c r="C327" s="18" t="s">
        <v>215</v>
      </c>
      <c r="D327" s="18" t="s">
        <v>87</v>
      </c>
      <c r="E327" s="18">
        <v>779.48</v>
      </c>
      <c r="F327" s="18">
        <v>26111.23</v>
      </c>
      <c r="G327" s="18">
        <v>3374.39</v>
      </c>
      <c r="H327" s="18">
        <v>23516.32</v>
      </c>
      <c r="L327" s="20" t="str">
        <f t="shared" si="10"/>
        <v>Asset</v>
      </c>
      <c r="M327" s="20" t="str">
        <f t="shared" si="11"/>
        <v>okay</v>
      </c>
    </row>
    <row r="328" spans="1:13">
      <c r="A328" s="18" t="s">
        <v>22</v>
      </c>
      <c r="B328" s="18" t="s">
        <v>365</v>
      </c>
      <c r="C328" s="18" t="s">
        <v>215</v>
      </c>
      <c r="D328" s="18" t="s">
        <v>97</v>
      </c>
      <c r="E328" s="18">
        <v>12791788.369999999</v>
      </c>
      <c r="F328" s="18">
        <v>0</v>
      </c>
      <c r="G328" s="18">
        <v>0</v>
      </c>
      <c r="H328" s="18">
        <v>12791788.369999999</v>
      </c>
      <c r="L328" s="20" t="str">
        <f t="shared" si="10"/>
        <v>Asset</v>
      </c>
      <c r="M328" s="20" t="str">
        <f t="shared" si="11"/>
        <v>okay</v>
      </c>
    </row>
    <row r="329" spans="1:13">
      <c r="A329" s="18" t="s">
        <v>22</v>
      </c>
      <c r="B329" s="18" t="s">
        <v>365</v>
      </c>
      <c r="C329" s="18" t="s">
        <v>215</v>
      </c>
      <c r="D329" s="18" t="s">
        <v>105</v>
      </c>
      <c r="E329" s="18">
        <v>3981838.94</v>
      </c>
      <c r="F329" s="18">
        <v>186877.64</v>
      </c>
      <c r="G329" s="18">
        <v>0</v>
      </c>
      <c r="H329" s="18">
        <v>4168716.58</v>
      </c>
      <c r="L329" s="20" t="str">
        <f t="shared" si="10"/>
        <v>Asset</v>
      </c>
      <c r="M329" s="20" t="str">
        <f t="shared" si="11"/>
        <v>okay</v>
      </c>
    </row>
    <row r="330" spans="1:13">
      <c r="A330" s="18" t="s">
        <v>22</v>
      </c>
      <c r="B330" s="18" t="s">
        <v>365</v>
      </c>
      <c r="C330" s="18" t="s">
        <v>215</v>
      </c>
      <c r="D330" s="18" t="s">
        <v>108</v>
      </c>
      <c r="E330" s="18">
        <v>0</v>
      </c>
      <c r="F330" s="18">
        <v>0</v>
      </c>
      <c r="G330" s="18">
        <v>0</v>
      </c>
      <c r="H330" s="18">
        <v>0</v>
      </c>
      <c r="L330" s="20" t="str">
        <f t="shared" si="10"/>
        <v>Asset</v>
      </c>
      <c r="M330" s="20" t="str">
        <f t="shared" si="11"/>
        <v>okay</v>
      </c>
    </row>
    <row r="331" spans="1:13">
      <c r="A331" s="18" t="s">
        <v>22</v>
      </c>
      <c r="B331" s="18" t="s">
        <v>365</v>
      </c>
      <c r="C331" s="18" t="s">
        <v>215</v>
      </c>
      <c r="D331" s="18" t="s">
        <v>116</v>
      </c>
      <c r="E331" s="18">
        <v>-159.46</v>
      </c>
      <c r="F331" s="18">
        <v>0</v>
      </c>
      <c r="G331" s="18">
        <v>0</v>
      </c>
      <c r="H331" s="18">
        <v>-159.46</v>
      </c>
      <c r="L331" s="20" t="str">
        <f t="shared" si="10"/>
        <v>N/A</v>
      </c>
      <c r="M331" s="20" t="str">
        <f t="shared" si="11"/>
        <v>N/A</v>
      </c>
    </row>
    <row r="332" spans="1:13">
      <c r="A332" s="18" t="s">
        <v>22</v>
      </c>
      <c r="B332" s="18" t="s">
        <v>365</v>
      </c>
      <c r="C332" s="18" t="s">
        <v>215</v>
      </c>
      <c r="D332" s="18" t="s">
        <v>121</v>
      </c>
      <c r="E332" s="18">
        <v>-349.86</v>
      </c>
      <c r="F332" s="18">
        <v>233.22</v>
      </c>
      <c r="G332" s="18">
        <v>58.31</v>
      </c>
      <c r="H332" s="18">
        <v>-174.95</v>
      </c>
      <c r="L332" s="20" t="str">
        <f t="shared" si="10"/>
        <v>N/A</v>
      </c>
      <c r="M332" s="20" t="str">
        <f t="shared" si="11"/>
        <v>N/A</v>
      </c>
    </row>
    <row r="333" spans="1:13">
      <c r="A333" s="18" t="s">
        <v>22</v>
      </c>
      <c r="B333" s="18" t="s">
        <v>365</v>
      </c>
      <c r="C333" s="18" t="s">
        <v>215</v>
      </c>
      <c r="D333" s="18" t="s">
        <v>124</v>
      </c>
      <c r="E333" s="18">
        <v>-71.48</v>
      </c>
      <c r="F333" s="18">
        <v>0</v>
      </c>
      <c r="G333" s="18">
        <v>44.48</v>
      </c>
      <c r="H333" s="18">
        <v>-115.96</v>
      </c>
      <c r="L333" s="20" t="str">
        <f t="shared" si="10"/>
        <v>N/A</v>
      </c>
      <c r="M333" s="20" t="str">
        <f t="shared" si="11"/>
        <v>N/A</v>
      </c>
    </row>
    <row r="334" spans="1:13">
      <c r="A334" s="18" t="s">
        <v>22</v>
      </c>
      <c r="B334" s="18" t="s">
        <v>365</v>
      </c>
      <c r="C334" s="18" t="s">
        <v>215</v>
      </c>
      <c r="D334" s="18" t="s">
        <v>127</v>
      </c>
      <c r="E334" s="18">
        <v>0</v>
      </c>
      <c r="F334" s="18">
        <v>0</v>
      </c>
      <c r="G334" s="18">
        <v>0</v>
      </c>
      <c r="H334" s="18">
        <v>0</v>
      </c>
      <c r="L334" s="20" t="str">
        <f t="shared" si="10"/>
        <v>N/A</v>
      </c>
      <c r="M334" s="20" t="str">
        <f t="shared" si="11"/>
        <v>N/A</v>
      </c>
    </row>
    <row r="335" spans="1:13">
      <c r="A335" s="18" t="s">
        <v>22</v>
      </c>
      <c r="B335" s="18" t="s">
        <v>365</v>
      </c>
      <c r="C335" s="18" t="s">
        <v>215</v>
      </c>
      <c r="D335" s="18" t="s">
        <v>95</v>
      </c>
      <c r="E335" s="18">
        <v>-17.38</v>
      </c>
      <c r="F335" s="18">
        <v>4.3499999999999996</v>
      </c>
      <c r="G335" s="18">
        <v>13.05</v>
      </c>
      <c r="H335" s="18">
        <v>-26.08</v>
      </c>
      <c r="L335" s="20" t="str">
        <f t="shared" si="10"/>
        <v>N/A</v>
      </c>
      <c r="M335" s="20" t="str">
        <f t="shared" si="11"/>
        <v>N/A</v>
      </c>
    </row>
    <row r="336" spans="1:13">
      <c r="A336" s="18" t="s">
        <v>22</v>
      </c>
      <c r="B336" s="18" t="s">
        <v>365</v>
      </c>
      <c r="C336" s="18" t="s">
        <v>215</v>
      </c>
      <c r="D336" s="18" t="s">
        <v>132</v>
      </c>
      <c r="E336" s="18">
        <v>0</v>
      </c>
      <c r="F336" s="18">
        <v>0</v>
      </c>
      <c r="G336" s="18">
        <v>0</v>
      </c>
      <c r="H336" s="18">
        <v>0</v>
      </c>
      <c r="L336" s="20" t="str">
        <f t="shared" si="10"/>
        <v>N/A</v>
      </c>
      <c r="M336" s="20" t="str">
        <f t="shared" si="11"/>
        <v>N/A</v>
      </c>
    </row>
    <row r="337" spans="1:13">
      <c r="A337" s="18" t="s">
        <v>22</v>
      </c>
      <c r="B337" s="18" t="s">
        <v>365</v>
      </c>
      <c r="C337" s="18" t="s">
        <v>215</v>
      </c>
      <c r="D337" s="18" t="s">
        <v>135</v>
      </c>
      <c r="E337" s="18">
        <v>-15524691.359999999</v>
      </c>
      <c r="F337" s="18">
        <v>0</v>
      </c>
      <c r="G337" s="18">
        <v>0</v>
      </c>
      <c r="H337" s="18">
        <v>-15524691.359999999</v>
      </c>
      <c r="L337" s="20" t="str">
        <f t="shared" si="10"/>
        <v>N/A</v>
      </c>
      <c r="M337" s="20" t="str">
        <f t="shared" si="11"/>
        <v>N/A</v>
      </c>
    </row>
    <row r="338" spans="1:13">
      <c r="A338" s="18" t="s">
        <v>22</v>
      </c>
      <c r="B338" s="18" t="s">
        <v>365</v>
      </c>
      <c r="C338" s="18" t="s">
        <v>215</v>
      </c>
      <c r="D338" s="18" t="s">
        <v>140</v>
      </c>
      <c r="E338" s="18">
        <v>-37132.559999999998</v>
      </c>
      <c r="F338" s="18">
        <v>0</v>
      </c>
      <c r="G338" s="18">
        <v>26107.27</v>
      </c>
      <c r="H338" s="18">
        <v>-63239.83</v>
      </c>
      <c r="L338" s="20" t="str">
        <f t="shared" si="10"/>
        <v>N/A</v>
      </c>
      <c r="M338" s="20" t="str">
        <f t="shared" si="11"/>
        <v>N/A</v>
      </c>
    </row>
    <row r="339" spans="1:13">
      <c r="A339" s="18" t="s">
        <v>22</v>
      </c>
      <c r="B339" s="18" t="s">
        <v>365</v>
      </c>
      <c r="C339" s="18" t="s">
        <v>215</v>
      </c>
      <c r="D339" s="18" t="s">
        <v>143</v>
      </c>
      <c r="E339" s="18">
        <v>2732902.99</v>
      </c>
      <c r="F339" s="18">
        <v>0</v>
      </c>
      <c r="G339" s="18">
        <v>0</v>
      </c>
      <c r="H339" s="18">
        <v>2732902.99</v>
      </c>
      <c r="L339" s="20" t="str">
        <f t="shared" si="10"/>
        <v>N/A</v>
      </c>
      <c r="M339" s="20" t="str">
        <f t="shared" si="11"/>
        <v>N/A</v>
      </c>
    </row>
    <row r="340" spans="1:13">
      <c r="A340" s="18" t="s">
        <v>22</v>
      </c>
      <c r="B340" s="18" t="s">
        <v>365</v>
      </c>
      <c r="C340" s="18" t="s">
        <v>215</v>
      </c>
      <c r="D340" s="18" t="s">
        <v>146</v>
      </c>
      <c r="E340" s="18">
        <v>346308.93</v>
      </c>
      <c r="F340" s="18">
        <v>0</v>
      </c>
      <c r="G340" s="18">
        <v>0</v>
      </c>
      <c r="H340" s="18">
        <v>346308.93</v>
      </c>
      <c r="L340" s="20" t="str">
        <f t="shared" si="10"/>
        <v>N/A</v>
      </c>
      <c r="M340" s="20" t="str">
        <f t="shared" si="11"/>
        <v>N/A</v>
      </c>
    </row>
    <row r="341" spans="1:13">
      <c r="A341" s="18" t="s">
        <v>22</v>
      </c>
      <c r="B341" s="18" t="s">
        <v>365</v>
      </c>
      <c r="C341" s="18" t="s">
        <v>215</v>
      </c>
      <c r="D341" s="18" t="s">
        <v>147</v>
      </c>
      <c r="E341" s="18">
        <v>-3019334.94</v>
      </c>
      <c r="F341" s="18">
        <v>0</v>
      </c>
      <c r="G341" s="18">
        <v>0</v>
      </c>
      <c r="H341" s="18">
        <v>-3019334.94</v>
      </c>
      <c r="L341" s="20" t="str">
        <f t="shared" si="10"/>
        <v>N/A</v>
      </c>
      <c r="M341" s="20" t="str">
        <f t="shared" si="11"/>
        <v>N/A</v>
      </c>
    </row>
    <row r="342" spans="1:13">
      <c r="A342" s="18" t="s">
        <v>22</v>
      </c>
      <c r="B342" s="18" t="s">
        <v>365</v>
      </c>
      <c r="C342" s="18" t="s">
        <v>215</v>
      </c>
      <c r="D342" s="18" t="s">
        <v>153</v>
      </c>
      <c r="E342" s="18">
        <v>0</v>
      </c>
      <c r="F342" s="18">
        <v>0</v>
      </c>
      <c r="G342" s="18">
        <v>0</v>
      </c>
      <c r="H342" s="18">
        <v>0</v>
      </c>
      <c r="L342" s="20" t="str">
        <f t="shared" si="10"/>
        <v>N/A</v>
      </c>
      <c r="M342" s="20" t="str">
        <f t="shared" si="11"/>
        <v>N/A</v>
      </c>
    </row>
    <row r="343" spans="1:13">
      <c r="A343" s="18" t="s">
        <v>22</v>
      </c>
      <c r="B343" s="18" t="s">
        <v>365</v>
      </c>
      <c r="C343" s="18" t="s">
        <v>215</v>
      </c>
      <c r="D343" s="18" t="s">
        <v>155</v>
      </c>
      <c r="E343" s="18">
        <v>0</v>
      </c>
      <c r="F343" s="18">
        <v>0</v>
      </c>
      <c r="G343" s="18">
        <v>0</v>
      </c>
      <c r="H343" s="18">
        <v>0</v>
      </c>
      <c r="L343" s="20" t="str">
        <f t="shared" si="10"/>
        <v>N/A</v>
      </c>
      <c r="M343" s="20" t="str">
        <f t="shared" si="11"/>
        <v>N/A</v>
      </c>
    </row>
    <row r="344" spans="1:13">
      <c r="A344" s="18" t="s">
        <v>22</v>
      </c>
      <c r="B344" s="18" t="s">
        <v>365</v>
      </c>
      <c r="C344" s="18" t="s">
        <v>215</v>
      </c>
      <c r="D344" s="18" t="s">
        <v>156</v>
      </c>
      <c r="E344" s="18">
        <v>-136.75</v>
      </c>
      <c r="F344" s="18">
        <v>0</v>
      </c>
      <c r="G344" s="18">
        <v>3.96</v>
      </c>
      <c r="H344" s="18">
        <v>-140.71</v>
      </c>
      <c r="L344" s="20" t="str">
        <f t="shared" si="10"/>
        <v>N/A</v>
      </c>
      <c r="M344" s="20" t="str">
        <f t="shared" si="11"/>
        <v>N/A</v>
      </c>
    </row>
    <row r="345" spans="1:13">
      <c r="A345" s="18" t="s">
        <v>22</v>
      </c>
      <c r="B345" s="18" t="s">
        <v>365</v>
      </c>
      <c r="C345" s="18" t="s">
        <v>215</v>
      </c>
      <c r="D345" s="18" t="s">
        <v>157</v>
      </c>
      <c r="E345" s="18">
        <v>-1281718.83</v>
      </c>
      <c r="F345" s="18">
        <v>0</v>
      </c>
      <c r="G345" s="18">
        <v>186877.64</v>
      </c>
      <c r="H345" s="18">
        <v>-1468596.47</v>
      </c>
      <c r="L345" s="20" t="str">
        <f t="shared" si="10"/>
        <v>N/A</v>
      </c>
      <c r="M345" s="20" t="str">
        <f t="shared" si="11"/>
        <v>N/A</v>
      </c>
    </row>
    <row r="346" spans="1:13">
      <c r="A346" s="18" t="s">
        <v>22</v>
      </c>
      <c r="B346" s="18" t="s">
        <v>365</v>
      </c>
      <c r="C346" s="18" t="s">
        <v>215</v>
      </c>
      <c r="D346" s="18" t="s">
        <v>145</v>
      </c>
      <c r="E346" s="18">
        <v>0</v>
      </c>
      <c r="F346" s="18">
        <v>896.83</v>
      </c>
      <c r="G346" s="18">
        <v>0</v>
      </c>
      <c r="H346" s="18">
        <v>896.83</v>
      </c>
      <c r="L346" s="20" t="str">
        <f t="shared" si="10"/>
        <v>N/A</v>
      </c>
      <c r="M346" s="20" t="str">
        <f t="shared" si="11"/>
        <v>N/A</v>
      </c>
    </row>
    <row r="347" spans="1:13">
      <c r="A347" s="18" t="s">
        <v>22</v>
      </c>
      <c r="B347" s="18" t="s">
        <v>365</v>
      </c>
      <c r="C347" s="18" t="s">
        <v>215</v>
      </c>
      <c r="D347" s="18" t="s">
        <v>96</v>
      </c>
      <c r="E347" s="18">
        <v>26.1</v>
      </c>
      <c r="F347" s="18">
        <v>13.05</v>
      </c>
      <c r="G347" s="18">
        <v>0</v>
      </c>
      <c r="H347" s="18">
        <v>39.15</v>
      </c>
      <c r="L347" s="20" t="str">
        <f t="shared" si="10"/>
        <v>N/A</v>
      </c>
      <c r="M347" s="20" t="str">
        <f t="shared" si="11"/>
        <v>N/A</v>
      </c>
    </row>
    <row r="348" spans="1:13">
      <c r="A348" s="18" t="s">
        <v>22</v>
      </c>
      <c r="B348" s="18" t="s">
        <v>365</v>
      </c>
      <c r="C348" s="18" t="s">
        <v>215</v>
      </c>
      <c r="D348" s="18" t="s">
        <v>104</v>
      </c>
      <c r="E348" s="18">
        <v>59.61</v>
      </c>
      <c r="F348" s="18">
        <v>119.24</v>
      </c>
      <c r="G348" s="18">
        <v>0</v>
      </c>
      <c r="H348" s="18">
        <v>178.85</v>
      </c>
      <c r="L348" s="20" t="str">
        <f t="shared" si="10"/>
        <v>N/A</v>
      </c>
      <c r="M348" s="20" t="str">
        <f t="shared" si="11"/>
        <v>N/A</v>
      </c>
    </row>
    <row r="349" spans="1:13">
      <c r="A349" s="18" t="s">
        <v>22</v>
      </c>
      <c r="B349" s="18" t="s">
        <v>365</v>
      </c>
      <c r="C349" s="18" t="s">
        <v>215</v>
      </c>
      <c r="D349" s="18" t="s">
        <v>359</v>
      </c>
      <c r="E349" s="18">
        <v>2812.33</v>
      </c>
      <c r="F349" s="18">
        <v>26.63</v>
      </c>
      <c r="G349" s="18">
        <v>0</v>
      </c>
      <c r="H349" s="18">
        <v>2838.96</v>
      </c>
      <c r="L349" s="20" t="str">
        <f t="shared" si="10"/>
        <v>N/A</v>
      </c>
      <c r="M349" s="20" t="str">
        <f t="shared" si="11"/>
        <v>N/A</v>
      </c>
    </row>
    <row r="350" spans="1:13">
      <c r="A350" s="18" t="s">
        <v>22</v>
      </c>
      <c r="B350" s="18" t="s">
        <v>365</v>
      </c>
      <c r="C350" s="18" t="s">
        <v>215</v>
      </c>
      <c r="D350" s="18" t="s">
        <v>113</v>
      </c>
      <c r="E350" s="18">
        <v>3828.1</v>
      </c>
      <c r="F350" s="18">
        <v>1048.42</v>
      </c>
      <c r="G350" s="18">
        <v>0</v>
      </c>
      <c r="H350" s="18">
        <v>4876.5200000000004</v>
      </c>
      <c r="L350" s="20" t="str">
        <f t="shared" si="10"/>
        <v>N/A</v>
      </c>
      <c r="M350" s="20" t="str">
        <f t="shared" si="11"/>
        <v>N/A</v>
      </c>
    </row>
    <row r="351" spans="1:13">
      <c r="A351" s="18" t="s">
        <v>22</v>
      </c>
      <c r="B351" s="18" t="s">
        <v>365</v>
      </c>
      <c r="C351" s="18" t="s">
        <v>215</v>
      </c>
      <c r="D351" s="18" t="s">
        <v>150</v>
      </c>
      <c r="E351" s="18">
        <v>1192.32</v>
      </c>
      <c r="F351" s="18">
        <v>71.98</v>
      </c>
      <c r="G351" s="18">
        <v>0</v>
      </c>
      <c r="H351" s="18">
        <v>1264.3</v>
      </c>
      <c r="L351" s="20" t="str">
        <f t="shared" si="10"/>
        <v>N/A</v>
      </c>
      <c r="M351" s="20" t="str">
        <f t="shared" si="11"/>
        <v>N/A</v>
      </c>
    </row>
    <row r="352" spans="1:13">
      <c r="A352" s="18" t="s">
        <v>22</v>
      </c>
      <c r="B352" s="18" t="s">
        <v>365</v>
      </c>
      <c r="C352" s="18" t="s">
        <v>215</v>
      </c>
      <c r="D352" s="18" t="s">
        <v>120</v>
      </c>
      <c r="E352" s="18">
        <v>1.79</v>
      </c>
      <c r="F352" s="18">
        <v>0</v>
      </c>
      <c r="G352" s="18">
        <v>0</v>
      </c>
      <c r="H352" s="18">
        <v>1.79</v>
      </c>
      <c r="L352" s="20" t="str">
        <f t="shared" si="10"/>
        <v>N/A</v>
      </c>
      <c r="M352" s="20" t="str">
        <f t="shared" si="11"/>
        <v>N/A</v>
      </c>
    </row>
    <row r="353" spans="1:13">
      <c r="A353" s="18" t="s">
        <v>22</v>
      </c>
      <c r="B353" s="18" t="s">
        <v>365</v>
      </c>
      <c r="C353" s="18" t="s">
        <v>215</v>
      </c>
      <c r="D353" s="18" t="s">
        <v>123</v>
      </c>
      <c r="E353" s="18">
        <v>1116.6199999999999</v>
      </c>
      <c r="F353" s="18">
        <v>568.29999999999995</v>
      </c>
      <c r="G353" s="18">
        <v>0</v>
      </c>
      <c r="H353" s="18">
        <v>1684.92</v>
      </c>
      <c r="L353" s="20" t="str">
        <f t="shared" si="10"/>
        <v>N/A</v>
      </c>
      <c r="M353" s="20" t="str">
        <f t="shared" si="11"/>
        <v>N/A</v>
      </c>
    </row>
    <row r="354" spans="1:13">
      <c r="A354" s="18" t="s">
        <v>22</v>
      </c>
      <c r="B354" s="18" t="s">
        <v>365</v>
      </c>
      <c r="C354" s="18" t="s">
        <v>215</v>
      </c>
      <c r="D354" s="18" t="s">
        <v>126</v>
      </c>
      <c r="E354" s="18">
        <v>166.22</v>
      </c>
      <c r="F354" s="18">
        <v>32.03</v>
      </c>
      <c r="G354" s="18">
        <v>0</v>
      </c>
      <c r="H354" s="18">
        <v>198.25</v>
      </c>
      <c r="L354" s="20" t="str">
        <f t="shared" si="10"/>
        <v>N/A</v>
      </c>
      <c r="M354" s="20" t="str">
        <f t="shared" si="11"/>
        <v>N/A</v>
      </c>
    </row>
    <row r="355" spans="1:13">
      <c r="A355" s="18" t="s">
        <v>22</v>
      </c>
      <c r="B355" s="18" t="s">
        <v>365</v>
      </c>
      <c r="C355" s="18" t="s">
        <v>215</v>
      </c>
      <c r="D355" s="18" t="s">
        <v>129</v>
      </c>
      <c r="E355" s="18">
        <v>155.22</v>
      </c>
      <c r="F355" s="18">
        <v>44.17</v>
      </c>
      <c r="G355" s="18">
        <v>0</v>
      </c>
      <c r="H355" s="18">
        <v>199.39</v>
      </c>
      <c r="L355" s="20" t="str">
        <f t="shared" si="10"/>
        <v>N/A</v>
      </c>
      <c r="M355" s="20" t="str">
        <f t="shared" si="11"/>
        <v>N/A</v>
      </c>
    </row>
    <row r="356" spans="1:13">
      <c r="A356" s="18" t="s">
        <v>22</v>
      </c>
      <c r="B356" s="18" t="s">
        <v>365</v>
      </c>
      <c r="C356" s="18" t="s">
        <v>215</v>
      </c>
      <c r="D356" s="18" t="s">
        <v>131</v>
      </c>
      <c r="E356" s="18">
        <v>394.26</v>
      </c>
      <c r="F356" s="18">
        <v>281.39999999999998</v>
      </c>
      <c r="G356" s="18">
        <v>0</v>
      </c>
      <c r="H356" s="18">
        <v>675.66</v>
      </c>
      <c r="L356" s="20" t="str">
        <f t="shared" si="10"/>
        <v>N/A</v>
      </c>
      <c r="M356" s="20" t="str">
        <f t="shared" si="11"/>
        <v>N/A</v>
      </c>
    </row>
    <row r="357" spans="1:13">
      <c r="A357" s="18" t="s">
        <v>22</v>
      </c>
      <c r="B357" s="18" t="s">
        <v>365</v>
      </c>
      <c r="C357" s="18" t="s">
        <v>215</v>
      </c>
      <c r="D357" s="18" t="s">
        <v>162</v>
      </c>
      <c r="E357" s="18">
        <v>0</v>
      </c>
      <c r="F357" s="18">
        <v>0</v>
      </c>
      <c r="G357" s="18">
        <v>0</v>
      </c>
      <c r="H357" s="18">
        <v>0</v>
      </c>
      <c r="L357" s="20" t="str">
        <f t="shared" si="10"/>
        <v>N/A</v>
      </c>
      <c r="M357" s="20" t="str">
        <f t="shared" si="11"/>
        <v>N/A</v>
      </c>
    </row>
    <row r="358" spans="1:13">
      <c r="A358" s="18" t="s">
        <v>22</v>
      </c>
      <c r="B358" s="18" t="s">
        <v>365</v>
      </c>
      <c r="C358" s="18" t="s">
        <v>215</v>
      </c>
      <c r="D358" s="18" t="s">
        <v>134</v>
      </c>
      <c r="E358" s="18">
        <v>28.3</v>
      </c>
      <c r="F358" s="18">
        <v>35.35</v>
      </c>
      <c r="G358" s="18">
        <v>0</v>
      </c>
      <c r="H358" s="18">
        <v>63.65</v>
      </c>
      <c r="L358" s="20" t="str">
        <f t="shared" si="10"/>
        <v>N/A</v>
      </c>
      <c r="M358" s="20" t="str">
        <f t="shared" si="11"/>
        <v>N/A</v>
      </c>
    </row>
    <row r="359" spans="1:13">
      <c r="A359" s="18" t="s">
        <v>22</v>
      </c>
      <c r="B359" s="18" t="s">
        <v>365</v>
      </c>
      <c r="C359" s="18" t="s">
        <v>215</v>
      </c>
      <c r="D359" s="18" t="s">
        <v>139</v>
      </c>
      <c r="E359" s="18">
        <v>116.62</v>
      </c>
      <c r="F359" s="18">
        <v>58.31</v>
      </c>
      <c r="G359" s="18">
        <v>0</v>
      </c>
      <c r="H359" s="18">
        <v>174.93</v>
      </c>
      <c r="L359" s="20" t="str">
        <f t="shared" si="10"/>
        <v>N/A</v>
      </c>
      <c r="M359" s="20" t="str">
        <f t="shared" si="11"/>
        <v>N/A</v>
      </c>
    </row>
    <row r="360" spans="1:13">
      <c r="A360" s="18" t="s">
        <v>22</v>
      </c>
      <c r="B360" s="18" t="s">
        <v>365</v>
      </c>
      <c r="C360" s="18" t="s">
        <v>215</v>
      </c>
      <c r="D360" s="18" t="s">
        <v>142</v>
      </c>
      <c r="E360" s="18">
        <v>96.42</v>
      </c>
      <c r="F360" s="18">
        <v>56.95</v>
      </c>
      <c r="G360" s="18">
        <v>0</v>
      </c>
      <c r="H360" s="18">
        <v>153.37</v>
      </c>
      <c r="L360" s="20" t="str">
        <f t="shared" si="10"/>
        <v>N/A</v>
      </c>
      <c r="M360" s="20" t="str">
        <f t="shared" si="11"/>
        <v>N/A</v>
      </c>
    </row>
    <row r="361" spans="1:13">
      <c r="A361" s="18" t="s">
        <v>22</v>
      </c>
      <c r="B361" s="18" t="s">
        <v>365</v>
      </c>
      <c r="C361" s="18" t="s">
        <v>215</v>
      </c>
      <c r="D361" s="18" t="s">
        <v>163</v>
      </c>
      <c r="E361" s="18">
        <v>0</v>
      </c>
      <c r="F361" s="18">
        <v>0</v>
      </c>
      <c r="G361" s="18">
        <v>0</v>
      </c>
      <c r="H361" s="18">
        <v>0</v>
      </c>
      <c r="L361" s="20" t="str">
        <f t="shared" si="10"/>
        <v>N/A</v>
      </c>
      <c r="M361" s="20" t="str">
        <f t="shared" si="11"/>
        <v>N/A</v>
      </c>
    </row>
    <row r="362" spans="1:13">
      <c r="A362" s="18" t="s">
        <v>22</v>
      </c>
      <c r="B362" s="18" t="s">
        <v>365</v>
      </c>
      <c r="C362" s="18" t="s">
        <v>217</v>
      </c>
      <c r="D362" s="18" t="s">
        <v>87</v>
      </c>
      <c r="E362" s="18">
        <v>1255.3900000000001</v>
      </c>
      <c r="F362" s="18">
        <v>42047.9</v>
      </c>
      <c r="G362" s="18">
        <v>114883.44</v>
      </c>
      <c r="H362" s="18">
        <v>-71580.149999999994</v>
      </c>
      <c r="L362" s="20" t="str">
        <f t="shared" si="10"/>
        <v>Asset</v>
      </c>
      <c r="M362" s="20" t="str">
        <f t="shared" si="11"/>
        <v>Provide Comment</v>
      </c>
    </row>
    <row r="363" spans="1:13">
      <c r="A363" s="18" t="s">
        <v>22</v>
      </c>
      <c r="B363" s="18" t="s">
        <v>365</v>
      </c>
      <c r="C363" s="18" t="s">
        <v>217</v>
      </c>
      <c r="D363" s="18" t="s">
        <v>97</v>
      </c>
      <c r="E363" s="18">
        <v>20599102.530000001</v>
      </c>
      <c r="F363" s="18">
        <v>0</v>
      </c>
      <c r="G363" s="18">
        <v>0</v>
      </c>
      <c r="H363" s="18">
        <v>20599102.530000001</v>
      </c>
      <c r="L363" s="20" t="str">
        <f t="shared" si="10"/>
        <v>Asset</v>
      </c>
      <c r="M363" s="20" t="str">
        <f t="shared" si="11"/>
        <v>okay</v>
      </c>
    </row>
    <row r="364" spans="1:13">
      <c r="A364" s="18" t="s">
        <v>22</v>
      </c>
      <c r="B364" s="18" t="s">
        <v>365</v>
      </c>
      <c r="C364" s="18" t="s">
        <v>217</v>
      </c>
      <c r="D364" s="18" t="s">
        <v>105</v>
      </c>
      <c r="E364" s="18">
        <v>6412106.4299999997</v>
      </c>
      <c r="F364" s="18">
        <v>300936.17</v>
      </c>
      <c r="G364" s="18">
        <v>0</v>
      </c>
      <c r="H364" s="18">
        <v>6713042.5999999996</v>
      </c>
      <c r="L364" s="20" t="str">
        <f t="shared" si="10"/>
        <v>Asset</v>
      </c>
      <c r="M364" s="20" t="str">
        <f t="shared" si="11"/>
        <v>okay</v>
      </c>
    </row>
    <row r="365" spans="1:13">
      <c r="A365" s="18" t="s">
        <v>22</v>
      </c>
      <c r="B365" s="18" t="s">
        <v>365</v>
      </c>
      <c r="C365" s="18" t="s">
        <v>217</v>
      </c>
      <c r="D365" s="18" t="s">
        <v>108</v>
      </c>
      <c r="E365" s="18">
        <v>0</v>
      </c>
      <c r="F365" s="18">
        <v>0</v>
      </c>
      <c r="G365" s="18">
        <v>0</v>
      </c>
      <c r="H365" s="18">
        <v>0</v>
      </c>
      <c r="L365" s="20" t="str">
        <f t="shared" si="10"/>
        <v>Asset</v>
      </c>
      <c r="M365" s="20" t="str">
        <f t="shared" si="11"/>
        <v>okay</v>
      </c>
    </row>
    <row r="366" spans="1:13">
      <c r="A366" s="18" t="s">
        <v>21</v>
      </c>
      <c r="B366" s="18" t="s">
        <v>22</v>
      </c>
      <c r="C366" s="18" t="s">
        <v>22</v>
      </c>
      <c r="D366" s="18" t="s">
        <v>22</v>
      </c>
      <c r="E366" s="18" t="s">
        <v>22</v>
      </c>
      <c r="F366" s="18" t="s">
        <v>22</v>
      </c>
      <c r="G366" s="18" t="s">
        <v>22</v>
      </c>
      <c r="H366" s="32" t="s">
        <v>22</v>
      </c>
      <c r="L366" s="20" t="str">
        <f t="shared" si="10"/>
        <v>N/A</v>
      </c>
      <c r="M366" s="20" t="str">
        <f t="shared" si="11"/>
        <v>N/A</v>
      </c>
    </row>
    <row r="367" spans="1:13">
      <c r="A367" s="18" t="s">
        <v>22</v>
      </c>
      <c r="B367" s="18" t="s">
        <v>365</v>
      </c>
      <c r="C367" s="18" t="s">
        <v>217</v>
      </c>
      <c r="D367" s="18" t="s">
        <v>116</v>
      </c>
      <c r="E367" s="18">
        <v>-256.76</v>
      </c>
      <c r="F367" s="18">
        <v>0</v>
      </c>
      <c r="G367" s="18">
        <v>0</v>
      </c>
      <c r="H367" s="18">
        <v>-256.76</v>
      </c>
      <c r="L367" s="20" t="str">
        <f t="shared" si="10"/>
        <v>N/A</v>
      </c>
      <c r="M367" s="20" t="str">
        <f t="shared" si="11"/>
        <v>N/A</v>
      </c>
    </row>
    <row r="368" spans="1:13">
      <c r="A368" s="18" t="s">
        <v>22</v>
      </c>
      <c r="B368" s="18" t="s">
        <v>365</v>
      </c>
      <c r="C368" s="18" t="s">
        <v>217</v>
      </c>
      <c r="D368" s="18" t="s">
        <v>121</v>
      </c>
      <c r="E368" s="18">
        <v>-563.36</v>
      </c>
      <c r="F368" s="18">
        <v>375.57</v>
      </c>
      <c r="G368" s="18">
        <v>93.89</v>
      </c>
      <c r="H368" s="18">
        <v>-281.68</v>
      </c>
      <c r="L368" s="20" t="str">
        <f t="shared" si="10"/>
        <v>N/A</v>
      </c>
      <c r="M368" s="20" t="str">
        <f t="shared" si="11"/>
        <v>N/A</v>
      </c>
    </row>
    <row r="369" spans="1:13">
      <c r="A369" s="18" t="s">
        <v>22</v>
      </c>
      <c r="B369" s="18" t="s">
        <v>365</v>
      </c>
      <c r="C369" s="18" t="s">
        <v>217</v>
      </c>
      <c r="D369" s="18" t="s">
        <v>124</v>
      </c>
      <c r="E369" s="18">
        <v>-115.08</v>
      </c>
      <c r="F369" s="18">
        <v>0</v>
      </c>
      <c r="G369" s="18">
        <v>71.62</v>
      </c>
      <c r="H369" s="18">
        <v>-186.7</v>
      </c>
      <c r="L369" s="20" t="str">
        <f t="shared" si="10"/>
        <v>N/A</v>
      </c>
      <c r="M369" s="20" t="str">
        <f t="shared" si="11"/>
        <v>N/A</v>
      </c>
    </row>
    <row r="370" spans="1:13">
      <c r="A370" s="18" t="s">
        <v>22</v>
      </c>
      <c r="B370" s="18" t="s">
        <v>365</v>
      </c>
      <c r="C370" s="18" t="s">
        <v>217</v>
      </c>
      <c r="D370" s="18" t="s">
        <v>127</v>
      </c>
      <c r="E370" s="18">
        <v>0</v>
      </c>
      <c r="F370" s="18">
        <v>0</v>
      </c>
      <c r="G370" s="18">
        <v>0</v>
      </c>
      <c r="H370" s="18">
        <v>0</v>
      </c>
      <c r="L370" s="20" t="str">
        <f t="shared" si="10"/>
        <v>N/A</v>
      </c>
      <c r="M370" s="20" t="str">
        <f t="shared" si="11"/>
        <v>N/A</v>
      </c>
    </row>
    <row r="371" spans="1:13">
      <c r="A371" s="18" t="s">
        <v>22</v>
      </c>
      <c r="B371" s="18" t="s">
        <v>365</v>
      </c>
      <c r="C371" s="18" t="s">
        <v>217</v>
      </c>
      <c r="D371" s="18" t="s">
        <v>95</v>
      </c>
      <c r="E371" s="18">
        <v>-28.02</v>
      </c>
      <c r="F371" s="18">
        <v>7.01</v>
      </c>
      <c r="G371" s="18">
        <v>21.02</v>
      </c>
      <c r="H371" s="18">
        <v>-42.03</v>
      </c>
      <c r="L371" s="20" t="str">
        <f t="shared" si="10"/>
        <v>N/A</v>
      </c>
      <c r="M371" s="20" t="str">
        <f t="shared" si="11"/>
        <v>N/A</v>
      </c>
    </row>
    <row r="372" spans="1:13">
      <c r="A372" s="18" t="s">
        <v>22</v>
      </c>
      <c r="B372" s="18" t="s">
        <v>365</v>
      </c>
      <c r="C372" s="18" t="s">
        <v>217</v>
      </c>
      <c r="D372" s="18" t="s">
        <v>132</v>
      </c>
      <c r="E372" s="18">
        <v>0</v>
      </c>
      <c r="F372" s="18">
        <v>0</v>
      </c>
      <c r="G372" s="18">
        <v>0</v>
      </c>
      <c r="H372" s="18">
        <v>0</v>
      </c>
      <c r="L372" s="20" t="str">
        <f t="shared" si="10"/>
        <v>N/A</v>
      </c>
      <c r="M372" s="20" t="str">
        <f t="shared" si="11"/>
        <v>N/A</v>
      </c>
    </row>
    <row r="373" spans="1:13">
      <c r="A373" s="18" t="s">
        <v>22</v>
      </c>
      <c r="B373" s="18" t="s">
        <v>365</v>
      </c>
      <c r="C373" s="18" t="s">
        <v>217</v>
      </c>
      <c r="D373" s="18" t="s">
        <v>135</v>
      </c>
      <c r="E373" s="18">
        <v>-25000000</v>
      </c>
      <c r="F373" s="18">
        <v>0</v>
      </c>
      <c r="G373" s="18">
        <v>0</v>
      </c>
      <c r="H373" s="18">
        <v>-25000000</v>
      </c>
      <c r="L373" s="20" t="str">
        <f t="shared" si="10"/>
        <v>N/A</v>
      </c>
      <c r="M373" s="20" t="str">
        <f t="shared" si="11"/>
        <v>N/A</v>
      </c>
    </row>
    <row r="374" spans="1:13">
      <c r="A374" s="18" t="s">
        <v>22</v>
      </c>
      <c r="B374" s="18" t="s">
        <v>365</v>
      </c>
      <c r="C374" s="18" t="s">
        <v>217</v>
      </c>
      <c r="D374" s="18" t="s">
        <v>140</v>
      </c>
      <c r="E374" s="18">
        <v>-59795.96</v>
      </c>
      <c r="F374" s="18">
        <v>0</v>
      </c>
      <c r="G374" s="18">
        <v>42041.52</v>
      </c>
      <c r="H374" s="18">
        <v>-101837.48</v>
      </c>
      <c r="L374" s="20" t="str">
        <f t="shared" si="10"/>
        <v>N/A</v>
      </c>
      <c r="M374" s="20" t="str">
        <f t="shared" si="11"/>
        <v>N/A</v>
      </c>
    </row>
    <row r="375" spans="1:13">
      <c r="A375" s="18" t="s">
        <v>22</v>
      </c>
      <c r="B375" s="18" t="s">
        <v>365</v>
      </c>
      <c r="C375" s="18" t="s">
        <v>217</v>
      </c>
      <c r="D375" s="18" t="s">
        <v>143</v>
      </c>
      <c r="E375" s="18">
        <v>4400897.47</v>
      </c>
      <c r="F375" s="18">
        <v>0</v>
      </c>
      <c r="G375" s="18">
        <v>0</v>
      </c>
      <c r="H375" s="18">
        <v>4400897.47</v>
      </c>
      <c r="L375" s="20" t="str">
        <f t="shared" si="10"/>
        <v>N/A</v>
      </c>
      <c r="M375" s="20" t="str">
        <f t="shared" si="11"/>
        <v>N/A</v>
      </c>
    </row>
    <row r="376" spans="1:13">
      <c r="A376" s="18" t="s">
        <v>22</v>
      </c>
      <c r="B376" s="18" t="s">
        <v>365</v>
      </c>
      <c r="C376" s="18" t="s">
        <v>217</v>
      </c>
      <c r="D376" s="18" t="s">
        <v>146</v>
      </c>
      <c r="E376" s="18">
        <v>557674.42000000004</v>
      </c>
      <c r="F376" s="18">
        <v>0</v>
      </c>
      <c r="G376" s="18">
        <v>0</v>
      </c>
      <c r="H376" s="18">
        <v>557674.42000000004</v>
      </c>
      <c r="L376" s="20" t="str">
        <f t="shared" si="10"/>
        <v>N/A</v>
      </c>
      <c r="M376" s="20" t="str">
        <f t="shared" si="11"/>
        <v>N/A</v>
      </c>
    </row>
    <row r="377" spans="1:13">
      <c r="A377" s="18" t="s">
        <v>22</v>
      </c>
      <c r="B377" s="18" t="s">
        <v>365</v>
      </c>
      <c r="C377" s="18" t="s">
        <v>217</v>
      </c>
      <c r="D377" s="18" t="s">
        <v>147</v>
      </c>
      <c r="E377" s="18">
        <v>-4862149.6500000004</v>
      </c>
      <c r="F377" s="18">
        <v>0</v>
      </c>
      <c r="G377" s="18">
        <v>0</v>
      </c>
      <c r="H377" s="18">
        <v>-4862149.6500000004</v>
      </c>
      <c r="L377" s="20" t="str">
        <f t="shared" si="10"/>
        <v>N/A</v>
      </c>
      <c r="M377" s="20" t="str">
        <f t="shared" si="11"/>
        <v>N/A</v>
      </c>
    </row>
    <row r="378" spans="1:13">
      <c r="A378" s="18" t="s">
        <v>22</v>
      </c>
      <c r="B378" s="18" t="s">
        <v>365</v>
      </c>
      <c r="C378" s="18" t="s">
        <v>217</v>
      </c>
      <c r="D378" s="18" t="s">
        <v>153</v>
      </c>
      <c r="E378" s="18">
        <v>0</v>
      </c>
      <c r="F378" s="18">
        <v>0</v>
      </c>
      <c r="G378" s="18">
        <v>0</v>
      </c>
      <c r="H378" s="18">
        <v>0</v>
      </c>
      <c r="L378" s="20" t="str">
        <f t="shared" si="10"/>
        <v>N/A</v>
      </c>
      <c r="M378" s="20" t="str">
        <f t="shared" si="11"/>
        <v>N/A</v>
      </c>
    </row>
    <row r="379" spans="1:13">
      <c r="A379" s="18" t="s">
        <v>22</v>
      </c>
      <c r="B379" s="18" t="s">
        <v>365</v>
      </c>
      <c r="C379" s="18" t="s">
        <v>217</v>
      </c>
      <c r="D379" s="18" t="s">
        <v>155</v>
      </c>
      <c r="E379" s="18">
        <v>0</v>
      </c>
      <c r="F379" s="18">
        <v>0</v>
      </c>
      <c r="G379" s="18">
        <v>0</v>
      </c>
      <c r="H379" s="18">
        <v>0</v>
      </c>
      <c r="L379" s="20" t="str">
        <f t="shared" si="10"/>
        <v>N/A</v>
      </c>
      <c r="M379" s="20" t="str">
        <f t="shared" si="11"/>
        <v>N/A</v>
      </c>
    </row>
    <row r="380" spans="1:13">
      <c r="A380" s="18" t="s">
        <v>22</v>
      </c>
      <c r="B380" s="18" t="s">
        <v>365</v>
      </c>
      <c r="C380" s="18" t="s">
        <v>217</v>
      </c>
      <c r="D380" s="18" t="s">
        <v>156</v>
      </c>
      <c r="E380" s="18">
        <v>-220.21</v>
      </c>
      <c r="F380" s="18">
        <v>0</v>
      </c>
      <c r="G380" s="18">
        <v>6.38</v>
      </c>
      <c r="H380" s="18">
        <v>-226.59</v>
      </c>
      <c r="L380" s="20" t="str">
        <f t="shared" si="10"/>
        <v>N/A</v>
      </c>
      <c r="M380" s="20" t="str">
        <f t="shared" si="11"/>
        <v>N/A</v>
      </c>
    </row>
    <row r="381" spans="1:13">
      <c r="A381" s="18" t="s">
        <v>22</v>
      </c>
      <c r="B381" s="18" t="s">
        <v>365</v>
      </c>
      <c r="C381" s="18" t="s">
        <v>217</v>
      </c>
      <c r="D381" s="18" t="s">
        <v>157</v>
      </c>
      <c r="E381" s="18">
        <v>-2064000.5</v>
      </c>
      <c r="F381" s="18">
        <v>0</v>
      </c>
      <c r="G381" s="18">
        <v>300936.17</v>
      </c>
      <c r="H381" s="18">
        <v>-2364936.67</v>
      </c>
      <c r="L381" s="20" t="str">
        <f t="shared" si="10"/>
        <v>N/A</v>
      </c>
      <c r="M381" s="20" t="str">
        <f t="shared" si="11"/>
        <v>N/A</v>
      </c>
    </row>
    <row r="382" spans="1:13">
      <c r="A382" s="18" t="s">
        <v>22</v>
      </c>
      <c r="B382" s="18" t="s">
        <v>365</v>
      </c>
      <c r="C382" s="18" t="s">
        <v>217</v>
      </c>
      <c r="D382" s="18" t="s">
        <v>145</v>
      </c>
      <c r="E382" s="18">
        <v>0</v>
      </c>
      <c r="F382" s="18">
        <v>1444.2</v>
      </c>
      <c r="G382" s="18">
        <v>0</v>
      </c>
      <c r="H382" s="18">
        <v>1444.2</v>
      </c>
      <c r="L382" s="20" t="str">
        <f t="shared" si="10"/>
        <v>N/A</v>
      </c>
      <c r="M382" s="20" t="str">
        <f t="shared" si="11"/>
        <v>N/A</v>
      </c>
    </row>
    <row r="383" spans="1:13">
      <c r="A383" s="18" t="s">
        <v>22</v>
      </c>
      <c r="B383" s="18" t="s">
        <v>365</v>
      </c>
      <c r="C383" s="18" t="s">
        <v>217</v>
      </c>
      <c r="D383" s="18" t="s">
        <v>96</v>
      </c>
      <c r="E383" s="18">
        <v>42.04</v>
      </c>
      <c r="F383" s="18">
        <v>21.02</v>
      </c>
      <c r="G383" s="18">
        <v>0</v>
      </c>
      <c r="H383" s="18">
        <v>63.06</v>
      </c>
      <c r="L383" s="20" t="str">
        <f t="shared" si="10"/>
        <v>N/A</v>
      </c>
      <c r="M383" s="20" t="str">
        <f t="shared" si="11"/>
        <v>N/A</v>
      </c>
    </row>
    <row r="384" spans="1:13">
      <c r="A384" s="18" t="s">
        <v>22</v>
      </c>
      <c r="B384" s="18" t="s">
        <v>365</v>
      </c>
      <c r="C384" s="18" t="s">
        <v>217</v>
      </c>
      <c r="D384" s="18" t="s">
        <v>104</v>
      </c>
      <c r="E384" s="18">
        <v>95.99</v>
      </c>
      <c r="F384" s="18">
        <v>192.02</v>
      </c>
      <c r="G384" s="18">
        <v>0</v>
      </c>
      <c r="H384" s="18">
        <v>288.01</v>
      </c>
      <c r="L384" s="20" t="str">
        <f t="shared" si="10"/>
        <v>N/A</v>
      </c>
      <c r="M384" s="20" t="str">
        <f t="shared" si="11"/>
        <v>N/A</v>
      </c>
    </row>
    <row r="385" spans="1:13">
      <c r="A385" s="18" t="s">
        <v>22</v>
      </c>
      <c r="B385" s="18" t="s">
        <v>365</v>
      </c>
      <c r="C385" s="18" t="s">
        <v>217</v>
      </c>
      <c r="D385" s="18" t="s">
        <v>359</v>
      </c>
      <c r="E385" s="18">
        <v>4528.8</v>
      </c>
      <c r="F385" s="18">
        <v>42.88</v>
      </c>
      <c r="G385" s="18">
        <v>0</v>
      </c>
      <c r="H385" s="18">
        <v>4571.68</v>
      </c>
      <c r="L385" s="20" t="str">
        <f t="shared" si="10"/>
        <v>N/A</v>
      </c>
      <c r="M385" s="20" t="str">
        <f t="shared" si="11"/>
        <v>N/A</v>
      </c>
    </row>
    <row r="386" spans="1:13">
      <c r="A386" s="18" t="s">
        <v>22</v>
      </c>
      <c r="B386" s="18" t="s">
        <v>365</v>
      </c>
      <c r="C386" s="18" t="s">
        <v>217</v>
      </c>
      <c r="D386" s="18" t="s">
        <v>113</v>
      </c>
      <c r="E386" s="18">
        <v>6164.52</v>
      </c>
      <c r="F386" s="18">
        <v>1688.3</v>
      </c>
      <c r="G386" s="18">
        <v>0</v>
      </c>
      <c r="H386" s="18">
        <v>7852.82</v>
      </c>
      <c r="L386" s="20" t="str">
        <f t="shared" si="10"/>
        <v>N/A</v>
      </c>
      <c r="M386" s="20" t="str">
        <f t="shared" si="11"/>
        <v>N/A</v>
      </c>
    </row>
    <row r="387" spans="1:13">
      <c r="A387" s="18" t="s">
        <v>22</v>
      </c>
      <c r="B387" s="18" t="s">
        <v>365</v>
      </c>
      <c r="C387" s="18" t="s">
        <v>217</v>
      </c>
      <c r="D387" s="18" t="s">
        <v>150</v>
      </c>
      <c r="E387" s="18">
        <v>1920.03</v>
      </c>
      <c r="F387" s="18">
        <v>115.92</v>
      </c>
      <c r="G387" s="18">
        <v>0</v>
      </c>
      <c r="H387" s="18">
        <v>2035.95</v>
      </c>
      <c r="L387" s="20" t="str">
        <f t="shared" ref="L387:L450" si="12">+IF(LEFT(D387,1)="1","Asset","N/A")</f>
        <v>N/A</v>
      </c>
      <c r="M387" s="20" t="str">
        <f t="shared" ref="M387:M450" si="13">+IF(L387="asset",IF(H387&lt;0,"Provide Comment","okay"),"N/A")</f>
        <v>N/A</v>
      </c>
    </row>
    <row r="388" spans="1:13">
      <c r="A388" s="18" t="s">
        <v>22</v>
      </c>
      <c r="B388" s="18" t="s">
        <v>365</v>
      </c>
      <c r="C388" s="18" t="s">
        <v>217</v>
      </c>
      <c r="D388" s="18" t="s">
        <v>120</v>
      </c>
      <c r="E388" s="18">
        <v>2.88</v>
      </c>
      <c r="F388" s="18">
        <v>0</v>
      </c>
      <c r="G388" s="18">
        <v>0</v>
      </c>
      <c r="H388" s="18">
        <v>2.88</v>
      </c>
      <c r="L388" s="20" t="str">
        <f t="shared" si="12"/>
        <v>N/A</v>
      </c>
      <c r="M388" s="20" t="str">
        <f t="shared" si="13"/>
        <v>N/A</v>
      </c>
    </row>
    <row r="389" spans="1:13">
      <c r="A389" s="18" t="s">
        <v>22</v>
      </c>
      <c r="B389" s="18" t="s">
        <v>365</v>
      </c>
      <c r="C389" s="18" t="s">
        <v>217</v>
      </c>
      <c r="D389" s="18" t="s">
        <v>123</v>
      </c>
      <c r="E389" s="18">
        <v>1798.15</v>
      </c>
      <c r="F389" s="18">
        <v>915.15</v>
      </c>
      <c r="G389" s="18">
        <v>0</v>
      </c>
      <c r="H389" s="18">
        <v>2713.3</v>
      </c>
      <c r="L389" s="20" t="str">
        <f t="shared" si="12"/>
        <v>N/A</v>
      </c>
      <c r="M389" s="20" t="str">
        <f t="shared" si="13"/>
        <v>N/A</v>
      </c>
    </row>
    <row r="390" spans="1:13">
      <c r="A390" s="18" t="s">
        <v>22</v>
      </c>
      <c r="B390" s="18" t="s">
        <v>365</v>
      </c>
      <c r="C390" s="18" t="s">
        <v>217</v>
      </c>
      <c r="D390" s="18" t="s">
        <v>126</v>
      </c>
      <c r="E390" s="18">
        <v>267.67</v>
      </c>
      <c r="F390" s="18">
        <v>51.58</v>
      </c>
      <c r="G390" s="18">
        <v>0</v>
      </c>
      <c r="H390" s="18">
        <v>319.25</v>
      </c>
      <c r="L390" s="20" t="str">
        <f t="shared" si="12"/>
        <v>N/A</v>
      </c>
      <c r="M390" s="20" t="str">
        <f t="shared" si="13"/>
        <v>N/A</v>
      </c>
    </row>
    <row r="391" spans="1:13">
      <c r="A391" s="18" t="s">
        <v>22</v>
      </c>
      <c r="B391" s="18" t="s">
        <v>365</v>
      </c>
      <c r="C391" s="18" t="s">
        <v>217</v>
      </c>
      <c r="D391" s="18" t="s">
        <v>129</v>
      </c>
      <c r="E391" s="18">
        <v>249.95</v>
      </c>
      <c r="F391" s="18">
        <v>71.13</v>
      </c>
      <c r="G391" s="18">
        <v>0</v>
      </c>
      <c r="H391" s="18">
        <v>321.08</v>
      </c>
      <c r="L391" s="20" t="str">
        <f t="shared" si="12"/>
        <v>N/A</v>
      </c>
      <c r="M391" s="20" t="str">
        <f t="shared" si="13"/>
        <v>N/A</v>
      </c>
    </row>
    <row r="392" spans="1:13">
      <c r="A392" s="18" t="s">
        <v>22</v>
      </c>
      <c r="B392" s="18" t="s">
        <v>365</v>
      </c>
      <c r="C392" s="18" t="s">
        <v>217</v>
      </c>
      <c r="D392" s="18" t="s">
        <v>131</v>
      </c>
      <c r="E392" s="18">
        <v>634.88</v>
      </c>
      <c r="F392" s="18">
        <v>453.16</v>
      </c>
      <c r="G392" s="18">
        <v>0</v>
      </c>
      <c r="H392" s="18">
        <v>1088.04</v>
      </c>
      <c r="L392" s="20" t="str">
        <f t="shared" si="12"/>
        <v>N/A</v>
      </c>
      <c r="M392" s="20" t="str">
        <f t="shared" si="13"/>
        <v>N/A</v>
      </c>
    </row>
    <row r="393" spans="1:13">
      <c r="A393" s="18" t="s">
        <v>22</v>
      </c>
      <c r="B393" s="18" t="s">
        <v>365</v>
      </c>
      <c r="C393" s="18" t="s">
        <v>217</v>
      </c>
      <c r="D393" s="18" t="s">
        <v>162</v>
      </c>
      <c r="E393" s="18">
        <v>0</v>
      </c>
      <c r="F393" s="18">
        <v>0</v>
      </c>
      <c r="G393" s="18">
        <v>0</v>
      </c>
      <c r="H393" s="18">
        <v>0</v>
      </c>
      <c r="L393" s="20" t="str">
        <f t="shared" si="12"/>
        <v>N/A</v>
      </c>
      <c r="M393" s="20" t="str">
        <f t="shared" si="13"/>
        <v>N/A</v>
      </c>
    </row>
    <row r="394" spans="1:13">
      <c r="A394" s="18" t="s">
        <v>22</v>
      </c>
      <c r="B394" s="18" t="s">
        <v>365</v>
      </c>
      <c r="C394" s="18" t="s">
        <v>217</v>
      </c>
      <c r="D394" s="18" t="s">
        <v>134</v>
      </c>
      <c r="E394" s="18">
        <v>45.57</v>
      </c>
      <c r="F394" s="18">
        <v>56.92</v>
      </c>
      <c r="G394" s="18">
        <v>0</v>
      </c>
      <c r="H394" s="18">
        <v>102.49</v>
      </c>
      <c r="L394" s="20" t="str">
        <f t="shared" si="12"/>
        <v>N/A</v>
      </c>
      <c r="M394" s="20" t="str">
        <f t="shared" si="13"/>
        <v>N/A</v>
      </c>
    </row>
    <row r="395" spans="1:13">
      <c r="A395" s="18" t="s">
        <v>22</v>
      </c>
      <c r="B395" s="18" t="s">
        <v>365</v>
      </c>
      <c r="C395" s="18" t="s">
        <v>217</v>
      </c>
      <c r="D395" s="18" t="s">
        <v>139</v>
      </c>
      <c r="E395" s="18">
        <v>187.78</v>
      </c>
      <c r="F395" s="18">
        <v>93.89</v>
      </c>
      <c r="G395" s="18">
        <v>0</v>
      </c>
      <c r="H395" s="18">
        <v>281.67</v>
      </c>
      <c r="L395" s="20" t="str">
        <f t="shared" si="12"/>
        <v>N/A</v>
      </c>
      <c r="M395" s="20" t="str">
        <f t="shared" si="13"/>
        <v>N/A</v>
      </c>
    </row>
    <row r="396" spans="1:13">
      <c r="A396" s="18" t="s">
        <v>22</v>
      </c>
      <c r="B396" s="18" t="s">
        <v>365</v>
      </c>
      <c r="C396" s="18" t="s">
        <v>217</v>
      </c>
      <c r="D396" s="18" t="s">
        <v>142</v>
      </c>
      <c r="E396" s="18">
        <v>155.26</v>
      </c>
      <c r="F396" s="18">
        <v>91.7</v>
      </c>
      <c r="G396" s="18">
        <v>0</v>
      </c>
      <c r="H396" s="18">
        <v>246.96</v>
      </c>
      <c r="L396" s="20" t="str">
        <f t="shared" si="12"/>
        <v>N/A</v>
      </c>
      <c r="M396" s="20" t="str">
        <f t="shared" si="13"/>
        <v>N/A</v>
      </c>
    </row>
    <row r="397" spans="1:13">
      <c r="A397" s="18" t="s">
        <v>22</v>
      </c>
      <c r="B397" s="18" t="s">
        <v>365</v>
      </c>
      <c r="C397" s="18" t="s">
        <v>217</v>
      </c>
      <c r="D397" s="18" t="s">
        <v>163</v>
      </c>
      <c r="E397" s="18">
        <v>0</v>
      </c>
      <c r="F397" s="18">
        <v>0</v>
      </c>
      <c r="G397" s="18">
        <v>0</v>
      </c>
      <c r="H397" s="18">
        <v>0</v>
      </c>
      <c r="L397" s="20" t="str">
        <f t="shared" si="12"/>
        <v>N/A</v>
      </c>
      <c r="M397" s="20" t="str">
        <f t="shared" si="13"/>
        <v>N/A</v>
      </c>
    </row>
    <row r="398" spans="1:13">
      <c r="A398" s="18" t="s">
        <v>22</v>
      </c>
      <c r="B398" s="18" t="s">
        <v>365</v>
      </c>
      <c r="C398" s="18" t="s">
        <v>219</v>
      </c>
      <c r="D398" s="18" t="s">
        <v>87</v>
      </c>
      <c r="E398" s="18">
        <v>595.04999999999995</v>
      </c>
      <c r="F398" s="18">
        <v>19933.830000000002</v>
      </c>
      <c r="G398" s="18">
        <v>2576.08</v>
      </c>
      <c r="H398" s="18">
        <v>17952.8</v>
      </c>
      <c r="L398" s="20" t="str">
        <f t="shared" si="12"/>
        <v>Asset</v>
      </c>
      <c r="M398" s="20" t="str">
        <f t="shared" si="13"/>
        <v>okay</v>
      </c>
    </row>
    <row r="399" spans="1:13">
      <c r="A399" s="18" t="s">
        <v>22</v>
      </c>
      <c r="B399" s="18" t="s">
        <v>365</v>
      </c>
      <c r="C399" s="18" t="s">
        <v>219</v>
      </c>
      <c r="D399" s="18" t="s">
        <v>97</v>
      </c>
      <c r="E399" s="18">
        <v>9765500.4499999993</v>
      </c>
      <c r="F399" s="18">
        <v>0</v>
      </c>
      <c r="G399" s="18">
        <v>0</v>
      </c>
      <c r="H399" s="18">
        <v>9765500.4499999993</v>
      </c>
      <c r="L399" s="20" t="str">
        <f t="shared" si="12"/>
        <v>Asset</v>
      </c>
      <c r="M399" s="20" t="str">
        <f t="shared" si="13"/>
        <v>okay</v>
      </c>
    </row>
    <row r="400" spans="1:13">
      <c r="A400" s="18" t="s">
        <v>22</v>
      </c>
      <c r="B400" s="18" t="s">
        <v>365</v>
      </c>
      <c r="C400" s="18" t="s">
        <v>219</v>
      </c>
      <c r="D400" s="18" t="s">
        <v>105</v>
      </c>
      <c r="E400" s="18">
        <v>3039813.43</v>
      </c>
      <c r="F400" s="18">
        <v>142666.03</v>
      </c>
      <c r="G400" s="18">
        <v>0</v>
      </c>
      <c r="H400" s="18">
        <v>3182479.46</v>
      </c>
      <c r="L400" s="20" t="str">
        <f t="shared" si="12"/>
        <v>Asset</v>
      </c>
      <c r="M400" s="20" t="str">
        <f t="shared" si="13"/>
        <v>okay</v>
      </c>
    </row>
    <row r="401" spans="1:13">
      <c r="A401" s="18" t="s">
        <v>22</v>
      </c>
      <c r="B401" s="18" t="s">
        <v>365</v>
      </c>
      <c r="C401" s="18" t="s">
        <v>219</v>
      </c>
      <c r="D401" s="18" t="s">
        <v>108</v>
      </c>
      <c r="E401" s="18">
        <v>0</v>
      </c>
      <c r="F401" s="18">
        <v>0</v>
      </c>
      <c r="G401" s="18">
        <v>0</v>
      </c>
      <c r="H401" s="18">
        <v>0</v>
      </c>
      <c r="L401" s="20" t="str">
        <f t="shared" si="12"/>
        <v>Asset</v>
      </c>
      <c r="M401" s="20" t="str">
        <f t="shared" si="13"/>
        <v>okay</v>
      </c>
    </row>
    <row r="402" spans="1:13">
      <c r="A402" s="18" t="s">
        <v>22</v>
      </c>
      <c r="B402" s="18" t="s">
        <v>365</v>
      </c>
      <c r="C402" s="18" t="s">
        <v>219</v>
      </c>
      <c r="D402" s="18" t="s">
        <v>116</v>
      </c>
      <c r="E402" s="18">
        <v>-121.74</v>
      </c>
      <c r="F402" s="18">
        <v>0</v>
      </c>
      <c r="G402" s="18">
        <v>0</v>
      </c>
      <c r="H402" s="18">
        <v>-121.74</v>
      </c>
      <c r="L402" s="20" t="str">
        <f t="shared" si="12"/>
        <v>N/A</v>
      </c>
      <c r="M402" s="20" t="str">
        <f t="shared" si="13"/>
        <v>N/A</v>
      </c>
    </row>
    <row r="403" spans="1:13">
      <c r="A403" s="18" t="s">
        <v>22</v>
      </c>
      <c r="B403" s="18" t="s">
        <v>365</v>
      </c>
      <c r="C403" s="18" t="s">
        <v>219</v>
      </c>
      <c r="D403" s="18" t="s">
        <v>121</v>
      </c>
      <c r="E403" s="18">
        <v>-267.07</v>
      </c>
      <c r="F403" s="18">
        <v>178.05</v>
      </c>
      <c r="G403" s="18">
        <v>44.51</v>
      </c>
      <c r="H403" s="18">
        <v>-133.53</v>
      </c>
      <c r="L403" s="20" t="str">
        <f t="shared" si="12"/>
        <v>N/A</v>
      </c>
      <c r="M403" s="20" t="str">
        <f t="shared" si="13"/>
        <v>N/A</v>
      </c>
    </row>
    <row r="404" spans="1:13">
      <c r="A404" s="18" t="s">
        <v>22</v>
      </c>
      <c r="B404" s="18" t="s">
        <v>365</v>
      </c>
      <c r="C404" s="18" t="s">
        <v>219</v>
      </c>
      <c r="D404" s="18" t="s">
        <v>124</v>
      </c>
      <c r="E404" s="18">
        <v>-54.57</v>
      </c>
      <c r="F404" s="18">
        <v>0</v>
      </c>
      <c r="G404" s="18">
        <v>33.96</v>
      </c>
      <c r="H404" s="18">
        <v>-88.53</v>
      </c>
      <c r="L404" s="20" t="str">
        <f t="shared" si="12"/>
        <v>N/A</v>
      </c>
      <c r="M404" s="20" t="str">
        <f t="shared" si="13"/>
        <v>N/A</v>
      </c>
    </row>
    <row r="405" spans="1:13">
      <c r="A405" s="18" t="s">
        <v>22</v>
      </c>
      <c r="B405" s="18" t="s">
        <v>365</v>
      </c>
      <c r="C405" s="18" t="s">
        <v>219</v>
      </c>
      <c r="D405" s="18" t="s">
        <v>127</v>
      </c>
      <c r="E405" s="18">
        <v>0</v>
      </c>
      <c r="F405" s="18">
        <v>0</v>
      </c>
      <c r="G405" s="18">
        <v>0</v>
      </c>
      <c r="H405" s="18">
        <v>0</v>
      </c>
      <c r="L405" s="20" t="str">
        <f t="shared" si="12"/>
        <v>N/A</v>
      </c>
      <c r="M405" s="20" t="str">
        <f t="shared" si="13"/>
        <v>N/A</v>
      </c>
    </row>
    <row r="406" spans="1:13">
      <c r="A406" s="18" t="s">
        <v>22</v>
      </c>
      <c r="B406" s="18" t="s">
        <v>365</v>
      </c>
      <c r="C406" s="18" t="s">
        <v>219</v>
      </c>
      <c r="D406" s="18" t="s">
        <v>95</v>
      </c>
      <c r="E406" s="18">
        <v>-13.33</v>
      </c>
      <c r="F406" s="18">
        <v>3.32</v>
      </c>
      <c r="G406" s="18">
        <v>9.9700000000000006</v>
      </c>
      <c r="H406" s="18">
        <v>-19.98</v>
      </c>
      <c r="L406" s="20" t="str">
        <f t="shared" si="12"/>
        <v>N/A</v>
      </c>
      <c r="M406" s="20" t="str">
        <f t="shared" si="13"/>
        <v>N/A</v>
      </c>
    </row>
    <row r="407" spans="1:13">
      <c r="A407" s="18" t="s">
        <v>22</v>
      </c>
      <c r="B407" s="18" t="s">
        <v>365</v>
      </c>
      <c r="C407" s="18" t="s">
        <v>219</v>
      </c>
      <c r="D407" s="18" t="s">
        <v>132</v>
      </c>
      <c r="E407" s="18">
        <v>0</v>
      </c>
      <c r="F407" s="18">
        <v>0</v>
      </c>
      <c r="G407" s="18">
        <v>0</v>
      </c>
      <c r="H407" s="18">
        <v>0</v>
      </c>
      <c r="L407" s="20" t="str">
        <f t="shared" si="12"/>
        <v>N/A</v>
      </c>
      <c r="M407" s="20" t="str">
        <f t="shared" si="13"/>
        <v>N/A</v>
      </c>
    </row>
    <row r="408" spans="1:13">
      <c r="A408" s="18" t="s">
        <v>22</v>
      </c>
      <c r="B408" s="18" t="s">
        <v>365</v>
      </c>
      <c r="C408" s="18" t="s">
        <v>219</v>
      </c>
      <c r="D408" s="18" t="s">
        <v>135</v>
      </c>
      <c r="E408" s="18">
        <v>-11851851.85</v>
      </c>
      <c r="F408" s="18">
        <v>0</v>
      </c>
      <c r="G408" s="18">
        <v>0</v>
      </c>
      <c r="H408" s="18">
        <v>-11851851.85</v>
      </c>
      <c r="L408" s="20" t="str">
        <f t="shared" si="12"/>
        <v>N/A</v>
      </c>
      <c r="M408" s="20" t="str">
        <f t="shared" si="13"/>
        <v>N/A</v>
      </c>
    </row>
    <row r="409" spans="1:13">
      <c r="A409" s="18" t="s">
        <v>22</v>
      </c>
      <c r="B409" s="18" t="s">
        <v>365</v>
      </c>
      <c r="C409" s="18" t="s">
        <v>219</v>
      </c>
      <c r="D409" s="18" t="s">
        <v>140</v>
      </c>
      <c r="E409" s="18">
        <v>-28347.72</v>
      </c>
      <c r="F409" s="18">
        <v>0</v>
      </c>
      <c r="G409" s="18">
        <v>19930.8</v>
      </c>
      <c r="H409" s="18">
        <v>-48278.52</v>
      </c>
      <c r="L409" s="20" t="str">
        <f t="shared" si="12"/>
        <v>N/A</v>
      </c>
      <c r="M409" s="20" t="str">
        <f t="shared" si="13"/>
        <v>N/A</v>
      </c>
    </row>
    <row r="410" spans="1:13">
      <c r="A410" s="18" t="s">
        <v>22</v>
      </c>
      <c r="B410" s="18" t="s">
        <v>365</v>
      </c>
      <c r="C410" s="18" t="s">
        <v>219</v>
      </c>
      <c r="D410" s="18" t="s">
        <v>143</v>
      </c>
      <c r="E410" s="18">
        <v>2086351.4</v>
      </c>
      <c r="F410" s="18">
        <v>0</v>
      </c>
      <c r="G410" s="18">
        <v>0</v>
      </c>
      <c r="H410" s="18">
        <v>2086351.4</v>
      </c>
      <c r="L410" s="20" t="str">
        <f t="shared" si="12"/>
        <v>N/A</v>
      </c>
      <c r="M410" s="20" t="str">
        <f t="shared" si="13"/>
        <v>N/A</v>
      </c>
    </row>
    <row r="411" spans="1:13">
      <c r="A411" s="18" t="s">
        <v>22</v>
      </c>
      <c r="B411" s="18" t="s">
        <v>365</v>
      </c>
      <c r="C411" s="18" t="s">
        <v>219</v>
      </c>
      <c r="D411" s="18" t="s">
        <v>146</v>
      </c>
      <c r="E411" s="18">
        <v>264378.98</v>
      </c>
      <c r="F411" s="18">
        <v>0</v>
      </c>
      <c r="G411" s="18">
        <v>0</v>
      </c>
      <c r="H411" s="18">
        <v>264378.98</v>
      </c>
      <c r="L411" s="20" t="str">
        <f t="shared" si="12"/>
        <v>N/A</v>
      </c>
      <c r="M411" s="20" t="str">
        <f t="shared" si="13"/>
        <v>N/A</v>
      </c>
    </row>
    <row r="412" spans="1:13">
      <c r="A412" s="18" t="s">
        <v>22</v>
      </c>
      <c r="B412" s="18" t="s">
        <v>365</v>
      </c>
      <c r="C412" s="18" t="s">
        <v>219</v>
      </c>
      <c r="D412" s="18" t="s">
        <v>147</v>
      </c>
      <c r="E412" s="18">
        <v>-2305019.08</v>
      </c>
      <c r="F412" s="18">
        <v>0</v>
      </c>
      <c r="G412" s="18">
        <v>0</v>
      </c>
      <c r="H412" s="18">
        <v>-2305019.08</v>
      </c>
      <c r="L412" s="20" t="str">
        <f t="shared" si="12"/>
        <v>N/A</v>
      </c>
      <c r="M412" s="20" t="str">
        <f t="shared" si="13"/>
        <v>N/A</v>
      </c>
    </row>
    <row r="413" spans="1:13">
      <c r="A413" s="18" t="s">
        <v>22</v>
      </c>
      <c r="B413" s="18" t="s">
        <v>365</v>
      </c>
      <c r="C413" s="18" t="s">
        <v>219</v>
      </c>
      <c r="D413" s="18" t="s">
        <v>153</v>
      </c>
      <c r="E413" s="18">
        <v>0</v>
      </c>
      <c r="F413" s="18">
        <v>0</v>
      </c>
      <c r="G413" s="18">
        <v>0</v>
      </c>
      <c r="H413" s="18">
        <v>0</v>
      </c>
      <c r="L413" s="20" t="str">
        <f t="shared" si="12"/>
        <v>N/A</v>
      </c>
      <c r="M413" s="20" t="str">
        <f t="shared" si="13"/>
        <v>N/A</v>
      </c>
    </row>
    <row r="414" spans="1:13">
      <c r="A414" s="18" t="s">
        <v>22</v>
      </c>
      <c r="B414" s="18" t="s">
        <v>365</v>
      </c>
      <c r="C414" s="18" t="s">
        <v>219</v>
      </c>
      <c r="D414" s="18" t="s">
        <v>155</v>
      </c>
      <c r="E414" s="18">
        <v>0</v>
      </c>
      <c r="F414" s="18">
        <v>0</v>
      </c>
      <c r="G414" s="18">
        <v>0</v>
      </c>
      <c r="H414" s="18">
        <v>0</v>
      </c>
      <c r="L414" s="20" t="str">
        <f t="shared" si="12"/>
        <v>N/A</v>
      </c>
      <c r="M414" s="20" t="str">
        <f t="shared" si="13"/>
        <v>N/A</v>
      </c>
    </row>
    <row r="415" spans="1:13">
      <c r="A415" s="18" t="s">
        <v>22</v>
      </c>
      <c r="B415" s="18" t="s">
        <v>365</v>
      </c>
      <c r="C415" s="18" t="s">
        <v>219</v>
      </c>
      <c r="D415" s="18" t="s">
        <v>156</v>
      </c>
      <c r="E415" s="18">
        <v>-104.39</v>
      </c>
      <c r="F415" s="18">
        <v>0</v>
      </c>
      <c r="G415" s="18">
        <v>3.03</v>
      </c>
      <c r="H415" s="18">
        <v>-107.42</v>
      </c>
      <c r="L415" s="20" t="str">
        <f t="shared" si="12"/>
        <v>N/A</v>
      </c>
      <c r="M415" s="20" t="str">
        <f t="shared" si="13"/>
        <v>N/A</v>
      </c>
    </row>
    <row r="416" spans="1:13">
      <c r="A416" s="18" t="s">
        <v>22</v>
      </c>
      <c r="B416" s="18" t="s">
        <v>365</v>
      </c>
      <c r="C416" s="18" t="s">
        <v>219</v>
      </c>
      <c r="D416" s="18" t="s">
        <v>157</v>
      </c>
      <c r="E416" s="18">
        <v>-978489.12</v>
      </c>
      <c r="F416" s="18">
        <v>0</v>
      </c>
      <c r="G416" s="18">
        <v>142666.03</v>
      </c>
      <c r="H416" s="18">
        <v>-1121155.1499999999</v>
      </c>
      <c r="L416" s="20" t="str">
        <f t="shared" si="12"/>
        <v>N/A</v>
      </c>
      <c r="M416" s="20" t="str">
        <f t="shared" si="13"/>
        <v>N/A</v>
      </c>
    </row>
    <row r="417" spans="1:13">
      <c r="A417" s="18" t="s">
        <v>22</v>
      </c>
      <c r="B417" s="18" t="s">
        <v>365</v>
      </c>
      <c r="C417" s="18" t="s">
        <v>219</v>
      </c>
      <c r="D417" s="18" t="s">
        <v>145</v>
      </c>
      <c r="E417" s="18">
        <v>0</v>
      </c>
      <c r="F417" s="18">
        <v>684.66</v>
      </c>
      <c r="G417" s="18">
        <v>0</v>
      </c>
      <c r="H417" s="18">
        <v>684.66</v>
      </c>
      <c r="L417" s="20" t="str">
        <f t="shared" si="12"/>
        <v>N/A</v>
      </c>
      <c r="M417" s="20" t="str">
        <f t="shared" si="13"/>
        <v>N/A</v>
      </c>
    </row>
    <row r="418" spans="1:13">
      <c r="A418" s="18" t="s">
        <v>22</v>
      </c>
      <c r="B418" s="18" t="s">
        <v>365</v>
      </c>
      <c r="C418" s="18" t="s">
        <v>219</v>
      </c>
      <c r="D418" s="18" t="s">
        <v>96</v>
      </c>
      <c r="E418" s="18">
        <v>19.940000000000001</v>
      </c>
      <c r="F418" s="18">
        <v>9.9700000000000006</v>
      </c>
      <c r="G418" s="18">
        <v>0</v>
      </c>
      <c r="H418" s="18">
        <v>29.91</v>
      </c>
      <c r="L418" s="20" t="str">
        <f t="shared" si="12"/>
        <v>N/A</v>
      </c>
      <c r="M418" s="20" t="str">
        <f t="shared" si="13"/>
        <v>N/A</v>
      </c>
    </row>
    <row r="419" spans="1:13">
      <c r="A419" s="18" t="s">
        <v>22</v>
      </c>
      <c r="B419" s="18" t="s">
        <v>365</v>
      </c>
      <c r="C419" s="18" t="s">
        <v>219</v>
      </c>
      <c r="D419" s="18" t="s">
        <v>104</v>
      </c>
      <c r="E419" s="18">
        <v>45.51</v>
      </c>
      <c r="F419" s="18">
        <v>91.03</v>
      </c>
      <c r="G419" s="18">
        <v>0</v>
      </c>
      <c r="H419" s="18">
        <v>136.54</v>
      </c>
      <c r="L419" s="20" t="str">
        <f t="shared" si="12"/>
        <v>N/A</v>
      </c>
      <c r="M419" s="20" t="str">
        <f t="shared" si="13"/>
        <v>N/A</v>
      </c>
    </row>
    <row r="420" spans="1:13">
      <c r="A420" s="18" t="s">
        <v>22</v>
      </c>
      <c r="B420" s="18" t="s">
        <v>365</v>
      </c>
      <c r="C420" s="18" t="s">
        <v>219</v>
      </c>
      <c r="D420" s="18" t="s">
        <v>359</v>
      </c>
      <c r="E420" s="18">
        <v>2146.98</v>
      </c>
      <c r="F420" s="18">
        <v>20.329999999999998</v>
      </c>
      <c r="G420" s="18">
        <v>0</v>
      </c>
      <c r="H420" s="18">
        <v>2167.31</v>
      </c>
      <c r="L420" s="20" t="str">
        <f t="shared" si="12"/>
        <v>N/A</v>
      </c>
      <c r="M420" s="20" t="str">
        <f t="shared" si="13"/>
        <v>N/A</v>
      </c>
    </row>
    <row r="421" spans="1:13">
      <c r="A421" s="18" t="s">
        <v>22</v>
      </c>
      <c r="B421" s="18" t="s">
        <v>365</v>
      </c>
      <c r="C421" s="18" t="s">
        <v>219</v>
      </c>
      <c r="D421" s="18" t="s">
        <v>113</v>
      </c>
      <c r="E421" s="18">
        <v>2922.44</v>
      </c>
      <c r="F421" s="18">
        <v>800.38</v>
      </c>
      <c r="G421" s="18">
        <v>0</v>
      </c>
      <c r="H421" s="18">
        <v>3722.82</v>
      </c>
      <c r="L421" s="20" t="str">
        <f t="shared" si="12"/>
        <v>N/A</v>
      </c>
      <c r="M421" s="20" t="str">
        <f t="shared" si="13"/>
        <v>N/A</v>
      </c>
    </row>
    <row r="422" spans="1:13">
      <c r="A422" s="18" t="s">
        <v>22</v>
      </c>
      <c r="B422" s="18" t="s">
        <v>365</v>
      </c>
      <c r="C422" s="18" t="s">
        <v>219</v>
      </c>
      <c r="D422" s="18" t="s">
        <v>150</v>
      </c>
      <c r="E422" s="18">
        <v>910.24</v>
      </c>
      <c r="F422" s="18">
        <v>54.96</v>
      </c>
      <c r="G422" s="18">
        <v>0</v>
      </c>
      <c r="H422" s="18">
        <v>965.2</v>
      </c>
      <c r="L422" s="20" t="str">
        <f t="shared" si="12"/>
        <v>N/A</v>
      </c>
      <c r="M422" s="20" t="str">
        <f t="shared" si="13"/>
        <v>N/A</v>
      </c>
    </row>
    <row r="423" spans="1:13">
      <c r="A423" s="18" t="s">
        <v>22</v>
      </c>
      <c r="B423" s="18" t="s">
        <v>365</v>
      </c>
      <c r="C423" s="18" t="s">
        <v>219</v>
      </c>
      <c r="D423" s="18" t="s">
        <v>120</v>
      </c>
      <c r="E423" s="18">
        <v>1.37</v>
      </c>
      <c r="F423" s="18">
        <v>0</v>
      </c>
      <c r="G423" s="18">
        <v>0</v>
      </c>
      <c r="H423" s="18">
        <v>1.37</v>
      </c>
      <c r="L423" s="20" t="str">
        <f t="shared" si="12"/>
        <v>N/A</v>
      </c>
      <c r="M423" s="20" t="str">
        <f t="shared" si="13"/>
        <v>N/A</v>
      </c>
    </row>
    <row r="424" spans="1:13">
      <c r="A424" s="18" t="s">
        <v>22</v>
      </c>
      <c r="B424" s="18" t="s">
        <v>365</v>
      </c>
      <c r="C424" s="18" t="s">
        <v>219</v>
      </c>
      <c r="D424" s="18" t="s">
        <v>123</v>
      </c>
      <c r="E424" s="18">
        <v>852.46</v>
      </c>
      <c r="F424" s="18">
        <v>433.85</v>
      </c>
      <c r="G424" s="18">
        <v>0</v>
      </c>
      <c r="H424" s="18">
        <v>1286.31</v>
      </c>
      <c r="L424" s="20" t="str">
        <f t="shared" si="12"/>
        <v>N/A</v>
      </c>
      <c r="M424" s="20" t="str">
        <f t="shared" si="13"/>
        <v>N/A</v>
      </c>
    </row>
    <row r="425" spans="1:13">
      <c r="A425" s="18" t="s">
        <v>22</v>
      </c>
      <c r="B425" s="18" t="s">
        <v>365</v>
      </c>
      <c r="C425" s="18" t="s">
        <v>219</v>
      </c>
      <c r="D425" s="18" t="s">
        <v>126</v>
      </c>
      <c r="E425" s="18">
        <v>126.89</v>
      </c>
      <c r="F425" s="18">
        <v>24.45</v>
      </c>
      <c r="G425" s="18">
        <v>0</v>
      </c>
      <c r="H425" s="18">
        <v>151.34</v>
      </c>
      <c r="L425" s="20" t="str">
        <f t="shared" si="12"/>
        <v>N/A</v>
      </c>
      <c r="M425" s="20" t="str">
        <f t="shared" si="13"/>
        <v>N/A</v>
      </c>
    </row>
    <row r="426" spans="1:13">
      <c r="A426" s="18" t="s">
        <v>22</v>
      </c>
      <c r="B426" s="18" t="s">
        <v>365</v>
      </c>
      <c r="C426" s="18" t="s">
        <v>219</v>
      </c>
      <c r="D426" s="18" t="s">
        <v>129</v>
      </c>
      <c r="E426" s="18">
        <v>118.5</v>
      </c>
      <c r="F426" s="18">
        <v>33.72</v>
      </c>
      <c r="G426" s="18">
        <v>0</v>
      </c>
      <c r="H426" s="18">
        <v>152.22</v>
      </c>
      <c r="L426" s="20" t="str">
        <f t="shared" si="12"/>
        <v>N/A</v>
      </c>
      <c r="M426" s="20" t="str">
        <f t="shared" si="13"/>
        <v>N/A</v>
      </c>
    </row>
    <row r="427" spans="1:13">
      <c r="A427" s="18" t="s">
        <v>22</v>
      </c>
      <c r="B427" s="18" t="s">
        <v>365</v>
      </c>
      <c r="C427" s="18" t="s">
        <v>219</v>
      </c>
      <c r="D427" s="18" t="s">
        <v>131</v>
      </c>
      <c r="E427" s="18">
        <v>300.98</v>
      </c>
      <c r="F427" s="18">
        <v>214.83</v>
      </c>
      <c r="G427" s="18">
        <v>0</v>
      </c>
      <c r="H427" s="18">
        <v>515.80999999999995</v>
      </c>
      <c r="L427" s="20" t="str">
        <f t="shared" si="12"/>
        <v>N/A</v>
      </c>
      <c r="M427" s="20" t="str">
        <f t="shared" si="13"/>
        <v>N/A</v>
      </c>
    </row>
    <row r="428" spans="1:13">
      <c r="A428" s="18" t="s">
        <v>22</v>
      </c>
      <c r="B428" s="18" t="s">
        <v>365</v>
      </c>
      <c r="C428" s="18" t="s">
        <v>219</v>
      </c>
      <c r="D428" s="18" t="s">
        <v>162</v>
      </c>
      <c r="E428" s="18">
        <v>0</v>
      </c>
      <c r="F428" s="18">
        <v>0</v>
      </c>
      <c r="G428" s="18">
        <v>0</v>
      </c>
      <c r="H428" s="18">
        <v>0</v>
      </c>
      <c r="L428" s="20" t="str">
        <f t="shared" si="12"/>
        <v>N/A</v>
      </c>
      <c r="M428" s="20" t="str">
        <f t="shared" si="13"/>
        <v>N/A</v>
      </c>
    </row>
    <row r="429" spans="1:13">
      <c r="A429" s="18" t="s">
        <v>22</v>
      </c>
      <c r="B429" s="18" t="s">
        <v>365</v>
      </c>
      <c r="C429" s="18" t="s">
        <v>219</v>
      </c>
      <c r="D429" s="18" t="s">
        <v>134</v>
      </c>
      <c r="E429" s="18">
        <v>21.61</v>
      </c>
      <c r="F429" s="18">
        <v>26.98</v>
      </c>
      <c r="G429" s="18">
        <v>0</v>
      </c>
      <c r="H429" s="18">
        <v>48.59</v>
      </c>
      <c r="L429" s="20" t="str">
        <f t="shared" si="12"/>
        <v>N/A</v>
      </c>
      <c r="M429" s="20" t="str">
        <f t="shared" si="13"/>
        <v>N/A</v>
      </c>
    </row>
    <row r="430" spans="1:13">
      <c r="A430" s="18" t="s">
        <v>22</v>
      </c>
      <c r="B430" s="18" t="s">
        <v>365</v>
      </c>
      <c r="C430" s="18" t="s">
        <v>219</v>
      </c>
      <c r="D430" s="18" t="s">
        <v>139</v>
      </c>
      <c r="E430" s="18">
        <v>89.02</v>
      </c>
      <c r="F430" s="18">
        <v>44.51</v>
      </c>
      <c r="G430" s="18">
        <v>0</v>
      </c>
      <c r="H430" s="18">
        <v>133.53</v>
      </c>
      <c r="L430" s="20" t="str">
        <f t="shared" si="12"/>
        <v>N/A</v>
      </c>
      <c r="M430" s="20" t="str">
        <f t="shared" si="13"/>
        <v>N/A</v>
      </c>
    </row>
    <row r="431" spans="1:13">
      <c r="A431" s="18" t="s">
        <v>22</v>
      </c>
      <c r="B431" s="18" t="s">
        <v>365</v>
      </c>
      <c r="C431" s="18" t="s">
        <v>219</v>
      </c>
      <c r="D431" s="18" t="s">
        <v>142</v>
      </c>
      <c r="E431" s="18">
        <v>73.62</v>
      </c>
      <c r="F431" s="18">
        <v>43.48</v>
      </c>
      <c r="G431" s="18">
        <v>0</v>
      </c>
      <c r="H431" s="18">
        <v>117.1</v>
      </c>
      <c r="L431" s="20" t="str">
        <f t="shared" si="12"/>
        <v>N/A</v>
      </c>
      <c r="M431" s="20" t="str">
        <f t="shared" si="13"/>
        <v>N/A</v>
      </c>
    </row>
    <row r="432" spans="1:13">
      <c r="A432" s="18" t="s">
        <v>22</v>
      </c>
      <c r="B432" s="18" t="s">
        <v>365</v>
      </c>
      <c r="C432" s="18" t="s">
        <v>219</v>
      </c>
      <c r="D432" s="18" t="s">
        <v>163</v>
      </c>
      <c r="E432" s="18">
        <v>0</v>
      </c>
      <c r="F432" s="18">
        <v>0</v>
      </c>
      <c r="G432" s="18">
        <v>0</v>
      </c>
      <c r="H432" s="18">
        <v>0</v>
      </c>
      <c r="L432" s="20" t="str">
        <f t="shared" si="12"/>
        <v>N/A</v>
      </c>
      <c r="M432" s="20" t="str">
        <f t="shared" si="13"/>
        <v>N/A</v>
      </c>
    </row>
    <row r="433" spans="1:13">
      <c r="A433" s="18" t="s">
        <v>22</v>
      </c>
      <c r="B433" s="18" t="s">
        <v>365</v>
      </c>
      <c r="C433" s="18" t="s">
        <v>221</v>
      </c>
      <c r="D433" s="18" t="s">
        <v>87</v>
      </c>
      <c r="E433" s="18">
        <v>753.11</v>
      </c>
      <c r="F433" s="18">
        <v>25228.74</v>
      </c>
      <c r="G433" s="18">
        <v>3260.36</v>
      </c>
      <c r="H433" s="18">
        <v>22721.49</v>
      </c>
      <c r="L433" s="20" t="str">
        <f t="shared" si="12"/>
        <v>Asset</v>
      </c>
      <c r="M433" s="20" t="str">
        <f t="shared" si="13"/>
        <v>okay</v>
      </c>
    </row>
    <row r="434" spans="1:13">
      <c r="A434" s="18" t="s">
        <v>22</v>
      </c>
      <c r="B434" s="18" t="s">
        <v>365</v>
      </c>
      <c r="C434" s="18" t="s">
        <v>221</v>
      </c>
      <c r="D434" s="18" t="s">
        <v>97</v>
      </c>
      <c r="E434" s="18">
        <v>12359461.52</v>
      </c>
      <c r="F434" s="18">
        <v>0</v>
      </c>
      <c r="G434" s="18">
        <v>0</v>
      </c>
      <c r="H434" s="18">
        <v>12359461.52</v>
      </c>
      <c r="L434" s="20" t="str">
        <f t="shared" si="12"/>
        <v>Asset</v>
      </c>
      <c r="M434" s="20" t="str">
        <f t="shared" si="13"/>
        <v>okay</v>
      </c>
    </row>
    <row r="435" spans="1:13">
      <c r="A435" s="18" t="s">
        <v>22</v>
      </c>
      <c r="B435" s="18" t="s">
        <v>365</v>
      </c>
      <c r="C435" s="18" t="s">
        <v>221</v>
      </c>
      <c r="D435" s="18" t="s">
        <v>105</v>
      </c>
      <c r="E435" s="18">
        <v>3847263.87</v>
      </c>
      <c r="F435" s="18">
        <v>180561.7</v>
      </c>
      <c r="G435" s="18">
        <v>0</v>
      </c>
      <c r="H435" s="18">
        <v>4027825.57</v>
      </c>
      <c r="L435" s="20" t="str">
        <f t="shared" si="12"/>
        <v>Asset</v>
      </c>
      <c r="M435" s="20" t="str">
        <f t="shared" si="13"/>
        <v>okay</v>
      </c>
    </row>
    <row r="436" spans="1:13">
      <c r="A436" s="18" t="s">
        <v>22</v>
      </c>
      <c r="B436" s="18" t="s">
        <v>365</v>
      </c>
      <c r="C436" s="18" t="s">
        <v>221</v>
      </c>
      <c r="D436" s="18" t="s">
        <v>108</v>
      </c>
      <c r="E436" s="18">
        <v>0</v>
      </c>
      <c r="F436" s="18">
        <v>0</v>
      </c>
      <c r="G436" s="18">
        <v>0</v>
      </c>
      <c r="H436" s="18">
        <v>0</v>
      </c>
      <c r="L436" s="20" t="str">
        <f t="shared" si="12"/>
        <v>Asset</v>
      </c>
      <c r="M436" s="20" t="str">
        <f t="shared" si="13"/>
        <v>okay</v>
      </c>
    </row>
    <row r="437" spans="1:13">
      <c r="A437" s="18" t="s">
        <v>22</v>
      </c>
      <c r="B437" s="18" t="s">
        <v>365</v>
      </c>
      <c r="C437" s="18" t="s">
        <v>221</v>
      </c>
      <c r="D437" s="18" t="s">
        <v>116</v>
      </c>
      <c r="E437" s="18">
        <v>-154.08000000000001</v>
      </c>
      <c r="F437" s="18">
        <v>0</v>
      </c>
      <c r="G437" s="18">
        <v>0</v>
      </c>
      <c r="H437" s="18">
        <v>-154.08000000000001</v>
      </c>
      <c r="L437" s="20" t="str">
        <f t="shared" si="12"/>
        <v>N/A</v>
      </c>
      <c r="M437" s="20" t="str">
        <f t="shared" si="13"/>
        <v>N/A</v>
      </c>
    </row>
    <row r="438" spans="1:13">
      <c r="A438" s="18" t="s">
        <v>22</v>
      </c>
      <c r="B438" s="18" t="s">
        <v>365</v>
      </c>
      <c r="C438" s="18" t="s">
        <v>221</v>
      </c>
      <c r="D438" s="18" t="s">
        <v>121</v>
      </c>
      <c r="E438" s="18">
        <v>-338.02</v>
      </c>
      <c r="F438" s="18">
        <v>225.34</v>
      </c>
      <c r="G438" s="18">
        <v>56.34</v>
      </c>
      <c r="H438" s="18">
        <v>-169.02</v>
      </c>
      <c r="L438" s="20" t="str">
        <f t="shared" si="12"/>
        <v>N/A</v>
      </c>
      <c r="M438" s="20" t="str">
        <f t="shared" si="13"/>
        <v>N/A</v>
      </c>
    </row>
    <row r="439" spans="1:13">
      <c r="A439" s="18" t="s">
        <v>22</v>
      </c>
      <c r="B439" s="18" t="s">
        <v>365</v>
      </c>
      <c r="C439" s="18" t="s">
        <v>221</v>
      </c>
      <c r="D439" s="18" t="s">
        <v>124</v>
      </c>
      <c r="E439" s="18">
        <v>-69.040000000000006</v>
      </c>
      <c r="F439" s="18">
        <v>0</v>
      </c>
      <c r="G439" s="18">
        <v>42.97</v>
      </c>
      <c r="H439" s="18">
        <v>-112.01</v>
      </c>
      <c r="L439" s="20" t="str">
        <f t="shared" si="12"/>
        <v>N/A</v>
      </c>
      <c r="M439" s="20" t="str">
        <f t="shared" si="13"/>
        <v>N/A</v>
      </c>
    </row>
    <row r="440" spans="1:13">
      <c r="A440" s="18" t="s">
        <v>22</v>
      </c>
      <c r="B440" s="18" t="s">
        <v>365</v>
      </c>
      <c r="C440" s="18" t="s">
        <v>221</v>
      </c>
      <c r="D440" s="18" t="s">
        <v>127</v>
      </c>
      <c r="E440" s="18">
        <v>0</v>
      </c>
      <c r="F440" s="18">
        <v>0</v>
      </c>
      <c r="G440" s="18">
        <v>0</v>
      </c>
      <c r="H440" s="18">
        <v>0</v>
      </c>
      <c r="L440" s="20" t="str">
        <f t="shared" si="12"/>
        <v>N/A</v>
      </c>
      <c r="M440" s="20" t="str">
        <f t="shared" si="13"/>
        <v>N/A</v>
      </c>
    </row>
    <row r="441" spans="1:13">
      <c r="A441" s="18" t="s">
        <v>22</v>
      </c>
      <c r="B441" s="18" t="s">
        <v>365</v>
      </c>
      <c r="C441" s="18" t="s">
        <v>221</v>
      </c>
      <c r="D441" s="18" t="s">
        <v>95</v>
      </c>
      <c r="E441" s="18">
        <v>-16.829999999999998</v>
      </c>
      <c r="F441" s="18">
        <v>4.2</v>
      </c>
      <c r="G441" s="18">
        <v>12.61</v>
      </c>
      <c r="H441" s="18">
        <v>-25.24</v>
      </c>
      <c r="L441" s="20" t="str">
        <f t="shared" si="12"/>
        <v>N/A</v>
      </c>
      <c r="M441" s="20" t="str">
        <f t="shared" si="13"/>
        <v>N/A</v>
      </c>
    </row>
    <row r="442" spans="1:13">
      <c r="A442" s="18" t="s">
        <v>22</v>
      </c>
      <c r="B442" s="18" t="s">
        <v>365</v>
      </c>
      <c r="C442" s="18" t="s">
        <v>221</v>
      </c>
      <c r="D442" s="18" t="s">
        <v>132</v>
      </c>
      <c r="E442" s="18">
        <v>0</v>
      </c>
      <c r="F442" s="18">
        <v>0</v>
      </c>
      <c r="G442" s="18">
        <v>0</v>
      </c>
      <c r="H442" s="18">
        <v>0</v>
      </c>
      <c r="L442" s="20" t="str">
        <f t="shared" si="12"/>
        <v>N/A</v>
      </c>
      <c r="M442" s="20" t="str">
        <f t="shared" si="13"/>
        <v>N/A</v>
      </c>
    </row>
    <row r="443" spans="1:13">
      <c r="A443" s="18" t="s">
        <v>22</v>
      </c>
      <c r="B443" s="18" t="s">
        <v>365</v>
      </c>
      <c r="C443" s="18" t="s">
        <v>221</v>
      </c>
      <c r="D443" s="18" t="s">
        <v>135</v>
      </c>
      <c r="E443" s="18">
        <v>-15000000</v>
      </c>
      <c r="F443" s="18">
        <v>0</v>
      </c>
      <c r="G443" s="18">
        <v>0</v>
      </c>
      <c r="H443" s="18">
        <v>-15000000</v>
      </c>
      <c r="L443" s="20" t="str">
        <f t="shared" si="12"/>
        <v>N/A</v>
      </c>
      <c r="M443" s="20" t="str">
        <f t="shared" si="13"/>
        <v>N/A</v>
      </c>
    </row>
    <row r="444" spans="1:13">
      <c r="A444" s="18" t="s">
        <v>22</v>
      </c>
      <c r="B444" s="18" t="s">
        <v>365</v>
      </c>
      <c r="C444" s="18" t="s">
        <v>221</v>
      </c>
      <c r="D444" s="18" t="s">
        <v>140</v>
      </c>
      <c r="E444" s="18">
        <v>-35877.57</v>
      </c>
      <c r="F444" s="18">
        <v>0</v>
      </c>
      <c r="G444" s="18">
        <v>25224.91</v>
      </c>
      <c r="H444" s="18">
        <v>-61102.48</v>
      </c>
      <c r="L444" s="20" t="str">
        <f t="shared" si="12"/>
        <v>N/A</v>
      </c>
      <c r="M444" s="20" t="str">
        <f t="shared" si="13"/>
        <v>N/A</v>
      </c>
    </row>
    <row r="445" spans="1:13">
      <c r="A445" s="18" t="s">
        <v>22</v>
      </c>
      <c r="B445" s="18" t="s">
        <v>365</v>
      </c>
      <c r="C445" s="18" t="s">
        <v>221</v>
      </c>
      <c r="D445" s="18" t="s">
        <v>143</v>
      </c>
      <c r="E445" s="18">
        <v>2640538.48</v>
      </c>
      <c r="F445" s="18">
        <v>0</v>
      </c>
      <c r="G445" s="18">
        <v>0</v>
      </c>
      <c r="H445" s="18">
        <v>2640538.48</v>
      </c>
      <c r="L445" s="20" t="str">
        <f t="shared" si="12"/>
        <v>N/A</v>
      </c>
      <c r="M445" s="20" t="str">
        <f t="shared" si="13"/>
        <v>N/A</v>
      </c>
    </row>
    <row r="446" spans="1:13">
      <c r="A446" s="18" t="s">
        <v>22</v>
      </c>
      <c r="B446" s="18" t="s">
        <v>365</v>
      </c>
      <c r="C446" s="18" t="s">
        <v>221</v>
      </c>
      <c r="D446" s="18" t="s">
        <v>146</v>
      </c>
      <c r="E446" s="18">
        <v>334604.65000000002</v>
      </c>
      <c r="F446" s="18">
        <v>0</v>
      </c>
      <c r="G446" s="18">
        <v>0</v>
      </c>
      <c r="H446" s="18">
        <v>334604.65000000002</v>
      </c>
      <c r="L446" s="20" t="str">
        <f t="shared" si="12"/>
        <v>N/A</v>
      </c>
      <c r="M446" s="20" t="str">
        <f t="shared" si="13"/>
        <v>N/A</v>
      </c>
    </row>
    <row r="447" spans="1:13">
      <c r="A447" s="18" t="s">
        <v>22</v>
      </c>
      <c r="B447" s="18" t="s">
        <v>365</v>
      </c>
      <c r="C447" s="18" t="s">
        <v>221</v>
      </c>
      <c r="D447" s="18" t="s">
        <v>147</v>
      </c>
      <c r="E447" s="18">
        <v>-2917289.8</v>
      </c>
      <c r="F447" s="18">
        <v>0</v>
      </c>
      <c r="G447" s="18">
        <v>0</v>
      </c>
      <c r="H447" s="18">
        <v>-2917289.8</v>
      </c>
      <c r="L447" s="20" t="str">
        <f t="shared" si="12"/>
        <v>N/A</v>
      </c>
      <c r="M447" s="20" t="str">
        <f t="shared" si="13"/>
        <v>N/A</v>
      </c>
    </row>
    <row r="448" spans="1:13">
      <c r="A448" s="18" t="s">
        <v>22</v>
      </c>
      <c r="B448" s="18" t="s">
        <v>365</v>
      </c>
      <c r="C448" s="18" t="s">
        <v>221</v>
      </c>
      <c r="D448" s="18" t="s">
        <v>153</v>
      </c>
      <c r="E448" s="18">
        <v>0</v>
      </c>
      <c r="F448" s="18">
        <v>0</v>
      </c>
      <c r="G448" s="18">
        <v>0</v>
      </c>
      <c r="H448" s="18">
        <v>0</v>
      </c>
      <c r="L448" s="20" t="str">
        <f t="shared" si="12"/>
        <v>N/A</v>
      </c>
      <c r="M448" s="20" t="str">
        <f t="shared" si="13"/>
        <v>N/A</v>
      </c>
    </row>
    <row r="449" spans="1:13">
      <c r="A449" s="18" t="s">
        <v>22</v>
      </c>
      <c r="B449" s="18" t="s">
        <v>365</v>
      </c>
      <c r="C449" s="18" t="s">
        <v>221</v>
      </c>
      <c r="D449" s="18" t="s">
        <v>155</v>
      </c>
      <c r="E449" s="18">
        <v>0</v>
      </c>
      <c r="F449" s="18">
        <v>0</v>
      </c>
      <c r="G449" s="18">
        <v>0</v>
      </c>
      <c r="H449" s="18">
        <v>0</v>
      </c>
      <c r="L449" s="20" t="str">
        <f t="shared" si="12"/>
        <v>N/A</v>
      </c>
      <c r="M449" s="20" t="str">
        <f t="shared" si="13"/>
        <v>N/A</v>
      </c>
    </row>
    <row r="450" spans="1:13">
      <c r="A450" s="18" t="s">
        <v>22</v>
      </c>
      <c r="B450" s="18" t="s">
        <v>365</v>
      </c>
      <c r="C450" s="18" t="s">
        <v>221</v>
      </c>
      <c r="D450" s="18" t="s">
        <v>156</v>
      </c>
      <c r="E450" s="18">
        <v>-132.12</v>
      </c>
      <c r="F450" s="18">
        <v>0</v>
      </c>
      <c r="G450" s="18">
        <v>3.83</v>
      </c>
      <c r="H450" s="18">
        <v>-135.94999999999999</v>
      </c>
      <c r="L450" s="20" t="str">
        <f t="shared" si="12"/>
        <v>N/A</v>
      </c>
      <c r="M450" s="20" t="str">
        <f t="shared" si="13"/>
        <v>N/A</v>
      </c>
    </row>
    <row r="451" spans="1:13">
      <c r="A451" s="18" t="s">
        <v>22</v>
      </c>
      <c r="B451" s="18" t="s">
        <v>365</v>
      </c>
      <c r="C451" s="18" t="s">
        <v>221</v>
      </c>
      <c r="D451" s="18" t="s">
        <v>157</v>
      </c>
      <c r="E451" s="18">
        <v>-1238400.3</v>
      </c>
      <c r="F451" s="18">
        <v>0</v>
      </c>
      <c r="G451" s="18">
        <v>180561.7</v>
      </c>
      <c r="H451" s="18">
        <v>-1418962</v>
      </c>
      <c r="L451" s="20" t="str">
        <f t="shared" ref="L451:L514" si="14">+IF(LEFT(D451,1)="1","Asset","N/A")</f>
        <v>N/A</v>
      </c>
      <c r="M451" s="20" t="str">
        <f t="shared" ref="M451:M514" si="15">+IF(L451="asset",IF(H451&lt;0,"Provide Comment","okay"),"N/A")</f>
        <v>N/A</v>
      </c>
    </row>
    <row r="452" spans="1:13">
      <c r="A452" s="18" t="s">
        <v>22</v>
      </c>
      <c r="B452" s="18" t="s">
        <v>365</v>
      </c>
      <c r="C452" s="18" t="s">
        <v>221</v>
      </c>
      <c r="D452" s="18" t="s">
        <v>145</v>
      </c>
      <c r="E452" s="18">
        <v>0</v>
      </c>
      <c r="F452" s="18">
        <v>866.52</v>
      </c>
      <c r="G452" s="18">
        <v>0</v>
      </c>
      <c r="H452" s="18">
        <v>866.52</v>
      </c>
      <c r="L452" s="20" t="str">
        <f t="shared" si="14"/>
        <v>N/A</v>
      </c>
      <c r="M452" s="20" t="str">
        <f t="shared" si="15"/>
        <v>N/A</v>
      </c>
    </row>
    <row r="453" spans="1:13">
      <c r="A453" s="18" t="s">
        <v>22</v>
      </c>
      <c r="B453" s="18" t="s">
        <v>365</v>
      </c>
      <c r="C453" s="18" t="s">
        <v>221</v>
      </c>
      <c r="D453" s="18" t="s">
        <v>96</v>
      </c>
      <c r="E453" s="18">
        <v>25.22</v>
      </c>
      <c r="F453" s="18">
        <v>12.61</v>
      </c>
      <c r="G453" s="18">
        <v>0</v>
      </c>
      <c r="H453" s="18">
        <v>37.83</v>
      </c>
      <c r="L453" s="20" t="str">
        <f t="shared" si="14"/>
        <v>N/A</v>
      </c>
      <c r="M453" s="20" t="str">
        <f t="shared" si="15"/>
        <v>N/A</v>
      </c>
    </row>
    <row r="454" spans="1:13">
      <c r="A454" s="18" t="s">
        <v>22</v>
      </c>
      <c r="B454" s="18" t="s">
        <v>365</v>
      </c>
      <c r="C454" s="18" t="s">
        <v>221</v>
      </c>
      <c r="D454" s="18" t="s">
        <v>104</v>
      </c>
      <c r="E454" s="18">
        <v>57.6</v>
      </c>
      <c r="F454" s="18">
        <v>115.21</v>
      </c>
      <c r="G454" s="18">
        <v>0</v>
      </c>
      <c r="H454" s="18">
        <v>172.81</v>
      </c>
      <c r="L454" s="20" t="str">
        <f t="shared" si="14"/>
        <v>N/A</v>
      </c>
      <c r="M454" s="20" t="str">
        <f t="shared" si="15"/>
        <v>N/A</v>
      </c>
    </row>
    <row r="455" spans="1:13">
      <c r="A455" s="18" t="s">
        <v>22</v>
      </c>
      <c r="B455" s="18" t="s">
        <v>365</v>
      </c>
      <c r="C455" s="18" t="s">
        <v>221</v>
      </c>
      <c r="D455" s="18" t="s">
        <v>359</v>
      </c>
      <c r="E455" s="18">
        <v>2717.29</v>
      </c>
      <c r="F455" s="18">
        <v>25.73</v>
      </c>
      <c r="G455" s="18">
        <v>0</v>
      </c>
      <c r="H455" s="18">
        <v>2743.02</v>
      </c>
      <c r="L455" s="20" t="str">
        <f t="shared" si="14"/>
        <v>N/A</v>
      </c>
      <c r="M455" s="20" t="str">
        <f t="shared" si="15"/>
        <v>N/A</v>
      </c>
    </row>
    <row r="456" spans="1:13">
      <c r="A456" s="18" t="s">
        <v>22</v>
      </c>
      <c r="B456" s="18" t="s">
        <v>365</v>
      </c>
      <c r="C456" s="18" t="s">
        <v>221</v>
      </c>
      <c r="D456" s="18" t="s">
        <v>113</v>
      </c>
      <c r="E456" s="18">
        <v>3698.71</v>
      </c>
      <c r="F456" s="18">
        <v>1012.98</v>
      </c>
      <c r="G456" s="18">
        <v>0</v>
      </c>
      <c r="H456" s="18">
        <v>4711.6899999999996</v>
      </c>
      <c r="L456" s="20" t="str">
        <f t="shared" si="14"/>
        <v>N/A</v>
      </c>
      <c r="M456" s="20" t="str">
        <f t="shared" si="15"/>
        <v>N/A</v>
      </c>
    </row>
    <row r="457" spans="1:13">
      <c r="A457" s="18" t="s">
        <v>22</v>
      </c>
      <c r="B457" s="18" t="s">
        <v>365</v>
      </c>
      <c r="C457" s="18" t="s">
        <v>221</v>
      </c>
      <c r="D457" s="18" t="s">
        <v>150</v>
      </c>
      <c r="E457" s="18">
        <v>1152.02</v>
      </c>
      <c r="F457" s="18">
        <v>69.56</v>
      </c>
      <c r="G457" s="18">
        <v>0</v>
      </c>
      <c r="H457" s="18">
        <v>1221.58</v>
      </c>
      <c r="L457" s="20" t="str">
        <f t="shared" si="14"/>
        <v>N/A</v>
      </c>
      <c r="M457" s="20" t="str">
        <f t="shared" si="15"/>
        <v>N/A</v>
      </c>
    </row>
    <row r="458" spans="1:13">
      <c r="A458" s="18" t="s">
        <v>22</v>
      </c>
      <c r="B458" s="18" t="s">
        <v>365</v>
      </c>
      <c r="C458" s="18" t="s">
        <v>221</v>
      </c>
      <c r="D458" s="18" t="s">
        <v>120</v>
      </c>
      <c r="E458" s="18">
        <v>1.73</v>
      </c>
      <c r="F458" s="18">
        <v>0</v>
      </c>
      <c r="G458" s="18">
        <v>0</v>
      </c>
      <c r="H458" s="18">
        <v>1.73</v>
      </c>
      <c r="L458" s="20" t="str">
        <f t="shared" si="14"/>
        <v>N/A</v>
      </c>
      <c r="M458" s="20" t="str">
        <f t="shared" si="15"/>
        <v>N/A</v>
      </c>
    </row>
    <row r="459" spans="1:13">
      <c r="A459" s="18" t="s">
        <v>22</v>
      </c>
      <c r="B459" s="18" t="s">
        <v>365</v>
      </c>
      <c r="C459" s="18" t="s">
        <v>221</v>
      </c>
      <c r="D459" s="18" t="s">
        <v>123</v>
      </c>
      <c r="E459" s="18">
        <v>1078.8900000000001</v>
      </c>
      <c r="F459" s="18">
        <v>549.09</v>
      </c>
      <c r="G459" s="18">
        <v>0</v>
      </c>
      <c r="H459" s="18">
        <v>1627.98</v>
      </c>
      <c r="L459" s="20" t="str">
        <f t="shared" si="14"/>
        <v>N/A</v>
      </c>
      <c r="M459" s="20" t="str">
        <f t="shared" si="15"/>
        <v>N/A</v>
      </c>
    </row>
    <row r="460" spans="1:13">
      <c r="A460" s="18" t="s">
        <v>22</v>
      </c>
      <c r="B460" s="18" t="s">
        <v>365</v>
      </c>
      <c r="C460" s="18" t="s">
        <v>221</v>
      </c>
      <c r="D460" s="18" t="s">
        <v>126</v>
      </c>
      <c r="E460" s="18">
        <v>160.6</v>
      </c>
      <c r="F460" s="18">
        <v>30.95</v>
      </c>
      <c r="G460" s="18">
        <v>0</v>
      </c>
      <c r="H460" s="18">
        <v>191.55</v>
      </c>
      <c r="L460" s="20" t="str">
        <f t="shared" si="14"/>
        <v>N/A</v>
      </c>
      <c r="M460" s="20" t="str">
        <f t="shared" si="15"/>
        <v>N/A</v>
      </c>
    </row>
    <row r="461" spans="1:13">
      <c r="A461" s="18" t="s">
        <v>22</v>
      </c>
      <c r="B461" s="18" t="s">
        <v>365</v>
      </c>
      <c r="C461" s="18" t="s">
        <v>221</v>
      </c>
      <c r="D461" s="18" t="s">
        <v>129</v>
      </c>
      <c r="E461" s="18">
        <v>149.97999999999999</v>
      </c>
      <c r="F461" s="18">
        <v>42.68</v>
      </c>
      <c r="G461" s="18">
        <v>0</v>
      </c>
      <c r="H461" s="18">
        <v>192.66</v>
      </c>
      <c r="L461" s="20" t="str">
        <f t="shared" si="14"/>
        <v>N/A</v>
      </c>
      <c r="M461" s="20" t="str">
        <f t="shared" si="15"/>
        <v>N/A</v>
      </c>
    </row>
    <row r="462" spans="1:13">
      <c r="A462" s="18" t="s">
        <v>22</v>
      </c>
      <c r="B462" s="18" t="s">
        <v>365</v>
      </c>
      <c r="C462" s="18" t="s">
        <v>221</v>
      </c>
      <c r="D462" s="18" t="s">
        <v>131</v>
      </c>
      <c r="E462" s="18">
        <v>380.92</v>
      </c>
      <c r="F462" s="18">
        <v>271.89</v>
      </c>
      <c r="G462" s="18">
        <v>0</v>
      </c>
      <c r="H462" s="18">
        <v>652.80999999999995</v>
      </c>
      <c r="L462" s="20" t="str">
        <f t="shared" si="14"/>
        <v>N/A</v>
      </c>
      <c r="M462" s="20" t="str">
        <f t="shared" si="15"/>
        <v>N/A</v>
      </c>
    </row>
    <row r="463" spans="1:13">
      <c r="A463" s="18" t="s">
        <v>22</v>
      </c>
      <c r="B463" s="18" t="s">
        <v>365</v>
      </c>
      <c r="C463" s="18" t="s">
        <v>221</v>
      </c>
      <c r="D463" s="18" t="s">
        <v>162</v>
      </c>
      <c r="E463" s="18">
        <v>0</v>
      </c>
      <c r="F463" s="18">
        <v>0</v>
      </c>
      <c r="G463" s="18">
        <v>0</v>
      </c>
      <c r="H463" s="18">
        <v>0</v>
      </c>
      <c r="L463" s="20" t="str">
        <f t="shared" si="14"/>
        <v>N/A</v>
      </c>
      <c r="M463" s="20" t="str">
        <f t="shared" si="15"/>
        <v>N/A</v>
      </c>
    </row>
    <row r="464" spans="1:13">
      <c r="A464" s="18" t="s">
        <v>22</v>
      </c>
      <c r="B464" s="18" t="s">
        <v>365</v>
      </c>
      <c r="C464" s="18" t="s">
        <v>221</v>
      </c>
      <c r="D464" s="18" t="s">
        <v>134</v>
      </c>
      <c r="E464" s="18">
        <v>27.34</v>
      </c>
      <c r="F464" s="18">
        <v>34.159999999999997</v>
      </c>
      <c r="G464" s="18">
        <v>0</v>
      </c>
      <c r="H464" s="18">
        <v>61.5</v>
      </c>
      <c r="L464" s="20" t="str">
        <f t="shared" si="14"/>
        <v>N/A</v>
      </c>
      <c r="M464" s="20" t="str">
        <f t="shared" si="15"/>
        <v>N/A</v>
      </c>
    </row>
    <row r="465" spans="1:13">
      <c r="A465" s="18" t="s">
        <v>22</v>
      </c>
      <c r="B465" s="18" t="s">
        <v>365</v>
      </c>
      <c r="C465" s="18" t="s">
        <v>221</v>
      </c>
      <c r="D465" s="18" t="s">
        <v>139</v>
      </c>
      <c r="E465" s="18">
        <v>112.68</v>
      </c>
      <c r="F465" s="18">
        <v>56.34</v>
      </c>
      <c r="G465" s="18">
        <v>0</v>
      </c>
      <c r="H465" s="18">
        <v>169.02</v>
      </c>
      <c r="L465" s="20" t="str">
        <f t="shared" si="14"/>
        <v>N/A</v>
      </c>
      <c r="M465" s="20" t="str">
        <f t="shared" si="15"/>
        <v>N/A</v>
      </c>
    </row>
    <row r="466" spans="1:13">
      <c r="A466" s="18" t="s">
        <v>22</v>
      </c>
      <c r="B466" s="18" t="s">
        <v>365</v>
      </c>
      <c r="C466" s="18" t="s">
        <v>221</v>
      </c>
      <c r="D466" s="18" t="s">
        <v>142</v>
      </c>
      <c r="E466" s="18">
        <v>93.15</v>
      </c>
      <c r="F466" s="18">
        <v>55.02</v>
      </c>
      <c r="G466" s="18">
        <v>0</v>
      </c>
      <c r="H466" s="18">
        <v>148.16999999999999</v>
      </c>
      <c r="L466" s="20" t="str">
        <f t="shared" si="14"/>
        <v>N/A</v>
      </c>
      <c r="M466" s="20" t="str">
        <f t="shared" si="15"/>
        <v>N/A</v>
      </c>
    </row>
    <row r="467" spans="1:13">
      <c r="A467" s="18" t="s">
        <v>22</v>
      </c>
      <c r="B467" s="18" t="s">
        <v>365</v>
      </c>
      <c r="C467" s="18" t="s">
        <v>221</v>
      </c>
      <c r="D467" s="18" t="s">
        <v>163</v>
      </c>
      <c r="E467" s="18">
        <v>0</v>
      </c>
      <c r="F467" s="18">
        <v>0</v>
      </c>
      <c r="G467" s="18">
        <v>0</v>
      </c>
      <c r="H467" s="18">
        <v>0</v>
      </c>
      <c r="L467" s="20" t="str">
        <f t="shared" si="14"/>
        <v>N/A</v>
      </c>
      <c r="M467" s="20" t="str">
        <f t="shared" si="15"/>
        <v>N/A</v>
      </c>
    </row>
    <row r="468" spans="1:13">
      <c r="A468" s="18" t="s">
        <v>22</v>
      </c>
      <c r="B468" s="18" t="s">
        <v>365</v>
      </c>
      <c r="C468" s="18" t="s">
        <v>223</v>
      </c>
      <c r="D468" s="18" t="s">
        <v>87</v>
      </c>
      <c r="E468" s="18">
        <v>124</v>
      </c>
      <c r="F468" s="18">
        <v>4152.88</v>
      </c>
      <c r="G468" s="18">
        <v>536.66999999999996</v>
      </c>
      <c r="H468" s="18">
        <v>3740.21</v>
      </c>
      <c r="L468" s="20" t="str">
        <f t="shared" si="14"/>
        <v>Asset</v>
      </c>
      <c r="M468" s="20" t="str">
        <f t="shared" si="15"/>
        <v>okay</v>
      </c>
    </row>
    <row r="469" spans="1:13">
      <c r="A469" s="18" t="s">
        <v>22</v>
      </c>
      <c r="B469" s="18" t="s">
        <v>365</v>
      </c>
      <c r="C469" s="18" t="s">
        <v>223</v>
      </c>
      <c r="D469" s="18" t="s">
        <v>97</v>
      </c>
      <c r="E469" s="18">
        <v>2034479.25</v>
      </c>
      <c r="F469" s="18">
        <v>0</v>
      </c>
      <c r="G469" s="18">
        <v>0</v>
      </c>
      <c r="H469" s="18">
        <v>2034479.25</v>
      </c>
      <c r="L469" s="20" t="str">
        <f t="shared" si="14"/>
        <v>Asset</v>
      </c>
      <c r="M469" s="20" t="str">
        <f t="shared" si="15"/>
        <v>okay</v>
      </c>
    </row>
    <row r="470" spans="1:13">
      <c r="A470" s="18" t="s">
        <v>22</v>
      </c>
      <c r="B470" s="18" t="s">
        <v>365</v>
      </c>
      <c r="C470" s="18" t="s">
        <v>223</v>
      </c>
      <c r="D470" s="18" t="s">
        <v>105</v>
      </c>
      <c r="E470" s="18">
        <v>633294.48</v>
      </c>
      <c r="F470" s="18">
        <v>29722.09</v>
      </c>
      <c r="G470" s="18">
        <v>0</v>
      </c>
      <c r="H470" s="18">
        <v>663016.56999999995</v>
      </c>
      <c r="L470" s="20" t="str">
        <f t="shared" si="14"/>
        <v>Asset</v>
      </c>
      <c r="M470" s="20" t="str">
        <f t="shared" si="15"/>
        <v>okay</v>
      </c>
    </row>
    <row r="471" spans="1:13">
      <c r="A471" s="18" t="s">
        <v>22</v>
      </c>
      <c r="B471" s="18" t="s">
        <v>365</v>
      </c>
      <c r="C471" s="18" t="s">
        <v>223</v>
      </c>
      <c r="D471" s="18" t="s">
        <v>108</v>
      </c>
      <c r="E471" s="18">
        <v>0</v>
      </c>
      <c r="F471" s="18">
        <v>0</v>
      </c>
      <c r="G471" s="18">
        <v>0</v>
      </c>
      <c r="H471" s="18">
        <v>0</v>
      </c>
      <c r="L471" s="20" t="str">
        <f t="shared" si="14"/>
        <v>Asset</v>
      </c>
      <c r="M471" s="20" t="str">
        <f t="shared" si="15"/>
        <v>okay</v>
      </c>
    </row>
    <row r="472" spans="1:13">
      <c r="A472" s="18" t="s">
        <v>22</v>
      </c>
      <c r="B472" s="18" t="s">
        <v>365</v>
      </c>
      <c r="C472" s="18" t="s">
        <v>223</v>
      </c>
      <c r="D472" s="18" t="s">
        <v>116</v>
      </c>
      <c r="E472" s="18">
        <v>-25.34</v>
      </c>
      <c r="F472" s="18">
        <v>0</v>
      </c>
      <c r="G472" s="18">
        <v>0</v>
      </c>
      <c r="H472" s="18">
        <v>-25.34</v>
      </c>
      <c r="L472" s="20" t="str">
        <f t="shared" si="14"/>
        <v>N/A</v>
      </c>
      <c r="M472" s="20" t="str">
        <f t="shared" si="15"/>
        <v>N/A</v>
      </c>
    </row>
    <row r="473" spans="1:13">
      <c r="A473" s="18" t="s">
        <v>22</v>
      </c>
      <c r="B473" s="18" t="s">
        <v>365</v>
      </c>
      <c r="C473" s="18" t="s">
        <v>223</v>
      </c>
      <c r="D473" s="18" t="s">
        <v>121</v>
      </c>
      <c r="E473" s="18">
        <v>-55.63</v>
      </c>
      <c r="F473" s="18">
        <v>37.090000000000003</v>
      </c>
      <c r="G473" s="18">
        <v>9.27</v>
      </c>
      <c r="H473" s="18">
        <v>-27.81</v>
      </c>
      <c r="L473" s="20" t="str">
        <f t="shared" si="14"/>
        <v>N/A</v>
      </c>
      <c r="M473" s="20" t="str">
        <f t="shared" si="15"/>
        <v>N/A</v>
      </c>
    </row>
    <row r="474" spans="1:13">
      <c r="A474" s="18" t="s">
        <v>22</v>
      </c>
      <c r="B474" s="18" t="s">
        <v>365</v>
      </c>
      <c r="C474" s="18" t="s">
        <v>223</v>
      </c>
      <c r="D474" s="18" t="s">
        <v>124</v>
      </c>
      <c r="E474" s="18">
        <v>-11.35</v>
      </c>
      <c r="F474" s="18">
        <v>0</v>
      </c>
      <c r="G474" s="18">
        <v>7.07</v>
      </c>
      <c r="H474" s="18">
        <v>-18.420000000000002</v>
      </c>
      <c r="L474" s="20" t="str">
        <f t="shared" si="14"/>
        <v>N/A</v>
      </c>
      <c r="M474" s="20" t="str">
        <f t="shared" si="15"/>
        <v>N/A</v>
      </c>
    </row>
    <row r="475" spans="1:13">
      <c r="A475" s="18" t="s">
        <v>22</v>
      </c>
      <c r="B475" s="18" t="s">
        <v>365</v>
      </c>
      <c r="C475" s="18" t="s">
        <v>223</v>
      </c>
      <c r="D475" s="18" t="s">
        <v>127</v>
      </c>
      <c r="E475" s="18">
        <v>0</v>
      </c>
      <c r="F475" s="18">
        <v>0</v>
      </c>
      <c r="G475" s="18">
        <v>0</v>
      </c>
      <c r="H475" s="18">
        <v>0</v>
      </c>
      <c r="L475" s="20" t="str">
        <f t="shared" si="14"/>
        <v>N/A</v>
      </c>
      <c r="M475" s="20" t="str">
        <f t="shared" si="15"/>
        <v>N/A</v>
      </c>
    </row>
    <row r="476" spans="1:13">
      <c r="A476" s="18" t="s">
        <v>22</v>
      </c>
      <c r="B476" s="18" t="s">
        <v>365</v>
      </c>
      <c r="C476" s="18" t="s">
        <v>223</v>
      </c>
      <c r="D476" s="18" t="s">
        <v>95</v>
      </c>
      <c r="E476" s="18">
        <v>-2.82</v>
      </c>
      <c r="F476" s="18">
        <v>0.69</v>
      </c>
      <c r="G476" s="18">
        <v>2.08</v>
      </c>
      <c r="H476" s="18">
        <v>-4.21</v>
      </c>
      <c r="L476" s="20" t="str">
        <f t="shared" si="14"/>
        <v>N/A</v>
      </c>
      <c r="M476" s="20" t="str">
        <f t="shared" si="15"/>
        <v>N/A</v>
      </c>
    </row>
    <row r="477" spans="1:13">
      <c r="A477" s="18" t="s">
        <v>22</v>
      </c>
      <c r="B477" s="18" t="s">
        <v>365</v>
      </c>
      <c r="C477" s="18" t="s">
        <v>223</v>
      </c>
      <c r="D477" s="18" t="s">
        <v>132</v>
      </c>
      <c r="E477" s="18">
        <v>0</v>
      </c>
      <c r="F477" s="18">
        <v>0</v>
      </c>
      <c r="G477" s="18">
        <v>0</v>
      </c>
      <c r="H477" s="18">
        <v>0</v>
      </c>
      <c r="L477" s="20" t="str">
        <f t="shared" si="14"/>
        <v>N/A</v>
      </c>
      <c r="M477" s="20" t="str">
        <f t="shared" si="15"/>
        <v>N/A</v>
      </c>
    </row>
    <row r="478" spans="1:13">
      <c r="A478" s="18" t="s">
        <v>22</v>
      </c>
      <c r="B478" s="18" t="s">
        <v>365</v>
      </c>
      <c r="C478" s="18" t="s">
        <v>223</v>
      </c>
      <c r="D478" s="18" t="s">
        <v>135</v>
      </c>
      <c r="E478" s="18">
        <v>-2469135.7999999998</v>
      </c>
      <c r="F478" s="18">
        <v>0</v>
      </c>
      <c r="G478" s="18">
        <v>0</v>
      </c>
      <c r="H478" s="18">
        <v>-2469135.7999999998</v>
      </c>
      <c r="L478" s="20" t="str">
        <f t="shared" si="14"/>
        <v>N/A</v>
      </c>
      <c r="M478" s="20" t="str">
        <f t="shared" si="15"/>
        <v>N/A</v>
      </c>
    </row>
    <row r="479" spans="1:13">
      <c r="A479" s="18" t="s">
        <v>22</v>
      </c>
      <c r="B479" s="18" t="s">
        <v>365</v>
      </c>
      <c r="C479" s="18" t="s">
        <v>223</v>
      </c>
      <c r="D479" s="18" t="s">
        <v>140</v>
      </c>
      <c r="E479" s="18">
        <v>-5905.77</v>
      </c>
      <c r="F479" s="18">
        <v>0</v>
      </c>
      <c r="G479" s="18">
        <v>4152.25</v>
      </c>
      <c r="H479" s="18">
        <v>-10058.02</v>
      </c>
      <c r="L479" s="20" t="str">
        <f t="shared" si="14"/>
        <v>N/A</v>
      </c>
      <c r="M479" s="20" t="str">
        <f t="shared" si="15"/>
        <v>N/A</v>
      </c>
    </row>
    <row r="480" spans="1:13">
      <c r="A480" s="18" t="s">
        <v>22</v>
      </c>
      <c r="B480" s="18" t="s">
        <v>365</v>
      </c>
      <c r="C480" s="18" t="s">
        <v>223</v>
      </c>
      <c r="D480" s="18" t="s">
        <v>143</v>
      </c>
      <c r="E480" s="18">
        <v>434656.55</v>
      </c>
      <c r="F480" s="18">
        <v>0</v>
      </c>
      <c r="G480" s="18">
        <v>0</v>
      </c>
      <c r="H480" s="18">
        <v>434656.55</v>
      </c>
      <c r="L480" s="20" t="str">
        <f t="shared" si="14"/>
        <v>N/A</v>
      </c>
      <c r="M480" s="20" t="str">
        <f t="shared" si="15"/>
        <v>N/A</v>
      </c>
    </row>
    <row r="481" spans="1:13">
      <c r="A481" s="18" t="s">
        <v>22</v>
      </c>
      <c r="B481" s="18" t="s">
        <v>365</v>
      </c>
      <c r="C481" s="18" t="s">
        <v>223</v>
      </c>
      <c r="D481" s="18" t="s">
        <v>146</v>
      </c>
      <c r="E481" s="18">
        <v>55078.95</v>
      </c>
      <c r="F481" s="18">
        <v>0</v>
      </c>
      <c r="G481" s="18">
        <v>0</v>
      </c>
      <c r="H481" s="18">
        <v>55078.95</v>
      </c>
      <c r="L481" s="20" t="str">
        <f t="shared" si="14"/>
        <v>N/A</v>
      </c>
      <c r="M481" s="20" t="str">
        <f t="shared" si="15"/>
        <v>N/A</v>
      </c>
    </row>
    <row r="482" spans="1:13">
      <c r="A482" s="18" t="s">
        <v>22</v>
      </c>
      <c r="B482" s="18" t="s">
        <v>365</v>
      </c>
      <c r="C482" s="18" t="s">
        <v>223</v>
      </c>
      <c r="D482" s="18" t="s">
        <v>147</v>
      </c>
      <c r="E482" s="18">
        <v>-480212.32</v>
      </c>
      <c r="F482" s="18">
        <v>0</v>
      </c>
      <c r="G482" s="18">
        <v>0</v>
      </c>
      <c r="H482" s="18">
        <v>-480212.32</v>
      </c>
      <c r="L482" s="20" t="str">
        <f t="shared" si="14"/>
        <v>N/A</v>
      </c>
      <c r="M482" s="20" t="str">
        <f t="shared" si="15"/>
        <v>N/A</v>
      </c>
    </row>
    <row r="483" spans="1:13">
      <c r="A483" s="18" t="s">
        <v>22</v>
      </c>
      <c r="B483" s="18" t="s">
        <v>365</v>
      </c>
      <c r="C483" s="18" t="s">
        <v>223</v>
      </c>
      <c r="D483" s="18" t="s">
        <v>153</v>
      </c>
      <c r="E483" s="18">
        <v>0</v>
      </c>
      <c r="F483" s="18">
        <v>0</v>
      </c>
      <c r="G483" s="18">
        <v>0</v>
      </c>
      <c r="H483" s="18">
        <v>0</v>
      </c>
      <c r="L483" s="20" t="str">
        <f t="shared" si="14"/>
        <v>N/A</v>
      </c>
      <c r="M483" s="20" t="str">
        <f t="shared" si="15"/>
        <v>N/A</v>
      </c>
    </row>
    <row r="484" spans="1:13">
      <c r="A484" s="18" t="s">
        <v>22</v>
      </c>
      <c r="B484" s="18" t="s">
        <v>365</v>
      </c>
      <c r="C484" s="18" t="s">
        <v>223</v>
      </c>
      <c r="D484" s="18" t="s">
        <v>155</v>
      </c>
      <c r="E484" s="18">
        <v>0</v>
      </c>
      <c r="F484" s="18">
        <v>0</v>
      </c>
      <c r="G484" s="18">
        <v>0</v>
      </c>
      <c r="H484" s="18">
        <v>0</v>
      </c>
      <c r="L484" s="20" t="str">
        <f t="shared" si="14"/>
        <v>N/A</v>
      </c>
      <c r="M484" s="20" t="str">
        <f t="shared" si="15"/>
        <v>N/A</v>
      </c>
    </row>
    <row r="485" spans="1:13">
      <c r="A485" s="18" t="s">
        <v>22</v>
      </c>
      <c r="B485" s="18" t="s">
        <v>365</v>
      </c>
      <c r="C485" s="18" t="s">
        <v>223</v>
      </c>
      <c r="D485" s="18" t="s">
        <v>156</v>
      </c>
      <c r="E485" s="18">
        <v>-21.75</v>
      </c>
      <c r="F485" s="18">
        <v>0</v>
      </c>
      <c r="G485" s="18">
        <v>0.63</v>
      </c>
      <c r="H485" s="18">
        <v>-22.38</v>
      </c>
      <c r="L485" s="20" t="str">
        <f t="shared" si="14"/>
        <v>N/A</v>
      </c>
      <c r="M485" s="20" t="str">
        <f t="shared" si="15"/>
        <v>N/A</v>
      </c>
    </row>
    <row r="486" spans="1:13">
      <c r="A486" s="18" t="s">
        <v>22</v>
      </c>
      <c r="B486" s="18" t="s">
        <v>365</v>
      </c>
      <c r="C486" s="18" t="s">
        <v>223</v>
      </c>
      <c r="D486" s="18" t="s">
        <v>157</v>
      </c>
      <c r="E486" s="18">
        <v>-203851.9</v>
      </c>
      <c r="F486" s="18">
        <v>0</v>
      </c>
      <c r="G486" s="18">
        <v>29722.09</v>
      </c>
      <c r="H486" s="18">
        <v>-233573.99</v>
      </c>
      <c r="L486" s="20" t="str">
        <f t="shared" si="14"/>
        <v>N/A</v>
      </c>
      <c r="M486" s="20" t="str">
        <f t="shared" si="15"/>
        <v>N/A</v>
      </c>
    </row>
    <row r="487" spans="1:13">
      <c r="A487" s="18" t="s">
        <v>22</v>
      </c>
      <c r="B487" s="18" t="s">
        <v>365</v>
      </c>
      <c r="C487" s="18" t="s">
        <v>223</v>
      </c>
      <c r="D487" s="18" t="s">
        <v>145</v>
      </c>
      <c r="E487" s="18">
        <v>0</v>
      </c>
      <c r="F487" s="18">
        <v>142.63999999999999</v>
      </c>
      <c r="G487" s="18">
        <v>0</v>
      </c>
      <c r="H487" s="18">
        <v>142.63999999999999</v>
      </c>
      <c r="L487" s="20" t="str">
        <f t="shared" si="14"/>
        <v>N/A</v>
      </c>
      <c r="M487" s="20" t="str">
        <f t="shared" si="15"/>
        <v>N/A</v>
      </c>
    </row>
    <row r="488" spans="1:13">
      <c r="A488" s="18" t="s">
        <v>22</v>
      </c>
      <c r="B488" s="18" t="s">
        <v>365</v>
      </c>
      <c r="C488" s="18" t="s">
        <v>223</v>
      </c>
      <c r="D488" s="18" t="s">
        <v>96</v>
      </c>
      <c r="E488" s="18">
        <v>4.16</v>
      </c>
      <c r="F488" s="18">
        <v>2.08</v>
      </c>
      <c r="G488" s="18">
        <v>0</v>
      </c>
      <c r="H488" s="18">
        <v>6.24</v>
      </c>
      <c r="L488" s="20" t="str">
        <f t="shared" si="14"/>
        <v>N/A</v>
      </c>
      <c r="M488" s="20" t="str">
        <f t="shared" si="15"/>
        <v>N/A</v>
      </c>
    </row>
    <row r="489" spans="1:13">
      <c r="A489" s="18" t="s">
        <v>22</v>
      </c>
      <c r="B489" s="18" t="s">
        <v>365</v>
      </c>
      <c r="C489" s="18" t="s">
        <v>223</v>
      </c>
      <c r="D489" s="18" t="s">
        <v>104</v>
      </c>
      <c r="E489" s="18">
        <v>9.48</v>
      </c>
      <c r="F489" s="18">
        <v>18.96</v>
      </c>
      <c r="G489" s="18">
        <v>0</v>
      </c>
      <c r="H489" s="18">
        <v>28.44</v>
      </c>
      <c r="L489" s="20" t="str">
        <f t="shared" si="14"/>
        <v>N/A</v>
      </c>
      <c r="M489" s="20" t="str">
        <f t="shared" si="15"/>
        <v>N/A</v>
      </c>
    </row>
    <row r="490" spans="1:13">
      <c r="A490" s="18" t="s">
        <v>22</v>
      </c>
      <c r="B490" s="18" t="s">
        <v>365</v>
      </c>
      <c r="C490" s="18" t="s">
        <v>223</v>
      </c>
      <c r="D490" s="18" t="s">
        <v>359</v>
      </c>
      <c r="E490" s="18">
        <v>447.29</v>
      </c>
      <c r="F490" s="18">
        <v>4.24</v>
      </c>
      <c r="G490" s="18">
        <v>0</v>
      </c>
      <c r="H490" s="18">
        <v>451.53</v>
      </c>
      <c r="L490" s="20" t="str">
        <f t="shared" si="14"/>
        <v>N/A</v>
      </c>
      <c r="M490" s="20" t="str">
        <f t="shared" si="15"/>
        <v>N/A</v>
      </c>
    </row>
    <row r="491" spans="1:13">
      <c r="A491" s="18" t="s">
        <v>22</v>
      </c>
      <c r="B491" s="18" t="s">
        <v>365</v>
      </c>
      <c r="C491" s="18" t="s">
        <v>223</v>
      </c>
      <c r="D491" s="18" t="s">
        <v>113</v>
      </c>
      <c r="E491" s="18">
        <v>608.84</v>
      </c>
      <c r="F491" s="18">
        <v>166.75</v>
      </c>
      <c r="G491" s="18">
        <v>0</v>
      </c>
      <c r="H491" s="18">
        <v>775.59</v>
      </c>
      <c r="L491" s="20" t="str">
        <f t="shared" si="14"/>
        <v>N/A</v>
      </c>
      <c r="M491" s="20" t="str">
        <f t="shared" si="15"/>
        <v>N/A</v>
      </c>
    </row>
    <row r="492" spans="1:13">
      <c r="A492" s="18" t="s">
        <v>22</v>
      </c>
      <c r="B492" s="18" t="s">
        <v>365</v>
      </c>
      <c r="C492" s="18" t="s">
        <v>223</v>
      </c>
      <c r="D492" s="18" t="s">
        <v>150</v>
      </c>
      <c r="E492" s="18">
        <v>189.63</v>
      </c>
      <c r="F492" s="18">
        <v>11.45</v>
      </c>
      <c r="G492" s="18">
        <v>0</v>
      </c>
      <c r="H492" s="18">
        <v>201.08</v>
      </c>
      <c r="L492" s="20" t="str">
        <f t="shared" si="14"/>
        <v>N/A</v>
      </c>
      <c r="M492" s="20" t="str">
        <f t="shared" si="15"/>
        <v>N/A</v>
      </c>
    </row>
    <row r="493" spans="1:13">
      <c r="A493" s="18" t="s">
        <v>22</v>
      </c>
      <c r="B493" s="18" t="s">
        <v>365</v>
      </c>
      <c r="C493" s="18" t="s">
        <v>223</v>
      </c>
      <c r="D493" s="18" t="s">
        <v>120</v>
      </c>
      <c r="E493" s="18">
        <v>0.28000000000000003</v>
      </c>
      <c r="F493" s="18">
        <v>0</v>
      </c>
      <c r="G493" s="18">
        <v>0</v>
      </c>
      <c r="H493" s="18">
        <v>0.28000000000000003</v>
      </c>
      <c r="L493" s="20" t="str">
        <f t="shared" si="14"/>
        <v>N/A</v>
      </c>
      <c r="M493" s="20" t="str">
        <f t="shared" si="15"/>
        <v>N/A</v>
      </c>
    </row>
    <row r="494" spans="1:13">
      <c r="A494" s="18" t="s">
        <v>22</v>
      </c>
      <c r="B494" s="18" t="s">
        <v>365</v>
      </c>
      <c r="C494" s="18" t="s">
        <v>223</v>
      </c>
      <c r="D494" s="18" t="s">
        <v>123</v>
      </c>
      <c r="E494" s="18">
        <v>177.59</v>
      </c>
      <c r="F494" s="18">
        <v>90.38</v>
      </c>
      <c r="G494" s="18">
        <v>0</v>
      </c>
      <c r="H494" s="18">
        <v>267.97000000000003</v>
      </c>
      <c r="L494" s="20" t="str">
        <f t="shared" si="14"/>
        <v>N/A</v>
      </c>
      <c r="M494" s="20" t="str">
        <f t="shared" si="15"/>
        <v>N/A</v>
      </c>
    </row>
    <row r="495" spans="1:13">
      <c r="A495" s="18" t="s">
        <v>22</v>
      </c>
      <c r="B495" s="18" t="s">
        <v>365</v>
      </c>
      <c r="C495" s="18" t="s">
        <v>223</v>
      </c>
      <c r="D495" s="18" t="s">
        <v>126</v>
      </c>
      <c r="E495" s="18">
        <v>26.43</v>
      </c>
      <c r="F495" s="18">
        <v>5.09</v>
      </c>
      <c r="G495" s="18">
        <v>0</v>
      </c>
      <c r="H495" s="18">
        <v>31.52</v>
      </c>
      <c r="L495" s="20" t="str">
        <f t="shared" si="14"/>
        <v>N/A</v>
      </c>
      <c r="M495" s="20" t="str">
        <f t="shared" si="15"/>
        <v>N/A</v>
      </c>
    </row>
    <row r="496" spans="1:13">
      <c r="A496" s="18" t="s">
        <v>22</v>
      </c>
      <c r="B496" s="18" t="s">
        <v>365</v>
      </c>
      <c r="C496" s="18" t="s">
        <v>223</v>
      </c>
      <c r="D496" s="18" t="s">
        <v>129</v>
      </c>
      <c r="E496" s="18">
        <v>24.68</v>
      </c>
      <c r="F496" s="18">
        <v>7.03</v>
      </c>
      <c r="G496" s="18">
        <v>0</v>
      </c>
      <c r="H496" s="18">
        <v>31.71</v>
      </c>
      <c r="L496" s="20" t="str">
        <f t="shared" si="14"/>
        <v>N/A</v>
      </c>
      <c r="M496" s="20" t="str">
        <f t="shared" si="15"/>
        <v>N/A</v>
      </c>
    </row>
    <row r="497" spans="1:13">
      <c r="A497" s="18" t="s">
        <v>22</v>
      </c>
      <c r="B497" s="18" t="s">
        <v>365</v>
      </c>
      <c r="C497" s="18" t="s">
        <v>223</v>
      </c>
      <c r="D497" s="18" t="s">
        <v>131</v>
      </c>
      <c r="E497" s="18">
        <v>62.71</v>
      </c>
      <c r="F497" s="18">
        <v>44.75</v>
      </c>
      <c r="G497" s="18">
        <v>0</v>
      </c>
      <c r="H497" s="18">
        <v>107.46</v>
      </c>
      <c r="L497" s="20" t="str">
        <f t="shared" si="14"/>
        <v>N/A</v>
      </c>
      <c r="M497" s="20" t="str">
        <f t="shared" si="15"/>
        <v>N/A</v>
      </c>
    </row>
    <row r="498" spans="1:13">
      <c r="A498" s="18" t="s">
        <v>22</v>
      </c>
      <c r="B498" s="18" t="s">
        <v>365</v>
      </c>
      <c r="C498" s="18" t="s">
        <v>223</v>
      </c>
      <c r="D498" s="18" t="s">
        <v>162</v>
      </c>
      <c r="E498" s="18">
        <v>0</v>
      </c>
      <c r="F498" s="18">
        <v>0</v>
      </c>
      <c r="G498" s="18">
        <v>0</v>
      </c>
      <c r="H498" s="18">
        <v>0</v>
      </c>
      <c r="L498" s="20" t="str">
        <f t="shared" si="14"/>
        <v>N/A</v>
      </c>
      <c r="M498" s="20" t="str">
        <f t="shared" si="15"/>
        <v>N/A</v>
      </c>
    </row>
    <row r="499" spans="1:13">
      <c r="A499" s="18" t="s">
        <v>22</v>
      </c>
      <c r="B499" s="18" t="s">
        <v>365</v>
      </c>
      <c r="C499" s="18" t="s">
        <v>223</v>
      </c>
      <c r="D499" s="18" t="s">
        <v>134</v>
      </c>
      <c r="E499" s="18">
        <v>4.49</v>
      </c>
      <c r="F499" s="18">
        <v>5.62</v>
      </c>
      <c r="G499" s="18">
        <v>0</v>
      </c>
      <c r="H499" s="18">
        <v>10.11</v>
      </c>
      <c r="L499" s="20" t="str">
        <f t="shared" si="14"/>
        <v>N/A</v>
      </c>
      <c r="M499" s="20" t="str">
        <f t="shared" si="15"/>
        <v>N/A</v>
      </c>
    </row>
    <row r="500" spans="1:13">
      <c r="A500" s="18" t="s">
        <v>22</v>
      </c>
      <c r="B500" s="18" t="s">
        <v>365</v>
      </c>
      <c r="C500" s="18" t="s">
        <v>223</v>
      </c>
      <c r="D500" s="18" t="s">
        <v>139</v>
      </c>
      <c r="E500" s="18">
        <v>18.54</v>
      </c>
      <c r="F500" s="18">
        <v>9.27</v>
      </c>
      <c r="G500" s="18">
        <v>0</v>
      </c>
      <c r="H500" s="18">
        <v>27.81</v>
      </c>
      <c r="L500" s="20" t="str">
        <f t="shared" si="14"/>
        <v>N/A</v>
      </c>
      <c r="M500" s="20" t="str">
        <f t="shared" si="15"/>
        <v>N/A</v>
      </c>
    </row>
    <row r="501" spans="1:13">
      <c r="A501" s="18" t="s">
        <v>22</v>
      </c>
      <c r="B501" s="18" t="s">
        <v>365</v>
      </c>
      <c r="C501" s="18" t="s">
        <v>223</v>
      </c>
      <c r="D501" s="18" t="s">
        <v>142</v>
      </c>
      <c r="E501" s="18">
        <v>15.33</v>
      </c>
      <c r="F501" s="18">
        <v>9.0500000000000007</v>
      </c>
      <c r="G501" s="18">
        <v>0</v>
      </c>
      <c r="H501" s="18">
        <v>24.38</v>
      </c>
      <c r="L501" s="20" t="str">
        <f t="shared" si="14"/>
        <v>N/A</v>
      </c>
      <c r="M501" s="20" t="str">
        <f t="shared" si="15"/>
        <v>N/A</v>
      </c>
    </row>
    <row r="502" spans="1:13">
      <c r="A502" s="18" t="s">
        <v>22</v>
      </c>
      <c r="B502" s="18" t="s">
        <v>365</v>
      </c>
      <c r="C502" s="18" t="s">
        <v>223</v>
      </c>
      <c r="D502" s="18" t="s">
        <v>163</v>
      </c>
      <c r="E502" s="18">
        <v>0</v>
      </c>
      <c r="F502" s="18">
        <v>0</v>
      </c>
      <c r="G502" s="18">
        <v>0</v>
      </c>
      <c r="H502" s="18">
        <v>0</v>
      </c>
      <c r="L502" s="20" t="str">
        <f t="shared" si="14"/>
        <v>N/A</v>
      </c>
      <c r="M502" s="20" t="str">
        <f t="shared" si="15"/>
        <v>N/A</v>
      </c>
    </row>
    <row r="503" spans="1:13">
      <c r="A503" s="18" t="s">
        <v>22</v>
      </c>
      <c r="B503" s="18" t="s">
        <v>365</v>
      </c>
      <c r="C503" s="18" t="s">
        <v>225</v>
      </c>
      <c r="D503" s="18" t="s">
        <v>87</v>
      </c>
      <c r="E503" s="18">
        <v>2510.33</v>
      </c>
      <c r="F503" s="18">
        <v>84095.8</v>
      </c>
      <c r="G503" s="18">
        <v>10867.8</v>
      </c>
      <c r="H503" s="18">
        <v>75738.33</v>
      </c>
      <c r="L503" s="20" t="str">
        <f t="shared" si="14"/>
        <v>Asset</v>
      </c>
      <c r="M503" s="20" t="str">
        <f t="shared" si="15"/>
        <v>okay</v>
      </c>
    </row>
    <row r="504" spans="1:13">
      <c r="A504" s="18" t="s">
        <v>22</v>
      </c>
      <c r="B504" s="18" t="s">
        <v>365</v>
      </c>
      <c r="C504" s="18" t="s">
        <v>225</v>
      </c>
      <c r="D504" s="18" t="s">
        <v>97</v>
      </c>
      <c r="E504" s="18">
        <v>41198205.07</v>
      </c>
      <c r="F504" s="18">
        <v>0</v>
      </c>
      <c r="G504" s="18">
        <v>0</v>
      </c>
      <c r="H504" s="18">
        <v>41198205.07</v>
      </c>
      <c r="L504" s="20" t="str">
        <f t="shared" si="14"/>
        <v>Asset</v>
      </c>
      <c r="M504" s="20" t="str">
        <f t="shared" si="15"/>
        <v>okay</v>
      </c>
    </row>
    <row r="505" spans="1:13">
      <c r="A505" s="18" t="s">
        <v>22</v>
      </c>
      <c r="B505" s="18" t="s">
        <v>365</v>
      </c>
      <c r="C505" s="18" t="s">
        <v>225</v>
      </c>
      <c r="D505" s="18" t="s">
        <v>105</v>
      </c>
      <c r="E505" s="18">
        <v>12824212.880000001</v>
      </c>
      <c r="F505" s="18">
        <v>601872.32999999996</v>
      </c>
      <c r="G505" s="18">
        <v>0</v>
      </c>
      <c r="H505" s="18">
        <v>13426085.210000001</v>
      </c>
      <c r="L505" s="20" t="str">
        <f t="shared" si="14"/>
        <v>Asset</v>
      </c>
      <c r="M505" s="20" t="str">
        <f t="shared" si="15"/>
        <v>okay</v>
      </c>
    </row>
    <row r="506" spans="1:13">
      <c r="A506" s="18" t="s">
        <v>22</v>
      </c>
      <c r="B506" s="18" t="s">
        <v>365</v>
      </c>
      <c r="C506" s="18" t="s">
        <v>225</v>
      </c>
      <c r="D506" s="18" t="s">
        <v>108</v>
      </c>
      <c r="E506" s="18">
        <v>0</v>
      </c>
      <c r="F506" s="18">
        <v>0</v>
      </c>
      <c r="G506" s="18">
        <v>0</v>
      </c>
      <c r="H506" s="18">
        <v>0</v>
      </c>
      <c r="L506" s="20" t="str">
        <f t="shared" si="14"/>
        <v>Asset</v>
      </c>
      <c r="M506" s="20" t="str">
        <f t="shared" si="15"/>
        <v>okay</v>
      </c>
    </row>
    <row r="507" spans="1:13">
      <c r="A507" s="18" t="s">
        <v>22</v>
      </c>
      <c r="B507" s="18" t="s">
        <v>365</v>
      </c>
      <c r="C507" s="18" t="s">
        <v>225</v>
      </c>
      <c r="D507" s="18" t="s">
        <v>116</v>
      </c>
      <c r="E507" s="18">
        <v>-513.57000000000005</v>
      </c>
      <c r="F507" s="18">
        <v>0</v>
      </c>
      <c r="G507" s="18">
        <v>0</v>
      </c>
      <c r="H507" s="18">
        <v>-513.57000000000005</v>
      </c>
      <c r="L507" s="20" t="str">
        <f t="shared" si="14"/>
        <v>N/A</v>
      </c>
      <c r="M507" s="20" t="str">
        <f t="shared" si="15"/>
        <v>N/A</v>
      </c>
    </row>
    <row r="508" spans="1:13">
      <c r="A508" s="18" t="s">
        <v>22</v>
      </c>
      <c r="B508" s="18" t="s">
        <v>365</v>
      </c>
      <c r="C508" s="18" t="s">
        <v>225</v>
      </c>
      <c r="D508" s="18" t="s">
        <v>121</v>
      </c>
      <c r="E508" s="18">
        <v>-1126.72</v>
      </c>
      <c r="F508" s="18">
        <v>751.14</v>
      </c>
      <c r="G508" s="18">
        <v>187.79</v>
      </c>
      <c r="H508" s="18">
        <v>-563.37</v>
      </c>
      <c r="L508" s="20" t="str">
        <f t="shared" si="14"/>
        <v>N/A</v>
      </c>
      <c r="M508" s="20" t="str">
        <f t="shared" si="15"/>
        <v>N/A</v>
      </c>
    </row>
    <row r="509" spans="1:13">
      <c r="A509" s="18" t="s">
        <v>22</v>
      </c>
      <c r="B509" s="18" t="s">
        <v>365</v>
      </c>
      <c r="C509" s="18" t="s">
        <v>225</v>
      </c>
      <c r="D509" s="18" t="s">
        <v>124</v>
      </c>
      <c r="E509" s="18">
        <v>-230.19</v>
      </c>
      <c r="F509" s="18">
        <v>0</v>
      </c>
      <c r="G509" s="18">
        <v>143.25</v>
      </c>
      <c r="H509" s="18">
        <v>-373.44</v>
      </c>
      <c r="L509" s="20" t="str">
        <f t="shared" si="14"/>
        <v>N/A</v>
      </c>
      <c r="M509" s="20" t="str">
        <f t="shared" si="15"/>
        <v>N/A</v>
      </c>
    </row>
    <row r="510" spans="1:13">
      <c r="A510" s="18" t="s">
        <v>22</v>
      </c>
      <c r="B510" s="18" t="s">
        <v>365</v>
      </c>
      <c r="C510" s="18" t="s">
        <v>225</v>
      </c>
      <c r="D510" s="18" t="s">
        <v>127</v>
      </c>
      <c r="E510" s="18">
        <v>0</v>
      </c>
      <c r="F510" s="18">
        <v>0</v>
      </c>
      <c r="G510" s="18">
        <v>0</v>
      </c>
      <c r="H510" s="18">
        <v>0</v>
      </c>
      <c r="L510" s="20" t="str">
        <f t="shared" si="14"/>
        <v>N/A</v>
      </c>
      <c r="M510" s="20" t="str">
        <f t="shared" si="15"/>
        <v>N/A</v>
      </c>
    </row>
    <row r="511" spans="1:13">
      <c r="A511" s="18" t="s">
        <v>22</v>
      </c>
      <c r="B511" s="18" t="s">
        <v>365</v>
      </c>
      <c r="C511" s="18" t="s">
        <v>225</v>
      </c>
      <c r="D511" s="18" t="s">
        <v>95</v>
      </c>
      <c r="E511" s="18">
        <v>-56.07</v>
      </c>
      <c r="F511" s="18">
        <v>14.01</v>
      </c>
      <c r="G511" s="18">
        <v>42.04</v>
      </c>
      <c r="H511" s="18">
        <v>-84.1</v>
      </c>
      <c r="L511" s="20" t="str">
        <f t="shared" si="14"/>
        <v>N/A</v>
      </c>
      <c r="M511" s="20" t="str">
        <f t="shared" si="15"/>
        <v>N/A</v>
      </c>
    </row>
    <row r="512" spans="1:13">
      <c r="A512" s="18" t="s">
        <v>22</v>
      </c>
      <c r="B512" s="18" t="s">
        <v>365</v>
      </c>
      <c r="C512" s="18" t="s">
        <v>225</v>
      </c>
      <c r="D512" s="18" t="s">
        <v>132</v>
      </c>
      <c r="E512" s="18">
        <v>0</v>
      </c>
      <c r="F512" s="18">
        <v>0</v>
      </c>
      <c r="G512" s="18">
        <v>0</v>
      </c>
      <c r="H512" s="18">
        <v>0</v>
      </c>
      <c r="L512" s="20" t="str">
        <f t="shared" si="14"/>
        <v>N/A</v>
      </c>
      <c r="M512" s="20" t="str">
        <f t="shared" si="15"/>
        <v>N/A</v>
      </c>
    </row>
    <row r="513" spans="1:13">
      <c r="A513" s="18" t="s">
        <v>22</v>
      </c>
      <c r="B513" s="18" t="s">
        <v>365</v>
      </c>
      <c r="C513" s="18" t="s">
        <v>225</v>
      </c>
      <c r="D513" s="18" t="s">
        <v>135</v>
      </c>
      <c r="E513" s="18">
        <v>-50000000</v>
      </c>
      <c r="F513" s="18">
        <v>0</v>
      </c>
      <c r="G513" s="18">
        <v>0</v>
      </c>
      <c r="H513" s="18">
        <v>-50000000</v>
      </c>
      <c r="L513" s="20" t="str">
        <f t="shared" si="14"/>
        <v>N/A</v>
      </c>
      <c r="M513" s="20" t="str">
        <f t="shared" si="15"/>
        <v>N/A</v>
      </c>
    </row>
    <row r="514" spans="1:13">
      <c r="A514" s="18" t="s">
        <v>22</v>
      </c>
      <c r="B514" s="18" t="s">
        <v>365</v>
      </c>
      <c r="C514" s="18" t="s">
        <v>225</v>
      </c>
      <c r="D514" s="18" t="s">
        <v>140</v>
      </c>
      <c r="E514" s="18">
        <v>-119591.91</v>
      </c>
      <c r="F514" s="18">
        <v>0</v>
      </c>
      <c r="G514" s="18">
        <v>84083.04</v>
      </c>
      <c r="H514" s="18">
        <v>-203674.95</v>
      </c>
      <c r="L514" s="20" t="str">
        <f t="shared" si="14"/>
        <v>N/A</v>
      </c>
      <c r="M514" s="20" t="str">
        <f t="shared" si="15"/>
        <v>N/A</v>
      </c>
    </row>
    <row r="515" spans="1:13">
      <c r="A515" s="18" t="s">
        <v>22</v>
      </c>
      <c r="B515" s="18" t="s">
        <v>365</v>
      </c>
      <c r="C515" s="18" t="s">
        <v>225</v>
      </c>
      <c r="D515" s="18" t="s">
        <v>143</v>
      </c>
      <c r="E515" s="18">
        <v>8801794.9299999997</v>
      </c>
      <c r="F515" s="18">
        <v>0</v>
      </c>
      <c r="G515" s="18">
        <v>0</v>
      </c>
      <c r="H515" s="18">
        <v>8801794.9299999997</v>
      </c>
      <c r="L515" s="20" t="str">
        <f t="shared" ref="L515:L578" si="16">+IF(LEFT(D515,1)="1","Asset","N/A")</f>
        <v>N/A</v>
      </c>
      <c r="M515" s="20" t="str">
        <f t="shared" ref="M515:M578" si="17">+IF(L515="asset",IF(H515&lt;0,"Provide Comment","okay"),"N/A")</f>
        <v>N/A</v>
      </c>
    </row>
    <row r="516" spans="1:13">
      <c r="A516" s="18" t="s">
        <v>22</v>
      </c>
      <c r="B516" s="18" t="s">
        <v>365</v>
      </c>
      <c r="C516" s="18" t="s">
        <v>225</v>
      </c>
      <c r="D516" s="18" t="s">
        <v>146</v>
      </c>
      <c r="E516" s="18">
        <v>1115348.8500000001</v>
      </c>
      <c r="F516" s="18">
        <v>0</v>
      </c>
      <c r="G516" s="18">
        <v>0</v>
      </c>
      <c r="H516" s="18">
        <v>1115348.8500000001</v>
      </c>
      <c r="L516" s="20" t="str">
        <f t="shared" si="16"/>
        <v>N/A</v>
      </c>
      <c r="M516" s="20" t="str">
        <f t="shared" si="17"/>
        <v>N/A</v>
      </c>
    </row>
    <row r="517" spans="1:13">
      <c r="A517" s="18" t="s">
        <v>22</v>
      </c>
      <c r="B517" s="18" t="s">
        <v>365</v>
      </c>
      <c r="C517" s="18" t="s">
        <v>225</v>
      </c>
      <c r="D517" s="18" t="s">
        <v>147</v>
      </c>
      <c r="E517" s="18">
        <v>-9724299.2799999993</v>
      </c>
      <c r="F517" s="18">
        <v>0</v>
      </c>
      <c r="G517" s="18">
        <v>0</v>
      </c>
      <c r="H517" s="18">
        <v>-9724299.2799999993</v>
      </c>
      <c r="L517" s="20" t="str">
        <f t="shared" si="16"/>
        <v>N/A</v>
      </c>
      <c r="M517" s="20" t="str">
        <f t="shared" si="17"/>
        <v>N/A</v>
      </c>
    </row>
    <row r="518" spans="1:13">
      <c r="A518" s="18" t="s">
        <v>22</v>
      </c>
      <c r="B518" s="18" t="s">
        <v>365</v>
      </c>
      <c r="C518" s="18" t="s">
        <v>225</v>
      </c>
      <c r="D518" s="18" t="s">
        <v>153</v>
      </c>
      <c r="E518" s="18">
        <v>0</v>
      </c>
      <c r="F518" s="18">
        <v>0</v>
      </c>
      <c r="G518" s="18">
        <v>0</v>
      </c>
      <c r="H518" s="18">
        <v>0</v>
      </c>
      <c r="L518" s="20" t="str">
        <f t="shared" si="16"/>
        <v>N/A</v>
      </c>
      <c r="M518" s="20" t="str">
        <f t="shared" si="17"/>
        <v>N/A</v>
      </c>
    </row>
    <row r="519" spans="1:13">
      <c r="A519" s="18" t="s">
        <v>22</v>
      </c>
      <c r="B519" s="18" t="s">
        <v>365</v>
      </c>
      <c r="C519" s="18" t="s">
        <v>225</v>
      </c>
      <c r="D519" s="18" t="s">
        <v>155</v>
      </c>
      <c r="E519" s="18">
        <v>0</v>
      </c>
      <c r="F519" s="18">
        <v>0</v>
      </c>
      <c r="G519" s="18">
        <v>0</v>
      </c>
      <c r="H519" s="18">
        <v>0</v>
      </c>
      <c r="L519" s="20" t="str">
        <f t="shared" si="16"/>
        <v>N/A</v>
      </c>
      <c r="M519" s="20" t="str">
        <f t="shared" si="17"/>
        <v>N/A</v>
      </c>
    </row>
    <row r="520" spans="1:13">
      <c r="A520" s="18" t="s">
        <v>22</v>
      </c>
      <c r="B520" s="18" t="s">
        <v>365</v>
      </c>
      <c r="C520" s="18" t="s">
        <v>225</v>
      </c>
      <c r="D520" s="18" t="s">
        <v>156</v>
      </c>
      <c r="E520" s="18">
        <v>-440.41</v>
      </c>
      <c r="F520" s="18">
        <v>0</v>
      </c>
      <c r="G520" s="18">
        <v>12.76</v>
      </c>
      <c r="H520" s="18">
        <v>-453.17</v>
      </c>
      <c r="L520" s="20" t="str">
        <f t="shared" si="16"/>
        <v>N/A</v>
      </c>
      <c r="M520" s="20" t="str">
        <f t="shared" si="17"/>
        <v>N/A</v>
      </c>
    </row>
    <row r="521" spans="1:13">
      <c r="A521" s="18" t="s">
        <v>22</v>
      </c>
      <c r="B521" s="18" t="s">
        <v>365</v>
      </c>
      <c r="C521" s="18" t="s">
        <v>225</v>
      </c>
      <c r="D521" s="18" t="s">
        <v>157</v>
      </c>
      <c r="E521" s="18">
        <v>-4128000.99</v>
      </c>
      <c r="F521" s="18">
        <v>0</v>
      </c>
      <c r="G521" s="18">
        <v>601872.32999999996</v>
      </c>
      <c r="H521" s="18">
        <v>-4729873.32</v>
      </c>
      <c r="L521" s="20" t="str">
        <f t="shared" si="16"/>
        <v>N/A</v>
      </c>
      <c r="M521" s="20" t="str">
        <f t="shared" si="17"/>
        <v>N/A</v>
      </c>
    </row>
    <row r="522" spans="1:13">
      <c r="A522" s="18" t="s">
        <v>22</v>
      </c>
      <c r="B522" s="18" t="s">
        <v>365</v>
      </c>
      <c r="C522" s="18" t="s">
        <v>225</v>
      </c>
      <c r="D522" s="18" t="s">
        <v>145</v>
      </c>
      <c r="E522" s="18">
        <v>0</v>
      </c>
      <c r="F522" s="18">
        <v>2888.39</v>
      </c>
      <c r="G522" s="18">
        <v>0</v>
      </c>
      <c r="H522" s="18">
        <v>2888.39</v>
      </c>
      <c r="L522" s="20" t="str">
        <f t="shared" si="16"/>
        <v>N/A</v>
      </c>
      <c r="M522" s="20" t="str">
        <f t="shared" si="17"/>
        <v>N/A</v>
      </c>
    </row>
    <row r="523" spans="1:13">
      <c r="A523" s="18" t="s">
        <v>22</v>
      </c>
      <c r="B523" s="18" t="s">
        <v>365</v>
      </c>
      <c r="C523" s="18" t="s">
        <v>225</v>
      </c>
      <c r="D523" s="18" t="s">
        <v>96</v>
      </c>
      <c r="E523" s="18">
        <v>84.08</v>
      </c>
      <c r="F523" s="18">
        <v>42.04</v>
      </c>
      <c r="G523" s="18">
        <v>0</v>
      </c>
      <c r="H523" s="18">
        <v>126.12</v>
      </c>
      <c r="L523" s="20" t="str">
        <f t="shared" si="16"/>
        <v>N/A</v>
      </c>
      <c r="M523" s="20" t="str">
        <f t="shared" si="17"/>
        <v>N/A</v>
      </c>
    </row>
    <row r="524" spans="1:13">
      <c r="A524" s="18" t="s">
        <v>22</v>
      </c>
      <c r="B524" s="18" t="s">
        <v>365</v>
      </c>
      <c r="C524" s="18" t="s">
        <v>225</v>
      </c>
      <c r="D524" s="18" t="s">
        <v>104</v>
      </c>
      <c r="E524" s="18">
        <v>191.99</v>
      </c>
      <c r="F524" s="18">
        <v>384.03</v>
      </c>
      <c r="G524" s="18">
        <v>0</v>
      </c>
      <c r="H524" s="18">
        <v>576.02</v>
      </c>
      <c r="L524" s="20" t="str">
        <f t="shared" si="16"/>
        <v>N/A</v>
      </c>
      <c r="M524" s="20" t="str">
        <f t="shared" si="17"/>
        <v>N/A</v>
      </c>
    </row>
    <row r="525" spans="1:13">
      <c r="A525" s="18" t="s">
        <v>22</v>
      </c>
      <c r="B525" s="18" t="s">
        <v>365</v>
      </c>
      <c r="C525" s="18" t="s">
        <v>225</v>
      </c>
      <c r="D525" s="18" t="s">
        <v>359</v>
      </c>
      <c r="E525" s="18">
        <v>9057.61</v>
      </c>
      <c r="F525" s="18">
        <v>85.76</v>
      </c>
      <c r="G525" s="18">
        <v>0</v>
      </c>
      <c r="H525" s="18">
        <v>9143.3700000000008</v>
      </c>
      <c r="L525" s="20" t="str">
        <f t="shared" si="16"/>
        <v>N/A</v>
      </c>
      <c r="M525" s="20" t="str">
        <f t="shared" si="17"/>
        <v>N/A</v>
      </c>
    </row>
    <row r="526" spans="1:13">
      <c r="A526" s="18" t="s">
        <v>22</v>
      </c>
      <c r="B526" s="18" t="s">
        <v>365</v>
      </c>
      <c r="C526" s="18" t="s">
        <v>225</v>
      </c>
      <c r="D526" s="18" t="s">
        <v>113</v>
      </c>
      <c r="E526" s="18">
        <v>12329.04</v>
      </c>
      <c r="F526" s="18">
        <v>3376.61</v>
      </c>
      <c r="G526" s="18">
        <v>0</v>
      </c>
      <c r="H526" s="18">
        <v>15705.65</v>
      </c>
      <c r="L526" s="20" t="str">
        <f t="shared" si="16"/>
        <v>N/A</v>
      </c>
      <c r="M526" s="20" t="str">
        <f t="shared" si="17"/>
        <v>N/A</v>
      </c>
    </row>
    <row r="527" spans="1:13">
      <c r="A527" s="18" t="s">
        <v>22</v>
      </c>
      <c r="B527" s="18" t="s">
        <v>365</v>
      </c>
      <c r="C527" s="18" t="s">
        <v>225</v>
      </c>
      <c r="D527" s="18" t="s">
        <v>150</v>
      </c>
      <c r="E527" s="18">
        <v>3840.06</v>
      </c>
      <c r="F527" s="18">
        <v>231.84</v>
      </c>
      <c r="G527" s="18">
        <v>0</v>
      </c>
      <c r="H527" s="18">
        <v>4071.9</v>
      </c>
      <c r="L527" s="20" t="str">
        <f t="shared" si="16"/>
        <v>N/A</v>
      </c>
      <c r="M527" s="20" t="str">
        <f t="shared" si="17"/>
        <v>N/A</v>
      </c>
    </row>
    <row r="528" spans="1:13">
      <c r="A528" s="18" t="s">
        <v>22</v>
      </c>
      <c r="B528" s="18" t="s">
        <v>365</v>
      </c>
      <c r="C528" s="18" t="s">
        <v>225</v>
      </c>
      <c r="D528" s="18" t="s">
        <v>120</v>
      </c>
      <c r="E528" s="18">
        <v>5.76</v>
      </c>
      <c r="F528" s="18">
        <v>0</v>
      </c>
      <c r="G528" s="18">
        <v>0</v>
      </c>
      <c r="H528" s="18">
        <v>5.76</v>
      </c>
      <c r="L528" s="20" t="str">
        <f t="shared" si="16"/>
        <v>N/A</v>
      </c>
      <c r="M528" s="20" t="str">
        <f t="shared" si="17"/>
        <v>N/A</v>
      </c>
    </row>
    <row r="529" spans="1:13">
      <c r="A529" s="18" t="s">
        <v>22</v>
      </c>
      <c r="B529" s="18" t="s">
        <v>365</v>
      </c>
      <c r="C529" s="18" t="s">
        <v>225</v>
      </c>
      <c r="D529" s="18" t="s">
        <v>123</v>
      </c>
      <c r="E529" s="18">
        <v>3596.29</v>
      </c>
      <c r="F529" s="18">
        <v>1830.3</v>
      </c>
      <c r="G529" s="18">
        <v>0</v>
      </c>
      <c r="H529" s="18">
        <v>5426.59</v>
      </c>
      <c r="L529" s="20" t="str">
        <f t="shared" si="16"/>
        <v>N/A</v>
      </c>
      <c r="M529" s="20" t="str">
        <f t="shared" si="17"/>
        <v>N/A</v>
      </c>
    </row>
    <row r="530" spans="1:13">
      <c r="A530" s="18" t="s">
        <v>22</v>
      </c>
      <c r="B530" s="18" t="s">
        <v>365</v>
      </c>
      <c r="C530" s="18" t="s">
        <v>225</v>
      </c>
      <c r="D530" s="18" t="s">
        <v>126</v>
      </c>
      <c r="E530" s="18">
        <v>535.34</v>
      </c>
      <c r="F530" s="18">
        <v>103.16</v>
      </c>
      <c r="G530" s="18">
        <v>0</v>
      </c>
      <c r="H530" s="18">
        <v>638.5</v>
      </c>
      <c r="L530" s="20" t="str">
        <f t="shared" si="16"/>
        <v>N/A</v>
      </c>
      <c r="M530" s="20" t="str">
        <f t="shared" si="17"/>
        <v>N/A</v>
      </c>
    </row>
    <row r="531" spans="1:13">
      <c r="A531" s="18" t="s">
        <v>22</v>
      </c>
      <c r="B531" s="18" t="s">
        <v>365</v>
      </c>
      <c r="C531" s="18" t="s">
        <v>225</v>
      </c>
      <c r="D531" s="18" t="s">
        <v>129</v>
      </c>
      <c r="E531" s="18">
        <v>499.92</v>
      </c>
      <c r="F531" s="18">
        <v>142.26</v>
      </c>
      <c r="G531" s="18">
        <v>0</v>
      </c>
      <c r="H531" s="18">
        <v>642.17999999999995</v>
      </c>
      <c r="L531" s="20" t="str">
        <f t="shared" si="16"/>
        <v>N/A</v>
      </c>
      <c r="M531" s="20" t="str">
        <f t="shared" si="17"/>
        <v>N/A</v>
      </c>
    </row>
    <row r="532" spans="1:13">
      <c r="A532" s="18" t="s">
        <v>22</v>
      </c>
      <c r="B532" s="18" t="s">
        <v>365</v>
      </c>
      <c r="C532" s="18" t="s">
        <v>225</v>
      </c>
      <c r="D532" s="18" t="s">
        <v>131</v>
      </c>
      <c r="E532" s="18">
        <v>1269.77</v>
      </c>
      <c r="F532" s="18">
        <v>906.31</v>
      </c>
      <c r="G532" s="18">
        <v>0</v>
      </c>
      <c r="H532" s="18">
        <v>2176.08</v>
      </c>
      <c r="L532" s="20" t="str">
        <f t="shared" si="16"/>
        <v>N/A</v>
      </c>
      <c r="M532" s="20" t="str">
        <f t="shared" si="17"/>
        <v>N/A</v>
      </c>
    </row>
    <row r="533" spans="1:13">
      <c r="A533" s="18" t="s">
        <v>22</v>
      </c>
      <c r="B533" s="18" t="s">
        <v>365</v>
      </c>
      <c r="C533" s="18" t="s">
        <v>225</v>
      </c>
      <c r="D533" s="18" t="s">
        <v>162</v>
      </c>
      <c r="E533" s="18">
        <v>0</v>
      </c>
      <c r="F533" s="18">
        <v>0</v>
      </c>
      <c r="G533" s="18">
        <v>0</v>
      </c>
      <c r="H533" s="18">
        <v>0</v>
      </c>
      <c r="L533" s="20" t="str">
        <f t="shared" si="16"/>
        <v>N/A</v>
      </c>
      <c r="M533" s="20" t="str">
        <f t="shared" si="17"/>
        <v>N/A</v>
      </c>
    </row>
    <row r="534" spans="1:13">
      <c r="A534" s="18" t="s">
        <v>22</v>
      </c>
      <c r="B534" s="18" t="s">
        <v>365</v>
      </c>
      <c r="C534" s="18" t="s">
        <v>225</v>
      </c>
      <c r="D534" s="18" t="s">
        <v>134</v>
      </c>
      <c r="E534" s="18">
        <v>91.11</v>
      </c>
      <c r="F534" s="18">
        <v>113.84</v>
      </c>
      <c r="G534" s="18">
        <v>0</v>
      </c>
      <c r="H534" s="18">
        <v>204.95</v>
      </c>
      <c r="L534" s="20" t="str">
        <f t="shared" si="16"/>
        <v>N/A</v>
      </c>
      <c r="M534" s="20" t="str">
        <f t="shared" si="17"/>
        <v>N/A</v>
      </c>
    </row>
    <row r="535" spans="1:13">
      <c r="A535" s="18" t="s">
        <v>22</v>
      </c>
      <c r="B535" s="18" t="s">
        <v>365</v>
      </c>
      <c r="C535" s="18" t="s">
        <v>225</v>
      </c>
      <c r="D535" s="18" t="s">
        <v>139</v>
      </c>
      <c r="E535" s="18">
        <v>375.58</v>
      </c>
      <c r="F535" s="18">
        <v>187.79</v>
      </c>
      <c r="G535" s="18">
        <v>0</v>
      </c>
      <c r="H535" s="18">
        <v>563.37</v>
      </c>
      <c r="L535" s="20" t="str">
        <f t="shared" si="16"/>
        <v>N/A</v>
      </c>
      <c r="M535" s="20" t="str">
        <f t="shared" si="17"/>
        <v>N/A</v>
      </c>
    </row>
    <row r="536" spans="1:13">
      <c r="A536" s="18" t="s">
        <v>22</v>
      </c>
      <c r="B536" s="18" t="s">
        <v>365</v>
      </c>
      <c r="C536" s="18" t="s">
        <v>225</v>
      </c>
      <c r="D536" s="18" t="s">
        <v>142</v>
      </c>
      <c r="E536" s="18">
        <v>310.52999999999997</v>
      </c>
      <c r="F536" s="18">
        <v>183.4</v>
      </c>
      <c r="G536" s="18">
        <v>0</v>
      </c>
      <c r="H536" s="18">
        <v>493.93</v>
      </c>
      <c r="L536" s="20" t="str">
        <f t="shared" si="16"/>
        <v>N/A</v>
      </c>
      <c r="M536" s="20" t="str">
        <f t="shared" si="17"/>
        <v>N/A</v>
      </c>
    </row>
    <row r="537" spans="1:13">
      <c r="A537" s="18" t="s">
        <v>22</v>
      </c>
      <c r="B537" s="18" t="s">
        <v>365</v>
      </c>
      <c r="C537" s="18" t="s">
        <v>225</v>
      </c>
      <c r="D537" s="18" t="s">
        <v>163</v>
      </c>
      <c r="E537" s="18">
        <v>0</v>
      </c>
      <c r="F537" s="18">
        <v>0</v>
      </c>
      <c r="G537" s="18">
        <v>0</v>
      </c>
      <c r="H537" s="18">
        <v>0</v>
      </c>
      <c r="L537" s="20" t="str">
        <f t="shared" si="16"/>
        <v>N/A</v>
      </c>
      <c r="M537" s="20" t="str">
        <f t="shared" si="17"/>
        <v>N/A</v>
      </c>
    </row>
    <row r="538" spans="1:13">
      <c r="A538" s="18" t="s">
        <v>22</v>
      </c>
      <c r="B538" s="18" t="s">
        <v>365</v>
      </c>
      <c r="C538" s="18" t="s">
        <v>227</v>
      </c>
      <c r="D538" s="18" t="s">
        <v>87</v>
      </c>
      <c r="E538" s="18">
        <v>148.80000000000001</v>
      </c>
      <c r="F538" s="18">
        <v>4983.46</v>
      </c>
      <c r="G538" s="18">
        <v>644.03</v>
      </c>
      <c r="H538" s="18">
        <v>4488.2299999999996</v>
      </c>
      <c r="L538" s="20" t="str">
        <f t="shared" si="16"/>
        <v>Asset</v>
      </c>
      <c r="M538" s="20" t="str">
        <f t="shared" si="17"/>
        <v>okay</v>
      </c>
    </row>
    <row r="539" spans="1:13">
      <c r="A539" s="18" t="s">
        <v>22</v>
      </c>
      <c r="B539" s="18" t="s">
        <v>365</v>
      </c>
      <c r="C539" s="18" t="s">
        <v>227</v>
      </c>
      <c r="D539" s="18" t="s">
        <v>97</v>
      </c>
      <c r="E539" s="18">
        <v>2441375.11</v>
      </c>
      <c r="F539" s="18">
        <v>0</v>
      </c>
      <c r="G539" s="18">
        <v>0</v>
      </c>
      <c r="H539" s="18">
        <v>2441375.11</v>
      </c>
      <c r="L539" s="20" t="str">
        <f t="shared" si="16"/>
        <v>Asset</v>
      </c>
      <c r="M539" s="20" t="str">
        <f t="shared" si="17"/>
        <v>okay</v>
      </c>
    </row>
    <row r="540" spans="1:13">
      <c r="A540" s="18" t="s">
        <v>22</v>
      </c>
      <c r="B540" s="18" t="s">
        <v>365</v>
      </c>
      <c r="C540" s="18" t="s">
        <v>227</v>
      </c>
      <c r="D540" s="18" t="s">
        <v>105</v>
      </c>
      <c r="E540" s="18">
        <v>759953.35</v>
      </c>
      <c r="F540" s="18">
        <v>35666.51</v>
      </c>
      <c r="G540" s="18">
        <v>0</v>
      </c>
      <c r="H540" s="18">
        <v>795619.86</v>
      </c>
      <c r="L540" s="20" t="str">
        <f t="shared" si="16"/>
        <v>Asset</v>
      </c>
      <c r="M540" s="20" t="str">
        <f t="shared" si="17"/>
        <v>okay</v>
      </c>
    </row>
    <row r="541" spans="1:13">
      <c r="A541" s="18" t="s">
        <v>22</v>
      </c>
      <c r="B541" s="18" t="s">
        <v>365</v>
      </c>
      <c r="C541" s="18" t="s">
        <v>227</v>
      </c>
      <c r="D541" s="18" t="s">
        <v>108</v>
      </c>
      <c r="E541" s="18">
        <v>0</v>
      </c>
      <c r="F541" s="18">
        <v>0</v>
      </c>
      <c r="G541" s="18">
        <v>0</v>
      </c>
      <c r="H541" s="18">
        <v>0</v>
      </c>
      <c r="L541" s="20" t="str">
        <f t="shared" si="16"/>
        <v>Asset</v>
      </c>
      <c r="M541" s="20" t="str">
        <f t="shared" si="17"/>
        <v>okay</v>
      </c>
    </row>
    <row r="542" spans="1:13">
      <c r="A542" s="18" t="s">
        <v>22</v>
      </c>
      <c r="B542" s="18" t="s">
        <v>365</v>
      </c>
      <c r="C542" s="18" t="s">
        <v>227</v>
      </c>
      <c r="D542" s="18" t="s">
        <v>116</v>
      </c>
      <c r="E542" s="18">
        <v>-30.45</v>
      </c>
      <c r="F542" s="18">
        <v>0</v>
      </c>
      <c r="G542" s="18">
        <v>0</v>
      </c>
      <c r="H542" s="18">
        <v>-30.45</v>
      </c>
      <c r="L542" s="20" t="str">
        <f t="shared" si="16"/>
        <v>N/A</v>
      </c>
      <c r="M542" s="20" t="str">
        <f t="shared" si="17"/>
        <v>N/A</v>
      </c>
    </row>
    <row r="543" spans="1:13">
      <c r="A543" s="18" t="s">
        <v>22</v>
      </c>
      <c r="B543" s="18" t="s">
        <v>365</v>
      </c>
      <c r="C543" s="18" t="s">
        <v>227</v>
      </c>
      <c r="D543" s="18" t="s">
        <v>121</v>
      </c>
      <c r="E543" s="18">
        <v>-66.78</v>
      </c>
      <c r="F543" s="18">
        <v>44.51</v>
      </c>
      <c r="G543" s="18">
        <v>11.13</v>
      </c>
      <c r="H543" s="18">
        <v>-33.4</v>
      </c>
      <c r="L543" s="20" t="str">
        <f t="shared" si="16"/>
        <v>N/A</v>
      </c>
      <c r="M543" s="20" t="str">
        <f t="shared" si="17"/>
        <v>N/A</v>
      </c>
    </row>
    <row r="544" spans="1:13">
      <c r="A544" s="18" t="s">
        <v>22</v>
      </c>
      <c r="B544" s="18" t="s">
        <v>365</v>
      </c>
      <c r="C544" s="18" t="s">
        <v>227</v>
      </c>
      <c r="D544" s="18" t="s">
        <v>124</v>
      </c>
      <c r="E544" s="18">
        <v>-13.65</v>
      </c>
      <c r="F544" s="18">
        <v>0</v>
      </c>
      <c r="G544" s="18">
        <v>8.49</v>
      </c>
      <c r="H544" s="18">
        <v>-22.14</v>
      </c>
      <c r="L544" s="20" t="str">
        <f t="shared" si="16"/>
        <v>N/A</v>
      </c>
      <c r="M544" s="20" t="str">
        <f t="shared" si="17"/>
        <v>N/A</v>
      </c>
    </row>
    <row r="545" spans="1:13">
      <c r="A545" s="18" t="s">
        <v>22</v>
      </c>
      <c r="B545" s="18" t="s">
        <v>365</v>
      </c>
      <c r="C545" s="18" t="s">
        <v>227</v>
      </c>
      <c r="D545" s="18" t="s">
        <v>127</v>
      </c>
      <c r="E545" s="18">
        <v>0</v>
      </c>
      <c r="F545" s="18">
        <v>0</v>
      </c>
      <c r="G545" s="18">
        <v>0</v>
      </c>
      <c r="H545" s="18">
        <v>0</v>
      </c>
      <c r="L545" s="20" t="str">
        <f t="shared" si="16"/>
        <v>N/A</v>
      </c>
      <c r="M545" s="20" t="str">
        <f t="shared" si="17"/>
        <v>N/A</v>
      </c>
    </row>
    <row r="546" spans="1:13">
      <c r="A546" s="18" t="s">
        <v>22</v>
      </c>
      <c r="B546" s="18" t="s">
        <v>365</v>
      </c>
      <c r="C546" s="18" t="s">
        <v>227</v>
      </c>
      <c r="D546" s="18" t="s">
        <v>95</v>
      </c>
      <c r="E546" s="18">
        <v>-3.32</v>
      </c>
      <c r="F546" s="18">
        <v>0.83</v>
      </c>
      <c r="G546" s="18">
        <v>2.4900000000000002</v>
      </c>
      <c r="H546" s="18">
        <v>-4.9800000000000004</v>
      </c>
      <c r="L546" s="20" t="str">
        <f t="shared" si="16"/>
        <v>N/A</v>
      </c>
      <c r="M546" s="20" t="str">
        <f t="shared" si="17"/>
        <v>N/A</v>
      </c>
    </row>
    <row r="547" spans="1:13">
      <c r="A547" s="18" t="s">
        <v>22</v>
      </c>
      <c r="B547" s="18" t="s">
        <v>365</v>
      </c>
      <c r="C547" s="18" t="s">
        <v>227</v>
      </c>
      <c r="D547" s="18" t="s">
        <v>132</v>
      </c>
      <c r="E547" s="18">
        <v>0</v>
      </c>
      <c r="F547" s="18">
        <v>0</v>
      </c>
      <c r="G547" s="18">
        <v>0</v>
      </c>
      <c r="H547" s="18">
        <v>0</v>
      </c>
      <c r="L547" s="20" t="str">
        <f t="shared" si="16"/>
        <v>N/A</v>
      </c>
      <c r="M547" s="20" t="str">
        <f t="shared" si="17"/>
        <v>N/A</v>
      </c>
    </row>
    <row r="548" spans="1:13">
      <c r="A548" s="18" t="s">
        <v>22</v>
      </c>
      <c r="B548" s="18" t="s">
        <v>365</v>
      </c>
      <c r="C548" s="18" t="s">
        <v>227</v>
      </c>
      <c r="D548" s="18" t="s">
        <v>135</v>
      </c>
      <c r="E548" s="18">
        <v>-2962962.96</v>
      </c>
      <c r="F548" s="18">
        <v>0</v>
      </c>
      <c r="G548" s="18">
        <v>0</v>
      </c>
      <c r="H548" s="18">
        <v>-2962962.96</v>
      </c>
      <c r="L548" s="20" t="str">
        <f t="shared" si="16"/>
        <v>N/A</v>
      </c>
      <c r="M548" s="20" t="str">
        <f t="shared" si="17"/>
        <v>N/A</v>
      </c>
    </row>
    <row r="549" spans="1:13">
      <c r="A549" s="18" t="s">
        <v>22</v>
      </c>
      <c r="B549" s="18" t="s">
        <v>365</v>
      </c>
      <c r="C549" s="18" t="s">
        <v>227</v>
      </c>
      <c r="D549" s="18" t="s">
        <v>140</v>
      </c>
      <c r="E549" s="18">
        <v>-7086.93</v>
      </c>
      <c r="F549" s="18">
        <v>0</v>
      </c>
      <c r="G549" s="18">
        <v>4982.7</v>
      </c>
      <c r="H549" s="18">
        <v>-12069.63</v>
      </c>
      <c r="L549" s="20" t="str">
        <f t="shared" si="16"/>
        <v>N/A</v>
      </c>
      <c r="M549" s="20" t="str">
        <f t="shared" si="17"/>
        <v>N/A</v>
      </c>
    </row>
    <row r="550" spans="1:13">
      <c r="A550" s="18" t="s">
        <v>22</v>
      </c>
      <c r="B550" s="18" t="s">
        <v>365</v>
      </c>
      <c r="C550" s="18" t="s">
        <v>227</v>
      </c>
      <c r="D550" s="18" t="s">
        <v>143</v>
      </c>
      <c r="E550" s="18">
        <v>521587.85</v>
      </c>
      <c r="F550" s="18">
        <v>0</v>
      </c>
      <c r="G550" s="18">
        <v>0</v>
      </c>
      <c r="H550" s="18">
        <v>521587.85</v>
      </c>
      <c r="L550" s="20" t="str">
        <f t="shared" si="16"/>
        <v>N/A</v>
      </c>
      <c r="M550" s="20" t="str">
        <f t="shared" si="17"/>
        <v>N/A</v>
      </c>
    </row>
    <row r="551" spans="1:13">
      <c r="A551" s="18" t="s">
        <v>22</v>
      </c>
      <c r="B551" s="18" t="s">
        <v>365</v>
      </c>
      <c r="C551" s="18" t="s">
        <v>227</v>
      </c>
      <c r="D551" s="18" t="s">
        <v>146</v>
      </c>
      <c r="E551" s="18">
        <v>66094.75</v>
      </c>
      <c r="F551" s="18">
        <v>0</v>
      </c>
      <c r="G551" s="18">
        <v>0</v>
      </c>
      <c r="H551" s="18">
        <v>66094.75</v>
      </c>
      <c r="L551" s="20" t="str">
        <f t="shared" si="16"/>
        <v>N/A</v>
      </c>
      <c r="M551" s="20" t="str">
        <f t="shared" si="17"/>
        <v>N/A</v>
      </c>
    </row>
    <row r="552" spans="1:13">
      <c r="A552" s="18" t="s">
        <v>22</v>
      </c>
      <c r="B552" s="18" t="s">
        <v>365</v>
      </c>
      <c r="C552" s="18" t="s">
        <v>227</v>
      </c>
      <c r="D552" s="18" t="s">
        <v>147</v>
      </c>
      <c r="E552" s="18">
        <v>-576254.76</v>
      </c>
      <c r="F552" s="18">
        <v>0</v>
      </c>
      <c r="G552" s="18">
        <v>0</v>
      </c>
      <c r="H552" s="18">
        <v>-576254.76</v>
      </c>
      <c r="L552" s="20" t="str">
        <f t="shared" si="16"/>
        <v>N/A</v>
      </c>
      <c r="M552" s="20" t="str">
        <f t="shared" si="17"/>
        <v>N/A</v>
      </c>
    </row>
    <row r="553" spans="1:13">
      <c r="A553" s="18" t="s">
        <v>22</v>
      </c>
      <c r="B553" s="18" t="s">
        <v>365</v>
      </c>
      <c r="C553" s="18" t="s">
        <v>227</v>
      </c>
      <c r="D553" s="18" t="s">
        <v>153</v>
      </c>
      <c r="E553" s="18">
        <v>0</v>
      </c>
      <c r="F553" s="18">
        <v>0</v>
      </c>
      <c r="G553" s="18">
        <v>0</v>
      </c>
      <c r="H553" s="18">
        <v>0</v>
      </c>
      <c r="L553" s="20" t="str">
        <f t="shared" si="16"/>
        <v>N/A</v>
      </c>
      <c r="M553" s="20" t="str">
        <f t="shared" si="17"/>
        <v>N/A</v>
      </c>
    </row>
    <row r="554" spans="1:13">
      <c r="A554" s="18" t="s">
        <v>22</v>
      </c>
      <c r="B554" s="18" t="s">
        <v>365</v>
      </c>
      <c r="C554" s="18" t="s">
        <v>227</v>
      </c>
      <c r="D554" s="18" t="s">
        <v>155</v>
      </c>
      <c r="E554" s="18">
        <v>0</v>
      </c>
      <c r="F554" s="18">
        <v>0</v>
      </c>
      <c r="G554" s="18">
        <v>0</v>
      </c>
      <c r="H554" s="18">
        <v>0</v>
      </c>
      <c r="L554" s="20" t="str">
        <f t="shared" si="16"/>
        <v>N/A</v>
      </c>
      <c r="M554" s="20" t="str">
        <f t="shared" si="17"/>
        <v>N/A</v>
      </c>
    </row>
    <row r="555" spans="1:13">
      <c r="A555" s="18" t="s">
        <v>22</v>
      </c>
      <c r="B555" s="18" t="s">
        <v>365</v>
      </c>
      <c r="C555" s="18" t="s">
        <v>227</v>
      </c>
      <c r="D555" s="18" t="s">
        <v>156</v>
      </c>
      <c r="E555" s="18">
        <v>-26.11</v>
      </c>
      <c r="F555" s="18">
        <v>0</v>
      </c>
      <c r="G555" s="18">
        <v>0.76</v>
      </c>
      <c r="H555" s="18">
        <v>-26.87</v>
      </c>
      <c r="L555" s="20" t="str">
        <f t="shared" si="16"/>
        <v>N/A</v>
      </c>
      <c r="M555" s="20" t="str">
        <f t="shared" si="17"/>
        <v>N/A</v>
      </c>
    </row>
    <row r="556" spans="1:13">
      <c r="A556" s="18" t="s">
        <v>22</v>
      </c>
      <c r="B556" s="18" t="s">
        <v>365</v>
      </c>
      <c r="C556" s="18" t="s">
        <v>227</v>
      </c>
      <c r="D556" s="18" t="s">
        <v>157</v>
      </c>
      <c r="E556" s="18">
        <v>-244622.27</v>
      </c>
      <c r="F556" s="18">
        <v>0</v>
      </c>
      <c r="G556" s="18">
        <v>35666.51</v>
      </c>
      <c r="H556" s="18">
        <v>-280288.78000000003</v>
      </c>
      <c r="L556" s="20" t="str">
        <f t="shared" si="16"/>
        <v>N/A</v>
      </c>
      <c r="M556" s="20" t="str">
        <f t="shared" si="17"/>
        <v>N/A</v>
      </c>
    </row>
    <row r="557" spans="1:13">
      <c r="A557" s="18" t="s">
        <v>22</v>
      </c>
      <c r="B557" s="18" t="s">
        <v>365</v>
      </c>
      <c r="C557" s="18" t="s">
        <v>227</v>
      </c>
      <c r="D557" s="18" t="s">
        <v>145</v>
      </c>
      <c r="E557" s="18">
        <v>0</v>
      </c>
      <c r="F557" s="18">
        <v>171.16</v>
      </c>
      <c r="G557" s="18">
        <v>0</v>
      </c>
      <c r="H557" s="18">
        <v>171.16</v>
      </c>
      <c r="L557" s="20" t="str">
        <f t="shared" si="16"/>
        <v>N/A</v>
      </c>
      <c r="M557" s="20" t="str">
        <f t="shared" si="17"/>
        <v>N/A</v>
      </c>
    </row>
    <row r="558" spans="1:13">
      <c r="A558" s="18" t="s">
        <v>22</v>
      </c>
      <c r="B558" s="18" t="s">
        <v>365</v>
      </c>
      <c r="C558" s="18" t="s">
        <v>227</v>
      </c>
      <c r="D558" s="18" t="s">
        <v>96</v>
      </c>
      <c r="E558" s="18">
        <v>4.9800000000000004</v>
      </c>
      <c r="F558" s="18">
        <v>2.4900000000000002</v>
      </c>
      <c r="G558" s="18">
        <v>0</v>
      </c>
      <c r="H558" s="18">
        <v>7.47</v>
      </c>
      <c r="L558" s="20" t="str">
        <f t="shared" si="16"/>
        <v>N/A</v>
      </c>
      <c r="M558" s="20" t="str">
        <f t="shared" si="17"/>
        <v>N/A</v>
      </c>
    </row>
    <row r="559" spans="1:13">
      <c r="A559" s="18" t="s">
        <v>22</v>
      </c>
      <c r="B559" s="18" t="s">
        <v>365</v>
      </c>
      <c r="C559" s="18" t="s">
        <v>227</v>
      </c>
      <c r="D559" s="18" t="s">
        <v>104</v>
      </c>
      <c r="E559" s="18">
        <v>11.38</v>
      </c>
      <c r="F559" s="18">
        <v>22.76</v>
      </c>
      <c r="G559" s="18">
        <v>0</v>
      </c>
      <c r="H559" s="18">
        <v>34.14</v>
      </c>
      <c r="L559" s="20" t="str">
        <f t="shared" si="16"/>
        <v>N/A</v>
      </c>
      <c r="M559" s="20" t="str">
        <f t="shared" si="17"/>
        <v>N/A</v>
      </c>
    </row>
    <row r="560" spans="1:13">
      <c r="A560" s="18" t="s">
        <v>22</v>
      </c>
      <c r="B560" s="18" t="s">
        <v>365</v>
      </c>
      <c r="C560" s="18" t="s">
        <v>227</v>
      </c>
      <c r="D560" s="18" t="s">
        <v>359</v>
      </c>
      <c r="E560" s="18">
        <v>536.75</v>
      </c>
      <c r="F560" s="18">
        <v>5.08</v>
      </c>
      <c r="G560" s="18">
        <v>0</v>
      </c>
      <c r="H560" s="18">
        <v>541.83000000000004</v>
      </c>
      <c r="L560" s="20" t="str">
        <f t="shared" si="16"/>
        <v>N/A</v>
      </c>
      <c r="M560" s="20" t="str">
        <f t="shared" si="17"/>
        <v>N/A</v>
      </c>
    </row>
    <row r="561" spans="1:13">
      <c r="A561" s="18" t="s">
        <v>22</v>
      </c>
      <c r="B561" s="18" t="s">
        <v>365</v>
      </c>
      <c r="C561" s="18" t="s">
        <v>227</v>
      </c>
      <c r="D561" s="18" t="s">
        <v>113</v>
      </c>
      <c r="E561" s="18">
        <v>730.61</v>
      </c>
      <c r="F561" s="18">
        <v>200.1</v>
      </c>
      <c r="G561" s="18">
        <v>0</v>
      </c>
      <c r="H561" s="18">
        <v>930.71</v>
      </c>
      <c r="L561" s="20" t="str">
        <f t="shared" si="16"/>
        <v>N/A</v>
      </c>
      <c r="M561" s="20" t="str">
        <f t="shared" si="17"/>
        <v>N/A</v>
      </c>
    </row>
    <row r="562" spans="1:13">
      <c r="A562" s="18" t="s">
        <v>22</v>
      </c>
      <c r="B562" s="18" t="s">
        <v>365</v>
      </c>
      <c r="C562" s="18" t="s">
        <v>227</v>
      </c>
      <c r="D562" s="18" t="s">
        <v>150</v>
      </c>
      <c r="E562" s="18">
        <v>227.55</v>
      </c>
      <c r="F562" s="18">
        <v>13.74</v>
      </c>
      <c r="G562" s="18">
        <v>0</v>
      </c>
      <c r="H562" s="18">
        <v>241.29</v>
      </c>
      <c r="L562" s="20" t="str">
        <f t="shared" si="16"/>
        <v>N/A</v>
      </c>
      <c r="M562" s="20" t="str">
        <f t="shared" si="17"/>
        <v>N/A</v>
      </c>
    </row>
    <row r="563" spans="1:13">
      <c r="A563" s="18" t="s">
        <v>22</v>
      </c>
      <c r="B563" s="18" t="s">
        <v>365</v>
      </c>
      <c r="C563" s="18" t="s">
        <v>227</v>
      </c>
      <c r="D563" s="18" t="s">
        <v>120</v>
      </c>
      <c r="E563" s="18">
        <v>0.34</v>
      </c>
      <c r="F563" s="18">
        <v>0</v>
      </c>
      <c r="G563" s="18">
        <v>0</v>
      </c>
      <c r="H563" s="18">
        <v>0.34</v>
      </c>
      <c r="L563" s="20" t="str">
        <f t="shared" si="16"/>
        <v>N/A</v>
      </c>
      <c r="M563" s="20" t="str">
        <f t="shared" si="17"/>
        <v>N/A</v>
      </c>
    </row>
    <row r="564" spans="1:13">
      <c r="A564" s="18" t="s">
        <v>22</v>
      </c>
      <c r="B564" s="18" t="s">
        <v>365</v>
      </c>
      <c r="C564" s="18" t="s">
        <v>227</v>
      </c>
      <c r="D564" s="18" t="s">
        <v>123</v>
      </c>
      <c r="E564" s="18">
        <v>213.11</v>
      </c>
      <c r="F564" s="18">
        <v>108.47</v>
      </c>
      <c r="G564" s="18">
        <v>0</v>
      </c>
      <c r="H564" s="18">
        <v>321.58</v>
      </c>
      <c r="L564" s="20" t="str">
        <f t="shared" si="16"/>
        <v>N/A</v>
      </c>
      <c r="M564" s="20" t="str">
        <f t="shared" si="17"/>
        <v>N/A</v>
      </c>
    </row>
    <row r="565" spans="1:13">
      <c r="A565" s="18" t="s">
        <v>22</v>
      </c>
      <c r="B565" s="18" t="s">
        <v>365</v>
      </c>
      <c r="C565" s="18" t="s">
        <v>227</v>
      </c>
      <c r="D565" s="18" t="s">
        <v>126</v>
      </c>
      <c r="E565" s="18">
        <v>31.72</v>
      </c>
      <c r="F565" s="18">
        <v>6.11</v>
      </c>
      <c r="G565" s="18">
        <v>0</v>
      </c>
      <c r="H565" s="18">
        <v>37.83</v>
      </c>
      <c r="L565" s="20" t="str">
        <f t="shared" si="16"/>
        <v>N/A</v>
      </c>
      <c r="M565" s="20" t="str">
        <f t="shared" si="17"/>
        <v>N/A</v>
      </c>
    </row>
    <row r="566" spans="1:13">
      <c r="A566" s="18" t="s">
        <v>22</v>
      </c>
      <c r="B566" s="18" t="s">
        <v>365</v>
      </c>
      <c r="C566" s="18" t="s">
        <v>227</v>
      </c>
      <c r="D566" s="18" t="s">
        <v>129</v>
      </c>
      <c r="E566" s="18">
        <v>29.63</v>
      </c>
      <c r="F566" s="18">
        <v>8.43</v>
      </c>
      <c r="G566" s="18">
        <v>0</v>
      </c>
      <c r="H566" s="18">
        <v>38.06</v>
      </c>
      <c r="L566" s="20" t="str">
        <f t="shared" si="16"/>
        <v>N/A</v>
      </c>
      <c r="M566" s="20" t="str">
        <f t="shared" si="17"/>
        <v>N/A</v>
      </c>
    </row>
    <row r="567" spans="1:13">
      <c r="A567" s="18" t="s">
        <v>22</v>
      </c>
      <c r="B567" s="18" t="s">
        <v>365</v>
      </c>
      <c r="C567" s="18" t="s">
        <v>227</v>
      </c>
      <c r="D567" s="18" t="s">
        <v>131</v>
      </c>
      <c r="E567" s="18">
        <v>75.25</v>
      </c>
      <c r="F567" s="18">
        <v>53.71</v>
      </c>
      <c r="G567" s="18">
        <v>0</v>
      </c>
      <c r="H567" s="18">
        <v>128.96</v>
      </c>
      <c r="L567" s="20" t="str">
        <f t="shared" si="16"/>
        <v>N/A</v>
      </c>
      <c r="M567" s="20" t="str">
        <f t="shared" si="17"/>
        <v>N/A</v>
      </c>
    </row>
    <row r="568" spans="1:13">
      <c r="A568" s="18" t="s">
        <v>22</v>
      </c>
      <c r="B568" s="18" t="s">
        <v>365</v>
      </c>
      <c r="C568" s="18" t="s">
        <v>227</v>
      </c>
      <c r="D568" s="18" t="s">
        <v>162</v>
      </c>
      <c r="E568" s="18">
        <v>0</v>
      </c>
      <c r="F568" s="18">
        <v>0</v>
      </c>
      <c r="G568" s="18">
        <v>0</v>
      </c>
      <c r="H568" s="18">
        <v>0</v>
      </c>
      <c r="L568" s="20" t="str">
        <f t="shared" si="16"/>
        <v>N/A</v>
      </c>
      <c r="M568" s="20" t="str">
        <f t="shared" si="17"/>
        <v>N/A</v>
      </c>
    </row>
    <row r="569" spans="1:13">
      <c r="A569" s="18" t="s">
        <v>22</v>
      </c>
      <c r="B569" s="18" t="s">
        <v>365</v>
      </c>
      <c r="C569" s="18" t="s">
        <v>227</v>
      </c>
      <c r="D569" s="18" t="s">
        <v>134</v>
      </c>
      <c r="E569" s="18">
        <v>5.39</v>
      </c>
      <c r="F569" s="18">
        <v>6.75</v>
      </c>
      <c r="G569" s="18">
        <v>0</v>
      </c>
      <c r="H569" s="18">
        <v>12.14</v>
      </c>
      <c r="L569" s="20" t="str">
        <f t="shared" si="16"/>
        <v>N/A</v>
      </c>
      <c r="M569" s="20" t="str">
        <f t="shared" si="17"/>
        <v>N/A</v>
      </c>
    </row>
    <row r="570" spans="1:13">
      <c r="A570" s="18" t="s">
        <v>22</v>
      </c>
      <c r="B570" s="18" t="s">
        <v>365</v>
      </c>
      <c r="C570" s="18" t="s">
        <v>227</v>
      </c>
      <c r="D570" s="18" t="s">
        <v>139</v>
      </c>
      <c r="E570" s="18">
        <v>22.26</v>
      </c>
      <c r="F570" s="18">
        <v>11.13</v>
      </c>
      <c r="G570" s="18">
        <v>0</v>
      </c>
      <c r="H570" s="18">
        <v>33.39</v>
      </c>
      <c r="L570" s="20" t="str">
        <f t="shared" si="16"/>
        <v>N/A</v>
      </c>
      <c r="M570" s="20" t="str">
        <f t="shared" si="17"/>
        <v>N/A</v>
      </c>
    </row>
    <row r="571" spans="1:13">
      <c r="A571" s="18" t="s">
        <v>22</v>
      </c>
      <c r="B571" s="18" t="s">
        <v>365</v>
      </c>
      <c r="C571" s="18" t="s">
        <v>227</v>
      </c>
      <c r="D571" s="18" t="s">
        <v>142</v>
      </c>
      <c r="E571" s="18">
        <v>18.399999999999999</v>
      </c>
      <c r="F571" s="18">
        <v>10.87</v>
      </c>
      <c r="G571" s="18">
        <v>0</v>
      </c>
      <c r="H571" s="18">
        <v>29.27</v>
      </c>
      <c r="L571" s="20" t="str">
        <f t="shared" si="16"/>
        <v>N/A</v>
      </c>
      <c r="M571" s="20" t="str">
        <f t="shared" si="17"/>
        <v>N/A</v>
      </c>
    </row>
    <row r="572" spans="1:13">
      <c r="A572" s="18" t="s">
        <v>22</v>
      </c>
      <c r="B572" s="18" t="s">
        <v>365</v>
      </c>
      <c r="C572" s="18" t="s">
        <v>227</v>
      </c>
      <c r="D572" s="18" t="s">
        <v>163</v>
      </c>
      <c r="E572" s="18">
        <v>0</v>
      </c>
      <c r="F572" s="18">
        <v>0</v>
      </c>
      <c r="G572" s="18">
        <v>0</v>
      </c>
      <c r="H572" s="18">
        <v>0</v>
      </c>
      <c r="L572" s="20" t="str">
        <f t="shared" si="16"/>
        <v>N/A</v>
      </c>
      <c r="M572" s="20" t="str">
        <f t="shared" si="17"/>
        <v>N/A</v>
      </c>
    </row>
    <row r="573" spans="1:13">
      <c r="A573" s="18" t="s">
        <v>22</v>
      </c>
      <c r="B573" s="18" t="s">
        <v>365</v>
      </c>
      <c r="C573" s="18" t="s">
        <v>229</v>
      </c>
      <c r="D573" s="18" t="s">
        <v>87</v>
      </c>
      <c r="E573" s="18">
        <v>991.65</v>
      </c>
      <c r="F573" s="18">
        <v>33223.03</v>
      </c>
      <c r="G573" s="18">
        <v>4293.45</v>
      </c>
      <c r="H573" s="18">
        <v>29921.23</v>
      </c>
      <c r="L573" s="20" t="str">
        <f t="shared" si="16"/>
        <v>Asset</v>
      </c>
      <c r="M573" s="20" t="str">
        <f t="shared" si="17"/>
        <v>okay</v>
      </c>
    </row>
    <row r="574" spans="1:13">
      <c r="A574" s="18" t="s">
        <v>22</v>
      </c>
      <c r="B574" s="18" t="s">
        <v>365</v>
      </c>
      <c r="C574" s="18" t="s">
        <v>229</v>
      </c>
      <c r="D574" s="18" t="s">
        <v>97</v>
      </c>
      <c r="E574" s="18">
        <v>16275834.1</v>
      </c>
      <c r="F574" s="18">
        <v>0</v>
      </c>
      <c r="G574" s="18">
        <v>0</v>
      </c>
      <c r="H574" s="18">
        <v>16275834.1</v>
      </c>
      <c r="L574" s="20" t="str">
        <f t="shared" si="16"/>
        <v>Asset</v>
      </c>
      <c r="M574" s="20" t="str">
        <f t="shared" si="17"/>
        <v>okay</v>
      </c>
    </row>
    <row r="575" spans="1:13">
      <c r="A575" s="18" t="s">
        <v>22</v>
      </c>
      <c r="B575" s="18" t="s">
        <v>365</v>
      </c>
      <c r="C575" s="18" t="s">
        <v>229</v>
      </c>
      <c r="D575" s="18" t="s">
        <v>105</v>
      </c>
      <c r="E575" s="18">
        <v>5066355.72</v>
      </c>
      <c r="F575" s="18">
        <v>237776.73</v>
      </c>
      <c r="G575" s="18">
        <v>0</v>
      </c>
      <c r="H575" s="18">
        <v>5304132.45</v>
      </c>
      <c r="L575" s="20" t="str">
        <f t="shared" si="16"/>
        <v>Asset</v>
      </c>
      <c r="M575" s="20" t="str">
        <f t="shared" si="17"/>
        <v>okay</v>
      </c>
    </row>
    <row r="576" spans="1:13">
      <c r="A576" s="18" t="s">
        <v>22</v>
      </c>
      <c r="B576" s="18" t="s">
        <v>365</v>
      </c>
      <c r="C576" s="18" t="s">
        <v>229</v>
      </c>
      <c r="D576" s="18" t="s">
        <v>108</v>
      </c>
      <c r="E576" s="18">
        <v>0</v>
      </c>
      <c r="F576" s="18">
        <v>0</v>
      </c>
      <c r="G576" s="18">
        <v>0</v>
      </c>
      <c r="H576" s="18">
        <v>0</v>
      </c>
      <c r="L576" s="20" t="str">
        <f t="shared" si="16"/>
        <v>Asset</v>
      </c>
      <c r="M576" s="20" t="str">
        <f t="shared" si="17"/>
        <v>okay</v>
      </c>
    </row>
    <row r="577" spans="1:13">
      <c r="A577" s="18" t="s">
        <v>22</v>
      </c>
      <c r="B577" s="18" t="s">
        <v>365</v>
      </c>
      <c r="C577" s="18" t="s">
        <v>229</v>
      </c>
      <c r="D577" s="18" t="s">
        <v>116</v>
      </c>
      <c r="E577" s="18">
        <v>-202.88</v>
      </c>
      <c r="F577" s="18">
        <v>0</v>
      </c>
      <c r="G577" s="18">
        <v>0</v>
      </c>
      <c r="H577" s="18">
        <v>-202.88</v>
      </c>
      <c r="L577" s="20" t="str">
        <f t="shared" si="16"/>
        <v>N/A</v>
      </c>
      <c r="M577" s="20" t="str">
        <f t="shared" si="17"/>
        <v>N/A</v>
      </c>
    </row>
    <row r="578" spans="1:13">
      <c r="A578" s="18" t="s">
        <v>22</v>
      </c>
      <c r="B578" s="18" t="s">
        <v>365</v>
      </c>
      <c r="C578" s="18" t="s">
        <v>229</v>
      </c>
      <c r="D578" s="18" t="s">
        <v>121</v>
      </c>
      <c r="E578" s="18">
        <v>-445.13</v>
      </c>
      <c r="F578" s="18">
        <v>296.75</v>
      </c>
      <c r="G578" s="18">
        <v>74.19</v>
      </c>
      <c r="H578" s="18">
        <v>-222.57</v>
      </c>
      <c r="L578" s="20" t="str">
        <f t="shared" si="16"/>
        <v>N/A</v>
      </c>
      <c r="M578" s="20" t="str">
        <f t="shared" si="17"/>
        <v>N/A</v>
      </c>
    </row>
    <row r="579" spans="1:13">
      <c r="A579" s="18" t="s">
        <v>22</v>
      </c>
      <c r="B579" s="18" t="s">
        <v>365</v>
      </c>
      <c r="C579" s="18" t="s">
        <v>229</v>
      </c>
      <c r="D579" s="18" t="s">
        <v>124</v>
      </c>
      <c r="E579" s="18">
        <v>-90.93</v>
      </c>
      <c r="F579" s="18">
        <v>0</v>
      </c>
      <c r="G579" s="18">
        <v>56.59</v>
      </c>
      <c r="H579" s="18">
        <v>-147.52000000000001</v>
      </c>
      <c r="L579" s="20" t="str">
        <f t="shared" ref="L579:L642" si="18">+IF(LEFT(D579,1)="1","Asset","N/A")</f>
        <v>N/A</v>
      </c>
      <c r="M579" s="20" t="str">
        <f t="shared" ref="M579:M642" si="19">+IF(L579="asset",IF(H579&lt;0,"Provide Comment","okay"),"N/A")</f>
        <v>N/A</v>
      </c>
    </row>
    <row r="580" spans="1:13">
      <c r="A580" s="18" t="s">
        <v>22</v>
      </c>
      <c r="B580" s="18" t="s">
        <v>365</v>
      </c>
      <c r="C580" s="18" t="s">
        <v>229</v>
      </c>
      <c r="D580" s="18" t="s">
        <v>127</v>
      </c>
      <c r="E580" s="18">
        <v>0</v>
      </c>
      <c r="F580" s="18">
        <v>0</v>
      </c>
      <c r="G580" s="18">
        <v>0</v>
      </c>
      <c r="H580" s="18">
        <v>0</v>
      </c>
      <c r="L580" s="20" t="str">
        <f t="shared" si="18"/>
        <v>N/A</v>
      </c>
      <c r="M580" s="20" t="str">
        <f t="shared" si="19"/>
        <v>N/A</v>
      </c>
    </row>
    <row r="581" spans="1:13">
      <c r="A581" s="18" t="s">
        <v>22</v>
      </c>
      <c r="B581" s="18" t="s">
        <v>365</v>
      </c>
      <c r="C581" s="18" t="s">
        <v>229</v>
      </c>
      <c r="D581" s="18" t="s">
        <v>95</v>
      </c>
      <c r="E581" s="18">
        <v>-22.14</v>
      </c>
      <c r="F581" s="18">
        <v>5.54</v>
      </c>
      <c r="G581" s="18">
        <v>16.61</v>
      </c>
      <c r="H581" s="18">
        <v>-33.21</v>
      </c>
      <c r="L581" s="20" t="str">
        <f t="shared" si="18"/>
        <v>N/A</v>
      </c>
      <c r="M581" s="20" t="str">
        <f t="shared" si="19"/>
        <v>N/A</v>
      </c>
    </row>
    <row r="582" spans="1:13">
      <c r="A582" s="18" t="s">
        <v>22</v>
      </c>
      <c r="B582" s="18" t="s">
        <v>365</v>
      </c>
      <c r="C582" s="18" t="s">
        <v>229</v>
      </c>
      <c r="D582" s="18" t="s">
        <v>132</v>
      </c>
      <c r="E582" s="18">
        <v>0</v>
      </c>
      <c r="F582" s="18">
        <v>0</v>
      </c>
      <c r="G582" s="18">
        <v>0</v>
      </c>
      <c r="H582" s="18">
        <v>0</v>
      </c>
      <c r="L582" s="20" t="str">
        <f t="shared" si="18"/>
        <v>N/A</v>
      </c>
      <c r="M582" s="20" t="str">
        <f t="shared" si="19"/>
        <v>N/A</v>
      </c>
    </row>
    <row r="583" spans="1:13">
      <c r="A583" s="18" t="s">
        <v>22</v>
      </c>
      <c r="B583" s="18" t="s">
        <v>365</v>
      </c>
      <c r="C583" s="18" t="s">
        <v>229</v>
      </c>
      <c r="D583" s="18" t="s">
        <v>135</v>
      </c>
      <c r="E583" s="18">
        <v>-19753086.420000002</v>
      </c>
      <c r="F583" s="18">
        <v>0</v>
      </c>
      <c r="G583" s="18">
        <v>0</v>
      </c>
      <c r="H583" s="18">
        <v>-19753086.420000002</v>
      </c>
      <c r="L583" s="20" t="str">
        <f t="shared" si="18"/>
        <v>N/A</v>
      </c>
      <c r="M583" s="20" t="str">
        <f t="shared" si="19"/>
        <v>N/A</v>
      </c>
    </row>
    <row r="584" spans="1:13">
      <c r="A584" s="18" t="s">
        <v>22</v>
      </c>
      <c r="B584" s="18" t="s">
        <v>365</v>
      </c>
      <c r="C584" s="18" t="s">
        <v>229</v>
      </c>
      <c r="D584" s="18" t="s">
        <v>140</v>
      </c>
      <c r="E584" s="18">
        <v>-47246.19</v>
      </c>
      <c r="F584" s="18">
        <v>0</v>
      </c>
      <c r="G584" s="18">
        <v>33217.99</v>
      </c>
      <c r="H584" s="18">
        <v>-80464.179999999993</v>
      </c>
      <c r="L584" s="20" t="str">
        <f t="shared" si="18"/>
        <v>N/A</v>
      </c>
      <c r="M584" s="20" t="str">
        <f t="shared" si="19"/>
        <v>N/A</v>
      </c>
    </row>
    <row r="585" spans="1:13">
      <c r="A585" s="18" t="s">
        <v>22</v>
      </c>
      <c r="B585" s="18" t="s">
        <v>365</v>
      </c>
      <c r="C585" s="18" t="s">
        <v>229</v>
      </c>
      <c r="D585" s="18" t="s">
        <v>143</v>
      </c>
      <c r="E585" s="18">
        <v>3477252.32</v>
      </c>
      <c r="F585" s="18">
        <v>0</v>
      </c>
      <c r="G585" s="18">
        <v>0</v>
      </c>
      <c r="H585" s="18">
        <v>3477252.32</v>
      </c>
      <c r="L585" s="20" t="str">
        <f t="shared" si="18"/>
        <v>N/A</v>
      </c>
      <c r="M585" s="20" t="str">
        <f t="shared" si="19"/>
        <v>N/A</v>
      </c>
    </row>
    <row r="586" spans="1:13">
      <c r="A586" s="18" t="s">
        <v>22</v>
      </c>
      <c r="B586" s="18" t="s">
        <v>365</v>
      </c>
      <c r="C586" s="18" t="s">
        <v>229</v>
      </c>
      <c r="D586" s="18" t="s">
        <v>146</v>
      </c>
      <c r="E586" s="18">
        <v>440631.65</v>
      </c>
      <c r="F586" s="18">
        <v>0</v>
      </c>
      <c r="G586" s="18">
        <v>0</v>
      </c>
      <c r="H586" s="18">
        <v>440631.65</v>
      </c>
      <c r="L586" s="20" t="str">
        <f t="shared" si="18"/>
        <v>N/A</v>
      </c>
      <c r="M586" s="20" t="str">
        <f t="shared" si="19"/>
        <v>N/A</v>
      </c>
    </row>
    <row r="587" spans="1:13">
      <c r="A587" s="18" t="s">
        <v>22</v>
      </c>
      <c r="B587" s="18" t="s">
        <v>365</v>
      </c>
      <c r="C587" s="18" t="s">
        <v>229</v>
      </c>
      <c r="D587" s="18" t="s">
        <v>147</v>
      </c>
      <c r="E587" s="18">
        <v>-3841698.49</v>
      </c>
      <c r="F587" s="18">
        <v>0</v>
      </c>
      <c r="G587" s="18">
        <v>0</v>
      </c>
      <c r="H587" s="18">
        <v>-3841698.49</v>
      </c>
      <c r="L587" s="20" t="str">
        <f t="shared" si="18"/>
        <v>N/A</v>
      </c>
      <c r="M587" s="20" t="str">
        <f t="shared" si="19"/>
        <v>N/A</v>
      </c>
    </row>
    <row r="588" spans="1:13">
      <c r="A588" s="18" t="s">
        <v>22</v>
      </c>
      <c r="B588" s="18" t="s">
        <v>365</v>
      </c>
      <c r="C588" s="18" t="s">
        <v>229</v>
      </c>
      <c r="D588" s="18" t="s">
        <v>153</v>
      </c>
      <c r="E588" s="18">
        <v>0</v>
      </c>
      <c r="F588" s="18">
        <v>0</v>
      </c>
      <c r="G588" s="18">
        <v>0</v>
      </c>
      <c r="H588" s="18">
        <v>0</v>
      </c>
      <c r="L588" s="20" t="str">
        <f t="shared" si="18"/>
        <v>N/A</v>
      </c>
      <c r="M588" s="20" t="str">
        <f t="shared" si="19"/>
        <v>N/A</v>
      </c>
    </row>
    <row r="589" spans="1:13">
      <c r="A589" s="18" t="s">
        <v>22</v>
      </c>
      <c r="B589" s="18" t="s">
        <v>365</v>
      </c>
      <c r="C589" s="18" t="s">
        <v>229</v>
      </c>
      <c r="D589" s="18" t="s">
        <v>155</v>
      </c>
      <c r="E589" s="18">
        <v>0</v>
      </c>
      <c r="F589" s="18">
        <v>0</v>
      </c>
      <c r="G589" s="18">
        <v>0</v>
      </c>
      <c r="H589" s="18">
        <v>0</v>
      </c>
      <c r="L589" s="20" t="str">
        <f t="shared" si="18"/>
        <v>N/A</v>
      </c>
      <c r="M589" s="20" t="str">
        <f t="shared" si="19"/>
        <v>N/A</v>
      </c>
    </row>
    <row r="590" spans="1:13">
      <c r="A590" s="18" t="s">
        <v>22</v>
      </c>
      <c r="B590" s="18" t="s">
        <v>365</v>
      </c>
      <c r="C590" s="18" t="s">
        <v>229</v>
      </c>
      <c r="D590" s="18" t="s">
        <v>156</v>
      </c>
      <c r="E590" s="18">
        <v>-173.99</v>
      </c>
      <c r="F590" s="18">
        <v>0</v>
      </c>
      <c r="G590" s="18">
        <v>5.04</v>
      </c>
      <c r="H590" s="18">
        <v>-179.03</v>
      </c>
      <c r="L590" s="20" t="str">
        <f t="shared" si="18"/>
        <v>N/A</v>
      </c>
      <c r="M590" s="20" t="str">
        <f t="shared" si="19"/>
        <v>N/A</v>
      </c>
    </row>
    <row r="591" spans="1:13">
      <c r="A591" s="18" t="s">
        <v>22</v>
      </c>
      <c r="B591" s="18" t="s">
        <v>365</v>
      </c>
      <c r="C591" s="18" t="s">
        <v>229</v>
      </c>
      <c r="D591" s="18" t="s">
        <v>157</v>
      </c>
      <c r="E591" s="18">
        <v>-1630815.2</v>
      </c>
      <c r="F591" s="18">
        <v>0</v>
      </c>
      <c r="G591" s="18">
        <v>237776.73</v>
      </c>
      <c r="H591" s="18">
        <v>-1868591.93</v>
      </c>
      <c r="L591" s="20" t="str">
        <f t="shared" si="18"/>
        <v>N/A</v>
      </c>
      <c r="M591" s="20" t="str">
        <f t="shared" si="19"/>
        <v>N/A</v>
      </c>
    </row>
    <row r="592" spans="1:13">
      <c r="A592" s="18" t="s">
        <v>22</v>
      </c>
      <c r="B592" s="18" t="s">
        <v>365</v>
      </c>
      <c r="C592" s="18" t="s">
        <v>229</v>
      </c>
      <c r="D592" s="18" t="s">
        <v>145</v>
      </c>
      <c r="E592" s="18">
        <v>0</v>
      </c>
      <c r="F592" s="18">
        <v>1141.0899999999999</v>
      </c>
      <c r="G592" s="18">
        <v>0</v>
      </c>
      <c r="H592" s="18">
        <v>1141.0899999999999</v>
      </c>
      <c r="L592" s="20" t="str">
        <f t="shared" si="18"/>
        <v>N/A</v>
      </c>
      <c r="M592" s="20" t="str">
        <f t="shared" si="19"/>
        <v>N/A</v>
      </c>
    </row>
    <row r="593" spans="1:13">
      <c r="A593" s="18" t="s">
        <v>22</v>
      </c>
      <c r="B593" s="18" t="s">
        <v>365</v>
      </c>
      <c r="C593" s="18" t="s">
        <v>229</v>
      </c>
      <c r="D593" s="18" t="s">
        <v>96</v>
      </c>
      <c r="E593" s="18">
        <v>33.22</v>
      </c>
      <c r="F593" s="18">
        <v>16.61</v>
      </c>
      <c r="G593" s="18">
        <v>0</v>
      </c>
      <c r="H593" s="18">
        <v>49.83</v>
      </c>
      <c r="L593" s="20" t="str">
        <f t="shared" si="18"/>
        <v>N/A</v>
      </c>
      <c r="M593" s="20" t="str">
        <f t="shared" si="19"/>
        <v>N/A</v>
      </c>
    </row>
    <row r="594" spans="1:13">
      <c r="A594" s="18" t="s">
        <v>22</v>
      </c>
      <c r="B594" s="18" t="s">
        <v>365</v>
      </c>
      <c r="C594" s="18" t="s">
        <v>229</v>
      </c>
      <c r="D594" s="18" t="s">
        <v>104</v>
      </c>
      <c r="E594" s="18">
        <v>75.849999999999994</v>
      </c>
      <c r="F594" s="18">
        <v>151.72</v>
      </c>
      <c r="G594" s="18">
        <v>0</v>
      </c>
      <c r="H594" s="18">
        <v>227.57</v>
      </c>
      <c r="L594" s="20" t="str">
        <f t="shared" si="18"/>
        <v>N/A</v>
      </c>
      <c r="M594" s="20" t="str">
        <f t="shared" si="19"/>
        <v>N/A</v>
      </c>
    </row>
    <row r="595" spans="1:13">
      <c r="A595" s="18" t="s">
        <v>22</v>
      </c>
      <c r="B595" s="18" t="s">
        <v>365</v>
      </c>
      <c r="C595" s="18" t="s">
        <v>229</v>
      </c>
      <c r="D595" s="18" t="s">
        <v>359</v>
      </c>
      <c r="E595" s="18">
        <v>3578.31</v>
      </c>
      <c r="F595" s="18">
        <v>33.880000000000003</v>
      </c>
      <c r="G595" s="18">
        <v>0</v>
      </c>
      <c r="H595" s="18">
        <v>3612.19</v>
      </c>
      <c r="L595" s="20" t="str">
        <f t="shared" si="18"/>
        <v>N/A</v>
      </c>
      <c r="M595" s="20" t="str">
        <f t="shared" si="19"/>
        <v>N/A</v>
      </c>
    </row>
    <row r="596" spans="1:13">
      <c r="A596" s="18" t="s">
        <v>22</v>
      </c>
      <c r="B596" s="18" t="s">
        <v>365</v>
      </c>
      <c r="C596" s="18" t="s">
        <v>229</v>
      </c>
      <c r="D596" s="18" t="s">
        <v>113</v>
      </c>
      <c r="E596" s="18">
        <v>4870.7299999999996</v>
      </c>
      <c r="F596" s="18">
        <v>1333.97</v>
      </c>
      <c r="G596" s="18">
        <v>0</v>
      </c>
      <c r="H596" s="18">
        <v>6204.7</v>
      </c>
      <c r="L596" s="20" t="str">
        <f t="shared" si="18"/>
        <v>N/A</v>
      </c>
      <c r="M596" s="20" t="str">
        <f t="shared" si="19"/>
        <v>N/A</v>
      </c>
    </row>
    <row r="597" spans="1:13">
      <c r="A597" s="18" t="s">
        <v>22</v>
      </c>
      <c r="B597" s="18" t="s">
        <v>365</v>
      </c>
      <c r="C597" s="18" t="s">
        <v>229</v>
      </c>
      <c r="D597" s="18" t="s">
        <v>150</v>
      </c>
      <c r="E597" s="18">
        <v>1517.07</v>
      </c>
      <c r="F597" s="18">
        <v>91.59</v>
      </c>
      <c r="G597" s="18">
        <v>0</v>
      </c>
      <c r="H597" s="18">
        <v>1608.66</v>
      </c>
      <c r="L597" s="20" t="str">
        <f t="shared" si="18"/>
        <v>N/A</v>
      </c>
      <c r="M597" s="20" t="str">
        <f t="shared" si="19"/>
        <v>N/A</v>
      </c>
    </row>
    <row r="598" spans="1:13">
      <c r="A598" s="18" t="s">
        <v>22</v>
      </c>
      <c r="B598" s="18" t="s">
        <v>365</v>
      </c>
      <c r="C598" s="18" t="s">
        <v>229</v>
      </c>
      <c r="D598" s="18" t="s">
        <v>120</v>
      </c>
      <c r="E598" s="18">
        <v>2.2799999999999998</v>
      </c>
      <c r="F598" s="18">
        <v>0</v>
      </c>
      <c r="G598" s="18">
        <v>0</v>
      </c>
      <c r="H598" s="18">
        <v>2.2799999999999998</v>
      </c>
      <c r="L598" s="20" t="str">
        <f t="shared" si="18"/>
        <v>N/A</v>
      </c>
      <c r="M598" s="20" t="str">
        <f t="shared" si="19"/>
        <v>N/A</v>
      </c>
    </row>
    <row r="599" spans="1:13">
      <c r="A599" s="18" t="s">
        <v>22</v>
      </c>
      <c r="B599" s="18" t="s">
        <v>365</v>
      </c>
      <c r="C599" s="18" t="s">
        <v>229</v>
      </c>
      <c r="D599" s="18" t="s">
        <v>123</v>
      </c>
      <c r="E599" s="18">
        <v>1420.77</v>
      </c>
      <c r="F599" s="18">
        <v>723.08</v>
      </c>
      <c r="G599" s="18">
        <v>0</v>
      </c>
      <c r="H599" s="18">
        <v>2143.85</v>
      </c>
      <c r="L599" s="20" t="str">
        <f t="shared" si="18"/>
        <v>N/A</v>
      </c>
      <c r="M599" s="20" t="str">
        <f t="shared" si="19"/>
        <v>N/A</v>
      </c>
    </row>
    <row r="600" spans="1:13">
      <c r="A600" s="18" t="s">
        <v>22</v>
      </c>
      <c r="B600" s="18" t="s">
        <v>365</v>
      </c>
      <c r="C600" s="18" t="s">
        <v>229</v>
      </c>
      <c r="D600" s="18" t="s">
        <v>126</v>
      </c>
      <c r="E600" s="18">
        <v>211.5</v>
      </c>
      <c r="F600" s="18">
        <v>40.75</v>
      </c>
      <c r="G600" s="18">
        <v>0</v>
      </c>
      <c r="H600" s="18">
        <v>252.25</v>
      </c>
      <c r="L600" s="20" t="str">
        <f t="shared" si="18"/>
        <v>N/A</v>
      </c>
      <c r="M600" s="20" t="str">
        <f t="shared" si="19"/>
        <v>N/A</v>
      </c>
    </row>
    <row r="601" spans="1:13">
      <c r="A601" s="18" t="s">
        <v>22</v>
      </c>
      <c r="B601" s="18" t="s">
        <v>365</v>
      </c>
      <c r="C601" s="18" t="s">
        <v>229</v>
      </c>
      <c r="D601" s="18" t="s">
        <v>129</v>
      </c>
      <c r="E601" s="18">
        <v>197.51</v>
      </c>
      <c r="F601" s="18">
        <v>56.2</v>
      </c>
      <c r="G601" s="18">
        <v>0</v>
      </c>
      <c r="H601" s="18">
        <v>253.71</v>
      </c>
      <c r="L601" s="20" t="str">
        <f t="shared" si="18"/>
        <v>N/A</v>
      </c>
      <c r="M601" s="20" t="str">
        <f t="shared" si="19"/>
        <v>N/A</v>
      </c>
    </row>
    <row r="602" spans="1:13">
      <c r="A602" s="18" t="s">
        <v>22</v>
      </c>
      <c r="B602" s="18" t="s">
        <v>365</v>
      </c>
      <c r="C602" s="18" t="s">
        <v>229</v>
      </c>
      <c r="D602" s="18" t="s">
        <v>131</v>
      </c>
      <c r="E602" s="18">
        <v>501.63</v>
      </c>
      <c r="F602" s="18">
        <v>358.05</v>
      </c>
      <c r="G602" s="18">
        <v>0</v>
      </c>
      <c r="H602" s="18">
        <v>859.68</v>
      </c>
      <c r="L602" s="20" t="str">
        <f t="shared" si="18"/>
        <v>N/A</v>
      </c>
      <c r="M602" s="20" t="str">
        <f t="shared" si="19"/>
        <v>N/A</v>
      </c>
    </row>
    <row r="603" spans="1:13">
      <c r="A603" s="18" t="s">
        <v>22</v>
      </c>
      <c r="B603" s="18" t="s">
        <v>365</v>
      </c>
      <c r="C603" s="18" t="s">
        <v>229</v>
      </c>
      <c r="D603" s="18" t="s">
        <v>162</v>
      </c>
      <c r="E603" s="18">
        <v>0</v>
      </c>
      <c r="F603" s="18">
        <v>0</v>
      </c>
      <c r="G603" s="18">
        <v>0</v>
      </c>
      <c r="H603" s="18">
        <v>0</v>
      </c>
      <c r="L603" s="20" t="str">
        <f t="shared" si="18"/>
        <v>N/A</v>
      </c>
      <c r="M603" s="20" t="str">
        <f t="shared" si="19"/>
        <v>N/A</v>
      </c>
    </row>
    <row r="604" spans="1:13">
      <c r="A604" s="18" t="s">
        <v>22</v>
      </c>
      <c r="B604" s="18" t="s">
        <v>365</v>
      </c>
      <c r="C604" s="18" t="s">
        <v>229</v>
      </c>
      <c r="D604" s="18" t="s">
        <v>134</v>
      </c>
      <c r="E604" s="18">
        <v>36.01</v>
      </c>
      <c r="F604" s="18">
        <v>44.97</v>
      </c>
      <c r="G604" s="18">
        <v>0</v>
      </c>
      <c r="H604" s="18">
        <v>80.98</v>
      </c>
      <c r="L604" s="20" t="str">
        <f t="shared" si="18"/>
        <v>N/A</v>
      </c>
      <c r="M604" s="20" t="str">
        <f t="shared" si="19"/>
        <v>N/A</v>
      </c>
    </row>
    <row r="605" spans="1:13">
      <c r="A605" s="18" t="s">
        <v>22</v>
      </c>
      <c r="B605" s="18" t="s">
        <v>365</v>
      </c>
      <c r="C605" s="18" t="s">
        <v>229</v>
      </c>
      <c r="D605" s="18" t="s">
        <v>139</v>
      </c>
      <c r="E605" s="18">
        <v>148.38</v>
      </c>
      <c r="F605" s="18">
        <v>74.19</v>
      </c>
      <c r="G605" s="18">
        <v>0</v>
      </c>
      <c r="H605" s="18">
        <v>222.57</v>
      </c>
      <c r="L605" s="20" t="str">
        <f t="shared" si="18"/>
        <v>N/A</v>
      </c>
      <c r="M605" s="20" t="str">
        <f t="shared" si="19"/>
        <v>N/A</v>
      </c>
    </row>
    <row r="606" spans="1:13">
      <c r="A606" s="18" t="s">
        <v>22</v>
      </c>
      <c r="B606" s="18" t="s">
        <v>365</v>
      </c>
      <c r="C606" s="18" t="s">
        <v>229</v>
      </c>
      <c r="D606" s="18" t="s">
        <v>142</v>
      </c>
      <c r="E606" s="18">
        <v>122.67</v>
      </c>
      <c r="F606" s="18">
        <v>72.45</v>
      </c>
      <c r="G606" s="18">
        <v>0</v>
      </c>
      <c r="H606" s="18">
        <v>195.12</v>
      </c>
      <c r="L606" s="20" t="str">
        <f t="shared" si="18"/>
        <v>N/A</v>
      </c>
      <c r="M606" s="20" t="str">
        <f t="shared" si="19"/>
        <v>N/A</v>
      </c>
    </row>
    <row r="607" spans="1:13">
      <c r="A607" s="18" t="s">
        <v>22</v>
      </c>
      <c r="B607" s="18" t="s">
        <v>365</v>
      </c>
      <c r="C607" s="18" t="s">
        <v>229</v>
      </c>
      <c r="D607" s="18" t="s">
        <v>163</v>
      </c>
      <c r="E607" s="18">
        <v>0</v>
      </c>
      <c r="F607" s="18">
        <v>0</v>
      </c>
      <c r="G607" s="18">
        <v>0</v>
      </c>
      <c r="H607" s="18">
        <v>0</v>
      </c>
      <c r="L607" s="20" t="str">
        <f t="shared" si="18"/>
        <v>N/A</v>
      </c>
      <c r="M607" s="20" t="str">
        <f t="shared" si="19"/>
        <v>N/A</v>
      </c>
    </row>
    <row r="608" spans="1:13">
      <c r="A608" s="18" t="s">
        <v>22</v>
      </c>
      <c r="B608" s="18" t="s">
        <v>365</v>
      </c>
      <c r="C608" s="18" t="s">
        <v>231</v>
      </c>
      <c r="D608" s="18" t="s">
        <v>87</v>
      </c>
      <c r="E608" s="18">
        <v>125.57</v>
      </c>
      <c r="F608" s="18">
        <v>4204.79</v>
      </c>
      <c r="G608" s="18">
        <v>543.41</v>
      </c>
      <c r="H608" s="18">
        <v>3786.95</v>
      </c>
      <c r="L608" s="20" t="str">
        <f t="shared" si="18"/>
        <v>Asset</v>
      </c>
      <c r="M608" s="20" t="str">
        <f t="shared" si="19"/>
        <v>okay</v>
      </c>
    </row>
    <row r="609" spans="1:13">
      <c r="A609" s="18" t="s">
        <v>22</v>
      </c>
      <c r="B609" s="18" t="s">
        <v>365</v>
      </c>
      <c r="C609" s="18" t="s">
        <v>231</v>
      </c>
      <c r="D609" s="18" t="s">
        <v>97</v>
      </c>
      <c r="E609" s="18">
        <v>2059910.25</v>
      </c>
      <c r="F609" s="18">
        <v>0</v>
      </c>
      <c r="G609" s="18">
        <v>0</v>
      </c>
      <c r="H609" s="18">
        <v>2059910.25</v>
      </c>
      <c r="L609" s="20" t="str">
        <f t="shared" si="18"/>
        <v>Asset</v>
      </c>
      <c r="M609" s="20" t="str">
        <f t="shared" si="19"/>
        <v>okay</v>
      </c>
    </row>
    <row r="610" spans="1:13">
      <c r="A610" s="18" t="s">
        <v>22</v>
      </c>
      <c r="B610" s="18" t="s">
        <v>365</v>
      </c>
      <c r="C610" s="18" t="s">
        <v>231</v>
      </c>
      <c r="D610" s="18" t="s">
        <v>105</v>
      </c>
      <c r="E610" s="18">
        <v>641210.66</v>
      </c>
      <c r="F610" s="18">
        <v>30093.62</v>
      </c>
      <c r="G610" s="18">
        <v>0</v>
      </c>
      <c r="H610" s="18">
        <v>671304.28</v>
      </c>
      <c r="L610" s="20" t="str">
        <f t="shared" si="18"/>
        <v>Asset</v>
      </c>
      <c r="M610" s="20" t="str">
        <f t="shared" si="19"/>
        <v>okay</v>
      </c>
    </row>
    <row r="611" spans="1:13">
      <c r="A611" s="18" t="s">
        <v>22</v>
      </c>
      <c r="B611" s="18" t="s">
        <v>365</v>
      </c>
      <c r="C611" s="18" t="s">
        <v>231</v>
      </c>
      <c r="D611" s="18" t="s">
        <v>108</v>
      </c>
      <c r="E611" s="18">
        <v>0</v>
      </c>
      <c r="F611" s="18">
        <v>0</v>
      </c>
      <c r="G611" s="18">
        <v>0</v>
      </c>
      <c r="H611" s="18">
        <v>0</v>
      </c>
      <c r="L611" s="20" t="str">
        <f t="shared" si="18"/>
        <v>Asset</v>
      </c>
      <c r="M611" s="20" t="str">
        <f t="shared" si="19"/>
        <v>okay</v>
      </c>
    </row>
    <row r="612" spans="1:13">
      <c r="A612" s="18" t="s">
        <v>22</v>
      </c>
      <c r="B612" s="18" t="s">
        <v>365</v>
      </c>
      <c r="C612" s="18" t="s">
        <v>231</v>
      </c>
      <c r="D612" s="18" t="s">
        <v>116</v>
      </c>
      <c r="E612" s="18">
        <v>-25.67</v>
      </c>
      <c r="F612" s="18">
        <v>0</v>
      </c>
      <c r="G612" s="18">
        <v>0</v>
      </c>
      <c r="H612" s="18">
        <v>-25.67</v>
      </c>
      <c r="L612" s="20" t="str">
        <f t="shared" si="18"/>
        <v>N/A</v>
      </c>
      <c r="M612" s="20" t="str">
        <f t="shared" si="19"/>
        <v>N/A</v>
      </c>
    </row>
    <row r="613" spans="1:13">
      <c r="A613" s="18" t="s">
        <v>22</v>
      </c>
      <c r="B613" s="18" t="s">
        <v>365</v>
      </c>
      <c r="C613" s="18" t="s">
        <v>231</v>
      </c>
      <c r="D613" s="18" t="s">
        <v>121</v>
      </c>
      <c r="E613" s="18">
        <v>-56.35</v>
      </c>
      <c r="F613" s="18">
        <v>37.56</v>
      </c>
      <c r="G613" s="18">
        <v>9.39</v>
      </c>
      <c r="H613" s="18">
        <v>-28.18</v>
      </c>
      <c r="L613" s="20" t="str">
        <f t="shared" si="18"/>
        <v>N/A</v>
      </c>
      <c r="M613" s="20" t="str">
        <f t="shared" si="19"/>
        <v>N/A</v>
      </c>
    </row>
    <row r="614" spans="1:13">
      <c r="A614" s="18" t="s">
        <v>22</v>
      </c>
      <c r="B614" s="18" t="s">
        <v>365</v>
      </c>
      <c r="C614" s="18" t="s">
        <v>231</v>
      </c>
      <c r="D614" s="18" t="s">
        <v>124</v>
      </c>
      <c r="E614" s="18">
        <v>-11.51</v>
      </c>
      <c r="F614" s="18">
        <v>0</v>
      </c>
      <c r="G614" s="18">
        <v>7.16</v>
      </c>
      <c r="H614" s="18">
        <v>-18.670000000000002</v>
      </c>
      <c r="L614" s="20" t="str">
        <f t="shared" si="18"/>
        <v>N/A</v>
      </c>
      <c r="M614" s="20" t="str">
        <f t="shared" si="19"/>
        <v>N/A</v>
      </c>
    </row>
    <row r="615" spans="1:13">
      <c r="A615" s="18" t="s">
        <v>22</v>
      </c>
      <c r="B615" s="18" t="s">
        <v>365</v>
      </c>
      <c r="C615" s="18" t="s">
        <v>231</v>
      </c>
      <c r="D615" s="18" t="s">
        <v>127</v>
      </c>
      <c r="E615" s="18">
        <v>0</v>
      </c>
      <c r="F615" s="18">
        <v>0</v>
      </c>
      <c r="G615" s="18">
        <v>0</v>
      </c>
      <c r="H615" s="18">
        <v>0</v>
      </c>
      <c r="L615" s="20" t="str">
        <f t="shared" si="18"/>
        <v>N/A</v>
      </c>
      <c r="M615" s="20" t="str">
        <f t="shared" si="19"/>
        <v>N/A</v>
      </c>
    </row>
    <row r="616" spans="1:13">
      <c r="A616" s="18" t="s">
        <v>22</v>
      </c>
      <c r="B616" s="18" t="s">
        <v>365</v>
      </c>
      <c r="C616" s="18" t="s">
        <v>231</v>
      </c>
      <c r="D616" s="18" t="s">
        <v>95</v>
      </c>
      <c r="E616" s="18">
        <v>-2.8</v>
      </c>
      <c r="F616" s="18">
        <v>0.7</v>
      </c>
      <c r="G616" s="18">
        <v>2.1</v>
      </c>
      <c r="H616" s="18">
        <v>-4.2</v>
      </c>
      <c r="L616" s="20" t="str">
        <f t="shared" si="18"/>
        <v>N/A</v>
      </c>
      <c r="M616" s="20" t="str">
        <f t="shared" si="19"/>
        <v>N/A</v>
      </c>
    </row>
    <row r="617" spans="1:13">
      <c r="A617" s="18" t="s">
        <v>22</v>
      </c>
      <c r="B617" s="18" t="s">
        <v>365</v>
      </c>
      <c r="C617" s="18" t="s">
        <v>231</v>
      </c>
      <c r="D617" s="18" t="s">
        <v>132</v>
      </c>
      <c r="E617" s="18">
        <v>0</v>
      </c>
      <c r="F617" s="18">
        <v>0</v>
      </c>
      <c r="G617" s="18">
        <v>0</v>
      </c>
      <c r="H617" s="18">
        <v>0</v>
      </c>
      <c r="L617" s="20" t="str">
        <f t="shared" si="18"/>
        <v>N/A</v>
      </c>
      <c r="M617" s="20" t="str">
        <f t="shared" si="19"/>
        <v>N/A</v>
      </c>
    </row>
    <row r="618" spans="1:13">
      <c r="A618" s="18" t="s">
        <v>22</v>
      </c>
      <c r="B618" s="18" t="s">
        <v>365</v>
      </c>
      <c r="C618" s="18" t="s">
        <v>231</v>
      </c>
      <c r="D618" s="18" t="s">
        <v>135</v>
      </c>
      <c r="E618" s="18">
        <v>-2500000</v>
      </c>
      <c r="F618" s="18">
        <v>0</v>
      </c>
      <c r="G618" s="18">
        <v>0</v>
      </c>
      <c r="H618" s="18">
        <v>-2500000</v>
      </c>
      <c r="L618" s="20" t="str">
        <f t="shared" si="18"/>
        <v>N/A</v>
      </c>
      <c r="M618" s="20" t="str">
        <f t="shared" si="19"/>
        <v>N/A</v>
      </c>
    </row>
    <row r="619" spans="1:13">
      <c r="A619" s="18" t="s">
        <v>22</v>
      </c>
      <c r="B619" s="18" t="s">
        <v>365</v>
      </c>
      <c r="C619" s="18" t="s">
        <v>231</v>
      </c>
      <c r="D619" s="18" t="s">
        <v>140</v>
      </c>
      <c r="E619" s="18">
        <v>-5979.59</v>
      </c>
      <c r="F619" s="18">
        <v>0</v>
      </c>
      <c r="G619" s="18">
        <v>4204.1499999999996</v>
      </c>
      <c r="H619" s="18">
        <v>-10183.74</v>
      </c>
      <c r="L619" s="20" t="str">
        <f t="shared" si="18"/>
        <v>N/A</v>
      </c>
      <c r="M619" s="20" t="str">
        <f t="shared" si="19"/>
        <v>N/A</v>
      </c>
    </row>
    <row r="620" spans="1:13">
      <c r="A620" s="18" t="s">
        <v>22</v>
      </c>
      <c r="B620" s="18" t="s">
        <v>365</v>
      </c>
      <c r="C620" s="18" t="s">
        <v>231</v>
      </c>
      <c r="D620" s="18" t="s">
        <v>143</v>
      </c>
      <c r="E620" s="18">
        <v>440089.75</v>
      </c>
      <c r="F620" s="18">
        <v>0</v>
      </c>
      <c r="G620" s="18">
        <v>0</v>
      </c>
      <c r="H620" s="18">
        <v>440089.75</v>
      </c>
      <c r="L620" s="20" t="str">
        <f t="shared" si="18"/>
        <v>N/A</v>
      </c>
      <c r="M620" s="20" t="str">
        <f t="shared" si="19"/>
        <v>N/A</v>
      </c>
    </row>
    <row r="621" spans="1:13">
      <c r="A621" s="18" t="s">
        <v>22</v>
      </c>
      <c r="B621" s="18" t="s">
        <v>365</v>
      </c>
      <c r="C621" s="18" t="s">
        <v>231</v>
      </c>
      <c r="D621" s="18" t="s">
        <v>146</v>
      </c>
      <c r="E621" s="18">
        <v>55767.45</v>
      </c>
      <c r="F621" s="18">
        <v>0</v>
      </c>
      <c r="G621" s="18">
        <v>0</v>
      </c>
      <c r="H621" s="18">
        <v>55767.45</v>
      </c>
      <c r="L621" s="20" t="str">
        <f t="shared" si="18"/>
        <v>N/A</v>
      </c>
      <c r="M621" s="20" t="str">
        <f t="shared" si="19"/>
        <v>N/A</v>
      </c>
    </row>
    <row r="622" spans="1:13">
      <c r="A622" s="18" t="s">
        <v>22</v>
      </c>
      <c r="B622" s="18" t="s">
        <v>365</v>
      </c>
      <c r="C622" s="18" t="s">
        <v>231</v>
      </c>
      <c r="D622" s="18" t="s">
        <v>147</v>
      </c>
      <c r="E622" s="18">
        <v>-486215.04</v>
      </c>
      <c r="F622" s="18">
        <v>0</v>
      </c>
      <c r="G622" s="18">
        <v>0</v>
      </c>
      <c r="H622" s="18">
        <v>-486215.04</v>
      </c>
      <c r="L622" s="20" t="str">
        <f t="shared" si="18"/>
        <v>N/A</v>
      </c>
      <c r="M622" s="20" t="str">
        <f t="shared" si="19"/>
        <v>N/A</v>
      </c>
    </row>
    <row r="623" spans="1:13">
      <c r="A623" s="18" t="s">
        <v>22</v>
      </c>
      <c r="B623" s="18" t="s">
        <v>365</v>
      </c>
      <c r="C623" s="18" t="s">
        <v>231</v>
      </c>
      <c r="D623" s="18" t="s">
        <v>153</v>
      </c>
      <c r="E623" s="18">
        <v>0</v>
      </c>
      <c r="F623" s="18">
        <v>0</v>
      </c>
      <c r="G623" s="18">
        <v>0</v>
      </c>
      <c r="H623" s="18">
        <v>0</v>
      </c>
      <c r="L623" s="20" t="str">
        <f t="shared" si="18"/>
        <v>N/A</v>
      </c>
      <c r="M623" s="20" t="str">
        <f t="shared" si="19"/>
        <v>N/A</v>
      </c>
    </row>
    <row r="624" spans="1:13">
      <c r="A624" s="18" t="s">
        <v>22</v>
      </c>
      <c r="B624" s="18" t="s">
        <v>365</v>
      </c>
      <c r="C624" s="18" t="s">
        <v>231</v>
      </c>
      <c r="D624" s="18" t="s">
        <v>155</v>
      </c>
      <c r="E624" s="18">
        <v>0</v>
      </c>
      <c r="F624" s="18">
        <v>0</v>
      </c>
      <c r="G624" s="18">
        <v>0</v>
      </c>
      <c r="H624" s="18">
        <v>0</v>
      </c>
      <c r="L624" s="20" t="str">
        <f t="shared" si="18"/>
        <v>N/A</v>
      </c>
      <c r="M624" s="20" t="str">
        <f t="shared" si="19"/>
        <v>N/A</v>
      </c>
    </row>
    <row r="625" spans="1:13">
      <c r="A625" s="18" t="s">
        <v>22</v>
      </c>
      <c r="B625" s="18" t="s">
        <v>365</v>
      </c>
      <c r="C625" s="18" t="s">
        <v>231</v>
      </c>
      <c r="D625" s="18" t="s">
        <v>156</v>
      </c>
      <c r="E625" s="18">
        <v>-22.03</v>
      </c>
      <c r="F625" s="18">
        <v>0</v>
      </c>
      <c r="G625" s="18">
        <v>0.64</v>
      </c>
      <c r="H625" s="18">
        <v>-22.67</v>
      </c>
      <c r="L625" s="20" t="str">
        <f t="shared" si="18"/>
        <v>N/A</v>
      </c>
      <c r="M625" s="20" t="str">
        <f t="shared" si="19"/>
        <v>N/A</v>
      </c>
    </row>
    <row r="626" spans="1:13">
      <c r="A626" s="18" t="s">
        <v>22</v>
      </c>
      <c r="B626" s="18" t="s">
        <v>365</v>
      </c>
      <c r="C626" s="18" t="s">
        <v>231</v>
      </c>
      <c r="D626" s="18" t="s">
        <v>157</v>
      </c>
      <c r="E626" s="18">
        <v>-206400.05</v>
      </c>
      <c r="F626" s="18">
        <v>0</v>
      </c>
      <c r="G626" s="18">
        <v>30093.62</v>
      </c>
      <c r="H626" s="18">
        <v>-236493.67</v>
      </c>
      <c r="L626" s="20" t="str">
        <f t="shared" si="18"/>
        <v>N/A</v>
      </c>
      <c r="M626" s="20" t="str">
        <f t="shared" si="19"/>
        <v>N/A</v>
      </c>
    </row>
    <row r="627" spans="1:13">
      <c r="A627" s="18" t="s">
        <v>22</v>
      </c>
      <c r="B627" s="18" t="s">
        <v>365</v>
      </c>
      <c r="C627" s="18" t="s">
        <v>231</v>
      </c>
      <c r="D627" s="18" t="s">
        <v>145</v>
      </c>
      <c r="E627" s="18">
        <v>0</v>
      </c>
      <c r="F627" s="18">
        <v>144.41999999999999</v>
      </c>
      <c r="G627" s="18">
        <v>0</v>
      </c>
      <c r="H627" s="18">
        <v>144.41999999999999</v>
      </c>
      <c r="L627" s="20" t="str">
        <f t="shared" si="18"/>
        <v>N/A</v>
      </c>
      <c r="M627" s="20" t="str">
        <f t="shared" si="19"/>
        <v>N/A</v>
      </c>
    </row>
    <row r="628" spans="1:13">
      <c r="A628" s="18" t="s">
        <v>22</v>
      </c>
      <c r="B628" s="18" t="s">
        <v>365</v>
      </c>
      <c r="C628" s="18" t="s">
        <v>231</v>
      </c>
      <c r="D628" s="18" t="s">
        <v>96</v>
      </c>
      <c r="E628" s="18">
        <v>4.2</v>
      </c>
      <c r="F628" s="18">
        <v>2.1</v>
      </c>
      <c r="G628" s="18">
        <v>0</v>
      </c>
      <c r="H628" s="18">
        <v>6.3</v>
      </c>
      <c r="L628" s="20" t="str">
        <f t="shared" si="18"/>
        <v>N/A</v>
      </c>
      <c r="M628" s="20" t="str">
        <f t="shared" si="19"/>
        <v>N/A</v>
      </c>
    </row>
    <row r="629" spans="1:13">
      <c r="A629" s="18" t="s">
        <v>22</v>
      </c>
      <c r="B629" s="18" t="s">
        <v>365</v>
      </c>
      <c r="C629" s="18" t="s">
        <v>231</v>
      </c>
      <c r="D629" s="18" t="s">
        <v>104</v>
      </c>
      <c r="E629" s="18">
        <v>9.6</v>
      </c>
      <c r="F629" s="18">
        <v>19.2</v>
      </c>
      <c r="G629" s="18">
        <v>0</v>
      </c>
      <c r="H629" s="18">
        <v>28.8</v>
      </c>
      <c r="L629" s="20" t="str">
        <f t="shared" si="18"/>
        <v>N/A</v>
      </c>
      <c r="M629" s="20" t="str">
        <f t="shared" si="19"/>
        <v>N/A</v>
      </c>
    </row>
    <row r="630" spans="1:13">
      <c r="A630" s="18" t="s">
        <v>22</v>
      </c>
      <c r="B630" s="18" t="s">
        <v>365</v>
      </c>
      <c r="C630" s="18" t="s">
        <v>231</v>
      </c>
      <c r="D630" s="18" t="s">
        <v>359</v>
      </c>
      <c r="E630" s="18">
        <v>452.88</v>
      </c>
      <c r="F630" s="18">
        <v>4.29</v>
      </c>
      <c r="G630" s="18">
        <v>0</v>
      </c>
      <c r="H630" s="18">
        <v>457.17</v>
      </c>
      <c r="L630" s="20" t="str">
        <f t="shared" si="18"/>
        <v>N/A</v>
      </c>
      <c r="M630" s="20" t="str">
        <f t="shared" si="19"/>
        <v>N/A</v>
      </c>
    </row>
    <row r="631" spans="1:13">
      <c r="A631" s="18" t="s">
        <v>22</v>
      </c>
      <c r="B631" s="18" t="s">
        <v>365</v>
      </c>
      <c r="C631" s="18" t="s">
        <v>231</v>
      </c>
      <c r="D631" s="18" t="s">
        <v>113</v>
      </c>
      <c r="E631" s="18">
        <v>616.46</v>
      </c>
      <c r="F631" s="18">
        <v>168.83</v>
      </c>
      <c r="G631" s="18">
        <v>0</v>
      </c>
      <c r="H631" s="18">
        <v>785.29</v>
      </c>
      <c r="L631" s="20" t="str">
        <f t="shared" si="18"/>
        <v>N/A</v>
      </c>
      <c r="M631" s="20" t="str">
        <f t="shared" si="19"/>
        <v>N/A</v>
      </c>
    </row>
    <row r="632" spans="1:13">
      <c r="A632" s="18" t="s">
        <v>22</v>
      </c>
      <c r="B632" s="18" t="s">
        <v>365</v>
      </c>
      <c r="C632" s="18" t="s">
        <v>231</v>
      </c>
      <c r="D632" s="18" t="s">
        <v>150</v>
      </c>
      <c r="E632" s="18">
        <v>192.01</v>
      </c>
      <c r="F632" s="18">
        <v>11.59</v>
      </c>
      <c r="G632" s="18">
        <v>0</v>
      </c>
      <c r="H632" s="18">
        <v>203.6</v>
      </c>
      <c r="L632" s="20" t="str">
        <f t="shared" si="18"/>
        <v>N/A</v>
      </c>
      <c r="M632" s="20" t="str">
        <f t="shared" si="19"/>
        <v>N/A</v>
      </c>
    </row>
    <row r="633" spans="1:13">
      <c r="A633" s="18" t="s">
        <v>22</v>
      </c>
      <c r="B633" s="18" t="s">
        <v>365</v>
      </c>
      <c r="C633" s="18" t="s">
        <v>231</v>
      </c>
      <c r="D633" s="18" t="s">
        <v>120</v>
      </c>
      <c r="E633" s="18">
        <v>0.28999999999999998</v>
      </c>
      <c r="F633" s="18">
        <v>0</v>
      </c>
      <c r="G633" s="18">
        <v>0</v>
      </c>
      <c r="H633" s="18">
        <v>0.28999999999999998</v>
      </c>
      <c r="L633" s="20" t="str">
        <f t="shared" si="18"/>
        <v>N/A</v>
      </c>
      <c r="M633" s="20" t="str">
        <f t="shared" si="19"/>
        <v>N/A</v>
      </c>
    </row>
    <row r="634" spans="1:13">
      <c r="A634" s="18" t="s">
        <v>22</v>
      </c>
      <c r="B634" s="18" t="s">
        <v>365</v>
      </c>
      <c r="C634" s="18" t="s">
        <v>231</v>
      </c>
      <c r="D634" s="18" t="s">
        <v>123</v>
      </c>
      <c r="E634" s="18">
        <v>179.82</v>
      </c>
      <c r="F634" s="18">
        <v>91.52</v>
      </c>
      <c r="G634" s="18">
        <v>0</v>
      </c>
      <c r="H634" s="18">
        <v>271.33999999999997</v>
      </c>
      <c r="L634" s="20" t="str">
        <f t="shared" si="18"/>
        <v>N/A</v>
      </c>
      <c r="M634" s="20" t="str">
        <f t="shared" si="19"/>
        <v>N/A</v>
      </c>
    </row>
    <row r="635" spans="1:13">
      <c r="A635" s="18" t="s">
        <v>22</v>
      </c>
      <c r="B635" s="18" t="s">
        <v>365</v>
      </c>
      <c r="C635" s="18" t="s">
        <v>231</v>
      </c>
      <c r="D635" s="18" t="s">
        <v>126</v>
      </c>
      <c r="E635" s="18">
        <v>26.77</v>
      </c>
      <c r="F635" s="18">
        <v>5.16</v>
      </c>
      <c r="G635" s="18">
        <v>0</v>
      </c>
      <c r="H635" s="18">
        <v>31.93</v>
      </c>
      <c r="L635" s="20" t="str">
        <f t="shared" si="18"/>
        <v>N/A</v>
      </c>
      <c r="M635" s="20" t="str">
        <f t="shared" si="19"/>
        <v>N/A</v>
      </c>
    </row>
    <row r="636" spans="1:13">
      <c r="A636" s="18" t="s">
        <v>22</v>
      </c>
      <c r="B636" s="18" t="s">
        <v>365</v>
      </c>
      <c r="C636" s="18" t="s">
        <v>231</v>
      </c>
      <c r="D636" s="18" t="s">
        <v>129</v>
      </c>
      <c r="E636" s="18">
        <v>24.98</v>
      </c>
      <c r="F636" s="18">
        <v>7.11</v>
      </c>
      <c r="G636" s="18">
        <v>0</v>
      </c>
      <c r="H636" s="18">
        <v>32.090000000000003</v>
      </c>
      <c r="L636" s="20" t="str">
        <f t="shared" si="18"/>
        <v>N/A</v>
      </c>
      <c r="M636" s="20" t="str">
        <f t="shared" si="19"/>
        <v>N/A</v>
      </c>
    </row>
    <row r="637" spans="1:13">
      <c r="A637" s="18" t="s">
        <v>22</v>
      </c>
      <c r="B637" s="18" t="s">
        <v>365</v>
      </c>
      <c r="C637" s="18" t="s">
        <v>231</v>
      </c>
      <c r="D637" s="18" t="s">
        <v>131</v>
      </c>
      <c r="E637" s="18">
        <v>63.49</v>
      </c>
      <c r="F637" s="18">
        <v>45.32</v>
      </c>
      <c r="G637" s="18">
        <v>0</v>
      </c>
      <c r="H637" s="18">
        <v>108.81</v>
      </c>
      <c r="L637" s="20" t="str">
        <f t="shared" si="18"/>
        <v>N/A</v>
      </c>
      <c r="M637" s="20" t="str">
        <f t="shared" si="19"/>
        <v>N/A</v>
      </c>
    </row>
    <row r="638" spans="1:13">
      <c r="A638" s="18" t="s">
        <v>22</v>
      </c>
      <c r="B638" s="18" t="s">
        <v>365</v>
      </c>
      <c r="C638" s="18" t="s">
        <v>231</v>
      </c>
      <c r="D638" s="18" t="s">
        <v>162</v>
      </c>
      <c r="E638" s="18">
        <v>0</v>
      </c>
      <c r="F638" s="18">
        <v>0</v>
      </c>
      <c r="G638" s="18">
        <v>0</v>
      </c>
      <c r="H638" s="18">
        <v>0</v>
      </c>
      <c r="L638" s="20" t="str">
        <f t="shared" si="18"/>
        <v>N/A</v>
      </c>
      <c r="M638" s="20" t="str">
        <f t="shared" si="19"/>
        <v>N/A</v>
      </c>
    </row>
    <row r="639" spans="1:13">
      <c r="A639" s="18" t="s">
        <v>22</v>
      </c>
      <c r="B639" s="18" t="s">
        <v>365</v>
      </c>
      <c r="C639" s="18" t="s">
        <v>231</v>
      </c>
      <c r="D639" s="18" t="s">
        <v>134</v>
      </c>
      <c r="E639" s="18">
        <v>4.5599999999999996</v>
      </c>
      <c r="F639" s="18">
        <v>5.7</v>
      </c>
      <c r="G639" s="18">
        <v>0</v>
      </c>
      <c r="H639" s="18">
        <v>10.26</v>
      </c>
      <c r="L639" s="20" t="str">
        <f t="shared" si="18"/>
        <v>N/A</v>
      </c>
      <c r="M639" s="20" t="str">
        <f t="shared" si="19"/>
        <v>N/A</v>
      </c>
    </row>
    <row r="640" spans="1:13">
      <c r="A640" s="18" t="s">
        <v>22</v>
      </c>
      <c r="B640" s="18" t="s">
        <v>365</v>
      </c>
      <c r="C640" s="18" t="s">
        <v>231</v>
      </c>
      <c r="D640" s="18" t="s">
        <v>139</v>
      </c>
      <c r="E640" s="18">
        <v>18.78</v>
      </c>
      <c r="F640" s="18">
        <v>9.39</v>
      </c>
      <c r="G640" s="18">
        <v>0</v>
      </c>
      <c r="H640" s="18">
        <v>28.17</v>
      </c>
      <c r="L640" s="20" t="str">
        <f t="shared" si="18"/>
        <v>N/A</v>
      </c>
      <c r="M640" s="20" t="str">
        <f t="shared" si="19"/>
        <v>N/A</v>
      </c>
    </row>
    <row r="641" spans="1:13">
      <c r="A641" s="18" t="s">
        <v>22</v>
      </c>
      <c r="B641" s="18" t="s">
        <v>365</v>
      </c>
      <c r="C641" s="18" t="s">
        <v>231</v>
      </c>
      <c r="D641" s="18" t="s">
        <v>142</v>
      </c>
      <c r="E641" s="18">
        <v>15.52</v>
      </c>
      <c r="F641" s="18">
        <v>9.17</v>
      </c>
      <c r="G641" s="18">
        <v>0</v>
      </c>
      <c r="H641" s="18">
        <v>24.69</v>
      </c>
      <c r="L641" s="20" t="str">
        <f t="shared" si="18"/>
        <v>N/A</v>
      </c>
      <c r="M641" s="20" t="str">
        <f t="shared" si="19"/>
        <v>N/A</v>
      </c>
    </row>
    <row r="642" spans="1:13">
      <c r="A642" s="18" t="s">
        <v>22</v>
      </c>
      <c r="B642" s="18" t="s">
        <v>365</v>
      </c>
      <c r="C642" s="18" t="s">
        <v>231</v>
      </c>
      <c r="D642" s="18" t="s">
        <v>163</v>
      </c>
      <c r="E642" s="18">
        <v>0</v>
      </c>
      <c r="F642" s="18">
        <v>0</v>
      </c>
      <c r="G642" s="18">
        <v>0</v>
      </c>
      <c r="H642" s="18">
        <v>0</v>
      </c>
      <c r="L642" s="20" t="str">
        <f t="shared" si="18"/>
        <v>N/A</v>
      </c>
      <c r="M642" s="20" t="str">
        <f t="shared" si="19"/>
        <v>N/A</v>
      </c>
    </row>
    <row r="643" spans="1:13">
      <c r="A643" s="18" t="s">
        <v>22</v>
      </c>
      <c r="B643" s="18" t="s">
        <v>365</v>
      </c>
      <c r="C643" s="18" t="s">
        <v>233</v>
      </c>
      <c r="D643" s="18" t="s">
        <v>87</v>
      </c>
      <c r="E643" s="18">
        <v>198.34</v>
      </c>
      <c r="F643" s="18">
        <v>6644.61</v>
      </c>
      <c r="G643" s="18">
        <v>858.69</v>
      </c>
      <c r="H643" s="18">
        <v>5984.26</v>
      </c>
      <c r="L643" s="20" t="str">
        <f t="shared" ref="L643:L706" si="20">+IF(LEFT(D643,1)="1","Asset","N/A")</f>
        <v>Asset</v>
      </c>
      <c r="M643" s="20" t="str">
        <f t="shared" ref="M643:M706" si="21">+IF(L643="asset",IF(H643&lt;0,"Provide Comment","okay"),"N/A")</f>
        <v>okay</v>
      </c>
    </row>
    <row r="644" spans="1:13">
      <c r="A644" s="18" t="s">
        <v>22</v>
      </c>
      <c r="B644" s="18" t="s">
        <v>365</v>
      </c>
      <c r="C644" s="18" t="s">
        <v>233</v>
      </c>
      <c r="D644" s="18" t="s">
        <v>97</v>
      </c>
      <c r="E644" s="18">
        <v>3255166.82</v>
      </c>
      <c r="F644" s="18">
        <v>0</v>
      </c>
      <c r="G644" s="18">
        <v>0</v>
      </c>
      <c r="H644" s="18">
        <v>3255166.82</v>
      </c>
      <c r="L644" s="20" t="str">
        <f t="shared" si="20"/>
        <v>Asset</v>
      </c>
      <c r="M644" s="20" t="str">
        <f t="shared" si="21"/>
        <v>okay</v>
      </c>
    </row>
    <row r="645" spans="1:13">
      <c r="A645" s="18" t="s">
        <v>22</v>
      </c>
      <c r="B645" s="18" t="s">
        <v>365</v>
      </c>
      <c r="C645" s="18" t="s">
        <v>233</v>
      </c>
      <c r="D645" s="18" t="s">
        <v>105</v>
      </c>
      <c r="E645" s="18">
        <v>1013271.15</v>
      </c>
      <c r="F645" s="18">
        <v>47555.34</v>
      </c>
      <c r="G645" s="18">
        <v>0</v>
      </c>
      <c r="H645" s="18">
        <v>1060826.49</v>
      </c>
      <c r="L645" s="20" t="str">
        <f t="shared" si="20"/>
        <v>Asset</v>
      </c>
      <c r="M645" s="20" t="str">
        <f t="shared" si="21"/>
        <v>okay</v>
      </c>
    </row>
    <row r="646" spans="1:13">
      <c r="A646" s="18" t="s">
        <v>22</v>
      </c>
      <c r="B646" s="18" t="s">
        <v>365</v>
      </c>
      <c r="C646" s="18" t="s">
        <v>233</v>
      </c>
      <c r="D646" s="18" t="s">
        <v>108</v>
      </c>
      <c r="E646" s="18">
        <v>0</v>
      </c>
      <c r="F646" s="18">
        <v>0</v>
      </c>
      <c r="G646" s="18">
        <v>0</v>
      </c>
      <c r="H646" s="18">
        <v>0</v>
      </c>
      <c r="L646" s="20" t="str">
        <f t="shared" si="20"/>
        <v>Asset</v>
      </c>
      <c r="M646" s="20" t="str">
        <f t="shared" si="21"/>
        <v>okay</v>
      </c>
    </row>
    <row r="647" spans="1:13">
      <c r="A647" s="18" t="s">
        <v>22</v>
      </c>
      <c r="B647" s="18" t="s">
        <v>365</v>
      </c>
      <c r="C647" s="18" t="s">
        <v>233</v>
      </c>
      <c r="D647" s="18" t="s">
        <v>116</v>
      </c>
      <c r="E647" s="18">
        <v>-40.590000000000003</v>
      </c>
      <c r="F647" s="18">
        <v>0</v>
      </c>
      <c r="G647" s="18">
        <v>0</v>
      </c>
      <c r="H647" s="18">
        <v>-40.590000000000003</v>
      </c>
      <c r="L647" s="20" t="str">
        <f t="shared" si="20"/>
        <v>N/A</v>
      </c>
      <c r="M647" s="20" t="str">
        <f t="shared" si="21"/>
        <v>N/A</v>
      </c>
    </row>
    <row r="648" spans="1:13">
      <c r="A648" s="18" t="s">
        <v>22</v>
      </c>
      <c r="B648" s="18" t="s">
        <v>365</v>
      </c>
      <c r="C648" s="18" t="s">
        <v>233</v>
      </c>
      <c r="D648" s="18" t="s">
        <v>121</v>
      </c>
      <c r="E648" s="18">
        <v>-89.03</v>
      </c>
      <c r="F648" s="18">
        <v>59.35</v>
      </c>
      <c r="G648" s="18">
        <v>14.84</v>
      </c>
      <c r="H648" s="18">
        <v>-44.52</v>
      </c>
      <c r="L648" s="20" t="str">
        <f t="shared" si="20"/>
        <v>N/A</v>
      </c>
      <c r="M648" s="20" t="str">
        <f t="shared" si="21"/>
        <v>N/A</v>
      </c>
    </row>
    <row r="649" spans="1:13">
      <c r="A649" s="18" t="s">
        <v>22</v>
      </c>
      <c r="B649" s="18" t="s">
        <v>365</v>
      </c>
      <c r="C649" s="18" t="s">
        <v>233</v>
      </c>
      <c r="D649" s="18" t="s">
        <v>124</v>
      </c>
      <c r="E649" s="18">
        <v>-18.190000000000001</v>
      </c>
      <c r="F649" s="18">
        <v>0</v>
      </c>
      <c r="G649" s="18">
        <v>11.32</v>
      </c>
      <c r="H649" s="18">
        <v>-29.51</v>
      </c>
      <c r="L649" s="20" t="str">
        <f t="shared" si="20"/>
        <v>N/A</v>
      </c>
      <c r="M649" s="20" t="str">
        <f t="shared" si="21"/>
        <v>N/A</v>
      </c>
    </row>
    <row r="650" spans="1:13">
      <c r="A650" s="18" t="s">
        <v>22</v>
      </c>
      <c r="B650" s="18" t="s">
        <v>365</v>
      </c>
      <c r="C650" s="18" t="s">
        <v>233</v>
      </c>
      <c r="D650" s="18" t="s">
        <v>127</v>
      </c>
      <c r="E650" s="18">
        <v>0</v>
      </c>
      <c r="F650" s="18">
        <v>0</v>
      </c>
      <c r="G650" s="18">
        <v>0</v>
      </c>
      <c r="H650" s="18">
        <v>0</v>
      </c>
      <c r="L650" s="20" t="str">
        <f t="shared" si="20"/>
        <v>N/A</v>
      </c>
      <c r="M650" s="20" t="str">
        <f t="shared" si="21"/>
        <v>N/A</v>
      </c>
    </row>
    <row r="651" spans="1:13">
      <c r="A651" s="18" t="s">
        <v>22</v>
      </c>
      <c r="B651" s="18" t="s">
        <v>365</v>
      </c>
      <c r="C651" s="18" t="s">
        <v>233</v>
      </c>
      <c r="D651" s="18" t="s">
        <v>95</v>
      </c>
      <c r="E651" s="18">
        <v>-4.41</v>
      </c>
      <c r="F651" s="18">
        <v>1.1100000000000001</v>
      </c>
      <c r="G651" s="18">
        <v>3.32</v>
      </c>
      <c r="H651" s="18">
        <v>-6.62</v>
      </c>
      <c r="L651" s="20" t="str">
        <f t="shared" si="20"/>
        <v>N/A</v>
      </c>
      <c r="M651" s="20" t="str">
        <f t="shared" si="21"/>
        <v>N/A</v>
      </c>
    </row>
    <row r="652" spans="1:13">
      <c r="A652" s="18" t="s">
        <v>22</v>
      </c>
      <c r="B652" s="18" t="s">
        <v>365</v>
      </c>
      <c r="C652" s="18" t="s">
        <v>233</v>
      </c>
      <c r="D652" s="18" t="s">
        <v>132</v>
      </c>
      <c r="E652" s="18">
        <v>0</v>
      </c>
      <c r="F652" s="18">
        <v>0</v>
      </c>
      <c r="G652" s="18">
        <v>0</v>
      </c>
      <c r="H652" s="18">
        <v>0</v>
      </c>
      <c r="L652" s="20" t="str">
        <f t="shared" si="20"/>
        <v>N/A</v>
      </c>
      <c r="M652" s="20" t="str">
        <f t="shared" si="21"/>
        <v>N/A</v>
      </c>
    </row>
    <row r="653" spans="1:13">
      <c r="A653" s="18" t="s">
        <v>22</v>
      </c>
      <c r="B653" s="18" t="s">
        <v>365</v>
      </c>
      <c r="C653" s="18" t="s">
        <v>233</v>
      </c>
      <c r="D653" s="18" t="s">
        <v>135</v>
      </c>
      <c r="E653" s="18">
        <v>-3950617.28</v>
      </c>
      <c r="F653" s="18">
        <v>0</v>
      </c>
      <c r="G653" s="18">
        <v>0</v>
      </c>
      <c r="H653" s="18">
        <v>-3950617.28</v>
      </c>
      <c r="L653" s="20" t="str">
        <f t="shared" si="20"/>
        <v>N/A</v>
      </c>
      <c r="M653" s="20" t="str">
        <f t="shared" si="21"/>
        <v>N/A</v>
      </c>
    </row>
    <row r="654" spans="1:13">
      <c r="A654" s="18" t="s">
        <v>22</v>
      </c>
      <c r="B654" s="18" t="s">
        <v>365</v>
      </c>
      <c r="C654" s="18" t="s">
        <v>233</v>
      </c>
      <c r="D654" s="18" t="s">
        <v>140</v>
      </c>
      <c r="E654" s="18">
        <v>-9449.24</v>
      </c>
      <c r="F654" s="18">
        <v>0</v>
      </c>
      <c r="G654" s="18">
        <v>6643.6</v>
      </c>
      <c r="H654" s="18">
        <v>-16092.84</v>
      </c>
      <c r="L654" s="20" t="str">
        <f t="shared" si="20"/>
        <v>N/A</v>
      </c>
      <c r="M654" s="20" t="str">
        <f t="shared" si="21"/>
        <v>N/A</v>
      </c>
    </row>
    <row r="655" spans="1:13">
      <c r="A655" s="18" t="s">
        <v>22</v>
      </c>
      <c r="B655" s="18" t="s">
        <v>365</v>
      </c>
      <c r="C655" s="18" t="s">
        <v>233</v>
      </c>
      <c r="D655" s="18" t="s">
        <v>143</v>
      </c>
      <c r="E655" s="18">
        <v>695450.46</v>
      </c>
      <c r="F655" s="18">
        <v>0</v>
      </c>
      <c r="G655" s="18">
        <v>0</v>
      </c>
      <c r="H655" s="18">
        <v>695450.46</v>
      </c>
      <c r="L655" s="20" t="str">
        <f t="shared" si="20"/>
        <v>N/A</v>
      </c>
      <c r="M655" s="20" t="str">
        <f t="shared" si="21"/>
        <v>N/A</v>
      </c>
    </row>
    <row r="656" spans="1:13">
      <c r="A656" s="18" t="s">
        <v>22</v>
      </c>
      <c r="B656" s="18" t="s">
        <v>365</v>
      </c>
      <c r="C656" s="18" t="s">
        <v>233</v>
      </c>
      <c r="D656" s="18" t="s">
        <v>146</v>
      </c>
      <c r="E656" s="18">
        <v>88126.33</v>
      </c>
      <c r="F656" s="18">
        <v>0</v>
      </c>
      <c r="G656" s="18">
        <v>0</v>
      </c>
      <c r="H656" s="18">
        <v>88126.33</v>
      </c>
      <c r="L656" s="20" t="str">
        <f t="shared" si="20"/>
        <v>N/A</v>
      </c>
      <c r="M656" s="20" t="str">
        <f t="shared" si="21"/>
        <v>N/A</v>
      </c>
    </row>
    <row r="657" spans="1:13">
      <c r="A657" s="18" t="s">
        <v>22</v>
      </c>
      <c r="B657" s="18" t="s">
        <v>365</v>
      </c>
      <c r="C657" s="18" t="s">
        <v>233</v>
      </c>
      <c r="D657" s="18" t="s">
        <v>147</v>
      </c>
      <c r="E657" s="18">
        <v>-768339.69</v>
      </c>
      <c r="F657" s="18">
        <v>0</v>
      </c>
      <c r="G657" s="18">
        <v>0</v>
      </c>
      <c r="H657" s="18">
        <v>-768339.69</v>
      </c>
      <c r="L657" s="20" t="str">
        <f t="shared" si="20"/>
        <v>N/A</v>
      </c>
      <c r="M657" s="20" t="str">
        <f t="shared" si="21"/>
        <v>N/A</v>
      </c>
    </row>
    <row r="658" spans="1:13">
      <c r="A658" s="18" t="s">
        <v>22</v>
      </c>
      <c r="B658" s="18" t="s">
        <v>365</v>
      </c>
      <c r="C658" s="18" t="s">
        <v>233</v>
      </c>
      <c r="D658" s="18" t="s">
        <v>153</v>
      </c>
      <c r="E658" s="18">
        <v>0</v>
      </c>
      <c r="F658" s="18">
        <v>0</v>
      </c>
      <c r="G658" s="18">
        <v>0</v>
      </c>
      <c r="H658" s="18">
        <v>0</v>
      </c>
      <c r="L658" s="20" t="str">
        <f t="shared" si="20"/>
        <v>N/A</v>
      </c>
      <c r="M658" s="20" t="str">
        <f t="shared" si="21"/>
        <v>N/A</v>
      </c>
    </row>
    <row r="659" spans="1:13">
      <c r="A659" s="18" t="s">
        <v>22</v>
      </c>
      <c r="B659" s="18" t="s">
        <v>365</v>
      </c>
      <c r="C659" s="18" t="s">
        <v>233</v>
      </c>
      <c r="D659" s="18" t="s">
        <v>155</v>
      </c>
      <c r="E659" s="18">
        <v>0</v>
      </c>
      <c r="F659" s="18">
        <v>0</v>
      </c>
      <c r="G659" s="18">
        <v>0</v>
      </c>
      <c r="H659" s="18">
        <v>0</v>
      </c>
      <c r="L659" s="20" t="str">
        <f t="shared" si="20"/>
        <v>N/A</v>
      </c>
      <c r="M659" s="20" t="str">
        <f t="shared" si="21"/>
        <v>N/A</v>
      </c>
    </row>
    <row r="660" spans="1:13">
      <c r="A660" s="18" t="s">
        <v>22</v>
      </c>
      <c r="B660" s="18" t="s">
        <v>365</v>
      </c>
      <c r="C660" s="18" t="s">
        <v>233</v>
      </c>
      <c r="D660" s="18" t="s">
        <v>156</v>
      </c>
      <c r="E660" s="18">
        <v>-34.81</v>
      </c>
      <c r="F660" s="18">
        <v>0</v>
      </c>
      <c r="G660" s="18">
        <v>1.01</v>
      </c>
      <c r="H660" s="18">
        <v>-35.82</v>
      </c>
      <c r="L660" s="20" t="str">
        <f t="shared" si="20"/>
        <v>N/A</v>
      </c>
      <c r="M660" s="20" t="str">
        <f t="shared" si="21"/>
        <v>N/A</v>
      </c>
    </row>
    <row r="661" spans="1:13">
      <c r="A661" s="18" t="s">
        <v>22</v>
      </c>
      <c r="B661" s="18" t="s">
        <v>365</v>
      </c>
      <c r="C661" s="18" t="s">
        <v>233</v>
      </c>
      <c r="D661" s="18" t="s">
        <v>157</v>
      </c>
      <c r="E661" s="18">
        <v>-326163.03999999998</v>
      </c>
      <c r="F661" s="18">
        <v>0</v>
      </c>
      <c r="G661" s="18">
        <v>47555.34</v>
      </c>
      <c r="H661" s="18">
        <v>-373718.38</v>
      </c>
      <c r="L661" s="20" t="str">
        <f t="shared" si="20"/>
        <v>N/A</v>
      </c>
      <c r="M661" s="20" t="str">
        <f t="shared" si="21"/>
        <v>N/A</v>
      </c>
    </row>
    <row r="662" spans="1:13">
      <c r="A662" s="18" t="s">
        <v>22</v>
      </c>
      <c r="B662" s="18" t="s">
        <v>365</v>
      </c>
      <c r="C662" s="18" t="s">
        <v>233</v>
      </c>
      <c r="D662" s="18" t="s">
        <v>145</v>
      </c>
      <c r="E662" s="18">
        <v>0</v>
      </c>
      <c r="F662" s="18">
        <v>228.22</v>
      </c>
      <c r="G662" s="18">
        <v>0</v>
      </c>
      <c r="H662" s="18">
        <v>228.22</v>
      </c>
      <c r="L662" s="20" t="str">
        <f t="shared" si="20"/>
        <v>N/A</v>
      </c>
      <c r="M662" s="20" t="str">
        <f t="shared" si="21"/>
        <v>N/A</v>
      </c>
    </row>
    <row r="663" spans="1:13">
      <c r="A663" s="18" t="s">
        <v>22</v>
      </c>
      <c r="B663" s="18" t="s">
        <v>365</v>
      </c>
      <c r="C663" s="18" t="s">
        <v>233</v>
      </c>
      <c r="D663" s="18" t="s">
        <v>96</v>
      </c>
      <c r="E663" s="18">
        <v>6.64</v>
      </c>
      <c r="F663" s="18">
        <v>3.32</v>
      </c>
      <c r="G663" s="18">
        <v>0</v>
      </c>
      <c r="H663" s="18">
        <v>9.9600000000000009</v>
      </c>
      <c r="L663" s="20" t="str">
        <f t="shared" si="20"/>
        <v>N/A</v>
      </c>
      <c r="M663" s="20" t="str">
        <f t="shared" si="21"/>
        <v>N/A</v>
      </c>
    </row>
    <row r="664" spans="1:13">
      <c r="A664" s="18" t="s">
        <v>22</v>
      </c>
      <c r="B664" s="18" t="s">
        <v>365</v>
      </c>
      <c r="C664" s="18" t="s">
        <v>233</v>
      </c>
      <c r="D664" s="18" t="s">
        <v>104</v>
      </c>
      <c r="E664" s="18">
        <v>15.17</v>
      </c>
      <c r="F664" s="18">
        <v>30.34</v>
      </c>
      <c r="G664" s="18">
        <v>0</v>
      </c>
      <c r="H664" s="18">
        <v>45.51</v>
      </c>
      <c r="L664" s="20" t="str">
        <f t="shared" si="20"/>
        <v>N/A</v>
      </c>
      <c r="M664" s="20" t="str">
        <f t="shared" si="21"/>
        <v>N/A</v>
      </c>
    </row>
    <row r="665" spans="1:13">
      <c r="A665" s="18" t="s">
        <v>22</v>
      </c>
      <c r="B665" s="18" t="s">
        <v>365</v>
      </c>
      <c r="C665" s="18" t="s">
        <v>233</v>
      </c>
      <c r="D665" s="18" t="s">
        <v>359</v>
      </c>
      <c r="E665" s="18">
        <v>715.66</v>
      </c>
      <c r="F665" s="18">
        <v>6.78</v>
      </c>
      <c r="G665" s="18">
        <v>0</v>
      </c>
      <c r="H665" s="18">
        <v>722.44</v>
      </c>
      <c r="L665" s="20" t="str">
        <f t="shared" si="20"/>
        <v>N/A</v>
      </c>
      <c r="M665" s="20" t="str">
        <f t="shared" si="21"/>
        <v>N/A</v>
      </c>
    </row>
    <row r="666" spans="1:13">
      <c r="A666" s="18" t="s">
        <v>22</v>
      </c>
      <c r="B666" s="18" t="s">
        <v>365</v>
      </c>
      <c r="C666" s="18" t="s">
        <v>233</v>
      </c>
      <c r="D666" s="18" t="s">
        <v>113</v>
      </c>
      <c r="E666" s="18">
        <v>974.15</v>
      </c>
      <c r="F666" s="18">
        <v>266.79000000000002</v>
      </c>
      <c r="G666" s="18">
        <v>0</v>
      </c>
      <c r="H666" s="18">
        <v>1240.94</v>
      </c>
      <c r="L666" s="20" t="str">
        <f t="shared" si="20"/>
        <v>N/A</v>
      </c>
      <c r="M666" s="20" t="str">
        <f t="shared" si="21"/>
        <v>N/A</v>
      </c>
    </row>
    <row r="667" spans="1:13">
      <c r="A667" s="18" t="s">
        <v>22</v>
      </c>
      <c r="B667" s="18" t="s">
        <v>365</v>
      </c>
      <c r="C667" s="18" t="s">
        <v>233</v>
      </c>
      <c r="D667" s="18" t="s">
        <v>150</v>
      </c>
      <c r="E667" s="18">
        <v>303.41000000000003</v>
      </c>
      <c r="F667" s="18">
        <v>18.32</v>
      </c>
      <c r="G667" s="18">
        <v>0</v>
      </c>
      <c r="H667" s="18">
        <v>321.73</v>
      </c>
      <c r="L667" s="20" t="str">
        <f t="shared" si="20"/>
        <v>N/A</v>
      </c>
      <c r="M667" s="20" t="str">
        <f t="shared" si="21"/>
        <v>N/A</v>
      </c>
    </row>
    <row r="668" spans="1:13">
      <c r="A668" s="18" t="s">
        <v>22</v>
      </c>
      <c r="B668" s="18" t="s">
        <v>365</v>
      </c>
      <c r="C668" s="18" t="s">
        <v>233</v>
      </c>
      <c r="D668" s="18" t="s">
        <v>120</v>
      </c>
      <c r="E668" s="18">
        <v>0.46</v>
      </c>
      <c r="F668" s="18">
        <v>0</v>
      </c>
      <c r="G668" s="18">
        <v>0</v>
      </c>
      <c r="H668" s="18">
        <v>0.46</v>
      </c>
      <c r="L668" s="20" t="str">
        <f t="shared" si="20"/>
        <v>N/A</v>
      </c>
      <c r="M668" s="20" t="str">
        <f t="shared" si="21"/>
        <v>N/A</v>
      </c>
    </row>
    <row r="669" spans="1:13">
      <c r="A669" s="18" t="s">
        <v>22</v>
      </c>
      <c r="B669" s="18" t="s">
        <v>365</v>
      </c>
      <c r="C669" s="18" t="s">
        <v>233</v>
      </c>
      <c r="D669" s="18" t="s">
        <v>123</v>
      </c>
      <c r="E669" s="18">
        <v>284.16000000000003</v>
      </c>
      <c r="F669" s="18">
        <v>144.62</v>
      </c>
      <c r="G669" s="18">
        <v>0</v>
      </c>
      <c r="H669" s="18">
        <v>428.78</v>
      </c>
      <c r="L669" s="20" t="str">
        <f t="shared" si="20"/>
        <v>N/A</v>
      </c>
      <c r="M669" s="20" t="str">
        <f t="shared" si="21"/>
        <v>N/A</v>
      </c>
    </row>
    <row r="670" spans="1:13">
      <c r="A670" s="18" t="s">
        <v>22</v>
      </c>
      <c r="B670" s="18" t="s">
        <v>365</v>
      </c>
      <c r="C670" s="18" t="s">
        <v>233</v>
      </c>
      <c r="D670" s="18" t="s">
        <v>126</v>
      </c>
      <c r="E670" s="18">
        <v>42.29</v>
      </c>
      <c r="F670" s="18">
        <v>8.15</v>
      </c>
      <c r="G670" s="18">
        <v>0</v>
      </c>
      <c r="H670" s="18">
        <v>50.44</v>
      </c>
      <c r="L670" s="20" t="str">
        <f t="shared" si="20"/>
        <v>N/A</v>
      </c>
      <c r="M670" s="20" t="str">
        <f t="shared" si="21"/>
        <v>N/A</v>
      </c>
    </row>
    <row r="671" spans="1:13">
      <c r="A671" s="18" t="s">
        <v>22</v>
      </c>
      <c r="B671" s="18" t="s">
        <v>365</v>
      </c>
      <c r="C671" s="18" t="s">
        <v>233</v>
      </c>
      <c r="D671" s="18" t="s">
        <v>129</v>
      </c>
      <c r="E671" s="18">
        <v>39.5</v>
      </c>
      <c r="F671" s="18">
        <v>11.24</v>
      </c>
      <c r="G671" s="18">
        <v>0</v>
      </c>
      <c r="H671" s="18">
        <v>50.74</v>
      </c>
      <c r="L671" s="20" t="str">
        <f t="shared" si="20"/>
        <v>N/A</v>
      </c>
      <c r="M671" s="20" t="str">
        <f t="shared" si="21"/>
        <v>N/A</v>
      </c>
    </row>
    <row r="672" spans="1:13">
      <c r="A672" s="18" t="s">
        <v>22</v>
      </c>
      <c r="B672" s="18" t="s">
        <v>365</v>
      </c>
      <c r="C672" s="18" t="s">
        <v>233</v>
      </c>
      <c r="D672" s="18" t="s">
        <v>131</v>
      </c>
      <c r="E672" s="18">
        <v>100.32</v>
      </c>
      <c r="F672" s="18">
        <v>71.61</v>
      </c>
      <c r="G672" s="18">
        <v>0</v>
      </c>
      <c r="H672" s="18">
        <v>171.93</v>
      </c>
      <c r="L672" s="20" t="str">
        <f t="shared" si="20"/>
        <v>N/A</v>
      </c>
      <c r="M672" s="20" t="str">
        <f t="shared" si="21"/>
        <v>N/A</v>
      </c>
    </row>
    <row r="673" spans="1:13">
      <c r="A673" s="18" t="s">
        <v>22</v>
      </c>
      <c r="B673" s="18" t="s">
        <v>365</v>
      </c>
      <c r="C673" s="18" t="s">
        <v>233</v>
      </c>
      <c r="D673" s="18" t="s">
        <v>162</v>
      </c>
      <c r="E673" s="18">
        <v>0</v>
      </c>
      <c r="F673" s="18">
        <v>0</v>
      </c>
      <c r="G673" s="18">
        <v>0</v>
      </c>
      <c r="H673" s="18">
        <v>0</v>
      </c>
      <c r="L673" s="20" t="str">
        <f t="shared" si="20"/>
        <v>N/A</v>
      </c>
      <c r="M673" s="20" t="str">
        <f t="shared" si="21"/>
        <v>N/A</v>
      </c>
    </row>
    <row r="674" spans="1:13">
      <c r="A674" s="18" t="s">
        <v>22</v>
      </c>
      <c r="B674" s="18" t="s">
        <v>365</v>
      </c>
      <c r="C674" s="18" t="s">
        <v>233</v>
      </c>
      <c r="D674" s="18" t="s">
        <v>134</v>
      </c>
      <c r="E674" s="18">
        <v>7.2</v>
      </c>
      <c r="F674" s="18">
        <v>8.99</v>
      </c>
      <c r="G674" s="18">
        <v>0</v>
      </c>
      <c r="H674" s="18">
        <v>16.190000000000001</v>
      </c>
      <c r="L674" s="20" t="str">
        <f t="shared" si="20"/>
        <v>N/A</v>
      </c>
      <c r="M674" s="20" t="str">
        <f t="shared" si="21"/>
        <v>N/A</v>
      </c>
    </row>
    <row r="675" spans="1:13">
      <c r="A675" s="18" t="s">
        <v>22</v>
      </c>
      <c r="B675" s="18" t="s">
        <v>365</v>
      </c>
      <c r="C675" s="18" t="s">
        <v>233</v>
      </c>
      <c r="D675" s="18" t="s">
        <v>139</v>
      </c>
      <c r="E675" s="18">
        <v>29.68</v>
      </c>
      <c r="F675" s="18">
        <v>14.84</v>
      </c>
      <c r="G675" s="18">
        <v>0</v>
      </c>
      <c r="H675" s="18">
        <v>44.52</v>
      </c>
      <c r="L675" s="20" t="str">
        <f t="shared" si="20"/>
        <v>N/A</v>
      </c>
      <c r="M675" s="20" t="str">
        <f t="shared" si="21"/>
        <v>N/A</v>
      </c>
    </row>
    <row r="676" spans="1:13">
      <c r="A676" s="18" t="s">
        <v>22</v>
      </c>
      <c r="B676" s="18" t="s">
        <v>365</v>
      </c>
      <c r="C676" s="18" t="s">
        <v>233</v>
      </c>
      <c r="D676" s="18" t="s">
        <v>142</v>
      </c>
      <c r="E676" s="18">
        <v>24.54</v>
      </c>
      <c r="F676" s="18">
        <v>14.49</v>
      </c>
      <c r="G676" s="18">
        <v>0</v>
      </c>
      <c r="H676" s="18">
        <v>39.03</v>
      </c>
      <c r="L676" s="20" t="str">
        <f t="shared" si="20"/>
        <v>N/A</v>
      </c>
      <c r="M676" s="20" t="str">
        <f t="shared" si="21"/>
        <v>N/A</v>
      </c>
    </row>
    <row r="677" spans="1:13">
      <c r="A677" s="18" t="s">
        <v>22</v>
      </c>
      <c r="B677" s="18" t="s">
        <v>365</v>
      </c>
      <c r="C677" s="18" t="s">
        <v>233</v>
      </c>
      <c r="D677" s="18" t="s">
        <v>163</v>
      </c>
      <c r="E677" s="18">
        <v>0</v>
      </c>
      <c r="F677" s="18">
        <v>0</v>
      </c>
      <c r="G677" s="18">
        <v>0</v>
      </c>
      <c r="H677" s="18">
        <v>0</v>
      </c>
      <c r="L677" s="20" t="str">
        <f t="shared" si="20"/>
        <v>N/A</v>
      </c>
      <c r="M677" s="20" t="str">
        <f t="shared" si="21"/>
        <v>N/A</v>
      </c>
    </row>
    <row r="678" spans="1:13">
      <c r="A678" s="18" t="s">
        <v>22</v>
      </c>
      <c r="B678" s="18" t="s">
        <v>365</v>
      </c>
      <c r="C678" s="18" t="s">
        <v>235</v>
      </c>
      <c r="D678" s="18" t="s">
        <v>87</v>
      </c>
      <c r="E678" s="18">
        <v>743.8</v>
      </c>
      <c r="F678" s="18">
        <v>24917.27</v>
      </c>
      <c r="G678" s="18">
        <v>3220.11</v>
      </c>
      <c r="H678" s="18">
        <v>22440.959999999999</v>
      </c>
      <c r="L678" s="20" t="str">
        <f t="shared" si="20"/>
        <v>Asset</v>
      </c>
      <c r="M678" s="20" t="str">
        <f t="shared" si="21"/>
        <v>okay</v>
      </c>
    </row>
    <row r="679" spans="1:13">
      <c r="A679" s="18" t="s">
        <v>22</v>
      </c>
      <c r="B679" s="18" t="s">
        <v>365</v>
      </c>
      <c r="C679" s="18" t="s">
        <v>235</v>
      </c>
      <c r="D679" s="18" t="s">
        <v>97</v>
      </c>
      <c r="E679" s="18">
        <v>12206875.59</v>
      </c>
      <c r="F679" s="18">
        <v>0</v>
      </c>
      <c r="G679" s="18">
        <v>0</v>
      </c>
      <c r="H679" s="18">
        <v>12206875.59</v>
      </c>
      <c r="L679" s="20" t="str">
        <f t="shared" si="20"/>
        <v>Asset</v>
      </c>
      <c r="M679" s="20" t="str">
        <f t="shared" si="21"/>
        <v>okay</v>
      </c>
    </row>
    <row r="680" spans="1:13">
      <c r="A680" s="18" t="s">
        <v>22</v>
      </c>
      <c r="B680" s="18" t="s">
        <v>365</v>
      </c>
      <c r="C680" s="18" t="s">
        <v>235</v>
      </c>
      <c r="D680" s="18" t="s">
        <v>105</v>
      </c>
      <c r="E680" s="18">
        <v>3799766.78</v>
      </c>
      <c r="F680" s="18">
        <v>178332.54</v>
      </c>
      <c r="G680" s="18">
        <v>0</v>
      </c>
      <c r="H680" s="18">
        <v>3978099.32</v>
      </c>
      <c r="L680" s="20" t="str">
        <f t="shared" si="20"/>
        <v>Asset</v>
      </c>
      <c r="M680" s="20" t="str">
        <f t="shared" si="21"/>
        <v>okay</v>
      </c>
    </row>
    <row r="681" spans="1:13">
      <c r="A681" s="18" t="s">
        <v>22</v>
      </c>
      <c r="B681" s="18" t="s">
        <v>365</v>
      </c>
      <c r="C681" s="18" t="s">
        <v>235</v>
      </c>
      <c r="D681" s="18" t="s">
        <v>108</v>
      </c>
      <c r="E681" s="18">
        <v>0</v>
      </c>
      <c r="F681" s="18">
        <v>0</v>
      </c>
      <c r="G681" s="18">
        <v>0</v>
      </c>
      <c r="H681" s="18">
        <v>0</v>
      </c>
      <c r="L681" s="20" t="str">
        <f t="shared" si="20"/>
        <v>Asset</v>
      </c>
      <c r="M681" s="20" t="str">
        <f t="shared" si="21"/>
        <v>okay</v>
      </c>
    </row>
    <row r="682" spans="1:13">
      <c r="A682" s="18" t="s">
        <v>22</v>
      </c>
      <c r="B682" s="18" t="s">
        <v>365</v>
      </c>
      <c r="C682" s="18" t="s">
        <v>235</v>
      </c>
      <c r="D682" s="18" t="s">
        <v>116</v>
      </c>
      <c r="E682" s="18">
        <v>-152.16999999999999</v>
      </c>
      <c r="F682" s="18">
        <v>0</v>
      </c>
      <c r="G682" s="18">
        <v>0</v>
      </c>
      <c r="H682" s="18">
        <v>-152.16999999999999</v>
      </c>
      <c r="L682" s="20" t="str">
        <f t="shared" si="20"/>
        <v>N/A</v>
      </c>
      <c r="M682" s="20" t="str">
        <f t="shared" si="21"/>
        <v>N/A</v>
      </c>
    </row>
    <row r="683" spans="1:13">
      <c r="A683" s="18" t="s">
        <v>22</v>
      </c>
      <c r="B683" s="18" t="s">
        <v>365</v>
      </c>
      <c r="C683" s="18" t="s">
        <v>235</v>
      </c>
      <c r="D683" s="18" t="s">
        <v>121</v>
      </c>
      <c r="E683" s="18">
        <v>-333.86</v>
      </c>
      <c r="F683" s="18">
        <v>222.56</v>
      </c>
      <c r="G683" s="18">
        <v>55.64</v>
      </c>
      <c r="H683" s="18">
        <v>-166.94</v>
      </c>
      <c r="L683" s="20" t="str">
        <f t="shared" si="20"/>
        <v>N/A</v>
      </c>
      <c r="M683" s="20" t="str">
        <f t="shared" si="21"/>
        <v>N/A</v>
      </c>
    </row>
    <row r="684" spans="1:13">
      <c r="A684" s="18" t="s">
        <v>22</v>
      </c>
      <c r="B684" s="18" t="s">
        <v>365</v>
      </c>
      <c r="C684" s="18" t="s">
        <v>235</v>
      </c>
      <c r="D684" s="18" t="s">
        <v>124</v>
      </c>
      <c r="E684" s="18">
        <v>-68.2</v>
      </c>
      <c r="F684" s="18">
        <v>0</v>
      </c>
      <c r="G684" s="18">
        <v>42.44</v>
      </c>
      <c r="H684" s="18">
        <v>-110.64</v>
      </c>
      <c r="L684" s="20" t="str">
        <f t="shared" si="20"/>
        <v>N/A</v>
      </c>
      <c r="M684" s="20" t="str">
        <f t="shared" si="21"/>
        <v>N/A</v>
      </c>
    </row>
    <row r="685" spans="1:13">
      <c r="A685" s="18" t="s">
        <v>22</v>
      </c>
      <c r="B685" s="18" t="s">
        <v>365</v>
      </c>
      <c r="C685" s="18" t="s">
        <v>235</v>
      </c>
      <c r="D685" s="18" t="s">
        <v>127</v>
      </c>
      <c r="E685" s="18">
        <v>0</v>
      </c>
      <c r="F685" s="18">
        <v>0</v>
      </c>
      <c r="G685" s="18">
        <v>0</v>
      </c>
      <c r="H685" s="18">
        <v>0</v>
      </c>
      <c r="L685" s="20" t="str">
        <f t="shared" si="20"/>
        <v>N/A</v>
      </c>
      <c r="M685" s="20" t="str">
        <f t="shared" si="21"/>
        <v>N/A</v>
      </c>
    </row>
    <row r="686" spans="1:13">
      <c r="A686" s="18" t="s">
        <v>22</v>
      </c>
      <c r="B686" s="18" t="s">
        <v>365</v>
      </c>
      <c r="C686" s="18" t="s">
        <v>235</v>
      </c>
      <c r="D686" s="18" t="s">
        <v>95</v>
      </c>
      <c r="E686" s="18">
        <v>-16.649999999999999</v>
      </c>
      <c r="F686" s="18">
        <v>4.1500000000000004</v>
      </c>
      <c r="G686" s="18">
        <v>12.46</v>
      </c>
      <c r="H686" s="18">
        <v>-24.96</v>
      </c>
      <c r="L686" s="20" t="str">
        <f t="shared" si="20"/>
        <v>N/A</v>
      </c>
      <c r="M686" s="20" t="str">
        <f t="shared" si="21"/>
        <v>N/A</v>
      </c>
    </row>
    <row r="687" spans="1:13">
      <c r="A687" s="18" t="s">
        <v>22</v>
      </c>
      <c r="B687" s="18" t="s">
        <v>365</v>
      </c>
      <c r="C687" s="18" t="s">
        <v>235</v>
      </c>
      <c r="D687" s="18" t="s">
        <v>132</v>
      </c>
      <c r="E687" s="18">
        <v>0</v>
      </c>
      <c r="F687" s="18">
        <v>0</v>
      </c>
      <c r="G687" s="18">
        <v>0</v>
      </c>
      <c r="H687" s="18">
        <v>0</v>
      </c>
      <c r="L687" s="20" t="str">
        <f t="shared" si="20"/>
        <v>N/A</v>
      </c>
      <c r="M687" s="20" t="str">
        <f t="shared" si="21"/>
        <v>N/A</v>
      </c>
    </row>
    <row r="688" spans="1:13">
      <c r="A688" s="18" t="s">
        <v>22</v>
      </c>
      <c r="B688" s="18" t="s">
        <v>365</v>
      </c>
      <c r="C688" s="18" t="s">
        <v>235</v>
      </c>
      <c r="D688" s="18" t="s">
        <v>135</v>
      </c>
      <c r="E688" s="18">
        <v>-14814814.82</v>
      </c>
      <c r="F688" s="18">
        <v>0</v>
      </c>
      <c r="G688" s="18">
        <v>0</v>
      </c>
      <c r="H688" s="18">
        <v>-14814814.82</v>
      </c>
      <c r="L688" s="20" t="str">
        <f t="shared" si="20"/>
        <v>N/A</v>
      </c>
      <c r="M688" s="20" t="str">
        <f t="shared" si="21"/>
        <v>N/A</v>
      </c>
    </row>
    <row r="689" spans="1:13">
      <c r="A689" s="18" t="s">
        <v>22</v>
      </c>
      <c r="B689" s="18" t="s">
        <v>365</v>
      </c>
      <c r="C689" s="18" t="s">
        <v>235</v>
      </c>
      <c r="D689" s="18" t="s">
        <v>140</v>
      </c>
      <c r="E689" s="18">
        <v>-35434.639999999999</v>
      </c>
      <c r="F689" s="18">
        <v>0</v>
      </c>
      <c r="G689" s="18">
        <v>24913.49</v>
      </c>
      <c r="H689" s="18">
        <v>-60348.13</v>
      </c>
      <c r="L689" s="20" t="str">
        <f t="shared" si="20"/>
        <v>N/A</v>
      </c>
      <c r="M689" s="20" t="str">
        <f t="shared" si="21"/>
        <v>N/A</v>
      </c>
    </row>
    <row r="690" spans="1:13">
      <c r="A690" s="18" t="s">
        <v>22</v>
      </c>
      <c r="B690" s="18" t="s">
        <v>365</v>
      </c>
      <c r="C690" s="18" t="s">
        <v>235</v>
      </c>
      <c r="D690" s="18" t="s">
        <v>143</v>
      </c>
      <c r="E690" s="18">
        <v>2607939.23</v>
      </c>
      <c r="F690" s="18">
        <v>0</v>
      </c>
      <c r="G690" s="18">
        <v>0</v>
      </c>
      <c r="H690" s="18">
        <v>2607939.23</v>
      </c>
      <c r="L690" s="20" t="str">
        <f t="shared" si="20"/>
        <v>N/A</v>
      </c>
      <c r="M690" s="20" t="str">
        <f t="shared" si="21"/>
        <v>N/A</v>
      </c>
    </row>
    <row r="691" spans="1:13">
      <c r="A691" s="18" t="s">
        <v>22</v>
      </c>
      <c r="B691" s="18" t="s">
        <v>365</v>
      </c>
      <c r="C691" s="18" t="s">
        <v>235</v>
      </c>
      <c r="D691" s="18" t="s">
        <v>146</v>
      </c>
      <c r="E691" s="18">
        <v>330473.73</v>
      </c>
      <c r="F691" s="18">
        <v>0</v>
      </c>
      <c r="G691" s="18">
        <v>0</v>
      </c>
      <c r="H691" s="18">
        <v>330473.73</v>
      </c>
      <c r="L691" s="20" t="str">
        <f t="shared" si="20"/>
        <v>N/A</v>
      </c>
      <c r="M691" s="20" t="str">
        <f t="shared" si="21"/>
        <v>N/A</v>
      </c>
    </row>
    <row r="692" spans="1:13">
      <c r="A692" s="18" t="s">
        <v>22</v>
      </c>
      <c r="B692" s="18" t="s">
        <v>365</v>
      </c>
      <c r="C692" s="18" t="s">
        <v>235</v>
      </c>
      <c r="D692" s="18" t="s">
        <v>147</v>
      </c>
      <c r="E692" s="18">
        <v>-2881273.8</v>
      </c>
      <c r="F692" s="18">
        <v>0</v>
      </c>
      <c r="G692" s="18">
        <v>0</v>
      </c>
      <c r="H692" s="18">
        <v>-2881273.8</v>
      </c>
      <c r="L692" s="20" t="str">
        <f t="shared" si="20"/>
        <v>N/A</v>
      </c>
      <c r="M692" s="20" t="str">
        <f t="shared" si="21"/>
        <v>N/A</v>
      </c>
    </row>
    <row r="693" spans="1:13">
      <c r="A693" s="18" t="s">
        <v>22</v>
      </c>
      <c r="B693" s="18" t="s">
        <v>365</v>
      </c>
      <c r="C693" s="18" t="s">
        <v>235</v>
      </c>
      <c r="D693" s="18" t="s">
        <v>153</v>
      </c>
      <c r="E693" s="18">
        <v>0</v>
      </c>
      <c r="F693" s="18">
        <v>0</v>
      </c>
      <c r="G693" s="18">
        <v>0</v>
      </c>
      <c r="H693" s="18">
        <v>0</v>
      </c>
      <c r="L693" s="20" t="str">
        <f t="shared" si="20"/>
        <v>N/A</v>
      </c>
      <c r="M693" s="20" t="str">
        <f t="shared" si="21"/>
        <v>N/A</v>
      </c>
    </row>
    <row r="694" spans="1:13">
      <c r="A694" s="18" t="s">
        <v>22</v>
      </c>
      <c r="B694" s="18" t="s">
        <v>365</v>
      </c>
      <c r="C694" s="18" t="s">
        <v>235</v>
      </c>
      <c r="D694" s="18" t="s">
        <v>155</v>
      </c>
      <c r="E694" s="18">
        <v>0</v>
      </c>
      <c r="F694" s="18">
        <v>0</v>
      </c>
      <c r="G694" s="18">
        <v>0</v>
      </c>
      <c r="H694" s="18">
        <v>0</v>
      </c>
      <c r="L694" s="20" t="str">
        <f t="shared" si="20"/>
        <v>N/A</v>
      </c>
      <c r="M694" s="20" t="str">
        <f t="shared" si="21"/>
        <v>N/A</v>
      </c>
    </row>
    <row r="695" spans="1:13">
      <c r="A695" s="18" t="s">
        <v>22</v>
      </c>
      <c r="B695" s="18" t="s">
        <v>365</v>
      </c>
      <c r="C695" s="18" t="s">
        <v>235</v>
      </c>
      <c r="D695" s="18" t="s">
        <v>156</v>
      </c>
      <c r="E695" s="18">
        <v>-130.5</v>
      </c>
      <c r="F695" s="18">
        <v>0</v>
      </c>
      <c r="G695" s="18">
        <v>3.78</v>
      </c>
      <c r="H695" s="18">
        <v>-134.28</v>
      </c>
      <c r="L695" s="20" t="str">
        <f t="shared" si="20"/>
        <v>N/A</v>
      </c>
      <c r="M695" s="20" t="str">
        <f t="shared" si="21"/>
        <v>N/A</v>
      </c>
    </row>
    <row r="696" spans="1:13">
      <c r="A696" s="18" t="s">
        <v>22</v>
      </c>
      <c r="B696" s="18" t="s">
        <v>365</v>
      </c>
      <c r="C696" s="18" t="s">
        <v>235</v>
      </c>
      <c r="D696" s="18" t="s">
        <v>157</v>
      </c>
      <c r="E696" s="18">
        <v>-1223111.3999999999</v>
      </c>
      <c r="F696" s="18">
        <v>0</v>
      </c>
      <c r="G696" s="18">
        <v>178332.54</v>
      </c>
      <c r="H696" s="18">
        <v>-1401443.94</v>
      </c>
      <c r="L696" s="20" t="str">
        <f t="shared" si="20"/>
        <v>N/A</v>
      </c>
      <c r="M696" s="20" t="str">
        <f t="shared" si="21"/>
        <v>N/A</v>
      </c>
    </row>
    <row r="697" spans="1:13">
      <c r="A697" s="18" t="s">
        <v>22</v>
      </c>
      <c r="B697" s="18" t="s">
        <v>365</v>
      </c>
      <c r="C697" s="18" t="s">
        <v>235</v>
      </c>
      <c r="D697" s="18" t="s">
        <v>145</v>
      </c>
      <c r="E697" s="18">
        <v>0</v>
      </c>
      <c r="F697" s="18">
        <v>855.82</v>
      </c>
      <c r="G697" s="18">
        <v>0</v>
      </c>
      <c r="H697" s="18">
        <v>855.82</v>
      </c>
      <c r="L697" s="20" t="str">
        <f t="shared" si="20"/>
        <v>N/A</v>
      </c>
      <c r="M697" s="20" t="str">
        <f t="shared" si="21"/>
        <v>N/A</v>
      </c>
    </row>
    <row r="698" spans="1:13">
      <c r="A698" s="18" t="s">
        <v>22</v>
      </c>
      <c r="B698" s="18" t="s">
        <v>365</v>
      </c>
      <c r="C698" s="18" t="s">
        <v>235</v>
      </c>
      <c r="D698" s="18" t="s">
        <v>96</v>
      </c>
      <c r="E698" s="18">
        <v>24.92</v>
      </c>
      <c r="F698" s="18">
        <v>12.46</v>
      </c>
      <c r="G698" s="18">
        <v>0</v>
      </c>
      <c r="H698" s="18">
        <v>37.380000000000003</v>
      </c>
      <c r="L698" s="20" t="str">
        <f t="shared" si="20"/>
        <v>N/A</v>
      </c>
      <c r="M698" s="20" t="str">
        <f t="shared" si="21"/>
        <v>N/A</v>
      </c>
    </row>
    <row r="699" spans="1:13">
      <c r="A699" s="18" t="s">
        <v>22</v>
      </c>
      <c r="B699" s="18" t="s">
        <v>365</v>
      </c>
      <c r="C699" s="18" t="s">
        <v>235</v>
      </c>
      <c r="D699" s="18" t="s">
        <v>104</v>
      </c>
      <c r="E699" s="18">
        <v>56.88</v>
      </c>
      <c r="F699" s="18">
        <v>113.79</v>
      </c>
      <c r="G699" s="18">
        <v>0</v>
      </c>
      <c r="H699" s="18">
        <v>170.67</v>
      </c>
      <c r="L699" s="20" t="str">
        <f t="shared" si="20"/>
        <v>N/A</v>
      </c>
      <c r="M699" s="20" t="str">
        <f t="shared" si="21"/>
        <v>N/A</v>
      </c>
    </row>
    <row r="700" spans="1:13">
      <c r="A700" s="18" t="s">
        <v>22</v>
      </c>
      <c r="B700" s="18" t="s">
        <v>365</v>
      </c>
      <c r="C700" s="18" t="s">
        <v>235</v>
      </c>
      <c r="D700" s="18" t="s">
        <v>359</v>
      </c>
      <c r="E700" s="18">
        <v>2683.74</v>
      </c>
      <c r="F700" s="18">
        <v>25.41</v>
      </c>
      <c r="G700" s="18">
        <v>0</v>
      </c>
      <c r="H700" s="18">
        <v>2709.15</v>
      </c>
      <c r="L700" s="20" t="str">
        <f t="shared" si="20"/>
        <v>N/A</v>
      </c>
      <c r="M700" s="20" t="str">
        <f t="shared" si="21"/>
        <v>N/A</v>
      </c>
    </row>
    <row r="701" spans="1:13">
      <c r="A701" s="18" t="s">
        <v>22</v>
      </c>
      <c r="B701" s="18" t="s">
        <v>365</v>
      </c>
      <c r="C701" s="18" t="s">
        <v>235</v>
      </c>
      <c r="D701" s="18" t="s">
        <v>113</v>
      </c>
      <c r="E701" s="18">
        <v>3653.05</v>
      </c>
      <c r="F701" s="18">
        <v>1000.48</v>
      </c>
      <c r="G701" s="18">
        <v>0</v>
      </c>
      <c r="H701" s="18">
        <v>4653.53</v>
      </c>
      <c r="L701" s="20" t="str">
        <f t="shared" si="20"/>
        <v>N/A</v>
      </c>
      <c r="M701" s="20" t="str">
        <f t="shared" si="21"/>
        <v>N/A</v>
      </c>
    </row>
    <row r="702" spans="1:13">
      <c r="A702" s="18" t="s">
        <v>22</v>
      </c>
      <c r="B702" s="18" t="s">
        <v>365</v>
      </c>
      <c r="C702" s="18" t="s">
        <v>235</v>
      </c>
      <c r="D702" s="18" t="s">
        <v>150</v>
      </c>
      <c r="E702" s="18">
        <v>1137.8</v>
      </c>
      <c r="F702" s="18">
        <v>68.7</v>
      </c>
      <c r="G702" s="18">
        <v>0</v>
      </c>
      <c r="H702" s="18">
        <v>1206.5</v>
      </c>
      <c r="L702" s="20" t="str">
        <f t="shared" si="20"/>
        <v>N/A</v>
      </c>
      <c r="M702" s="20" t="str">
        <f t="shared" si="21"/>
        <v>N/A</v>
      </c>
    </row>
    <row r="703" spans="1:13">
      <c r="A703" s="18" t="s">
        <v>22</v>
      </c>
      <c r="B703" s="18" t="s">
        <v>365</v>
      </c>
      <c r="C703" s="18" t="s">
        <v>235</v>
      </c>
      <c r="D703" s="18" t="s">
        <v>120</v>
      </c>
      <c r="E703" s="18">
        <v>1.71</v>
      </c>
      <c r="F703" s="18">
        <v>0</v>
      </c>
      <c r="G703" s="18">
        <v>0</v>
      </c>
      <c r="H703" s="18">
        <v>1.71</v>
      </c>
      <c r="L703" s="20" t="str">
        <f t="shared" si="20"/>
        <v>N/A</v>
      </c>
      <c r="M703" s="20" t="str">
        <f t="shared" si="21"/>
        <v>N/A</v>
      </c>
    </row>
    <row r="704" spans="1:13">
      <c r="A704" s="18" t="s">
        <v>22</v>
      </c>
      <c r="B704" s="18" t="s">
        <v>365</v>
      </c>
      <c r="C704" s="18" t="s">
        <v>235</v>
      </c>
      <c r="D704" s="18" t="s">
        <v>123</v>
      </c>
      <c r="E704" s="18">
        <v>1065.57</v>
      </c>
      <c r="F704" s="18">
        <v>542.30999999999995</v>
      </c>
      <c r="G704" s="18">
        <v>0</v>
      </c>
      <c r="H704" s="18">
        <v>1607.88</v>
      </c>
      <c r="L704" s="20" t="str">
        <f t="shared" si="20"/>
        <v>N/A</v>
      </c>
      <c r="M704" s="20" t="str">
        <f t="shared" si="21"/>
        <v>N/A</v>
      </c>
    </row>
    <row r="705" spans="1:13">
      <c r="A705" s="18" t="s">
        <v>22</v>
      </c>
      <c r="B705" s="18" t="s">
        <v>365</v>
      </c>
      <c r="C705" s="18" t="s">
        <v>235</v>
      </c>
      <c r="D705" s="18" t="s">
        <v>126</v>
      </c>
      <c r="E705" s="18">
        <v>158.61000000000001</v>
      </c>
      <c r="F705" s="18">
        <v>30.57</v>
      </c>
      <c r="G705" s="18">
        <v>0</v>
      </c>
      <c r="H705" s="18">
        <v>189.18</v>
      </c>
      <c r="L705" s="20" t="str">
        <f t="shared" si="20"/>
        <v>N/A</v>
      </c>
      <c r="M705" s="20" t="str">
        <f t="shared" si="21"/>
        <v>N/A</v>
      </c>
    </row>
    <row r="706" spans="1:13">
      <c r="A706" s="18" t="s">
        <v>22</v>
      </c>
      <c r="B706" s="18" t="s">
        <v>365</v>
      </c>
      <c r="C706" s="18" t="s">
        <v>235</v>
      </c>
      <c r="D706" s="18" t="s">
        <v>129</v>
      </c>
      <c r="E706" s="18">
        <v>148.13</v>
      </c>
      <c r="F706" s="18">
        <v>42.15</v>
      </c>
      <c r="G706" s="18">
        <v>0</v>
      </c>
      <c r="H706" s="18">
        <v>190.28</v>
      </c>
      <c r="L706" s="20" t="str">
        <f t="shared" si="20"/>
        <v>N/A</v>
      </c>
      <c r="M706" s="20" t="str">
        <f t="shared" si="21"/>
        <v>N/A</v>
      </c>
    </row>
    <row r="707" spans="1:13">
      <c r="A707" s="18" t="s">
        <v>22</v>
      </c>
      <c r="B707" s="18" t="s">
        <v>365</v>
      </c>
      <c r="C707" s="18" t="s">
        <v>235</v>
      </c>
      <c r="D707" s="18" t="s">
        <v>131</v>
      </c>
      <c r="E707" s="18">
        <v>376.23</v>
      </c>
      <c r="F707" s="18">
        <v>268.54000000000002</v>
      </c>
      <c r="G707" s="18">
        <v>0</v>
      </c>
      <c r="H707" s="18">
        <v>644.77</v>
      </c>
      <c r="L707" s="20" t="str">
        <f t="shared" ref="L707:L770" si="22">+IF(LEFT(D707,1)="1","Asset","N/A")</f>
        <v>N/A</v>
      </c>
      <c r="M707" s="20" t="str">
        <f t="shared" ref="M707:M770" si="23">+IF(L707="asset",IF(H707&lt;0,"Provide Comment","okay"),"N/A")</f>
        <v>N/A</v>
      </c>
    </row>
    <row r="708" spans="1:13">
      <c r="A708" s="18" t="s">
        <v>22</v>
      </c>
      <c r="B708" s="18" t="s">
        <v>365</v>
      </c>
      <c r="C708" s="18" t="s">
        <v>235</v>
      </c>
      <c r="D708" s="18" t="s">
        <v>162</v>
      </c>
      <c r="E708" s="18">
        <v>0</v>
      </c>
      <c r="F708" s="18">
        <v>0</v>
      </c>
      <c r="G708" s="18">
        <v>0</v>
      </c>
      <c r="H708" s="18">
        <v>0</v>
      </c>
      <c r="L708" s="20" t="str">
        <f t="shared" si="22"/>
        <v>N/A</v>
      </c>
      <c r="M708" s="20" t="str">
        <f t="shared" si="23"/>
        <v>N/A</v>
      </c>
    </row>
    <row r="709" spans="1:13">
      <c r="A709" s="18" t="s">
        <v>22</v>
      </c>
      <c r="B709" s="18" t="s">
        <v>365</v>
      </c>
      <c r="C709" s="18" t="s">
        <v>235</v>
      </c>
      <c r="D709" s="18" t="s">
        <v>134</v>
      </c>
      <c r="E709" s="18">
        <v>26.99</v>
      </c>
      <c r="F709" s="18">
        <v>33.729999999999997</v>
      </c>
      <c r="G709" s="18">
        <v>0</v>
      </c>
      <c r="H709" s="18">
        <v>60.72</v>
      </c>
      <c r="L709" s="20" t="str">
        <f t="shared" si="22"/>
        <v>N/A</v>
      </c>
      <c r="M709" s="20" t="str">
        <f t="shared" si="23"/>
        <v>N/A</v>
      </c>
    </row>
    <row r="710" spans="1:13">
      <c r="A710" s="18" t="s">
        <v>22</v>
      </c>
      <c r="B710" s="18" t="s">
        <v>365</v>
      </c>
      <c r="C710" s="18" t="s">
        <v>235</v>
      </c>
      <c r="D710" s="18" t="s">
        <v>139</v>
      </c>
      <c r="E710" s="18">
        <v>111.28</v>
      </c>
      <c r="F710" s="18">
        <v>55.64</v>
      </c>
      <c r="G710" s="18">
        <v>0</v>
      </c>
      <c r="H710" s="18">
        <v>166.92</v>
      </c>
      <c r="L710" s="20" t="str">
        <f t="shared" si="22"/>
        <v>N/A</v>
      </c>
      <c r="M710" s="20" t="str">
        <f t="shared" si="23"/>
        <v>N/A</v>
      </c>
    </row>
    <row r="711" spans="1:13">
      <c r="A711" s="18" t="s">
        <v>22</v>
      </c>
      <c r="B711" s="18" t="s">
        <v>365</v>
      </c>
      <c r="C711" s="18" t="s">
        <v>235</v>
      </c>
      <c r="D711" s="18" t="s">
        <v>142</v>
      </c>
      <c r="E711" s="18">
        <v>92</v>
      </c>
      <c r="F711" s="18">
        <v>54.34</v>
      </c>
      <c r="G711" s="18">
        <v>0</v>
      </c>
      <c r="H711" s="18">
        <v>146.34</v>
      </c>
      <c r="L711" s="20" t="str">
        <f t="shared" si="22"/>
        <v>N/A</v>
      </c>
      <c r="M711" s="20" t="str">
        <f t="shared" si="23"/>
        <v>N/A</v>
      </c>
    </row>
    <row r="712" spans="1:13">
      <c r="A712" s="18" t="s">
        <v>22</v>
      </c>
      <c r="B712" s="18" t="s">
        <v>365</v>
      </c>
      <c r="C712" s="18" t="s">
        <v>235</v>
      </c>
      <c r="D712" s="18" t="s">
        <v>163</v>
      </c>
      <c r="E712" s="18">
        <v>0</v>
      </c>
      <c r="F712" s="18">
        <v>0</v>
      </c>
      <c r="G712" s="18">
        <v>0</v>
      </c>
      <c r="H712" s="18">
        <v>0</v>
      </c>
      <c r="L712" s="20" t="str">
        <f t="shared" si="22"/>
        <v>N/A</v>
      </c>
      <c r="M712" s="20" t="str">
        <f t="shared" si="23"/>
        <v>N/A</v>
      </c>
    </row>
    <row r="713" spans="1:13">
      <c r="A713" s="18" t="s">
        <v>22</v>
      </c>
      <c r="B713" s="18" t="s">
        <v>365</v>
      </c>
      <c r="C713" s="18" t="s">
        <v>237</v>
      </c>
      <c r="D713" s="18" t="s">
        <v>87</v>
      </c>
      <c r="E713" s="18">
        <v>251.08</v>
      </c>
      <c r="F713" s="18">
        <v>8409.58</v>
      </c>
      <c r="G713" s="18">
        <v>22976.49</v>
      </c>
      <c r="H713" s="18">
        <v>-14315.83</v>
      </c>
      <c r="L713" s="20" t="str">
        <f t="shared" si="22"/>
        <v>Asset</v>
      </c>
      <c r="M713" s="20" t="str">
        <f t="shared" si="23"/>
        <v>Provide Comment</v>
      </c>
    </row>
    <row r="714" spans="1:13">
      <c r="A714" s="18" t="s">
        <v>22</v>
      </c>
      <c r="B714" s="18" t="s">
        <v>365</v>
      </c>
      <c r="C714" s="18" t="s">
        <v>237</v>
      </c>
      <c r="D714" s="18" t="s">
        <v>97</v>
      </c>
      <c r="E714" s="18">
        <v>4119820.51</v>
      </c>
      <c r="F714" s="18">
        <v>0</v>
      </c>
      <c r="G714" s="18">
        <v>0</v>
      </c>
      <c r="H714" s="18">
        <v>4119820.51</v>
      </c>
      <c r="L714" s="20" t="str">
        <f t="shared" si="22"/>
        <v>Asset</v>
      </c>
      <c r="M714" s="20" t="str">
        <f t="shared" si="23"/>
        <v>okay</v>
      </c>
    </row>
    <row r="715" spans="1:13">
      <c r="A715" s="18" t="s">
        <v>22</v>
      </c>
      <c r="B715" s="18" t="s">
        <v>365</v>
      </c>
      <c r="C715" s="18" t="s">
        <v>237</v>
      </c>
      <c r="D715" s="18" t="s">
        <v>105</v>
      </c>
      <c r="E715" s="18">
        <v>1282421.27</v>
      </c>
      <c r="F715" s="18">
        <v>60187.23</v>
      </c>
      <c r="G715" s="18">
        <v>0</v>
      </c>
      <c r="H715" s="18">
        <v>1342608.5</v>
      </c>
      <c r="L715" s="20" t="str">
        <f t="shared" si="22"/>
        <v>Asset</v>
      </c>
      <c r="M715" s="20" t="str">
        <f t="shared" si="23"/>
        <v>okay</v>
      </c>
    </row>
    <row r="716" spans="1:13">
      <c r="A716" s="18" t="s">
        <v>22</v>
      </c>
      <c r="B716" s="18" t="s">
        <v>365</v>
      </c>
      <c r="C716" s="18" t="s">
        <v>237</v>
      </c>
      <c r="D716" s="18" t="s">
        <v>108</v>
      </c>
      <c r="E716" s="18">
        <v>0</v>
      </c>
      <c r="F716" s="18">
        <v>0</v>
      </c>
      <c r="G716" s="18">
        <v>0</v>
      </c>
      <c r="H716" s="18">
        <v>0</v>
      </c>
      <c r="L716" s="20" t="str">
        <f t="shared" si="22"/>
        <v>Asset</v>
      </c>
      <c r="M716" s="20" t="str">
        <f t="shared" si="23"/>
        <v>okay</v>
      </c>
    </row>
    <row r="717" spans="1:13">
      <c r="A717" s="18" t="s">
        <v>21</v>
      </c>
      <c r="B717" s="18" t="s">
        <v>362</v>
      </c>
      <c r="C717" s="18" t="s">
        <v>165</v>
      </c>
      <c r="D717" s="18" t="s">
        <v>74</v>
      </c>
      <c r="E717" s="18" t="s">
        <v>75</v>
      </c>
      <c r="F717" s="18" t="s">
        <v>76</v>
      </c>
      <c r="G717" s="18" t="s">
        <v>77</v>
      </c>
      <c r="H717" s="32" t="s">
        <v>78</v>
      </c>
      <c r="L717" s="20" t="str">
        <f t="shared" si="22"/>
        <v>N/A</v>
      </c>
      <c r="M717" s="20" t="str">
        <f t="shared" si="23"/>
        <v>N/A</v>
      </c>
    </row>
    <row r="718" spans="1:13">
      <c r="A718" s="18" t="s">
        <v>22</v>
      </c>
      <c r="B718" s="18" t="s">
        <v>365</v>
      </c>
      <c r="C718" s="18" t="s">
        <v>237</v>
      </c>
      <c r="D718" s="18" t="s">
        <v>116</v>
      </c>
      <c r="E718" s="18">
        <v>-51.35</v>
      </c>
      <c r="F718" s="18">
        <v>0</v>
      </c>
      <c r="G718" s="18">
        <v>0</v>
      </c>
      <c r="H718" s="18">
        <v>-51.35</v>
      </c>
      <c r="L718" s="20" t="str">
        <f t="shared" si="22"/>
        <v>N/A</v>
      </c>
      <c r="M718" s="20" t="str">
        <f t="shared" si="23"/>
        <v>N/A</v>
      </c>
    </row>
    <row r="719" spans="1:13">
      <c r="A719" s="18" t="s">
        <v>22</v>
      </c>
      <c r="B719" s="18" t="s">
        <v>365</v>
      </c>
      <c r="C719" s="18" t="s">
        <v>237</v>
      </c>
      <c r="D719" s="18" t="s">
        <v>121</v>
      </c>
      <c r="E719" s="18">
        <v>-112.68</v>
      </c>
      <c r="F719" s="18">
        <v>75.11</v>
      </c>
      <c r="G719" s="18">
        <v>18.78</v>
      </c>
      <c r="H719" s="18">
        <v>-56.35</v>
      </c>
      <c r="L719" s="20" t="str">
        <f t="shared" si="22"/>
        <v>N/A</v>
      </c>
      <c r="M719" s="20" t="str">
        <f t="shared" si="23"/>
        <v>N/A</v>
      </c>
    </row>
    <row r="720" spans="1:13">
      <c r="A720" s="18" t="s">
        <v>22</v>
      </c>
      <c r="B720" s="18" t="s">
        <v>365</v>
      </c>
      <c r="C720" s="18" t="s">
        <v>237</v>
      </c>
      <c r="D720" s="18" t="s">
        <v>124</v>
      </c>
      <c r="E720" s="18">
        <v>-23.01</v>
      </c>
      <c r="F720" s="18">
        <v>0</v>
      </c>
      <c r="G720" s="18">
        <v>14.32</v>
      </c>
      <c r="H720" s="18">
        <v>-37.33</v>
      </c>
      <c r="L720" s="20" t="str">
        <f t="shared" si="22"/>
        <v>N/A</v>
      </c>
      <c r="M720" s="20" t="str">
        <f t="shared" si="23"/>
        <v>N/A</v>
      </c>
    </row>
    <row r="721" spans="1:13">
      <c r="A721" s="18" t="s">
        <v>22</v>
      </c>
      <c r="B721" s="18" t="s">
        <v>365</v>
      </c>
      <c r="C721" s="18" t="s">
        <v>237</v>
      </c>
      <c r="D721" s="18" t="s">
        <v>127</v>
      </c>
      <c r="E721" s="18">
        <v>0</v>
      </c>
      <c r="F721" s="18">
        <v>0</v>
      </c>
      <c r="G721" s="18">
        <v>0</v>
      </c>
      <c r="H721" s="18">
        <v>0</v>
      </c>
      <c r="L721" s="20" t="str">
        <f t="shared" si="22"/>
        <v>N/A</v>
      </c>
      <c r="M721" s="20" t="str">
        <f t="shared" si="23"/>
        <v>N/A</v>
      </c>
    </row>
    <row r="722" spans="1:13">
      <c r="A722" s="18" t="s">
        <v>22</v>
      </c>
      <c r="B722" s="18" t="s">
        <v>365</v>
      </c>
      <c r="C722" s="18" t="s">
        <v>237</v>
      </c>
      <c r="D722" s="18" t="s">
        <v>95</v>
      </c>
      <c r="E722" s="18">
        <v>-5.6</v>
      </c>
      <c r="F722" s="18">
        <v>1.4</v>
      </c>
      <c r="G722" s="18">
        <v>4.2</v>
      </c>
      <c r="H722" s="18">
        <v>-8.4</v>
      </c>
      <c r="L722" s="20" t="str">
        <f t="shared" si="22"/>
        <v>N/A</v>
      </c>
      <c r="M722" s="20" t="str">
        <f t="shared" si="23"/>
        <v>N/A</v>
      </c>
    </row>
    <row r="723" spans="1:13">
      <c r="A723" s="18" t="s">
        <v>22</v>
      </c>
      <c r="B723" s="18" t="s">
        <v>365</v>
      </c>
      <c r="C723" s="18" t="s">
        <v>237</v>
      </c>
      <c r="D723" s="18" t="s">
        <v>132</v>
      </c>
      <c r="E723" s="18">
        <v>0</v>
      </c>
      <c r="F723" s="18">
        <v>0</v>
      </c>
      <c r="G723" s="18">
        <v>0</v>
      </c>
      <c r="H723" s="18">
        <v>0</v>
      </c>
      <c r="L723" s="20" t="str">
        <f t="shared" si="22"/>
        <v>N/A</v>
      </c>
      <c r="M723" s="20" t="str">
        <f t="shared" si="23"/>
        <v>N/A</v>
      </c>
    </row>
    <row r="724" spans="1:13">
      <c r="A724" s="18" t="s">
        <v>22</v>
      </c>
      <c r="B724" s="18" t="s">
        <v>365</v>
      </c>
      <c r="C724" s="18" t="s">
        <v>237</v>
      </c>
      <c r="D724" s="18" t="s">
        <v>140</v>
      </c>
      <c r="E724" s="18">
        <v>-8408.2999999999993</v>
      </c>
      <c r="F724" s="18">
        <v>0</v>
      </c>
      <c r="G724" s="18">
        <v>8408.2999999999993</v>
      </c>
      <c r="H724" s="18">
        <v>-16816.599999999999</v>
      </c>
      <c r="L724" s="20" t="str">
        <f t="shared" si="22"/>
        <v>N/A</v>
      </c>
      <c r="M724" s="20" t="str">
        <f t="shared" si="23"/>
        <v>N/A</v>
      </c>
    </row>
    <row r="725" spans="1:13">
      <c r="A725" s="18" t="s">
        <v>22</v>
      </c>
      <c r="B725" s="18" t="s">
        <v>365</v>
      </c>
      <c r="C725" s="18" t="s">
        <v>237</v>
      </c>
      <c r="D725" s="18" t="s">
        <v>147</v>
      </c>
      <c r="E725" s="18">
        <v>-695326.22</v>
      </c>
      <c r="F725" s="18">
        <v>0</v>
      </c>
      <c r="G725" s="18">
        <v>0</v>
      </c>
      <c r="H725" s="18">
        <v>-695326.22</v>
      </c>
      <c r="L725" s="20" t="str">
        <f t="shared" si="22"/>
        <v>N/A</v>
      </c>
      <c r="M725" s="20" t="str">
        <f t="shared" si="23"/>
        <v>N/A</v>
      </c>
    </row>
    <row r="726" spans="1:13">
      <c r="A726" s="18" t="s">
        <v>22</v>
      </c>
      <c r="B726" s="18" t="s">
        <v>365</v>
      </c>
      <c r="C726" s="18" t="s">
        <v>237</v>
      </c>
      <c r="D726" s="18" t="s">
        <v>151</v>
      </c>
      <c r="E726" s="18">
        <v>-4288940.22</v>
      </c>
      <c r="F726" s="18">
        <v>0</v>
      </c>
      <c r="G726" s="18">
        <v>0</v>
      </c>
      <c r="H726" s="18">
        <v>-4288940.22</v>
      </c>
      <c r="L726" s="20" t="str">
        <f t="shared" si="22"/>
        <v>N/A</v>
      </c>
      <c r="M726" s="20" t="str">
        <f t="shared" si="23"/>
        <v>N/A</v>
      </c>
    </row>
    <row r="727" spans="1:13">
      <c r="A727" s="18" t="s">
        <v>22</v>
      </c>
      <c r="B727" s="18" t="s">
        <v>365</v>
      </c>
      <c r="C727" s="18" t="s">
        <v>237</v>
      </c>
      <c r="D727" s="18" t="s">
        <v>156</v>
      </c>
      <c r="E727" s="18">
        <v>-44.04</v>
      </c>
      <c r="F727" s="18">
        <v>0</v>
      </c>
      <c r="G727" s="18">
        <v>1.28</v>
      </c>
      <c r="H727" s="18">
        <v>-45.32</v>
      </c>
      <c r="L727" s="20" t="str">
        <f t="shared" si="22"/>
        <v>N/A</v>
      </c>
      <c r="M727" s="20" t="str">
        <f t="shared" si="23"/>
        <v>N/A</v>
      </c>
    </row>
    <row r="728" spans="1:13">
      <c r="A728" s="18" t="s">
        <v>22</v>
      </c>
      <c r="B728" s="18" t="s">
        <v>365</v>
      </c>
      <c r="C728" s="18" t="s">
        <v>237</v>
      </c>
      <c r="D728" s="18" t="s">
        <v>157</v>
      </c>
      <c r="E728" s="18">
        <v>-412800.09</v>
      </c>
      <c r="F728" s="18">
        <v>0</v>
      </c>
      <c r="G728" s="18">
        <v>60187.23</v>
      </c>
      <c r="H728" s="18">
        <v>-472987.32</v>
      </c>
      <c r="L728" s="20" t="str">
        <f t="shared" si="22"/>
        <v>N/A</v>
      </c>
      <c r="M728" s="20" t="str">
        <f t="shared" si="23"/>
        <v>N/A</v>
      </c>
    </row>
    <row r="729" spans="1:13">
      <c r="A729" s="18" t="s">
        <v>22</v>
      </c>
      <c r="B729" s="18" t="s">
        <v>365</v>
      </c>
      <c r="C729" s="18" t="s">
        <v>237</v>
      </c>
      <c r="D729" s="18" t="s">
        <v>145</v>
      </c>
      <c r="E729" s="18">
        <v>0</v>
      </c>
      <c r="F729" s="18">
        <v>288.83999999999997</v>
      </c>
      <c r="G729" s="18">
        <v>0</v>
      </c>
      <c r="H729" s="18">
        <v>288.83999999999997</v>
      </c>
      <c r="L729" s="20" t="str">
        <f t="shared" si="22"/>
        <v>N/A</v>
      </c>
      <c r="M729" s="20" t="str">
        <f t="shared" si="23"/>
        <v>N/A</v>
      </c>
    </row>
    <row r="730" spans="1:13">
      <c r="A730" s="18" t="s">
        <v>22</v>
      </c>
      <c r="B730" s="18" t="s">
        <v>365</v>
      </c>
      <c r="C730" s="18" t="s">
        <v>237</v>
      </c>
      <c r="D730" s="18" t="s">
        <v>96</v>
      </c>
      <c r="E730" s="18">
        <v>8.4</v>
      </c>
      <c r="F730" s="18">
        <v>4.2</v>
      </c>
      <c r="G730" s="18">
        <v>0</v>
      </c>
      <c r="H730" s="18">
        <v>12.6</v>
      </c>
      <c r="L730" s="20" t="str">
        <f t="shared" si="22"/>
        <v>N/A</v>
      </c>
      <c r="M730" s="20" t="str">
        <f t="shared" si="23"/>
        <v>N/A</v>
      </c>
    </row>
    <row r="731" spans="1:13">
      <c r="A731" s="18" t="s">
        <v>22</v>
      </c>
      <c r="B731" s="18" t="s">
        <v>365</v>
      </c>
      <c r="C731" s="18" t="s">
        <v>237</v>
      </c>
      <c r="D731" s="18" t="s">
        <v>104</v>
      </c>
      <c r="E731" s="18">
        <v>19.2</v>
      </c>
      <c r="F731" s="18">
        <v>38.4</v>
      </c>
      <c r="G731" s="18">
        <v>0</v>
      </c>
      <c r="H731" s="18">
        <v>57.6</v>
      </c>
      <c r="L731" s="20" t="str">
        <f t="shared" si="22"/>
        <v>N/A</v>
      </c>
      <c r="M731" s="20" t="str">
        <f t="shared" si="23"/>
        <v>N/A</v>
      </c>
    </row>
    <row r="732" spans="1:13">
      <c r="A732" s="18" t="s">
        <v>22</v>
      </c>
      <c r="B732" s="18" t="s">
        <v>365</v>
      </c>
      <c r="C732" s="18" t="s">
        <v>237</v>
      </c>
      <c r="D732" s="18" t="s">
        <v>359</v>
      </c>
      <c r="E732" s="18">
        <v>905.76</v>
      </c>
      <c r="F732" s="18">
        <v>8.58</v>
      </c>
      <c r="G732" s="18">
        <v>0</v>
      </c>
      <c r="H732" s="18">
        <v>914.34</v>
      </c>
      <c r="L732" s="20" t="str">
        <f t="shared" si="22"/>
        <v>N/A</v>
      </c>
      <c r="M732" s="20" t="str">
        <f t="shared" si="23"/>
        <v>N/A</v>
      </c>
    </row>
    <row r="733" spans="1:13">
      <c r="A733" s="18" t="s">
        <v>22</v>
      </c>
      <c r="B733" s="18" t="s">
        <v>365</v>
      </c>
      <c r="C733" s="18" t="s">
        <v>237</v>
      </c>
      <c r="D733" s="18" t="s">
        <v>113</v>
      </c>
      <c r="E733" s="18">
        <v>1232.9000000000001</v>
      </c>
      <c r="F733" s="18">
        <v>337.66</v>
      </c>
      <c r="G733" s="18">
        <v>0</v>
      </c>
      <c r="H733" s="18">
        <v>1570.56</v>
      </c>
      <c r="L733" s="20" t="str">
        <f t="shared" si="22"/>
        <v>N/A</v>
      </c>
      <c r="M733" s="20" t="str">
        <f t="shared" si="23"/>
        <v>N/A</v>
      </c>
    </row>
    <row r="734" spans="1:13">
      <c r="A734" s="18" t="s">
        <v>22</v>
      </c>
      <c r="B734" s="18" t="s">
        <v>365</v>
      </c>
      <c r="C734" s="18" t="s">
        <v>237</v>
      </c>
      <c r="D734" s="18" t="s">
        <v>150</v>
      </c>
      <c r="E734" s="18">
        <v>384.01</v>
      </c>
      <c r="F734" s="18">
        <v>23.19</v>
      </c>
      <c r="G734" s="18">
        <v>0</v>
      </c>
      <c r="H734" s="18">
        <v>407.2</v>
      </c>
      <c r="L734" s="20" t="str">
        <f t="shared" si="22"/>
        <v>N/A</v>
      </c>
      <c r="M734" s="20" t="str">
        <f t="shared" si="23"/>
        <v>N/A</v>
      </c>
    </row>
    <row r="735" spans="1:13">
      <c r="A735" s="18" t="s">
        <v>22</v>
      </c>
      <c r="B735" s="18" t="s">
        <v>365</v>
      </c>
      <c r="C735" s="18" t="s">
        <v>237</v>
      </c>
      <c r="D735" s="18" t="s">
        <v>120</v>
      </c>
      <c r="E735" s="18">
        <v>0.57999999999999996</v>
      </c>
      <c r="F735" s="18">
        <v>0</v>
      </c>
      <c r="G735" s="18">
        <v>0</v>
      </c>
      <c r="H735" s="18">
        <v>0.57999999999999996</v>
      </c>
      <c r="L735" s="20" t="str">
        <f t="shared" si="22"/>
        <v>N/A</v>
      </c>
      <c r="M735" s="20" t="str">
        <f t="shared" si="23"/>
        <v>N/A</v>
      </c>
    </row>
    <row r="736" spans="1:13">
      <c r="A736" s="18" t="s">
        <v>22</v>
      </c>
      <c r="B736" s="18" t="s">
        <v>365</v>
      </c>
      <c r="C736" s="18" t="s">
        <v>237</v>
      </c>
      <c r="D736" s="18" t="s">
        <v>123</v>
      </c>
      <c r="E736" s="18">
        <v>359.63</v>
      </c>
      <c r="F736" s="18">
        <v>183.03</v>
      </c>
      <c r="G736" s="18">
        <v>0</v>
      </c>
      <c r="H736" s="18">
        <v>542.66</v>
      </c>
      <c r="L736" s="20" t="str">
        <f t="shared" si="22"/>
        <v>N/A</v>
      </c>
      <c r="M736" s="20" t="str">
        <f t="shared" si="23"/>
        <v>N/A</v>
      </c>
    </row>
    <row r="737" spans="1:13">
      <c r="A737" s="18" t="s">
        <v>22</v>
      </c>
      <c r="B737" s="18" t="s">
        <v>365</v>
      </c>
      <c r="C737" s="18" t="s">
        <v>237</v>
      </c>
      <c r="D737" s="18" t="s">
        <v>126</v>
      </c>
      <c r="E737" s="18">
        <v>53.53</v>
      </c>
      <c r="F737" s="18">
        <v>10.32</v>
      </c>
      <c r="G737" s="18">
        <v>0</v>
      </c>
      <c r="H737" s="18">
        <v>63.85</v>
      </c>
      <c r="L737" s="20" t="str">
        <f t="shared" si="22"/>
        <v>N/A</v>
      </c>
      <c r="M737" s="20" t="str">
        <f t="shared" si="23"/>
        <v>N/A</v>
      </c>
    </row>
    <row r="738" spans="1:13">
      <c r="A738" s="18" t="s">
        <v>22</v>
      </c>
      <c r="B738" s="18" t="s">
        <v>365</v>
      </c>
      <c r="C738" s="18" t="s">
        <v>237</v>
      </c>
      <c r="D738" s="18" t="s">
        <v>129</v>
      </c>
      <c r="E738" s="18">
        <v>49.99</v>
      </c>
      <c r="F738" s="18">
        <v>14.23</v>
      </c>
      <c r="G738" s="18">
        <v>0</v>
      </c>
      <c r="H738" s="18">
        <v>64.22</v>
      </c>
      <c r="L738" s="20" t="str">
        <f t="shared" si="22"/>
        <v>N/A</v>
      </c>
      <c r="M738" s="20" t="str">
        <f t="shared" si="23"/>
        <v>N/A</v>
      </c>
    </row>
    <row r="739" spans="1:13">
      <c r="A739" s="18" t="s">
        <v>22</v>
      </c>
      <c r="B739" s="18" t="s">
        <v>365</v>
      </c>
      <c r="C739" s="18" t="s">
        <v>237</v>
      </c>
      <c r="D739" s="18" t="s">
        <v>131</v>
      </c>
      <c r="E739" s="18">
        <v>126.98</v>
      </c>
      <c r="F739" s="18">
        <v>90.63</v>
      </c>
      <c r="G739" s="18">
        <v>0</v>
      </c>
      <c r="H739" s="18">
        <v>217.61</v>
      </c>
      <c r="L739" s="20" t="str">
        <f t="shared" si="22"/>
        <v>N/A</v>
      </c>
      <c r="M739" s="20" t="str">
        <f t="shared" si="23"/>
        <v>N/A</v>
      </c>
    </row>
    <row r="740" spans="1:13">
      <c r="A740" s="18" t="s">
        <v>22</v>
      </c>
      <c r="B740" s="18" t="s">
        <v>365</v>
      </c>
      <c r="C740" s="18" t="s">
        <v>237</v>
      </c>
      <c r="D740" s="18" t="s">
        <v>162</v>
      </c>
      <c r="E740" s="18">
        <v>0</v>
      </c>
      <c r="F740" s="18">
        <v>0</v>
      </c>
      <c r="G740" s="18">
        <v>0</v>
      </c>
      <c r="H740" s="18">
        <v>0</v>
      </c>
      <c r="L740" s="20" t="str">
        <f t="shared" si="22"/>
        <v>N/A</v>
      </c>
      <c r="M740" s="20" t="str">
        <f t="shared" si="23"/>
        <v>N/A</v>
      </c>
    </row>
    <row r="741" spans="1:13">
      <c r="A741" s="18" t="s">
        <v>22</v>
      </c>
      <c r="B741" s="18" t="s">
        <v>365</v>
      </c>
      <c r="C741" s="18" t="s">
        <v>237</v>
      </c>
      <c r="D741" s="18" t="s">
        <v>134</v>
      </c>
      <c r="E741" s="18">
        <v>9.1199999999999992</v>
      </c>
      <c r="F741" s="18">
        <v>11.38</v>
      </c>
      <c r="G741" s="18">
        <v>0</v>
      </c>
      <c r="H741" s="18">
        <v>20.5</v>
      </c>
      <c r="L741" s="20" t="str">
        <f t="shared" si="22"/>
        <v>N/A</v>
      </c>
      <c r="M741" s="20" t="str">
        <f t="shared" si="23"/>
        <v>N/A</v>
      </c>
    </row>
    <row r="742" spans="1:13">
      <c r="A742" s="18" t="s">
        <v>22</v>
      </c>
      <c r="B742" s="18" t="s">
        <v>365</v>
      </c>
      <c r="C742" s="18" t="s">
        <v>237</v>
      </c>
      <c r="D742" s="18" t="s">
        <v>139</v>
      </c>
      <c r="E742" s="18">
        <v>37.56</v>
      </c>
      <c r="F742" s="18">
        <v>18.78</v>
      </c>
      <c r="G742" s="18">
        <v>0</v>
      </c>
      <c r="H742" s="18">
        <v>56.34</v>
      </c>
      <c r="L742" s="20" t="str">
        <f t="shared" si="22"/>
        <v>N/A</v>
      </c>
      <c r="M742" s="20" t="str">
        <f t="shared" si="23"/>
        <v>N/A</v>
      </c>
    </row>
    <row r="743" spans="1:13">
      <c r="A743" s="18" t="s">
        <v>22</v>
      </c>
      <c r="B743" s="18" t="s">
        <v>365</v>
      </c>
      <c r="C743" s="18" t="s">
        <v>237</v>
      </c>
      <c r="D743" s="18" t="s">
        <v>142</v>
      </c>
      <c r="E743" s="18">
        <v>31.04</v>
      </c>
      <c r="F743" s="18">
        <v>18.34</v>
      </c>
      <c r="G743" s="18">
        <v>0</v>
      </c>
      <c r="H743" s="18">
        <v>49.38</v>
      </c>
      <c r="L743" s="20" t="str">
        <f t="shared" si="22"/>
        <v>N/A</v>
      </c>
      <c r="M743" s="20" t="str">
        <f t="shared" si="23"/>
        <v>N/A</v>
      </c>
    </row>
    <row r="744" spans="1:13">
      <c r="A744" s="18" t="s">
        <v>22</v>
      </c>
      <c r="B744" s="18" t="s">
        <v>365</v>
      </c>
      <c r="C744" s="18" t="s">
        <v>237</v>
      </c>
      <c r="D744" s="18" t="s">
        <v>163</v>
      </c>
      <c r="E744" s="18">
        <v>0</v>
      </c>
      <c r="F744" s="18">
        <v>0</v>
      </c>
      <c r="G744" s="18">
        <v>0</v>
      </c>
      <c r="H744" s="18">
        <v>0</v>
      </c>
      <c r="L744" s="20" t="str">
        <f t="shared" si="22"/>
        <v>N/A</v>
      </c>
      <c r="M744" s="20" t="str">
        <f t="shared" si="23"/>
        <v>N/A</v>
      </c>
    </row>
    <row r="745" spans="1:13">
      <c r="A745" s="18" t="s">
        <v>22</v>
      </c>
      <c r="B745" s="18" t="s">
        <v>365</v>
      </c>
      <c r="C745" s="18" t="s">
        <v>239</v>
      </c>
      <c r="D745" s="18" t="s">
        <v>87</v>
      </c>
      <c r="E745" s="18">
        <v>200.81</v>
      </c>
      <c r="F745" s="18">
        <v>8409.58</v>
      </c>
      <c r="G745" s="18">
        <v>9179.3799999999992</v>
      </c>
      <c r="H745" s="18">
        <v>-568.99</v>
      </c>
      <c r="L745" s="20" t="str">
        <f t="shared" si="22"/>
        <v>Asset</v>
      </c>
      <c r="M745" s="20" t="str">
        <f t="shared" si="23"/>
        <v>Provide Comment</v>
      </c>
    </row>
    <row r="746" spans="1:13">
      <c r="A746" s="18" t="s">
        <v>22</v>
      </c>
      <c r="B746" s="18" t="s">
        <v>365</v>
      </c>
      <c r="C746" s="18" t="s">
        <v>239</v>
      </c>
      <c r="D746" s="18" t="s">
        <v>97</v>
      </c>
      <c r="E746" s="18">
        <v>4119820.51</v>
      </c>
      <c r="F746" s="18">
        <v>0</v>
      </c>
      <c r="G746" s="18">
        <v>0</v>
      </c>
      <c r="H746" s="18">
        <v>4119820.51</v>
      </c>
      <c r="L746" s="20" t="str">
        <f t="shared" si="22"/>
        <v>Asset</v>
      </c>
      <c r="M746" s="20" t="str">
        <f t="shared" si="23"/>
        <v>okay</v>
      </c>
    </row>
    <row r="747" spans="1:13">
      <c r="A747" s="18" t="s">
        <v>22</v>
      </c>
      <c r="B747" s="18" t="s">
        <v>365</v>
      </c>
      <c r="C747" s="18" t="s">
        <v>239</v>
      </c>
      <c r="D747" s="18" t="s">
        <v>105</v>
      </c>
      <c r="E747" s="18">
        <v>1282421.27</v>
      </c>
      <c r="F747" s="18">
        <v>60187.23</v>
      </c>
      <c r="G747" s="18">
        <v>0</v>
      </c>
      <c r="H747" s="18">
        <v>1342608.5</v>
      </c>
      <c r="L747" s="20" t="str">
        <f t="shared" si="22"/>
        <v>Asset</v>
      </c>
      <c r="M747" s="20" t="str">
        <f t="shared" si="23"/>
        <v>okay</v>
      </c>
    </row>
    <row r="748" spans="1:13">
      <c r="A748" s="18" t="s">
        <v>22</v>
      </c>
      <c r="B748" s="18" t="s">
        <v>365</v>
      </c>
      <c r="C748" s="18" t="s">
        <v>239</v>
      </c>
      <c r="D748" s="18" t="s">
        <v>108</v>
      </c>
      <c r="E748" s="18">
        <v>0</v>
      </c>
      <c r="F748" s="18">
        <v>0</v>
      </c>
      <c r="G748" s="18">
        <v>0</v>
      </c>
      <c r="H748" s="18">
        <v>0</v>
      </c>
      <c r="L748" s="20" t="str">
        <f t="shared" si="22"/>
        <v>Asset</v>
      </c>
      <c r="M748" s="20" t="str">
        <f t="shared" si="23"/>
        <v>okay</v>
      </c>
    </row>
    <row r="749" spans="1:13">
      <c r="A749" s="18" t="s">
        <v>21</v>
      </c>
      <c r="B749" s="18" t="s">
        <v>22</v>
      </c>
      <c r="C749" s="18" t="s">
        <v>22</v>
      </c>
      <c r="D749" s="18" t="s">
        <v>22</v>
      </c>
      <c r="E749" s="18" t="s">
        <v>22</v>
      </c>
      <c r="F749" s="18" t="s">
        <v>22</v>
      </c>
      <c r="G749" s="18" t="s">
        <v>22</v>
      </c>
      <c r="H749" s="32" t="s">
        <v>22</v>
      </c>
      <c r="L749" s="20" t="str">
        <f t="shared" si="22"/>
        <v>N/A</v>
      </c>
      <c r="M749" s="20" t="str">
        <f t="shared" si="23"/>
        <v>N/A</v>
      </c>
    </row>
    <row r="750" spans="1:13">
      <c r="A750" s="18" t="s">
        <v>22</v>
      </c>
      <c r="B750" s="18" t="s">
        <v>365</v>
      </c>
      <c r="C750" s="18" t="s">
        <v>239</v>
      </c>
      <c r="D750" s="18" t="s">
        <v>116</v>
      </c>
      <c r="E750" s="18">
        <v>-51.35</v>
      </c>
      <c r="F750" s="18">
        <v>0</v>
      </c>
      <c r="G750" s="18">
        <v>0</v>
      </c>
      <c r="H750" s="18">
        <v>-51.35</v>
      </c>
      <c r="L750" s="20" t="str">
        <f t="shared" si="22"/>
        <v>N/A</v>
      </c>
      <c r="M750" s="20" t="str">
        <f t="shared" si="23"/>
        <v>N/A</v>
      </c>
    </row>
    <row r="751" spans="1:13">
      <c r="A751" s="18" t="s">
        <v>22</v>
      </c>
      <c r="B751" s="18" t="s">
        <v>365</v>
      </c>
      <c r="C751" s="18" t="s">
        <v>239</v>
      </c>
      <c r="D751" s="18" t="s">
        <v>121</v>
      </c>
      <c r="E751" s="18">
        <v>-112.68</v>
      </c>
      <c r="F751" s="18">
        <v>75.11</v>
      </c>
      <c r="G751" s="18">
        <v>18.78</v>
      </c>
      <c r="H751" s="18">
        <v>-56.35</v>
      </c>
      <c r="L751" s="20" t="str">
        <f t="shared" si="22"/>
        <v>N/A</v>
      </c>
      <c r="M751" s="20" t="str">
        <f t="shared" si="23"/>
        <v>N/A</v>
      </c>
    </row>
    <row r="752" spans="1:13">
      <c r="A752" s="18" t="s">
        <v>22</v>
      </c>
      <c r="B752" s="18" t="s">
        <v>365</v>
      </c>
      <c r="C752" s="18" t="s">
        <v>239</v>
      </c>
      <c r="D752" s="18" t="s">
        <v>124</v>
      </c>
      <c r="E752" s="18">
        <v>-23.01</v>
      </c>
      <c r="F752" s="18">
        <v>0</v>
      </c>
      <c r="G752" s="18">
        <v>14.32</v>
      </c>
      <c r="H752" s="18">
        <v>-37.33</v>
      </c>
      <c r="L752" s="20" t="str">
        <f t="shared" si="22"/>
        <v>N/A</v>
      </c>
      <c r="M752" s="20" t="str">
        <f t="shared" si="23"/>
        <v>N/A</v>
      </c>
    </row>
    <row r="753" spans="1:13">
      <c r="A753" s="18" t="s">
        <v>22</v>
      </c>
      <c r="B753" s="18" t="s">
        <v>365</v>
      </c>
      <c r="C753" s="18" t="s">
        <v>239</v>
      </c>
      <c r="D753" s="18" t="s">
        <v>127</v>
      </c>
      <c r="E753" s="18">
        <v>0</v>
      </c>
      <c r="F753" s="18">
        <v>0</v>
      </c>
      <c r="G753" s="18">
        <v>0</v>
      </c>
      <c r="H753" s="18">
        <v>0</v>
      </c>
      <c r="L753" s="20" t="str">
        <f t="shared" si="22"/>
        <v>N/A</v>
      </c>
      <c r="M753" s="20" t="str">
        <f t="shared" si="23"/>
        <v>N/A</v>
      </c>
    </row>
    <row r="754" spans="1:13">
      <c r="A754" s="18" t="s">
        <v>22</v>
      </c>
      <c r="B754" s="18" t="s">
        <v>365</v>
      </c>
      <c r="C754" s="18" t="s">
        <v>239</v>
      </c>
      <c r="D754" s="18" t="s">
        <v>95</v>
      </c>
      <c r="E754" s="18">
        <v>-5.6</v>
      </c>
      <c r="F754" s="18">
        <v>1.4</v>
      </c>
      <c r="G754" s="18">
        <v>4.2</v>
      </c>
      <c r="H754" s="18">
        <v>-8.4</v>
      </c>
      <c r="L754" s="20" t="str">
        <f t="shared" si="22"/>
        <v>N/A</v>
      </c>
      <c r="M754" s="20" t="str">
        <f t="shared" si="23"/>
        <v>N/A</v>
      </c>
    </row>
    <row r="755" spans="1:13">
      <c r="A755" s="18" t="s">
        <v>22</v>
      </c>
      <c r="B755" s="18" t="s">
        <v>365</v>
      </c>
      <c r="C755" s="18" t="s">
        <v>239</v>
      </c>
      <c r="D755" s="18" t="s">
        <v>132</v>
      </c>
      <c r="E755" s="18">
        <v>0</v>
      </c>
      <c r="F755" s="18">
        <v>0</v>
      </c>
      <c r="G755" s="18">
        <v>0</v>
      </c>
      <c r="H755" s="18">
        <v>0</v>
      </c>
      <c r="L755" s="20" t="str">
        <f t="shared" si="22"/>
        <v>N/A</v>
      </c>
      <c r="M755" s="20" t="str">
        <f t="shared" si="23"/>
        <v>N/A</v>
      </c>
    </row>
    <row r="756" spans="1:13">
      <c r="A756" s="18" t="s">
        <v>22</v>
      </c>
      <c r="B756" s="18" t="s">
        <v>365</v>
      </c>
      <c r="C756" s="18" t="s">
        <v>239</v>
      </c>
      <c r="D756" s="18" t="s">
        <v>135</v>
      </c>
      <c r="E756" s="18">
        <v>-5000000</v>
      </c>
      <c r="F756" s="18">
        <v>0</v>
      </c>
      <c r="G756" s="18">
        <v>0</v>
      </c>
      <c r="H756" s="18">
        <v>-5000000</v>
      </c>
      <c r="L756" s="20" t="str">
        <f t="shared" si="22"/>
        <v>N/A</v>
      </c>
      <c r="M756" s="20" t="str">
        <f t="shared" si="23"/>
        <v>N/A</v>
      </c>
    </row>
    <row r="757" spans="1:13">
      <c r="A757" s="18" t="s">
        <v>22</v>
      </c>
      <c r="B757" s="18" t="s">
        <v>365</v>
      </c>
      <c r="C757" s="18" t="s">
        <v>239</v>
      </c>
      <c r="D757" s="18" t="s">
        <v>140</v>
      </c>
      <c r="E757" s="18">
        <v>-11959.19</v>
      </c>
      <c r="F757" s="18">
        <v>0</v>
      </c>
      <c r="G757" s="18">
        <v>8408.2999999999993</v>
      </c>
      <c r="H757" s="18">
        <v>-20367.490000000002</v>
      </c>
      <c r="L757" s="20" t="str">
        <f t="shared" si="22"/>
        <v>N/A</v>
      </c>
      <c r="M757" s="20" t="str">
        <f t="shared" si="23"/>
        <v>N/A</v>
      </c>
    </row>
    <row r="758" spans="1:13">
      <c r="A758" s="18" t="s">
        <v>22</v>
      </c>
      <c r="B758" s="18" t="s">
        <v>365</v>
      </c>
      <c r="C758" s="18" t="s">
        <v>239</v>
      </c>
      <c r="D758" s="18" t="s">
        <v>143</v>
      </c>
      <c r="E758" s="18">
        <v>880179.49</v>
      </c>
      <c r="F758" s="18">
        <v>0</v>
      </c>
      <c r="G758" s="18">
        <v>0</v>
      </c>
      <c r="H758" s="18">
        <v>880179.49</v>
      </c>
      <c r="L758" s="20" t="str">
        <f t="shared" si="22"/>
        <v>N/A</v>
      </c>
      <c r="M758" s="20" t="str">
        <f t="shared" si="23"/>
        <v>N/A</v>
      </c>
    </row>
    <row r="759" spans="1:13">
      <c r="A759" s="18" t="s">
        <v>22</v>
      </c>
      <c r="B759" s="18" t="s">
        <v>365</v>
      </c>
      <c r="C759" s="18" t="s">
        <v>239</v>
      </c>
      <c r="D759" s="18" t="s">
        <v>146</v>
      </c>
      <c r="E759" s="18">
        <v>111534.88</v>
      </c>
      <c r="F759" s="18">
        <v>0</v>
      </c>
      <c r="G759" s="18">
        <v>0</v>
      </c>
      <c r="H759" s="18">
        <v>111534.88</v>
      </c>
      <c r="L759" s="20" t="str">
        <f t="shared" si="22"/>
        <v>N/A</v>
      </c>
      <c r="M759" s="20" t="str">
        <f t="shared" si="23"/>
        <v>N/A</v>
      </c>
    </row>
    <row r="760" spans="1:13">
      <c r="A760" s="18" t="s">
        <v>22</v>
      </c>
      <c r="B760" s="18" t="s">
        <v>365</v>
      </c>
      <c r="C760" s="18" t="s">
        <v>239</v>
      </c>
      <c r="D760" s="18" t="s">
        <v>147</v>
      </c>
      <c r="E760" s="18">
        <v>-972379.92</v>
      </c>
      <c r="F760" s="18">
        <v>0</v>
      </c>
      <c r="G760" s="18">
        <v>0</v>
      </c>
      <c r="H760" s="18">
        <v>-972379.92</v>
      </c>
      <c r="L760" s="20" t="str">
        <f t="shared" si="22"/>
        <v>N/A</v>
      </c>
      <c r="M760" s="20" t="str">
        <f t="shared" si="23"/>
        <v>N/A</v>
      </c>
    </row>
    <row r="761" spans="1:13">
      <c r="A761" s="18" t="s">
        <v>22</v>
      </c>
      <c r="B761" s="18" t="s">
        <v>365</v>
      </c>
      <c r="C761" s="18" t="s">
        <v>239</v>
      </c>
      <c r="D761" s="18" t="s">
        <v>153</v>
      </c>
      <c r="E761" s="18">
        <v>0</v>
      </c>
      <c r="F761" s="18">
        <v>0</v>
      </c>
      <c r="G761" s="18">
        <v>0</v>
      </c>
      <c r="H761" s="18">
        <v>0</v>
      </c>
      <c r="L761" s="20" t="str">
        <f t="shared" si="22"/>
        <v>N/A</v>
      </c>
      <c r="M761" s="20" t="str">
        <f t="shared" si="23"/>
        <v>N/A</v>
      </c>
    </row>
    <row r="762" spans="1:13">
      <c r="A762" s="18" t="s">
        <v>22</v>
      </c>
      <c r="B762" s="18" t="s">
        <v>365</v>
      </c>
      <c r="C762" s="18" t="s">
        <v>239</v>
      </c>
      <c r="D762" s="18" t="s">
        <v>155</v>
      </c>
      <c r="E762" s="18">
        <v>0</v>
      </c>
      <c r="F762" s="18">
        <v>0</v>
      </c>
      <c r="G762" s="18">
        <v>0</v>
      </c>
      <c r="H762" s="18">
        <v>0</v>
      </c>
      <c r="L762" s="20" t="str">
        <f t="shared" si="22"/>
        <v>N/A</v>
      </c>
      <c r="M762" s="20" t="str">
        <f t="shared" si="23"/>
        <v>N/A</v>
      </c>
    </row>
    <row r="763" spans="1:13">
      <c r="A763" s="18" t="s">
        <v>22</v>
      </c>
      <c r="B763" s="18" t="s">
        <v>365</v>
      </c>
      <c r="C763" s="18" t="s">
        <v>239</v>
      </c>
      <c r="D763" s="18" t="s">
        <v>156</v>
      </c>
      <c r="E763" s="18">
        <v>-44.04</v>
      </c>
      <c r="F763" s="18">
        <v>0</v>
      </c>
      <c r="G763" s="18">
        <v>1.28</v>
      </c>
      <c r="H763" s="18">
        <v>-45.32</v>
      </c>
      <c r="L763" s="20" t="str">
        <f t="shared" si="22"/>
        <v>N/A</v>
      </c>
      <c r="M763" s="20" t="str">
        <f t="shared" si="23"/>
        <v>N/A</v>
      </c>
    </row>
    <row r="764" spans="1:13">
      <c r="A764" s="18" t="s">
        <v>22</v>
      </c>
      <c r="B764" s="18" t="s">
        <v>365</v>
      </c>
      <c r="C764" s="18" t="s">
        <v>239</v>
      </c>
      <c r="D764" s="18" t="s">
        <v>157</v>
      </c>
      <c r="E764" s="18">
        <v>-412800.09</v>
      </c>
      <c r="F764" s="18">
        <v>0</v>
      </c>
      <c r="G764" s="18">
        <v>60187.23</v>
      </c>
      <c r="H764" s="18">
        <v>-472987.32</v>
      </c>
      <c r="L764" s="20" t="str">
        <f t="shared" si="22"/>
        <v>N/A</v>
      </c>
      <c r="M764" s="20" t="str">
        <f t="shared" si="23"/>
        <v>N/A</v>
      </c>
    </row>
    <row r="765" spans="1:13">
      <c r="A765" s="18" t="s">
        <v>22</v>
      </c>
      <c r="B765" s="18" t="s">
        <v>365</v>
      </c>
      <c r="C765" s="18" t="s">
        <v>239</v>
      </c>
      <c r="D765" s="18" t="s">
        <v>145</v>
      </c>
      <c r="E765" s="18">
        <v>0</v>
      </c>
      <c r="F765" s="18">
        <v>288.83999999999997</v>
      </c>
      <c r="G765" s="18">
        <v>0</v>
      </c>
      <c r="H765" s="18">
        <v>288.83999999999997</v>
      </c>
      <c r="L765" s="20" t="str">
        <f t="shared" si="22"/>
        <v>N/A</v>
      </c>
      <c r="M765" s="20" t="str">
        <f t="shared" si="23"/>
        <v>N/A</v>
      </c>
    </row>
    <row r="766" spans="1:13">
      <c r="A766" s="18" t="s">
        <v>22</v>
      </c>
      <c r="B766" s="18" t="s">
        <v>365</v>
      </c>
      <c r="C766" s="18" t="s">
        <v>239</v>
      </c>
      <c r="D766" s="18" t="s">
        <v>96</v>
      </c>
      <c r="E766" s="18">
        <v>8.4</v>
      </c>
      <c r="F766" s="18">
        <v>4.2</v>
      </c>
      <c r="G766" s="18">
        <v>0</v>
      </c>
      <c r="H766" s="18">
        <v>12.6</v>
      </c>
      <c r="L766" s="20" t="str">
        <f t="shared" si="22"/>
        <v>N/A</v>
      </c>
      <c r="M766" s="20" t="str">
        <f t="shared" si="23"/>
        <v>N/A</v>
      </c>
    </row>
    <row r="767" spans="1:13">
      <c r="A767" s="18" t="s">
        <v>22</v>
      </c>
      <c r="B767" s="18" t="s">
        <v>365</v>
      </c>
      <c r="C767" s="18" t="s">
        <v>239</v>
      </c>
      <c r="D767" s="18" t="s">
        <v>104</v>
      </c>
      <c r="E767" s="18">
        <v>19.2</v>
      </c>
      <c r="F767" s="18">
        <v>38.4</v>
      </c>
      <c r="G767" s="18">
        <v>0</v>
      </c>
      <c r="H767" s="18">
        <v>57.6</v>
      </c>
      <c r="L767" s="20" t="str">
        <f t="shared" si="22"/>
        <v>N/A</v>
      </c>
      <c r="M767" s="20" t="str">
        <f t="shared" si="23"/>
        <v>N/A</v>
      </c>
    </row>
    <row r="768" spans="1:13">
      <c r="A768" s="18" t="s">
        <v>22</v>
      </c>
      <c r="B768" s="18" t="s">
        <v>365</v>
      </c>
      <c r="C768" s="18" t="s">
        <v>239</v>
      </c>
      <c r="D768" s="18" t="s">
        <v>359</v>
      </c>
      <c r="E768" s="18">
        <v>905.76</v>
      </c>
      <c r="F768" s="18">
        <v>8.58</v>
      </c>
      <c r="G768" s="18">
        <v>0</v>
      </c>
      <c r="H768" s="18">
        <v>914.34</v>
      </c>
      <c r="L768" s="20" t="str">
        <f t="shared" si="22"/>
        <v>N/A</v>
      </c>
      <c r="M768" s="20" t="str">
        <f t="shared" si="23"/>
        <v>N/A</v>
      </c>
    </row>
    <row r="769" spans="1:13">
      <c r="A769" s="18" t="s">
        <v>22</v>
      </c>
      <c r="B769" s="18" t="s">
        <v>365</v>
      </c>
      <c r="C769" s="18" t="s">
        <v>239</v>
      </c>
      <c r="D769" s="18" t="s">
        <v>113</v>
      </c>
      <c r="E769" s="18">
        <v>1232.9000000000001</v>
      </c>
      <c r="F769" s="18">
        <v>337.66</v>
      </c>
      <c r="G769" s="18">
        <v>0</v>
      </c>
      <c r="H769" s="18">
        <v>1570.56</v>
      </c>
      <c r="L769" s="20" t="str">
        <f t="shared" si="22"/>
        <v>N/A</v>
      </c>
      <c r="M769" s="20" t="str">
        <f t="shared" si="23"/>
        <v>N/A</v>
      </c>
    </row>
    <row r="770" spans="1:13">
      <c r="A770" s="18" t="s">
        <v>22</v>
      </c>
      <c r="B770" s="18" t="s">
        <v>365</v>
      </c>
      <c r="C770" s="18" t="s">
        <v>239</v>
      </c>
      <c r="D770" s="18" t="s">
        <v>150</v>
      </c>
      <c r="E770" s="18">
        <v>384.01</v>
      </c>
      <c r="F770" s="18">
        <v>23.19</v>
      </c>
      <c r="G770" s="18">
        <v>0</v>
      </c>
      <c r="H770" s="18">
        <v>407.2</v>
      </c>
      <c r="L770" s="20" t="str">
        <f t="shared" si="22"/>
        <v>N/A</v>
      </c>
      <c r="M770" s="20" t="str">
        <f t="shared" si="23"/>
        <v>N/A</v>
      </c>
    </row>
    <row r="771" spans="1:13">
      <c r="A771" s="18" t="s">
        <v>22</v>
      </c>
      <c r="B771" s="18" t="s">
        <v>365</v>
      </c>
      <c r="C771" s="18" t="s">
        <v>239</v>
      </c>
      <c r="D771" s="18" t="s">
        <v>120</v>
      </c>
      <c r="E771" s="18">
        <v>0.57999999999999996</v>
      </c>
      <c r="F771" s="18">
        <v>0</v>
      </c>
      <c r="G771" s="18">
        <v>0</v>
      </c>
      <c r="H771" s="18">
        <v>0.57999999999999996</v>
      </c>
      <c r="L771" s="20" t="str">
        <f t="shared" ref="L771:L834" si="24">+IF(LEFT(D771,1)="1","Asset","N/A")</f>
        <v>N/A</v>
      </c>
      <c r="M771" s="20" t="str">
        <f t="shared" ref="M771:M834" si="25">+IF(L771="asset",IF(H771&lt;0,"Provide Comment","okay"),"N/A")</f>
        <v>N/A</v>
      </c>
    </row>
    <row r="772" spans="1:13">
      <c r="A772" s="18" t="s">
        <v>22</v>
      </c>
      <c r="B772" s="18" t="s">
        <v>365</v>
      </c>
      <c r="C772" s="18" t="s">
        <v>239</v>
      </c>
      <c r="D772" s="18" t="s">
        <v>123</v>
      </c>
      <c r="E772" s="18">
        <v>359.63</v>
      </c>
      <c r="F772" s="18">
        <v>183.03</v>
      </c>
      <c r="G772" s="18">
        <v>0</v>
      </c>
      <c r="H772" s="18">
        <v>542.66</v>
      </c>
      <c r="L772" s="20" t="str">
        <f t="shared" si="24"/>
        <v>N/A</v>
      </c>
      <c r="M772" s="20" t="str">
        <f t="shared" si="25"/>
        <v>N/A</v>
      </c>
    </row>
    <row r="773" spans="1:13">
      <c r="A773" s="18" t="s">
        <v>22</v>
      </c>
      <c r="B773" s="18" t="s">
        <v>365</v>
      </c>
      <c r="C773" s="18" t="s">
        <v>239</v>
      </c>
      <c r="D773" s="18" t="s">
        <v>126</v>
      </c>
      <c r="E773" s="18">
        <v>53.53</v>
      </c>
      <c r="F773" s="18">
        <v>10.32</v>
      </c>
      <c r="G773" s="18">
        <v>0</v>
      </c>
      <c r="H773" s="18">
        <v>63.85</v>
      </c>
      <c r="L773" s="20" t="str">
        <f t="shared" si="24"/>
        <v>N/A</v>
      </c>
      <c r="M773" s="20" t="str">
        <f t="shared" si="25"/>
        <v>N/A</v>
      </c>
    </row>
    <row r="774" spans="1:13">
      <c r="A774" s="18" t="s">
        <v>22</v>
      </c>
      <c r="B774" s="18" t="s">
        <v>365</v>
      </c>
      <c r="C774" s="18" t="s">
        <v>239</v>
      </c>
      <c r="D774" s="18" t="s">
        <v>129</v>
      </c>
      <c r="E774" s="18">
        <v>49.99</v>
      </c>
      <c r="F774" s="18">
        <v>14.23</v>
      </c>
      <c r="G774" s="18">
        <v>0</v>
      </c>
      <c r="H774" s="18">
        <v>64.22</v>
      </c>
      <c r="L774" s="20" t="str">
        <f t="shared" si="24"/>
        <v>N/A</v>
      </c>
      <c r="M774" s="20" t="str">
        <f t="shared" si="25"/>
        <v>N/A</v>
      </c>
    </row>
    <row r="775" spans="1:13">
      <c r="A775" s="18" t="s">
        <v>22</v>
      </c>
      <c r="B775" s="18" t="s">
        <v>365</v>
      </c>
      <c r="C775" s="18" t="s">
        <v>239</v>
      </c>
      <c r="D775" s="18" t="s">
        <v>131</v>
      </c>
      <c r="E775" s="18">
        <v>126.98</v>
      </c>
      <c r="F775" s="18">
        <v>90.63</v>
      </c>
      <c r="G775" s="18">
        <v>0</v>
      </c>
      <c r="H775" s="18">
        <v>217.61</v>
      </c>
      <c r="L775" s="20" t="str">
        <f t="shared" si="24"/>
        <v>N/A</v>
      </c>
      <c r="M775" s="20" t="str">
        <f t="shared" si="25"/>
        <v>N/A</v>
      </c>
    </row>
    <row r="776" spans="1:13">
      <c r="A776" s="18" t="s">
        <v>22</v>
      </c>
      <c r="B776" s="18" t="s">
        <v>365</v>
      </c>
      <c r="C776" s="18" t="s">
        <v>239</v>
      </c>
      <c r="D776" s="18" t="s">
        <v>162</v>
      </c>
      <c r="E776" s="18">
        <v>0</v>
      </c>
      <c r="F776" s="18">
        <v>0</v>
      </c>
      <c r="G776" s="18">
        <v>0</v>
      </c>
      <c r="H776" s="18">
        <v>0</v>
      </c>
      <c r="L776" s="20" t="str">
        <f t="shared" si="24"/>
        <v>N/A</v>
      </c>
      <c r="M776" s="20" t="str">
        <f t="shared" si="25"/>
        <v>N/A</v>
      </c>
    </row>
    <row r="777" spans="1:13">
      <c r="A777" s="18" t="s">
        <v>22</v>
      </c>
      <c r="B777" s="18" t="s">
        <v>365</v>
      </c>
      <c r="C777" s="18" t="s">
        <v>239</v>
      </c>
      <c r="D777" s="18" t="s">
        <v>134</v>
      </c>
      <c r="E777" s="18">
        <v>9.1199999999999992</v>
      </c>
      <c r="F777" s="18">
        <v>11.38</v>
      </c>
      <c r="G777" s="18">
        <v>0</v>
      </c>
      <c r="H777" s="18">
        <v>20.5</v>
      </c>
      <c r="L777" s="20" t="str">
        <f t="shared" si="24"/>
        <v>N/A</v>
      </c>
      <c r="M777" s="20" t="str">
        <f t="shared" si="25"/>
        <v>N/A</v>
      </c>
    </row>
    <row r="778" spans="1:13">
      <c r="A778" s="18" t="s">
        <v>22</v>
      </c>
      <c r="B778" s="18" t="s">
        <v>365</v>
      </c>
      <c r="C778" s="18" t="s">
        <v>239</v>
      </c>
      <c r="D778" s="18" t="s">
        <v>139</v>
      </c>
      <c r="E778" s="18">
        <v>37.56</v>
      </c>
      <c r="F778" s="18">
        <v>18.78</v>
      </c>
      <c r="G778" s="18">
        <v>0</v>
      </c>
      <c r="H778" s="18">
        <v>56.34</v>
      </c>
      <c r="L778" s="20" t="str">
        <f t="shared" si="24"/>
        <v>N/A</v>
      </c>
      <c r="M778" s="20" t="str">
        <f t="shared" si="25"/>
        <v>N/A</v>
      </c>
    </row>
    <row r="779" spans="1:13">
      <c r="A779" s="18" t="s">
        <v>22</v>
      </c>
      <c r="B779" s="18" t="s">
        <v>365</v>
      </c>
      <c r="C779" s="18" t="s">
        <v>239</v>
      </c>
      <c r="D779" s="18" t="s">
        <v>142</v>
      </c>
      <c r="E779" s="18">
        <v>31.04</v>
      </c>
      <c r="F779" s="18">
        <v>18.34</v>
      </c>
      <c r="G779" s="18">
        <v>0</v>
      </c>
      <c r="H779" s="18">
        <v>49.38</v>
      </c>
      <c r="L779" s="20" t="str">
        <f t="shared" si="24"/>
        <v>N/A</v>
      </c>
      <c r="M779" s="20" t="str">
        <f t="shared" si="25"/>
        <v>N/A</v>
      </c>
    </row>
    <row r="780" spans="1:13">
      <c r="A780" s="18" t="s">
        <v>22</v>
      </c>
      <c r="B780" s="18" t="s">
        <v>365</v>
      </c>
      <c r="C780" s="18" t="s">
        <v>239</v>
      </c>
      <c r="D780" s="18" t="s">
        <v>163</v>
      </c>
      <c r="E780" s="18">
        <v>0</v>
      </c>
      <c r="F780" s="18">
        <v>0</v>
      </c>
      <c r="G780" s="18">
        <v>0</v>
      </c>
      <c r="H780" s="18">
        <v>0</v>
      </c>
      <c r="L780" s="20" t="str">
        <f t="shared" si="24"/>
        <v>N/A</v>
      </c>
      <c r="M780" s="20" t="str">
        <f t="shared" si="25"/>
        <v>N/A</v>
      </c>
    </row>
    <row r="781" spans="1:13">
      <c r="A781" s="18" t="s">
        <v>22</v>
      </c>
      <c r="B781" s="18" t="s">
        <v>365</v>
      </c>
      <c r="C781" s="18" t="s">
        <v>241</v>
      </c>
      <c r="D781" s="18" t="s">
        <v>87</v>
      </c>
      <c r="E781" s="18">
        <v>74.319999999999993</v>
      </c>
      <c r="F781" s="18">
        <v>2491.7199999999998</v>
      </c>
      <c r="G781" s="18">
        <v>322.02999999999997</v>
      </c>
      <c r="H781" s="18">
        <v>2244.0100000000002</v>
      </c>
      <c r="L781" s="20" t="str">
        <f t="shared" si="24"/>
        <v>Asset</v>
      </c>
      <c r="M781" s="20" t="str">
        <f t="shared" si="25"/>
        <v>okay</v>
      </c>
    </row>
    <row r="782" spans="1:13">
      <c r="A782" s="18" t="s">
        <v>22</v>
      </c>
      <c r="B782" s="18" t="s">
        <v>365</v>
      </c>
      <c r="C782" s="18" t="s">
        <v>241</v>
      </c>
      <c r="D782" s="18" t="s">
        <v>97</v>
      </c>
      <c r="E782" s="18">
        <v>1220687.56</v>
      </c>
      <c r="F782" s="18">
        <v>0</v>
      </c>
      <c r="G782" s="18">
        <v>0</v>
      </c>
      <c r="H782" s="18">
        <v>1220687.56</v>
      </c>
      <c r="L782" s="20" t="str">
        <f t="shared" si="24"/>
        <v>Asset</v>
      </c>
      <c r="M782" s="20" t="str">
        <f t="shared" si="25"/>
        <v>okay</v>
      </c>
    </row>
    <row r="783" spans="1:13">
      <c r="A783" s="18" t="s">
        <v>22</v>
      </c>
      <c r="B783" s="18" t="s">
        <v>365</v>
      </c>
      <c r="C783" s="18" t="s">
        <v>241</v>
      </c>
      <c r="D783" s="18" t="s">
        <v>105</v>
      </c>
      <c r="E783" s="18">
        <v>379976.67</v>
      </c>
      <c r="F783" s="18">
        <v>17833.25</v>
      </c>
      <c r="G783" s="18">
        <v>0</v>
      </c>
      <c r="H783" s="18">
        <v>397809.91999999998</v>
      </c>
      <c r="L783" s="20" t="str">
        <f t="shared" si="24"/>
        <v>Asset</v>
      </c>
      <c r="M783" s="20" t="str">
        <f t="shared" si="25"/>
        <v>okay</v>
      </c>
    </row>
    <row r="784" spans="1:13">
      <c r="A784" s="18" t="s">
        <v>22</v>
      </c>
      <c r="B784" s="18" t="s">
        <v>365</v>
      </c>
      <c r="C784" s="18" t="s">
        <v>241</v>
      </c>
      <c r="D784" s="18" t="s">
        <v>108</v>
      </c>
      <c r="E784" s="18">
        <v>0</v>
      </c>
      <c r="F784" s="18">
        <v>0</v>
      </c>
      <c r="G784" s="18">
        <v>0</v>
      </c>
      <c r="H784" s="18">
        <v>0</v>
      </c>
      <c r="L784" s="20" t="str">
        <f t="shared" si="24"/>
        <v>Asset</v>
      </c>
      <c r="M784" s="20" t="str">
        <f t="shared" si="25"/>
        <v>okay</v>
      </c>
    </row>
    <row r="785" spans="1:13">
      <c r="A785" s="18" t="s">
        <v>22</v>
      </c>
      <c r="B785" s="18" t="s">
        <v>365</v>
      </c>
      <c r="C785" s="18" t="s">
        <v>241</v>
      </c>
      <c r="D785" s="18" t="s">
        <v>116</v>
      </c>
      <c r="E785" s="18">
        <v>-15.2</v>
      </c>
      <c r="F785" s="18">
        <v>0</v>
      </c>
      <c r="G785" s="18">
        <v>0</v>
      </c>
      <c r="H785" s="18">
        <v>-15.2</v>
      </c>
      <c r="L785" s="20" t="str">
        <f t="shared" si="24"/>
        <v>N/A</v>
      </c>
      <c r="M785" s="20" t="str">
        <f t="shared" si="25"/>
        <v>N/A</v>
      </c>
    </row>
    <row r="786" spans="1:13">
      <c r="A786" s="18" t="s">
        <v>22</v>
      </c>
      <c r="B786" s="18" t="s">
        <v>365</v>
      </c>
      <c r="C786" s="18" t="s">
        <v>241</v>
      </c>
      <c r="D786" s="18" t="s">
        <v>121</v>
      </c>
      <c r="E786" s="18">
        <v>-33.369999999999997</v>
      </c>
      <c r="F786" s="18">
        <v>22.26</v>
      </c>
      <c r="G786" s="18">
        <v>5.56</v>
      </c>
      <c r="H786" s="18">
        <v>-16.670000000000002</v>
      </c>
      <c r="L786" s="20" t="str">
        <f t="shared" si="24"/>
        <v>N/A</v>
      </c>
      <c r="M786" s="20" t="str">
        <f t="shared" si="25"/>
        <v>N/A</v>
      </c>
    </row>
    <row r="787" spans="1:13">
      <c r="A787" s="18" t="s">
        <v>22</v>
      </c>
      <c r="B787" s="18" t="s">
        <v>365</v>
      </c>
      <c r="C787" s="18" t="s">
        <v>241</v>
      </c>
      <c r="D787" s="18" t="s">
        <v>124</v>
      </c>
      <c r="E787" s="18">
        <v>-6.81</v>
      </c>
      <c r="F787" s="18">
        <v>0</v>
      </c>
      <c r="G787" s="18">
        <v>4.24</v>
      </c>
      <c r="H787" s="18">
        <v>-11.05</v>
      </c>
      <c r="L787" s="20" t="str">
        <f t="shared" si="24"/>
        <v>N/A</v>
      </c>
      <c r="M787" s="20" t="str">
        <f t="shared" si="25"/>
        <v>N/A</v>
      </c>
    </row>
    <row r="788" spans="1:13">
      <c r="A788" s="18" t="s">
        <v>22</v>
      </c>
      <c r="B788" s="18" t="s">
        <v>365</v>
      </c>
      <c r="C788" s="18" t="s">
        <v>241</v>
      </c>
      <c r="D788" s="18" t="s">
        <v>127</v>
      </c>
      <c r="E788" s="18">
        <v>0</v>
      </c>
      <c r="F788" s="18">
        <v>0</v>
      </c>
      <c r="G788" s="18">
        <v>0</v>
      </c>
      <c r="H788" s="18">
        <v>0</v>
      </c>
      <c r="L788" s="20" t="str">
        <f t="shared" si="24"/>
        <v>N/A</v>
      </c>
      <c r="M788" s="20" t="str">
        <f t="shared" si="25"/>
        <v>N/A</v>
      </c>
    </row>
    <row r="789" spans="1:13">
      <c r="A789" s="18" t="s">
        <v>22</v>
      </c>
      <c r="B789" s="18" t="s">
        <v>365</v>
      </c>
      <c r="C789" s="18" t="s">
        <v>241</v>
      </c>
      <c r="D789" s="18" t="s">
        <v>95</v>
      </c>
      <c r="E789" s="18">
        <v>-1.66</v>
      </c>
      <c r="F789" s="18">
        <v>0.42</v>
      </c>
      <c r="G789" s="18">
        <v>1.25</v>
      </c>
      <c r="H789" s="18">
        <v>-2.4900000000000002</v>
      </c>
      <c r="L789" s="20" t="str">
        <f t="shared" si="24"/>
        <v>N/A</v>
      </c>
      <c r="M789" s="20" t="str">
        <f t="shared" si="25"/>
        <v>N/A</v>
      </c>
    </row>
    <row r="790" spans="1:13">
      <c r="A790" s="18" t="s">
        <v>22</v>
      </c>
      <c r="B790" s="18" t="s">
        <v>365</v>
      </c>
      <c r="C790" s="18" t="s">
        <v>241</v>
      </c>
      <c r="D790" s="18" t="s">
        <v>132</v>
      </c>
      <c r="E790" s="18">
        <v>0</v>
      </c>
      <c r="F790" s="18">
        <v>0</v>
      </c>
      <c r="G790" s="18">
        <v>0</v>
      </c>
      <c r="H790" s="18">
        <v>0</v>
      </c>
      <c r="L790" s="20" t="str">
        <f t="shared" si="24"/>
        <v>N/A</v>
      </c>
      <c r="M790" s="20" t="str">
        <f t="shared" si="25"/>
        <v>N/A</v>
      </c>
    </row>
    <row r="791" spans="1:13">
      <c r="A791" s="18" t="s">
        <v>22</v>
      </c>
      <c r="B791" s="18" t="s">
        <v>365</v>
      </c>
      <c r="C791" s="18" t="s">
        <v>241</v>
      </c>
      <c r="D791" s="18" t="s">
        <v>135</v>
      </c>
      <c r="E791" s="18">
        <v>-1481481.48</v>
      </c>
      <c r="F791" s="18">
        <v>0</v>
      </c>
      <c r="G791" s="18">
        <v>0</v>
      </c>
      <c r="H791" s="18">
        <v>-1481481.48</v>
      </c>
      <c r="L791" s="20" t="str">
        <f t="shared" si="24"/>
        <v>N/A</v>
      </c>
      <c r="M791" s="20" t="str">
        <f t="shared" si="25"/>
        <v>N/A</v>
      </c>
    </row>
    <row r="792" spans="1:13">
      <c r="A792" s="18" t="s">
        <v>22</v>
      </c>
      <c r="B792" s="18" t="s">
        <v>365</v>
      </c>
      <c r="C792" s="18" t="s">
        <v>241</v>
      </c>
      <c r="D792" s="18" t="s">
        <v>140</v>
      </c>
      <c r="E792" s="18">
        <v>-3543.46</v>
      </c>
      <c r="F792" s="18">
        <v>0</v>
      </c>
      <c r="G792" s="18">
        <v>2491.35</v>
      </c>
      <c r="H792" s="18">
        <v>-6034.81</v>
      </c>
      <c r="L792" s="20" t="str">
        <f t="shared" si="24"/>
        <v>N/A</v>
      </c>
      <c r="M792" s="20" t="str">
        <f t="shared" si="25"/>
        <v>N/A</v>
      </c>
    </row>
    <row r="793" spans="1:13">
      <c r="A793" s="18" t="s">
        <v>22</v>
      </c>
      <c r="B793" s="18" t="s">
        <v>365</v>
      </c>
      <c r="C793" s="18" t="s">
        <v>241</v>
      </c>
      <c r="D793" s="18" t="s">
        <v>143</v>
      </c>
      <c r="E793" s="18">
        <v>260793.92</v>
      </c>
      <c r="F793" s="18">
        <v>0</v>
      </c>
      <c r="G793" s="18">
        <v>0</v>
      </c>
      <c r="H793" s="18">
        <v>260793.92</v>
      </c>
      <c r="L793" s="20" t="str">
        <f t="shared" si="24"/>
        <v>N/A</v>
      </c>
      <c r="M793" s="20" t="str">
        <f t="shared" si="25"/>
        <v>N/A</v>
      </c>
    </row>
    <row r="794" spans="1:13">
      <c r="A794" s="18" t="s">
        <v>22</v>
      </c>
      <c r="B794" s="18" t="s">
        <v>365</v>
      </c>
      <c r="C794" s="18" t="s">
        <v>241</v>
      </c>
      <c r="D794" s="18" t="s">
        <v>146</v>
      </c>
      <c r="E794" s="18">
        <v>33047.379999999997</v>
      </c>
      <c r="F794" s="18">
        <v>0</v>
      </c>
      <c r="G794" s="18">
        <v>0</v>
      </c>
      <c r="H794" s="18">
        <v>33047.379999999997</v>
      </c>
      <c r="L794" s="20" t="str">
        <f t="shared" si="24"/>
        <v>N/A</v>
      </c>
      <c r="M794" s="20" t="str">
        <f t="shared" si="25"/>
        <v>N/A</v>
      </c>
    </row>
    <row r="795" spans="1:13">
      <c r="A795" s="18" t="s">
        <v>22</v>
      </c>
      <c r="B795" s="18" t="s">
        <v>365</v>
      </c>
      <c r="C795" s="18" t="s">
        <v>241</v>
      </c>
      <c r="D795" s="18" t="s">
        <v>147</v>
      </c>
      <c r="E795" s="18">
        <v>-288127.38</v>
      </c>
      <c r="F795" s="18">
        <v>0</v>
      </c>
      <c r="G795" s="18">
        <v>0</v>
      </c>
      <c r="H795" s="18">
        <v>-288127.38</v>
      </c>
      <c r="L795" s="20" t="str">
        <f t="shared" si="24"/>
        <v>N/A</v>
      </c>
      <c r="M795" s="20" t="str">
        <f t="shared" si="25"/>
        <v>N/A</v>
      </c>
    </row>
    <row r="796" spans="1:13">
      <c r="A796" s="18" t="s">
        <v>22</v>
      </c>
      <c r="B796" s="18" t="s">
        <v>365</v>
      </c>
      <c r="C796" s="18" t="s">
        <v>241</v>
      </c>
      <c r="D796" s="18" t="s">
        <v>153</v>
      </c>
      <c r="E796" s="18">
        <v>0</v>
      </c>
      <c r="F796" s="18">
        <v>0</v>
      </c>
      <c r="G796" s="18">
        <v>0</v>
      </c>
      <c r="H796" s="18">
        <v>0</v>
      </c>
      <c r="L796" s="20" t="str">
        <f t="shared" si="24"/>
        <v>N/A</v>
      </c>
      <c r="M796" s="20" t="str">
        <f t="shared" si="25"/>
        <v>N/A</v>
      </c>
    </row>
    <row r="797" spans="1:13">
      <c r="A797" s="18" t="s">
        <v>22</v>
      </c>
      <c r="B797" s="18" t="s">
        <v>365</v>
      </c>
      <c r="C797" s="18" t="s">
        <v>241</v>
      </c>
      <c r="D797" s="18" t="s">
        <v>155</v>
      </c>
      <c r="E797" s="18">
        <v>0</v>
      </c>
      <c r="F797" s="18">
        <v>0</v>
      </c>
      <c r="G797" s="18">
        <v>0</v>
      </c>
      <c r="H797" s="18">
        <v>0</v>
      </c>
      <c r="L797" s="20" t="str">
        <f t="shared" si="24"/>
        <v>N/A</v>
      </c>
      <c r="M797" s="20" t="str">
        <f t="shared" si="25"/>
        <v>N/A</v>
      </c>
    </row>
    <row r="798" spans="1:13">
      <c r="A798" s="18" t="s">
        <v>22</v>
      </c>
      <c r="B798" s="18" t="s">
        <v>365</v>
      </c>
      <c r="C798" s="18" t="s">
        <v>241</v>
      </c>
      <c r="D798" s="18" t="s">
        <v>156</v>
      </c>
      <c r="E798" s="18">
        <v>-13.04</v>
      </c>
      <c r="F798" s="18">
        <v>0</v>
      </c>
      <c r="G798" s="18">
        <v>0.37</v>
      </c>
      <c r="H798" s="18">
        <v>-13.41</v>
      </c>
      <c r="L798" s="20" t="str">
        <f t="shared" si="24"/>
        <v>N/A</v>
      </c>
      <c r="M798" s="20" t="str">
        <f t="shared" si="25"/>
        <v>N/A</v>
      </c>
    </row>
    <row r="799" spans="1:13">
      <c r="A799" s="18" t="s">
        <v>22</v>
      </c>
      <c r="B799" s="18" t="s">
        <v>365</v>
      </c>
      <c r="C799" s="18" t="s">
        <v>241</v>
      </c>
      <c r="D799" s="18" t="s">
        <v>157</v>
      </c>
      <c r="E799" s="18">
        <v>-122311.15</v>
      </c>
      <c r="F799" s="18">
        <v>0</v>
      </c>
      <c r="G799" s="18">
        <v>17833.25</v>
      </c>
      <c r="H799" s="18">
        <v>-140144.4</v>
      </c>
      <c r="L799" s="20" t="str">
        <f t="shared" si="24"/>
        <v>N/A</v>
      </c>
      <c r="M799" s="20" t="str">
        <f t="shared" si="25"/>
        <v>N/A</v>
      </c>
    </row>
    <row r="800" spans="1:13">
      <c r="A800" s="18" t="s">
        <v>22</v>
      </c>
      <c r="B800" s="18" t="s">
        <v>365</v>
      </c>
      <c r="C800" s="18" t="s">
        <v>241</v>
      </c>
      <c r="D800" s="18" t="s">
        <v>145</v>
      </c>
      <c r="E800" s="18">
        <v>0</v>
      </c>
      <c r="F800" s="18">
        <v>85.58</v>
      </c>
      <c r="G800" s="18">
        <v>0</v>
      </c>
      <c r="H800" s="18">
        <v>85.58</v>
      </c>
      <c r="L800" s="20" t="str">
        <f t="shared" si="24"/>
        <v>N/A</v>
      </c>
      <c r="M800" s="20" t="str">
        <f t="shared" si="25"/>
        <v>N/A</v>
      </c>
    </row>
    <row r="801" spans="1:13">
      <c r="A801" s="18" t="s">
        <v>22</v>
      </c>
      <c r="B801" s="18" t="s">
        <v>365</v>
      </c>
      <c r="C801" s="18" t="s">
        <v>241</v>
      </c>
      <c r="D801" s="18" t="s">
        <v>96</v>
      </c>
      <c r="E801" s="18">
        <v>2.5</v>
      </c>
      <c r="F801" s="18">
        <v>1.25</v>
      </c>
      <c r="G801" s="18">
        <v>0</v>
      </c>
      <c r="H801" s="18">
        <v>3.75</v>
      </c>
      <c r="L801" s="20" t="str">
        <f t="shared" si="24"/>
        <v>N/A</v>
      </c>
      <c r="M801" s="20" t="str">
        <f t="shared" si="25"/>
        <v>N/A</v>
      </c>
    </row>
    <row r="802" spans="1:13">
      <c r="A802" s="18" t="s">
        <v>22</v>
      </c>
      <c r="B802" s="18" t="s">
        <v>365</v>
      </c>
      <c r="C802" s="18" t="s">
        <v>241</v>
      </c>
      <c r="D802" s="18" t="s">
        <v>104</v>
      </c>
      <c r="E802" s="18">
        <v>5.69</v>
      </c>
      <c r="F802" s="18">
        <v>11.38</v>
      </c>
      <c r="G802" s="18">
        <v>0</v>
      </c>
      <c r="H802" s="18">
        <v>17.07</v>
      </c>
      <c r="L802" s="20" t="str">
        <f t="shared" si="24"/>
        <v>N/A</v>
      </c>
      <c r="M802" s="20" t="str">
        <f t="shared" si="25"/>
        <v>N/A</v>
      </c>
    </row>
    <row r="803" spans="1:13">
      <c r="A803" s="18" t="s">
        <v>22</v>
      </c>
      <c r="B803" s="18" t="s">
        <v>365</v>
      </c>
      <c r="C803" s="18" t="s">
        <v>241</v>
      </c>
      <c r="D803" s="18" t="s">
        <v>359</v>
      </c>
      <c r="E803" s="18">
        <v>268.37</v>
      </c>
      <c r="F803" s="18">
        <v>2.54</v>
      </c>
      <c r="G803" s="18">
        <v>0</v>
      </c>
      <c r="H803" s="18">
        <v>270.91000000000003</v>
      </c>
      <c r="L803" s="20" t="str">
        <f t="shared" si="24"/>
        <v>N/A</v>
      </c>
      <c r="M803" s="20" t="str">
        <f t="shared" si="25"/>
        <v>N/A</v>
      </c>
    </row>
    <row r="804" spans="1:13">
      <c r="A804" s="18" t="s">
        <v>22</v>
      </c>
      <c r="B804" s="18" t="s">
        <v>365</v>
      </c>
      <c r="C804" s="18" t="s">
        <v>241</v>
      </c>
      <c r="D804" s="18" t="s">
        <v>113</v>
      </c>
      <c r="E804" s="18">
        <v>365.31</v>
      </c>
      <c r="F804" s="18">
        <v>100.05</v>
      </c>
      <c r="G804" s="18">
        <v>0</v>
      </c>
      <c r="H804" s="18">
        <v>465.36</v>
      </c>
      <c r="L804" s="20" t="str">
        <f t="shared" si="24"/>
        <v>N/A</v>
      </c>
      <c r="M804" s="20" t="str">
        <f t="shared" si="25"/>
        <v>N/A</v>
      </c>
    </row>
    <row r="805" spans="1:13">
      <c r="A805" s="18" t="s">
        <v>22</v>
      </c>
      <c r="B805" s="18" t="s">
        <v>365</v>
      </c>
      <c r="C805" s="18" t="s">
        <v>241</v>
      </c>
      <c r="D805" s="18" t="s">
        <v>150</v>
      </c>
      <c r="E805" s="18">
        <v>113.79</v>
      </c>
      <c r="F805" s="18">
        <v>6.87</v>
      </c>
      <c r="G805" s="18">
        <v>0</v>
      </c>
      <c r="H805" s="18">
        <v>120.66</v>
      </c>
      <c r="L805" s="20" t="str">
        <f t="shared" si="24"/>
        <v>N/A</v>
      </c>
      <c r="M805" s="20" t="str">
        <f t="shared" si="25"/>
        <v>N/A</v>
      </c>
    </row>
    <row r="806" spans="1:13">
      <c r="A806" s="18" t="s">
        <v>22</v>
      </c>
      <c r="B806" s="18" t="s">
        <v>365</v>
      </c>
      <c r="C806" s="18" t="s">
        <v>241</v>
      </c>
      <c r="D806" s="18" t="s">
        <v>120</v>
      </c>
      <c r="E806" s="18">
        <v>0.17</v>
      </c>
      <c r="F806" s="18">
        <v>0</v>
      </c>
      <c r="G806" s="18">
        <v>0</v>
      </c>
      <c r="H806" s="18">
        <v>0.17</v>
      </c>
      <c r="L806" s="20" t="str">
        <f t="shared" si="24"/>
        <v>N/A</v>
      </c>
      <c r="M806" s="20" t="str">
        <f t="shared" si="25"/>
        <v>N/A</v>
      </c>
    </row>
    <row r="807" spans="1:13">
      <c r="A807" s="18" t="s">
        <v>22</v>
      </c>
      <c r="B807" s="18" t="s">
        <v>365</v>
      </c>
      <c r="C807" s="18" t="s">
        <v>241</v>
      </c>
      <c r="D807" s="18" t="s">
        <v>123</v>
      </c>
      <c r="E807" s="18">
        <v>106.56</v>
      </c>
      <c r="F807" s="18">
        <v>54.23</v>
      </c>
      <c r="G807" s="18">
        <v>0</v>
      </c>
      <c r="H807" s="18">
        <v>160.79</v>
      </c>
      <c r="L807" s="20" t="str">
        <f t="shared" si="24"/>
        <v>N/A</v>
      </c>
      <c r="M807" s="20" t="str">
        <f t="shared" si="25"/>
        <v>N/A</v>
      </c>
    </row>
    <row r="808" spans="1:13">
      <c r="A808" s="18" t="s">
        <v>22</v>
      </c>
      <c r="B808" s="18" t="s">
        <v>365</v>
      </c>
      <c r="C808" s="18" t="s">
        <v>241</v>
      </c>
      <c r="D808" s="18" t="s">
        <v>126</v>
      </c>
      <c r="E808" s="18">
        <v>15.86</v>
      </c>
      <c r="F808" s="18">
        <v>3.06</v>
      </c>
      <c r="G808" s="18">
        <v>0</v>
      </c>
      <c r="H808" s="18">
        <v>18.920000000000002</v>
      </c>
      <c r="L808" s="20" t="str">
        <f t="shared" si="24"/>
        <v>N/A</v>
      </c>
      <c r="M808" s="20" t="str">
        <f t="shared" si="25"/>
        <v>N/A</v>
      </c>
    </row>
    <row r="809" spans="1:13">
      <c r="A809" s="18" t="s">
        <v>22</v>
      </c>
      <c r="B809" s="18" t="s">
        <v>365</v>
      </c>
      <c r="C809" s="18" t="s">
        <v>241</v>
      </c>
      <c r="D809" s="18" t="s">
        <v>129</v>
      </c>
      <c r="E809" s="18">
        <v>14.82</v>
      </c>
      <c r="F809" s="18">
        <v>4.22</v>
      </c>
      <c r="G809" s="18">
        <v>0</v>
      </c>
      <c r="H809" s="18">
        <v>19.04</v>
      </c>
      <c r="L809" s="20" t="str">
        <f t="shared" si="24"/>
        <v>N/A</v>
      </c>
      <c r="M809" s="20" t="str">
        <f t="shared" si="25"/>
        <v>N/A</v>
      </c>
    </row>
    <row r="810" spans="1:13">
      <c r="A810" s="18" t="s">
        <v>22</v>
      </c>
      <c r="B810" s="18" t="s">
        <v>365</v>
      </c>
      <c r="C810" s="18" t="s">
        <v>241</v>
      </c>
      <c r="D810" s="18" t="s">
        <v>131</v>
      </c>
      <c r="E810" s="18">
        <v>37.619999999999997</v>
      </c>
      <c r="F810" s="18">
        <v>26.85</v>
      </c>
      <c r="G810" s="18">
        <v>0</v>
      </c>
      <c r="H810" s="18">
        <v>64.47</v>
      </c>
      <c r="L810" s="20" t="str">
        <f t="shared" si="24"/>
        <v>N/A</v>
      </c>
      <c r="M810" s="20" t="str">
        <f t="shared" si="25"/>
        <v>N/A</v>
      </c>
    </row>
    <row r="811" spans="1:13">
      <c r="A811" s="18" t="s">
        <v>22</v>
      </c>
      <c r="B811" s="18" t="s">
        <v>365</v>
      </c>
      <c r="C811" s="18" t="s">
        <v>241</v>
      </c>
      <c r="D811" s="18" t="s">
        <v>162</v>
      </c>
      <c r="E811" s="18">
        <v>0</v>
      </c>
      <c r="F811" s="18">
        <v>0</v>
      </c>
      <c r="G811" s="18">
        <v>0</v>
      </c>
      <c r="H811" s="18">
        <v>0</v>
      </c>
      <c r="L811" s="20" t="str">
        <f t="shared" si="24"/>
        <v>N/A</v>
      </c>
      <c r="M811" s="20" t="str">
        <f t="shared" si="25"/>
        <v>N/A</v>
      </c>
    </row>
    <row r="812" spans="1:13">
      <c r="A812" s="18" t="s">
        <v>22</v>
      </c>
      <c r="B812" s="18" t="s">
        <v>365</v>
      </c>
      <c r="C812" s="18" t="s">
        <v>241</v>
      </c>
      <c r="D812" s="18" t="s">
        <v>134</v>
      </c>
      <c r="E812" s="18">
        <v>2.7</v>
      </c>
      <c r="F812" s="18">
        <v>3.38</v>
      </c>
      <c r="G812" s="18">
        <v>0</v>
      </c>
      <c r="H812" s="18">
        <v>6.08</v>
      </c>
      <c r="L812" s="20" t="str">
        <f t="shared" si="24"/>
        <v>N/A</v>
      </c>
      <c r="M812" s="20" t="str">
        <f t="shared" si="25"/>
        <v>N/A</v>
      </c>
    </row>
    <row r="813" spans="1:13">
      <c r="A813" s="18" t="s">
        <v>22</v>
      </c>
      <c r="B813" s="18" t="s">
        <v>365</v>
      </c>
      <c r="C813" s="18" t="s">
        <v>241</v>
      </c>
      <c r="D813" s="18" t="s">
        <v>139</v>
      </c>
      <c r="E813" s="18">
        <v>11.12</v>
      </c>
      <c r="F813" s="18">
        <v>5.56</v>
      </c>
      <c r="G813" s="18">
        <v>0</v>
      </c>
      <c r="H813" s="18">
        <v>16.68</v>
      </c>
      <c r="L813" s="20" t="str">
        <f t="shared" si="24"/>
        <v>N/A</v>
      </c>
      <c r="M813" s="20" t="str">
        <f t="shared" si="25"/>
        <v>N/A</v>
      </c>
    </row>
    <row r="814" spans="1:13">
      <c r="A814" s="18" t="s">
        <v>22</v>
      </c>
      <c r="B814" s="18" t="s">
        <v>365</v>
      </c>
      <c r="C814" s="18" t="s">
        <v>241</v>
      </c>
      <c r="D814" s="18" t="s">
        <v>142</v>
      </c>
      <c r="E814" s="18">
        <v>9.19</v>
      </c>
      <c r="F814" s="18">
        <v>5.43</v>
      </c>
      <c r="G814" s="18">
        <v>0</v>
      </c>
      <c r="H814" s="18">
        <v>14.62</v>
      </c>
      <c r="L814" s="20" t="str">
        <f t="shared" si="24"/>
        <v>N/A</v>
      </c>
      <c r="M814" s="20" t="str">
        <f t="shared" si="25"/>
        <v>N/A</v>
      </c>
    </row>
    <row r="815" spans="1:13">
      <c r="A815" s="18" t="s">
        <v>22</v>
      </c>
      <c r="B815" s="18" t="s">
        <v>365</v>
      </c>
      <c r="C815" s="18" t="s">
        <v>241</v>
      </c>
      <c r="D815" s="18" t="s">
        <v>163</v>
      </c>
      <c r="E815" s="18">
        <v>0</v>
      </c>
      <c r="F815" s="18">
        <v>0</v>
      </c>
      <c r="G815" s="18">
        <v>0</v>
      </c>
      <c r="H815" s="18">
        <v>0</v>
      </c>
      <c r="L815" s="20" t="str">
        <f t="shared" si="24"/>
        <v>N/A</v>
      </c>
      <c r="M815" s="20" t="str">
        <f t="shared" si="25"/>
        <v>N/A</v>
      </c>
    </row>
    <row r="816" spans="1:13">
      <c r="A816" s="18" t="s">
        <v>22</v>
      </c>
      <c r="B816" s="18" t="s">
        <v>365</v>
      </c>
      <c r="C816" s="18" t="s">
        <v>243</v>
      </c>
      <c r="D816" s="18" t="s">
        <v>87</v>
      </c>
      <c r="E816" s="18">
        <v>251.03</v>
      </c>
      <c r="F816" s="18">
        <v>8409.58</v>
      </c>
      <c r="G816" s="18">
        <v>1086.79</v>
      </c>
      <c r="H816" s="18">
        <v>7573.82</v>
      </c>
      <c r="L816" s="20" t="str">
        <f t="shared" si="24"/>
        <v>Asset</v>
      </c>
      <c r="M816" s="20" t="str">
        <f t="shared" si="25"/>
        <v>okay</v>
      </c>
    </row>
    <row r="817" spans="1:13">
      <c r="A817" s="18" t="s">
        <v>22</v>
      </c>
      <c r="B817" s="18" t="s">
        <v>365</v>
      </c>
      <c r="C817" s="18" t="s">
        <v>243</v>
      </c>
      <c r="D817" s="18" t="s">
        <v>97</v>
      </c>
      <c r="E817" s="18">
        <v>4119820.51</v>
      </c>
      <c r="F817" s="18">
        <v>0</v>
      </c>
      <c r="G817" s="18">
        <v>0</v>
      </c>
      <c r="H817" s="18">
        <v>4119820.51</v>
      </c>
      <c r="L817" s="20" t="str">
        <f t="shared" si="24"/>
        <v>Asset</v>
      </c>
      <c r="M817" s="20" t="str">
        <f t="shared" si="25"/>
        <v>okay</v>
      </c>
    </row>
    <row r="818" spans="1:13">
      <c r="A818" s="18" t="s">
        <v>22</v>
      </c>
      <c r="B818" s="18" t="s">
        <v>365</v>
      </c>
      <c r="C818" s="18" t="s">
        <v>243</v>
      </c>
      <c r="D818" s="18" t="s">
        <v>105</v>
      </c>
      <c r="E818" s="18">
        <v>1282421.27</v>
      </c>
      <c r="F818" s="18">
        <v>60187.23</v>
      </c>
      <c r="G818" s="18">
        <v>0</v>
      </c>
      <c r="H818" s="18">
        <v>1342608.5</v>
      </c>
      <c r="L818" s="20" t="str">
        <f t="shared" si="24"/>
        <v>Asset</v>
      </c>
      <c r="M818" s="20" t="str">
        <f t="shared" si="25"/>
        <v>okay</v>
      </c>
    </row>
    <row r="819" spans="1:13">
      <c r="A819" s="18" t="s">
        <v>22</v>
      </c>
      <c r="B819" s="18" t="s">
        <v>365</v>
      </c>
      <c r="C819" s="18" t="s">
        <v>243</v>
      </c>
      <c r="D819" s="18" t="s">
        <v>108</v>
      </c>
      <c r="E819" s="18">
        <v>0</v>
      </c>
      <c r="F819" s="18">
        <v>0</v>
      </c>
      <c r="G819" s="18">
        <v>0</v>
      </c>
      <c r="H819" s="18">
        <v>0</v>
      </c>
      <c r="L819" s="20" t="str">
        <f t="shared" si="24"/>
        <v>Asset</v>
      </c>
      <c r="M819" s="20" t="str">
        <f t="shared" si="25"/>
        <v>okay</v>
      </c>
    </row>
    <row r="820" spans="1:13">
      <c r="A820" s="18" t="s">
        <v>22</v>
      </c>
      <c r="B820" s="18" t="s">
        <v>365</v>
      </c>
      <c r="C820" s="18" t="s">
        <v>243</v>
      </c>
      <c r="D820" s="18" t="s">
        <v>116</v>
      </c>
      <c r="E820" s="18">
        <v>-51.35</v>
      </c>
      <c r="F820" s="18">
        <v>0</v>
      </c>
      <c r="G820" s="18">
        <v>0</v>
      </c>
      <c r="H820" s="18">
        <v>-51.35</v>
      </c>
      <c r="L820" s="20" t="str">
        <f t="shared" si="24"/>
        <v>N/A</v>
      </c>
      <c r="M820" s="20" t="str">
        <f t="shared" si="25"/>
        <v>N/A</v>
      </c>
    </row>
    <row r="821" spans="1:13">
      <c r="A821" s="18" t="s">
        <v>22</v>
      </c>
      <c r="B821" s="18" t="s">
        <v>365</v>
      </c>
      <c r="C821" s="18" t="s">
        <v>243</v>
      </c>
      <c r="D821" s="18" t="s">
        <v>121</v>
      </c>
      <c r="E821" s="18">
        <v>-112.68</v>
      </c>
      <c r="F821" s="18">
        <v>75.11</v>
      </c>
      <c r="G821" s="18">
        <v>18.78</v>
      </c>
      <c r="H821" s="18">
        <v>-56.35</v>
      </c>
      <c r="L821" s="20" t="str">
        <f t="shared" si="24"/>
        <v>N/A</v>
      </c>
      <c r="M821" s="20" t="str">
        <f t="shared" si="25"/>
        <v>N/A</v>
      </c>
    </row>
    <row r="822" spans="1:13">
      <c r="A822" s="18" t="s">
        <v>22</v>
      </c>
      <c r="B822" s="18" t="s">
        <v>365</v>
      </c>
      <c r="C822" s="18" t="s">
        <v>243</v>
      </c>
      <c r="D822" s="18" t="s">
        <v>124</v>
      </c>
      <c r="E822" s="18">
        <v>-23.01</v>
      </c>
      <c r="F822" s="18">
        <v>0</v>
      </c>
      <c r="G822" s="18">
        <v>14.32</v>
      </c>
      <c r="H822" s="18">
        <v>-37.33</v>
      </c>
      <c r="L822" s="20" t="str">
        <f t="shared" si="24"/>
        <v>N/A</v>
      </c>
      <c r="M822" s="20" t="str">
        <f t="shared" si="25"/>
        <v>N/A</v>
      </c>
    </row>
    <row r="823" spans="1:13">
      <c r="A823" s="18" t="s">
        <v>22</v>
      </c>
      <c r="B823" s="18" t="s">
        <v>365</v>
      </c>
      <c r="C823" s="18" t="s">
        <v>243</v>
      </c>
      <c r="D823" s="18" t="s">
        <v>127</v>
      </c>
      <c r="E823" s="18">
        <v>0</v>
      </c>
      <c r="F823" s="18">
        <v>0</v>
      </c>
      <c r="G823" s="18">
        <v>0</v>
      </c>
      <c r="H823" s="18">
        <v>0</v>
      </c>
      <c r="L823" s="20" t="str">
        <f t="shared" si="24"/>
        <v>N/A</v>
      </c>
      <c r="M823" s="20" t="str">
        <f t="shared" si="25"/>
        <v>N/A</v>
      </c>
    </row>
    <row r="824" spans="1:13">
      <c r="A824" s="18" t="s">
        <v>22</v>
      </c>
      <c r="B824" s="18" t="s">
        <v>365</v>
      </c>
      <c r="C824" s="18" t="s">
        <v>243</v>
      </c>
      <c r="D824" s="18" t="s">
        <v>95</v>
      </c>
      <c r="E824" s="18">
        <v>-5.6</v>
      </c>
      <c r="F824" s="18">
        <v>1.4</v>
      </c>
      <c r="G824" s="18">
        <v>4.2</v>
      </c>
      <c r="H824" s="18">
        <v>-8.4</v>
      </c>
      <c r="L824" s="20" t="str">
        <f t="shared" si="24"/>
        <v>N/A</v>
      </c>
      <c r="M824" s="20" t="str">
        <f t="shared" si="25"/>
        <v>N/A</v>
      </c>
    </row>
    <row r="825" spans="1:13">
      <c r="A825" s="18" t="s">
        <v>22</v>
      </c>
      <c r="B825" s="18" t="s">
        <v>365</v>
      </c>
      <c r="C825" s="18" t="s">
        <v>243</v>
      </c>
      <c r="D825" s="18" t="s">
        <v>132</v>
      </c>
      <c r="E825" s="18">
        <v>0</v>
      </c>
      <c r="F825" s="18">
        <v>0</v>
      </c>
      <c r="G825" s="18">
        <v>0</v>
      </c>
      <c r="H825" s="18">
        <v>0</v>
      </c>
      <c r="L825" s="20" t="str">
        <f t="shared" si="24"/>
        <v>N/A</v>
      </c>
      <c r="M825" s="20" t="str">
        <f t="shared" si="25"/>
        <v>N/A</v>
      </c>
    </row>
    <row r="826" spans="1:13">
      <c r="A826" s="18" t="s">
        <v>22</v>
      </c>
      <c r="B826" s="18" t="s">
        <v>365</v>
      </c>
      <c r="C826" s="18" t="s">
        <v>243</v>
      </c>
      <c r="D826" s="18" t="s">
        <v>135</v>
      </c>
      <c r="E826" s="18">
        <v>-5000000</v>
      </c>
      <c r="F826" s="18">
        <v>0</v>
      </c>
      <c r="G826" s="18">
        <v>0</v>
      </c>
      <c r="H826" s="18">
        <v>-5000000</v>
      </c>
      <c r="L826" s="20" t="str">
        <f t="shared" si="24"/>
        <v>N/A</v>
      </c>
      <c r="M826" s="20" t="str">
        <f t="shared" si="25"/>
        <v>N/A</v>
      </c>
    </row>
    <row r="827" spans="1:13">
      <c r="A827" s="18" t="s">
        <v>22</v>
      </c>
      <c r="B827" s="18" t="s">
        <v>365</v>
      </c>
      <c r="C827" s="18" t="s">
        <v>243</v>
      </c>
      <c r="D827" s="18" t="s">
        <v>140</v>
      </c>
      <c r="E827" s="18">
        <v>-11959.19</v>
      </c>
      <c r="F827" s="18">
        <v>0</v>
      </c>
      <c r="G827" s="18">
        <v>8408.2999999999993</v>
      </c>
      <c r="H827" s="18">
        <v>-20367.490000000002</v>
      </c>
      <c r="L827" s="20" t="str">
        <f t="shared" si="24"/>
        <v>N/A</v>
      </c>
      <c r="M827" s="20" t="str">
        <f t="shared" si="25"/>
        <v>N/A</v>
      </c>
    </row>
    <row r="828" spans="1:13">
      <c r="A828" s="18" t="s">
        <v>22</v>
      </c>
      <c r="B828" s="18" t="s">
        <v>365</v>
      </c>
      <c r="C828" s="18" t="s">
        <v>243</v>
      </c>
      <c r="D828" s="18" t="s">
        <v>143</v>
      </c>
      <c r="E828" s="18">
        <v>880179.49</v>
      </c>
      <c r="F828" s="18">
        <v>0</v>
      </c>
      <c r="G828" s="18">
        <v>0</v>
      </c>
      <c r="H828" s="18">
        <v>880179.49</v>
      </c>
      <c r="L828" s="20" t="str">
        <f t="shared" si="24"/>
        <v>N/A</v>
      </c>
      <c r="M828" s="20" t="str">
        <f t="shared" si="25"/>
        <v>N/A</v>
      </c>
    </row>
    <row r="829" spans="1:13">
      <c r="A829" s="18" t="s">
        <v>22</v>
      </c>
      <c r="B829" s="18" t="s">
        <v>365</v>
      </c>
      <c r="C829" s="18" t="s">
        <v>243</v>
      </c>
      <c r="D829" s="18" t="s">
        <v>146</v>
      </c>
      <c r="E829" s="18">
        <v>111534.88</v>
      </c>
      <c r="F829" s="18">
        <v>0</v>
      </c>
      <c r="G829" s="18">
        <v>0</v>
      </c>
      <c r="H829" s="18">
        <v>111534.88</v>
      </c>
      <c r="L829" s="20" t="str">
        <f t="shared" si="24"/>
        <v>N/A</v>
      </c>
      <c r="M829" s="20" t="str">
        <f t="shared" si="25"/>
        <v>N/A</v>
      </c>
    </row>
    <row r="830" spans="1:13">
      <c r="A830" s="18" t="s">
        <v>22</v>
      </c>
      <c r="B830" s="18" t="s">
        <v>365</v>
      </c>
      <c r="C830" s="18" t="s">
        <v>243</v>
      </c>
      <c r="D830" s="18" t="s">
        <v>147</v>
      </c>
      <c r="E830" s="18">
        <v>-972429.92</v>
      </c>
      <c r="F830" s="18">
        <v>0</v>
      </c>
      <c r="G830" s="18">
        <v>0</v>
      </c>
      <c r="H830" s="18">
        <v>-972429.92</v>
      </c>
      <c r="L830" s="20" t="str">
        <f t="shared" si="24"/>
        <v>N/A</v>
      </c>
      <c r="M830" s="20" t="str">
        <f t="shared" si="25"/>
        <v>N/A</v>
      </c>
    </row>
    <row r="831" spans="1:13">
      <c r="A831" s="18" t="s">
        <v>22</v>
      </c>
      <c r="B831" s="18" t="s">
        <v>365</v>
      </c>
      <c r="C831" s="18" t="s">
        <v>243</v>
      </c>
      <c r="D831" s="18" t="s">
        <v>153</v>
      </c>
      <c r="E831" s="18">
        <v>0</v>
      </c>
      <c r="F831" s="18">
        <v>0</v>
      </c>
      <c r="G831" s="18">
        <v>0</v>
      </c>
      <c r="H831" s="18">
        <v>0</v>
      </c>
      <c r="L831" s="20" t="str">
        <f t="shared" si="24"/>
        <v>N/A</v>
      </c>
      <c r="M831" s="20" t="str">
        <f t="shared" si="25"/>
        <v>N/A</v>
      </c>
    </row>
    <row r="832" spans="1:13">
      <c r="A832" s="18" t="s">
        <v>22</v>
      </c>
      <c r="B832" s="18" t="s">
        <v>365</v>
      </c>
      <c r="C832" s="18" t="s">
        <v>243</v>
      </c>
      <c r="D832" s="18" t="s">
        <v>155</v>
      </c>
      <c r="E832" s="18">
        <v>0</v>
      </c>
      <c r="F832" s="18">
        <v>0</v>
      </c>
      <c r="G832" s="18">
        <v>0</v>
      </c>
      <c r="H832" s="18">
        <v>0</v>
      </c>
      <c r="L832" s="20" t="str">
        <f t="shared" si="24"/>
        <v>N/A</v>
      </c>
      <c r="M832" s="20" t="str">
        <f t="shared" si="25"/>
        <v>N/A</v>
      </c>
    </row>
    <row r="833" spans="1:13">
      <c r="A833" s="18" t="s">
        <v>22</v>
      </c>
      <c r="B833" s="18" t="s">
        <v>365</v>
      </c>
      <c r="C833" s="18" t="s">
        <v>243</v>
      </c>
      <c r="D833" s="18" t="s">
        <v>156</v>
      </c>
      <c r="E833" s="18">
        <v>-44.04</v>
      </c>
      <c r="F833" s="18">
        <v>0</v>
      </c>
      <c r="G833" s="18">
        <v>1.28</v>
      </c>
      <c r="H833" s="18">
        <v>-45.32</v>
      </c>
      <c r="L833" s="20" t="str">
        <f t="shared" si="24"/>
        <v>N/A</v>
      </c>
      <c r="M833" s="20" t="str">
        <f t="shared" si="25"/>
        <v>N/A</v>
      </c>
    </row>
    <row r="834" spans="1:13">
      <c r="A834" s="18" t="s">
        <v>22</v>
      </c>
      <c r="B834" s="18" t="s">
        <v>365</v>
      </c>
      <c r="C834" s="18" t="s">
        <v>243</v>
      </c>
      <c r="D834" s="18" t="s">
        <v>157</v>
      </c>
      <c r="E834" s="18">
        <v>-412800.09</v>
      </c>
      <c r="F834" s="18">
        <v>0</v>
      </c>
      <c r="G834" s="18">
        <v>60187.23</v>
      </c>
      <c r="H834" s="18">
        <v>-472987.32</v>
      </c>
      <c r="L834" s="20" t="str">
        <f t="shared" si="24"/>
        <v>N/A</v>
      </c>
      <c r="M834" s="20" t="str">
        <f t="shared" si="25"/>
        <v>N/A</v>
      </c>
    </row>
    <row r="835" spans="1:13">
      <c r="A835" s="18" t="s">
        <v>22</v>
      </c>
      <c r="B835" s="18" t="s">
        <v>365</v>
      </c>
      <c r="C835" s="18" t="s">
        <v>243</v>
      </c>
      <c r="D835" s="18" t="s">
        <v>145</v>
      </c>
      <c r="E835" s="18">
        <v>0</v>
      </c>
      <c r="F835" s="18">
        <v>288.83999999999997</v>
      </c>
      <c r="G835" s="18">
        <v>0</v>
      </c>
      <c r="H835" s="18">
        <v>288.83999999999997</v>
      </c>
      <c r="L835" s="20" t="str">
        <f t="shared" ref="L835:L898" si="26">+IF(LEFT(D835,1)="1","Asset","N/A")</f>
        <v>N/A</v>
      </c>
      <c r="M835" s="20" t="str">
        <f t="shared" ref="M835:M898" si="27">+IF(L835="asset",IF(H835&lt;0,"Provide Comment","okay"),"N/A")</f>
        <v>N/A</v>
      </c>
    </row>
    <row r="836" spans="1:13">
      <c r="A836" s="18" t="s">
        <v>22</v>
      </c>
      <c r="B836" s="18" t="s">
        <v>365</v>
      </c>
      <c r="C836" s="18" t="s">
        <v>243</v>
      </c>
      <c r="D836" s="18" t="s">
        <v>96</v>
      </c>
      <c r="E836" s="18">
        <v>8.4</v>
      </c>
      <c r="F836" s="18">
        <v>4.2</v>
      </c>
      <c r="G836" s="18">
        <v>0</v>
      </c>
      <c r="H836" s="18">
        <v>12.6</v>
      </c>
      <c r="L836" s="20" t="str">
        <f t="shared" si="26"/>
        <v>N/A</v>
      </c>
      <c r="M836" s="20" t="str">
        <f t="shared" si="27"/>
        <v>N/A</v>
      </c>
    </row>
    <row r="837" spans="1:13">
      <c r="A837" s="18" t="s">
        <v>22</v>
      </c>
      <c r="B837" s="18" t="s">
        <v>365</v>
      </c>
      <c r="C837" s="18" t="s">
        <v>243</v>
      </c>
      <c r="D837" s="18" t="s">
        <v>104</v>
      </c>
      <c r="E837" s="18">
        <v>19.2</v>
      </c>
      <c r="F837" s="18">
        <v>38.4</v>
      </c>
      <c r="G837" s="18">
        <v>0</v>
      </c>
      <c r="H837" s="18">
        <v>57.6</v>
      </c>
      <c r="L837" s="20" t="str">
        <f t="shared" si="26"/>
        <v>N/A</v>
      </c>
      <c r="M837" s="20" t="str">
        <f t="shared" si="27"/>
        <v>N/A</v>
      </c>
    </row>
    <row r="838" spans="1:13">
      <c r="A838" s="18" t="s">
        <v>22</v>
      </c>
      <c r="B838" s="18" t="s">
        <v>365</v>
      </c>
      <c r="C838" s="18" t="s">
        <v>243</v>
      </c>
      <c r="D838" s="18" t="s">
        <v>359</v>
      </c>
      <c r="E838" s="18">
        <v>905.76</v>
      </c>
      <c r="F838" s="18">
        <v>8.58</v>
      </c>
      <c r="G838" s="18">
        <v>0</v>
      </c>
      <c r="H838" s="18">
        <v>914.34</v>
      </c>
      <c r="L838" s="20" t="str">
        <f t="shared" si="26"/>
        <v>N/A</v>
      </c>
      <c r="M838" s="20" t="str">
        <f t="shared" si="27"/>
        <v>N/A</v>
      </c>
    </row>
    <row r="839" spans="1:13">
      <c r="A839" s="18" t="s">
        <v>22</v>
      </c>
      <c r="B839" s="18" t="s">
        <v>365</v>
      </c>
      <c r="C839" s="18" t="s">
        <v>243</v>
      </c>
      <c r="D839" s="18" t="s">
        <v>113</v>
      </c>
      <c r="E839" s="18">
        <v>1232.9000000000001</v>
      </c>
      <c r="F839" s="18">
        <v>337.66</v>
      </c>
      <c r="G839" s="18">
        <v>0</v>
      </c>
      <c r="H839" s="18">
        <v>1570.56</v>
      </c>
      <c r="L839" s="20" t="str">
        <f t="shared" si="26"/>
        <v>N/A</v>
      </c>
      <c r="M839" s="20" t="str">
        <f t="shared" si="27"/>
        <v>N/A</v>
      </c>
    </row>
    <row r="840" spans="1:13">
      <c r="A840" s="18" t="s">
        <v>22</v>
      </c>
      <c r="B840" s="18" t="s">
        <v>365</v>
      </c>
      <c r="C840" s="18" t="s">
        <v>243</v>
      </c>
      <c r="D840" s="18" t="s">
        <v>150</v>
      </c>
      <c r="E840" s="18">
        <v>384.01</v>
      </c>
      <c r="F840" s="18">
        <v>23.19</v>
      </c>
      <c r="G840" s="18">
        <v>0</v>
      </c>
      <c r="H840" s="18">
        <v>407.2</v>
      </c>
      <c r="L840" s="20" t="str">
        <f t="shared" si="26"/>
        <v>N/A</v>
      </c>
      <c r="M840" s="20" t="str">
        <f t="shared" si="27"/>
        <v>N/A</v>
      </c>
    </row>
    <row r="841" spans="1:13">
      <c r="A841" s="18" t="s">
        <v>22</v>
      </c>
      <c r="B841" s="18" t="s">
        <v>365</v>
      </c>
      <c r="C841" s="18" t="s">
        <v>243</v>
      </c>
      <c r="D841" s="18" t="s">
        <v>120</v>
      </c>
      <c r="E841" s="18">
        <v>0.57999999999999996</v>
      </c>
      <c r="F841" s="18">
        <v>0</v>
      </c>
      <c r="G841" s="18">
        <v>0</v>
      </c>
      <c r="H841" s="18">
        <v>0.57999999999999996</v>
      </c>
      <c r="L841" s="20" t="str">
        <f t="shared" si="26"/>
        <v>N/A</v>
      </c>
      <c r="M841" s="20" t="str">
        <f t="shared" si="27"/>
        <v>N/A</v>
      </c>
    </row>
    <row r="842" spans="1:13">
      <c r="A842" s="18" t="s">
        <v>22</v>
      </c>
      <c r="B842" s="18" t="s">
        <v>365</v>
      </c>
      <c r="C842" s="18" t="s">
        <v>243</v>
      </c>
      <c r="D842" s="18" t="s">
        <v>123</v>
      </c>
      <c r="E842" s="18">
        <v>359.63</v>
      </c>
      <c r="F842" s="18">
        <v>183.03</v>
      </c>
      <c r="G842" s="18">
        <v>0</v>
      </c>
      <c r="H842" s="18">
        <v>542.66</v>
      </c>
      <c r="L842" s="20" t="str">
        <f t="shared" si="26"/>
        <v>N/A</v>
      </c>
      <c r="M842" s="20" t="str">
        <f t="shared" si="27"/>
        <v>N/A</v>
      </c>
    </row>
    <row r="843" spans="1:13">
      <c r="A843" s="18" t="s">
        <v>22</v>
      </c>
      <c r="B843" s="18" t="s">
        <v>365</v>
      </c>
      <c r="C843" s="18" t="s">
        <v>243</v>
      </c>
      <c r="D843" s="18" t="s">
        <v>126</v>
      </c>
      <c r="E843" s="18">
        <v>53.53</v>
      </c>
      <c r="F843" s="18">
        <v>10.32</v>
      </c>
      <c r="G843" s="18">
        <v>0</v>
      </c>
      <c r="H843" s="18">
        <v>63.85</v>
      </c>
      <c r="L843" s="20" t="str">
        <f t="shared" si="26"/>
        <v>N/A</v>
      </c>
      <c r="M843" s="20" t="str">
        <f t="shared" si="27"/>
        <v>N/A</v>
      </c>
    </row>
    <row r="844" spans="1:13">
      <c r="A844" s="18" t="s">
        <v>22</v>
      </c>
      <c r="B844" s="18" t="s">
        <v>365</v>
      </c>
      <c r="C844" s="18" t="s">
        <v>243</v>
      </c>
      <c r="D844" s="18" t="s">
        <v>129</v>
      </c>
      <c r="E844" s="18">
        <v>49.99</v>
      </c>
      <c r="F844" s="18">
        <v>14.23</v>
      </c>
      <c r="G844" s="18">
        <v>0</v>
      </c>
      <c r="H844" s="18">
        <v>64.22</v>
      </c>
      <c r="L844" s="20" t="str">
        <f t="shared" si="26"/>
        <v>N/A</v>
      </c>
      <c r="M844" s="20" t="str">
        <f t="shared" si="27"/>
        <v>N/A</v>
      </c>
    </row>
    <row r="845" spans="1:13">
      <c r="A845" s="18" t="s">
        <v>22</v>
      </c>
      <c r="B845" s="18" t="s">
        <v>365</v>
      </c>
      <c r="C845" s="18" t="s">
        <v>243</v>
      </c>
      <c r="D845" s="18" t="s">
        <v>131</v>
      </c>
      <c r="E845" s="18">
        <v>126.98</v>
      </c>
      <c r="F845" s="18">
        <v>90.63</v>
      </c>
      <c r="G845" s="18">
        <v>0</v>
      </c>
      <c r="H845" s="18">
        <v>217.61</v>
      </c>
      <c r="L845" s="20" t="str">
        <f t="shared" si="26"/>
        <v>N/A</v>
      </c>
      <c r="M845" s="20" t="str">
        <f t="shared" si="27"/>
        <v>N/A</v>
      </c>
    </row>
    <row r="846" spans="1:13">
      <c r="A846" s="18" t="s">
        <v>22</v>
      </c>
      <c r="B846" s="18" t="s">
        <v>365</v>
      </c>
      <c r="C846" s="18" t="s">
        <v>243</v>
      </c>
      <c r="D846" s="18" t="s">
        <v>162</v>
      </c>
      <c r="E846" s="18">
        <v>0</v>
      </c>
      <c r="F846" s="18">
        <v>0</v>
      </c>
      <c r="G846" s="18">
        <v>0</v>
      </c>
      <c r="H846" s="18">
        <v>0</v>
      </c>
      <c r="L846" s="20" t="str">
        <f t="shared" si="26"/>
        <v>N/A</v>
      </c>
      <c r="M846" s="20" t="str">
        <f t="shared" si="27"/>
        <v>N/A</v>
      </c>
    </row>
    <row r="847" spans="1:13">
      <c r="A847" s="18" t="s">
        <v>22</v>
      </c>
      <c r="B847" s="18" t="s">
        <v>365</v>
      </c>
      <c r="C847" s="18" t="s">
        <v>243</v>
      </c>
      <c r="D847" s="18" t="s">
        <v>134</v>
      </c>
      <c r="E847" s="18">
        <v>9.1199999999999992</v>
      </c>
      <c r="F847" s="18">
        <v>11.38</v>
      </c>
      <c r="G847" s="18">
        <v>0</v>
      </c>
      <c r="H847" s="18">
        <v>20.5</v>
      </c>
      <c r="L847" s="20" t="str">
        <f t="shared" si="26"/>
        <v>N/A</v>
      </c>
      <c r="M847" s="20" t="str">
        <f t="shared" si="27"/>
        <v>N/A</v>
      </c>
    </row>
    <row r="848" spans="1:13">
      <c r="A848" s="18" t="s">
        <v>22</v>
      </c>
      <c r="B848" s="18" t="s">
        <v>365</v>
      </c>
      <c r="C848" s="18" t="s">
        <v>243</v>
      </c>
      <c r="D848" s="18" t="s">
        <v>139</v>
      </c>
      <c r="E848" s="18">
        <v>37.56</v>
      </c>
      <c r="F848" s="18">
        <v>18.78</v>
      </c>
      <c r="G848" s="18">
        <v>0</v>
      </c>
      <c r="H848" s="18">
        <v>56.34</v>
      </c>
      <c r="L848" s="20" t="str">
        <f t="shared" si="26"/>
        <v>N/A</v>
      </c>
      <c r="M848" s="20" t="str">
        <f t="shared" si="27"/>
        <v>N/A</v>
      </c>
    </row>
    <row r="849" spans="1:13">
      <c r="A849" s="18" t="s">
        <v>22</v>
      </c>
      <c r="B849" s="18" t="s">
        <v>365</v>
      </c>
      <c r="C849" s="18" t="s">
        <v>243</v>
      </c>
      <c r="D849" s="18" t="s">
        <v>142</v>
      </c>
      <c r="E849" s="18">
        <v>31.04</v>
      </c>
      <c r="F849" s="18">
        <v>18.34</v>
      </c>
      <c r="G849" s="18">
        <v>0</v>
      </c>
      <c r="H849" s="18">
        <v>49.38</v>
      </c>
      <c r="L849" s="20" t="str">
        <f t="shared" si="26"/>
        <v>N/A</v>
      </c>
      <c r="M849" s="20" t="str">
        <f t="shared" si="27"/>
        <v>N/A</v>
      </c>
    </row>
    <row r="850" spans="1:13">
      <c r="A850" s="18" t="s">
        <v>22</v>
      </c>
      <c r="B850" s="18" t="s">
        <v>365</v>
      </c>
      <c r="C850" s="18" t="s">
        <v>243</v>
      </c>
      <c r="D850" s="18" t="s">
        <v>163</v>
      </c>
      <c r="E850" s="18">
        <v>0</v>
      </c>
      <c r="F850" s="18">
        <v>0</v>
      </c>
      <c r="G850" s="18">
        <v>0</v>
      </c>
      <c r="H850" s="18">
        <v>0</v>
      </c>
      <c r="L850" s="20" t="str">
        <f t="shared" si="26"/>
        <v>N/A</v>
      </c>
      <c r="M850" s="20" t="str">
        <f t="shared" si="27"/>
        <v>N/A</v>
      </c>
    </row>
    <row r="851" spans="1:13">
      <c r="A851" s="18" t="s">
        <v>22</v>
      </c>
      <c r="B851" s="18" t="s">
        <v>365</v>
      </c>
      <c r="C851" s="18" t="s">
        <v>245</v>
      </c>
      <c r="D851" s="18" t="s">
        <v>87</v>
      </c>
      <c r="E851" s="18">
        <v>2760.88</v>
      </c>
      <c r="F851" s="18">
        <v>92505.38</v>
      </c>
      <c r="G851" s="18">
        <v>219293.34</v>
      </c>
      <c r="H851" s="32">
        <v>-124027.08</v>
      </c>
      <c r="L851" s="20" t="str">
        <f t="shared" si="26"/>
        <v>Asset</v>
      </c>
      <c r="M851" s="20" t="str">
        <f t="shared" si="27"/>
        <v>Provide Comment</v>
      </c>
    </row>
    <row r="852" spans="1:13">
      <c r="A852" s="18" t="s">
        <v>22</v>
      </c>
      <c r="B852" s="18" t="s">
        <v>365</v>
      </c>
      <c r="C852" s="18" t="s">
        <v>245</v>
      </c>
      <c r="D852" s="18" t="s">
        <v>97</v>
      </c>
      <c r="E852" s="18">
        <v>45318025.579999998</v>
      </c>
      <c r="F852" s="18">
        <v>0</v>
      </c>
      <c r="G852" s="18">
        <v>0</v>
      </c>
      <c r="H852" s="18">
        <v>45318025.579999998</v>
      </c>
      <c r="L852" s="20" t="str">
        <f t="shared" si="26"/>
        <v>Asset</v>
      </c>
      <c r="M852" s="20" t="str">
        <f t="shared" si="27"/>
        <v>okay</v>
      </c>
    </row>
    <row r="853" spans="1:13">
      <c r="A853" s="18" t="s">
        <v>22</v>
      </c>
      <c r="B853" s="18" t="s">
        <v>365</v>
      </c>
      <c r="C853" s="18" t="s">
        <v>245</v>
      </c>
      <c r="D853" s="18" t="s">
        <v>105</v>
      </c>
      <c r="E853" s="18">
        <v>14106634.17</v>
      </c>
      <c r="F853" s="18">
        <v>662059.56000000006</v>
      </c>
      <c r="G853" s="18">
        <v>0</v>
      </c>
      <c r="H853" s="18">
        <v>14768693.73</v>
      </c>
      <c r="L853" s="20" t="str">
        <f t="shared" si="26"/>
        <v>Asset</v>
      </c>
      <c r="M853" s="20" t="str">
        <f t="shared" si="27"/>
        <v>okay</v>
      </c>
    </row>
    <row r="854" spans="1:13">
      <c r="A854" s="18" t="s">
        <v>22</v>
      </c>
      <c r="B854" s="18" t="s">
        <v>365</v>
      </c>
      <c r="C854" s="18" t="s">
        <v>245</v>
      </c>
      <c r="D854" s="18" t="s">
        <v>108</v>
      </c>
      <c r="E854" s="18">
        <v>0</v>
      </c>
      <c r="F854" s="18">
        <v>0</v>
      </c>
      <c r="G854" s="18">
        <v>0</v>
      </c>
      <c r="H854" s="18">
        <v>0</v>
      </c>
      <c r="L854" s="20" t="str">
        <f t="shared" si="26"/>
        <v>Asset</v>
      </c>
      <c r="M854" s="20" t="str">
        <f t="shared" si="27"/>
        <v>okay</v>
      </c>
    </row>
    <row r="855" spans="1:13">
      <c r="A855" s="18" t="s">
        <v>21</v>
      </c>
      <c r="B855" s="18" t="s">
        <v>362</v>
      </c>
      <c r="C855" s="18" t="s">
        <v>165</v>
      </c>
      <c r="D855" s="18" t="s">
        <v>74</v>
      </c>
      <c r="E855" s="18" t="s">
        <v>75</v>
      </c>
      <c r="F855" s="18" t="s">
        <v>76</v>
      </c>
      <c r="G855" s="18" t="s">
        <v>77</v>
      </c>
      <c r="H855" s="32" t="s">
        <v>78</v>
      </c>
      <c r="L855" s="20" t="str">
        <f t="shared" si="26"/>
        <v>N/A</v>
      </c>
      <c r="M855" s="20" t="str">
        <f t="shared" si="27"/>
        <v>N/A</v>
      </c>
    </row>
    <row r="856" spans="1:13">
      <c r="A856" s="18" t="s">
        <v>22</v>
      </c>
      <c r="B856" s="18" t="s">
        <v>365</v>
      </c>
      <c r="C856" s="18" t="s">
        <v>245</v>
      </c>
      <c r="D856" s="18" t="s">
        <v>116</v>
      </c>
      <c r="E856" s="18">
        <v>-564.91999999999996</v>
      </c>
      <c r="F856" s="18">
        <v>0</v>
      </c>
      <c r="G856" s="18">
        <v>0</v>
      </c>
      <c r="H856" s="18">
        <v>-564.91999999999996</v>
      </c>
      <c r="L856" s="20" t="str">
        <f t="shared" si="26"/>
        <v>N/A</v>
      </c>
      <c r="M856" s="20" t="str">
        <f t="shared" si="27"/>
        <v>N/A</v>
      </c>
    </row>
    <row r="857" spans="1:13">
      <c r="A857" s="18" t="s">
        <v>22</v>
      </c>
      <c r="B857" s="18" t="s">
        <v>365</v>
      </c>
      <c r="C857" s="18" t="s">
        <v>245</v>
      </c>
      <c r="D857" s="18" t="s">
        <v>121</v>
      </c>
      <c r="E857" s="18">
        <v>-1239.3699999999999</v>
      </c>
      <c r="F857" s="18">
        <v>826.26</v>
      </c>
      <c r="G857" s="18">
        <v>206.56</v>
      </c>
      <c r="H857" s="18">
        <v>-619.66999999999996</v>
      </c>
      <c r="L857" s="20" t="str">
        <f t="shared" si="26"/>
        <v>N/A</v>
      </c>
      <c r="M857" s="20" t="str">
        <f t="shared" si="27"/>
        <v>N/A</v>
      </c>
    </row>
    <row r="858" spans="1:13">
      <c r="A858" s="18" t="s">
        <v>22</v>
      </c>
      <c r="B858" s="18" t="s">
        <v>365</v>
      </c>
      <c r="C858" s="18" t="s">
        <v>245</v>
      </c>
      <c r="D858" s="18" t="s">
        <v>124</v>
      </c>
      <c r="E858" s="18">
        <v>-253.19</v>
      </c>
      <c r="F858" s="18">
        <v>0</v>
      </c>
      <c r="G858" s="18">
        <v>157.57</v>
      </c>
      <c r="H858" s="18">
        <v>-410.76</v>
      </c>
      <c r="L858" s="20" t="str">
        <f t="shared" si="26"/>
        <v>N/A</v>
      </c>
      <c r="M858" s="20" t="str">
        <f t="shared" si="27"/>
        <v>N/A</v>
      </c>
    </row>
    <row r="859" spans="1:13">
      <c r="A859" s="18" t="s">
        <v>22</v>
      </c>
      <c r="B859" s="18" t="s">
        <v>365</v>
      </c>
      <c r="C859" s="18" t="s">
        <v>245</v>
      </c>
      <c r="D859" s="18" t="s">
        <v>127</v>
      </c>
      <c r="E859" s="18">
        <v>0</v>
      </c>
      <c r="F859" s="18">
        <v>0</v>
      </c>
      <c r="G859" s="18">
        <v>0</v>
      </c>
      <c r="H859" s="18">
        <v>0</v>
      </c>
      <c r="L859" s="20" t="str">
        <f t="shared" si="26"/>
        <v>N/A</v>
      </c>
      <c r="M859" s="20" t="str">
        <f t="shared" si="27"/>
        <v>N/A</v>
      </c>
    </row>
    <row r="860" spans="1:13">
      <c r="A860" s="18" t="s">
        <v>22</v>
      </c>
      <c r="B860" s="18" t="s">
        <v>365</v>
      </c>
      <c r="C860" s="18" t="s">
        <v>245</v>
      </c>
      <c r="D860" s="18" t="s">
        <v>95</v>
      </c>
      <c r="E860" s="18">
        <v>-61.66</v>
      </c>
      <c r="F860" s="18">
        <v>15.42</v>
      </c>
      <c r="G860" s="18">
        <v>46.25</v>
      </c>
      <c r="H860" s="18">
        <v>-92.49</v>
      </c>
      <c r="L860" s="20" t="str">
        <f t="shared" si="26"/>
        <v>N/A</v>
      </c>
      <c r="M860" s="20" t="str">
        <f t="shared" si="27"/>
        <v>N/A</v>
      </c>
    </row>
    <row r="861" spans="1:13">
      <c r="A861" s="18" t="s">
        <v>22</v>
      </c>
      <c r="B861" s="18" t="s">
        <v>365</v>
      </c>
      <c r="C861" s="18" t="s">
        <v>245</v>
      </c>
      <c r="D861" s="18" t="s">
        <v>132</v>
      </c>
      <c r="E861" s="18">
        <v>0</v>
      </c>
      <c r="F861" s="18">
        <v>0</v>
      </c>
      <c r="G861" s="18">
        <v>0</v>
      </c>
      <c r="H861" s="18">
        <v>0</v>
      </c>
      <c r="L861" s="20" t="str">
        <f t="shared" si="26"/>
        <v>N/A</v>
      </c>
      <c r="M861" s="20" t="str">
        <f t="shared" si="27"/>
        <v>N/A</v>
      </c>
    </row>
    <row r="862" spans="1:13">
      <c r="A862" s="18" t="s">
        <v>22</v>
      </c>
      <c r="B862" s="18" t="s">
        <v>365</v>
      </c>
      <c r="C862" s="18" t="s">
        <v>245</v>
      </c>
      <c r="D862" s="18" t="s">
        <v>135</v>
      </c>
      <c r="E862" s="18">
        <v>-55000000</v>
      </c>
      <c r="F862" s="18">
        <v>0</v>
      </c>
      <c r="G862" s="18">
        <v>0</v>
      </c>
      <c r="H862" s="18">
        <v>-55000000</v>
      </c>
      <c r="L862" s="20" t="str">
        <f t="shared" si="26"/>
        <v>N/A</v>
      </c>
      <c r="M862" s="20" t="str">
        <f t="shared" si="27"/>
        <v>N/A</v>
      </c>
    </row>
    <row r="863" spans="1:13">
      <c r="A863" s="18" t="s">
        <v>22</v>
      </c>
      <c r="B863" s="18" t="s">
        <v>365</v>
      </c>
      <c r="C863" s="18" t="s">
        <v>245</v>
      </c>
      <c r="D863" s="18" t="s">
        <v>140</v>
      </c>
      <c r="E863" s="18">
        <v>-131551.10999999999</v>
      </c>
      <c r="F863" s="18">
        <v>0</v>
      </c>
      <c r="G863" s="18">
        <v>92491.35</v>
      </c>
      <c r="H863" s="18">
        <v>-224042.46</v>
      </c>
      <c r="L863" s="20" t="str">
        <f t="shared" si="26"/>
        <v>N/A</v>
      </c>
      <c r="M863" s="20" t="str">
        <f t="shared" si="27"/>
        <v>N/A</v>
      </c>
    </row>
    <row r="864" spans="1:13">
      <c r="A864" s="18" t="s">
        <v>22</v>
      </c>
      <c r="B864" s="18" t="s">
        <v>365</v>
      </c>
      <c r="C864" s="18" t="s">
        <v>245</v>
      </c>
      <c r="D864" s="18" t="s">
        <v>143</v>
      </c>
      <c r="E864" s="18">
        <v>9681974.4199999999</v>
      </c>
      <c r="F864" s="18">
        <v>0</v>
      </c>
      <c r="G864" s="18">
        <v>0</v>
      </c>
      <c r="H864" s="18">
        <v>9681974.4199999999</v>
      </c>
      <c r="L864" s="20" t="str">
        <f t="shared" si="26"/>
        <v>N/A</v>
      </c>
      <c r="M864" s="20" t="str">
        <f t="shared" si="27"/>
        <v>N/A</v>
      </c>
    </row>
    <row r="865" spans="1:13">
      <c r="A865" s="18" t="s">
        <v>22</v>
      </c>
      <c r="B865" s="18" t="s">
        <v>365</v>
      </c>
      <c r="C865" s="18" t="s">
        <v>245</v>
      </c>
      <c r="D865" s="18" t="s">
        <v>146</v>
      </c>
      <c r="E865" s="18">
        <v>1226883.73</v>
      </c>
      <c r="F865" s="18">
        <v>0</v>
      </c>
      <c r="G865" s="18">
        <v>0</v>
      </c>
      <c r="H865" s="18">
        <v>1226883.73</v>
      </c>
      <c r="L865" s="20" t="str">
        <f t="shared" si="26"/>
        <v>N/A</v>
      </c>
      <c r="M865" s="20" t="str">
        <f t="shared" si="27"/>
        <v>N/A</v>
      </c>
    </row>
    <row r="866" spans="1:13">
      <c r="A866" s="18" t="s">
        <v>22</v>
      </c>
      <c r="B866" s="18" t="s">
        <v>365</v>
      </c>
      <c r="C866" s="18" t="s">
        <v>245</v>
      </c>
      <c r="D866" s="18" t="s">
        <v>147</v>
      </c>
      <c r="E866" s="18">
        <v>-10696729.210000001</v>
      </c>
      <c r="F866" s="18">
        <v>0</v>
      </c>
      <c r="G866" s="18">
        <v>0</v>
      </c>
      <c r="H866" s="18">
        <v>-10696729.210000001</v>
      </c>
      <c r="L866" s="20" t="str">
        <f t="shared" si="26"/>
        <v>N/A</v>
      </c>
      <c r="M866" s="20" t="str">
        <f t="shared" si="27"/>
        <v>N/A</v>
      </c>
    </row>
    <row r="867" spans="1:13">
      <c r="A867" s="18" t="s">
        <v>22</v>
      </c>
      <c r="B867" s="18" t="s">
        <v>365</v>
      </c>
      <c r="C867" s="18" t="s">
        <v>245</v>
      </c>
      <c r="D867" s="18" t="s">
        <v>153</v>
      </c>
      <c r="E867" s="18">
        <v>0</v>
      </c>
      <c r="F867" s="18">
        <v>0</v>
      </c>
      <c r="G867" s="18">
        <v>0</v>
      </c>
      <c r="H867" s="18">
        <v>0</v>
      </c>
      <c r="L867" s="20" t="str">
        <f t="shared" si="26"/>
        <v>N/A</v>
      </c>
      <c r="M867" s="20" t="str">
        <f t="shared" si="27"/>
        <v>N/A</v>
      </c>
    </row>
    <row r="868" spans="1:13">
      <c r="A868" s="18" t="s">
        <v>22</v>
      </c>
      <c r="B868" s="18" t="s">
        <v>365</v>
      </c>
      <c r="C868" s="18" t="s">
        <v>245</v>
      </c>
      <c r="D868" s="18" t="s">
        <v>155</v>
      </c>
      <c r="E868" s="18">
        <v>0</v>
      </c>
      <c r="F868" s="18">
        <v>0</v>
      </c>
      <c r="G868" s="18">
        <v>0</v>
      </c>
      <c r="H868" s="18">
        <v>0</v>
      </c>
      <c r="L868" s="20" t="str">
        <f t="shared" si="26"/>
        <v>N/A</v>
      </c>
      <c r="M868" s="20" t="str">
        <f t="shared" si="27"/>
        <v>N/A</v>
      </c>
    </row>
    <row r="869" spans="1:13">
      <c r="A869" s="18" t="s">
        <v>22</v>
      </c>
      <c r="B869" s="18" t="s">
        <v>365</v>
      </c>
      <c r="C869" s="18" t="s">
        <v>245</v>
      </c>
      <c r="D869" s="18" t="s">
        <v>156</v>
      </c>
      <c r="E869" s="18">
        <v>-484.46</v>
      </c>
      <c r="F869" s="18">
        <v>0</v>
      </c>
      <c r="G869" s="18">
        <v>14.03</v>
      </c>
      <c r="H869" s="18">
        <v>-498.49</v>
      </c>
      <c r="L869" s="20" t="str">
        <f t="shared" si="26"/>
        <v>N/A</v>
      </c>
      <c r="M869" s="20" t="str">
        <f t="shared" si="27"/>
        <v>N/A</v>
      </c>
    </row>
    <row r="870" spans="1:13">
      <c r="A870" s="18" t="s">
        <v>22</v>
      </c>
      <c r="B870" s="18" t="s">
        <v>365</v>
      </c>
      <c r="C870" s="18" t="s">
        <v>245</v>
      </c>
      <c r="D870" s="18" t="s">
        <v>157</v>
      </c>
      <c r="E870" s="18">
        <v>-4540801.09</v>
      </c>
      <c r="F870" s="18">
        <v>0</v>
      </c>
      <c r="G870" s="18">
        <v>662059.56000000006</v>
      </c>
      <c r="H870" s="18">
        <v>-5202860.6500000004</v>
      </c>
      <c r="L870" s="20" t="str">
        <f t="shared" si="26"/>
        <v>N/A</v>
      </c>
      <c r="M870" s="20" t="str">
        <f t="shared" si="27"/>
        <v>N/A</v>
      </c>
    </row>
    <row r="871" spans="1:13">
      <c r="A871" s="18" t="s">
        <v>22</v>
      </c>
      <c r="B871" s="18" t="s">
        <v>365</v>
      </c>
      <c r="C871" s="18" t="s">
        <v>245</v>
      </c>
      <c r="D871" s="18" t="s">
        <v>145</v>
      </c>
      <c r="E871" s="18">
        <v>0</v>
      </c>
      <c r="F871" s="18">
        <v>3177.23</v>
      </c>
      <c r="G871" s="18">
        <v>0</v>
      </c>
      <c r="H871" s="18">
        <v>3177.23</v>
      </c>
      <c r="L871" s="20" t="str">
        <f t="shared" si="26"/>
        <v>N/A</v>
      </c>
      <c r="M871" s="20" t="str">
        <f t="shared" si="27"/>
        <v>N/A</v>
      </c>
    </row>
    <row r="872" spans="1:13">
      <c r="A872" s="18" t="s">
        <v>22</v>
      </c>
      <c r="B872" s="18" t="s">
        <v>365</v>
      </c>
      <c r="C872" s="18" t="s">
        <v>245</v>
      </c>
      <c r="D872" s="18" t="s">
        <v>96</v>
      </c>
      <c r="E872" s="18">
        <v>92.5</v>
      </c>
      <c r="F872" s="18">
        <v>46.25</v>
      </c>
      <c r="G872" s="18">
        <v>0</v>
      </c>
      <c r="H872" s="18">
        <v>138.75</v>
      </c>
      <c r="L872" s="20" t="str">
        <f t="shared" si="26"/>
        <v>N/A</v>
      </c>
      <c r="M872" s="20" t="str">
        <f t="shared" si="27"/>
        <v>N/A</v>
      </c>
    </row>
    <row r="873" spans="1:13">
      <c r="A873" s="18" t="s">
        <v>22</v>
      </c>
      <c r="B873" s="18" t="s">
        <v>365</v>
      </c>
      <c r="C873" s="18" t="s">
        <v>245</v>
      </c>
      <c r="D873" s="18" t="s">
        <v>104</v>
      </c>
      <c r="E873" s="18">
        <v>211.18</v>
      </c>
      <c r="F873" s="18">
        <v>422.44</v>
      </c>
      <c r="G873" s="18">
        <v>0</v>
      </c>
      <c r="H873" s="18">
        <v>633.62</v>
      </c>
      <c r="L873" s="20" t="str">
        <f t="shared" si="26"/>
        <v>N/A</v>
      </c>
      <c r="M873" s="20" t="str">
        <f t="shared" si="27"/>
        <v>N/A</v>
      </c>
    </row>
    <row r="874" spans="1:13">
      <c r="A874" s="18" t="s">
        <v>22</v>
      </c>
      <c r="B874" s="18" t="s">
        <v>365</v>
      </c>
      <c r="C874" s="18" t="s">
        <v>245</v>
      </c>
      <c r="D874" s="18" t="s">
        <v>359</v>
      </c>
      <c r="E874" s="18">
        <v>9963.3799999999992</v>
      </c>
      <c r="F874" s="18">
        <v>94.34</v>
      </c>
      <c r="G874" s="18">
        <v>0</v>
      </c>
      <c r="H874" s="18">
        <v>10057.719999999999</v>
      </c>
      <c r="L874" s="20" t="str">
        <f t="shared" si="26"/>
        <v>N/A</v>
      </c>
      <c r="M874" s="20" t="str">
        <f t="shared" si="27"/>
        <v>N/A</v>
      </c>
    </row>
    <row r="875" spans="1:13">
      <c r="A875" s="18" t="s">
        <v>22</v>
      </c>
      <c r="B875" s="18" t="s">
        <v>365</v>
      </c>
      <c r="C875" s="18" t="s">
        <v>245</v>
      </c>
      <c r="D875" s="18" t="s">
        <v>113</v>
      </c>
      <c r="E875" s="18">
        <v>13561.95</v>
      </c>
      <c r="F875" s="18">
        <v>3714.27</v>
      </c>
      <c r="G875" s="18">
        <v>0</v>
      </c>
      <c r="H875" s="18">
        <v>17276.22</v>
      </c>
      <c r="L875" s="20" t="str">
        <f t="shared" si="26"/>
        <v>N/A</v>
      </c>
      <c r="M875" s="20" t="str">
        <f t="shared" si="27"/>
        <v>N/A</v>
      </c>
    </row>
    <row r="876" spans="1:13">
      <c r="A876" s="18" t="s">
        <v>22</v>
      </c>
      <c r="B876" s="18" t="s">
        <v>365</v>
      </c>
      <c r="C876" s="18" t="s">
        <v>245</v>
      </c>
      <c r="D876" s="18" t="s">
        <v>150</v>
      </c>
      <c r="E876" s="18">
        <v>4224.07</v>
      </c>
      <c r="F876" s="18">
        <v>255.03</v>
      </c>
      <c r="G876" s="18">
        <v>0</v>
      </c>
      <c r="H876" s="18">
        <v>4479.1000000000004</v>
      </c>
      <c r="L876" s="20" t="str">
        <f t="shared" si="26"/>
        <v>N/A</v>
      </c>
      <c r="M876" s="20" t="str">
        <f t="shared" si="27"/>
        <v>N/A</v>
      </c>
    </row>
    <row r="877" spans="1:13">
      <c r="A877" s="18" t="s">
        <v>22</v>
      </c>
      <c r="B877" s="18" t="s">
        <v>365</v>
      </c>
      <c r="C877" s="18" t="s">
        <v>245</v>
      </c>
      <c r="D877" s="18" t="s">
        <v>120</v>
      </c>
      <c r="E877" s="18">
        <v>6.34</v>
      </c>
      <c r="F877" s="18">
        <v>0</v>
      </c>
      <c r="G877" s="18">
        <v>0</v>
      </c>
      <c r="H877" s="18">
        <v>6.34</v>
      </c>
      <c r="L877" s="20" t="str">
        <f t="shared" si="26"/>
        <v>N/A</v>
      </c>
      <c r="M877" s="20" t="str">
        <f t="shared" si="27"/>
        <v>N/A</v>
      </c>
    </row>
    <row r="878" spans="1:13">
      <c r="A878" s="18" t="s">
        <v>22</v>
      </c>
      <c r="B878" s="18" t="s">
        <v>365</v>
      </c>
      <c r="C878" s="18" t="s">
        <v>245</v>
      </c>
      <c r="D878" s="18" t="s">
        <v>123</v>
      </c>
      <c r="E878" s="18">
        <v>3955.93</v>
      </c>
      <c r="F878" s="18">
        <v>2013.33</v>
      </c>
      <c r="G878" s="18">
        <v>0</v>
      </c>
      <c r="H878" s="18">
        <v>5969.26</v>
      </c>
      <c r="L878" s="20" t="str">
        <f t="shared" si="26"/>
        <v>N/A</v>
      </c>
      <c r="M878" s="20" t="str">
        <f t="shared" si="27"/>
        <v>N/A</v>
      </c>
    </row>
    <row r="879" spans="1:13">
      <c r="A879" s="18" t="s">
        <v>22</v>
      </c>
      <c r="B879" s="18" t="s">
        <v>365</v>
      </c>
      <c r="C879" s="18" t="s">
        <v>245</v>
      </c>
      <c r="D879" s="18" t="s">
        <v>126</v>
      </c>
      <c r="E879" s="18">
        <v>588.87</v>
      </c>
      <c r="F879" s="18">
        <v>113.47</v>
      </c>
      <c r="G879" s="18">
        <v>0</v>
      </c>
      <c r="H879" s="18">
        <v>702.34</v>
      </c>
      <c r="L879" s="20" t="str">
        <f t="shared" si="26"/>
        <v>N/A</v>
      </c>
      <c r="M879" s="20" t="str">
        <f t="shared" si="27"/>
        <v>N/A</v>
      </c>
    </row>
    <row r="880" spans="1:13">
      <c r="A880" s="18" t="s">
        <v>22</v>
      </c>
      <c r="B880" s="18" t="s">
        <v>365</v>
      </c>
      <c r="C880" s="18" t="s">
        <v>245</v>
      </c>
      <c r="D880" s="18" t="s">
        <v>129</v>
      </c>
      <c r="E880" s="18">
        <v>549.91</v>
      </c>
      <c r="F880" s="18">
        <v>156.49</v>
      </c>
      <c r="G880" s="18">
        <v>0</v>
      </c>
      <c r="H880" s="18">
        <v>706.4</v>
      </c>
      <c r="L880" s="20" t="str">
        <f t="shared" si="26"/>
        <v>N/A</v>
      </c>
      <c r="M880" s="20" t="str">
        <f t="shared" si="27"/>
        <v>N/A</v>
      </c>
    </row>
    <row r="881" spans="1:13">
      <c r="A881" s="18" t="s">
        <v>22</v>
      </c>
      <c r="B881" s="18" t="s">
        <v>365</v>
      </c>
      <c r="C881" s="18" t="s">
        <v>245</v>
      </c>
      <c r="D881" s="18" t="s">
        <v>131</v>
      </c>
      <c r="E881" s="18">
        <v>1396.74</v>
      </c>
      <c r="F881" s="18">
        <v>996.94</v>
      </c>
      <c r="G881" s="18">
        <v>0</v>
      </c>
      <c r="H881" s="18">
        <v>2393.6799999999998</v>
      </c>
      <c r="L881" s="20" t="str">
        <f t="shared" si="26"/>
        <v>N/A</v>
      </c>
      <c r="M881" s="20" t="str">
        <f t="shared" si="27"/>
        <v>N/A</v>
      </c>
    </row>
    <row r="882" spans="1:13">
      <c r="A882" s="18" t="s">
        <v>22</v>
      </c>
      <c r="B882" s="18" t="s">
        <v>365</v>
      </c>
      <c r="C882" s="18" t="s">
        <v>245</v>
      </c>
      <c r="D882" s="18" t="s">
        <v>162</v>
      </c>
      <c r="E882" s="18">
        <v>0</v>
      </c>
      <c r="F882" s="18">
        <v>0</v>
      </c>
      <c r="G882" s="18">
        <v>0</v>
      </c>
      <c r="H882" s="18">
        <v>0</v>
      </c>
      <c r="L882" s="20" t="str">
        <f t="shared" si="26"/>
        <v>N/A</v>
      </c>
      <c r="M882" s="20" t="str">
        <f t="shared" si="27"/>
        <v>N/A</v>
      </c>
    </row>
    <row r="883" spans="1:13">
      <c r="A883" s="18" t="s">
        <v>22</v>
      </c>
      <c r="B883" s="18" t="s">
        <v>365</v>
      </c>
      <c r="C883" s="18" t="s">
        <v>245</v>
      </c>
      <c r="D883" s="18" t="s">
        <v>134</v>
      </c>
      <c r="E883" s="18">
        <v>100.23</v>
      </c>
      <c r="F883" s="18">
        <v>125.22</v>
      </c>
      <c r="G883" s="18">
        <v>0</v>
      </c>
      <c r="H883" s="18">
        <v>225.45</v>
      </c>
      <c r="L883" s="20" t="str">
        <f t="shared" si="26"/>
        <v>N/A</v>
      </c>
      <c r="M883" s="20" t="str">
        <f t="shared" si="27"/>
        <v>N/A</v>
      </c>
    </row>
    <row r="884" spans="1:13">
      <c r="A884" s="18" t="s">
        <v>22</v>
      </c>
      <c r="B884" s="18" t="s">
        <v>365</v>
      </c>
      <c r="C884" s="18" t="s">
        <v>245</v>
      </c>
      <c r="D884" s="18" t="s">
        <v>139</v>
      </c>
      <c r="E884" s="18">
        <v>413.12</v>
      </c>
      <c r="F884" s="18">
        <v>206.56</v>
      </c>
      <c r="G884" s="18">
        <v>0</v>
      </c>
      <c r="H884" s="18">
        <v>619.67999999999995</v>
      </c>
      <c r="L884" s="20" t="str">
        <f t="shared" si="26"/>
        <v>N/A</v>
      </c>
      <c r="M884" s="20" t="str">
        <f t="shared" si="27"/>
        <v>N/A</v>
      </c>
    </row>
    <row r="885" spans="1:13">
      <c r="A885" s="18" t="s">
        <v>22</v>
      </c>
      <c r="B885" s="18" t="s">
        <v>365</v>
      </c>
      <c r="C885" s="18" t="s">
        <v>245</v>
      </c>
      <c r="D885" s="18" t="s">
        <v>142</v>
      </c>
      <c r="E885" s="18">
        <v>341.58</v>
      </c>
      <c r="F885" s="18">
        <v>201.74</v>
      </c>
      <c r="G885" s="18">
        <v>0</v>
      </c>
      <c r="H885" s="18">
        <v>543.32000000000005</v>
      </c>
      <c r="L885" s="20" t="str">
        <f t="shared" si="26"/>
        <v>N/A</v>
      </c>
      <c r="M885" s="20" t="str">
        <f t="shared" si="27"/>
        <v>N/A</v>
      </c>
    </row>
    <row r="886" spans="1:13">
      <c r="A886" s="18" t="s">
        <v>22</v>
      </c>
      <c r="B886" s="18" t="s">
        <v>365</v>
      </c>
      <c r="C886" s="18" t="s">
        <v>245</v>
      </c>
      <c r="D886" s="18" t="s">
        <v>163</v>
      </c>
      <c r="E886" s="18">
        <v>0</v>
      </c>
      <c r="F886" s="18">
        <v>0</v>
      </c>
      <c r="G886" s="18">
        <v>0</v>
      </c>
      <c r="H886" s="18">
        <v>0</v>
      </c>
      <c r="L886" s="20" t="str">
        <f t="shared" si="26"/>
        <v>N/A</v>
      </c>
      <c r="M886" s="20" t="str">
        <f t="shared" si="27"/>
        <v>N/A</v>
      </c>
    </row>
    <row r="887" spans="1:13">
      <c r="A887" s="18" t="s">
        <v>22</v>
      </c>
      <c r="B887" s="18" t="s">
        <v>365</v>
      </c>
      <c r="C887" s="18" t="s">
        <v>247</v>
      </c>
      <c r="D887" s="18" t="s">
        <v>87</v>
      </c>
      <c r="E887" s="18">
        <v>24.78</v>
      </c>
      <c r="F887" s="18">
        <v>830.57</v>
      </c>
      <c r="G887" s="18">
        <v>107.34</v>
      </c>
      <c r="H887" s="18">
        <v>748.01</v>
      </c>
      <c r="L887" s="20" t="str">
        <f t="shared" si="26"/>
        <v>Asset</v>
      </c>
      <c r="M887" s="20" t="str">
        <f t="shared" si="27"/>
        <v>okay</v>
      </c>
    </row>
    <row r="888" spans="1:13">
      <c r="A888" s="18" t="s">
        <v>22</v>
      </c>
      <c r="B888" s="18" t="s">
        <v>365</v>
      </c>
      <c r="C888" s="18" t="s">
        <v>247</v>
      </c>
      <c r="D888" s="18" t="s">
        <v>97</v>
      </c>
      <c r="E888" s="18">
        <v>406895.86</v>
      </c>
      <c r="F888" s="18">
        <v>0</v>
      </c>
      <c r="G888" s="18">
        <v>0</v>
      </c>
      <c r="H888" s="18">
        <v>406895.86</v>
      </c>
      <c r="L888" s="20" t="str">
        <f t="shared" si="26"/>
        <v>Asset</v>
      </c>
      <c r="M888" s="20" t="str">
        <f t="shared" si="27"/>
        <v>okay</v>
      </c>
    </row>
    <row r="889" spans="1:13">
      <c r="A889" s="18" t="s">
        <v>22</v>
      </c>
      <c r="B889" s="18" t="s">
        <v>365</v>
      </c>
      <c r="C889" s="18" t="s">
        <v>247</v>
      </c>
      <c r="D889" s="18" t="s">
        <v>105</v>
      </c>
      <c r="E889" s="18">
        <v>126658.88</v>
      </c>
      <c r="F889" s="18">
        <v>5944.42</v>
      </c>
      <c r="G889" s="18">
        <v>0</v>
      </c>
      <c r="H889" s="18">
        <v>132603.29999999999</v>
      </c>
      <c r="L889" s="20" t="str">
        <f t="shared" si="26"/>
        <v>Asset</v>
      </c>
      <c r="M889" s="20" t="str">
        <f t="shared" si="27"/>
        <v>okay</v>
      </c>
    </row>
    <row r="890" spans="1:13">
      <c r="A890" s="18" t="s">
        <v>22</v>
      </c>
      <c r="B890" s="18" t="s">
        <v>365</v>
      </c>
      <c r="C890" s="18" t="s">
        <v>247</v>
      </c>
      <c r="D890" s="18" t="s">
        <v>108</v>
      </c>
      <c r="E890" s="18">
        <v>0</v>
      </c>
      <c r="F890" s="18">
        <v>0</v>
      </c>
      <c r="G890" s="18">
        <v>0</v>
      </c>
      <c r="H890" s="18">
        <v>0</v>
      </c>
      <c r="L890" s="20" t="str">
        <f t="shared" si="26"/>
        <v>Asset</v>
      </c>
      <c r="M890" s="20" t="str">
        <f t="shared" si="27"/>
        <v>okay</v>
      </c>
    </row>
    <row r="891" spans="1:13">
      <c r="A891" s="18" t="s">
        <v>22</v>
      </c>
      <c r="B891" s="18" t="s">
        <v>365</v>
      </c>
      <c r="C891" s="18" t="s">
        <v>247</v>
      </c>
      <c r="D891" s="18" t="s">
        <v>116</v>
      </c>
      <c r="E891" s="18">
        <v>-5.05</v>
      </c>
      <c r="F891" s="18">
        <v>0</v>
      </c>
      <c r="G891" s="18">
        <v>0</v>
      </c>
      <c r="H891" s="18">
        <v>-5.05</v>
      </c>
      <c r="L891" s="20" t="str">
        <f t="shared" si="26"/>
        <v>N/A</v>
      </c>
      <c r="M891" s="20" t="str">
        <f t="shared" si="27"/>
        <v>N/A</v>
      </c>
    </row>
    <row r="892" spans="1:13">
      <c r="A892" s="18" t="s">
        <v>22</v>
      </c>
      <c r="B892" s="18" t="s">
        <v>365</v>
      </c>
      <c r="C892" s="18" t="s">
        <v>247</v>
      </c>
      <c r="D892" s="18" t="s">
        <v>121</v>
      </c>
      <c r="E892" s="18">
        <v>-11.13</v>
      </c>
      <c r="F892" s="18">
        <v>7.42</v>
      </c>
      <c r="G892" s="18">
        <v>1.85</v>
      </c>
      <c r="H892" s="18">
        <v>-5.56</v>
      </c>
      <c r="L892" s="20" t="str">
        <f t="shared" si="26"/>
        <v>N/A</v>
      </c>
      <c r="M892" s="20" t="str">
        <f t="shared" si="27"/>
        <v>N/A</v>
      </c>
    </row>
    <row r="893" spans="1:13">
      <c r="A893" s="18" t="s">
        <v>22</v>
      </c>
      <c r="B893" s="18" t="s">
        <v>365</v>
      </c>
      <c r="C893" s="18" t="s">
        <v>247</v>
      </c>
      <c r="D893" s="18" t="s">
        <v>124</v>
      </c>
      <c r="E893" s="18">
        <v>-2.2599999999999998</v>
      </c>
      <c r="F893" s="18">
        <v>0</v>
      </c>
      <c r="G893" s="18">
        <v>1.41</v>
      </c>
      <c r="H893" s="18">
        <v>-3.67</v>
      </c>
      <c r="L893" s="20" t="str">
        <f t="shared" si="26"/>
        <v>N/A</v>
      </c>
      <c r="M893" s="20" t="str">
        <f t="shared" si="27"/>
        <v>N/A</v>
      </c>
    </row>
    <row r="894" spans="1:13">
      <c r="A894" s="18" t="s">
        <v>22</v>
      </c>
      <c r="B894" s="18" t="s">
        <v>365</v>
      </c>
      <c r="C894" s="18" t="s">
        <v>247</v>
      </c>
      <c r="D894" s="18" t="s">
        <v>127</v>
      </c>
      <c r="E894" s="18">
        <v>0</v>
      </c>
      <c r="F894" s="18">
        <v>0</v>
      </c>
      <c r="G894" s="18">
        <v>0</v>
      </c>
      <c r="H894" s="18">
        <v>0</v>
      </c>
      <c r="L894" s="20" t="str">
        <f t="shared" si="26"/>
        <v>N/A</v>
      </c>
      <c r="M894" s="20" t="str">
        <f t="shared" si="27"/>
        <v>N/A</v>
      </c>
    </row>
    <row r="895" spans="1:13">
      <c r="A895" s="18" t="s">
        <v>22</v>
      </c>
      <c r="B895" s="18" t="s">
        <v>365</v>
      </c>
      <c r="C895" s="18" t="s">
        <v>247</v>
      </c>
      <c r="D895" s="18" t="s">
        <v>95</v>
      </c>
      <c r="E895" s="18">
        <v>-0.56000000000000005</v>
      </c>
      <c r="F895" s="18">
        <v>0.14000000000000001</v>
      </c>
      <c r="G895" s="18">
        <v>0.42</v>
      </c>
      <c r="H895" s="18">
        <v>-0.84</v>
      </c>
      <c r="L895" s="20" t="str">
        <f t="shared" si="26"/>
        <v>N/A</v>
      </c>
      <c r="M895" s="20" t="str">
        <f t="shared" si="27"/>
        <v>N/A</v>
      </c>
    </row>
    <row r="896" spans="1:13">
      <c r="A896" s="18" t="s">
        <v>22</v>
      </c>
      <c r="B896" s="18" t="s">
        <v>365</v>
      </c>
      <c r="C896" s="18" t="s">
        <v>247</v>
      </c>
      <c r="D896" s="18" t="s">
        <v>132</v>
      </c>
      <c r="E896" s="18">
        <v>0</v>
      </c>
      <c r="F896" s="18">
        <v>0</v>
      </c>
      <c r="G896" s="18">
        <v>0</v>
      </c>
      <c r="H896" s="18">
        <v>0</v>
      </c>
      <c r="L896" s="20" t="str">
        <f t="shared" si="26"/>
        <v>N/A</v>
      </c>
      <c r="M896" s="20" t="str">
        <f t="shared" si="27"/>
        <v>N/A</v>
      </c>
    </row>
    <row r="897" spans="1:13">
      <c r="A897" s="18" t="s">
        <v>22</v>
      </c>
      <c r="B897" s="18" t="s">
        <v>365</v>
      </c>
      <c r="C897" s="18" t="s">
        <v>247</v>
      </c>
      <c r="D897" s="18" t="s">
        <v>135</v>
      </c>
      <c r="E897" s="18">
        <v>-493827.16</v>
      </c>
      <c r="F897" s="18">
        <v>0</v>
      </c>
      <c r="G897" s="18">
        <v>0</v>
      </c>
      <c r="H897" s="18">
        <v>-493827.16</v>
      </c>
      <c r="L897" s="20" t="str">
        <f t="shared" si="26"/>
        <v>N/A</v>
      </c>
      <c r="M897" s="20" t="str">
        <f t="shared" si="27"/>
        <v>N/A</v>
      </c>
    </row>
    <row r="898" spans="1:13">
      <c r="A898" s="18" t="s">
        <v>22</v>
      </c>
      <c r="B898" s="18" t="s">
        <v>365</v>
      </c>
      <c r="C898" s="18" t="s">
        <v>247</v>
      </c>
      <c r="D898" s="18" t="s">
        <v>140</v>
      </c>
      <c r="E898" s="18">
        <v>-1181.1500000000001</v>
      </c>
      <c r="F898" s="18">
        <v>0</v>
      </c>
      <c r="G898" s="18">
        <v>830.45</v>
      </c>
      <c r="H898" s="18">
        <v>-2011.6</v>
      </c>
      <c r="L898" s="20" t="str">
        <f t="shared" si="26"/>
        <v>N/A</v>
      </c>
      <c r="M898" s="20" t="str">
        <f t="shared" si="27"/>
        <v>N/A</v>
      </c>
    </row>
    <row r="899" spans="1:13">
      <c r="A899" s="18" t="s">
        <v>22</v>
      </c>
      <c r="B899" s="18" t="s">
        <v>365</v>
      </c>
      <c r="C899" s="18" t="s">
        <v>247</v>
      </c>
      <c r="D899" s="18" t="s">
        <v>143</v>
      </c>
      <c r="E899" s="18">
        <v>86931.3</v>
      </c>
      <c r="F899" s="18">
        <v>0</v>
      </c>
      <c r="G899" s="18">
        <v>0</v>
      </c>
      <c r="H899" s="18">
        <v>86931.3</v>
      </c>
      <c r="L899" s="20" t="str">
        <f t="shared" ref="L899:L962" si="28">+IF(LEFT(D899,1)="1","Asset","N/A")</f>
        <v>N/A</v>
      </c>
      <c r="M899" s="20" t="str">
        <f t="shared" ref="M899:M962" si="29">+IF(L899="asset",IF(H899&lt;0,"Provide Comment","okay"),"N/A")</f>
        <v>N/A</v>
      </c>
    </row>
    <row r="900" spans="1:13">
      <c r="A900" s="18" t="s">
        <v>22</v>
      </c>
      <c r="B900" s="18" t="s">
        <v>365</v>
      </c>
      <c r="C900" s="18" t="s">
        <v>247</v>
      </c>
      <c r="D900" s="18" t="s">
        <v>146</v>
      </c>
      <c r="E900" s="18">
        <v>11015.79</v>
      </c>
      <c r="F900" s="18">
        <v>0</v>
      </c>
      <c r="G900" s="18">
        <v>0</v>
      </c>
      <c r="H900" s="18">
        <v>11015.79</v>
      </c>
      <c r="L900" s="20" t="str">
        <f t="shared" si="28"/>
        <v>N/A</v>
      </c>
      <c r="M900" s="20" t="str">
        <f t="shared" si="29"/>
        <v>N/A</v>
      </c>
    </row>
    <row r="901" spans="1:13">
      <c r="A901" s="18" t="s">
        <v>22</v>
      </c>
      <c r="B901" s="18" t="s">
        <v>365</v>
      </c>
      <c r="C901" s="18" t="s">
        <v>247</v>
      </c>
      <c r="D901" s="18" t="s">
        <v>147</v>
      </c>
      <c r="E901" s="18">
        <v>-96042.47</v>
      </c>
      <c r="F901" s="18">
        <v>0</v>
      </c>
      <c r="G901" s="18">
        <v>0</v>
      </c>
      <c r="H901" s="18">
        <v>-96042.47</v>
      </c>
      <c r="L901" s="20" t="str">
        <f t="shared" si="28"/>
        <v>N/A</v>
      </c>
      <c r="M901" s="20" t="str">
        <f t="shared" si="29"/>
        <v>N/A</v>
      </c>
    </row>
    <row r="902" spans="1:13">
      <c r="A902" s="18" t="s">
        <v>22</v>
      </c>
      <c r="B902" s="18" t="s">
        <v>365</v>
      </c>
      <c r="C902" s="18" t="s">
        <v>247</v>
      </c>
      <c r="D902" s="18" t="s">
        <v>153</v>
      </c>
      <c r="E902" s="18">
        <v>0</v>
      </c>
      <c r="F902" s="18">
        <v>0</v>
      </c>
      <c r="G902" s="18">
        <v>0</v>
      </c>
      <c r="H902" s="18">
        <v>0</v>
      </c>
      <c r="L902" s="20" t="str">
        <f t="shared" si="28"/>
        <v>N/A</v>
      </c>
      <c r="M902" s="20" t="str">
        <f t="shared" si="29"/>
        <v>N/A</v>
      </c>
    </row>
    <row r="903" spans="1:13">
      <c r="A903" s="18" t="s">
        <v>22</v>
      </c>
      <c r="B903" s="18" t="s">
        <v>365</v>
      </c>
      <c r="C903" s="18" t="s">
        <v>247</v>
      </c>
      <c r="D903" s="18" t="s">
        <v>155</v>
      </c>
      <c r="E903" s="18">
        <v>0</v>
      </c>
      <c r="F903" s="18">
        <v>0</v>
      </c>
      <c r="G903" s="18">
        <v>0</v>
      </c>
      <c r="H903" s="18">
        <v>0</v>
      </c>
      <c r="L903" s="20" t="str">
        <f t="shared" si="28"/>
        <v>N/A</v>
      </c>
      <c r="M903" s="20" t="str">
        <f t="shared" si="29"/>
        <v>N/A</v>
      </c>
    </row>
    <row r="904" spans="1:13">
      <c r="A904" s="18" t="s">
        <v>22</v>
      </c>
      <c r="B904" s="18" t="s">
        <v>365</v>
      </c>
      <c r="C904" s="18" t="s">
        <v>247</v>
      </c>
      <c r="D904" s="18" t="s">
        <v>156</v>
      </c>
      <c r="E904" s="18">
        <v>-4.3499999999999996</v>
      </c>
      <c r="F904" s="18">
        <v>0</v>
      </c>
      <c r="G904" s="18">
        <v>0.12</v>
      </c>
      <c r="H904" s="18">
        <v>-4.47</v>
      </c>
      <c r="L904" s="20" t="str">
        <f t="shared" si="28"/>
        <v>N/A</v>
      </c>
      <c r="M904" s="20" t="str">
        <f t="shared" si="29"/>
        <v>N/A</v>
      </c>
    </row>
    <row r="905" spans="1:13">
      <c r="A905" s="18" t="s">
        <v>22</v>
      </c>
      <c r="B905" s="18" t="s">
        <v>365</v>
      </c>
      <c r="C905" s="18" t="s">
        <v>247</v>
      </c>
      <c r="D905" s="18" t="s">
        <v>157</v>
      </c>
      <c r="E905" s="18">
        <v>-40770.379999999997</v>
      </c>
      <c r="F905" s="18">
        <v>0</v>
      </c>
      <c r="G905" s="18">
        <v>5944.42</v>
      </c>
      <c r="H905" s="18">
        <v>-46714.8</v>
      </c>
      <c r="L905" s="20" t="str">
        <f t="shared" si="28"/>
        <v>N/A</v>
      </c>
      <c r="M905" s="20" t="str">
        <f t="shared" si="29"/>
        <v>N/A</v>
      </c>
    </row>
    <row r="906" spans="1:13">
      <c r="A906" s="18" t="s">
        <v>22</v>
      </c>
      <c r="B906" s="18" t="s">
        <v>365</v>
      </c>
      <c r="C906" s="18" t="s">
        <v>247</v>
      </c>
      <c r="D906" s="18" t="s">
        <v>145</v>
      </c>
      <c r="E906" s="18">
        <v>0</v>
      </c>
      <c r="F906" s="18">
        <v>28.53</v>
      </c>
      <c r="G906" s="18">
        <v>0</v>
      </c>
      <c r="H906" s="18">
        <v>28.53</v>
      </c>
      <c r="L906" s="20" t="str">
        <f t="shared" si="28"/>
        <v>N/A</v>
      </c>
      <c r="M906" s="20" t="str">
        <f t="shared" si="29"/>
        <v>N/A</v>
      </c>
    </row>
    <row r="907" spans="1:13">
      <c r="A907" s="18" t="s">
        <v>22</v>
      </c>
      <c r="B907" s="18" t="s">
        <v>365</v>
      </c>
      <c r="C907" s="18" t="s">
        <v>247</v>
      </c>
      <c r="D907" s="18" t="s">
        <v>96</v>
      </c>
      <c r="E907" s="18">
        <v>0.84</v>
      </c>
      <c r="F907" s="18">
        <v>0.42</v>
      </c>
      <c r="G907" s="18">
        <v>0</v>
      </c>
      <c r="H907" s="18">
        <v>1.26</v>
      </c>
      <c r="L907" s="20" t="str">
        <f t="shared" si="28"/>
        <v>N/A</v>
      </c>
      <c r="M907" s="20" t="str">
        <f t="shared" si="29"/>
        <v>N/A</v>
      </c>
    </row>
    <row r="908" spans="1:13">
      <c r="A908" s="18" t="s">
        <v>22</v>
      </c>
      <c r="B908" s="18" t="s">
        <v>365</v>
      </c>
      <c r="C908" s="18" t="s">
        <v>247</v>
      </c>
      <c r="D908" s="18" t="s">
        <v>104</v>
      </c>
      <c r="E908" s="18">
        <v>1.9</v>
      </c>
      <c r="F908" s="18">
        <v>3.79</v>
      </c>
      <c r="G908" s="18">
        <v>0</v>
      </c>
      <c r="H908" s="18">
        <v>5.69</v>
      </c>
      <c r="L908" s="20" t="str">
        <f t="shared" si="28"/>
        <v>N/A</v>
      </c>
      <c r="M908" s="20" t="str">
        <f t="shared" si="29"/>
        <v>N/A</v>
      </c>
    </row>
    <row r="909" spans="1:13">
      <c r="A909" s="18" t="s">
        <v>22</v>
      </c>
      <c r="B909" s="18" t="s">
        <v>365</v>
      </c>
      <c r="C909" s="18" t="s">
        <v>247</v>
      </c>
      <c r="D909" s="18" t="s">
        <v>359</v>
      </c>
      <c r="E909" s="18">
        <v>89.46</v>
      </c>
      <c r="F909" s="18">
        <v>0.85</v>
      </c>
      <c r="G909" s="18">
        <v>0</v>
      </c>
      <c r="H909" s="18">
        <v>90.31</v>
      </c>
      <c r="L909" s="20" t="str">
        <f t="shared" si="28"/>
        <v>N/A</v>
      </c>
      <c r="M909" s="20" t="str">
        <f t="shared" si="29"/>
        <v>N/A</v>
      </c>
    </row>
    <row r="910" spans="1:13">
      <c r="A910" s="18" t="s">
        <v>22</v>
      </c>
      <c r="B910" s="18" t="s">
        <v>365</v>
      </c>
      <c r="C910" s="18" t="s">
        <v>247</v>
      </c>
      <c r="D910" s="18" t="s">
        <v>113</v>
      </c>
      <c r="E910" s="18">
        <v>121.77</v>
      </c>
      <c r="F910" s="18">
        <v>33.35</v>
      </c>
      <c r="G910" s="18">
        <v>0</v>
      </c>
      <c r="H910" s="18">
        <v>155.12</v>
      </c>
      <c r="L910" s="20" t="str">
        <f t="shared" si="28"/>
        <v>N/A</v>
      </c>
      <c r="M910" s="20" t="str">
        <f t="shared" si="29"/>
        <v>N/A</v>
      </c>
    </row>
    <row r="911" spans="1:13">
      <c r="A911" s="18" t="s">
        <v>22</v>
      </c>
      <c r="B911" s="18" t="s">
        <v>365</v>
      </c>
      <c r="C911" s="18" t="s">
        <v>247</v>
      </c>
      <c r="D911" s="18" t="s">
        <v>150</v>
      </c>
      <c r="E911" s="18">
        <v>37.92</v>
      </c>
      <c r="F911" s="18">
        <v>2.29</v>
      </c>
      <c r="G911" s="18">
        <v>0</v>
      </c>
      <c r="H911" s="18">
        <v>40.21</v>
      </c>
      <c r="L911" s="20" t="str">
        <f t="shared" si="28"/>
        <v>N/A</v>
      </c>
      <c r="M911" s="20" t="str">
        <f t="shared" si="29"/>
        <v>N/A</v>
      </c>
    </row>
    <row r="912" spans="1:13">
      <c r="A912" s="18" t="s">
        <v>22</v>
      </c>
      <c r="B912" s="18" t="s">
        <v>365</v>
      </c>
      <c r="C912" s="18" t="s">
        <v>247</v>
      </c>
      <c r="D912" s="18" t="s">
        <v>120</v>
      </c>
      <c r="E912" s="18">
        <v>0.06</v>
      </c>
      <c r="F912" s="18">
        <v>0</v>
      </c>
      <c r="G912" s="18">
        <v>0</v>
      </c>
      <c r="H912" s="18">
        <v>0.06</v>
      </c>
      <c r="L912" s="20" t="str">
        <f t="shared" si="28"/>
        <v>N/A</v>
      </c>
      <c r="M912" s="20" t="str">
        <f t="shared" si="29"/>
        <v>N/A</v>
      </c>
    </row>
    <row r="913" spans="1:13">
      <c r="A913" s="18" t="s">
        <v>22</v>
      </c>
      <c r="B913" s="18" t="s">
        <v>365</v>
      </c>
      <c r="C913" s="18" t="s">
        <v>247</v>
      </c>
      <c r="D913" s="18" t="s">
        <v>123</v>
      </c>
      <c r="E913" s="18">
        <v>35.53</v>
      </c>
      <c r="F913" s="18">
        <v>18.07</v>
      </c>
      <c r="G913" s="18">
        <v>0</v>
      </c>
      <c r="H913" s="18">
        <v>53.6</v>
      </c>
      <c r="L913" s="20" t="str">
        <f t="shared" si="28"/>
        <v>N/A</v>
      </c>
      <c r="M913" s="20" t="str">
        <f t="shared" si="29"/>
        <v>N/A</v>
      </c>
    </row>
    <row r="914" spans="1:13">
      <c r="A914" s="18" t="s">
        <v>22</v>
      </c>
      <c r="B914" s="18" t="s">
        <v>365</v>
      </c>
      <c r="C914" s="18" t="s">
        <v>247</v>
      </c>
      <c r="D914" s="18" t="s">
        <v>126</v>
      </c>
      <c r="E914" s="18">
        <v>5.29</v>
      </c>
      <c r="F914" s="18">
        <v>1.02</v>
      </c>
      <c r="G914" s="18">
        <v>0</v>
      </c>
      <c r="H914" s="18">
        <v>6.31</v>
      </c>
      <c r="L914" s="20" t="str">
        <f t="shared" si="28"/>
        <v>N/A</v>
      </c>
      <c r="M914" s="20" t="str">
        <f t="shared" si="29"/>
        <v>N/A</v>
      </c>
    </row>
    <row r="915" spans="1:13">
      <c r="A915" s="18" t="s">
        <v>22</v>
      </c>
      <c r="B915" s="18" t="s">
        <v>365</v>
      </c>
      <c r="C915" s="18" t="s">
        <v>247</v>
      </c>
      <c r="D915" s="18" t="s">
        <v>129</v>
      </c>
      <c r="E915" s="18">
        <v>4.9400000000000004</v>
      </c>
      <c r="F915" s="18">
        <v>1.41</v>
      </c>
      <c r="G915" s="18">
        <v>0</v>
      </c>
      <c r="H915" s="18">
        <v>6.35</v>
      </c>
      <c r="L915" s="20" t="str">
        <f t="shared" si="28"/>
        <v>N/A</v>
      </c>
      <c r="M915" s="20" t="str">
        <f t="shared" si="29"/>
        <v>N/A</v>
      </c>
    </row>
    <row r="916" spans="1:13">
      <c r="A916" s="18" t="s">
        <v>22</v>
      </c>
      <c r="B916" s="18" t="s">
        <v>365</v>
      </c>
      <c r="C916" s="18" t="s">
        <v>247</v>
      </c>
      <c r="D916" s="18" t="s">
        <v>131</v>
      </c>
      <c r="E916" s="18">
        <v>12.53</v>
      </c>
      <c r="F916" s="18">
        <v>8.9499999999999993</v>
      </c>
      <c r="G916" s="18">
        <v>0</v>
      </c>
      <c r="H916" s="18">
        <v>21.48</v>
      </c>
      <c r="L916" s="20" t="str">
        <f t="shared" si="28"/>
        <v>N/A</v>
      </c>
      <c r="M916" s="20" t="str">
        <f t="shared" si="29"/>
        <v>N/A</v>
      </c>
    </row>
    <row r="917" spans="1:13">
      <c r="A917" s="18" t="s">
        <v>22</v>
      </c>
      <c r="B917" s="18" t="s">
        <v>365</v>
      </c>
      <c r="C917" s="18" t="s">
        <v>247</v>
      </c>
      <c r="D917" s="18" t="s">
        <v>162</v>
      </c>
      <c r="E917" s="18">
        <v>0</v>
      </c>
      <c r="F917" s="18">
        <v>0</v>
      </c>
      <c r="G917" s="18">
        <v>0</v>
      </c>
      <c r="H917" s="18">
        <v>0</v>
      </c>
      <c r="L917" s="20" t="str">
        <f t="shared" si="28"/>
        <v>N/A</v>
      </c>
      <c r="M917" s="20" t="str">
        <f t="shared" si="29"/>
        <v>N/A</v>
      </c>
    </row>
    <row r="918" spans="1:13">
      <c r="A918" s="18" t="s">
        <v>22</v>
      </c>
      <c r="B918" s="18" t="s">
        <v>365</v>
      </c>
      <c r="C918" s="18" t="s">
        <v>247</v>
      </c>
      <c r="D918" s="18" t="s">
        <v>134</v>
      </c>
      <c r="E918" s="18">
        <v>0.9</v>
      </c>
      <c r="F918" s="18">
        <v>1.1200000000000001</v>
      </c>
      <c r="G918" s="18">
        <v>0</v>
      </c>
      <c r="H918" s="18">
        <v>2.02</v>
      </c>
      <c r="L918" s="20" t="str">
        <f t="shared" si="28"/>
        <v>N/A</v>
      </c>
      <c r="M918" s="20" t="str">
        <f t="shared" si="29"/>
        <v>N/A</v>
      </c>
    </row>
    <row r="919" spans="1:13">
      <c r="A919" s="18" t="s">
        <v>22</v>
      </c>
      <c r="B919" s="18" t="s">
        <v>365</v>
      </c>
      <c r="C919" s="18" t="s">
        <v>247</v>
      </c>
      <c r="D919" s="18" t="s">
        <v>139</v>
      </c>
      <c r="E919" s="18">
        <v>3.7</v>
      </c>
      <c r="F919" s="18">
        <v>1.85</v>
      </c>
      <c r="G919" s="18">
        <v>0</v>
      </c>
      <c r="H919" s="18">
        <v>5.55</v>
      </c>
      <c r="L919" s="20" t="str">
        <f t="shared" si="28"/>
        <v>N/A</v>
      </c>
      <c r="M919" s="20" t="str">
        <f t="shared" si="29"/>
        <v>N/A</v>
      </c>
    </row>
    <row r="920" spans="1:13">
      <c r="A920" s="18" t="s">
        <v>22</v>
      </c>
      <c r="B920" s="18" t="s">
        <v>365</v>
      </c>
      <c r="C920" s="18" t="s">
        <v>247</v>
      </c>
      <c r="D920" s="18" t="s">
        <v>142</v>
      </c>
      <c r="E920" s="18">
        <v>3.06</v>
      </c>
      <c r="F920" s="18">
        <v>1.81</v>
      </c>
      <c r="G920" s="18">
        <v>0</v>
      </c>
      <c r="H920" s="18">
        <v>4.87</v>
      </c>
      <c r="L920" s="20" t="str">
        <f t="shared" si="28"/>
        <v>N/A</v>
      </c>
      <c r="M920" s="20" t="str">
        <f t="shared" si="29"/>
        <v>N/A</v>
      </c>
    </row>
    <row r="921" spans="1:13">
      <c r="A921" s="18" t="s">
        <v>22</v>
      </c>
      <c r="B921" s="18" t="s">
        <v>365</v>
      </c>
      <c r="C921" s="18" t="s">
        <v>247</v>
      </c>
      <c r="D921" s="18" t="s">
        <v>163</v>
      </c>
      <c r="E921" s="18">
        <v>0</v>
      </c>
      <c r="F921" s="18">
        <v>0</v>
      </c>
      <c r="G921" s="18">
        <v>0</v>
      </c>
      <c r="H921" s="18">
        <v>0</v>
      </c>
      <c r="L921" s="20" t="str">
        <f t="shared" si="28"/>
        <v>N/A</v>
      </c>
      <c r="M921" s="20" t="str">
        <f t="shared" si="29"/>
        <v>N/A</v>
      </c>
    </row>
    <row r="922" spans="1:13">
      <c r="A922" s="18" t="s">
        <v>22</v>
      </c>
      <c r="B922" s="18" t="s">
        <v>365</v>
      </c>
      <c r="C922" s="18" t="s">
        <v>249</v>
      </c>
      <c r="D922" s="18" t="s">
        <v>87</v>
      </c>
      <c r="E922" s="18">
        <v>1554.51</v>
      </c>
      <c r="F922" s="18">
        <v>52077.1</v>
      </c>
      <c r="G922" s="18">
        <v>6729.99</v>
      </c>
      <c r="H922" s="18">
        <v>46901.62</v>
      </c>
      <c r="L922" s="20" t="str">
        <f t="shared" si="28"/>
        <v>Asset</v>
      </c>
      <c r="M922" s="20" t="str">
        <f t="shared" si="29"/>
        <v>okay</v>
      </c>
    </row>
    <row r="923" spans="1:13">
      <c r="A923" s="18" t="s">
        <v>22</v>
      </c>
      <c r="B923" s="18" t="s">
        <v>365</v>
      </c>
      <c r="C923" s="18" t="s">
        <v>249</v>
      </c>
      <c r="D923" s="18" t="s">
        <v>97</v>
      </c>
      <c r="E923" s="18">
        <v>25512369.949999999</v>
      </c>
      <c r="F923" s="18">
        <v>0</v>
      </c>
      <c r="G923" s="18">
        <v>0</v>
      </c>
      <c r="H923" s="18">
        <v>25512369.949999999</v>
      </c>
      <c r="L923" s="20" t="str">
        <f t="shared" si="28"/>
        <v>Asset</v>
      </c>
      <c r="M923" s="20" t="str">
        <f t="shared" si="29"/>
        <v>okay</v>
      </c>
    </row>
    <row r="924" spans="1:13">
      <c r="A924" s="18" t="s">
        <v>22</v>
      </c>
      <c r="B924" s="18" t="s">
        <v>365</v>
      </c>
      <c r="C924" s="18" t="s">
        <v>249</v>
      </c>
      <c r="D924" s="18" t="s">
        <v>105</v>
      </c>
      <c r="E924" s="18">
        <v>7941512.5599999996</v>
      </c>
      <c r="F924" s="18">
        <v>372715.01</v>
      </c>
      <c r="G924" s="18">
        <v>0</v>
      </c>
      <c r="H924" s="18">
        <v>8314227.5700000003</v>
      </c>
      <c r="L924" s="20" t="str">
        <f t="shared" si="28"/>
        <v>Asset</v>
      </c>
      <c r="M924" s="20" t="str">
        <f t="shared" si="29"/>
        <v>okay</v>
      </c>
    </row>
    <row r="925" spans="1:13">
      <c r="A925" s="18" t="s">
        <v>22</v>
      </c>
      <c r="B925" s="18" t="s">
        <v>365</v>
      </c>
      <c r="C925" s="18" t="s">
        <v>249</v>
      </c>
      <c r="D925" s="18" t="s">
        <v>108</v>
      </c>
      <c r="E925" s="18">
        <v>0</v>
      </c>
      <c r="F925" s="18">
        <v>0</v>
      </c>
      <c r="G925" s="18">
        <v>0</v>
      </c>
      <c r="H925" s="18">
        <v>0</v>
      </c>
      <c r="L925" s="20" t="str">
        <f t="shared" si="28"/>
        <v>Asset</v>
      </c>
      <c r="M925" s="20" t="str">
        <f t="shared" si="29"/>
        <v>okay</v>
      </c>
    </row>
    <row r="926" spans="1:13">
      <c r="A926" s="18" t="s">
        <v>22</v>
      </c>
      <c r="B926" s="18" t="s">
        <v>365</v>
      </c>
      <c r="C926" s="18" t="s">
        <v>249</v>
      </c>
      <c r="D926" s="18" t="s">
        <v>116</v>
      </c>
      <c r="E926" s="18">
        <v>-318.04000000000002</v>
      </c>
      <c r="F926" s="18">
        <v>0</v>
      </c>
      <c r="G926" s="18">
        <v>0</v>
      </c>
      <c r="H926" s="18">
        <v>-318.04000000000002</v>
      </c>
      <c r="L926" s="20" t="str">
        <f t="shared" si="28"/>
        <v>N/A</v>
      </c>
      <c r="M926" s="20" t="str">
        <f t="shared" si="29"/>
        <v>N/A</v>
      </c>
    </row>
    <row r="927" spans="1:13">
      <c r="A927" s="18" t="s">
        <v>22</v>
      </c>
      <c r="B927" s="18" t="s">
        <v>365</v>
      </c>
      <c r="C927" s="18" t="s">
        <v>249</v>
      </c>
      <c r="D927" s="18" t="s">
        <v>121</v>
      </c>
      <c r="E927" s="18">
        <v>-697.73</v>
      </c>
      <c r="F927" s="18">
        <v>465.15</v>
      </c>
      <c r="G927" s="18">
        <v>116.29</v>
      </c>
      <c r="H927" s="18">
        <v>-348.87</v>
      </c>
      <c r="L927" s="20" t="str">
        <f t="shared" si="28"/>
        <v>N/A</v>
      </c>
      <c r="M927" s="20" t="str">
        <f t="shared" si="29"/>
        <v>N/A</v>
      </c>
    </row>
    <row r="928" spans="1:13">
      <c r="A928" s="18" t="s">
        <v>22</v>
      </c>
      <c r="B928" s="18" t="s">
        <v>365</v>
      </c>
      <c r="C928" s="18" t="s">
        <v>249</v>
      </c>
      <c r="D928" s="18" t="s">
        <v>124</v>
      </c>
      <c r="E928" s="18">
        <v>-142.55000000000001</v>
      </c>
      <c r="F928" s="18">
        <v>0</v>
      </c>
      <c r="G928" s="18">
        <v>88.71</v>
      </c>
      <c r="H928" s="18">
        <v>-231.26</v>
      </c>
      <c r="L928" s="20" t="str">
        <f t="shared" si="28"/>
        <v>N/A</v>
      </c>
      <c r="M928" s="20" t="str">
        <f t="shared" si="29"/>
        <v>N/A</v>
      </c>
    </row>
    <row r="929" spans="1:13">
      <c r="A929" s="18" t="s">
        <v>22</v>
      </c>
      <c r="B929" s="18" t="s">
        <v>365</v>
      </c>
      <c r="C929" s="18" t="s">
        <v>249</v>
      </c>
      <c r="D929" s="18" t="s">
        <v>127</v>
      </c>
      <c r="E929" s="18">
        <v>0</v>
      </c>
      <c r="F929" s="18">
        <v>0</v>
      </c>
      <c r="G929" s="18">
        <v>0</v>
      </c>
      <c r="H929" s="18">
        <v>0</v>
      </c>
      <c r="L929" s="20" t="str">
        <f t="shared" si="28"/>
        <v>N/A</v>
      </c>
      <c r="M929" s="20" t="str">
        <f t="shared" si="29"/>
        <v>N/A</v>
      </c>
    </row>
    <row r="930" spans="1:13">
      <c r="A930" s="18" t="s">
        <v>22</v>
      </c>
      <c r="B930" s="18" t="s">
        <v>365</v>
      </c>
      <c r="C930" s="18" t="s">
        <v>249</v>
      </c>
      <c r="D930" s="18" t="s">
        <v>95</v>
      </c>
      <c r="E930" s="18">
        <v>-34.659999999999997</v>
      </c>
      <c r="F930" s="18">
        <v>8.68</v>
      </c>
      <c r="G930" s="18">
        <v>26.03</v>
      </c>
      <c r="H930" s="18">
        <v>-52.01</v>
      </c>
      <c r="L930" s="20" t="str">
        <f t="shared" si="28"/>
        <v>N/A</v>
      </c>
      <c r="M930" s="20" t="str">
        <f t="shared" si="29"/>
        <v>N/A</v>
      </c>
    </row>
    <row r="931" spans="1:13">
      <c r="A931" s="18" t="s">
        <v>22</v>
      </c>
      <c r="B931" s="18" t="s">
        <v>365</v>
      </c>
      <c r="C931" s="18" t="s">
        <v>249</v>
      </c>
      <c r="D931" s="18" t="s">
        <v>132</v>
      </c>
      <c r="E931" s="18">
        <v>0</v>
      </c>
      <c r="F931" s="18">
        <v>0</v>
      </c>
      <c r="G931" s="18">
        <v>0</v>
      </c>
      <c r="H931" s="18">
        <v>0</v>
      </c>
      <c r="L931" s="20" t="str">
        <f t="shared" si="28"/>
        <v>N/A</v>
      </c>
      <c r="M931" s="20" t="str">
        <f t="shared" si="29"/>
        <v>N/A</v>
      </c>
    </row>
    <row r="932" spans="1:13">
      <c r="A932" s="18" t="s">
        <v>22</v>
      </c>
      <c r="B932" s="18" t="s">
        <v>365</v>
      </c>
      <c r="C932" s="18" t="s">
        <v>249</v>
      </c>
      <c r="D932" s="18" t="s">
        <v>135</v>
      </c>
      <c r="E932" s="18">
        <v>-30962962.960000001</v>
      </c>
      <c r="F932" s="18">
        <v>0</v>
      </c>
      <c r="G932" s="18">
        <v>0</v>
      </c>
      <c r="H932" s="18">
        <v>-30962962.960000001</v>
      </c>
      <c r="L932" s="20" t="str">
        <f t="shared" si="28"/>
        <v>N/A</v>
      </c>
      <c r="M932" s="20" t="str">
        <f t="shared" si="29"/>
        <v>N/A</v>
      </c>
    </row>
    <row r="933" spans="1:13">
      <c r="A933" s="18" t="s">
        <v>22</v>
      </c>
      <c r="B933" s="18" t="s">
        <v>365</v>
      </c>
      <c r="C933" s="18" t="s">
        <v>249</v>
      </c>
      <c r="D933" s="18" t="s">
        <v>140</v>
      </c>
      <c r="E933" s="18">
        <v>-74058.399999999994</v>
      </c>
      <c r="F933" s="18">
        <v>0</v>
      </c>
      <c r="G933" s="18">
        <v>52069.2</v>
      </c>
      <c r="H933" s="18">
        <v>-126127.6</v>
      </c>
      <c r="L933" s="20" t="str">
        <f t="shared" si="28"/>
        <v>N/A</v>
      </c>
      <c r="M933" s="20" t="str">
        <f t="shared" si="29"/>
        <v>N/A</v>
      </c>
    </row>
    <row r="934" spans="1:13">
      <c r="A934" s="18" t="s">
        <v>22</v>
      </c>
      <c r="B934" s="18" t="s">
        <v>365</v>
      </c>
      <c r="C934" s="18" t="s">
        <v>249</v>
      </c>
      <c r="D934" s="18" t="s">
        <v>143</v>
      </c>
      <c r="E934" s="18">
        <v>5450593.0099999998</v>
      </c>
      <c r="F934" s="18">
        <v>0</v>
      </c>
      <c r="G934" s="18">
        <v>0</v>
      </c>
      <c r="H934" s="18">
        <v>5450593.0099999998</v>
      </c>
      <c r="L934" s="20" t="str">
        <f t="shared" si="28"/>
        <v>N/A</v>
      </c>
      <c r="M934" s="20" t="str">
        <f t="shared" si="29"/>
        <v>N/A</v>
      </c>
    </row>
    <row r="935" spans="1:13">
      <c r="A935" s="18" t="s">
        <v>22</v>
      </c>
      <c r="B935" s="18" t="s">
        <v>365</v>
      </c>
      <c r="C935" s="18" t="s">
        <v>249</v>
      </c>
      <c r="D935" s="18" t="s">
        <v>146</v>
      </c>
      <c r="E935" s="18">
        <v>690690.1</v>
      </c>
      <c r="F935" s="18">
        <v>0</v>
      </c>
      <c r="G935" s="18">
        <v>0</v>
      </c>
      <c r="H935" s="18">
        <v>690690.1</v>
      </c>
      <c r="L935" s="20" t="str">
        <f t="shared" si="28"/>
        <v>N/A</v>
      </c>
      <c r="M935" s="20" t="str">
        <f t="shared" si="29"/>
        <v>N/A</v>
      </c>
    </row>
    <row r="936" spans="1:13">
      <c r="A936" s="18" t="s">
        <v>22</v>
      </c>
      <c r="B936" s="18" t="s">
        <v>365</v>
      </c>
      <c r="C936" s="18" t="s">
        <v>249</v>
      </c>
      <c r="D936" s="18" t="s">
        <v>147</v>
      </c>
      <c r="E936" s="18">
        <v>-6021862.4000000004</v>
      </c>
      <c r="F936" s="18">
        <v>0</v>
      </c>
      <c r="G936" s="18">
        <v>0</v>
      </c>
      <c r="H936" s="18">
        <v>-6021862.4000000004</v>
      </c>
      <c r="L936" s="20" t="str">
        <f t="shared" si="28"/>
        <v>N/A</v>
      </c>
      <c r="M936" s="20" t="str">
        <f t="shared" si="29"/>
        <v>N/A</v>
      </c>
    </row>
    <row r="937" spans="1:13">
      <c r="A937" s="18" t="s">
        <v>22</v>
      </c>
      <c r="B937" s="18" t="s">
        <v>365</v>
      </c>
      <c r="C937" s="18" t="s">
        <v>249</v>
      </c>
      <c r="D937" s="18" t="s">
        <v>153</v>
      </c>
      <c r="E937" s="18">
        <v>0</v>
      </c>
      <c r="F937" s="18">
        <v>0</v>
      </c>
      <c r="G937" s="18">
        <v>0</v>
      </c>
      <c r="H937" s="18">
        <v>0</v>
      </c>
      <c r="L937" s="20" t="str">
        <f t="shared" si="28"/>
        <v>N/A</v>
      </c>
      <c r="M937" s="20" t="str">
        <f t="shared" si="29"/>
        <v>N/A</v>
      </c>
    </row>
    <row r="938" spans="1:13">
      <c r="A938" s="18" t="s">
        <v>22</v>
      </c>
      <c r="B938" s="18" t="s">
        <v>365</v>
      </c>
      <c r="C938" s="18" t="s">
        <v>249</v>
      </c>
      <c r="D938" s="18" t="s">
        <v>155</v>
      </c>
      <c r="E938" s="18">
        <v>0</v>
      </c>
      <c r="F938" s="18">
        <v>0</v>
      </c>
      <c r="G938" s="18">
        <v>0</v>
      </c>
      <c r="H938" s="18">
        <v>0</v>
      </c>
      <c r="L938" s="20" t="str">
        <f t="shared" si="28"/>
        <v>N/A</v>
      </c>
      <c r="M938" s="20" t="str">
        <f t="shared" si="29"/>
        <v>N/A</v>
      </c>
    </row>
    <row r="939" spans="1:13">
      <c r="A939" s="18" t="s">
        <v>22</v>
      </c>
      <c r="B939" s="18" t="s">
        <v>365</v>
      </c>
      <c r="C939" s="18" t="s">
        <v>249</v>
      </c>
      <c r="D939" s="18" t="s">
        <v>156</v>
      </c>
      <c r="E939" s="18">
        <v>-272.73</v>
      </c>
      <c r="F939" s="18">
        <v>0</v>
      </c>
      <c r="G939" s="18">
        <v>7.9</v>
      </c>
      <c r="H939" s="18">
        <v>-280.63</v>
      </c>
      <c r="L939" s="20" t="str">
        <f t="shared" si="28"/>
        <v>N/A</v>
      </c>
      <c r="M939" s="20" t="str">
        <f t="shared" si="29"/>
        <v>N/A</v>
      </c>
    </row>
    <row r="940" spans="1:13">
      <c r="A940" s="18" t="s">
        <v>22</v>
      </c>
      <c r="B940" s="18" t="s">
        <v>365</v>
      </c>
      <c r="C940" s="18" t="s">
        <v>249</v>
      </c>
      <c r="D940" s="18" t="s">
        <v>157</v>
      </c>
      <c r="E940" s="18">
        <v>-2556302.83</v>
      </c>
      <c r="F940" s="18">
        <v>0</v>
      </c>
      <c r="G940" s="18">
        <v>372715.01</v>
      </c>
      <c r="H940" s="18">
        <v>-2929017.84</v>
      </c>
      <c r="L940" s="20" t="str">
        <f t="shared" si="28"/>
        <v>N/A</v>
      </c>
      <c r="M940" s="20" t="str">
        <f t="shared" si="29"/>
        <v>N/A</v>
      </c>
    </row>
    <row r="941" spans="1:13">
      <c r="A941" s="18" t="s">
        <v>22</v>
      </c>
      <c r="B941" s="18" t="s">
        <v>365</v>
      </c>
      <c r="C941" s="18" t="s">
        <v>249</v>
      </c>
      <c r="D941" s="18" t="s">
        <v>145</v>
      </c>
      <c r="E941" s="18">
        <v>0</v>
      </c>
      <c r="F941" s="18">
        <v>1788.66</v>
      </c>
      <c r="G941" s="18">
        <v>0</v>
      </c>
      <c r="H941" s="18">
        <v>1788.66</v>
      </c>
      <c r="L941" s="20" t="str">
        <f t="shared" si="28"/>
        <v>N/A</v>
      </c>
      <c r="M941" s="20" t="str">
        <f t="shared" si="29"/>
        <v>N/A</v>
      </c>
    </row>
    <row r="942" spans="1:13">
      <c r="A942" s="18" t="s">
        <v>22</v>
      </c>
      <c r="B942" s="18" t="s">
        <v>365</v>
      </c>
      <c r="C942" s="18" t="s">
        <v>249</v>
      </c>
      <c r="D942" s="18" t="s">
        <v>96</v>
      </c>
      <c r="E942" s="18">
        <v>52.06</v>
      </c>
      <c r="F942" s="18">
        <v>26.03</v>
      </c>
      <c r="G942" s="18">
        <v>0</v>
      </c>
      <c r="H942" s="18">
        <v>78.09</v>
      </c>
      <c r="L942" s="20" t="str">
        <f t="shared" si="28"/>
        <v>N/A</v>
      </c>
      <c r="M942" s="20" t="str">
        <f t="shared" si="29"/>
        <v>N/A</v>
      </c>
    </row>
    <row r="943" spans="1:13">
      <c r="A943" s="18" t="s">
        <v>22</v>
      </c>
      <c r="B943" s="18" t="s">
        <v>365</v>
      </c>
      <c r="C943" s="18" t="s">
        <v>249</v>
      </c>
      <c r="D943" s="18" t="s">
        <v>104</v>
      </c>
      <c r="E943" s="18">
        <v>118.89</v>
      </c>
      <c r="F943" s="18">
        <v>237.82</v>
      </c>
      <c r="G943" s="18">
        <v>0</v>
      </c>
      <c r="H943" s="18">
        <v>356.71</v>
      </c>
      <c r="L943" s="20" t="str">
        <f t="shared" si="28"/>
        <v>N/A</v>
      </c>
      <c r="M943" s="20" t="str">
        <f t="shared" si="29"/>
        <v>N/A</v>
      </c>
    </row>
    <row r="944" spans="1:13">
      <c r="A944" s="18" t="s">
        <v>22</v>
      </c>
      <c r="B944" s="18" t="s">
        <v>365</v>
      </c>
      <c r="C944" s="18" t="s">
        <v>249</v>
      </c>
      <c r="D944" s="18" t="s">
        <v>359</v>
      </c>
      <c r="E944" s="18">
        <v>5609.01</v>
      </c>
      <c r="F944" s="18">
        <v>53.11</v>
      </c>
      <c r="G944" s="18">
        <v>0</v>
      </c>
      <c r="H944" s="18">
        <v>5662.12</v>
      </c>
      <c r="L944" s="20" t="str">
        <f t="shared" si="28"/>
        <v>N/A</v>
      </c>
      <c r="M944" s="20" t="str">
        <f t="shared" si="29"/>
        <v>N/A</v>
      </c>
    </row>
    <row r="945" spans="1:13">
      <c r="A945" s="18" t="s">
        <v>22</v>
      </c>
      <c r="B945" s="18" t="s">
        <v>365</v>
      </c>
      <c r="C945" s="18" t="s">
        <v>249</v>
      </c>
      <c r="D945" s="18" t="s">
        <v>113</v>
      </c>
      <c r="E945" s="18">
        <v>7634.87</v>
      </c>
      <c r="F945" s="18">
        <v>2091</v>
      </c>
      <c r="G945" s="18">
        <v>0</v>
      </c>
      <c r="H945" s="18">
        <v>9725.8700000000008</v>
      </c>
      <c r="L945" s="20" t="str">
        <f t="shared" si="28"/>
        <v>N/A</v>
      </c>
      <c r="M945" s="20" t="str">
        <f t="shared" si="29"/>
        <v>N/A</v>
      </c>
    </row>
    <row r="946" spans="1:13">
      <c r="A946" s="18" t="s">
        <v>22</v>
      </c>
      <c r="B946" s="18" t="s">
        <v>365</v>
      </c>
      <c r="C946" s="18" t="s">
        <v>249</v>
      </c>
      <c r="D946" s="18" t="s">
        <v>150</v>
      </c>
      <c r="E946" s="18">
        <v>2378</v>
      </c>
      <c r="F946" s="18">
        <v>143.57</v>
      </c>
      <c r="G946" s="18">
        <v>0</v>
      </c>
      <c r="H946" s="18">
        <v>2521.5700000000002</v>
      </c>
      <c r="L946" s="20" t="str">
        <f t="shared" si="28"/>
        <v>N/A</v>
      </c>
      <c r="M946" s="20" t="str">
        <f t="shared" si="29"/>
        <v>N/A</v>
      </c>
    </row>
    <row r="947" spans="1:13">
      <c r="A947" s="18" t="s">
        <v>22</v>
      </c>
      <c r="B947" s="18" t="s">
        <v>365</v>
      </c>
      <c r="C947" s="18" t="s">
        <v>249</v>
      </c>
      <c r="D947" s="18" t="s">
        <v>120</v>
      </c>
      <c r="E947" s="18">
        <v>3.57</v>
      </c>
      <c r="F947" s="18">
        <v>0</v>
      </c>
      <c r="G947" s="18">
        <v>0</v>
      </c>
      <c r="H947" s="18">
        <v>3.57</v>
      </c>
      <c r="L947" s="20" t="str">
        <f t="shared" si="28"/>
        <v>N/A</v>
      </c>
      <c r="M947" s="20" t="str">
        <f t="shared" si="29"/>
        <v>N/A</v>
      </c>
    </row>
    <row r="948" spans="1:13">
      <c r="A948" s="18" t="s">
        <v>22</v>
      </c>
      <c r="B948" s="18" t="s">
        <v>365</v>
      </c>
      <c r="C948" s="18" t="s">
        <v>249</v>
      </c>
      <c r="D948" s="18" t="s">
        <v>123</v>
      </c>
      <c r="E948" s="18">
        <v>2227.0500000000002</v>
      </c>
      <c r="F948" s="18">
        <v>1133.42</v>
      </c>
      <c r="G948" s="18">
        <v>0</v>
      </c>
      <c r="H948" s="18">
        <v>3360.47</v>
      </c>
      <c r="L948" s="20" t="str">
        <f t="shared" si="28"/>
        <v>N/A</v>
      </c>
      <c r="M948" s="20" t="str">
        <f t="shared" si="29"/>
        <v>N/A</v>
      </c>
    </row>
    <row r="949" spans="1:13">
      <c r="A949" s="18" t="s">
        <v>22</v>
      </c>
      <c r="B949" s="18" t="s">
        <v>365</v>
      </c>
      <c r="C949" s="18" t="s">
        <v>249</v>
      </c>
      <c r="D949" s="18" t="s">
        <v>126</v>
      </c>
      <c r="E949" s="18">
        <v>331.52</v>
      </c>
      <c r="F949" s="18">
        <v>63.88</v>
      </c>
      <c r="G949" s="18">
        <v>0</v>
      </c>
      <c r="H949" s="18">
        <v>395.4</v>
      </c>
      <c r="L949" s="20" t="str">
        <f t="shared" si="28"/>
        <v>N/A</v>
      </c>
      <c r="M949" s="20" t="str">
        <f t="shared" si="29"/>
        <v>N/A</v>
      </c>
    </row>
    <row r="950" spans="1:13">
      <c r="A950" s="18" t="s">
        <v>22</v>
      </c>
      <c r="B950" s="18" t="s">
        <v>365</v>
      </c>
      <c r="C950" s="18" t="s">
        <v>249</v>
      </c>
      <c r="D950" s="18" t="s">
        <v>129</v>
      </c>
      <c r="E950" s="18">
        <v>309.58</v>
      </c>
      <c r="F950" s="18">
        <v>88.1</v>
      </c>
      <c r="G950" s="18">
        <v>0</v>
      </c>
      <c r="H950" s="18">
        <v>397.68</v>
      </c>
      <c r="L950" s="20" t="str">
        <f t="shared" si="28"/>
        <v>N/A</v>
      </c>
      <c r="M950" s="20" t="str">
        <f t="shared" si="29"/>
        <v>N/A</v>
      </c>
    </row>
    <row r="951" spans="1:13">
      <c r="A951" s="18" t="s">
        <v>22</v>
      </c>
      <c r="B951" s="18" t="s">
        <v>365</v>
      </c>
      <c r="C951" s="18" t="s">
        <v>249</v>
      </c>
      <c r="D951" s="18" t="s">
        <v>131</v>
      </c>
      <c r="E951" s="18">
        <v>786.31</v>
      </c>
      <c r="F951" s="18">
        <v>561.24</v>
      </c>
      <c r="G951" s="18">
        <v>0</v>
      </c>
      <c r="H951" s="18">
        <v>1347.55</v>
      </c>
      <c r="L951" s="20" t="str">
        <f t="shared" si="28"/>
        <v>N/A</v>
      </c>
      <c r="M951" s="20" t="str">
        <f t="shared" si="29"/>
        <v>N/A</v>
      </c>
    </row>
    <row r="952" spans="1:13">
      <c r="A952" s="18" t="s">
        <v>22</v>
      </c>
      <c r="B952" s="18" t="s">
        <v>365</v>
      </c>
      <c r="C952" s="18" t="s">
        <v>249</v>
      </c>
      <c r="D952" s="18" t="s">
        <v>162</v>
      </c>
      <c r="E952" s="18">
        <v>0</v>
      </c>
      <c r="F952" s="18">
        <v>0</v>
      </c>
      <c r="G952" s="18">
        <v>0</v>
      </c>
      <c r="H952" s="18">
        <v>0</v>
      </c>
      <c r="L952" s="20" t="str">
        <f t="shared" si="28"/>
        <v>N/A</v>
      </c>
      <c r="M952" s="20" t="str">
        <f t="shared" si="29"/>
        <v>N/A</v>
      </c>
    </row>
    <row r="953" spans="1:13">
      <c r="A953" s="18" t="s">
        <v>22</v>
      </c>
      <c r="B953" s="18" t="s">
        <v>365</v>
      </c>
      <c r="C953" s="18" t="s">
        <v>249</v>
      </c>
      <c r="D953" s="18" t="s">
        <v>134</v>
      </c>
      <c r="E953" s="18">
        <v>56.43</v>
      </c>
      <c r="F953" s="18">
        <v>70.5</v>
      </c>
      <c r="G953" s="18">
        <v>0</v>
      </c>
      <c r="H953" s="18">
        <v>126.93</v>
      </c>
      <c r="L953" s="20" t="str">
        <f t="shared" si="28"/>
        <v>N/A</v>
      </c>
      <c r="M953" s="20" t="str">
        <f t="shared" si="29"/>
        <v>N/A</v>
      </c>
    </row>
    <row r="954" spans="1:13">
      <c r="A954" s="18" t="s">
        <v>22</v>
      </c>
      <c r="B954" s="18" t="s">
        <v>365</v>
      </c>
      <c r="C954" s="18" t="s">
        <v>249</v>
      </c>
      <c r="D954" s="18" t="s">
        <v>139</v>
      </c>
      <c r="E954" s="18">
        <v>232.58</v>
      </c>
      <c r="F954" s="18">
        <v>116.29</v>
      </c>
      <c r="G954" s="18">
        <v>0</v>
      </c>
      <c r="H954" s="18">
        <v>348.87</v>
      </c>
      <c r="L954" s="20" t="str">
        <f t="shared" si="28"/>
        <v>N/A</v>
      </c>
      <c r="M954" s="20" t="str">
        <f t="shared" si="29"/>
        <v>N/A</v>
      </c>
    </row>
    <row r="955" spans="1:13">
      <c r="A955" s="18" t="s">
        <v>22</v>
      </c>
      <c r="B955" s="18" t="s">
        <v>365</v>
      </c>
      <c r="C955" s="18" t="s">
        <v>249</v>
      </c>
      <c r="D955" s="18" t="s">
        <v>142</v>
      </c>
      <c r="E955" s="18">
        <v>192.3</v>
      </c>
      <c r="F955" s="18">
        <v>113.57</v>
      </c>
      <c r="G955" s="18">
        <v>0</v>
      </c>
      <c r="H955" s="18">
        <v>305.87</v>
      </c>
      <c r="L955" s="20" t="str">
        <f t="shared" si="28"/>
        <v>N/A</v>
      </c>
      <c r="M955" s="20" t="str">
        <f t="shared" si="29"/>
        <v>N/A</v>
      </c>
    </row>
    <row r="956" spans="1:13">
      <c r="A956" s="18" t="s">
        <v>22</v>
      </c>
      <c r="B956" s="18" t="s">
        <v>365</v>
      </c>
      <c r="C956" s="18" t="s">
        <v>249</v>
      </c>
      <c r="D956" s="18" t="s">
        <v>163</v>
      </c>
      <c r="E956" s="18">
        <v>0</v>
      </c>
      <c r="F956" s="18">
        <v>0</v>
      </c>
      <c r="G956" s="18">
        <v>0</v>
      </c>
      <c r="H956" s="18">
        <v>0</v>
      </c>
      <c r="L956" s="20" t="str">
        <f t="shared" si="28"/>
        <v>N/A</v>
      </c>
      <c r="M956" s="20" t="str">
        <f t="shared" si="29"/>
        <v>N/A</v>
      </c>
    </row>
    <row r="957" spans="1:13">
      <c r="A957" s="18" t="s">
        <v>22</v>
      </c>
      <c r="B957" s="18" t="s">
        <v>365</v>
      </c>
      <c r="C957" s="18" t="s">
        <v>251</v>
      </c>
      <c r="D957" s="18" t="s">
        <v>87</v>
      </c>
      <c r="E957" s="18">
        <v>349.6</v>
      </c>
      <c r="F957" s="18">
        <v>11711.12</v>
      </c>
      <c r="G957" s="18">
        <v>1513.43</v>
      </c>
      <c r="H957" s="18">
        <v>10547.29</v>
      </c>
      <c r="L957" s="20" t="str">
        <f t="shared" si="28"/>
        <v>Asset</v>
      </c>
      <c r="M957" s="20" t="str">
        <f t="shared" si="29"/>
        <v>okay</v>
      </c>
    </row>
    <row r="958" spans="1:13">
      <c r="A958" s="18" t="s">
        <v>22</v>
      </c>
      <c r="B958" s="18" t="s">
        <v>365</v>
      </c>
      <c r="C958" s="18" t="s">
        <v>251</v>
      </c>
      <c r="D958" s="18" t="s">
        <v>97</v>
      </c>
      <c r="E958" s="18">
        <v>5737231.5199999996</v>
      </c>
      <c r="F958" s="18">
        <v>0</v>
      </c>
      <c r="G958" s="18">
        <v>0</v>
      </c>
      <c r="H958" s="18">
        <v>5737231.5199999996</v>
      </c>
      <c r="L958" s="20" t="str">
        <f t="shared" si="28"/>
        <v>Asset</v>
      </c>
      <c r="M958" s="20" t="str">
        <f t="shared" si="29"/>
        <v>okay</v>
      </c>
    </row>
    <row r="959" spans="1:13">
      <c r="A959" s="18" t="s">
        <v>22</v>
      </c>
      <c r="B959" s="18" t="s">
        <v>365</v>
      </c>
      <c r="C959" s="18" t="s">
        <v>251</v>
      </c>
      <c r="D959" s="18" t="s">
        <v>105</v>
      </c>
      <c r="E959" s="18">
        <v>1785890.37</v>
      </c>
      <c r="F959" s="18">
        <v>83816.3</v>
      </c>
      <c r="G959" s="18">
        <v>0</v>
      </c>
      <c r="H959" s="18">
        <v>1869706.67</v>
      </c>
      <c r="L959" s="20" t="str">
        <f t="shared" si="28"/>
        <v>Asset</v>
      </c>
      <c r="M959" s="20" t="str">
        <f t="shared" si="29"/>
        <v>okay</v>
      </c>
    </row>
    <row r="960" spans="1:13">
      <c r="A960" s="18" t="s">
        <v>22</v>
      </c>
      <c r="B960" s="18" t="s">
        <v>365</v>
      </c>
      <c r="C960" s="18" t="s">
        <v>251</v>
      </c>
      <c r="D960" s="18" t="s">
        <v>108</v>
      </c>
      <c r="E960" s="18">
        <v>0</v>
      </c>
      <c r="F960" s="18">
        <v>0</v>
      </c>
      <c r="G960" s="18">
        <v>0</v>
      </c>
      <c r="H960" s="18">
        <v>0</v>
      </c>
      <c r="L960" s="20" t="str">
        <f t="shared" si="28"/>
        <v>Asset</v>
      </c>
      <c r="M960" s="20" t="str">
        <f t="shared" si="29"/>
        <v>okay</v>
      </c>
    </row>
    <row r="961" spans="1:13">
      <c r="A961" s="18" t="s">
        <v>22</v>
      </c>
      <c r="B961" s="18" t="s">
        <v>365</v>
      </c>
      <c r="C961" s="18" t="s">
        <v>251</v>
      </c>
      <c r="D961" s="18" t="s">
        <v>116</v>
      </c>
      <c r="E961" s="18">
        <v>-71.52</v>
      </c>
      <c r="F961" s="18">
        <v>0</v>
      </c>
      <c r="G961" s="18">
        <v>0</v>
      </c>
      <c r="H961" s="18">
        <v>-71.52</v>
      </c>
      <c r="L961" s="20" t="str">
        <f t="shared" si="28"/>
        <v>N/A</v>
      </c>
      <c r="M961" s="20" t="str">
        <f t="shared" si="29"/>
        <v>N/A</v>
      </c>
    </row>
    <row r="962" spans="1:13">
      <c r="A962" s="18" t="s">
        <v>22</v>
      </c>
      <c r="B962" s="18" t="s">
        <v>365</v>
      </c>
      <c r="C962" s="18" t="s">
        <v>251</v>
      </c>
      <c r="D962" s="18" t="s">
        <v>121</v>
      </c>
      <c r="E962" s="18">
        <v>-156.91</v>
      </c>
      <c r="F962" s="18">
        <v>104.6</v>
      </c>
      <c r="G962" s="18">
        <v>26.15</v>
      </c>
      <c r="H962" s="18">
        <v>-78.459999999999994</v>
      </c>
      <c r="L962" s="20" t="str">
        <f t="shared" si="28"/>
        <v>N/A</v>
      </c>
      <c r="M962" s="20" t="str">
        <f t="shared" si="29"/>
        <v>N/A</v>
      </c>
    </row>
    <row r="963" spans="1:13">
      <c r="A963" s="18" t="s">
        <v>22</v>
      </c>
      <c r="B963" s="18" t="s">
        <v>365</v>
      </c>
      <c r="C963" s="18" t="s">
        <v>251</v>
      </c>
      <c r="D963" s="18" t="s">
        <v>124</v>
      </c>
      <c r="E963" s="18">
        <v>-32.06</v>
      </c>
      <c r="F963" s="18">
        <v>0</v>
      </c>
      <c r="G963" s="18">
        <v>19.95</v>
      </c>
      <c r="H963" s="18">
        <v>-52.01</v>
      </c>
      <c r="L963" s="20" t="str">
        <f t="shared" ref="L963:L1026" si="30">+IF(LEFT(D963,1)="1","Asset","N/A")</f>
        <v>N/A</v>
      </c>
      <c r="M963" s="20" t="str">
        <f t="shared" ref="M963:M1026" si="31">+IF(L963="asset",IF(H963&lt;0,"Provide Comment","okay"),"N/A")</f>
        <v>N/A</v>
      </c>
    </row>
    <row r="964" spans="1:13">
      <c r="A964" s="18" t="s">
        <v>22</v>
      </c>
      <c r="B964" s="18" t="s">
        <v>365</v>
      </c>
      <c r="C964" s="18" t="s">
        <v>251</v>
      </c>
      <c r="D964" s="18" t="s">
        <v>127</v>
      </c>
      <c r="E964" s="18">
        <v>0</v>
      </c>
      <c r="F964" s="18">
        <v>0</v>
      </c>
      <c r="G964" s="18">
        <v>0</v>
      </c>
      <c r="H964" s="18">
        <v>0</v>
      </c>
      <c r="L964" s="20" t="str">
        <f t="shared" si="30"/>
        <v>N/A</v>
      </c>
      <c r="M964" s="20" t="str">
        <f t="shared" si="31"/>
        <v>N/A</v>
      </c>
    </row>
    <row r="965" spans="1:13">
      <c r="A965" s="18" t="s">
        <v>22</v>
      </c>
      <c r="B965" s="18" t="s">
        <v>365</v>
      </c>
      <c r="C965" s="18" t="s">
        <v>251</v>
      </c>
      <c r="D965" s="18" t="s">
        <v>95</v>
      </c>
      <c r="E965" s="18">
        <v>-7.79</v>
      </c>
      <c r="F965" s="18">
        <v>1.95</v>
      </c>
      <c r="G965" s="18">
        <v>5.85</v>
      </c>
      <c r="H965" s="18">
        <v>-11.69</v>
      </c>
      <c r="L965" s="20" t="str">
        <f t="shared" si="30"/>
        <v>N/A</v>
      </c>
      <c r="M965" s="20" t="str">
        <f t="shared" si="31"/>
        <v>N/A</v>
      </c>
    </row>
    <row r="966" spans="1:13">
      <c r="A966" s="18" t="s">
        <v>22</v>
      </c>
      <c r="B966" s="18" t="s">
        <v>365</v>
      </c>
      <c r="C966" s="18" t="s">
        <v>251</v>
      </c>
      <c r="D966" s="18" t="s">
        <v>132</v>
      </c>
      <c r="E966" s="18">
        <v>0</v>
      </c>
      <c r="F966" s="18">
        <v>0</v>
      </c>
      <c r="G966" s="18">
        <v>0</v>
      </c>
      <c r="H966" s="18">
        <v>0</v>
      </c>
      <c r="L966" s="20" t="str">
        <f t="shared" si="30"/>
        <v>N/A</v>
      </c>
      <c r="M966" s="20" t="str">
        <f t="shared" si="31"/>
        <v>N/A</v>
      </c>
    </row>
    <row r="967" spans="1:13">
      <c r="A967" s="18" t="s">
        <v>22</v>
      </c>
      <c r="B967" s="18" t="s">
        <v>365</v>
      </c>
      <c r="C967" s="18" t="s">
        <v>251</v>
      </c>
      <c r="D967" s="18" t="s">
        <v>135</v>
      </c>
      <c r="E967" s="18">
        <v>-6962962.96</v>
      </c>
      <c r="F967" s="18">
        <v>0</v>
      </c>
      <c r="G967" s="18">
        <v>0</v>
      </c>
      <c r="H967" s="18">
        <v>-6962962.96</v>
      </c>
      <c r="L967" s="20" t="str">
        <f t="shared" si="30"/>
        <v>N/A</v>
      </c>
      <c r="M967" s="20" t="str">
        <f t="shared" si="31"/>
        <v>N/A</v>
      </c>
    </row>
    <row r="968" spans="1:13">
      <c r="A968" s="18" t="s">
        <v>22</v>
      </c>
      <c r="B968" s="18" t="s">
        <v>365</v>
      </c>
      <c r="C968" s="18" t="s">
        <v>251</v>
      </c>
      <c r="D968" s="18" t="s">
        <v>140</v>
      </c>
      <c r="E968" s="18">
        <v>-16654.28</v>
      </c>
      <c r="F968" s="18">
        <v>0</v>
      </c>
      <c r="G968" s="18">
        <v>11709.34</v>
      </c>
      <c r="H968" s="18">
        <v>-28363.62</v>
      </c>
      <c r="L968" s="20" t="str">
        <f t="shared" si="30"/>
        <v>N/A</v>
      </c>
      <c r="M968" s="20" t="str">
        <f t="shared" si="31"/>
        <v>N/A</v>
      </c>
    </row>
    <row r="969" spans="1:13">
      <c r="A969" s="18" t="s">
        <v>22</v>
      </c>
      <c r="B969" s="18" t="s">
        <v>365</v>
      </c>
      <c r="C969" s="18" t="s">
        <v>251</v>
      </c>
      <c r="D969" s="18" t="s">
        <v>143</v>
      </c>
      <c r="E969" s="18">
        <v>1225731.44</v>
      </c>
      <c r="F969" s="18">
        <v>0</v>
      </c>
      <c r="G969" s="18">
        <v>0</v>
      </c>
      <c r="H969" s="18">
        <v>1225731.44</v>
      </c>
      <c r="L969" s="20" t="str">
        <f t="shared" si="30"/>
        <v>N/A</v>
      </c>
      <c r="M969" s="20" t="str">
        <f t="shared" si="31"/>
        <v>N/A</v>
      </c>
    </row>
    <row r="970" spans="1:13">
      <c r="A970" s="18" t="s">
        <v>22</v>
      </c>
      <c r="B970" s="18" t="s">
        <v>365</v>
      </c>
      <c r="C970" s="18" t="s">
        <v>251</v>
      </c>
      <c r="D970" s="18" t="s">
        <v>146</v>
      </c>
      <c r="E970" s="18">
        <v>155322.65</v>
      </c>
      <c r="F970" s="18">
        <v>0</v>
      </c>
      <c r="G970" s="18">
        <v>0</v>
      </c>
      <c r="H970" s="18">
        <v>155322.65</v>
      </c>
      <c r="L970" s="20" t="str">
        <f t="shared" si="30"/>
        <v>N/A</v>
      </c>
      <c r="M970" s="20" t="str">
        <f t="shared" si="31"/>
        <v>N/A</v>
      </c>
    </row>
    <row r="971" spans="1:13">
      <c r="A971" s="18" t="s">
        <v>22</v>
      </c>
      <c r="B971" s="18" t="s">
        <v>365</v>
      </c>
      <c r="C971" s="18" t="s">
        <v>251</v>
      </c>
      <c r="D971" s="18" t="s">
        <v>147</v>
      </c>
      <c r="E971" s="18">
        <v>-1354198.7</v>
      </c>
      <c r="F971" s="18">
        <v>0</v>
      </c>
      <c r="G971" s="18">
        <v>0</v>
      </c>
      <c r="H971" s="18">
        <v>-1354198.7</v>
      </c>
      <c r="L971" s="20" t="str">
        <f t="shared" si="30"/>
        <v>N/A</v>
      </c>
      <c r="M971" s="20" t="str">
        <f t="shared" si="31"/>
        <v>N/A</v>
      </c>
    </row>
    <row r="972" spans="1:13">
      <c r="A972" s="18" t="s">
        <v>22</v>
      </c>
      <c r="B972" s="18" t="s">
        <v>365</v>
      </c>
      <c r="C972" s="18" t="s">
        <v>251</v>
      </c>
      <c r="D972" s="18" t="s">
        <v>153</v>
      </c>
      <c r="E972" s="18">
        <v>0</v>
      </c>
      <c r="F972" s="18">
        <v>0</v>
      </c>
      <c r="G972" s="18">
        <v>0</v>
      </c>
      <c r="H972" s="18">
        <v>0</v>
      </c>
      <c r="L972" s="20" t="str">
        <f t="shared" si="30"/>
        <v>N/A</v>
      </c>
      <c r="M972" s="20" t="str">
        <f t="shared" si="31"/>
        <v>N/A</v>
      </c>
    </row>
    <row r="973" spans="1:13">
      <c r="A973" s="18" t="s">
        <v>22</v>
      </c>
      <c r="B973" s="18" t="s">
        <v>365</v>
      </c>
      <c r="C973" s="18" t="s">
        <v>251</v>
      </c>
      <c r="D973" s="18" t="s">
        <v>155</v>
      </c>
      <c r="E973" s="18">
        <v>0</v>
      </c>
      <c r="F973" s="18">
        <v>0</v>
      </c>
      <c r="G973" s="18">
        <v>0</v>
      </c>
      <c r="H973" s="18">
        <v>0</v>
      </c>
      <c r="L973" s="20" t="str">
        <f t="shared" si="30"/>
        <v>N/A</v>
      </c>
      <c r="M973" s="20" t="str">
        <f t="shared" si="31"/>
        <v>N/A</v>
      </c>
    </row>
    <row r="974" spans="1:13">
      <c r="A974" s="18" t="s">
        <v>22</v>
      </c>
      <c r="B974" s="18" t="s">
        <v>365</v>
      </c>
      <c r="C974" s="18" t="s">
        <v>251</v>
      </c>
      <c r="D974" s="18" t="s">
        <v>156</v>
      </c>
      <c r="E974" s="18">
        <v>-61.34</v>
      </c>
      <c r="F974" s="18">
        <v>0</v>
      </c>
      <c r="G974" s="18">
        <v>1.78</v>
      </c>
      <c r="H974" s="18">
        <v>-63.12</v>
      </c>
      <c r="L974" s="20" t="str">
        <f t="shared" si="30"/>
        <v>N/A</v>
      </c>
      <c r="M974" s="20" t="str">
        <f t="shared" si="31"/>
        <v>N/A</v>
      </c>
    </row>
    <row r="975" spans="1:13">
      <c r="A975" s="18" t="s">
        <v>22</v>
      </c>
      <c r="B975" s="18" t="s">
        <v>365</v>
      </c>
      <c r="C975" s="18" t="s">
        <v>251</v>
      </c>
      <c r="D975" s="18" t="s">
        <v>157</v>
      </c>
      <c r="E975" s="18">
        <v>-574862.36</v>
      </c>
      <c r="F975" s="18">
        <v>0</v>
      </c>
      <c r="G975" s="18">
        <v>83816.3</v>
      </c>
      <c r="H975" s="18">
        <v>-658678.66</v>
      </c>
      <c r="L975" s="20" t="str">
        <f t="shared" si="30"/>
        <v>N/A</v>
      </c>
      <c r="M975" s="20" t="str">
        <f t="shared" si="31"/>
        <v>N/A</v>
      </c>
    </row>
    <row r="976" spans="1:13">
      <c r="A976" s="18" t="s">
        <v>22</v>
      </c>
      <c r="B976" s="18" t="s">
        <v>365</v>
      </c>
      <c r="C976" s="18" t="s">
        <v>251</v>
      </c>
      <c r="D976" s="18" t="s">
        <v>145</v>
      </c>
      <c r="E976" s="18">
        <v>0</v>
      </c>
      <c r="F976" s="18">
        <v>402.24</v>
      </c>
      <c r="G976" s="18">
        <v>0</v>
      </c>
      <c r="H976" s="18">
        <v>402.24</v>
      </c>
      <c r="L976" s="20" t="str">
        <f t="shared" si="30"/>
        <v>N/A</v>
      </c>
      <c r="M976" s="20" t="str">
        <f t="shared" si="31"/>
        <v>N/A</v>
      </c>
    </row>
    <row r="977" spans="1:13">
      <c r="A977" s="18" t="s">
        <v>22</v>
      </c>
      <c r="B977" s="18" t="s">
        <v>365</v>
      </c>
      <c r="C977" s="18" t="s">
        <v>251</v>
      </c>
      <c r="D977" s="18" t="s">
        <v>96</v>
      </c>
      <c r="E977" s="18">
        <v>11.7</v>
      </c>
      <c r="F977" s="18">
        <v>5.85</v>
      </c>
      <c r="G977" s="18">
        <v>0</v>
      </c>
      <c r="H977" s="18">
        <v>17.55</v>
      </c>
      <c r="L977" s="20" t="str">
        <f t="shared" si="30"/>
        <v>N/A</v>
      </c>
      <c r="M977" s="20" t="str">
        <f t="shared" si="31"/>
        <v>N/A</v>
      </c>
    </row>
    <row r="978" spans="1:13">
      <c r="A978" s="18" t="s">
        <v>22</v>
      </c>
      <c r="B978" s="18" t="s">
        <v>365</v>
      </c>
      <c r="C978" s="18" t="s">
        <v>251</v>
      </c>
      <c r="D978" s="18" t="s">
        <v>104</v>
      </c>
      <c r="E978" s="18">
        <v>26.74</v>
      </c>
      <c r="F978" s="18">
        <v>53.48</v>
      </c>
      <c r="G978" s="18">
        <v>0</v>
      </c>
      <c r="H978" s="18">
        <v>80.22</v>
      </c>
      <c r="L978" s="20" t="str">
        <f t="shared" si="30"/>
        <v>N/A</v>
      </c>
      <c r="M978" s="20" t="str">
        <f t="shared" si="31"/>
        <v>N/A</v>
      </c>
    </row>
    <row r="979" spans="1:13">
      <c r="A979" s="18" t="s">
        <v>22</v>
      </c>
      <c r="B979" s="18" t="s">
        <v>365</v>
      </c>
      <c r="C979" s="18" t="s">
        <v>251</v>
      </c>
      <c r="D979" s="18" t="s">
        <v>359</v>
      </c>
      <c r="E979" s="18">
        <v>1261.3499999999999</v>
      </c>
      <c r="F979" s="18">
        <v>11.94</v>
      </c>
      <c r="G979" s="18">
        <v>0</v>
      </c>
      <c r="H979" s="18">
        <v>1273.29</v>
      </c>
      <c r="L979" s="20" t="str">
        <f t="shared" si="30"/>
        <v>N/A</v>
      </c>
      <c r="M979" s="20" t="str">
        <f t="shared" si="31"/>
        <v>N/A</v>
      </c>
    </row>
    <row r="980" spans="1:13">
      <c r="A980" s="18" t="s">
        <v>22</v>
      </c>
      <c r="B980" s="18" t="s">
        <v>365</v>
      </c>
      <c r="C980" s="18" t="s">
        <v>251</v>
      </c>
      <c r="D980" s="18" t="s">
        <v>113</v>
      </c>
      <c r="E980" s="18">
        <v>1716.94</v>
      </c>
      <c r="F980" s="18">
        <v>470.22</v>
      </c>
      <c r="G980" s="18">
        <v>0</v>
      </c>
      <c r="H980" s="18">
        <v>2187.16</v>
      </c>
      <c r="L980" s="20" t="str">
        <f t="shared" si="30"/>
        <v>N/A</v>
      </c>
      <c r="M980" s="20" t="str">
        <f t="shared" si="31"/>
        <v>N/A</v>
      </c>
    </row>
    <row r="981" spans="1:13">
      <c r="A981" s="18" t="s">
        <v>22</v>
      </c>
      <c r="B981" s="18" t="s">
        <v>365</v>
      </c>
      <c r="C981" s="18" t="s">
        <v>251</v>
      </c>
      <c r="D981" s="18" t="s">
        <v>150</v>
      </c>
      <c r="E981" s="18">
        <v>534.76</v>
      </c>
      <c r="F981" s="18">
        <v>32.29</v>
      </c>
      <c r="G981" s="18">
        <v>0</v>
      </c>
      <c r="H981" s="18">
        <v>567.04999999999995</v>
      </c>
      <c r="L981" s="20" t="str">
        <f t="shared" si="30"/>
        <v>N/A</v>
      </c>
      <c r="M981" s="20" t="str">
        <f t="shared" si="31"/>
        <v>N/A</v>
      </c>
    </row>
    <row r="982" spans="1:13">
      <c r="A982" s="18" t="s">
        <v>22</v>
      </c>
      <c r="B982" s="18" t="s">
        <v>365</v>
      </c>
      <c r="C982" s="18" t="s">
        <v>251</v>
      </c>
      <c r="D982" s="18" t="s">
        <v>120</v>
      </c>
      <c r="E982" s="18">
        <v>0.8</v>
      </c>
      <c r="F982" s="18">
        <v>0</v>
      </c>
      <c r="G982" s="18">
        <v>0</v>
      </c>
      <c r="H982" s="18">
        <v>0.8</v>
      </c>
      <c r="L982" s="20" t="str">
        <f t="shared" si="30"/>
        <v>N/A</v>
      </c>
      <c r="M982" s="20" t="str">
        <f t="shared" si="31"/>
        <v>N/A</v>
      </c>
    </row>
    <row r="983" spans="1:13">
      <c r="A983" s="18" t="s">
        <v>22</v>
      </c>
      <c r="B983" s="18" t="s">
        <v>365</v>
      </c>
      <c r="C983" s="18" t="s">
        <v>251</v>
      </c>
      <c r="D983" s="18" t="s">
        <v>123</v>
      </c>
      <c r="E983" s="18">
        <v>500.81</v>
      </c>
      <c r="F983" s="18">
        <v>254.88</v>
      </c>
      <c r="G983" s="18">
        <v>0</v>
      </c>
      <c r="H983" s="18">
        <v>755.69</v>
      </c>
      <c r="L983" s="20" t="str">
        <f t="shared" si="30"/>
        <v>N/A</v>
      </c>
      <c r="M983" s="20" t="str">
        <f t="shared" si="31"/>
        <v>N/A</v>
      </c>
    </row>
    <row r="984" spans="1:13">
      <c r="A984" s="18" t="s">
        <v>22</v>
      </c>
      <c r="B984" s="18" t="s">
        <v>365</v>
      </c>
      <c r="C984" s="18" t="s">
        <v>251</v>
      </c>
      <c r="D984" s="18" t="s">
        <v>126</v>
      </c>
      <c r="E984" s="18">
        <v>74.55</v>
      </c>
      <c r="F984" s="18">
        <v>14.37</v>
      </c>
      <c r="G984" s="18">
        <v>0</v>
      </c>
      <c r="H984" s="18">
        <v>88.92</v>
      </c>
      <c r="L984" s="20" t="str">
        <f t="shared" si="30"/>
        <v>N/A</v>
      </c>
      <c r="M984" s="20" t="str">
        <f t="shared" si="31"/>
        <v>N/A</v>
      </c>
    </row>
    <row r="985" spans="1:13">
      <c r="A985" s="18" t="s">
        <v>22</v>
      </c>
      <c r="B985" s="18" t="s">
        <v>365</v>
      </c>
      <c r="C985" s="18" t="s">
        <v>251</v>
      </c>
      <c r="D985" s="18" t="s">
        <v>129</v>
      </c>
      <c r="E985" s="18">
        <v>69.62</v>
      </c>
      <c r="F985" s="18">
        <v>19.809999999999999</v>
      </c>
      <c r="G985" s="18">
        <v>0</v>
      </c>
      <c r="H985" s="18">
        <v>89.43</v>
      </c>
      <c r="L985" s="20" t="str">
        <f t="shared" si="30"/>
        <v>N/A</v>
      </c>
      <c r="M985" s="20" t="str">
        <f t="shared" si="31"/>
        <v>N/A</v>
      </c>
    </row>
    <row r="986" spans="1:13">
      <c r="A986" s="18" t="s">
        <v>22</v>
      </c>
      <c r="B986" s="18" t="s">
        <v>365</v>
      </c>
      <c r="C986" s="18" t="s">
        <v>251</v>
      </c>
      <c r="D986" s="18" t="s">
        <v>131</v>
      </c>
      <c r="E986" s="18">
        <v>176.82</v>
      </c>
      <c r="F986" s="18">
        <v>126.21</v>
      </c>
      <c r="G986" s="18">
        <v>0</v>
      </c>
      <c r="H986" s="18">
        <v>303.02999999999997</v>
      </c>
      <c r="L986" s="20" t="str">
        <f t="shared" si="30"/>
        <v>N/A</v>
      </c>
      <c r="M986" s="20" t="str">
        <f t="shared" si="31"/>
        <v>N/A</v>
      </c>
    </row>
    <row r="987" spans="1:13">
      <c r="A987" s="18" t="s">
        <v>22</v>
      </c>
      <c r="B987" s="18" t="s">
        <v>365</v>
      </c>
      <c r="C987" s="18" t="s">
        <v>251</v>
      </c>
      <c r="D987" s="18" t="s">
        <v>162</v>
      </c>
      <c r="E987" s="18">
        <v>0</v>
      </c>
      <c r="F987" s="18">
        <v>0</v>
      </c>
      <c r="G987" s="18">
        <v>0</v>
      </c>
      <c r="H987" s="18">
        <v>0</v>
      </c>
      <c r="L987" s="20" t="str">
        <f t="shared" si="30"/>
        <v>N/A</v>
      </c>
      <c r="M987" s="20" t="str">
        <f t="shared" si="31"/>
        <v>N/A</v>
      </c>
    </row>
    <row r="988" spans="1:13">
      <c r="A988" s="18" t="s">
        <v>22</v>
      </c>
      <c r="B988" s="18" t="s">
        <v>365</v>
      </c>
      <c r="C988" s="18" t="s">
        <v>251</v>
      </c>
      <c r="D988" s="18" t="s">
        <v>134</v>
      </c>
      <c r="E988" s="18">
        <v>12.7</v>
      </c>
      <c r="F988" s="18">
        <v>15.85</v>
      </c>
      <c r="G988" s="18">
        <v>0</v>
      </c>
      <c r="H988" s="18">
        <v>28.55</v>
      </c>
      <c r="L988" s="20" t="str">
        <f t="shared" si="30"/>
        <v>N/A</v>
      </c>
      <c r="M988" s="20" t="str">
        <f t="shared" si="31"/>
        <v>N/A</v>
      </c>
    </row>
    <row r="989" spans="1:13">
      <c r="A989" s="18" t="s">
        <v>22</v>
      </c>
      <c r="B989" s="18" t="s">
        <v>365</v>
      </c>
      <c r="C989" s="18" t="s">
        <v>251</v>
      </c>
      <c r="D989" s="18" t="s">
        <v>139</v>
      </c>
      <c r="E989" s="18">
        <v>52.3</v>
      </c>
      <c r="F989" s="18">
        <v>26.15</v>
      </c>
      <c r="G989" s="18">
        <v>0</v>
      </c>
      <c r="H989" s="18">
        <v>78.45</v>
      </c>
      <c r="L989" s="20" t="str">
        <f t="shared" si="30"/>
        <v>N/A</v>
      </c>
      <c r="M989" s="20" t="str">
        <f t="shared" si="31"/>
        <v>N/A</v>
      </c>
    </row>
    <row r="990" spans="1:13">
      <c r="A990" s="18" t="s">
        <v>22</v>
      </c>
      <c r="B990" s="18" t="s">
        <v>365</v>
      </c>
      <c r="C990" s="18" t="s">
        <v>251</v>
      </c>
      <c r="D990" s="18" t="s">
        <v>142</v>
      </c>
      <c r="E990" s="18">
        <v>43.25</v>
      </c>
      <c r="F990" s="18">
        <v>25.54</v>
      </c>
      <c r="G990" s="18">
        <v>0</v>
      </c>
      <c r="H990" s="18">
        <v>68.790000000000006</v>
      </c>
      <c r="L990" s="20" t="str">
        <f t="shared" si="30"/>
        <v>N/A</v>
      </c>
      <c r="M990" s="20" t="str">
        <f t="shared" si="31"/>
        <v>N/A</v>
      </c>
    </row>
    <row r="991" spans="1:13">
      <c r="A991" s="18" t="s">
        <v>22</v>
      </c>
      <c r="B991" s="18" t="s">
        <v>365</v>
      </c>
      <c r="C991" s="18" t="s">
        <v>251</v>
      </c>
      <c r="D991" s="18" t="s">
        <v>163</v>
      </c>
      <c r="E991" s="18">
        <v>0</v>
      </c>
      <c r="F991" s="18">
        <v>0</v>
      </c>
      <c r="G991" s="18">
        <v>0</v>
      </c>
      <c r="H991" s="18">
        <v>0</v>
      </c>
      <c r="L991" s="20" t="str">
        <f t="shared" si="30"/>
        <v>N/A</v>
      </c>
      <c r="M991" s="20" t="str">
        <f t="shared" si="31"/>
        <v>N/A</v>
      </c>
    </row>
    <row r="992" spans="1:13">
      <c r="A992" s="18" t="s">
        <v>22</v>
      </c>
      <c r="B992" s="18" t="s">
        <v>365</v>
      </c>
      <c r="C992" s="18" t="s">
        <v>253</v>
      </c>
      <c r="D992" s="18" t="s">
        <v>87</v>
      </c>
      <c r="E992" s="18">
        <v>-152.25</v>
      </c>
      <c r="F992" s="18">
        <v>1661.15</v>
      </c>
      <c r="G992" s="18">
        <v>214.69</v>
      </c>
      <c r="H992" s="18">
        <v>1294.21</v>
      </c>
      <c r="L992" s="20" t="str">
        <f t="shared" si="30"/>
        <v>Asset</v>
      </c>
      <c r="M992" s="20" t="str">
        <f t="shared" si="31"/>
        <v>okay</v>
      </c>
    </row>
    <row r="993" spans="1:13">
      <c r="A993" s="18" t="s">
        <v>22</v>
      </c>
      <c r="B993" s="18" t="s">
        <v>365</v>
      </c>
      <c r="C993" s="18" t="s">
        <v>253</v>
      </c>
      <c r="D993" s="18" t="s">
        <v>97</v>
      </c>
      <c r="E993" s="18">
        <v>813791.7</v>
      </c>
      <c r="F993" s="18">
        <v>0</v>
      </c>
      <c r="G993" s="18">
        <v>0</v>
      </c>
      <c r="H993" s="18">
        <v>813791.7</v>
      </c>
      <c r="L993" s="20" t="str">
        <f t="shared" si="30"/>
        <v>Asset</v>
      </c>
      <c r="M993" s="20" t="str">
        <f t="shared" si="31"/>
        <v>okay</v>
      </c>
    </row>
    <row r="994" spans="1:13">
      <c r="A994" s="18" t="s">
        <v>22</v>
      </c>
      <c r="B994" s="18" t="s">
        <v>365</v>
      </c>
      <c r="C994" s="18" t="s">
        <v>253</v>
      </c>
      <c r="D994" s="18" t="s">
        <v>105</v>
      </c>
      <c r="E994" s="18">
        <v>253317.78</v>
      </c>
      <c r="F994" s="18">
        <v>11888.83</v>
      </c>
      <c r="G994" s="18">
        <v>0</v>
      </c>
      <c r="H994" s="18">
        <v>265206.61</v>
      </c>
      <c r="L994" s="20" t="str">
        <f t="shared" si="30"/>
        <v>Asset</v>
      </c>
      <c r="M994" s="20" t="str">
        <f t="shared" si="31"/>
        <v>okay</v>
      </c>
    </row>
    <row r="995" spans="1:13">
      <c r="A995" s="18" t="s">
        <v>22</v>
      </c>
      <c r="B995" s="18" t="s">
        <v>365</v>
      </c>
      <c r="C995" s="18" t="s">
        <v>253</v>
      </c>
      <c r="D995" s="18" t="s">
        <v>108</v>
      </c>
      <c r="E995" s="18">
        <v>0</v>
      </c>
      <c r="F995" s="18">
        <v>0</v>
      </c>
      <c r="G995" s="18">
        <v>0</v>
      </c>
      <c r="H995" s="18">
        <v>0</v>
      </c>
      <c r="L995" s="20" t="str">
        <f t="shared" si="30"/>
        <v>Asset</v>
      </c>
      <c r="M995" s="20" t="str">
        <f t="shared" si="31"/>
        <v>okay</v>
      </c>
    </row>
    <row r="996" spans="1:13">
      <c r="A996" s="18" t="s">
        <v>21</v>
      </c>
      <c r="B996" s="18" t="s">
        <v>22</v>
      </c>
      <c r="C996" s="18" t="s">
        <v>22</v>
      </c>
      <c r="D996" s="18" t="s">
        <v>22</v>
      </c>
      <c r="E996" s="18" t="s">
        <v>22</v>
      </c>
      <c r="F996" s="18" t="s">
        <v>22</v>
      </c>
      <c r="G996" s="18" t="s">
        <v>22</v>
      </c>
      <c r="H996" s="32" t="s">
        <v>22</v>
      </c>
      <c r="L996" s="20" t="str">
        <f t="shared" si="30"/>
        <v>N/A</v>
      </c>
      <c r="M996" s="20" t="str">
        <f t="shared" si="31"/>
        <v>N/A</v>
      </c>
    </row>
    <row r="997" spans="1:13">
      <c r="A997" s="18" t="s">
        <v>22</v>
      </c>
      <c r="B997" s="18" t="s">
        <v>365</v>
      </c>
      <c r="C997" s="18" t="s">
        <v>253</v>
      </c>
      <c r="D997" s="18" t="s">
        <v>116</v>
      </c>
      <c r="E997" s="18">
        <v>-10.14</v>
      </c>
      <c r="F997" s="18">
        <v>0</v>
      </c>
      <c r="G997" s="18">
        <v>0</v>
      </c>
      <c r="H997" s="18">
        <v>-10.14</v>
      </c>
      <c r="L997" s="20" t="str">
        <f t="shared" si="30"/>
        <v>N/A</v>
      </c>
      <c r="M997" s="20" t="str">
        <f t="shared" si="31"/>
        <v>N/A</v>
      </c>
    </row>
    <row r="998" spans="1:13">
      <c r="A998" s="18" t="s">
        <v>22</v>
      </c>
      <c r="B998" s="18" t="s">
        <v>365</v>
      </c>
      <c r="C998" s="18" t="s">
        <v>253</v>
      </c>
      <c r="D998" s="18" t="s">
        <v>121</v>
      </c>
      <c r="E998" s="18">
        <v>-22.25</v>
      </c>
      <c r="F998" s="18">
        <v>14.84</v>
      </c>
      <c r="G998" s="18">
        <v>3.71</v>
      </c>
      <c r="H998" s="18">
        <v>-11.12</v>
      </c>
      <c r="L998" s="20" t="str">
        <f t="shared" si="30"/>
        <v>N/A</v>
      </c>
      <c r="M998" s="20" t="str">
        <f t="shared" si="31"/>
        <v>N/A</v>
      </c>
    </row>
    <row r="999" spans="1:13">
      <c r="A999" s="18" t="s">
        <v>22</v>
      </c>
      <c r="B999" s="18" t="s">
        <v>365</v>
      </c>
      <c r="C999" s="18" t="s">
        <v>253</v>
      </c>
      <c r="D999" s="18" t="s">
        <v>124</v>
      </c>
      <c r="E999" s="18">
        <v>-4.55</v>
      </c>
      <c r="F999" s="18">
        <v>0</v>
      </c>
      <c r="G999" s="18">
        <v>2.83</v>
      </c>
      <c r="H999" s="18">
        <v>-7.38</v>
      </c>
      <c r="L999" s="20" t="str">
        <f t="shared" si="30"/>
        <v>N/A</v>
      </c>
      <c r="M999" s="20" t="str">
        <f t="shared" si="31"/>
        <v>N/A</v>
      </c>
    </row>
    <row r="1000" spans="1:13">
      <c r="A1000" s="18" t="s">
        <v>22</v>
      </c>
      <c r="B1000" s="18" t="s">
        <v>365</v>
      </c>
      <c r="C1000" s="18" t="s">
        <v>253</v>
      </c>
      <c r="D1000" s="18" t="s">
        <v>127</v>
      </c>
      <c r="E1000" s="18">
        <v>0</v>
      </c>
      <c r="F1000" s="18">
        <v>0</v>
      </c>
      <c r="G1000" s="18">
        <v>0</v>
      </c>
      <c r="H1000" s="18">
        <v>0</v>
      </c>
      <c r="L1000" s="20" t="str">
        <f t="shared" si="30"/>
        <v>N/A</v>
      </c>
      <c r="M1000" s="20" t="str">
        <f t="shared" si="31"/>
        <v>N/A</v>
      </c>
    </row>
    <row r="1001" spans="1:13">
      <c r="A1001" s="18" t="s">
        <v>22</v>
      </c>
      <c r="B1001" s="18" t="s">
        <v>365</v>
      </c>
      <c r="C1001" s="18" t="s">
        <v>253</v>
      </c>
      <c r="D1001" s="18" t="s">
        <v>95</v>
      </c>
      <c r="E1001" s="18">
        <v>-1.1000000000000001</v>
      </c>
      <c r="F1001" s="18">
        <v>0.28000000000000003</v>
      </c>
      <c r="G1001" s="18">
        <v>0.83</v>
      </c>
      <c r="H1001" s="18">
        <v>-1.65</v>
      </c>
      <c r="L1001" s="20" t="str">
        <f t="shared" si="30"/>
        <v>N/A</v>
      </c>
      <c r="M1001" s="20" t="str">
        <f t="shared" si="31"/>
        <v>N/A</v>
      </c>
    </row>
    <row r="1002" spans="1:13">
      <c r="A1002" s="18" t="s">
        <v>22</v>
      </c>
      <c r="B1002" s="18" t="s">
        <v>365</v>
      </c>
      <c r="C1002" s="18" t="s">
        <v>253</v>
      </c>
      <c r="D1002" s="18" t="s">
        <v>132</v>
      </c>
      <c r="E1002" s="18">
        <v>0</v>
      </c>
      <c r="F1002" s="18">
        <v>0</v>
      </c>
      <c r="G1002" s="18">
        <v>0</v>
      </c>
      <c r="H1002" s="18">
        <v>0</v>
      </c>
      <c r="L1002" s="20" t="str">
        <f t="shared" si="30"/>
        <v>N/A</v>
      </c>
      <c r="M1002" s="20" t="str">
        <f t="shared" si="31"/>
        <v>N/A</v>
      </c>
    </row>
    <row r="1003" spans="1:13">
      <c r="A1003" s="18" t="s">
        <v>22</v>
      </c>
      <c r="B1003" s="18" t="s">
        <v>365</v>
      </c>
      <c r="C1003" s="18" t="s">
        <v>253</v>
      </c>
      <c r="D1003" s="18" t="s">
        <v>135</v>
      </c>
      <c r="E1003" s="18">
        <v>-987654.32</v>
      </c>
      <c r="F1003" s="18">
        <v>0</v>
      </c>
      <c r="G1003" s="18">
        <v>0</v>
      </c>
      <c r="H1003" s="18">
        <v>-987654.32</v>
      </c>
      <c r="L1003" s="20" t="str">
        <f t="shared" si="30"/>
        <v>N/A</v>
      </c>
      <c r="M1003" s="20" t="str">
        <f t="shared" si="31"/>
        <v>N/A</v>
      </c>
    </row>
    <row r="1004" spans="1:13">
      <c r="A1004" s="18" t="s">
        <v>22</v>
      </c>
      <c r="B1004" s="18" t="s">
        <v>365</v>
      </c>
      <c r="C1004" s="18" t="s">
        <v>253</v>
      </c>
      <c r="D1004" s="18" t="s">
        <v>140</v>
      </c>
      <c r="E1004" s="18">
        <v>-2362.31</v>
      </c>
      <c r="F1004" s="18">
        <v>0</v>
      </c>
      <c r="G1004" s="18">
        <v>1660.9</v>
      </c>
      <c r="H1004" s="18">
        <v>-4023.21</v>
      </c>
      <c r="L1004" s="20" t="str">
        <f t="shared" si="30"/>
        <v>N/A</v>
      </c>
      <c r="M1004" s="20" t="str">
        <f t="shared" si="31"/>
        <v>N/A</v>
      </c>
    </row>
    <row r="1005" spans="1:13">
      <c r="A1005" s="18" t="s">
        <v>22</v>
      </c>
      <c r="B1005" s="18" t="s">
        <v>365</v>
      </c>
      <c r="C1005" s="18" t="s">
        <v>253</v>
      </c>
      <c r="D1005" s="18" t="s">
        <v>143</v>
      </c>
      <c r="E1005" s="18">
        <v>173862.62</v>
      </c>
      <c r="F1005" s="18">
        <v>0</v>
      </c>
      <c r="G1005" s="18">
        <v>0</v>
      </c>
      <c r="H1005" s="18">
        <v>173862.62</v>
      </c>
      <c r="L1005" s="20" t="str">
        <f t="shared" si="30"/>
        <v>N/A</v>
      </c>
      <c r="M1005" s="20" t="str">
        <f t="shared" si="31"/>
        <v>N/A</v>
      </c>
    </row>
    <row r="1006" spans="1:13">
      <c r="A1006" s="18" t="s">
        <v>22</v>
      </c>
      <c r="B1006" s="18" t="s">
        <v>365</v>
      </c>
      <c r="C1006" s="18" t="s">
        <v>253</v>
      </c>
      <c r="D1006" s="18" t="s">
        <v>146</v>
      </c>
      <c r="E1006" s="18">
        <v>22031.59</v>
      </c>
      <c r="F1006" s="18">
        <v>0</v>
      </c>
      <c r="G1006" s="18">
        <v>0</v>
      </c>
      <c r="H1006" s="18">
        <v>22031.59</v>
      </c>
      <c r="L1006" s="20" t="str">
        <f t="shared" si="30"/>
        <v>N/A</v>
      </c>
      <c r="M1006" s="20" t="str">
        <f t="shared" si="31"/>
        <v>N/A</v>
      </c>
    </row>
    <row r="1007" spans="1:13">
      <c r="A1007" s="18" t="s">
        <v>22</v>
      </c>
      <c r="B1007" s="18" t="s">
        <v>365</v>
      </c>
      <c r="C1007" s="18" t="s">
        <v>253</v>
      </c>
      <c r="D1007" s="18" t="s">
        <v>147</v>
      </c>
      <c r="E1007" s="18">
        <v>-192084.9</v>
      </c>
      <c r="F1007" s="18">
        <v>0</v>
      </c>
      <c r="G1007" s="18">
        <v>0</v>
      </c>
      <c r="H1007" s="18">
        <v>-192084.9</v>
      </c>
      <c r="L1007" s="20" t="str">
        <f t="shared" si="30"/>
        <v>N/A</v>
      </c>
      <c r="M1007" s="20" t="str">
        <f t="shared" si="31"/>
        <v>N/A</v>
      </c>
    </row>
    <row r="1008" spans="1:13">
      <c r="A1008" s="18" t="s">
        <v>22</v>
      </c>
      <c r="B1008" s="18" t="s">
        <v>365</v>
      </c>
      <c r="C1008" s="18" t="s">
        <v>253</v>
      </c>
      <c r="D1008" s="18" t="s">
        <v>153</v>
      </c>
      <c r="E1008" s="18">
        <v>0</v>
      </c>
      <c r="F1008" s="18">
        <v>0</v>
      </c>
      <c r="G1008" s="18">
        <v>0</v>
      </c>
      <c r="H1008" s="18">
        <v>0</v>
      </c>
      <c r="L1008" s="20" t="str">
        <f t="shared" si="30"/>
        <v>N/A</v>
      </c>
      <c r="M1008" s="20" t="str">
        <f t="shared" si="31"/>
        <v>N/A</v>
      </c>
    </row>
    <row r="1009" spans="1:13">
      <c r="A1009" s="18" t="s">
        <v>22</v>
      </c>
      <c r="B1009" s="18" t="s">
        <v>365</v>
      </c>
      <c r="C1009" s="18" t="s">
        <v>253</v>
      </c>
      <c r="D1009" s="18" t="s">
        <v>155</v>
      </c>
      <c r="E1009" s="18">
        <v>0</v>
      </c>
      <c r="F1009" s="18">
        <v>0</v>
      </c>
      <c r="G1009" s="18">
        <v>0</v>
      </c>
      <c r="H1009" s="18">
        <v>0</v>
      </c>
      <c r="L1009" s="20" t="str">
        <f t="shared" si="30"/>
        <v>N/A</v>
      </c>
      <c r="M1009" s="20" t="str">
        <f t="shared" si="31"/>
        <v>N/A</v>
      </c>
    </row>
    <row r="1010" spans="1:13">
      <c r="A1010" s="18" t="s">
        <v>22</v>
      </c>
      <c r="B1010" s="18" t="s">
        <v>365</v>
      </c>
      <c r="C1010" s="18" t="s">
        <v>253</v>
      </c>
      <c r="D1010" s="18" t="s">
        <v>156</v>
      </c>
      <c r="E1010" s="18">
        <v>-8.6999999999999993</v>
      </c>
      <c r="F1010" s="18">
        <v>0</v>
      </c>
      <c r="G1010" s="18">
        <v>0.25</v>
      </c>
      <c r="H1010" s="18">
        <v>-8.9499999999999993</v>
      </c>
      <c r="L1010" s="20" t="str">
        <f t="shared" si="30"/>
        <v>N/A</v>
      </c>
      <c r="M1010" s="20" t="str">
        <f t="shared" si="31"/>
        <v>N/A</v>
      </c>
    </row>
    <row r="1011" spans="1:13">
      <c r="A1011" s="18" t="s">
        <v>22</v>
      </c>
      <c r="B1011" s="18" t="s">
        <v>365</v>
      </c>
      <c r="C1011" s="18" t="s">
        <v>253</v>
      </c>
      <c r="D1011" s="18" t="s">
        <v>157</v>
      </c>
      <c r="E1011" s="18">
        <v>-81540.759999999995</v>
      </c>
      <c r="F1011" s="18">
        <v>0</v>
      </c>
      <c r="G1011" s="18">
        <v>11888.83</v>
      </c>
      <c r="H1011" s="18">
        <v>-93429.59</v>
      </c>
      <c r="L1011" s="20" t="str">
        <f t="shared" si="30"/>
        <v>N/A</v>
      </c>
      <c r="M1011" s="20" t="str">
        <f t="shared" si="31"/>
        <v>N/A</v>
      </c>
    </row>
    <row r="1012" spans="1:13">
      <c r="A1012" s="18" t="s">
        <v>22</v>
      </c>
      <c r="B1012" s="18" t="s">
        <v>365</v>
      </c>
      <c r="C1012" s="18" t="s">
        <v>253</v>
      </c>
      <c r="D1012" s="18" t="s">
        <v>145</v>
      </c>
      <c r="E1012" s="18">
        <v>0</v>
      </c>
      <c r="F1012" s="18">
        <v>57.05</v>
      </c>
      <c r="G1012" s="18">
        <v>0</v>
      </c>
      <c r="H1012" s="18">
        <v>57.05</v>
      </c>
      <c r="L1012" s="20" t="str">
        <f t="shared" si="30"/>
        <v>N/A</v>
      </c>
      <c r="M1012" s="20" t="str">
        <f t="shared" si="31"/>
        <v>N/A</v>
      </c>
    </row>
    <row r="1013" spans="1:13">
      <c r="A1013" s="18" t="s">
        <v>22</v>
      </c>
      <c r="B1013" s="18" t="s">
        <v>365</v>
      </c>
      <c r="C1013" s="18" t="s">
        <v>253</v>
      </c>
      <c r="D1013" s="18" t="s">
        <v>96</v>
      </c>
      <c r="E1013" s="18">
        <v>1.66</v>
      </c>
      <c r="F1013" s="18">
        <v>0.83</v>
      </c>
      <c r="G1013" s="18">
        <v>0</v>
      </c>
      <c r="H1013" s="18">
        <v>2.4900000000000002</v>
      </c>
      <c r="L1013" s="20" t="str">
        <f t="shared" si="30"/>
        <v>N/A</v>
      </c>
      <c r="M1013" s="20" t="str">
        <f t="shared" si="31"/>
        <v>N/A</v>
      </c>
    </row>
    <row r="1014" spans="1:13">
      <c r="A1014" s="18" t="s">
        <v>22</v>
      </c>
      <c r="B1014" s="18" t="s">
        <v>365</v>
      </c>
      <c r="C1014" s="18" t="s">
        <v>253</v>
      </c>
      <c r="D1014" s="18" t="s">
        <v>104</v>
      </c>
      <c r="E1014" s="18">
        <v>3.79</v>
      </c>
      <c r="F1014" s="18">
        <v>7.59</v>
      </c>
      <c r="G1014" s="18">
        <v>0</v>
      </c>
      <c r="H1014" s="18">
        <v>11.38</v>
      </c>
      <c r="L1014" s="20" t="str">
        <f t="shared" si="30"/>
        <v>N/A</v>
      </c>
      <c r="M1014" s="20" t="str">
        <f t="shared" si="31"/>
        <v>N/A</v>
      </c>
    </row>
    <row r="1015" spans="1:13">
      <c r="A1015" s="18" t="s">
        <v>22</v>
      </c>
      <c r="B1015" s="18" t="s">
        <v>365</v>
      </c>
      <c r="C1015" s="18" t="s">
        <v>253</v>
      </c>
      <c r="D1015" s="18" t="s">
        <v>359</v>
      </c>
      <c r="E1015" s="18">
        <v>178.91</v>
      </c>
      <c r="F1015" s="18">
        <v>1.69</v>
      </c>
      <c r="G1015" s="18">
        <v>0</v>
      </c>
      <c r="H1015" s="18">
        <v>180.6</v>
      </c>
      <c r="L1015" s="20" t="str">
        <f t="shared" si="30"/>
        <v>N/A</v>
      </c>
      <c r="M1015" s="20" t="str">
        <f t="shared" si="31"/>
        <v>N/A</v>
      </c>
    </row>
    <row r="1016" spans="1:13">
      <c r="A1016" s="18" t="s">
        <v>22</v>
      </c>
      <c r="B1016" s="18" t="s">
        <v>365</v>
      </c>
      <c r="C1016" s="18" t="s">
        <v>253</v>
      </c>
      <c r="D1016" s="18" t="s">
        <v>113</v>
      </c>
      <c r="E1016" s="18">
        <v>243.54</v>
      </c>
      <c r="F1016" s="18">
        <v>66.7</v>
      </c>
      <c r="G1016" s="18">
        <v>0</v>
      </c>
      <c r="H1016" s="18">
        <v>310.24</v>
      </c>
      <c r="L1016" s="20" t="str">
        <f t="shared" si="30"/>
        <v>N/A</v>
      </c>
      <c r="M1016" s="20" t="str">
        <f t="shared" si="31"/>
        <v>N/A</v>
      </c>
    </row>
    <row r="1017" spans="1:13">
      <c r="A1017" s="18" t="s">
        <v>22</v>
      </c>
      <c r="B1017" s="18" t="s">
        <v>365</v>
      </c>
      <c r="C1017" s="18" t="s">
        <v>253</v>
      </c>
      <c r="D1017" s="18" t="s">
        <v>150</v>
      </c>
      <c r="E1017" s="18">
        <v>75.86</v>
      </c>
      <c r="F1017" s="18">
        <v>4.58</v>
      </c>
      <c r="G1017" s="18">
        <v>0</v>
      </c>
      <c r="H1017" s="18">
        <v>80.44</v>
      </c>
      <c r="L1017" s="20" t="str">
        <f t="shared" si="30"/>
        <v>N/A</v>
      </c>
      <c r="M1017" s="20" t="str">
        <f t="shared" si="31"/>
        <v>N/A</v>
      </c>
    </row>
    <row r="1018" spans="1:13">
      <c r="A1018" s="18" t="s">
        <v>22</v>
      </c>
      <c r="B1018" s="18" t="s">
        <v>365</v>
      </c>
      <c r="C1018" s="18" t="s">
        <v>253</v>
      </c>
      <c r="D1018" s="18" t="s">
        <v>120</v>
      </c>
      <c r="E1018" s="18">
        <v>0.11</v>
      </c>
      <c r="F1018" s="18">
        <v>0</v>
      </c>
      <c r="G1018" s="18">
        <v>0</v>
      </c>
      <c r="H1018" s="18">
        <v>0.11</v>
      </c>
      <c r="L1018" s="20" t="str">
        <f t="shared" si="30"/>
        <v>N/A</v>
      </c>
      <c r="M1018" s="20" t="str">
        <f t="shared" si="31"/>
        <v>N/A</v>
      </c>
    </row>
    <row r="1019" spans="1:13">
      <c r="A1019" s="18" t="s">
        <v>22</v>
      </c>
      <c r="B1019" s="18" t="s">
        <v>365</v>
      </c>
      <c r="C1019" s="18" t="s">
        <v>253</v>
      </c>
      <c r="D1019" s="18" t="s">
        <v>123</v>
      </c>
      <c r="E1019" s="18">
        <v>71.03</v>
      </c>
      <c r="F1019" s="18">
        <v>36.159999999999997</v>
      </c>
      <c r="G1019" s="18">
        <v>0</v>
      </c>
      <c r="H1019" s="18">
        <v>107.19</v>
      </c>
      <c r="L1019" s="20" t="str">
        <f t="shared" si="30"/>
        <v>N/A</v>
      </c>
      <c r="M1019" s="20" t="str">
        <f t="shared" si="31"/>
        <v>N/A</v>
      </c>
    </row>
    <row r="1020" spans="1:13">
      <c r="A1020" s="18" t="s">
        <v>22</v>
      </c>
      <c r="B1020" s="18" t="s">
        <v>365</v>
      </c>
      <c r="C1020" s="18" t="s">
        <v>253</v>
      </c>
      <c r="D1020" s="18" t="s">
        <v>126</v>
      </c>
      <c r="E1020" s="18">
        <v>10.58</v>
      </c>
      <c r="F1020" s="18">
        <v>2.04</v>
      </c>
      <c r="G1020" s="18">
        <v>0</v>
      </c>
      <c r="H1020" s="18">
        <v>12.62</v>
      </c>
      <c r="L1020" s="20" t="str">
        <f t="shared" si="30"/>
        <v>N/A</v>
      </c>
      <c r="M1020" s="20" t="str">
        <f t="shared" si="31"/>
        <v>N/A</v>
      </c>
    </row>
    <row r="1021" spans="1:13">
      <c r="A1021" s="18" t="s">
        <v>22</v>
      </c>
      <c r="B1021" s="18" t="s">
        <v>365</v>
      </c>
      <c r="C1021" s="18" t="s">
        <v>253</v>
      </c>
      <c r="D1021" s="18" t="s">
        <v>129</v>
      </c>
      <c r="E1021" s="18">
        <v>9.8800000000000008</v>
      </c>
      <c r="F1021" s="18">
        <v>2.81</v>
      </c>
      <c r="G1021" s="18">
        <v>0</v>
      </c>
      <c r="H1021" s="18">
        <v>12.69</v>
      </c>
      <c r="L1021" s="20" t="str">
        <f t="shared" si="30"/>
        <v>N/A</v>
      </c>
      <c r="M1021" s="20" t="str">
        <f t="shared" si="31"/>
        <v>N/A</v>
      </c>
    </row>
    <row r="1022" spans="1:13">
      <c r="A1022" s="18" t="s">
        <v>22</v>
      </c>
      <c r="B1022" s="18" t="s">
        <v>365</v>
      </c>
      <c r="C1022" s="18" t="s">
        <v>253</v>
      </c>
      <c r="D1022" s="18" t="s">
        <v>131</v>
      </c>
      <c r="E1022" s="18">
        <v>25.09</v>
      </c>
      <c r="F1022" s="18">
        <v>17.91</v>
      </c>
      <c r="G1022" s="18">
        <v>0</v>
      </c>
      <c r="H1022" s="18">
        <v>43</v>
      </c>
      <c r="L1022" s="20" t="str">
        <f t="shared" si="30"/>
        <v>N/A</v>
      </c>
      <c r="M1022" s="20" t="str">
        <f t="shared" si="31"/>
        <v>N/A</v>
      </c>
    </row>
    <row r="1023" spans="1:13">
      <c r="A1023" s="18" t="s">
        <v>22</v>
      </c>
      <c r="B1023" s="18" t="s">
        <v>365</v>
      </c>
      <c r="C1023" s="18" t="s">
        <v>253</v>
      </c>
      <c r="D1023" s="18" t="s">
        <v>162</v>
      </c>
      <c r="E1023" s="18">
        <v>0</v>
      </c>
      <c r="F1023" s="18">
        <v>0</v>
      </c>
      <c r="G1023" s="18">
        <v>0</v>
      </c>
      <c r="H1023" s="18">
        <v>0</v>
      </c>
      <c r="L1023" s="20" t="str">
        <f t="shared" si="30"/>
        <v>N/A</v>
      </c>
      <c r="M1023" s="20" t="str">
        <f t="shared" si="31"/>
        <v>N/A</v>
      </c>
    </row>
    <row r="1024" spans="1:13">
      <c r="A1024" s="18" t="s">
        <v>22</v>
      </c>
      <c r="B1024" s="18" t="s">
        <v>365</v>
      </c>
      <c r="C1024" s="18" t="s">
        <v>253</v>
      </c>
      <c r="D1024" s="18" t="s">
        <v>134</v>
      </c>
      <c r="E1024" s="18">
        <v>1.8</v>
      </c>
      <c r="F1024" s="18">
        <v>2.25</v>
      </c>
      <c r="G1024" s="18">
        <v>0</v>
      </c>
      <c r="H1024" s="18">
        <v>4.05</v>
      </c>
      <c r="L1024" s="20" t="str">
        <f t="shared" si="30"/>
        <v>N/A</v>
      </c>
      <c r="M1024" s="20" t="str">
        <f t="shared" si="31"/>
        <v>N/A</v>
      </c>
    </row>
    <row r="1025" spans="1:13">
      <c r="A1025" s="18" t="s">
        <v>22</v>
      </c>
      <c r="B1025" s="18" t="s">
        <v>365</v>
      </c>
      <c r="C1025" s="18" t="s">
        <v>253</v>
      </c>
      <c r="D1025" s="18" t="s">
        <v>139</v>
      </c>
      <c r="E1025" s="18">
        <v>7.42</v>
      </c>
      <c r="F1025" s="18">
        <v>3.71</v>
      </c>
      <c r="G1025" s="18">
        <v>0</v>
      </c>
      <c r="H1025" s="18">
        <v>11.13</v>
      </c>
      <c r="L1025" s="20" t="str">
        <f t="shared" si="30"/>
        <v>N/A</v>
      </c>
      <c r="M1025" s="20" t="str">
        <f t="shared" si="31"/>
        <v>N/A</v>
      </c>
    </row>
    <row r="1026" spans="1:13">
      <c r="A1026" s="18" t="s">
        <v>22</v>
      </c>
      <c r="B1026" s="18" t="s">
        <v>365</v>
      </c>
      <c r="C1026" s="18" t="s">
        <v>253</v>
      </c>
      <c r="D1026" s="18" t="s">
        <v>142</v>
      </c>
      <c r="E1026" s="18">
        <v>6.13</v>
      </c>
      <c r="F1026" s="18">
        <v>3.62</v>
      </c>
      <c r="G1026" s="18">
        <v>0</v>
      </c>
      <c r="H1026" s="18">
        <v>9.75</v>
      </c>
      <c r="L1026" s="20" t="str">
        <f t="shared" si="30"/>
        <v>N/A</v>
      </c>
      <c r="M1026" s="20" t="str">
        <f t="shared" si="31"/>
        <v>N/A</v>
      </c>
    </row>
    <row r="1027" spans="1:13">
      <c r="A1027" s="18" t="s">
        <v>22</v>
      </c>
      <c r="B1027" s="18" t="s">
        <v>365</v>
      </c>
      <c r="C1027" s="18" t="s">
        <v>253</v>
      </c>
      <c r="D1027" s="18" t="s">
        <v>163</v>
      </c>
      <c r="E1027" s="18">
        <v>0</v>
      </c>
      <c r="F1027" s="18">
        <v>0</v>
      </c>
      <c r="G1027" s="18">
        <v>0</v>
      </c>
      <c r="H1027" s="18">
        <v>0</v>
      </c>
      <c r="L1027" s="20" t="str">
        <f t="shared" ref="L1027:L1090" si="32">+IF(LEFT(D1027,1)="1","Asset","N/A")</f>
        <v>N/A</v>
      </c>
      <c r="M1027" s="20" t="str">
        <f t="shared" ref="M1027:M1090" si="33">+IF(L1027="asset",IF(H1027&lt;0,"Provide Comment","okay"),"N/A")</f>
        <v>N/A</v>
      </c>
    </row>
    <row r="1028" spans="1:13">
      <c r="A1028" s="18" t="s">
        <v>22</v>
      </c>
      <c r="B1028" s="18" t="s">
        <v>365</v>
      </c>
      <c r="C1028" s="18" t="s">
        <v>255</v>
      </c>
      <c r="D1028" s="18" t="s">
        <v>87</v>
      </c>
      <c r="E1028" s="18">
        <v>50.28</v>
      </c>
      <c r="F1028" s="18">
        <v>1681.91</v>
      </c>
      <c r="G1028" s="18">
        <v>217.37</v>
      </c>
      <c r="H1028" s="18">
        <v>1514.82</v>
      </c>
      <c r="L1028" s="20" t="str">
        <f t="shared" si="32"/>
        <v>Asset</v>
      </c>
      <c r="M1028" s="20" t="str">
        <f t="shared" si="33"/>
        <v>okay</v>
      </c>
    </row>
    <row r="1029" spans="1:13">
      <c r="A1029" s="18" t="s">
        <v>22</v>
      </c>
      <c r="B1029" s="18" t="s">
        <v>365</v>
      </c>
      <c r="C1029" s="18" t="s">
        <v>255</v>
      </c>
      <c r="D1029" s="18" t="s">
        <v>97</v>
      </c>
      <c r="E1029" s="18">
        <v>823964.1</v>
      </c>
      <c r="F1029" s="18">
        <v>0</v>
      </c>
      <c r="G1029" s="18">
        <v>0</v>
      </c>
      <c r="H1029" s="18">
        <v>823964.1</v>
      </c>
      <c r="L1029" s="20" t="str">
        <f t="shared" si="32"/>
        <v>Asset</v>
      </c>
      <c r="M1029" s="20" t="str">
        <f t="shared" si="33"/>
        <v>okay</v>
      </c>
    </row>
    <row r="1030" spans="1:13">
      <c r="A1030" s="18" t="s">
        <v>22</v>
      </c>
      <c r="B1030" s="18" t="s">
        <v>365</v>
      </c>
      <c r="C1030" s="18" t="s">
        <v>255</v>
      </c>
      <c r="D1030" s="18" t="s">
        <v>105</v>
      </c>
      <c r="E1030" s="18">
        <v>256484.26</v>
      </c>
      <c r="F1030" s="18">
        <v>12037.44</v>
      </c>
      <c r="G1030" s="18">
        <v>0</v>
      </c>
      <c r="H1030" s="18">
        <v>268521.7</v>
      </c>
      <c r="L1030" s="20" t="str">
        <f t="shared" si="32"/>
        <v>Asset</v>
      </c>
      <c r="M1030" s="20" t="str">
        <f t="shared" si="33"/>
        <v>okay</v>
      </c>
    </row>
    <row r="1031" spans="1:13">
      <c r="A1031" s="18" t="s">
        <v>22</v>
      </c>
      <c r="B1031" s="18" t="s">
        <v>365</v>
      </c>
      <c r="C1031" s="18" t="s">
        <v>255</v>
      </c>
      <c r="D1031" s="18" t="s">
        <v>108</v>
      </c>
      <c r="E1031" s="18">
        <v>0</v>
      </c>
      <c r="F1031" s="18">
        <v>0</v>
      </c>
      <c r="G1031" s="18">
        <v>0</v>
      </c>
      <c r="H1031" s="18">
        <v>0</v>
      </c>
      <c r="L1031" s="20" t="str">
        <f t="shared" si="32"/>
        <v>Asset</v>
      </c>
      <c r="M1031" s="20" t="str">
        <f t="shared" si="33"/>
        <v>okay</v>
      </c>
    </row>
    <row r="1032" spans="1:13">
      <c r="A1032" s="18" t="s">
        <v>22</v>
      </c>
      <c r="B1032" s="18" t="s">
        <v>365</v>
      </c>
      <c r="C1032" s="18" t="s">
        <v>255</v>
      </c>
      <c r="D1032" s="18" t="s">
        <v>116</v>
      </c>
      <c r="E1032" s="18">
        <v>-10.28</v>
      </c>
      <c r="F1032" s="18">
        <v>0</v>
      </c>
      <c r="G1032" s="18">
        <v>0</v>
      </c>
      <c r="H1032" s="18">
        <v>-10.28</v>
      </c>
      <c r="L1032" s="20" t="str">
        <f t="shared" si="32"/>
        <v>N/A</v>
      </c>
      <c r="M1032" s="20" t="str">
        <f t="shared" si="33"/>
        <v>N/A</v>
      </c>
    </row>
    <row r="1033" spans="1:13">
      <c r="A1033" s="18" t="s">
        <v>22</v>
      </c>
      <c r="B1033" s="18" t="s">
        <v>365</v>
      </c>
      <c r="C1033" s="18" t="s">
        <v>255</v>
      </c>
      <c r="D1033" s="18" t="s">
        <v>121</v>
      </c>
      <c r="E1033" s="18">
        <v>-22.57</v>
      </c>
      <c r="F1033" s="18">
        <v>15.02</v>
      </c>
      <c r="G1033" s="18">
        <v>3.76</v>
      </c>
      <c r="H1033" s="18">
        <v>-11.31</v>
      </c>
      <c r="L1033" s="20" t="str">
        <f t="shared" si="32"/>
        <v>N/A</v>
      </c>
      <c r="M1033" s="20" t="str">
        <f t="shared" si="33"/>
        <v>N/A</v>
      </c>
    </row>
    <row r="1034" spans="1:13">
      <c r="A1034" s="18" t="s">
        <v>22</v>
      </c>
      <c r="B1034" s="18" t="s">
        <v>365</v>
      </c>
      <c r="C1034" s="18" t="s">
        <v>255</v>
      </c>
      <c r="D1034" s="18" t="s">
        <v>124</v>
      </c>
      <c r="E1034" s="18">
        <v>-4.5999999999999996</v>
      </c>
      <c r="F1034" s="18">
        <v>0</v>
      </c>
      <c r="G1034" s="18">
        <v>2.86</v>
      </c>
      <c r="H1034" s="18">
        <v>-7.46</v>
      </c>
      <c r="L1034" s="20" t="str">
        <f t="shared" si="32"/>
        <v>N/A</v>
      </c>
      <c r="M1034" s="20" t="str">
        <f t="shared" si="33"/>
        <v>N/A</v>
      </c>
    </row>
    <row r="1035" spans="1:13">
      <c r="A1035" s="18" t="s">
        <v>22</v>
      </c>
      <c r="B1035" s="18" t="s">
        <v>365</v>
      </c>
      <c r="C1035" s="18" t="s">
        <v>255</v>
      </c>
      <c r="D1035" s="18" t="s">
        <v>127</v>
      </c>
      <c r="E1035" s="18">
        <v>0</v>
      </c>
      <c r="F1035" s="18">
        <v>0</v>
      </c>
      <c r="G1035" s="18">
        <v>0</v>
      </c>
      <c r="H1035" s="18">
        <v>0</v>
      </c>
      <c r="L1035" s="20" t="str">
        <f t="shared" si="32"/>
        <v>N/A</v>
      </c>
      <c r="M1035" s="20" t="str">
        <f t="shared" si="33"/>
        <v>N/A</v>
      </c>
    </row>
    <row r="1036" spans="1:13">
      <c r="A1036" s="18" t="s">
        <v>22</v>
      </c>
      <c r="B1036" s="18" t="s">
        <v>365</v>
      </c>
      <c r="C1036" s="18" t="s">
        <v>255</v>
      </c>
      <c r="D1036" s="18" t="s">
        <v>95</v>
      </c>
      <c r="E1036" s="18">
        <v>-1.1200000000000001</v>
      </c>
      <c r="F1036" s="18">
        <v>0.28000000000000003</v>
      </c>
      <c r="G1036" s="18">
        <v>0.84</v>
      </c>
      <c r="H1036" s="18">
        <v>-1.68</v>
      </c>
      <c r="L1036" s="20" t="str">
        <f t="shared" si="32"/>
        <v>N/A</v>
      </c>
      <c r="M1036" s="20" t="str">
        <f t="shared" si="33"/>
        <v>N/A</v>
      </c>
    </row>
    <row r="1037" spans="1:13">
      <c r="A1037" s="18" t="s">
        <v>22</v>
      </c>
      <c r="B1037" s="18" t="s">
        <v>365</v>
      </c>
      <c r="C1037" s="18" t="s">
        <v>255</v>
      </c>
      <c r="D1037" s="18" t="s">
        <v>132</v>
      </c>
      <c r="E1037" s="18">
        <v>0</v>
      </c>
      <c r="F1037" s="18">
        <v>0</v>
      </c>
      <c r="G1037" s="18">
        <v>0</v>
      </c>
      <c r="H1037" s="18">
        <v>0</v>
      </c>
      <c r="L1037" s="20" t="str">
        <f t="shared" si="32"/>
        <v>N/A</v>
      </c>
      <c r="M1037" s="20" t="str">
        <f t="shared" si="33"/>
        <v>N/A</v>
      </c>
    </row>
    <row r="1038" spans="1:13">
      <c r="A1038" s="18" t="s">
        <v>22</v>
      </c>
      <c r="B1038" s="18" t="s">
        <v>365</v>
      </c>
      <c r="C1038" s="18" t="s">
        <v>255</v>
      </c>
      <c r="D1038" s="18" t="s">
        <v>135</v>
      </c>
      <c r="E1038" s="18">
        <v>-1000000</v>
      </c>
      <c r="F1038" s="18">
        <v>0</v>
      </c>
      <c r="G1038" s="18">
        <v>0</v>
      </c>
      <c r="H1038" s="18">
        <v>-1000000</v>
      </c>
      <c r="L1038" s="20" t="str">
        <f t="shared" si="32"/>
        <v>N/A</v>
      </c>
      <c r="M1038" s="20" t="str">
        <f t="shared" si="33"/>
        <v>N/A</v>
      </c>
    </row>
    <row r="1039" spans="1:13">
      <c r="A1039" s="18" t="s">
        <v>22</v>
      </c>
      <c r="B1039" s="18" t="s">
        <v>365</v>
      </c>
      <c r="C1039" s="18" t="s">
        <v>255</v>
      </c>
      <c r="D1039" s="18" t="s">
        <v>140</v>
      </c>
      <c r="E1039" s="18">
        <v>-2391.84</v>
      </c>
      <c r="F1039" s="18">
        <v>0</v>
      </c>
      <c r="G1039" s="18">
        <v>1681.66</v>
      </c>
      <c r="H1039" s="18">
        <v>-4073.5</v>
      </c>
      <c r="L1039" s="20" t="str">
        <f t="shared" si="32"/>
        <v>N/A</v>
      </c>
      <c r="M1039" s="20" t="str">
        <f t="shared" si="33"/>
        <v>N/A</v>
      </c>
    </row>
    <row r="1040" spans="1:13">
      <c r="A1040" s="18" t="s">
        <v>22</v>
      </c>
      <c r="B1040" s="18" t="s">
        <v>365</v>
      </c>
      <c r="C1040" s="18" t="s">
        <v>255</v>
      </c>
      <c r="D1040" s="18" t="s">
        <v>143</v>
      </c>
      <c r="E1040" s="18">
        <v>176035.9</v>
      </c>
      <c r="F1040" s="18">
        <v>0</v>
      </c>
      <c r="G1040" s="18">
        <v>0</v>
      </c>
      <c r="H1040" s="18">
        <v>176035.9</v>
      </c>
      <c r="L1040" s="20" t="str">
        <f t="shared" si="32"/>
        <v>N/A</v>
      </c>
      <c r="M1040" s="20" t="str">
        <f t="shared" si="33"/>
        <v>N/A</v>
      </c>
    </row>
    <row r="1041" spans="1:13">
      <c r="A1041" s="18" t="s">
        <v>22</v>
      </c>
      <c r="B1041" s="18" t="s">
        <v>365</v>
      </c>
      <c r="C1041" s="18" t="s">
        <v>255</v>
      </c>
      <c r="D1041" s="18" t="s">
        <v>146</v>
      </c>
      <c r="E1041" s="18">
        <v>22306.98</v>
      </c>
      <c r="F1041" s="18">
        <v>0</v>
      </c>
      <c r="G1041" s="18">
        <v>0</v>
      </c>
      <c r="H1041" s="18">
        <v>22306.98</v>
      </c>
      <c r="L1041" s="20" t="str">
        <f t="shared" si="32"/>
        <v>N/A</v>
      </c>
      <c r="M1041" s="20" t="str">
        <f t="shared" si="33"/>
        <v>N/A</v>
      </c>
    </row>
    <row r="1042" spans="1:13">
      <c r="A1042" s="18" t="s">
        <v>22</v>
      </c>
      <c r="B1042" s="18" t="s">
        <v>365</v>
      </c>
      <c r="C1042" s="18" t="s">
        <v>255</v>
      </c>
      <c r="D1042" s="18" t="s">
        <v>147</v>
      </c>
      <c r="E1042" s="18">
        <v>-194485.98</v>
      </c>
      <c r="F1042" s="18">
        <v>0</v>
      </c>
      <c r="G1042" s="18">
        <v>0</v>
      </c>
      <c r="H1042" s="18">
        <v>-194485.98</v>
      </c>
      <c r="L1042" s="20" t="str">
        <f t="shared" si="32"/>
        <v>N/A</v>
      </c>
      <c r="M1042" s="20" t="str">
        <f t="shared" si="33"/>
        <v>N/A</v>
      </c>
    </row>
    <row r="1043" spans="1:13">
      <c r="A1043" s="18" t="s">
        <v>22</v>
      </c>
      <c r="B1043" s="18" t="s">
        <v>365</v>
      </c>
      <c r="C1043" s="18" t="s">
        <v>255</v>
      </c>
      <c r="D1043" s="18" t="s">
        <v>153</v>
      </c>
      <c r="E1043" s="18">
        <v>0</v>
      </c>
      <c r="F1043" s="18">
        <v>0</v>
      </c>
      <c r="G1043" s="18">
        <v>0</v>
      </c>
      <c r="H1043" s="18">
        <v>0</v>
      </c>
      <c r="L1043" s="20" t="str">
        <f t="shared" si="32"/>
        <v>N/A</v>
      </c>
      <c r="M1043" s="20" t="str">
        <f t="shared" si="33"/>
        <v>N/A</v>
      </c>
    </row>
    <row r="1044" spans="1:13">
      <c r="A1044" s="18" t="s">
        <v>22</v>
      </c>
      <c r="B1044" s="18" t="s">
        <v>365</v>
      </c>
      <c r="C1044" s="18" t="s">
        <v>255</v>
      </c>
      <c r="D1044" s="18" t="s">
        <v>155</v>
      </c>
      <c r="E1044" s="18">
        <v>0</v>
      </c>
      <c r="F1044" s="18">
        <v>0</v>
      </c>
      <c r="G1044" s="18">
        <v>0</v>
      </c>
      <c r="H1044" s="18">
        <v>0</v>
      </c>
      <c r="L1044" s="20" t="str">
        <f t="shared" si="32"/>
        <v>N/A</v>
      </c>
      <c r="M1044" s="20" t="str">
        <f t="shared" si="33"/>
        <v>N/A</v>
      </c>
    </row>
    <row r="1045" spans="1:13">
      <c r="A1045" s="18" t="s">
        <v>22</v>
      </c>
      <c r="B1045" s="18" t="s">
        <v>365</v>
      </c>
      <c r="C1045" s="18" t="s">
        <v>255</v>
      </c>
      <c r="D1045" s="18" t="s">
        <v>156</v>
      </c>
      <c r="E1045" s="18">
        <v>-8.82</v>
      </c>
      <c r="F1045" s="18">
        <v>0</v>
      </c>
      <c r="G1045" s="18">
        <v>0.25</v>
      </c>
      <c r="H1045" s="18">
        <v>-9.07</v>
      </c>
      <c r="L1045" s="20" t="str">
        <f t="shared" si="32"/>
        <v>N/A</v>
      </c>
      <c r="M1045" s="20" t="str">
        <f t="shared" si="33"/>
        <v>N/A</v>
      </c>
    </row>
    <row r="1046" spans="1:13">
      <c r="A1046" s="18" t="s">
        <v>22</v>
      </c>
      <c r="B1046" s="18" t="s">
        <v>365</v>
      </c>
      <c r="C1046" s="18" t="s">
        <v>255</v>
      </c>
      <c r="D1046" s="18" t="s">
        <v>157</v>
      </c>
      <c r="E1046" s="18">
        <v>-82560.02</v>
      </c>
      <c r="F1046" s="18">
        <v>0</v>
      </c>
      <c r="G1046" s="18">
        <v>12037.44</v>
      </c>
      <c r="H1046" s="18">
        <v>-94597.46</v>
      </c>
      <c r="L1046" s="20" t="str">
        <f t="shared" si="32"/>
        <v>N/A</v>
      </c>
      <c r="M1046" s="20" t="str">
        <f t="shared" si="33"/>
        <v>N/A</v>
      </c>
    </row>
    <row r="1047" spans="1:13">
      <c r="A1047" s="18" t="s">
        <v>22</v>
      </c>
      <c r="B1047" s="18" t="s">
        <v>365</v>
      </c>
      <c r="C1047" s="18" t="s">
        <v>255</v>
      </c>
      <c r="D1047" s="18" t="s">
        <v>145</v>
      </c>
      <c r="E1047" s="18">
        <v>0</v>
      </c>
      <c r="F1047" s="18">
        <v>57.77</v>
      </c>
      <c r="G1047" s="18">
        <v>0</v>
      </c>
      <c r="H1047" s="18">
        <v>57.77</v>
      </c>
      <c r="L1047" s="20" t="str">
        <f t="shared" si="32"/>
        <v>N/A</v>
      </c>
      <c r="M1047" s="20" t="str">
        <f t="shared" si="33"/>
        <v>N/A</v>
      </c>
    </row>
    <row r="1048" spans="1:13">
      <c r="A1048" s="18" t="s">
        <v>22</v>
      </c>
      <c r="B1048" s="18" t="s">
        <v>365</v>
      </c>
      <c r="C1048" s="18" t="s">
        <v>255</v>
      </c>
      <c r="D1048" s="18" t="s">
        <v>96</v>
      </c>
      <c r="E1048" s="18">
        <v>1.68</v>
      </c>
      <c r="F1048" s="18">
        <v>0.84</v>
      </c>
      <c r="G1048" s="18">
        <v>0</v>
      </c>
      <c r="H1048" s="18">
        <v>2.52</v>
      </c>
      <c r="L1048" s="20" t="str">
        <f t="shared" si="32"/>
        <v>N/A</v>
      </c>
      <c r="M1048" s="20" t="str">
        <f t="shared" si="33"/>
        <v>N/A</v>
      </c>
    </row>
    <row r="1049" spans="1:13">
      <c r="A1049" s="18" t="s">
        <v>22</v>
      </c>
      <c r="B1049" s="18" t="s">
        <v>365</v>
      </c>
      <c r="C1049" s="18" t="s">
        <v>255</v>
      </c>
      <c r="D1049" s="18" t="s">
        <v>104</v>
      </c>
      <c r="E1049" s="18">
        <v>3.84</v>
      </c>
      <c r="F1049" s="18">
        <v>7.68</v>
      </c>
      <c r="G1049" s="18">
        <v>0</v>
      </c>
      <c r="H1049" s="18">
        <v>11.52</v>
      </c>
      <c r="L1049" s="20" t="str">
        <f t="shared" si="32"/>
        <v>N/A</v>
      </c>
      <c r="M1049" s="20" t="str">
        <f t="shared" si="33"/>
        <v>N/A</v>
      </c>
    </row>
    <row r="1050" spans="1:13">
      <c r="A1050" s="18" t="s">
        <v>22</v>
      </c>
      <c r="B1050" s="18" t="s">
        <v>365</v>
      </c>
      <c r="C1050" s="18" t="s">
        <v>255</v>
      </c>
      <c r="D1050" s="18" t="s">
        <v>359</v>
      </c>
      <c r="E1050" s="18">
        <v>181.15</v>
      </c>
      <c r="F1050" s="18">
        <v>1.72</v>
      </c>
      <c r="G1050" s="18">
        <v>0</v>
      </c>
      <c r="H1050" s="18">
        <v>182.87</v>
      </c>
      <c r="L1050" s="20" t="str">
        <f t="shared" si="32"/>
        <v>N/A</v>
      </c>
      <c r="M1050" s="20" t="str">
        <f t="shared" si="33"/>
        <v>N/A</v>
      </c>
    </row>
    <row r="1051" spans="1:13">
      <c r="A1051" s="18" t="s">
        <v>22</v>
      </c>
      <c r="B1051" s="18" t="s">
        <v>365</v>
      </c>
      <c r="C1051" s="18" t="s">
        <v>255</v>
      </c>
      <c r="D1051" s="18" t="s">
        <v>113</v>
      </c>
      <c r="E1051" s="18">
        <v>246.58</v>
      </c>
      <c r="F1051" s="18">
        <v>67.53</v>
      </c>
      <c r="G1051" s="18">
        <v>0</v>
      </c>
      <c r="H1051" s="18">
        <v>314.11</v>
      </c>
      <c r="L1051" s="20" t="str">
        <f t="shared" si="32"/>
        <v>N/A</v>
      </c>
      <c r="M1051" s="20" t="str">
        <f t="shared" si="33"/>
        <v>N/A</v>
      </c>
    </row>
    <row r="1052" spans="1:13">
      <c r="A1052" s="18" t="s">
        <v>22</v>
      </c>
      <c r="B1052" s="18" t="s">
        <v>365</v>
      </c>
      <c r="C1052" s="18" t="s">
        <v>255</v>
      </c>
      <c r="D1052" s="18" t="s">
        <v>150</v>
      </c>
      <c r="E1052" s="18">
        <v>76.790000000000006</v>
      </c>
      <c r="F1052" s="18">
        <v>4.6399999999999997</v>
      </c>
      <c r="G1052" s="18">
        <v>0</v>
      </c>
      <c r="H1052" s="18">
        <v>81.430000000000007</v>
      </c>
      <c r="L1052" s="20" t="str">
        <f t="shared" si="32"/>
        <v>N/A</v>
      </c>
      <c r="M1052" s="20" t="str">
        <f t="shared" si="33"/>
        <v>N/A</v>
      </c>
    </row>
    <row r="1053" spans="1:13">
      <c r="A1053" s="18" t="s">
        <v>22</v>
      </c>
      <c r="B1053" s="18" t="s">
        <v>365</v>
      </c>
      <c r="C1053" s="18" t="s">
        <v>255</v>
      </c>
      <c r="D1053" s="18" t="s">
        <v>120</v>
      </c>
      <c r="E1053" s="18">
        <v>0.12</v>
      </c>
      <c r="F1053" s="18">
        <v>0</v>
      </c>
      <c r="G1053" s="18">
        <v>0</v>
      </c>
      <c r="H1053" s="18">
        <v>0.12</v>
      </c>
      <c r="L1053" s="20" t="str">
        <f t="shared" si="32"/>
        <v>N/A</v>
      </c>
      <c r="M1053" s="20" t="str">
        <f t="shared" si="33"/>
        <v>N/A</v>
      </c>
    </row>
    <row r="1054" spans="1:13">
      <c r="A1054" s="18" t="s">
        <v>22</v>
      </c>
      <c r="B1054" s="18" t="s">
        <v>365</v>
      </c>
      <c r="C1054" s="18" t="s">
        <v>255</v>
      </c>
      <c r="D1054" s="18" t="s">
        <v>123</v>
      </c>
      <c r="E1054" s="18">
        <v>71.92</v>
      </c>
      <c r="F1054" s="18">
        <v>36.61</v>
      </c>
      <c r="G1054" s="18">
        <v>0</v>
      </c>
      <c r="H1054" s="18">
        <v>108.53</v>
      </c>
      <c r="L1054" s="20" t="str">
        <f t="shared" si="32"/>
        <v>N/A</v>
      </c>
      <c r="M1054" s="20" t="str">
        <f t="shared" si="33"/>
        <v>N/A</v>
      </c>
    </row>
    <row r="1055" spans="1:13">
      <c r="A1055" s="18" t="s">
        <v>22</v>
      </c>
      <c r="B1055" s="18" t="s">
        <v>365</v>
      </c>
      <c r="C1055" s="18" t="s">
        <v>255</v>
      </c>
      <c r="D1055" s="18" t="s">
        <v>126</v>
      </c>
      <c r="E1055" s="18">
        <v>10.7</v>
      </c>
      <c r="F1055" s="18">
        <v>2.06</v>
      </c>
      <c r="G1055" s="18">
        <v>0</v>
      </c>
      <c r="H1055" s="18">
        <v>12.76</v>
      </c>
      <c r="L1055" s="20" t="str">
        <f t="shared" si="32"/>
        <v>N/A</v>
      </c>
      <c r="M1055" s="20" t="str">
        <f t="shared" si="33"/>
        <v>N/A</v>
      </c>
    </row>
    <row r="1056" spans="1:13">
      <c r="A1056" s="18" t="s">
        <v>22</v>
      </c>
      <c r="B1056" s="18" t="s">
        <v>365</v>
      </c>
      <c r="C1056" s="18" t="s">
        <v>255</v>
      </c>
      <c r="D1056" s="18" t="s">
        <v>129</v>
      </c>
      <c r="E1056" s="18">
        <v>9.99</v>
      </c>
      <c r="F1056" s="18">
        <v>2.85</v>
      </c>
      <c r="G1056" s="18">
        <v>0</v>
      </c>
      <c r="H1056" s="18">
        <v>12.84</v>
      </c>
      <c r="L1056" s="20" t="str">
        <f t="shared" si="32"/>
        <v>N/A</v>
      </c>
      <c r="M1056" s="20" t="str">
        <f t="shared" si="33"/>
        <v>N/A</v>
      </c>
    </row>
    <row r="1057" spans="1:13">
      <c r="A1057" s="18" t="s">
        <v>22</v>
      </c>
      <c r="B1057" s="18" t="s">
        <v>365</v>
      </c>
      <c r="C1057" s="18" t="s">
        <v>255</v>
      </c>
      <c r="D1057" s="18" t="s">
        <v>131</v>
      </c>
      <c r="E1057" s="18">
        <v>25.4</v>
      </c>
      <c r="F1057" s="18">
        <v>18.13</v>
      </c>
      <c r="G1057" s="18">
        <v>0</v>
      </c>
      <c r="H1057" s="18">
        <v>43.53</v>
      </c>
      <c r="L1057" s="20" t="str">
        <f t="shared" si="32"/>
        <v>N/A</v>
      </c>
      <c r="M1057" s="20" t="str">
        <f t="shared" si="33"/>
        <v>N/A</v>
      </c>
    </row>
    <row r="1058" spans="1:13">
      <c r="A1058" s="18" t="s">
        <v>22</v>
      </c>
      <c r="B1058" s="18" t="s">
        <v>365</v>
      </c>
      <c r="C1058" s="18" t="s">
        <v>255</v>
      </c>
      <c r="D1058" s="18" t="s">
        <v>162</v>
      </c>
      <c r="E1058" s="18">
        <v>0</v>
      </c>
      <c r="F1058" s="18">
        <v>0</v>
      </c>
      <c r="G1058" s="18">
        <v>0</v>
      </c>
      <c r="H1058" s="18">
        <v>0</v>
      </c>
      <c r="L1058" s="20" t="str">
        <f t="shared" si="32"/>
        <v>N/A</v>
      </c>
      <c r="M1058" s="20" t="str">
        <f t="shared" si="33"/>
        <v>N/A</v>
      </c>
    </row>
    <row r="1059" spans="1:13">
      <c r="A1059" s="18" t="s">
        <v>22</v>
      </c>
      <c r="B1059" s="18" t="s">
        <v>365</v>
      </c>
      <c r="C1059" s="18" t="s">
        <v>255</v>
      </c>
      <c r="D1059" s="18" t="s">
        <v>134</v>
      </c>
      <c r="E1059" s="18">
        <v>1.82</v>
      </c>
      <c r="F1059" s="18">
        <v>2.2799999999999998</v>
      </c>
      <c r="G1059" s="18">
        <v>0</v>
      </c>
      <c r="H1059" s="18">
        <v>4.0999999999999996</v>
      </c>
      <c r="L1059" s="20" t="str">
        <f t="shared" si="32"/>
        <v>N/A</v>
      </c>
      <c r="M1059" s="20" t="str">
        <f t="shared" si="33"/>
        <v>N/A</v>
      </c>
    </row>
    <row r="1060" spans="1:13">
      <c r="A1060" s="18" t="s">
        <v>22</v>
      </c>
      <c r="B1060" s="18" t="s">
        <v>365</v>
      </c>
      <c r="C1060" s="18" t="s">
        <v>255</v>
      </c>
      <c r="D1060" s="18" t="s">
        <v>139</v>
      </c>
      <c r="E1060" s="18">
        <v>7.52</v>
      </c>
      <c r="F1060" s="18">
        <v>3.76</v>
      </c>
      <c r="G1060" s="18">
        <v>0</v>
      </c>
      <c r="H1060" s="18">
        <v>11.28</v>
      </c>
      <c r="L1060" s="20" t="str">
        <f t="shared" si="32"/>
        <v>N/A</v>
      </c>
      <c r="M1060" s="20" t="str">
        <f t="shared" si="33"/>
        <v>N/A</v>
      </c>
    </row>
    <row r="1061" spans="1:13">
      <c r="A1061" s="18" t="s">
        <v>22</v>
      </c>
      <c r="B1061" s="18" t="s">
        <v>365</v>
      </c>
      <c r="C1061" s="18" t="s">
        <v>255</v>
      </c>
      <c r="D1061" s="18" t="s">
        <v>142</v>
      </c>
      <c r="E1061" s="18">
        <v>6.2</v>
      </c>
      <c r="F1061" s="18">
        <v>3.66</v>
      </c>
      <c r="G1061" s="18">
        <v>0</v>
      </c>
      <c r="H1061" s="18">
        <v>9.86</v>
      </c>
      <c r="L1061" s="20" t="str">
        <f t="shared" si="32"/>
        <v>N/A</v>
      </c>
      <c r="M1061" s="20" t="str">
        <f t="shared" si="33"/>
        <v>N/A</v>
      </c>
    </row>
    <row r="1062" spans="1:13">
      <c r="A1062" s="18" t="s">
        <v>22</v>
      </c>
      <c r="B1062" s="18" t="s">
        <v>365</v>
      </c>
      <c r="C1062" s="18" t="s">
        <v>255</v>
      </c>
      <c r="D1062" s="18" t="s">
        <v>163</v>
      </c>
      <c r="E1062" s="18">
        <v>0</v>
      </c>
      <c r="F1062" s="18">
        <v>0</v>
      </c>
      <c r="G1062" s="18">
        <v>0</v>
      </c>
      <c r="H1062" s="18">
        <v>0</v>
      </c>
      <c r="L1062" s="20" t="str">
        <f t="shared" si="32"/>
        <v>N/A</v>
      </c>
      <c r="M1062" s="20" t="str">
        <f t="shared" si="33"/>
        <v>N/A</v>
      </c>
    </row>
    <row r="1063" spans="1:13">
      <c r="A1063" s="18" t="s">
        <v>22</v>
      </c>
      <c r="B1063" s="18" t="s">
        <v>365</v>
      </c>
      <c r="C1063" s="18" t="s">
        <v>257</v>
      </c>
      <c r="D1063" s="18" t="s">
        <v>87</v>
      </c>
      <c r="E1063" s="18">
        <v>100.36</v>
      </c>
      <c r="F1063" s="18">
        <v>3363.83</v>
      </c>
      <c r="G1063" s="18">
        <v>434.73</v>
      </c>
      <c r="H1063" s="18">
        <v>3029.46</v>
      </c>
      <c r="L1063" s="20" t="str">
        <f t="shared" si="32"/>
        <v>Asset</v>
      </c>
      <c r="M1063" s="20" t="str">
        <f t="shared" si="33"/>
        <v>okay</v>
      </c>
    </row>
    <row r="1064" spans="1:13">
      <c r="A1064" s="18" t="s">
        <v>22</v>
      </c>
      <c r="B1064" s="18" t="s">
        <v>365</v>
      </c>
      <c r="C1064" s="18" t="s">
        <v>257</v>
      </c>
      <c r="D1064" s="18" t="s">
        <v>97</v>
      </c>
      <c r="E1064" s="18">
        <v>1647928.2</v>
      </c>
      <c r="F1064" s="18">
        <v>0</v>
      </c>
      <c r="G1064" s="18">
        <v>0</v>
      </c>
      <c r="H1064" s="18">
        <v>1647928.2</v>
      </c>
      <c r="L1064" s="20" t="str">
        <f t="shared" si="32"/>
        <v>Asset</v>
      </c>
      <c r="M1064" s="20" t="str">
        <f t="shared" si="33"/>
        <v>okay</v>
      </c>
    </row>
    <row r="1065" spans="1:13">
      <c r="A1065" s="18" t="s">
        <v>22</v>
      </c>
      <c r="B1065" s="18" t="s">
        <v>365</v>
      </c>
      <c r="C1065" s="18" t="s">
        <v>257</v>
      </c>
      <c r="D1065" s="18" t="s">
        <v>105</v>
      </c>
      <c r="E1065" s="18">
        <v>512968.51</v>
      </c>
      <c r="F1065" s="18">
        <v>24074.89</v>
      </c>
      <c r="G1065" s="18">
        <v>0</v>
      </c>
      <c r="H1065" s="18">
        <v>537043.4</v>
      </c>
      <c r="L1065" s="20" t="str">
        <f t="shared" si="32"/>
        <v>Asset</v>
      </c>
      <c r="M1065" s="20" t="str">
        <f t="shared" si="33"/>
        <v>okay</v>
      </c>
    </row>
    <row r="1066" spans="1:13">
      <c r="A1066" s="18" t="s">
        <v>22</v>
      </c>
      <c r="B1066" s="18" t="s">
        <v>365</v>
      </c>
      <c r="C1066" s="18" t="s">
        <v>257</v>
      </c>
      <c r="D1066" s="18" t="s">
        <v>108</v>
      </c>
      <c r="E1066" s="18">
        <v>0</v>
      </c>
      <c r="F1066" s="18">
        <v>0</v>
      </c>
      <c r="G1066" s="18">
        <v>0</v>
      </c>
      <c r="H1066" s="18">
        <v>0</v>
      </c>
      <c r="L1066" s="20" t="str">
        <f t="shared" si="32"/>
        <v>Asset</v>
      </c>
      <c r="M1066" s="20" t="str">
        <f t="shared" si="33"/>
        <v>okay</v>
      </c>
    </row>
    <row r="1067" spans="1:13">
      <c r="A1067" s="18" t="s">
        <v>22</v>
      </c>
      <c r="B1067" s="18" t="s">
        <v>365</v>
      </c>
      <c r="C1067" s="18" t="s">
        <v>257</v>
      </c>
      <c r="D1067" s="18" t="s">
        <v>116</v>
      </c>
      <c r="E1067" s="18">
        <v>-20.55</v>
      </c>
      <c r="F1067" s="18">
        <v>0</v>
      </c>
      <c r="G1067" s="18">
        <v>0</v>
      </c>
      <c r="H1067" s="18">
        <v>-20.55</v>
      </c>
      <c r="L1067" s="20" t="str">
        <f t="shared" si="32"/>
        <v>N/A</v>
      </c>
      <c r="M1067" s="20" t="str">
        <f t="shared" si="33"/>
        <v>N/A</v>
      </c>
    </row>
    <row r="1068" spans="1:13">
      <c r="A1068" s="18" t="s">
        <v>22</v>
      </c>
      <c r="B1068" s="18" t="s">
        <v>365</v>
      </c>
      <c r="C1068" s="18" t="s">
        <v>257</v>
      </c>
      <c r="D1068" s="18" t="s">
        <v>121</v>
      </c>
      <c r="E1068" s="18">
        <v>-45.06</v>
      </c>
      <c r="F1068" s="18">
        <v>30.05</v>
      </c>
      <c r="G1068" s="18">
        <v>7.51</v>
      </c>
      <c r="H1068" s="18">
        <v>-22.52</v>
      </c>
      <c r="L1068" s="20" t="str">
        <f t="shared" si="32"/>
        <v>N/A</v>
      </c>
      <c r="M1068" s="20" t="str">
        <f t="shared" si="33"/>
        <v>N/A</v>
      </c>
    </row>
    <row r="1069" spans="1:13">
      <c r="A1069" s="18" t="s">
        <v>22</v>
      </c>
      <c r="B1069" s="18" t="s">
        <v>365</v>
      </c>
      <c r="C1069" s="18" t="s">
        <v>257</v>
      </c>
      <c r="D1069" s="18" t="s">
        <v>124</v>
      </c>
      <c r="E1069" s="18">
        <v>-9.2100000000000009</v>
      </c>
      <c r="F1069" s="18">
        <v>0</v>
      </c>
      <c r="G1069" s="18">
        <v>5.73</v>
      </c>
      <c r="H1069" s="18">
        <v>-14.94</v>
      </c>
      <c r="L1069" s="20" t="str">
        <f t="shared" si="32"/>
        <v>N/A</v>
      </c>
      <c r="M1069" s="20" t="str">
        <f t="shared" si="33"/>
        <v>N/A</v>
      </c>
    </row>
    <row r="1070" spans="1:13">
      <c r="A1070" s="18" t="s">
        <v>22</v>
      </c>
      <c r="B1070" s="18" t="s">
        <v>365</v>
      </c>
      <c r="C1070" s="18" t="s">
        <v>257</v>
      </c>
      <c r="D1070" s="18" t="s">
        <v>127</v>
      </c>
      <c r="E1070" s="18">
        <v>0</v>
      </c>
      <c r="F1070" s="18">
        <v>0</v>
      </c>
      <c r="G1070" s="18">
        <v>0</v>
      </c>
      <c r="H1070" s="18">
        <v>0</v>
      </c>
      <c r="L1070" s="20" t="str">
        <f t="shared" si="32"/>
        <v>N/A</v>
      </c>
      <c r="M1070" s="20" t="str">
        <f t="shared" si="33"/>
        <v>N/A</v>
      </c>
    </row>
    <row r="1071" spans="1:13">
      <c r="A1071" s="18" t="s">
        <v>22</v>
      </c>
      <c r="B1071" s="18" t="s">
        <v>365</v>
      </c>
      <c r="C1071" s="18" t="s">
        <v>257</v>
      </c>
      <c r="D1071" s="18" t="s">
        <v>95</v>
      </c>
      <c r="E1071" s="18">
        <v>-2.2400000000000002</v>
      </c>
      <c r="F1071" s="18">
        <v>0.56000000000000005</v>
      </c>
      <c r="G1071" s="18">
        <v>1.68</v>
      </c>
      <c r="H1071" s="18">
        <v>-3.36</v>
      </c>
      <c r="L1071" s="20" t="str">
        <f t="shared" si="32"/>
        <v>N/A</v>
      </c>
      <c r="M1071" s="20" t="str">
        <f t="shared" si="33"/>
        <v>N/A</v>
      </c>
    </row>
    <row r="1072" spans="1:13">
      <c r="A1072" s="18" t="s">
        <v>22</v>
      </c>
      <c r="B1072" s="18" t="s">
        <v>365</v>
      </c>
      <c r="C1072" s="18" t="s">
        <v>257</v>
      </c>
      <c r="D1072" s="18" t="s">
        <v>132</v>
      </c>
      <c r="E1072" s="18">
        <v>0</v>
      </c>
      <c r="F1072" s="18">
        <v>0</v>
      </c>
      <c r="G1072" s="18">
        <v>0</v>
      </c>
      <c r="H1072" s="18">
        <v>0</v>
      </c>
      <c r="L1072" s="20" t="str">
        <f t="shared" si="32"/>
        <v>N/A</v>
      </c>
      <c r="M1072" s="20" t="str">
        <f t="shared" si="33"/>
        <v>N/A</v>
      </c>
    </row>
    <row r="1073" spans="1:13">
      <c r="A1073" s="18" t="s">
        <v>22</v>
      </c>
      <c r="B1073" s="18" t="s">
        <v>365</v>
      </c>
      <c r="C1073" s="18" t="s">
        <v>257</v>
      </c>
      <c r="D1073" s="18" t="s">
        <v>135</v>
      </c>
      <c r="E1073" s="18">
        <v>-2000000</v>
      </c>
      <c r="F1073" s="18">
        <v>0</v>
      </c>
      <c r="G1073" s="18">
        <v>0</v>
      </c>
      <c r="H1073" s="18">
        <v>-2000000</v>
      </c>
      <c r="L1073" s="20" t="str">
        <f t="shared" si="32"/>
        <v>N/A</v>
      </c>
      <c r="M1073" s="20" t="str">
        <f t="shared" si="33"/>
        <v>N/A</v>
      </c>
    </row>
    <row r="1074" spans="1:13">
      <c r="A1074" s="18" t="s">
        <v>22</v>
      </c>
      <c r="B1074" s="18" t="s">
        <v>365</v>
      </c>
      <c r="C1074" s="18" t="s">
        <v>257</v>
      </c>
      <c r="D1074" s="18" t="s">
        <v>140</v>
      </c>
      <c r="E1074" s="18">
        <v>-4783.67</v>
      </c>
      <c r="F1074" s="18">
        <v>0</v>
      </c>
      <c r="G1074" s="18">
        <v>3363.32</v>
      </c>
      <c r="H1074" s="18">
        <v>-8146.99</v>
      </c>
      <c r="L1074" s="20" t="str">
        <f t="shared" si="32"/>
        <v>N/A</v>
      </c>
      <c r="M1074" s="20" t="str">
        <f t="shared" si="33"/>
        <v>N/A</v>
      </c>
    </row>
    <row r="1075" spans="1:13">
      <c r="A1075" s="18" t="s">
        <v>22</v>
      </c>
      <c r="B1075" s="18" t="s">
        <v>365</v>
      </c>
      <c r="C1075" s="18" t="s">
        <v>257</v>
      </c>
      <c r="D1075" s="18" t="s">
        <v>143</v>
      </c>
      <c r="E1075" s="18">
        <v>352071.8</v>
      </c>
      <c r="F1075" s="18">
        <v>0</v>
      </c>
      <c r="G1075" s="18">
        <v>0</v>
      </c>
      <c r="H1075" s="18">
        <v>352071.8</v>
      </c>
      <c r="L1075" s="20" t="str">
        <f t="shared" si="32"/>
        <v>N/A</v>
      </c>
      <c r="M1075" s="20" t="str">
        <f t="shared" si="33"/>
        <v>N/A</v>
      </c>
    </row>
    <row r="1076" spans="1:13">
      <c r="A1076" s="18" t="s">
        <v>22</v>
      </c>
      <c r="B1076" s="18" t="s">
        <v>365</v>
      </c>
      <c r="C1076" s="18" t="s">
        <v>257</v>
      </c>
      <c r="D1076" s="18" t="s">
        <v>146</v>
      </c>
      <c r="E1076" s="18">
        <v>44613.95</v>
      </c>
      <c r="F1076" s="18">
        <v>0</v>
      </c>
      <c r="G1076" s="18">
        <v>0</v>
      </c>
      <c r="H1076" s="18">
        <v>44613.95</v>
      </c>
      <c r="L1076" s="20" t="str">
        <f t="shared" si="32"/>
        <v>N/A</v>
      </c>
      <c r="M1076" s="20" t="str">
        <f t="shared" si="33"/>
        <v>N/A</v>
      </c>
    </row>
    <row r="1077" spans="1:13">
      <c r="A1077" s="18" t="s">
        <v>22</v>
      </c>
      <c r="B1077" s="18" t="s">
        <v>365</v>
      </c>
      <c r="C1077" s="18" t="s">
        <v>257</v>
      </c>
      <c r="D1077" s="18" t="s">
        <v>147</v>
      </c>
      <c r="E1077" s="18">
        <v>-388971.93</v>
      </c>
      <c r="F1077" s="18">
        <v>0</v>
      </c>
      <c r="G1077" s="18">
        <v>0</v>
      </c>
      <c r="H1077" s="18">
        <v>-388971.93</v>
      </c>
      <c r="L1077" s="20" t="str">
        <f t="shared" si="32"/>
        <v>N/A</v>
      </c>
      <c r="M1077" s="20" t="str">
        <f t="shared" si="33"/>
        <v>N/A</v>
      </c>
    </row>
    <row r="1078" spans="1:13">
      <c r="A1078" s="18" t="s">
        <v>22</v>
      </c>
      <c r="B1078" s="18" t="s">
        <v>365</v>
      </c>
      <c r="C1078" s="18" t="s">
        <v>257</v>
      </c>
      <c r="D1078" s="18" t="s">
        <v>153</v>
      </c>
      <c r="E1078" s="18">
        <v>0</v>
      </c>
      <c r="F1078" s="18">
        <v>0</v>
      </c>
      <c r="G1078" s="18">
        <v>0</v>
      </c>
      <c r="H1078" s="18">
        <v>0</v>
      </c>
      <c r="L1078" s="20" t="str">
        <f t="shared" si="32"/>
        <v>N/A</v>
      </c>
      <c r="M1078" s="20" t="str">
        <f t="shared" si="33"/>
        <v>N/A</v>
      </c>
    </row>
    <row r="1079" spans="1:13">
      <c r="A1079" s="18" t="s">
        <v>22</v>
      </c>
      <c r="B1079" s="18" t="s">
        <v>365</v>
      </c>
      <c r="C1079" s="18" t="s">
        <v>257</v>
      </c>
      <c r="D1079" s="18" t="s">
        <v>155</v>
      </c>
      <c r="E1079" s="18">
        <v>0</v>
      </c>
      <c r="F1079" s="18">
        <v>0</v>
      </c>
      <c r="G1079" s="18">
        <v>0</v>
      </c>
      <c r="H1079" s="18">
        <v>0</v>
      </c>
      <c r="L1079" s="20" t="str">
        <f t="shared" si="32"/>
        <v>N/A</v>
      </c>
      <c r="M1079" s="20" t="str">
        <f t="shared" si="33"/>
        <v>N/A</v>
      </c>
    </row>
    <row r="1080" spans="1:13">
      <c r="A1080" s="18" t="s">
        <v>22</v>
      </c>
      <c r="B1080" s="18" t="s">
        <v>365</v>
      </c>
      <c r="C1080" s="18" t="s">
        <v>257</v>
      </c>
      <c r="D1080" s="18" t="s">
        <v>156</v>
      </c>
      <c r="E1080" s="18">
        <v>-17.61</v>
      </c>
      <c r="F1080" s="18">
        <v>0</v>
      </c>
      <c r="G1080" s="18">
        <v>0.51</v>
      </c>
      <c r="H1080" s="18">
        <v>-18.12</v>
      </c>
      <c r="L1080" s="20" t="str">
        <f t="shared" si="32"/>
        <v>N/A</v>
      </c>
      <c r="M1080" s="20" t="str">
        <f t="shared" si="33"/>
        <v>N/A</v>
      </c>
    </row>
    <row r="1081" spans="1:13">
      <c r="A1081" s="18" t="s">
        <v>22</v>
      </c>
      <c r="B1081" s="18" t="s">
        <v>365</v>
      </c>
      <c r="C1081" s="18" t="s">
        <v>257</v>
      </c>
      <c r="D1081" s="18" t="s">
        <v>157</v>
      </c>
      <c r="E1081" s="18">
        <v>-165120.04</v>
      </c>
      <c r="F1081" s="18">
        <v>0</v>
      </c>
      <c r="G1081" s="18">
        <v>24074.89</v>
      </c>
      <c r="H1081" s="18">
        <v>-189194.93</v>
      </c>
      <c r="L1081" s="20" t="str">
        <f t="shared" si="32"/>
        <v>N/A</v>
      </c>
      <c r="M1081" s="20" t="str">
        <f t="shared" si="33"/>
        <v>N/A</v>
      </c>
    </row>
    <row r="1082" spans="1:13">
      <c r="A1082" s="18" t="s">
        <v>22</v>
      </c>
      <c r="B1082" s="18" t="s">
        <v>365</v>
      </c>
      <c r="C1082" s="18" t="s">
        <v>257</v>
      </c>
      <c r="D1082" s="18" t="s">
        <v>145</v>
      </c>
      <c r="E1082" s="18">
        <v>0</v>
      </c>
      <c r="F1082" s="18">
        <v>115.54</v>
      </c>
      <c r="G1082" s="18">
        <v>0</v>
      </c>
      <c r="H1082" s="18">
        <v>115.54</v>
      </c>
      <c r="L1082" s="20" t="str">
        <f t="shared" si="32"/>
        <v>N/A</v>
      </c>
      <c r="M1082" s="20" t="str">
        <f t="shared" si="33"/>
        <v>N/A</v>
      </c>
    </row>
    <row r="1083" spans="1:13">
      <c r="A1083" s="18" t="s">
        <v>22</v>
      </c>
      <c r="B1083" s="18" t="s">
        <v>365</v>
      </c>
      <c r="C1083" s="18" t="s">
        <v>257</v>
      </c>
      <c r="D1083" s="18" t="s">
        <v>96</v>
      </c>
      <c r="E1083" s="18">
        <v>3.36</v>
      </c>
      <c r="F1083" s="18">
        <v>1.68</v>
      </c>
      <c r="G1083" s="18">
        <v>0</v>
      </c>
      <c r="H1083" s="18">
        <v>5.04</v>
      </c>
      <c r="L1083" s="20" t="str">
        <f t="shared" si="32"/>
        <v>N/A</v>
      </c>
      <c r="M1083" s="20" t="str">
        <f t="shared" si="33"/>
        <v>N/A</v>
      </c>
    </row>
    <row r="1084" spans="1:13">
      <c r="A1084" s="18" t="s">
        <v>22</v>
      </c>
      <c r="B1084" s="18" t="s">
        <v>365</v>
      </c>
      <c r="C1084" s="18" t="s">
        <v>257</v>
      </c>
      <c r="D1084" s="18" t="s">
        <v>104</v>
      </c>
      <c r="E1084" s="18">
        <v>7.68</v>
      </c>
      <c r="F1084" s="18">
        <v>15.36</v>
      </c>
      <c r="G1084" s="18">
        <v>0</v>
      </c>
      <c r="H1084" s="18">
        <v>23.04</v>
      </c>
      <c r="L1084" s="20" t="str">
        <f t="shared" si="32"/>
        <v>N/A</v>
      </c>
      <c r="M1084" s="20" t="str">
        <f t="shared" si="33"/>
        <v>N/A</v>
      </c>
    </row>
    <row r="1085" spans="1:13">
      <c r="A1085" s="18" t="s">
        <v>22</v>
      </c>
      <c r="B1085" s="18" t="s">
        <v>365</v>
      </c>
      <c r="C1085" s="18" t="s">
        <v>257</v>
      </c>
      <c r="D1085" s="18" t="s">
        <v>359</v>
      </c>
      <c r="E1085" s="18">
        <v>362.31</v>
      </c>
      <c r="F1085" s="18">
        <v>3.43</v>
      </c>
      <c r="G1085" s="18">
        <v>0</v>
      </c>
      <c r="H1085" s="18">
        <v>365.74</v>
      </c>
      <c r="L1085" s="20" t="str">
        <f t="shared" si="32"/>
        <v>N/A</v>
      </c>
      <c r="M1085" s="20" t="str">
        <f t="shared" si="33"/>
        <v>N/A</v>
      </c>
    </row>
    <row r="1086" spans="1:13">
      <c r="A1086" s="18" t="s">
        <v>22</v>
      </c>
      <c r="B1086" s="18" t="s">
        <v>365</v>
      </c>
      <c r="C1086" s="18" t="s">
        <v>257</v>
      </c>
      <c r="D1086" s="18" t="s">
        <v>113</v>
      </c>
      <c r="E1086" s="18">
        <v>493.16</v>
      </c>
      <c r="F1086" s="18">
        <v>135.06</v>
      </c>
      <c r="G1086" s="18">
        <v>0</v>
      </c>
      <c r="H1086" s="18">
        <v>628.22</v>
      </c>
      <c r="L1086" s="20" t="str">
        <f t="shared" si="32"/>
        <v>N/A</v>
      </c>
      <c r="M1086" s="20" t="str">
        <f t="shared" si="33"/>
        <v>N/A</v>
      </c>
    </row>
    <row r="1087" spans="1:13">
      <c r="A1087" s="18" t="s">
        <v>22</v>
      </c>
      <c r="B1087" s="18" t="s">
        <v>365</v>
      </c>
      <c r="C1087" s="18" t="s">
        <v>257</v>
      </c>
      <c r="D1087" s="18" t="s">
        <v>150</v>
      </c>
      <c r="E1087" s="18">
        <v>153.6</v>
      </c>
      <c r="F1087" s="18">
        <v>9.27</v>
      </c>
      <c r="G1087" s="18">
        <v>0</v>
      </c>
      <c r="H1087" s="18">
        <v>162.87</v>
      </c>
      <c r="L1087" s="20" t="str">
        <f t="shared" si="32"/>
        <v>N/A</v>
      </c>
      <c r="M1087" s="20" t="str">
        <f t="shared" si="33"/>
        <v>N/A</v>
      </c>
    </row>
    <row r="1088" spans="1:13">
      <c r="A1088" s="18" t="s">
        <v>22</v>
      </c>
      <c r="B1088" s="18" t="s">
        <v>365</v>
      </c>
      <c r="C1088" s="18" t="s">
        <v>257</v>
      </c>
      <c r="D1088" s="18" t="s">
        <v>120</v>
      </c>
      <c r="E1088" s="18">
        <v>0.23</v>
      </c>
      <c r="F1088" s="18">
        <v>0</v>
      </c>
      <c r="G1088" s="18">
        <v>0</v>
      </c>
      <c r="H1088" s="18">
        <v>0.23</v>
      </c>
      <c r="L1088" s="20" t="str">
        <f t="shared" si="32"/>
        <v>N/A</v>
      </c>
      <c r="M1088" s="20" t="str">
        <f t="shared" si="33"/>
        <v>N/A</v>
      </c>
    </row>
    <row r="1089" spans="1:13">
      <c r="A1089" s="18" t="s">
        <v>22</v>
      </c>
      <c r="B1089" s="18" t="s">
        <v>365</v>
      </c>
      <c r="C1089" s="18" t="s">
        <v>257</v>
      </c>
      <c r="D1089" s="18" t="s">
        <v>123</v>
      </c>
      <c r="E1089" s="18">
        <v>143.85</v>
      </c>
      <c r="F1089" s="18">
        <v>73.209999999999994</v>
      </c>
      <c r="G1089" s="18">
        <v>0</v>
      </c>
      <c r="H1089" s="18">
        <v>217.06</v>
      </c>
      <c r="L1089" s="20" t="str">
        <f t="shared" si="32"/>
        <v>N/A</v>
      </c>
      <c r="M1089" s="20" t="str">
        <f t="shared" si="33"/>
        <v>N/A</v>
      </c>
    </row>
    <row r="1090" spans="1:13">
      <c r="A1090" s="18" t="s">
        <v>22</v>
      </c>
      <c r="B1090" s="18" t="s">
        <v>365</v>
      </c>
      <c r="C1090" s="18" t="s">
        <v>257</v>
      </c>
      <c r="D1090" s="18" t="s">
        <v>126</v>
      </c>
      <c r="E1090" s="18">
        <v>21.42</v>
      </c>
      <c r="F1090" s="18">
        <v>4.13</v>
      </c>
      <c r="G1090" s="18">
        <v>0</v>
      </c>
      <c r="H1090" s="18">
        <v>25.55</v>
      </c>
      <c r="L1090" s="20" t="str">
        <f t="shared" si="32"/>
        <v>N/A</v>
      </c>
      <c r="M1090" s="20" t="str">
        <f t="shared" si="33"/>
        <v>N/A</v>
      </c>
    </row>
    <row r="1091" spans="1:13">
      <c r="A1091" s="18" t="s">
        <v>22</v>
      </c>
      <c r="B1091" s="18" t="s">
        <v>365</v>
      </c>
      <c r="C1091" s="18" t="s">
        <v>257</v>
      </c>
      <c r="D1091" s="18" t="s">
        <v>129</v>
      </c>
      <c r="E1091" s="18">
        <v>20</v>
      </c>
      <c r="F1091" s="18">
        <v>5.69</v>
      </c>
      <c r="G1091" s="18">
        <v>0</v>
      </c>
      <c r="H1091" s="18">
        <v>25.69</v>
      </c>
      <c r="L1091" s="20" t="str">
        <f t="shared" ref="L1091:L1154" si="34">+IF(LEFT(D1091,1)="1","Asset","N/A")</f>
        <v>N/A</v>
      </c>
      <c r="M1091" s="20" t="str">
        <f t="shared" ref="M1091:M1154" si="35">+IF(L1091="asset",IF(H1091&lt;0,"Provide Comment","okay"),"N/A")</f>
        <v>N/A</v>
      </c>
    </row>
    <row r="1092" spans="1:13">
      <c r="A1092" s="18" t="s">
        <v>22</v>
      </c>
      <c r="B1092" s="18" t="s">
        <v>365</v>
      </c>
      <c r="C1092" s="18" t="s">
        <v>257</v>
      </c>
      <c r="D1092" s="18" t="s">
        <v>131</v>
      </c>
      <c r="E1092" s="18">
        <v>50.79</v>
      </c>
      <c r="F1092" s="18">
        <v>36.26</v>
      </c>
      <c r="G1092" s="18">
        <v>0</v>
      </c>
      <c r="H1092" s="18">
        <v>87.05</v>
      </c>
      <c r="L1092" s="20" t="str">
        <f t="shared" si="34"/>
        <v>N/A</v>
      </c>
      <c r="M1092" s="20" t="str">
        <f t="shared" si="35"/>
        <v>N/A</v>
      </c>
    </row>
    <row r="1093" spans="1:13">
      <c r="A1093" s="18" t="s">
        <v>22</v>
      </c>
      <c r="B1093" s="18" t="s">
        <v>365</v>
      </c>
      <c r="C1093" s="18" t="s">
        <v>257</v>
      </c>
      <c r="D1093" s="18" t="s">
        <v>162</v>
      </c>
      <c r="E1093" s="18">
        <v>0</v>
      </c>
      <c r="F1093" s="18">
        <v>0</v>
      </c>
      <c r="G1093" s="18">
        <v>0</v>
      </c>
      <c r="H1093" s="18">
        <v>0</v>
      </c>
      <c r="L1093" s="20" t="str">
        <f t="shared" si="34"/>
        <v>N/A</v>
      </c>
      <c r="M1093" s="20" t="str">
        <f t="shared" si="35"/>
        <v>N/A</v>
      </c>
    </row>
    <row r="1094" spans="1:13">
      <c r="A1094" s="18" t="s">
        <v>22</v>
      </c>
      <c r="B1094" s="18" t="s">
        <v>365</v>
      </c>
      <c r="C1094" s="18" t="s">
        <v>257</v>
      </c>
      <c r="D1094" s="18" t="s">
        <v>134</v>
      </c>
      <c r="E1094" s="18">
        <v>3.65</v>
      </c>
      <c r="F1094" s="18">
        <v>4.5599999999999996</v>
      </c>
      <c r="G1094" s="18">
        <v>0</v>
      </c>
      <c r="H1094" s="18">
        <v>8.2100000000000009</v>
      </c>
      <c r="L1094" s="20" t="str">
        <f t="shared" si="34"/>
        <v>N/A</v>
      </c>
      <c r="M1094" s="20" t="str">
        <f t="shared" si="35"/>
        <v>N/A</v>
      </c>
    </row>
    <row r="1095" spans="1:13">
      <c r="A1095" s="18" t="s">
        <v>22</v>
      </c>
      <c r="B1095" s="18" t="s">
        <v>365</v>
      </c>
      <c r="C1095" s="18" t="s">
        <v>257</v>
      </c>
      <c r="D1095" s="18" t="s">
        <v>139</v>
      </c>
      <c r="E1095" s="18">
        <v>15.02</v>
      </c>
      <c r="F1095" s="18">
        <v>7.51</v>
      </c>
      <c r="G1095" s="18">
        <v>0</v>
      </c>
      <c r="H1095" s="18">
        <v>22.53</v>
      </c>
      <c r="L1095" s="20" t="str">
        <f t="shared" si="34"/>
        <v>N/A</v>
      </c>
      <c r="M1095" s="20" t="str">
        <f t="shared" si="35"/>
        <v>N/A</v>
      </c>
    </row>
    <row r="1096" spans="1:13">
      <c r="A1096" s="18" t="s">
        <v>22</v>
      </c>
      <c r="B1096" s="18" t="s">
        <v>365</v>
      </c>
      <c r="C1096" s="18" t="s">
        <v>257</v>
      </c>
      <c r="D1096" s="18" t="s">
        <v>142</v>
      </c>
      <c r="E1096" s="18">
        <v>12.42</v>
      </c>
      <c r="F1096" s="18">
        <v>7.34</v>
      </c>
      <c r="G1096" s="18">
        <v>0</v>
      </c>
      <c r="H1096" s="18">
        <v>19.760000000000002</v>
      </c>
      <c r="L1096" s="20" t="str">
        <f t="shared" si="34"/>
        <v>N/A</v>
      </c>
      <c r="M1096" s="20" t="str">
        <f t="shared" si="35"/>
        <v>N/A</v>
      </c>
    </row>
    <row r="1097" spans="1:13">
      <c r="A1097" s="18" t="s">
        <v>22</v>
      </c>
      <c r="B1097" s="18" t="s">
        <v>365</v>
      </c>
      <c r="C1097" s="18" t="s">
        <v>257</v>
      </c>
      <c r="D1097" s="18" t="s">
        <v>163</v>
      </c>
      <c r="E1097" s="18">
        <v>0</v>
      </c>
      <c r="F1097" s="18">
        <v>0</v>
      </c>
      <c r="G1097" s="18">
        <v>0</v>
      </c>
      <c r="H1097" s="18">
        <v>0</v>
      </c>
      <c r="L1097" s="20" t="str">
        <f t="shared" si="34"/>
        <v>N/A</v>
      </c>
      <c r="M1097" s="20" t="str">
        <f t="shared" si="35"/>
        <v>N/A</v>
      </c>
    </row>
    <row r="1098" spans="1:13">
      <c r="A1098" s="18" t="s">
        <v>22</v>
      </c>
      <c r="B1098" s="18" t="s">
        <v>365</v>
      </c>
      <c r="C1098" s="18" t="s">
        <v>259</v>
      </c>
      <c r="D1098" s="18" t="s">
        <v>87</v>
      </c>
      <c r="E1098" s="18">
        <v>2479.41</v>
      </c>
      <c r="F1098" s="18">
        <v>83057.59</v>
      </c>
      <c r="G1098" s="18">
        <v>10733.64</v>
      </c>
      <c r="H1098" s="18">
        <v>74803.360000000001</v>
      </c>
      <c r="L1098" s="20" t="str">
        <f t="shared" si="34"/>
        <v>Asset</v>
      </c>
      <c r="M1098" s="20" t="str">
        <f t="shared" si="35"/>
        <v>okay</v>
      </c>
    </row>
    <row r="1099" spans="1:13">
      <c r="A1099" s="18" t="s">
        <v>22</v>
      </c>
      <c r="B1099" s="18" t="s">
        <v>365</v>
      </c>
      <c r="C1099" s="18" t="s">
        <v>259</v>
      </c>
      <c r="D1099" s="18" t="s">
        <v>97</v>
      </c>
      <c r="E1099" s="18">
        <v>40689585.25</v>
      </c>
      <c r="F1099" s="18">
        <v>0</v>
      </c>
      <c r="G1099" s="18">
        <v>0</v>
      </c>
      <c r="H1099" s="18">
        <v>40689585.25</v>
      </c>
      <c r="L1099" s="20" t="str">
        <f t="shared" si="34"/>
        <v>Asset</v>
      </c>
      <c r="M1099" s="20" t="str">
        <f t="shared" si="35"/>
        <v>okay</v>
      </c>
    </row>
    <row r="1100" spans="1:13">
      <c r="A1100" s="18" t="s">
        <v>22</v>
      </c>
      <c r="B1100" s="18" t="s">
        <v>365</v>
      </c>
      <c r="C1100" s="18" t="s">
        <v>259</v>
      </c>
      <c r="D1100" s="18" t="s">
        <v>105</v>
      </c>
      <c r="E1100" s="18">
        <v>12665889.279999999</v>
      </c>
      <c r="F1100" s="18">
        <v>594441.81000000006</v>
      </c>
      <c r="G1100" s="18">
        <v>0</v>
      </c>
      <c r="H1100" s="18">
        <v>13260331.09</v>
      </c>
      <c r="L1100" s="20" t="str">
        <f t="shared" si="34"/>
        <v>Asset</v>
      </c>
      <c r="M1100" s="20" t="str">
        <f t="shared" si="35"/>
        <v>okay</v>
      </c>
    </row>
    <row r="1101" spans="1:13">
      <c r="A1101" s="18" t="s">
        <v>22</v>
      </c>
      <c r="B1101" s="18" t="s">
        <v>365</v>
      </c>
      <c r="C1101" s="18" t="s">
        <v>259</v>
      </c>
      <c r="D1101" s="18" t="s">
        <v>108</v>
      </c>
      <c r="E1101" s="18">
        <v>0</v>
      </c>
      <c r="F1101" s="18">
        <v>0</v>
      </c>
      <c r="G1101" s="18">
        <v>0</v>
      </c>
      <c r="H1101" s="18">
        <v>0</v>
      </c>
      <c r="L1101" s="20" t="str">
        <f t="shared" si="34"/>
        <v>Asset</v>
      </c>
      <c r="M1101" s="20" t="str">
        <f t="shared" si="35"/>
        <v>okay</v>
      </c>
    </row>
    <row r="1102" spans="1:13">
      <c r="A1102" s="18" t="s">
        <v>22</v>
      </c>
      <c r="B1102" s="18" t="s">
        <v>365</v>
      </c>
      <c r="C1102" s="18" t="s">
        <v>259</v>
      </c>
      <c r="D1102" s="18" t="s">
        <v>116</v>
      </c>
      <c r="E1102" s="18">
        <v>-507.22</v>
      </c>
      <c r="F1102" s="18">
        <v>0</v>
      </c>
      <c r="G1102" s="18">
        <v>0</v>
      </c>
      <c r="H1102" s="18">
        <v>-507.22</v>
      </c>
      <c r="L1102" s="20" t="str">
        <f t="shared" si="34"/>
        <v>N/A</v>
      </c>
      <c r="M1102" s="20" t="str">
        <f t="shared" si="35"/>
        <v>N/A</v>
      </c>
    </row>
    <row r="1103" spans="1:13">
      <c r="A1103" s="18" t="s">
        <v>22</v>
      </c>
      <c r="B1103" s="18" t="s">
        <v>365</v>
      </c>
      <c r="C1103" s="18" t="s">
        <v>259</v>
      </c>
      <c r="D1103" s="18" t="s">
        <v>121</v>
      </c>
      <c r="E1103" s="18">
        <v>-1112.82</v>
      </c>
      <c r="F1103" s="18">
        <v>741.87</v>
      </c>
      <c r="G1103" s="18">
        <v>185.47</v>
      </c>
      <c r="H1103" s="18">
        <v>-556.41999999999996</v>
      </c>
      <c r="L1103" s="20" t="str">
        <f t="shared" si="34"/>
        <v>N/A</v>
      </c>
      <c r="M1103" s="20" t="str">
        <f t="shared" si="35"/>
        <v>N/A</v>
      </c>
    </row>
    <row r="1104" spans="1:13">
      <c r="A1104" s="18" t="s">
        <v>22</v>
      </c>
      <c r="B1104" s="18" t="s">
        <v>365</v>
      </c>
      <c r="C1104" s="18" t="s">
        <v>259</v>
      </c>
      <c r="D1104" s="18" t="s">
        <v>124</v>
      </c>
      <c r="E1104" s="18">
        <v>-227.34</v>
      </c>
      <c r="F1104" s="18">
        <v>0</v>
      </c>
      <c r="G1104" s="18">
        <v>141.47999999999999</v>
      </c>
      <c r="H1104" s="18">
        <v>-368.82</v>
      </c>
      <c r="L1104" s="20" t="str">
        <f t="shared" si="34"/>
        <v>N/A</v>
      </c>
      <c r="M1104" s="20" t="str">
        <f t="shared" si="35"/>
        <v>N/A</v>
      </c>
    </row>
    <row r="1105" spans="1:13">
      <c r="A1105" s="18" t="s">
        <v>22</v>
      </c>
      <c r="B1105" s="18" t="s">
        <v>365</v>
      </c>
      <c r="C1105" s="18" t="s">
        <v>259</v>
      </c>
      <c r="D1105" s="18" t="s">
        <v>127</v>
      </c>
      <c r="E1105" s="18">
        <v>0</v>
      </c>
      <c r="F1105" s="18">
        <v>0</v>
      </c>
      <c r="G1105" s="18">
        <v>0</v>
      </c>
      <c r="H1105" s="18">
        <v>0</v>
      </c>
      <c r="L1105" s="20" t="str">
        <f t="shared" si="34"/>
        <v>N/A</v>
      </c>
      <c r="M1105" s="20" t="str">
        <f t="shared" si="35"/>
        <v>N/A</v>
      </c>
    </row>
    <row r="1106" spans="1:13">
      <c r="A1106" s="18" t="s">
        <v>22</v>
      </c>
      <c r="B1106" s="18" t="s">
        <v>365</v>
      </c>
      <c r="C1106" s="18" t="s">
        <v>259</v>
      </c>
      <c r="D1106" s="18" t="s">
        <v>95</v>
      </c>
      <c r="E1106" s="18">
        <v>-55.36</v>
      </c>
      <c r="F1106" s="18">
        <v>13.84</v>
      </c>
      <c r="G1106" s="18">
        <v>41.52</v>
      </c>
      <c r="H1106" s="18">
        <v>-83.04</v>
      </c>
      <c r="L1106" s="20" t="str">
        <f t="shared" si="34"/>
        <v>N/A</v>
      </c>
      <c r="M1106" s="20" t="str">
        <f t="shared" si="35"/>
        <v>N/A</v>
      </c>
    </row>
    <row r="1107" spans="1:13">
      <c r="A1107" s="18" t="s">
        <v>22</v>
      </c>
      <c r="B1107" s="18" t="s">
        <v>365</v>
      </c>
      <c r="C1107" s="18" t="s">
        <v>259</v>
      </c>
      <c r="D1107" s="18" t="s">
        <v>132</v>
      </c>
      <c r="E1107" s="18">
        <v>0</v>
      </c>
      <c r="F1107" s="18">
        <v>0</v>
      </c>
      <c r="G1107" s="18">
        <v>0</v>
      </c>
      <c r="H1107" s="18">
        <v>0</v>
      </c>
      <c r="L1107" s="20" t="str">
        <f t="shared" si="34"/>
        <v>N/A</v>
      </c>
      <c r="M1107" s="20" t="str">
        <f t="shared" si="35"/>
        <v>N/A</v>
      </c>
    </row>
    <row r="1108" spans="1:13">
      <c r="A1108" s="18" t="s">
        <v>22</v>
      </c>
      <c r="B1108" s="18" t="s">
        <v>365</v>
      </c>
      <c r="C1108" s="18" t="s">
        <v>259</v>
      </c>
      <c r="D1108" s="18" t="s">
        <v>135</v>
      </c>
      <c r="E1108" s="18">
        <v>-49382716.049999997</v>
      </c>
      <c r="F1108" s="18">
        <v>0</v>
      </c>
      <c r="G1108" s="18">
        <v>0</v>
      </c>
      <c r="H1108" s="18">
        <v>-49382716.049999997</v>
      </c>
      <c r="L1108" s="20" t="str">
        <f t="shared" si="34"/>
        <v>N/A</v>
      </c>
      <c r="M1108" s="20" t="str">
        <f t="shared" si="35"/>
        <v>N/A</v>
      </c>
    </row>
    <row r="1109" spans="1:13">
      <c r="A1109" s="18" t="s">
        <v>22</v>
      </c>
      <c r="B1109" s="18" t="s">
        <v>365</v>
      </c>
      <c r="C1109" s="18" t="s">
        <v>259</v>
      </c>
      <c r="D1109" s="18" t="s">
        <v>140</v>
      </c>
      <c r="E1109" s="18">
        <v>-118115.47</v>
      </c>
      <c r="F1109" s="18">
        <v>0</v>
      </c>
      <c r="G1109" s="18">
        <v>83044.98</v>
      </c>
      <c r="H1109" s="18">
        <v>-201160.45</v>
      </c>
      <c r="L1109" s="20" t="str">
        <f t="shared" si="34"/>
        <v>N/A</v>
      </c>
      <c r="M1109" s="20" t="str">
        <f t="shared" si="35"/>
        <v>N/A</v>
      </c>
    </row>
    <row r="1110" spans="1:13">
      <c r="A1110" s="18" t="s">
        <v>22</v>
      </c>
      <c r="B1110" s="18" t="s">
        <v>365</v>
      </c>
      <c r="C1110" s="18" t="s">
        <v>259</v>
      </c>
      <c r="D1110" s="18" t="s">
        <v>143</v>
      </c>
      <c r="E1110" s="18">
        <v>8693130.8000000007</v>
      </c>
      <c r="F1110" s="18">
        <v>0</v>
      </c>
      <c r="G1110" s="18">
        <v>0</v>
      </c>
      <c r="H1110" s="18">
        <v>8693130.8000000007</v>
      </c>
      <c r="L1110" s="20" t="str">
        <f t="shared" si="34"/>
        <v>N/A</v>
      </c>
      <c r="M1110" s="20" t="str">
        <f t="shared" si="35"/>
        <v>N/A</v>
      </c>
    </row>
    <row r="1111" spans="1:13">
      <c r="A1111" s="18" t="s">
        <v>22</v>
      </c>
      <c r="B1111" s="18" t="s">
        <v>365</v>
      </c>
      <c r="C1111" s="18" t="s">
        <v>259</v>
      </c>
      <c r="D1111" s="18" t="s">
        <v>146</v>
      </c>
      <c r="E1111" s="18">
        <v>1101579.1100000001</v>
      </c>
      <c r="F1111" s="18">
        <v>0</v>
      </c>
      <c r="G1111" s="18">
        <v>0</v>
      </c>
      <c r="H1111" s="18">
        <v>1101579.1100000001</v>
      </c>
      <c r="L1111" s="20" t="str">
        <f t="shared" si="34"/>
        <v>N/A</v>
      </c>
      <c r="M1111" s="20" t="str">
        <f t="shared" si="35"/>
        <v>N/A</v>
      </c>
    </row>
    <row r="1112" spans="1:13">
      <c r="A1112" s="18" t="s">
        <v>22</v>
      </c>
      <c r="B1112" s="18" t="s">
        <v>365</v>
      </c>
      <c r="C1112" s="18" t="s">
        <v>259</v>
      </c>
      <c r="D1112" s="18" t="s">
        <v>147</v>
      </c>
      <c r="E1112" s="18">
        <v>-9604246.2699999996</v>
      </c>
      <c r="F1112" s="18">
        <v>0</v>
      </c>
      <c r="G1112" s="18">
        <v>0</v>
      </c>
      <c r="H1112" s="18">
        <v>-9604246.2699999996</v>
      </c>
      <c r="L1112" s="20" t="str">
        <f t="shared" si="34"/>
        <v>N/A</v>
      </c>
      <c r="M1112" s="20" t="str">
        <f t="shared" si="35"/>
        <v>N/A</v>
      </c>
    </row>
    <row r="1113" spans="1:13">
      <c r="A1113" s="18" t="s">
        <v>22</v>
      </c>
      <c r="B1113" s="18" t="s">
        <v>365</v>
      </c>
      <c r="C1113" s="18" t="s">
        <v>259</v>
      </c>
      <c r="D1113" s="18" t="s">
        <v>153</v>
      </c>
      <c r="E1113" s="18">
        <v>0</v>
      </c>
      <c r="F1113" s="18">
        <v>0</v>
      </c>
      <c r="G1113" s="18">
        <v>0</v>
      </c>
      <c r="H1113" s="18">
        <v>0</v>
      </c>
      <c r="L1113" s="20" t="str">
        <f t="shared" si="34"/>
        <v>N/A</v>
      </c>
      <c r="M1113" s="20" t="str">
        <f t="shared" si="35"/>
        <v>N/A</v>
      </c>
    </row>
    <row r="1114" spans="1:13">
      <c r="A1114" s="18" t="s">
        <v>22</v>
      </c>
      <c r="B1114" s="18" t="s">
        <v>365</v>
      </c>
      <c r="C1114" s="18" t="s">
        <v>259</v>
      </c>
      <c r="D1114" s="18" t="s">
        <v>155</v>
      </c>
      <c r="E1114" s="18">
        <v>0</v>
      </c>
      <c r="F1114" s="18">
        <v>0</v>
      </c>
      <c r="G1114" s="18">
        <v>0</v>
      </c>
      <c r="H1114" s="18">
        <v>0</v>
      </c>
      <c r="L1114" s="20" t="str">
        <f t="shared" si="34"/>
        <v>N/A</v>
      </c>
      <c r="M1114" s="20" t="str">
        <f t="shared" si="35"/>
        <v>N/A</v>
      </c>
    </row>
    <row r="1115" spans="1:13">
      <c r="A1115" s="18" t="s">
        <v>22</v>
      </c>
      <c r="B1115" s="18" t="s">
        <v>365</v>
      </c>
      <c r="C1115" s="18" t="s">
        <v>259</v>
      </c>
      <c r="D1115" s="18" t="s">
        <v>156</v>
      </c>
      <c r="E1115" s="18">
        <v>-434.98</v>
      </c>
      <c r="F1115" s="18">
        <v>0</v>
      </c>
      <c r="G1115" s="18">
        <v>12.61</v>
      </c>
      <c r="H1115" s="18">
        <v>-447.59</v>
      </c>
      <c r="L1115" s="20" t="str">
        <f t="shared" si="34"/>
        <v>N/A</v>
      </c>
      <c r="M1115" s="20" t="str">
        <f t="shared" si="35"/>
        <v>N/A</v>
      </c>
    </row>
    <row r="1116" spans="1:13">
      <c r="A1116" s="18" t="s">
        <v>22</v>
      </c>
      <c r="B1116" s="18" t="s">
        <v>365</v>
      </c>
      <c r="C1116" s="18" t="s">
        <v>259</v>
      </c>
      <c r="D1116" s="18" t="s">
        <v>157</v>
      </c>
      <c r="E1116" s="18">
        <v>-4077038.02</v>
      </c>
      <c r="F1116" s="18">
        <v>0</v>
      </c>
      <c r="G1116" s="18">
        <v>594441.81000000006</v>
      </c>
      <c r="H1116" s="18">
        <v>-4671479.83</v>
      </c>
      <c r="L1116" s="20" t="str">
        <f t="shared" si="34"/>
        <v>N/A</v>
      </c>
      <c r="M1116" s="20" t="str">
        <f t="shared" si="35"/>
        <v>N/A</v>
      </c>
    </row>
    <row r="1117" spans="1:13">
      <c r="A1117" s="18" t="s">
        <v>22</v>
      </c>
      <c r="B1117" s="18" t="s">
        <v>365</v>
      </c>
      <c r="C1117" s="18" t="s">
        <v>259</v>
      </c>
      <c r="D1117" s="18" t="s">
        <v>145</v>
      </c>
      <c r="E1117" s="18">
        <v>0</v>
      </c>
      <c r="F1117" s="18">
        <v>2852.73</v>
      </c>
      <c r="G1117" s="18">
        <v>0</v>
      </c>
      <c r="H1117" s="18">
        <v>2852.73</v>
      </c>
      <c r="L1117" s="20" t="str">
        <f t="shared" si="34"/>
        <v>N/A</v>
      </c>
      <c r="M1117" s="20" t="str">
        <f t="shared" si="35"/>
        <v>N/A</v>
      </c>
    </row>
    <row r="1118" spans="1:13">
      <c r="A1118" s="18" t="s">
        <v>22</v>
      </c>
      <c r="B1118" s="18" t="s">
        <v>365</v>
      </c>
      <c r="C1118" s="18" t="s">
        <v>259</v>
      </c>
      <c r="D1118" s="18" t="s">
        <v>96</v>
      </c>
      <c r="E1118" s="18">
        <v>83.04</v>
      </c>
      <c r="F1118" s="18">
        <v>41.52</v>
      </c>
      <c r="G1118" s="18">
        <v>0</v>
      </c>
      <c r="H1118" s="18">
        <v>124.56</v>
      </c>
      <c r="L1118" s="20" t="str">
        <f t="shared" si="34"/>
        <v>N/A</v>
      </c>
      <c r="M1118" s="20" t="str">
        <f t="shared" si="35"/>
        <v>N/A</v>
      </c>
    </row>
    <row r="1119" spans="1:13">
      <c r="A1119" s="18" t="s">
        <v>22</v>
      </c>
      <c r="B1119" s="18" t="s">
        <v>365</v>
      </c>
      <c r="C1119" s="18" t="s">
        <v>259</v>
      </c>
      <c r="D1119" s="18" t="s">
        <v>104</v>
      </c>
      <c r="E1119" s="18">
        <v>189.61</v>
      </c>
      <c r="F1119" s="18">
        <v>379.29</v>
      </c>
      <c r="G1119" s="18">
        <v>0</v>
      </c>
      <c r="H1119" s="18">
        <v>568.9</v>
      </c>
      <c r="L1119" s="20" t="str">
        <f t="shared" si="34"/>
        <v>N/A</v>
      </c>
      <c r="M1119" s="20" t="str">
        <f t="shared" si="35"/>
        <v>N/A</v>
      </c>
    </row>
    <row r="1120" spans="1:13">
      <c r="A1120" s="18" t="s">
        <v>22</v>
      </c>
      <c r="B1120" s="18" t="s">
        <v>365</v>
      </c>
      <c r="C1120" s="18" t="s">
        <v>259</v>
      </c>
      <c r="D1120" s="18" t="s">
        <v>359</v>
      </c>
      <c r="E1120" s="18">
        <v>8945.7900000000009</v>
      </c>
      <c r="F1120" s="18">
        <v>84.71</v>
      </c>
      <c r="G1120" s="18">
        <v>0</v>
      </c>
      <c r="H1120" s="18">
        <v>9030.5</v>
      </c>
      <c r="L1120" s="20" t="str">
        <f t="shared" si="34"/>
        <v>N/A</v>
      </c>
      <c r="M1120" s="20" t="str">
        <f t="shared" si="35"/>
        <v>N/A</v>
      </c>
    </row>
    <row r="1121" spans="1:13">
      <c r="A1121" s="18" t="s">
        <v>22</v>
      </c>
      <c r="B1121" s="18" t="s">
        <v>365</v>
      </c>
      <c r="C1121" s="18" t="s">
        <v>259</v>
      </c>
      <c r="D1121" s="18" t="s">
        <v>113</v>
      </c>
      <c r="E1121" s="18">
        <v>12176.83</v>
      </c>
      <c r="F1121" s="18">
        <v>3334.92</v>
      </c>
      <c r="G1121" s="18">
        <v>0</v>
      </c>
      <c r="H1121" s="18">
        <v>15511.75</v>
      </c>
      <c r="L1121" s="20" t="str">
        <f t="shared" si="34"/>
        <v>N/A</v>
      </c>
      <c r="M1121" s="20" t="str">
        <f t="shared" si="35"/>
        <v>N/A</v>
      </c>
    </row>
    <row r="1122" spans="1:13">
      <c r="A1122" s="18" t="s">
        <v>22</v>
      </c>
      <c r="B1122" s="18" t="s">
        <v>365</v>
      </c>
      <c r="C1122" s="18" t="s">
        <v>259</v>
      </c>
      <c r="D1122" s="18" t="s">
        <v>150</v>
      </c>
      <c r="E1122" s="18">
        <v>3792.64</v>
      </c>
      <c r="F1122" s="18">
        <v>228.98</v>
      </c>
      <c r="G1122" s="18">
        <v>0</v>
      </c>
      <c r="H1122" s="18">
        <v>4021.62</v>
      </c>
      <c r="L1122" s="20" t="str">
        <f t="shared" si="34"/>
        <v>N/A</v>
      </c>
      <c r="M1122" s="20" t="str">
        <f t="shared" si="35"/>
        <v>N/A</v>
      </c>
    </row>
    <row r="1123" spans="1:13">
      <c r="A1123" s="18" t="s">
        <v>22</v>
      </c>
      <c r="B1123" s="18" t="s">
        <v>365</v>
      </c>
      <c r="C1123" s="18" t="s">
        <v>259</v>
      </c>
      <c r="D1123" s="18" t="s">
        <v>120</v>
      </c>
      <c r="E1123" s="18">
        <v>5.69</v>
      </c>
      <c r="F1123" s="18">
        <v>0</v>
      </c>
      <c r="G1123" s="18">
        <v>0</v>
      </c>
      <c r="H1123" s="18">
        <v>5.69</v>
      </c>
      <c r="L1123" s="20" t="str">
        <f t="shared" si="34"/>
        <v>N/A</v>
      </c>
      <c r="M1123" s="20" t="str">
        <f t="shared" si="35"/>
        <v>N/A</v>
      </c>
    </row>
    <row r="1124" spans="1:13">
      <c r="A1124" s="18" t="s">
        <v>22</v>
      </c>
      <c r="B1124" s="18" t="s">
        <v>365</v>
      </c>
      <c r="C1124" s="18" t="s">
        <v>259</v>
      </c>
      <c r="D1124" s="18" t="s">
        <v>123</v>
      </c>
      <c r="E1124" s="18">
        <v>3551.89</v>
      </c>
      <c r="F1124" s="18">
        <v>1807.7</v>
      </c>
      <c r="G1124" s="18">
        <v>0</v>
      </c>
      <c r="H1124" s="18">
        <v>5359.59</v>
      </c>
      <c r="L1124" s="20" t="str">
        <f t="shared" si="34"/>
        <v>N/A</v>
      </c>
      <c r="M1124" s="20" t="str">
        <f t="shared" si="35"/>
        <v>N/A</v>
      </c>
    </row>
    <row r="1125" spans="1:13">
      <c r="A1125" s="18" t="s">
        <v>22</v>
      </c>
      <c r="B1125" s="18" t="s">
        <v>365</v>
      </c>
      <c r="C1125" s="18" t="s">
        <v>259</v>
      </c>
      <c r="D1125" s="18" t="s">
        <v>126</v>
      </c>
      <c r="E1125" s="18">
        <v>528.73</v>
      </c>
      <c r="F1125" s="18">
        <v>101.89</v>
      </c>
      <c r="G1125" s="18">
        <v>0</v>
      </c>
      <c r="H1125" s="18">
        <v>630.62</v>
      </c>
      <c r="L1125" s="20" t="str">
        <f t="shared" si="34"/>
        <v>N/A</v>
      </c>
      <c r="M1125" s="20" t="str">
        <f t="shared" si="35"/>
        <v>N/A</v>
      </c>
    </row>
    <row r="1126" spans="1:13">
      <c r="A1126" s="18" t="s">
        <v>22</v>
      </c>
      <c r="B1126" s="18" t="s">
        <v>365</v>
      </c>
      <c r="C1126" s="18" t="s">
        <v>259</v>
      </c>
      <c r="D1126" s="18" t="s">
        <v>129</v>
      </c>
      <c r="E1126" s="18">
        <v>493.74</v>
      </c>
      <c r="F1126" s="18">
        <v>140.51</v>
      </c>
      <c r="G1126" s="18">
        <v>0</v>
      </c>
      <c r="H1126" s="18">
        <v>634.25</v>
      </c>
      <c r="L1126" s="20" t="str">
        <f t="shared" si="34"/>
        <v>N/A</v>
      </c>
      <c r="M1126" s="20" t="str">
        <f t="shared" si="35"/>
        <v>N/A</v>
      </c>
    </row>
    <row r="1127" spans="1:13">
      <c r="A1127" s="18" t="s">
        <v>22</v>
      </c>
      <c r="B1127" s="18" t="s">
        <v>365</v>
      </c>
      <c r="C1127" s="18" t="s">
        <v>259</v>
      </c>
      <c r="D1127" s="18" t="s">
        <v>131</v>
      </c>
      <c r="E1127" s="18">
        <v>1254.08</v>
      </c>
      <c r="F1127" s="18">
        <v>895.12</v>
      </c>
      <c r="G1127" s="18">
        <v>0</v>
      </c>
      <c r="H1127" s="18">
        <v>2149.1999999999998</v>
      </c>
      <c r="L1127" s="20" t="str">
        <f t="shared" si="34"/>
        <v>N/A</v>
      </c>
      <c r="M1127" s="20" t="str">
        <f t="shared" si="35"/>
        <v>N/A</v>
      </c>
    </row>
    <row r="1128" spans="1:13">
      <c r="A1128" s="18" t="s">
        <v>22</v>
      </c>
      <c r="B1128" s="18" t="s">
        <v>365</v>
      </c>
      <c r="C1128" s="18" t="s">
        <v>259</v>
      </c>
      <c r="D1128" s="18" t="s">
        <v>162</v>
      </c>
      <c r="E1128" s="18">
        <v>0</v>
      </c>
      <c r="F1128" s="18">
        <v>0</v>
      </c>
      <c r="G1128" s="18">
        <v>0</v>
      </c>
      <c r="H1128" s="18">
        <v>0</v>
      </c>
      <c r="L1128" s="20" t="str">
        <f t="shared" si="34"/>
        <v>N/A</v>
      </c>
      <c r="M1128" s="20" t="str">
        <f t="shared" si="35"/>
        <v>N/A</v>
      </c>
    </row>
    <row r="1129" spans="1:13">
      <c r="A1129" s="18" t="s">
        <v>22</v>
      </c>
      <c r="B1129" s="18" t="s">
        <v>365</v>
      </c>
      <c r="C1129" s="18" t="s">
        <v>259</v>
      </c>
      <c r="D1129" s="18" t="s">
        <v>134</v>
      </c>
      <c r="E1129" s="18">
        <v>90</v>
      </c>
      <c r="F1129" s="18">
        <v>112.43</v>
      </c>
      <c r="G1129" s="18">
        <v>0</v>
      </c>
      <c r="H1129" s="18">
        <v>202.43</v>
      </c>
      <c r="L1129" s="20" t="str">
        <f t="shared" si="34"/>
        <v>N/A</v>
      </c>
      <c r="M1129" s="20" t="str">
        <f t="shared" si="35"/>
        <v>N/A</v>
      </c>
    </row>
    <row r="1130" spans="1:13">
      <c r="A1130" s="18" t="s">
        <v>22</v>
      </c>
      <c r="B1130" s="18" t="s">
        <v>365</v>
      </c>
      <c r="C1130" s="18" t="s">
        <v>259</v>
      </c>
      <c r="D1130" s="18" t="s">
        <v>139</v>
      </c>
      <c r="E1130" s="18">
        <v>370.94</v>
      </c>
      <c r="F1130" s="18">
        <v>185.47</v>
      </c>
      <c r="G1130" s="18">
        <v>0</v>
      </c>
      <c r="H1130" s="18">
        <v>556.41</v>
      </c>
      <c r="L1130" s="20" t="str">
        <f t="shared" si="34"/>
        <v>N/A</v>
      </c>
      <c r="M1130" s="20" t="str">
        <f t="shared" si="35"/>
        <v>N/A</v>
      </c>
    </row>
    <row r="1131" spans="1:13">
      <c r="A1131" s="18" t="s">
        <v>22</v>
      </c>
      <c r="B1131" s="18" t="s">
        <v>365</v>
      </c>
      <c r="C1131" s="18" t="s">
        <v>259</v>
      </c>
      <c r="D1131" s="18" t="s">
        <v>142</v>
      </c>
      <c r="E1131" s="18">
        <v>306.7</v>
      </c>
      <c r="F1131" s="18">
        <v>181.13</v>
      </c>
      <c r="G1131" s="18">
        <v>0</v>
      </c>
      <c r="H1131" s="18">
        <v>487.83</v>
      </c>
      <c r="L1131" s="20" t="str">
        <f t="shared" si="34"/>
        <v>N/A</v>
      </c>
      <c r="M1131" s="20" t="str">
        <f t="shared" si="35"/>
        <v>N/A</v>
      </c>
    </row>
    <row r="1132" spans="1:13">
      <c r="A1132" s="18" t="s">
        <v>22</v>
      </c>
      <c r="B1132" s="18" t="s">
        <v>365</v>
      </c>
      <c r="C1132" s="18" t="s">
        <v>259</v>
      </c>
      <c r="D1132" s="18" t="s">
        <v>163</v>
      </c>
      <c r="E1132" s="18">
        <v>0</v>
      </c>
      <c r="F1132" s="18">
        <v>0</v>
      </c>
      <c r="G1132" s="18">
        <v>0</v>
      </c>
      <c r="H1132" s="18">
        <v>0</v>
      </c>
      <c r="L1132" s="20" t="str">
        <f t="shared" si="34"/>
        <v>N/A</v>
      </c>
      <c r="M1132" s="20" t="str">
        <f t="shared" si="35"/>
        <v>N/A</v>
      </c>
    </row>
    <row r="1133" spans="1:13">
      <c r="A1133" s="18" t="s">
        <v>22</v>
      </c>
      <c r="B1133" s="18" t="s">
        <v>365</v>
      </c>
      <c r="C1133" s="18" t="s">
        <v>261</v>
      </c>
      <c r="D1133" s="18" t="s">
        <v>87</v>
      </c>
      <c r="E1133" s="18">
        <v>1004.12</v>
      </c>
      <c r="F1133" s="18">
        <v>33638.33</v>
      </c>
      <c r="G1133" s="18">
        <v>4347.12</v>
      </c>
      <c r="H1133" s="18">
        <v>30295.33</v>
      </c>
      <c r="L1133" s="20" t="str">
        <f t="shared" si="34"/>
        <v>Asset</v>
      </c>
      <c r="M1133" s="20" t="str">
        <f t="shared" si="35"/>
        <v>okay</v>
      </c>
    </row>
    <row r="1134" spans="1:13">
      <c r="A1134" s="18" t="s">
        <v>22</v>
      </c>
      <c r="B1134" s="18" t="s">
        <v>365</v>
      </c>
      <c r="C1134" s="18" t="s">
        <v>261</v>
      </c>
      <c r="D1134" s="18" t="s">
        <v>97</v>
      </c>
      <c r="E1134" s="18">
        <v>16479282.02</v>
      </c>
      <c r="F1134" s="18">
        <v>0</v>
      </c>
      <c r="G1134" s="18">
        <v>0</v>
      </c>
      <c r="H1134" s="18">
        <v>16479282.02</v>
      </c>
      <c r="L1134" s="20" t="str">
        <f t="shared" si="34"/>
        <v>Asset</v>
      </c>
      <c r="M1134" s="20" t="str">
        <f t="shared" si="35"/>
        <v>okay</v>
      </c>
    </row>
    <row r="1135" spans="1:13">
      <c r="A1135" s="18" t="s">
        <v>22</v>
      </c>
      <c r="B1135" s="18" t="s">
        <v>365</v>
      </c>
      <c r="C1135" s="18" t="s">
        <v>261</v>
      </c>
      <c r="D1135" s="18" t="s">
        <v>105</v>
      </c>
      <c r="E1135" s="18">
        <v>5129685.17</v>
      </c>
      <c r="F1135" s="18">
        <v>240748.93</v>
      </c>
      <c r="G1135" s="18">
        <v>0</v>
      </c>
      <c r="H1135" s="18">
        <v>5370434.0999999996</v>
      </c>
      <c r="L1135" s="20" t="str">
        <f t="shared" si="34"/>
        <v>Asset</v>
      </c>
      <c r="M1135" s="20" t="str">
        <f t="shared" si="35"/>
        <v>okay</v>
      </c>
    </row>
    <row r="1136" spans="1:13">
      <c r="A1136" s="18" t="s">
        <v>22</v>
      </c>
      <c r="B1136" s="18" t="s">
        <v>365</v>
      </c>
      <c r="C1136" s="18" t="s">
        <v>261</v>
      </c>
      <c r="D1136" s="18" t="s">
        <v>108</v>
      </c>
      <c r="E1136" s="18">
        <v>0</v>
      </c>
      <c r="F1136" s="18">
        <v>0</v>
      </c>
      <c r="G1136" s="18">
        <v>0</v>
      </c>
      <c r="H1136" s="18">
        <v>0</v>
      </c>
      <c r="L1136" s="20" t="str">
        <f t="shared" si="34"/>
        <v>Asset</v>
      </c>
      <c r="M1136" s="20" t="str">
        <f t="shared" si="35"/>
        <v>okay</v>
      </c>
    </row>
    <row r="1137" spans="1:13">
      <c r="A1137" s="18" t="s">
        <v>22</v>
      </c>
      <c r="B1137" s="18" t="s">
        <v>365</v>
      </c>
      <c r="C1137" s="18" t="s">
        <v>261</v>
      </c>
      <c r="D1137" s="18" t="s">
        <v>116</v>
      </c>
      <c r="E1137" s="18">
        <v>-205.41</v>
      </c>
      <c r="F1137" s="18">
        <v>0</v>
      </c>
      <c r="G1137" s="18">
        <v>0</v>
      </c>
      <c r="H1137" s="18">
        <v>-205.41</v>
      </c>
      <c r="L1137" s="20" t="str">
        <f t="shared" si="34"/>
        <v>N/A</v>
      </c>
      <c r="M1137" s="20" t="str">
        <f t="shared" si="35"/>
        <v>N/A</v>
      </c>
    </row>
    <row r="1138" spans="1:13">
      <c r="A1138" s="18" t="s">
        <v>22</v>
      </c>
      <c r="B1138" s="18" t="s">
        <v>365</v>
      </c>
      <c r="C1138" s="18" t="s">
        <v>261</v>
      </c>
      <c r="D1138" s="18" t="s">
        <v>121</v>
      </c>
      <c r="E1138" s="18">
        <v>-450.68</v>
      </c>
      <c r="F1138" s="18">
        <v>300.45999999999998</v>
      </c>
      <c r="G1138" s="18">
        <v>75.11</v>
      </c>
      <c r="H1138" s="18">
        <v>-225.33</v>
      </c>
      <c r="L1138" s="20" t="str">
        <f t="shared" si="34"/>
        <v>N/A</v>
      </c>
      <c r="M1138" s="20" t="str">
        <f t="shared" si="35"/>
        <v>N/A</v>
      </c>
    </row>
    <row r="1139" spans="1:13">
      <c r="A1139" s="18" t="s">
        <v>22</v>
      </c>
      <c r="B1139" s="18" t="s">
        <v>365</v>
      </c>
      <c r="C1139" s="18" t="s">
        <v>261</v>
      </c>
      <c r="D1139" s="18" t="s">
        <v>124</v>
      </c>
      <c r="E1139" s="18">
        <v>-92.07</v>
      </c>
      <c r="F1139" s="18">
        <v>0</v>
      </c>
      <c r="G1139" s="18">
        <v>57.3</v>
      </c>
      <c r="H1139" s="18">
        <v>-149.37</v>
      </c>
      <c r="L1139" s="20" t="str">
        <f t="shared" si="34"/>
        <v>N/A</v>
      </c>
      <c r="M1139" s="20" t="str">
        <f t="shared" si="35"/>
        <v>N/A</v>
      </c>
    </row>
    <row r="1140" spans="1:13">
      <c r="A1140" s="18" t="s">
        <v>22</v>
      </c>
      <c r="B1140" s="18" t="s">
        <v>365</v>
      </c>
      <c r="C1140" s="18" t="s">
        <v>261</v>
      </c>
      <c r="D1140" s="18" t="s">
        <v>127</v>
      </c>
      <c r="E1140" s="18">
        <v>0</v>
      </c>
      <c r="F1140" s="18">
        <v>0</v>
      </c>
      <c r="G1140" s="18">
        <v>0</v>
      </c>
      <c r="H1140" s="18">
        <v>0</v>
      </c>
      <c r="L1140" s="20" t="str">
        <f t="shared" si="34"/>
        <v>N/A</v>
      </c>
      <c r="M1140" s="20" t="str">
        <f t="shared" si="35"/>
        <v>N/A</v>
      </c>
    </row>
    <row r="1141" spans="1:13">
      <c r="A1141" s="18" t="s">
        <v>22</v>
      </c>
      <c r="B1141" s="18" t="s">
        <v>365</v>
      </c>
      <c r="C1141" s="18" t="s">
        <v>261</v>
      </c>
      <c r="D1141" s="18" t="s">
        <v>95</v>
      </c>
      <c r="E1141" s="18">
        <v>-22.42</v>
      </c>
      <c r="F1141" s="18">
        <v>5.61</v>
      </c>
      <c r="G1141" s="18">
        <v>16.82</v>
      </c>
      <c r="H1141" s="18">
        <v>-33.630000000000003</v>
      </c>
      <c r="L1141" s="20" t="str">
        <f t="shared" si="34"/>
        <v>N/A</v>
      </c>
      <c r="M1141" s="20" t="str">
        <f t="shared" si="35"/>
        <v>N/A</v>
      </c>
    </row>
    <row r="1142" spans="1:13">
      <c r="A1142" s="18" t="s">
        <v>22</v>
      </c>
      <c r="B1142" s="18" t="s">
        <v>365</v>
      </c>
      <c r="C1142" s="18" t="s">
        <v>261</v>
      </c>
      <c r="D1142" s="18" t="s">
        <v>132</v>
      </c>
      <c r="E1142" s="18">
        <v>0</v>
      </c>
      <c r="F1142" s="18">
        <v>0</v>
      </c>
      <c r="G1142" s="18">
        <v>0</v>
      </c>
      <c r="H1142" s="18">
        <v>0</v>
      </c>
      <c r="L1142" s="20" t="str">
        <f t="shared" si="34"/>
        <v>N/A</v>
      </c>
      <c r="M1142" s="20" t="str">
        <f t="shared" si="35"/>
        <v>N/A</v>
      </c>
    </row>
    <row r="1143" spans="1:13">
      <c r="A1143" s="18" t="s">
        <v>22</v>
      </c>
      <c r="B1143" s="18" t="s">
        <v>365</v>
      </c>
      <c r="C1143" s="18" t="s">
        <v>261</v>
      </c>
      <c r="D1143" s="18" t="s">
        <v>135</v>
      </c>
      <c r="E1143" s="18">
        <v>-20000000</v>
      </c>
      <c r="F1143" s="18">
        <v>0</v>
      </c>
      <c r="G1143" s="18">
        <v>0</v>
      </c>
      <c r="H1143" s="18">
        <v>-20000000</v>
      </c>
      <c r="L1143" s="20" t="str">
        <f t="shared" si="34"/>
        <v>N/A</v>
      </c>
      <c r="M1143" s="20" t="str">
        <f t="shared" si="35"/>
        <v>N/A</v>
      </c>
    </row>
    <row r="1144" spans="1:13">
      <c r="A1144" s="18" t="s">
        <v>22</v>
      </c>
      <c r="B1144" s="18" t="s">
        <v>365</v>
      </c>
      <c r="C1144" s="18" t="s">
        <v>261</v>
      </c>
      <c r="D1144" s="18" t="s">
        <v>140</v>
      </c>
      <c r="E1144" s="18">
        <v>-47836.77</v>
      </c>
      <c r="F1144" s="18">
        <v>0</v>
      </c>
      <c r="G1144" s="18">
        <v>33633.22</v>
      </c>
      <c r="H1144" s="18">
        <v>-81469.990000000005</v>
      </c>
      <c r="L1144" s="20" t="str">
        <f t="shared" si="34"/>
        <v>N/A</v>
      </c>
      <c r="M1144" s="20" t="str">
        <f t="shared" si="35"/>
        <v>N/A</v>
      </c>
    </row>
    <row r="1145" spans="1:13">
      <c r="A1145" s="18" t="s">
        <v>22</v>
      </c>
      <c r="B1145" s="18" t="s">
        <v>365</v>
      </c>
      <c r="C1145" s="18" t="s">
        <v>261</v>
      </c>
      <c r="D1145" s="18" t="s">
        <v>143</v>
      </c>
      <c r="E1145" s="18">
        <v>3520717.98</v>
      </c>
      <c r="F1145" s="18">
        <v>0</v>
      </c>
      <c r="G1145" s="18">
        <v>0</v>
      </c>
      <c r="H1145" s="18">
        <v>3520717.98</v>
      </c>
      <c r="L1145" s="20" t="str">
        <f t="shared" si="34"/>
        <v>N/A</v>
      </c>
      <c r="M1145" s="20" t="str">
        <f t="shared" si="35"/>
        <v>N/A</v>
      </c>
    </row>
    <row r="1146" spans="1:13">
      <c r="A1146" s="18" t="s">
        <v>22</v>
      </c>
      <c r="B1146" s="18" t="s">
        <v>365</v>
      </c>
      <c r="C1146" s="18" t="s">
        <v>261</v>
      </c>
      <c r="D1146" s="18" t="s">
        <v>146</v>
      </c>
      <c r="E1146" s="18">
        <v>446139.53</v>
      </c>
      <c r="F1146" s="18">
        <v>0</v>
      </c>
      <c r="G1146" s="18">
        <v>0</v>
      </c>
      <c r="H1146" s="18">
        <v>446139.53</v>
      </c>
      <c r="L1146" s="20" t="str">
        <f t="shared" si="34"/>
        <v>N/A</v>
      </c>
      <c r="M1146" s="20" t="str">
        <f t="shared" si="35"/>
        <v>N/A</v>
      </c>
    </row>
    <row r="1147" spans="1:13">
      <c r="A1147" s="18" t="s">
        <v>22</v>
      </c>
      <c r="B1147" s="18" t="s">
        <v>365</v>
      </c>
      <c r="C1147" s="18" t="s">
        <v>261</v>
      </c>
      <c r="D1147" s="18" t="s">
        <v>147</v>
      </c>
      <c r="E1147" s="18">
        <v>-3889719.7</v>
      </c>
      <c r="F1147" s="18">
        <v>0</v>
      </c>
      <c r="G1147" s="18">
        <v>0</v>
      </c>
      <c r="H1147" s="18">
        <v>-3889719.7</v>
      </c>
      <c r="L1147" s="20" t="str">
        <f t="shared" si="34"/>
        <v>N/A</v>
      </c>
      <c r="M1147" s="20" t="str">
        <f t="shared" si="35"/>
        <v>N/A</v>
      </c>
    </row>
    <row r="1148" spans="1:13">
      <c r="A1148" s="18" t="s">
        <v>22</v>
      </c>
      <c r="B1148" s="18" t="s">
        <v>365</v>
      </c>
      <c r="C1148" s="18" t="s">
        <v>261</v>
      </c>
      <c r="D1148" s="18" t="s">
        <v>153</v>
      </c>
      <c r="E1148" s="18">
        <v>0</v>
      </c>
      <c r="F1148" s="18">
        <v>0</v>
      </c>
      <c r="G1148" s="18">
        <v>0</v>
      </c>
      <c r="H1148" s="18">
        <v>0</v>
      </c>
      <c r="L1148" s="20" t="str">
        <f t="shared" si="34"/>
        <v>N/A</v>
      </c>
      <c r="M1148" s="20" t="str">
        <f t="shared" si="35"/>
        <v>N/A</v>
      </c>
    </row>
    <row r="1149" spans="1:13">
      <c r="A1149" s="18" t="s">
        <v>22</v>
      </c>
      <c r="B1149" s="18" t="s">
        <v>365</v>
      </c>
      <c r="C1149" s="18" t="s">
        <v>261</v>
      </c>
      <c r="D1149" s="18" t="s">
        <v>155</v>
      </c>
      <c r="E1149" s="18">
        <v>0</v>
      </c>
      <c r="F1149" s="18">
        <v>0</v>
      </c>
      <c r="G1149" s="18">
        <v>0</v>
      </c>
      <c r="H1149" s="18">
        <v>0</v>
      </c>
      <c r="L1149" s="20" t="str">
        <f t="shared" si="34"/>
        <v>N/A</v>
      </c>
      <c r="M1149" s="20" t="str">
        <f t="shared" si="35"/>
        <v>N/A</v>
      </c>
    </row>
    <row r="1150" spans="1:13">
      <c r="A1150" s="18" t="s">
        <v>22</v>
      </c>
      <c r="B1150" s="18" t="s">
        <v>365</v>
      </c>
      <c r="C1150" s="18" t="s">
        <v>261</v>
      </c>
      <c r="D1150" s="18" t="s">
        <v>156</v>
      </c>
      <c r="E1150" s="18">
        <v>-176.16</v>
      </c>
      <c r="F1150" s="18">
        <v>0</v>
      </c>
      <c r="G1150" s="18">
        <v>5.1100000000000003</v>
      </c>
      <c r="H1150" s="18">
        <v>-181.27</v>
      </c>
      <c r="L1150" s="20" t="str">
        <f t="shared" si="34"/>
        <v>N/A</v>
      </c>
      <c r="M1150" s="20" t="str">
        <f t="shared" si="35"/>
        <v>N/A</v>
      </c>
    </row>
    <row r="1151" spans="1:13">
      <c r="A1151" s="18" t="s">
        <v>22</v>
      </c>
      <c r="B1151" s="18" t="s">
        <v>365</v>
      </c>
      <c r="C1151" s="18" t="s">
        <v>261</v>
      </c>
      <c r="D1151" s="18" t="s">
        <v>157</v>
      </c>
      <c r="E1151" s="18">
        <v>-1651200.41</v>
      </c>
      <c r="F1151" s="18">
        <v>0</v>
      </c>
      <c r="G1151" s="18">
        <v>240748.93</v>
      </c>
      <c r="H1151" s="18">
        <v>-1891949.34</v>
      </c>
      <c r="L1151" s="20" t="str">
        <f t="shared" si="34"/>
        <v>N/A</v>
      </c>
      <c r="M1151" s="20" t="str">
        <f t="shared" si="35"/>
        <v>N/A</v>
      </c>
    </row>
    <row r="1152" spans="1:13">
      <c r="A1152" s="18" t="s">
        <v>22</v>
      </c>
      <c r="B1152" s="18" t="s">
        <v>365</v>
      </c>
      <c r="C1152" s="18" t="s">
        <v>261</v>
      </c>
      <c r="D1152" s="18" t="s">
        <v>145</v>
      </c>
      <c r="E1152" s="18">
        <v>0</v>
      </c>
      <c r="F1152" s="18">
        <v>1155.3599999999999</v>
      </c>
      <c r="G1152" s="18">
        <v>0</v>
      </c>
      <c r="H1152" s="18">
        <v>1155.3599999999999</v>
      </c>
      <c r="L1152" s="20" t="str">
        <f t="shared" si="34"/>
        <v>N/A</v>
      </c>
      <c r="M1152" s="20" t="str">
        <f t="shared" si="35"/>
        <v>N/A</v>
      </c>
    </row>
    <row r="1153" spans="1:13">
      <c r="A1153" s="18" t="s">
        <v>22</v>
      </c>
      <c r="B1153" s="18" t="s">
        <v>365</v>
      </c>
      <c r="C1153" s="18" t="s">
        <v>261</v>
      </c>
      <c r="D1153" s="18" t="s">
        <v>96</v>
      </c>
      <c r="E1153" s="18">
        <v>33.64</v>
      </c>
      <c r="F1153" s="18">
        <v>16.82</v>
      </c>
      <c r="G1153" s="18">
        <v>0</v>
      </c>
      <c r="H1153" s="18">
        <v>50.46</v>
      </c>
      <c r="L1153" s="20" t="str">
        <f t="shared" si="34"/>
        <v>N/A</v>
      </c>
      <c r="M1153" s="20" t="str">
        <f t="shared" si="35"/>
        <v>N/A</v>
      </c>
    </row>
    <row r="1154" spans="1:13">
      <c r="A1154" s="18" t="s">
        <v>22</v>
      </c>
      <c r="B1154" s="18" t="s">
        <v>365</v>
      </c>
      <c r="C1154" s="18" t="s">
        <v>261</v>
      </c>
      <c r="D1154" s="18" t="s">
        <v>104</v>
      </c>
      <c r="E1154" s="18">
        <v>76.790000000000006</v>
      </c>
      <c r="F1154" s="18">
        <v>153.61000000000001</v>
      </c>
      <c r="G1154" s="18">
        <v>0</v>
      </c>
      <c r="H1154" s="18">
        <v>230.4</v>
      </c>
      <c r="L1154" s="20" t="str">
        <f t="shared" si="34"/>
        <v>N/A</v>
      </c>
      <c r="M1154" s="20" t="str">
        <f t="shared" si="35"/>
        <v>N/A</v>
      </c>
    </row>
    <row r="1155" spans="1:13">
      <c r="A1155" s="18" t="s">
        <v>22</v>
      </c>
      <c r="B1155" s="18" t="s">
        <v>365</v>
      </c>
      <c r="C1155" s="18" t="s">
        <v>261</v>
      </c>
      <c r="D1155" s="18" t="s">
        <v>359</v>
      </c>
      <c r="E1155" s="18">
        <v>3623.04</v>
      </c>
      <c r="F1155" s="18">
        <v>34.31</v>
      </c>
      <c r="G1155" s="18">
        <v>0</v>
      </c>
      <c r="H1155" s="18">
        <v>3657.35</v>
      </c>
      <c r="L1155" s="20" t="str">
        <f t="shared" ref="L1155:L1218" si="36">+IF(LEFT(D1155,1)="1","Asset","N/A")</f>
        <v>N/A</v>
      </c>
      <c r="M1155" s="20" t="str">
        <f t="shared" ref="M1155:M1218" si="37">+IF(L1155="asset",IF(H1155&lt;0,"Provide Comment","okay"),"N/A")</f>
        <v>N/A</v>
      </c>
    </row>
    <row r="1156" spans="1:13">
      <c r="A1156" s="18" t="s">
        <v>22</v>
      </c>
      <c r="B1156" s="18" t="s">
        <v>365</v>
      </c>
      <c r="C1156" s="18" t="s">
        <v>261</v>
      </c>
      <c r="D1156" s="18" t="s">
        <v>113</v>
      </c>
      <c r="E1156" s="18">
        <v>4931.62</v>
      </c>
      <c r="F1156" s="18">
        <v>1350.64</v>
      </c>
      <c r="G1156" s="18">
        <v>0</v>
      </c>
      <c r="H1156" s="18">
        <v>6282.26</v>
      </c>
      <c r="L1156" s="20" t="str">
        <f t="shared" si="36"/>
        <v>N/A</v>
      </c>
      <c r="M1156" s="20" t="str">
        <f t="shared" si="37"/>
        <v>N/A</v>
      </c>
    </row>
    <row r="1157" spans="1:13">
      <c r="A1157" s="18" t="s">
        <v>22</v>
      </c>
      <c r="B1157" s="18" t="s">
        <v>365</v>
      </c>
      <c r="C1157" s="18" t="s">
        <v>261</v>
      </c>
      <c r="D1157" s="18" t="s">
        <v>150</v>
      </c>
      <c r="E1157" s="18">
        <v>1536.01</v>
      </c>
      <c r="F1157" s="18">
        <v>92.73</v>
      </c>
      <c r="G1157" s="18">
        <v>0</v>
      </c>
      <c r="H1157" s="18">
        <v>1628.74</v>
      </c>
      <c r="L1157" s="20" t="str">
        <f t="shared" si="36"/>
        <v>N/A</v>
      </c>
      <c r="M1157" s="20" t="str">
        <f t="shared" si="37"/>
        <v>N/A</v>
      </c>
    </row>
    <row r="1158" spans="1:13">
      <c r="A1158" s="18" t="s">
        <v>22</v>
      </c>
      <c r="B1158" s="18" t="s">
        <v>365</v>
      </c>
      <c r="C1158" s="18" t="s">
        <v>261</v>
      </c>
      <c r="D1158" s="18" t="s">
        <v>120</v>
      </c>
      <c r="E1158" s="18">
        <v>2.2999999999999998</v>
      </c>
      <c r="F1158" s="18">
        <v>0</v>
      </c>
      <c r="G1158" s="18">
        <v>0</v>
      </c>
      <c r="H1158" s="18">
        <v>2.2999999999999998</v>
      </c>
      <c r="L1158" s="20" t="str">
        <f t="shared" si="36"/>
        <v>N/A</v>
      </c>
      <c r="M1158" s="20" t="str">
        <f t="shared" si="37"/>
        <v>N/A</v>
      </c>
    </row>
    <row r="1159" spans="1:13">
      <c r="A1159" s="18" t="s">
        <v>22</v>
      </c>
      <c r="B1159" s="18" t="s">
        <v>365</v>
      </c>
      <c r="C1159" s="18" t="s">
        <v>261</v>
      </c>
      <c r="D1159" s="18" t="s">
        <v>123</v>
      </c>
      <c r="E1159" s="18">
        <v>1438.52</v>
      </c>
      <c r="F1159" s="18">
        <v>732.12</v>
      </c>
      <c r="G1159" s="18">
        <v>0</v>
      </c>
      <c r="H1159" s="18">
        <v>2170.64</v>
      </c>
      <c r="L1159" s="20" t="str">
        <f t="shared" si="36"/>
        <v>N/A</v>
      </c>
      <c r="M1159" s="20" t="str">
        <f t="shared" si="37"/>
        <v>N/A</v>
      </c>
    </row>
    <row r="1160" spans="1:13">
      <c r="A1160" s="18" t="s">
        <v>22</v>
      </c>
      <c r="B1160" s="18" t="s">
        <v>365</v>
      </c>
      <c r="C1160" s="18" t="s">
        <v>261</v>
      </c>
      <c r="D1160" s="18" t="s">
        <v>126</v>
      </c>
      <c r="E1160" s="18">
        <v>214.13</v>
      </c>
      <c r="F1160" s="18">
        <v>41.26</v>
      </c>
      <c r="G1160" s="18">
        <v>0</v>
      </c>
      <c r="H1160" s="18">
        <v>255.39</v>
      </c>
      <c r="L1160" s="20" t="str">
        <f t="shared" si="36"/>
        <v>N/A</v>
      </c>
      <c r="M1160" s="20" t="str">
        <f t="shared" si="37"/>
        <v>N/A</v>
      </c>
    </row>
    <row r="1161" spans="1:13">
      <c r="A1161" s="18" t="s">
        <v>22</v>
      </c>
      <c r="B1161" s="18" t="s">
        <v>365</v>
      </c>
      <c r="C1161" s="18" t="s">
        <v>261</v>
      </c>
      <c r="D1161" s="18" t="s">
        <v>129</v>
      </c>
      <c r="E1161" s="18">
        <v>199.97</v>
      </c>
      <c r="F1161" s="18">
        <v>56.9</v>
      </c>
      <c r="G1161" s="18">
        <v>0</v>
      </c>
      <c r="H1161" s="18">
        <v>256.87</v>
      </c>
      <c r="L1161" s="20" t="str">
        <f t="shared" si="36"/>
        <v>N/A</v>
      </c>
      <c r="M1161" s="20" t="str">
        <f t="shared" si="37"/>
        <v>N/A</v>
      </c>
    </row>
    <row r="1162" spans="1:13">
      <c r="A1162" s="18" t="s">
        <v>22</v>
      </c>
      <c r="B1162" s="18" t="s">
        <v>365</v>
      </c>
      <c r="C1162" s="18" t="s">
        <v>261</v>
      </c>
      <c r="D1162" s="18" t="s">
        <v>131</v>
      </c>
      <c r="E1162" s="18">
        <v>507.9</v>
      </c>
      <c r="F1162" s="18">
        <v>362.52</v>
      </c>
      <c r="G1162" s="18">
        <v>0</v>
      </c>
      <c r="H1162" s="18">
        <v>870.42</v>
      </c>
      <c r="L1162" s="20" t="str">
        <f t="shared" si="36"/>
        <v>N/A</v>
      </c>
      <c r="M1162" s="20" t="str">
        <f t="shared" si="37"/>
        <v>N/A</v>
      </c>
    </row>
    <row r="1163" spans="1:13">
      <c r="A1163" s="18" t="s">
        <v>22</v>
      </c>
      <c r="B1163" s="18" t="s">
        <v>365</v>
      </c>
      <c r="C1163" s="18" t="s">
        <v>261</v>
      </c>
      <c r="D1163" s="18" t="s">
        <v>162</v>
      </c>
      <c r="E1163" s="18">
        <v>0</v>
      </c>
      <c r="F1163" s="18">
        <v>0</v>
      </c>
      <c r="G1163" s="18">
        <v>0</v>
      </c>
      <c r="H1163" s="18">
        <v>0</v>
      </c>
      <c r="L1163" s="20" t="str">
        <f t="shared" si="36"/>
        <v>N/A</v>
      </c>
      <c r="M1163" s="20" t="str">
        <f t="shared" si="37"/>
        <v>N/A</v>
      </c>
    </row>
    <row r="1164" spans="1:13">
      <c r="A1164" s="18" t="s">
        <v>22</v>
      </c>
      <c r="B1164" s="18" t="s">
        <v>365</v>
      </c>
      <c r="C1164" s="18" t="s">
        <v>261</v>
      </c>
      <c r="D1164" s="18" t="s">
        <v>134</v>
      </c>
      <c r="E1164" s="18">
        <v>36.450000000000003</v>
      </c>
      <c r="F1164" s="18">
        <v>45.54</v>
      </c>
      <c r="G1164" s="18">
        <v>0</v>
      </c>
      <c r="H1164" s="18">
        <v>81.99</v>
      </c>
      <c r="L1164" s="20" t="str">
        <f t="shared" si="36"/>
        <v>N/A</v>
      </c>
      <c r="M1164" s="20" t="str">
        <f t="shared" si="37"/>
        <v>N/A</v>
      </c>
    </row>
    <row r="1165" spans="1:13">
      <c r="A1165" s="18" t="s">
        <v>22</v>
      </c>
      <c r="B1165" s="18" t="s">
        <v>365</v>
      </c>
      <c r="C1165" s="18" t="s">
        <v>261</v>
      </c>
      <c r="D1165" s="18" t="s">
        <v>139</v>
      </c>
      <c r="E1165" s="18">
        <v>150.22</v>
      </c>
      <c r="F1165" s="18">
        <v>75.11</v>
      </c>
      <c r="G1165" s="18">
        <v>0</v>
      </c>
      <c r="H1165" s="18">
        <v>225.33</v>
      </c>
      <c r="L1165" s="20" t="str">
        <f t="shared" si="36"/>
        <v>N/A</v>
      </c>
      <c r="M1165" s="20" t="str">
        <f t="shared" si="37"/>
        <v>N/A</v>
      </c>
    </row>
    <row r="1166" spans="1:13">
      <c r="A1166" s="18" t="s">
        <v>22</v>
      </c>
      <c r="B1166" s="18" t="s">
        <v>365</v>
      </c>
      <c r="C1166" s="18" t="s">
        <v>261</v>
      </c>
      <c r="D1166" s="18" t="s">
        <v>142</v>
      </c>
      <c r="E1166" s="18">
        <v>124.21</v>
      </c>
      <c r="F1166" s="18">
        <v>73.36</v>
      </c>
      <c r="G1166" s="18">
        <v>0</v>
      </c>
      <c r="H1166" s="18">
        <v>197.57</v>
      </c>
      <c r="L1166" s="20" t="str">
        <f t="shared" si="36"/>
        <v>N/A</v>
      </c>
      <c r="M1166" s="20" t="str">
        <f t="shared" si="37"/>
        <v>N/A</v>
      </c>
    </row>
    <row r="1167" spans="1:13">
      <c r="A1167" s="18" t="s">
        <v>22</v>
      </c>
      <c r="B1167" s="18" t="s">
        <v>365</v>
      </c>
      <c r="C1167" s="18" t="s">
        <v>261</v>
      </c>
      <c r="D1167" s="18" t="s">
        <v>163</v>
      </c>
      <c r="E1167" s="18">
        <v>0</v>
      </c>
      <c r="F1167" s="18">
        <v>0</v>
      </c>
      <c r="G1167" s="18">
        <v>0</v>
      </c>
      <c r="H1167" s="18">
        <v>0</v>
      </c>
      <c r="L1167" s="20" t="str">
        <f t="shared" si="36"/>
        <v>N/A</v>
      </c>
      <c r="M1167" s="20" t="str">
        <f t="shared" si="37"/>
        <v>N/A</v>
      </c>
    </row>
    <row r="1168" spans="1:13">
      <c r="A1168" s="18" t="s">
        <v>22</v>
      </c>
      <c r="B1168" s="18" t="s">
        <v>365</v>
      </c>
      <c r="C1168" s="18" t="s">
        <v>263</v>
      </c>
      <c r="D1168" s="18" t="s">
        <v>87</v>
      </c>
      <c r="E1168" s="18">
        <v>502.03</v>
      </c>
      <c r="F1168" s="18">
        <v>16819.16</v>
      </c>
      <c r="G1168" s="18">
        <v>2173.5500000000002</v>
      </c>
      <c r="H1168" s="18">
        <v>15147.64</v>
      </c>
      <c r="L1168" s="20" t="str">
        <f t="shared" si="36"/>
        <v>Asset</v>
      </c>
      <c r="M1168" s="20" t="str">
        <f t="shared" si="37"/>
        <v>okay</v>
      </c>
    </row>
    <row r="1169" spans="1:13">
      <c r="A1169" s="18" t="s">
        <v>22</v>
      </c>
      <c r="B1169" s="18" t="s">
        <v>365</v>
      </c>
      <c r="C1169" s="18" t="s">
        <v>263</v>
      </c>
      <c r="D1169" s="18" t="s">
        <v>97</v>
      </c>
      <c r="E1169" s="18">
        <v>8239641.0199999996</v>
      </c>
      <c r="F1169" s="18">
        <v>0</v>
      </c>
      <c r="G1169" s="18">
        <v>0</v>
      </c>
      <c r="H1169" s="18">
        <v>8239641.0199999996</v>
      </c>
      <c r="L1169" s="20" t="str">
        <f t="shared" si="36"/>
        <v>Asset</v>
      </c>
      <c r="M1169" s="20" t="str">
        <f t="shared" si="37"/>
        <v>okay</v>
      </c>
    </row>
    <row r="1170" spans="1:13">
      <c r="A1170" s="18" t="s">
        <v>22</v>
      </c>
      <c r="B1170" s="18" t="s">
        <v>365</v>
      </c>
      <c r="C1170" s="18" t="s">
        <v>263</v>
      </c>
      <c r="D1170" s="18" t="s">
        <v>105</v>
      </c>
      <c r="E1170" s="18">
        <v>2564842.5699999998</v>
      </c>
      <c r="F1170" s="18">
        <v>120374.46</v>
      </c>
      <c r="G1170" s="18">
        <v>0</v>
      </c>
      <c r="H1170" s="18">
        <v>2685217.03</v>
      </c>
      <c r="L1170" s="20" t="str">
        <f t="shared" si="36"/>
        <v>Asset</v>
      </c>
      <c r="M1170" s="20" t="str">
        <f t="shared" si="37"/>
        <v>okay</v>
      </c>
    </row>
    <row r="1171" spans="1:13">
      <c r="A1171" s="18" t="s">
        <v>22</v>
      </c>
      <c r="B1171" s="18" t="s">
        <v>365</v>
      </c>
      <c r="C1171" s="18" t="s">
        <v>263</v>
      </c>
      <c r="D1171" s="18" t="s">
        <v>108</v>
      </c>
      <c r="E1171" s="18">
        <v>0</v>
      </c>
      <c r="F1171" s="18">
        <v>0</v>
      </c>
      <c r="G1171" s="18">
        <v>0</v>
      </c>
      <c r="H1171" s="18">
        <v>0</v>
      </c>
      <c r="L1171" s="20" t="str">
        <f t="shared" si="36"/>
        <v>Asset</v>
      </c>
      <c r="M1171" s="20" t="str">
        <f t="shared" si="37"/>
        <v>okay</v>
      </c>
    </row>
    <row r="1172" spans="1:13">
      <c r="A1172" s="18" t="s">
        <v>22</v>
      </c>
      <c r="B1172" s="18" t="s">
        <v>365</v>
      </c>
      <c r="C1172" s="18" t="s">
        <v>263</v>
      </c>
      <c r="D1172" s="18" t="s">
        <v>116</v>
      </c>
      <c r="E1172" s="18">
        <v>-102.72</v>
      </c>
      <c r="F1172" s="18">
        <v>0</v>
      </c>
      <c r="G1172" s="18">
        <v>0</v>
      </c>
      <c r="H1172" s="18">
        <v>-102.72</v>
      </c>
      <c r="L1172" s="20" t="str">
        <f t="shared" si="36"/>
        <v>N/A</v>
      </c>
      <c r="M1172" s="20" t="str">
        <f t="shared" si="37"/>
        <v>N/A</v>
      </c>
    </row>
    <row r="1173" spans="1:13">
      <c r="A1173" s="18" t="s">
        <v>22</v>
      </c>
      <c r="B1173" s="18" t="s">
        <v>365</v>
      </c>
      <c r="C1173" s="18" t="s">
        <v>263</v>
      </c>
      <c r="D1173" s="18" t="s">
        <v>121</v>
      </c>
      <c r="E1173" s="18">
        <v>-225.34</v>
      </c>
      <c r="F1173" s="18">
        <v>150.22999999999999</v>
      </c>
      <c r="G1173" s="18">
        <v>37.56</v>
      </c>
      <c r="H1173" s="18">
        <v>-112.67</v>
      </c>
      <c r="L1173" s="20" t="str">
        <f t="shared" si="36"/>
        <v>N/A</v>
      </c>
      <c r="M1173" s="20" t="str">
        <f t="shared" si="37"/>
        <v>N/A</v>
      </c>
    </row>
    <row r="1174" spans="1:13">
      <c r="A1174" s="18" t="s">
        <v>22</v>
      </c>
      <c r="B1174" s="18" t="s">
        <v>365</v>
      </c>
      <c r="C1174" s="18" t="s">
        <v>263</v>
      </c>
      <c r="D1174" s="18" t="s">
        <v>124</v>
      </c>
      <c r="E1174" s="18">
        <v>-46.04</v>
      </c>
      <c r="F1174" s="18">
        <v>0</v>
      </c>
      <c r="G1174" s="18">
        <v>28.65</v>
      </c>
      <c r="H1174" s="18">
        <v>-74.69</v>
      </c>
      <c r="L1174" s="20" t="str">
        <f t="shared" si="36"/>
        <v>N/A</v>
      </c>
      <c r="M1174" s="20" t="str">
        <f t="shared" si="37"/>
        <v>N/A</v>
      </c>
    </row>
    <row r="1175" spans="1:13">
      <c r="A1175" s="18" t="s">
        <v>22</v>
      </c>
      <c r="B1175" s="18" t="s">
        <v>365</v>
      </c>
      <c r="C1175" s="18" t="s">
        <v>263</v>
      </c>
      <c r="D1175" s="18" t="s">
        <v>127</v>
      </c>
      <c r="E1175" s="18">
        <v>0</v>
      </c>
      <c r="F1175" s="18">
        <v>0</v>
      </c>
      <c r="G1175" s="18">
        <v>0</v>
      </c>
      <c r="H1175" s="18">
        <v>0</v>
      </c>
      <c r="L1175" s="20" t="str">
        <f t="shared" si="36"/>
        <v>N/A</v>
      </c>
      <c r="M1175" s="20" t="str">
        <f t="shared" si="37"/>
        <v>N/A</v>
      </c>
    </row>
    <row r="1176" spans="1:13">
      <c r="A1176" s="18" t="s">
        <v>22</v>
      </c>
      <c r="B1176" s="18" t="s">
        <v>365</v>
      </c>
      <c r="C1176" s="18" t="s">
        <v>263</v>
      </c>
      <c r="D1176" s="18" t="s">
        <v>95</v>
      </c>
      <c r="E1176" s="18">
        <v>-11.22</v>
      </c>
      <c r="F1176" s="18">
        <v>2.8</v>
      </c>
      <c r="G1176" s="18">
        <v>8.41</v>
      </c>
      <c r="H1176" s="18">
        <v>-16.829999999999998</v>
      </c>
      <c r="L1176" s="20" t="str">
        <f t="shared" si="36"/>
        <v>N/A</v>
      </c>
      <c r="M1176" s="20" t="str">
        <f t="shared" si="37"/>
        <v>N/A</v>
      </c>
    </row>
    <row r="1177" spans="1:13">
      <c r="A1177" s="18" t="s">
        <v>22</v>
      </c>
      <c r="B1177" s="18" t="s">
        <v>365</v>
      </c>
      <c r="C1177" s="18" t="s">
        <v>263</v>
      </c>
      <c r="D1177" s="18" t="s">
        <v>132</v>
      </c>
      <c r="E1177" s="18">
        <v>0</v>
      </c>
      <c r="F1177" s="18">
        <v>0</v>
      </c>
      <c r="G1177" s="18">
        <v>0</v>
      </c>
      <c r="H1177" s="18">
        <v>0</v>
      </c>
      <c r="L1177" s="20" t="str">
        <f t="shared" si="36"/>
        <v>N/A</v>
      </c>
      <c r="M1177" s="20" t="str">
        <f t="shared" si="37"/>
        <v>N/A</v>
      </c>
    </row>
    <row r="1178" spans="1:13">
      <c r="A1178" s="18" t="s">
        <v>22</v>
      </c>
      <c r="B1178" s="18" t="s">
        <v>365</v>
      </c>
      <c r="C1178" s="18" t="s">
        <v>263</v>
      </c>
      <c r="D1178" s="18" t="s">
        <v>135</v>
      </c>
      <c r="E1178" s="18">
        <v>-10000000</v>
      </c>
      <c r="F1178" s="18">
        <v>0</v>
      </c>
      <c r="G1178" s="18">
        <v>0</v>
      </c>
      <c r="H1178" s="18">
        <v>-10000000</v>
      </c>
      <c r="L1178" s="20" t="str">
        <f t="shared" si="36"/>
        <v>N/A</v>
      </c>
      <c r="M1178" s="20" t="str">
        <f t="shared" si="37"/>
        <v>N/A</v>
      </c>
    </row>
    <row r="1179" spans="1:13">
      <c r="A1179" s="18" t="s">
        <v>22</v>
      </c>
      <c r="B1179" s="18" t="s">
        <v>365</v>
      </c>
      <c r="C1179" s="18" t="s">
        <v>263</v>
      </c>
      <c r="D1179" s="18" t="s">
        <v>140</v>
      </c>
      <c r="E1179" s="18">
        <v>-23918.38</v>
      </c>
      <c r="F1179" s="18">
        <v>0</v>
      </c>
      <c r="G1179" s="18">
        <v>16816.61</v>
      </c>
      <c r="H1179" s="18">
        <v>-40734.99</v>
      </c>
      <c r="L1179" s="20" t="str">
        <f t="shared" si="36"/>
        <v>N/A</v>
      </c>
      <c r="M1179" s="20" t="str">
        <f t="shared" si="37"/>
        <v>N/A</v>
      </c>
    </row>
    <row r="1180" spans="1:13">
      <c r="A1180" s="18" t="s">
        <v>22</v>
      </c>
      <c r="B1180" s="18" t="s">
        <v>365</v>
      </c>
      <c r="C1180" s="18" t="s">
        <v>263</v>
      </c>
      <c r="D1180" s="18" t="s">
        <v>143</v>
      </c>
      <c r="E1180" s="18">
        <v>1760358.98</v>
      </c>
      <c r="F1180" s="18">
        <v>0</v>
      </c>
      <c r="G1180" s="18">
        <v>0</v>
      </c>
      <c r="H1180" s="18">
        <v>1760358.98</v>
      </c>
      <c r="L1180" s="20" t="str">
        <f t="shared" si="36"/>
        <v>N/A</v>
      </c>
      <c r="M1180" s="20" t="str">
        <f t="shared" si="37"/>
        <v>N/A</v>
      </c>
    </row>
    <row r="1181" spans="1:13">
      <c r="A1181" s="18" t="s">
        <v>22</v>
      </c>
      <c r="B1181" s="18" t="s">
        <v>365</v>
      </c>
      <c r="C1181" s="18" t="s">
        <v>263</v>
      </c>
      <c r="D1181" s="18" t="s">
        <v>146</v>
      </c>
      <c r="E1181" s="18">
        <v>223069.77</v>
      </c>
      <c r="F1181" s="18">
        <v>0</v>
      </c>
      <c r="G1181" s="18">
        <v>0</v>
      </c>
      <c r="H1181" s="18">
        <v>223069.77</v>
      </c>
      <c r="L1181" s="20" t="str">
        <f t="shared" si="36"/>
        <v>N/A</v>
      </c>
      <c r="M1181" s="20" t="str">
        <f t="shared" si="37"/>
        <v>N/A</v>
      </c>
    </row>
    <row r="1182" spans="1:13">
      <c r="A1182" s="18" t="s">
        <v>22</v>
      </c>
      <c r="B1182" s="18" t="s">
        <v>365</v>
      </c>
      <c r="C1182" s="18" t="s">
        <v>263</v>
      </c>
      <c r="D1182" s="18" t="s">
        <v>147</v>
      </c>
      <c r="E1182" s="18">
        <v>-1944859.84</v>
      </c>
      <c r="F1182" s="18">
        <v>0</v>
      </c>
      <c r="G1182" s="18">
        <v>0</v>
      </c>
      <c r="H1182" s="18">
        <v>-1944859.84</v>
      </c>
      <c r="L1182" s="20" t="str">
        <f t="shared" si="36"/>
        <v>N/A</v>
      </c>
      <c r="M1182" s="20" t="str">
        <f t="shared" si="37"/>
        <v>N/A</v>
      </c>
    </row>
    <row r="1183" spans="1:13">
      <c r="A1183" s="18" t="s">
        <v>22</v>
      </c>
      <c r="B1183" s="18" t="s">
        <v>365</v>
      </c>
      <c r="C1183" s="18" t="s">
        <v>263</v>
      </c>
      <c r="D1183" s="18" t="s">
        <v>153</v>
      </c>
      <c r="E1183" s="18">
        <v>0</v>
      </c>
      <c r="F1183" s="18">
        <v>0</v>
      </c>
      <c r="G1183" s="18">
        <v>0</v>
      </c>
      <c r="H1183" s="18">
        <v>0</v>
      </c>
      <c r="L1183" s="20" t="str">
        <f t="shared" si="36"/>
        <v>N/A</v>
      </c>
      <c r="M1183" s="20" t="str">
        <f t="shared" si="37"/>
        <v>N/A</v>
      </c>
    </row>
    <row r="1184" spans="1:13">
      <c r="A1184" s="18" t="s">
        <v>22</v>
      </c>
      <c r="B1184" s="18" t="s">
        <v>365</v>
      </c>
      <c r="C1184" s="18" t="s">
        <v>263</v>
      </c>
      <c r="D1184" s="18" t="s">
        <v>155</v>
      </c>
      <c r="E1184" s="18">
        <v>0</v>
      </c>
      <c r="F1184" s="18">
        <v>0</v>
      </c>
      <c r="G1184" s="18">
        <v>0</v>
      </c>
      <c r="H1184" s="18">
        <v>0</v>
      </c>
      <c r="L1184" s="20" t="str">
        <f t="shared" si="36"/>
        <v>N/A</v>
      </c>
      <c r="M1184" s="20" t="str">
        <f t="shared" si="37"/>
        <v>N/A</v>
      </c>
    </row>
    <row r="1185" spans="1:13">
      <c r="A1185" s="18" t="s">
        <v>22</v>
      </c>
      <c r="B1185" s="18" t="s">
        <v>365</v>
      </c>
      <c r="C1185" s="18" t="s">
        <v>263</v>
      </c>
      <c r="D1185" s="18" t="s">
        <v>156</v>
      </c>
      <c r="E1185" s="18">
        <v>-88.09</v>
      </c>
      <c r="F1185" s="18">
        <v>0</v>
      </c>
      <c r="G1185" s="18">
        <v>2.5499999999999998</v>
      </c>
      <c r="H1185" s="18">
        <v>-90.64</v>
      </c>
      <c r="L1185" s="20" t="str">
        <f t="shared" si="36"/>
        <v>N/A</v>
      </c>
      <c r="M1185" s="20" t="str">
        <f t="shared" si="37"/>
        <v>N/A</v>
      </c>
    </row>
    <row r="1186" spans="1:13">
      <c r="A1186" s="18" t="s">
        <v>22</v>
      </c>
      <c r="B1186" s="18" t="s">
        <v>365</v>
      </c>
      <c r="C1186" s="18" t="s">
        <v>263</v>
      </c>
      <c r="D1186" s="18" t="s">
        <v>157</v>
      </c>
      <c r="E1186" s="18">
        <v>-825600.19</v>
      </c>
      <c r="F1186" s="18">
        <v>0</v>
      </c>
      <c r="G1186" s="18">
        <v>120374.46</v>
      </c>
      <c r="H1186" s="18">
        <v>-945974.65</v>
      </c>
      <c r="L1186" s="20" t="str">
        <f t="shared" si="36"/>
        <v>N/A</v>
      </c>
      <c r="M1186" s="20" t="str">
        <f t="shared" si="37"/>
        <v>N/A</v>
      </c>
    </row>
    <row r="1187" spans="1:13">
      <c r="A1187" s="18" t="s">
        <v>22</v>
      </c>
      <c r="B1187" s="18" t="s">
        <v>365</v>
      </c>
      <c r="C1187" s="18" t="s">
        <v>263</v>
      </c>
      <c r="D1187" s="18" t="s">
        <v>145</v>
      </c>
      <c r="E1187" s="18">
        <v>0</v>
      </c>
      <c r="F1187" s="18">
        <v>577.67999999999995</v>
      </c>
      <c r="G1187" s="18">
        <v>0</v>
      </c>
      <c r="H1187" s="18">
        <v>577.67999999999995</v>
      </c>
      <c r="L1187" s="20" t="str">
        <f t="shared" si="36"/>
        <v>N/A</v>
      </c>
      <c r="M1187" s="20" t="str">
        <f t="shared" si="37"/>
        <v>N/A</v>
      </c>
    </row>
    <row r="1188" spans="1:13">
      <c r="A1188" s="18" t="s">
        <v>22</v>
      </c>
      <c r="B1188" s="18" t="s">
        <v>365</v>
      </c>
      <c r="C1188" s="18" t="s">
        <v>263</v>
      </c>
      <c r="D1188" s="18" t="s">
        <v>96</v>
      </c>
      <c r="E1188" s="18">
        <v>16.82</v>
      </c>
      <c r="F1188" s="18">
        <v>8.41</v>
      </c>
      <c r="G1188" s="18">
        <v>0</v>
      </c>
      <c r="H1188" s="18">
        <v>25.23</v>
      </c>
      <c r="L1188" s="20" t="str">
        <f t="shared" si="36"/>
        <v>N/A</v>
      </c>
      <c r="M1188" s="20" t="str">
        <f t="shared" si="37"/>
        <v>N/A</v>
      </c>
    </row>
    <row r="1189" spans="1:13">
      <c r="A1189" s="18" t="s">
        <v>22</v>
      </c>
      <c r="B1189" s="18" t="s">
        <v>365</v>
      </c>
      <c r="C1189" s="18" t="s">
        <v>263</v>
      </c>
      <c r="D1189" s="18" t="s">
        <v>104</v>
      </c>
      <c r="E1189" s="18">
        <v>38.4</v>
      </c>
      <c r="F1189" s="18">
        <v>76.81</v>
      </c>
      <c r="G1189" s="18">
        <v>0</v>
      </c>
      <c r="H1189" s="18">
        <v>115.21</v>
      </c>
      <c r="L1189" s="20" t="str">
        <f t="shared" si="36"/>
        <v>N/A</v>
      </c>
      <c r="M1189" s="20" t="str">
        <f t="shared" si="37"/>
        <v>N/A</v>
      </c>
    </row>
    <row r="1190" spans="1:13">
      <c r="A1190" s="18" t="s">
        <v>22</v>
      </c>
      <c r="B1190" s="18" t="s">
        <v>365</v>
      </c>
      <c r="C1190" s="18" t="s">
        <v>263</v>
      </c>
      <c r="D1190" s="18" t="s">
        <v>359</v>
      </c>
      <c r="E1190" s="18">
        <v>1811.53</v>
      </c>
      <c r="F1190" s="18">
        <v>17.149999999999999</v>
      </c>
      <c r="G1190" s="18">
        <v>0</v>
      </c>
      <c r="H1190" s="18">
        <v>1828.68</v>
      </c>
      <c r="L1190" s="20" t="str">
        <f t="shared" si="36"/>
        <v>N/A</v>
      </c>
      <c r="M1190" s="20" t="str">
        <f t="shared" si="37"/>
        <v>N/A</v>
      </c>
    </row>
    <row r="1191" spans="1:13">
      <c r="A1191" s="18" t="s">
        <v>22</v>
      </c>
      <c r="B1191" s="18" t="s">
        <v>365</v>
      </c>
      <c r="C1191" s="18" t="s">
        <v>263</v>
      </c>
      <c r="D1191" s="18" t="s">
        <v>113</v>
      </c>
      <c r="E1191" s="18">
        <v>2465.81</v>
      </c>
      <c r="F1191" s="18">
        <v>675.32</v>
      </c>
      <c r="G1191" s="18">
        <v>0</v>
      </c>
      <c r="H1191" s="18">
        <v>3141.13</v>
      </c>
      <c r="L1191" s="20" t="str">
        <f t="shared" si="36"/>
        <v>N/A</v>
      </c>
      <c r="M1191" s="20" t="str">
        <f t="shared" si="37"/>
        <v>N/A</v>
      </c>
    </row>
    <row r="1192" spans="1:13">
      <c r="A1192" s="18" t="s">
        <v>22</v>
      </c>
      <c r="B1192" s="18" t="s">
        <v>365</v>
      </c>
      <c r="C1192" s="18" t="s">
        <v>263</v>
      </c>
      <c r="D1192" s="18" t="s">
        <v>150</v>
      </c>
      <c r="E1192" s="18">
        <v>768.01</v>
      </c>
      <c r="F1192" s="18">
        <v>46.37</v>
      </c>
      <c r="G1192" s="18">
        <v>0</v>
      </c>
      <c r="H1192" s="18">
        <v>814.38</v>
      </c>
      <c r="L1192" s="20" t="str">
        <f t="shared" si="36"/>
        <v>N/A</v>
      </c>
      <c r="M1192" s="20" t="str">
        <f t="shared" si="37"/>
        <v>N/A</v>
      </c>
    </row>
    <row r="1193" spans="1:13">
      <c r="A1193" s="18" t="s">
        <v>22</v>
      </c>
      <c r="B1193" s="18" t="s">
        <v>365</v>
      </c>
      <c r="C1193" s="18" t="s">
        <v>263</v>
      </c>
      <c r="D1193" s="18" t="s">
        <v>120</v>
      </c>
      <c r="E1193" s="18">
        <v>1.1499999999999999</v>
      </c>
      <c r="F1193" s="18">
        <v>0</v>
      </c>
      <c r="G1193" s="18">
        <v>0</v>
      </c>
      <c r="H1193" s="18">
        <v>1.1499999999999999</v>
      </c>
      <c r="L1193" s="20" t="str">
        <f t="shared" si="36"/>
        <v>N/A</v>
      </c>
      <c r="M1193" s="20" t="str">
        <f t="shared" si="37"/>
        <v>N/A</v>
      </c>
    </row>
    <row r="1194" spans="1:13">
      <c r="A1194" s="18" t="s">
        <v>22</v>
      </c>
      <c r="B1194" s="18" t="s">
        <v>365</v>
      </c>
      <c r="C1194" s="18" t="s">
        <v>263</v>
      </c>
      <c r="D1194" s="18" t="s">
        <v>123</v>
      </c>
      <c r="E1194" s="18">
        <v>719.25</v>
      </c>
      <c r="F1194" s="18">
        <v>366.06</v>
      </c>
      <c r="G1194" s="18">
        <v>0</v>
      </c>
      <c r="H1194" s="18">
        <v>1085.31</v>
      </c>
      <c r="L1194" s="20" t="str">
        <f t="shared" si="36"/>
        <v>N/A</v>
      </c>
      <c r="M1194" s="20" t="str">
        <f t="shared" si="37"/>
        <v>N/A</v>
      </c>
    </row>
    <row r="1195" spans="1:13">
      <c r="A1195" s="18" t="s">
        <v>22</v>
      </c>
      <c r="B1195" s="18" t="s">
        <v>365</v>
      </c>
      <c r="C1195" s="18" t="s">
        <v>263</v>
      </c>
      <c r="D1195" s="18" t="s">
        <v>126</v>
      </c>
      <c r="E1195" s="18">
        <v>107.08</v>
      </c>
      <c r="F1195" s="18">
        <v>20.63</v>
      </c>
      <c r="G1195" s="18">
        <v>0</v>
      </c>
      <c r="H1195" s="18">
        <v>127.71</v>
      </c>
      <c r="L1195" s="20" t="str">
        <f t="shared" si="36"/>
        <v>N/A</v>
      </c>
      <c r="M1195" s="20" t="str">
        <f t="shared" si="37"/>
        <v>N/A</v>
      </c>
    </row>
    <row r="1196" spans="1:13">
      <c r="A1196" s="18" t="s">
        <v>22</v>
      </c>
      <c r="B1196" s="18" t="s">
        <v>365</v>
      </c>
      <c r="C1196" s="18" t="s">
        <v>263</v>
      </c>
      <c r="D1196" s="18" t="s">
        <v>129</v>
      </c>
      <c r="E1196" s="18">
        <v>99.99</v>
      </c>
      <c r="F1196" s="18">
        <v>28.45</v>
      </c>
      <c r="G1196" s="18">
        <v>0</v>
      </c>
      <c r="H1196" s="18">
        <v>128.44</v>
      </c>
      <c r="L1196" s="20" t="str">
        <f t="shared" si="36"/>
        <v>N/A</v>
      </c>
      <c r="M1196" s="20" t="str">
        <f t="shared" si="37"/>
        <v>N/A</v>
      </c>
    </row>
    <row r="1197" spans="1:13">
      <c r="A1197" s="18" t="s">
        <v>22</v>
      </c>
      <c r="B1197" s="18" t="s">
        <v>365</v>
      </c>
      <c r="C1197" s="18" t="s">
        <v>263</v>
      </c>
      <c r="D1197" s="18" t="s">
        <v>131</v>
      </c>
      <c r="E1197" s="18">
        <v>253.96</v>
      </c>
      <c r="F1197" s="18">
        <v>181.26</v>
      </c>
      <c r="G1197" s="18">
        <v>0</v>
      </c>
      <c r="H1197" s="18">
        <v>435.22</v>
      </c>
      <c r="L1197" s="20" t="str">
        <f t="shared" si="36"/>
        <v>N/A</v>
      </c>
      <c r="M1197" s="20" t="str">
        <f t="shared" si="37"/>
        <v>N/A</v>
      </c>
    </row>
    <row r="1198" spans="1:13">
      <c r="A1198" s="18" t="s">
        <v>22</v>
      </c>
      <c r="B1198" s="18" t="s">
        <v>365</v>
      </c>
      <c r="C1198" s="18" t="s">
        <v>263</v>
      </c>
      <c r="D1198" s="18" t="s">
        <v>162</v>
      </c>
      <c r="E1198" s="18">
        <v>0</v>
      </c>
      <c r="F1198" s="18">
        <v>0</v>
      </c>
      <c r="G1198" s="18">
        <v>0</v>
      </c>
      <c r="H1198" s="18">
        <v>0</v>
      </c>
      <c r="L1198" s="20" t="str">
        <f t="shared" si="36"/>
        <v>N/A</v>
      </c>
      <c r="M1198" s="20" t="str">
        <f t="shared" si="37"/>
        <v>N/A</v>
      </c>
    </row>
    <row r="1199" spans="1:13">
      <c r="A1199" s="18" t="s">
        <v>22</v>
      </c>
      <c r="B1199" s="18" t="s">
        <v>365</v>
      </c>
      <c r="C1199" s="18" t="s">
        <v>263</v>
      </c>
      <c r="D1199" s="18" t="s">
        <v>134</v>
      </c>
      <c r="E1199" s="18">
        <v>18.22</v>
      </c>
      <c r="F1199" s="18">
        <v>22.76</v>
      </c>
      <c r="G1199" s="18">
        <v>0</v>
      </c>
      <c r="H1199" s="18">
        <v>40.98</v>
      </c>
      <c r="L1199" s="20" t="str">
        <f t="shared" si="36"/>
        <v>N/A</v>
      </c>
      <c r="M1199" s="20" t="str">
        <f t="shared" si="37"/>
        <v>N/A</v>
      </c>
    </row>
    <row r="1200" spans="1:13">
      <c r="A1200" s="18" t="s">
        <v>22</v>
      </c>
      <c r="B1200" s="18" t="s">
        <v>365</v>
      </c>
      <c r="C1200" s="18" t="s">
        <v>263</v>
      </c>
      <c r="D1200" s="18" t="s">
        <v>139</v>
      </c>
      <c r="E1200" s="18">
        <v>75.12</v>
      </c>
      <c r="F1200" s="18">
        <v>37.56</v>
      </c>
      <c r="G1200" s="18">
        <v>0</v>
      </c>
      <c r="H1200" s="18">
        <v>112.68</v>
      </c>
      <c r="L1200" s="20" t="str">
        <f t="shared" si="36"/>
        <v>N/A</v>
      </c>
      <c r="M1200" s="20" t="str">
        <f t="shared" si="37"/>
        <v>N/A</v>
      </c>
    </row>
    <row r="1201" spans="1:13">
      <c r="A1201" s="18" t="s">
        <v>22</v>
      </c>
      <c r="B1201" s="18" t="s">
        <v>365</v>
      </c>
      <c r="C1201" s="18" t="s">
        <v>263</v>
      </c>
      <c r="D1201" s="18" t="s">
        <v>142</v>
      </c>
      <c r="E1201" s="18">
        <v>62.11</v>
      </c>
      <c r="F1201" s="18">
        <v>36.68</v>
      </c>
      <c r="G1201" s="18">
        <v>0</v>
      </c>
      <c r="H1201" s="18">
        <v>98.79</v>
      </c>
      <c r="L1201" s="20" t="str">
        <f t="shared" si="36"/>
        <v>N/A</v>
      </c>
      <c r="M1201" s="20" t="str">
        <f t="shared" si="37"/>
        <v>N/A</v>
      </c>
    </row>
    <row r="1202" spans="1:13">
      <c r="A1202" s="18" t="s">
        <v>22</v>
      </c>
      <c r="B1202" s="18" t="s">
        <v>365</v>
      </c>
      <c r="C1202" s="18" t="s">
        <v>263</v>
      </c>
      <c r="D1202" s="18" t="s">
        <v>163</v>
      </c>
      <c r="E1202" s="18">
        <v>0</v>
      </c>
      <c r="F1202" s="18">
        <v>0</v>
      </c>
      <c r="G1202" s="18">
        <v>0</v>
      </c>
      <c r="H1202" s="18">
        <v>0</v>
      </c>
      <c r="L1202" s="20" t="str">
        <f t="shared" si="36"/>
        <v>N/A</v>
      </c>
      <c r="M1202" s="20" t="str">
        <f t="shared" si="37"/>
        <v>N/A</v>
      </c>
    </row>
    <row r="1203" spans="1:13">
      <c r="A1203" s="18" t="s">
        <v>22</v>
      </c>
      <c r="B1203" s="18" t="s">
        <v>365</v>
      </c>
      <c r="C1203" s="18" t="s">
        <v>265</v>
      </c>
      <c r="D1203" s="18" t="s">
        <v>87</v>
      </c>
      <c r="E1203" s="18">
        <v>100.18</v>
      </c>
      <c r="F1203" s="18">
        <v>3363.83</v>
      </c>
      <c r="G1203" s="18">
        <v>9190.61</v>
      </c>
      <c r="H1203" s="18">
        <v>-5726.6</v>
      </c>
      <c r="L1203" s="20" t="str">
        <f t="shared" si="36"/>
        <v>Asset</v>
      </c>
      <c r="M1203" s="20" t="str">
        <f t="shared" si="37"/>
        <v>Provide Comment</v>
      </c>
    </row>
    <row r="1204" spans="1:13">
      <c r="A1204" s="18" t="s">
        <v>22</v>
      </c>
      <c r="B1204" s="18" t="s">
        <v>365</v>
      </c>
      <c r="C1204" s="18" t="s">
        <v>265</v>
      </c>
      <c r="D1204" s="18" t="s">
        <v>97</v>
      </c>
      <c r="E1204" s="18">
        <v>1647928.2</v>
      </c>
      <c r="F1204" s="18">
        <v>0</v>
      </c>
      <c r="G1204" s="18">
        <v>0</v>
      </c>
      <c r="H1204" s="18">
        <v>1647928.2</v>
      </c>
      <c r="L1204" s="20" t="str">
        <f t="shared" si="36"/>
        <v>Asset</v>
      </c>
      <c r="M1204" s="20" t="str">
        <f t="shared" si="37"/>
        <v>okay</v>
      </c>
    </row>
    <row r="1205" spans="1:13">
      <c r="A1205" s="18" t="s">
        <v>22</v>
      </c>
      <c r="B1205" s="18" t="s">
        <v>365</v>
      </c>
      <c r="C1205" s="18" t="s">
        <v>265</v>
      </c>
      <c r="D1205" s="18" t="s">
        <v>105</v>
      </c>
      <c r="E1205" s="18">
        <v>512968.51</v>
      </c>
      <c r="F1205" s="18">
        <v>24074.89</v>
      </c>
      <c r="G1205" s="18">
        <v>0</v>
      </c>
      <c r="H1205" s="18">
        <v>537043.4</v>
      </c>
      <c r="L1205" s="20" t="str">
        <f t="shared" si="36"/>
        <v>Asset</v>
      </c>
      <c r="M1205" s="20" t="str">
        <f t="shared" si="37"/>
        <v>okay</v>
      </c>
    </row>
    <row r="1206" spans="1:13">
      <c r="A1206" s="18" t="s">
        <v>22</v>
      </c>
      <c r="B1206" s="18" t="s">
        <v>365</v>
      </c>
      <c r="C1206" s="18" t="s">
        <v>265</v>
      </c>
      <c r="D1206" s="18" t="s">
        <v>108</v>
      </c>
      <c r="E1206" s="18">
        <v>0</v>
      </c>
      <c r="F1206" s="18">
        <v>0</v>
      </c>
      <c r="G1206" s="18">
        <v>0</v>
      </c>
      <c r="H1206" s="18">
        <v>0</v>
      </c>
      <c r="L1206" s="20" t="str">
        <f t="shared" si="36"/>
        <v>Asset</v>
      </c>
      <c r="M1206" s="20" t="str">
        <f t="shared" si="37"/>
        <v>okay</v>
      </c>
    </row>
    <row r="1207" spans="1:13">
      <c r="A1207" s="18" t="s">
        <v>21</v>
      </c>
      <c r="B1207" s="18" t="s">
        <v>362</v>
      </c>
      <c r="C1207" s="18" t="s">
        <v>165</v>
      </c>
      <c r="D1207" s="18" t="s">
        <v>74</v>
      </c>
      <c r="E1207" s="18" t="s">
        <v>75</v>
      </c>
      <c r="F1207" s="18" t="s">
        <v>76</v>
      </c>
      <c r="G1207" s="18" t="s">
        <v>77</v>
      </c>
      <c r="H1207" s="32" t="s">
        <v>78</v>
      </c>
      <c r="L1207" s="20" t="str">
        <f t="shared" si="36"/>
        <v>N/A</v>
      </c>
      <c r="M1207" s="20" t="str">
        <f t="shared" si="37"/>
        <v>N/A</v>
      </c>
    </row>
    <row r="1208" spans="1:13">
      <c r="A1208" s="18" t="s">
        <v>22</v>
      </c>
      <c r="B1208" s="18" t="s">
        <v>365</v>
      </c>
      <c r="C1208" s="18" t="s">
        <v>265</v>
      </c>
      <c r="D1208" s="18" t="s">
        <v>116</v>
      </c>
      <c r="E1208" s="18">
        <v>-20.55</v>
      </c>
      <c r="F1208" s="18">
        <v>0</v>
      </c>
      <c r="G1208" s="18">
        <v>0</v>
      </c>
      <c r="H1208" s="18">
        <v>-20.55</v>
      </c>
      <c r="L1208" s="20" t="str">
        <f t="shared" si="36"/>
        <v>N/A</v>
      </c>
      <c r="M1208" s="20" t="str">
        <f t="shared" si="37"/>
        <v>N/A</v>
      </c>
    </row>
    <row r="1209" spans="1:13">
      <c r="A1209" s="18" t="s">
        <v>22</v>
      </c>
      <c r="B1209" s="18" t="s">
        <v>365</v>
      </c>
      <c r="C1209" s="18" t="s">
        <v>265</v>
      </c>
      <c r="D1209" s="18" t="s">
        <v>121</v>
      </c>
      <c r="E1209" s="18">
        <v>-45.06</v>
      </c>
      <c r="F1209" s="18">
        <v>30.05</v>
      </c>
      <c r="G1209" s="18">
        <v>7.51</v>
      </c>
      <c r="H1209" s="18">
        <v>-22.52</v>
      </c>
      <c r="L1209" s="20" t="str">
        <f t="shared" si="36"/>
        <v>N/A</v>
      </c>
      <c r="M1209" s="20" t="str">
        <f t="shared" si="37"/>
        <v>N/A</v>
      </c>
    </row>
    <row r="1210" spans="1:13">
      <c r="A1210" s="18" t="s">
        <v>22</v>
      </c>
      <c r="B1210" s="18" t="s">
        <v>365</v>
      </c>
      <c r="C1210" s="18" t="s">
        <v>265</v>
      </c>
      <c r="D1210" s="18" t="s">
        <v>124</v>
      </c>
      <c r="E1210" s="18">
        <v>-9.2100000000000009</v>
      </c>
      <c r="F1210" s="18">
        <v>0</v>
      </c>
      <c r="G1210" s="18">
        <v>5.73</v>
      </c>
      <c r="H1210" s="18">
        <v>-14.94</v>
      </c>
      <c r="L1210" s="20" t="str">
        <f t="shared" si="36"/>
        <v>N/A</v>
      </c>
      <c r="M1210" s="20" t="str">
        <f t="shared" si="37"/>
        <v>N/A</v>
      </c>
    </row>
    <row r="1211" spans="1:13">
      <c r="A1211" s="18" t="s">
        <v>22</v>
      </c>
      <c r="B1211" s="18" t="s">
        <v>365</v>
      </c>
      <c r="C1211" s="18" t="s">
        <v>265</v>
      </c>
      <c r="D1211" s="18" t="s">
        <v>127</v>
      </c>
      <c r="E1211" s="18">
        <v>0</v>
      </c>
      <c r="F1211" s="18">
        <v>0</v>
      </c>
      <c r="G1211" s="18">
        <v>0</v>
      </c>
      <c r="H1211" s="18">
        <v>0</v>
      </c>
      <c r="L1211" s="20" t="str">
        <f t="shared" si="36"/>
        <v>N/A</v>
      </c>
      <c r="M1211" s="20" t="str">
        <f t="shared" si="37"/>
        <v>N/A</v>
      </c>
    </row>
    <row r="1212" spans="1:13">
      <c r="A1212" s="18" t="s">
        <v>22</v>
      </c>
      <c r="B1212" s="18" t="s">
        <v>365</v>
      </c>
      <c r="C1212" s="18" t="s">
        <v>265</v>
      </c>
      <c r="D1212" s="18" t="s">
        <v>95</v>
      </c>
      <c r="E1212" s="18">
        <v>-2.2400000000000002</v>
      </c>
      <c r="F1212" s="18">
        <v>0.56000000000000005</v>
      </c>
      <c r="G1212" s="18">
        <v>1.68</v>
      </c>
      <c r="H1212" s="18">
        <v>-3.36</v>
      </c>
      <c r="L1212" s="20" t="str">
        <f t="shared" si="36"/>
        <v>N/A</v>
      </c>
      <c r="M1212" s="20" t="str">
        <f t="shared" si="37"/>
        <v>N/A</v>
      </c>
    </row>
    <row r="1213" spans="1:13">
      <c r="A1213" s="18" t="s">
        <v>22</v>
      </c>
      <c r="B1213" s="18" t="s">
        <v>365</v>
      </c>
      <c r="C1213" s="18" t="s">
        <v>265</v>
      </c>
      <c r="D1213" s="18" t="s">
        <v>132</v>
      </c>
      <c r="E1213" s="18">
        <v>0</v>
      </c>
      <c r="F1213" s="18">
        <v>0</v>
      </c>
      <c r="G1213" s="18">
        <v>0</v>
      </c>
      <c r="H1213" s="18">
        <v>0</v>
      </c>
      <c r="L1213" s="20" t="str">
        <f t="shared" si="36"/>
        <v>N/A</v>
      </c>
      <c r="M1213" s="20" t="str">
        <f t="shared" si="37"/>
        <v>N/A</v>
      </c>
    </row>
    <row r="1214" spans="1:13">
      <c r="A1214" s="18" t="s">
        <v>22</v>
      </c>
      <c r="B1214" s="18" t="s">
        <v>365</v>
      </c>
      <c r="C1214" s="18" t="s">
        <v>265</v>
      </c>
      <c r="D1214" s="18" t="s">
        <v>135</v>
      </c>
      <c r="E1214" s="18">
        <v>-2000000</v>
      </c>
      <c r="F1214" s="18">
        <v>0</v>
      </c>
      <c r="G1214" s="18">
        <v>0</v>
      </c>
      <c r="H1214" s="18">
        <v>-2000000</v>
      </c>
      <c r="L1214" s="20" t="str">
        <f t="shared" si="36"/>
        <v>N/A</v>
      </c>
      <c r="M1214" s="20" t="str">
        <f t="shared" si="37"/>
        <v>N/A</v>
      </c>
    </row>
    <row r="1215" spans="1:13">
      <c r="A1215" s="18" t="s">
        <v>22</v>
      </c>
      <c r="B1215" s="18" t="s">
        <v>365</v>
      </c>
      <c r="C1215" s="18" t="s">
        <v>265</v>
      </c>
      <c r="D1215" s="18" t="s">
        <v>140</v>
      </c>
      <c r="E1215" s="18">
        <v>-4783.67</v>
      </c>
      <c r="F1215" s="18">
        <v>0</v>
      </c>
      <c r="G1215" s="18">
        <v>3363.32</v>
      </c>
      <c r="H1215" s="18">
        <v>-8146.99</v>
      </c>
      <c r="L1215" s="20" t="str">
        <f t="shared" si="36"/>
        <v>N/A</v>
      </c>
      <c r="M1215" s="20" t="str">
        <f t="shared" si="37"/>
        <v>N/A</v>
      </c>
    </row>
    <row r="1216" spans="1:13">
      <c r="A1216" s="18" t="s">
        <v>22</v>
      </c>
      <c r="B1216" s="18" t="s">
        <v>365</v>
      </c>
      <c r="C1216" s="18" t="s">
        <v>265</v>
      </c>
      <c r="D1216" s="18" t="s">
        <v>143</v>
      </c>
      <c r="E1216" s="18">
        <v>352071.8</v>
      </c>
      <c r="F1216" s="18">
        <v>0</v>
      </c>
      <c r="G1216" s="18">
        <v>0</v>
      </c>
      <c r="H1216" s="18">
        <v>352071.8</v>
      </c>
      <c r="L1216" s="20" t="str">
        <f t="shared" si="36"/>
        <v>N/A</v>
      </c>
      <c r="M1216" s="20" t="str">
        <f t="shared" si="37"/>
        <v>N/A</v>
      </c>
    </row>
    <row r="1217" spans="1:13">
      <c r="A1217" s="18" t="s">
        <v>22</v>
      </c>
      <c r="B1217" s="18" t="s">
        <v>365</v>
      </c>
      <c r="C1217" s="18" t="s">
        <v>265</v>
      </c>
      <c r="D1217" s="18" t="s">
        <v>146</v>
      </c>
      <c r="E1217" s="18">
        <v>44613.95</v>
      </c>
      <c r="F1217" s="18">
        <v>0</v>
      </c>
      <c r="G1217" s="18">
        <v>0</v>
      </c>
      <c r="H1217" s="18">
        <v>44613.95</v>
      </c>
      <c r="L1217" s="20" t="str">
        <f t="shared" si="36"/>
        <v>N/A</v>
      </c>
      <c r="M1217" s="20" t="str">
        <f t="shared" si="37"/>
        <v>N/A</v>
      </c>
    </row>
    <row r="1218" spans="1:13">
      <c r="A1218" s="18" t="s">
        <v>22</v>
      </c>
      <c r="B1218" s="18" t="s">
        <v>365</v>
      </c>
      <c r="C1218" s="18" t="s">
        <v>265</v>
      </c>
      <c r="D1218" s="18" t="s">
        <v>147</v>
      </c>
      <c r="E1218" s="18">
        <v>-388971.93</v>
      </c>
      <c r="F1218" s="18">
        <v>0</v>
      </c>
      <c r="G1218" s="18">
        <v>0</v>
      </c>
      <c r="H1218" s="18">
        <v>-388971.93</v>
      </c>
      <c r="L1218" s="20" t="str">
        <f t="shared" si="36"/>
        <v>N/A</v>
      </c>
      <c r="M1218" s="20" t="str">
        <f t="shared" si="37"/>
        <v>N/A</v>
      </c>
    </row>
    <row r="1219" spans="1:13">
      <c r="A1219" s="18" t="s">
        <v>22</v>
      </c>
      <c r="B1219" s="18" t="s">
        <v>365</v>
      </c>
      <c r="C1219" s="18" t="s">
        <v>265</v>
      </c>
      <c r="D1219" s="18" t="s">
        <v>153</v>
      </c>
      <c r="E1219" s="18">
        <v>0</v>
      </c>
      <c r="F1219" s="18">
        <v>0</v>
      </c>
      <c r="G1219" s="18">
        <v>0</v>
      </c>
      <c r="H1219" s="18">
        <v>0</v>
      </c>
      <c r="L1219" s="20" t="str">
        <f t="shared" ref="L1219:L1282" si="38">+IF(LEFT(D1219,1)="1","Asset","N/A")</f>
        <v>N/A</v>
      </c>
      <c r="M1219" s="20" t="str">
        <f t="shared" ref="M1219:M1282" si="39">+IF(L1219="asset",IF(H1219&lt;0,"Provide Comment","okay"),"N/A")</f>
        <v>N/A</v>
      </c>
    </row>
    <row r="1220" spans="1:13">
      <c r="A1220" s="18" t="s">
        <v>22</v>
      </c>
      <c r="B1220" s="18" t="s">
        <v>365</v>
      </c>
      <c r="C1220" s="18" t="s">
        <v>265</v>
      </c>
      <c r="D1220" s="18" t="s">
        <v>155</v>
      </c>
      <c r="E1220" s="18">
        <v>0</v>
      </c>
      <c r="F1220" s="18">
        <v>0</v>
      </c>
      <c r="G1220" s="18">
        <v>0</v>
      </c>
      <c r="H1220" s="18">
        <v>0</v>
      </c>
      <c r="L1220" s="20" t="str">
        <f t="shared" si="38"/>
        <v>N/A</v>
      </c>
      <c r="M1220" s="20" t="str">
        <f t="shared" si="39"/>
        <v>N/A</v>
      </c>
    </row>
    <row r="1221" spans="1:13">
      <c r="A1221" s="18" t="s">
        <v>22</v>
      </c>
      <c r="B1221" s="18" t="s">
        <v>365</v>
      </c>
      <c r="C1221" s="18" t="s">
        <v>265</v>
      </c>
      <c r="D1221" s="18" t="s">
        <v>156</v>
      </c>
      <c r="E1221" s="18">
        <v>-17.61</v>
      </c>
      <c r="F1221" s="18">
        <v>0</v>
      </c>
      <c r="G1221" s="18">
        <v>0.51</v>
      </c>
      <c r="H1221" s="18">
        <v>-18.12</v>
      </c>
      <c r="L1221" s="20" t="str">
        <f t="shared" si="38"/>
        <v>N/A</v>
      </c>
      <c r="M1221" s="20" t="str">
        <f t="shared" si="39"/>
        <v>N/A</v>
      </c>
    </row>
    <row r="1222" spans="1:13">
      <c r="A1222" s="18" t="s">
        <v>22</v>
      </c>
      <c r="B1222" s="18" t="s">
        <v>365</v>
      </c>
      <c r="C1222" s="18" t="s">
        <v>265</v>
      </c>
      <c r="D1222" s="18" t="s">
        <v>157</v>
      </c>
      <c r="E1222" s="18">
        <v>-165120.04</v>
      </c>
      <c r="F1222" s="18">
        <v>0</v>
      </c>
      <c r="G1222" s="18">
        <v>24074.89</v>
      </c>
      <c r="H1222" s="18">
        <v>-189194.93</v>
      </c>
      <c r="L1222" s="20" t="str">
        <f t="shared" si="38"/>
        <v>N/A</v>
      </c>
      <c r="M1222" s="20" t="str">
        <f t="shared" si="39"/>
        <v>N/A</v>
      </c>
    </row>
    <row r="1223" spans="1:13">
      <c r="A1223" s="18" t="s">
        <v>22</v>
      </c>
      <c r="B1223" s="18" t="s">
        <v>365</v>
      </c>
      <c r="C1223" s="18" t="s">
        <v>265</v>
      </c>
      <c r="D1223" s="18" t="s">
        <v>145</v>
      </c>
      <c r="E1223" s="18">
        <v>0</v>
      </c>
      <c r="F1223" s="18">
        <v>115.54</v>
      </c>
      <c r="G1223" s="18">
        <v>0</v>
      </c>
      <c r="H1223" s="18">
        <v>115.54</v>
      </c>
      <c r="L1223" s="20" t="str">
        <f t="shared" si="38"/>
        <v>N/A</v>
      </c>
      <c r="M1223" s="20" t="str">
        <f t="shared" si="39"/>
        <v>N/A</v>
      </c>
    </row>
    <row r="1224" spans="1:13">
      <c r="A1224" s="18" t="s">
        <v>22</v>
      </c>
      <c r="B1224" s="18" t="s">
        <v>365</v>
      </c>
      <c r="C1224" s="18" t="s">
        <v>265</v>
      </c>
      <c r="D1224" s="18" t="s">
        <v>96</v>
      </c>
      <c r="E1224" s="18">
        <v>3.36</v>
      </c>
      <c r="F1224" s="18">
        <v>1.68</v>
      </c>
      <c r="G1224" s="18">
        <v>0</v>
      </c>
      <c r="H1224" s="18">
        <v>5.04</v>
      </c>
      <c r="L1224" s="20" t="str">
        <f t="shared" si="38"/>
        <v>N/A</v>
      </c>
      <c r="M1224" s="20" t="str">
        <f t="shared" si="39"/>
        <v>N/A</v>
      </c>
    </row>
    <row r="1225" spans="1:13">
      <c r="A1225" s="18" t="s">
        <v>22</v>
      </c>
      <c r="B1225" s="18" t="s">
        <v>365</v>
      </c>
      <c r="C1225" s="18" t="s">
        <v>265</v>
      </c>
      <c r="D1225" s="18" t="s">
        <v>104</v>
      </c>
      <c r="E1225" s="18">
        <v>7.68</v>
      </c>
      <c r="F1225" s="18">
        <v>15.36</v>
      </c>
      <c r="G1225" s="18">
        <v>0</v>
      </c>
      <c r="H1225" s="18">
        <v>23.04</v>
      </c>
      <c r="L1225" s="20" t="str">
        <f t="shared" si="38"/>
        <v>N/A</v>
      </c>
      <c r="M1225" s="20" t="str">
        <f t="shared" si="39"/>
        <v>N/A</v>
      </c>
    </row>
    <row r="1226" spans="1:13">
      <c r="A1226" s="18" t="s">
        <v>22</v>
      </c>
      <c r="B1226" s="18" t="s">
        <v>365</v>
      </c>
      <c r="C1226" s="18" t="s">
        <v>265</v>
      </c>
      <c r="D1226" s="18" t="s">
        <v>359</v>
      </c>
      <c r="E1226" s="18">
        <v>362.31</v>
      </c>
      <c r="F1226" s="18">
        <v>3.43</v>
      </c>
      <c r="G1226" s="18">
        <v>0</v>
      </c>
      <c r="H1226" s="18">
        <v>365.74</v>
      </c>
      <c r="L1226" s="20" t="str">
        <f t="shared" si="38"/>
        <v>N/A</v>
      </c>
      <c r="M1226" s="20" t="str">
        <f t="shared" si="39"/>
        <v>N/A</v>
      </c>
    </row>
    <row r="1227" spans="1:13">
      <c r="A1227" s="18" t="s">
        <v>22</v>
      </c>
      <c r="B1227" s="18" t="s">
        <v>365</v>
      </c>
      <c r="C1227" s="18" t="s">
        <v>265</v>
      </c>
      <c r="D1227" s="18" t="s">
        <v>113</v>
      </c>
      <c r="E1227" s="18">
        <v>493.16</v>
      </c>
      <c r="F1227" s="18">
        <v>135.06</v>
      </c>
      <c r="G1227" s="18">
        <v>0</v>
      </c>
      <c r="H1227" s="18">
        <v>628.22</v>
      </c>
      <c r="L1227" s="20" t="str">
        <f t="shared" si="38"/>
        <v>N/A</v>
      </c>
      <c r="M1227" s="20" t="str">
        <f t="shared" si="39"/>
        <v>N/A</v>
      </c>
    </row>
    <row r="1228" spans="1:13">
      <c r="A1228" s="18" t="s">
        <v>22</v>
      </c>
      <c r="B1228" s="18" t="s">
        <v>365</v>
      </c>
      <c r="C1228" s="18" t="s">
        <v>265</v>
      </c>
      <c r="D1228" s="18" t="s">
        <v>150</v>
      </c>
      <c r="E1228" s="18">
        <v>153.6</v>
      </c>
      <c r="F1228" s="18">
        <v>9.27</v>
      </c>
      <c r="G1228" s="18">
        <v>0</v>
      </c>
      <c r="H1228" s="18">
        <v>162.87</v>
      </c>
      <c r="L1228" s="20" t="str">
        <f t="shared" si="38"/>
        <v>N/A</v>
      </c>
      <c r="M1228" s="20" t="str">
        <f t="shared" si="39"/>
        <v>N/A</v>
      </c>
    </row>
    <row r="1229" spans="1:13">
      <c r="A1229" s="18" t="s">
        <v>22</v>
      </c>
      <c r="B1229" s="18" t="s">
        <v>365</v>
      </c>
      <c r="C1229" s="18" t="s">
        <v>265</v>
      </c>
      <c r="D1229" s="18" t="s">
        <v>120</v>
      </c>
      <c r="E1229" s="18">
        <v>0.23</v>
      </c>
      <c r="F1229" s="18">
        <v>0</v>
      </c>
      <c r="G1229" s="18">
        <v>0</v>
      </c>
      <c r="H1229" s="18">
        <v>0.23</v>
      </c>
      <c r="L1229" s="20" t="str">
        <f t="shared" si="38"/>
        <v>N/A</v>
      </c>
      <c r="M1229" s="20" t="str">
        <f t="shared" si="39"/>
        <v>N/A</v>
      </c>
    </row>
    <row r="1230" spans="1:13">
      <c r="A1230" s="18" t="s">
        <v>22</v>
      </c>
      <c r="B1230" s="18" t="s">
        <v>365</v>
      </c>
      <c r="C1230" s="18" t="s">
        <v>265</v>
      </c>
      <c r="D1230" s="18" t="s">
        <v>123</v>
      </c>
      <c r="E1230" s="18">
        <v>143.85</v>
      </c>
      <c r="F1230" s="18">
        <v>73.209999999999994</v>
      </c>
      <c r="G1230" s="18">
        <v>0</v>
      </c>
      <c r="H1230" s="18">
        <v>217.06</v>
      </c>
      <c r="L1230" s="20" t="str">
        <f t="shared" si="38"/>
        <v>N/A</v>
      </c>
      <c r="M1230" s="20" t="str">
        <f t="shared" si="39"/>
        <v>N/A</v>
      </c>
    </row>
    <row r="1231" spans="1:13">
      <c r="A1231" s="18" t="s">
        <v>22</v>
      </c>
      <c r="B1231" s="18" t="s">
        <v>365</v>
      </c>
      <c r="C1231" s="18" t="s">
        <v>265</v>
      </c>
      <c r="D1231" s="18" t="s">
        <v>126</v>
      </c>
      <c r="E1231" s="18">
        <v>21.42</v>
      </c>
      <c r="F1231" s="18">
        <v>4.13</v>
      </c>
      <c r="G1231" s="18">
        <v>0</v>
      </c>
      <c r="H1231" s="18">
        <v>25.55</v>
      </c>
      <c r="L1231" s="20" t="str">
        <f t="shared" si="38"/>
        <v>N/A</v>
      </c>
      <c r="M1231" s="20" t="str">
        <f t="shared" si="39"/>
        <v>N/A</v>
      </c>
    </row>
    <row r="1232" spans="1:13">
      <c r="A1232" s="18" t="s">
        <v>22</v>
      </c>
      <c r="B1232" s="18" t="s">
        <v>365</v>
      </c>
      <c r="C1232" s="18" t="s">
        <v>265</v>
      </c>
      <c r="D1232" s="18" t="s">
        <v>129</v>
      </c>
      <c r="E1232" s="18">
        <v>20</v>
      </c>
      <c r="F1232" s="18">
        <v>5.69</v>
      </c>
      <c r="G1232" s="18">
        <v>0</v>
      </c>
      <c r="H1232" s="18">
        <v>25.69</v>
      </c>
      <c r="L1232" s="20" t="str">
        <f t="shared" si="38"/>
        <v>N/A</v>
      </c>
      <c r="M1232" s="20" t="str">
        <f t="shared" si="39"/>
        <v>N/A</v>
      </c>
    </row>
    <row r="1233" spans="1:13">
      <c r="A1233" s="18" t="s">
        <v>22</v>
      </c>
      <c r="B1233" s="18" t="s">
        <v>365</v>
      </c>
      <c r="C1233" s="18" t="s">
        <v>265</v>
      </c>
      <c r="D1233" s="18" t="s">
        <v>131</v>
      </c>
      <c r="E1233" s="18">
        <v>50.79</v>
      </c>
      <c r="F1233" s="18">
        <v>36.26</v>
      </c>
      <c r="G1233" s="18">
        <v>0</v>
      </c>
      <c r="H1233" s="18">
        <v>87.05</v>
      </c>
      <c r="L1233" s="20" t="str">
        <f t="shared" si="38"/>
        <v>N/A</v>
      </c>
      <c r="M1233" s="20" t="str">
        <f t="shared" si="39"/>
        <v>N/A</v>
      </c>
    </row>
    <row r="1234" spans="1:13">
      <c r="A1234" s="18" t="s">
        <v>22</v>
      </c>
      <c r="B1234" s="18" t="s">
        <v>365</v>
      </c>
      <c r="C1234" s="18" t="s">
        <v>265</v>
      </c>
      <c r="D1234" s="18" t="s">
        <v>162</v>
      </c>
      <c r="E1234" s="18">
        <v>0</v>
      </c>
      <c r="F1234" s="18">
        <v>0</v>
      </c>
      <c r="G1234" s="18">
        <v>0</v>
      </c>
      <c r="H1234" s="18">
        <v>0</v>
      </c>
      <c r="L1234" s="20" t="str">
        <f t="shared" si="38"/>
        <v>N/A</v>
      </c>
      <c r="M1234" s="20" t="str">
        <f t="shared" si="39"/>
        <v>N/A</v>
      </c>
    </row>
    <row r="1235" spans="1:13">
      <c r="A1235" s="18" t="s">
        <v>22</v>
      </c>
      <c r="B1235" s="18" t="s">
        <v>365</v>
      </c>
      <c r="C1235" s="18" t="s">
        <v>265</v>
      </c>
      <c r="D1235" s="18" t="s">
        <v>134</v>
      </c>
      <c r="E1235" s="18">
        <v>3.65</v>
      </c>
      <c r="F1235" s="18">
        <v>4.5599999999999996</v>
      </c>
      <c r="G1235" s="18">
        <v>0</v>
      </c>
      <c r="H1235" s="18">
        <v>8.2100000000000009</v>
      </c>
      <c r="L1235" s="20" t="str">
        <f t="shared" si="38"/>
        <v>N/A</v>
      </c>
      <c r="M1235" s="20" t="str">
        <f t="shared" si="39"/>
        <v>N/A</v>
      </c>
    </row>
    <row r="1236" spans="1:13">
      <c r="A1236" s="18" t="s">
        <v>22</v>
      </c>
      <c r="B1236" s="18" t="s">
        <v>365</v>
      </c>
      <c r="C1236" s="18" t="s">
        <v>265</v>
      </c>
      <c r="D1236" s="18" t="s">
        <v>139</v>
      </c>
      <c r="E1236" s="18">
        <v>15.02</v>
      </c>
      <c r="F1236" s="18">
        <v>7.51</v>
      </c>
      <c r="G1236" s="18">
        <v>0</v>
      </c>
      <c r="H1236" s="18">
        <v>22.53</v>
      </c>
      <c r="L1236" s="20" t="str">
        <f t="shared" si="38"/>
        <v>N/A</v>
      </c>
      <c r="M1236" s="20" t="str">
        <f t="shared" si="39"/>
        <v>N/A</v>
      </c>
    </row>
    <row r="1237" spans="1:13">
      <c r="A1237" s="18" t="s">
        <v>22</v>
      </c>
      <c r="B1237" s="18" t="s">
        <v>365</v>
      </c>
      <c r="C1237" s="18" t="s">
        <v>265</v>
      </c>
      <c r="D1237" s="18" t="s">
        <v>142</v>
      </c>
      <c r="E1237" s="18">
        <v>12.42</v>
      </c>
      <c r="F1237" s="18">
        <v>7.34</v>
      </c>
      <c r="G1237" s="18">
        <v>0</v>
      </c>
      <c r="H1237" s="18">
        <v>19.760000000000002</v>
      </c>
      <c r="L1237" s="20" t="str">
        <f t="shared" si="38"/>
        <v>N/A</v>
      </c>
      <c r="M1237" s="20" t="str">
        <f t="shared" si="39"/>
        <v>N/A</v>
      </c>
    </row>
    <row r="1238" spans="1:13">
      <c r="A1238" s="18" t="s">
        <v>22</v>
      </c>
      <c r="B1238" s="18" t="s">
        <v>365</v>
      </c>
      <c r="C1238" s="18" t="s">
        <v>265</v>
      </c>
      <c r="D1238" s="18" t="s">
        <v>163</v>
      </c>
      <c r="E1238" s="18">
        <v>0</v>
      </c>
      <c r="F1238" s="18">
        <v>0</v>
      </c>
      <c r="G1238" s="18">
        <v>0</v>
      </c>
      <c r="H1238" s="18">
        <v>0</v>
      </c>
      <c r="L1238" s="20" t="str">
        <f t="shared" si="38"/>
        <v>N/A</v>
      </c>
      <c r="M1238" s="20" t="str">
        <f t="shared" si="39"/>
        <v>N/A</v>
      </c>
    </row>
    <row r="1239" spans="1:13">
      <c r="A1239" s="18" t="s">
        <v>22</v>
      </c>
      <c r="B1239" s="18" t="s">
        <v>365</v>
      </c>
      <c r="C1239" s="18" t="s">
        <v>267</v>
      </c>
      <c r="D1239" s="18" t="s">
        <v>87</v>
      </c>
      <c r="E1239" s="18">
        <v>247.95</v>
      </c>
      <c r="F1239" s="18">
        <v>8305.76</v>
      </c>
      <c r="G1239" s="18">
        <v>1073.3699999999999</v>
      </c>
      <c r="H1239" s="18">
        <v>7480.34</v>
      </c>
      <c r="L1239" s="20" t="str">
        <f t="shared" si="38"/>
        <v>Asset</v>
      </c>
      <c r="M1239" s="20" t="str">
        <f t="shared" si="39"/>
        <v>okay</v>
      </c>
    </row>
    <row r="1240" spans="1:13">
      <c r="A1240" s="18" t="s">
        <v>22</v>
      </c>
      <c r="B1240" s="18" t="s">
        <v>365</v>
      </c>
      <c r="C1240" s="18" t="s">
        <v>267</v>
      </c>
      <c r="D1240" s="18" t="s">
        <v>97</v>
      </c>
      <c r="E1240" s="18">
        <v>4068958.53</v>
      </c>
      <c r="F1240" s="18">
        <v>0</v>
      </c>
      <c r="G1240" s="18">
        <v>0</v>
      </c>
      <c r="H1240" s="18">
        <v>4068958.53</v>
      </c>
      <c r="L1240" s="20" t="str">
        <f t="shared" si="38"/>
        <v>Asset</v>
      </c>
      <c r="M1240" s="20" t="str">
        <f t="shared" si="39"/>
        <v>okay</v>
      </c>
    </row>
    <row r="1241" spans="1:13">
      <c r="A1241" s="18" t="s">
        <v>22</v>
      </c>
      <c r="B1241" s="18" t="s">
        <v>365</v>
      </c>
      <c r="C1241" s="18" t="s">
        <v>267</v>
      </c>
      <c r="D1241" s="18" t="s">
        <v>105</v>
      </c>
      <c r="E1241" s="18">
        <v>1266588.93</v>
      </c>
      <c r="F1241" s="18">
        <v>59444.18</v>
      </c>
      <c r="G1241" s="18">
        <v>0</v>
      </c>
      <c r="H1241" s="18">
        <v>1326033.1100000001</v>
      </c>
      <c r="L1241" s="20" t="str">
        <f t="shared" si="38"/>
        <v>Asset</v>
      </c>
      <c r="M1241" s="20" t="str">
        <f t="shared" si="39"/>
        <v>okay</v>
      </c>
    </row>
    <row r="1242" spans="1:13">
      <c r="A1242" s="18" t="s">
        <v>22</v>
      </c>
      <c r="B1242" s="18" t="s">
        <v>365</v>
      </c>
      <c r="C1242" s="18" t="s">
        <v>267</v>
      </c>
      <c r="D1242" s="18" t="s">
        <v>108</v>
      </c>
      <c r="E1242" s="18">
        <v>0</v>
      </c>
      <c r="F1242" s="18">
        <v>0</v>
      </c>
      <c r="G1242" s="18">
        <v>0</v>
      </c>
      <c r="H1242" s="18">
        <v>0</v>
      </c>
      <c r="L1242" s="20" t="str">
        <f t="shared" si="38"/>
        <v>Asset</v>
      </c>
      <c r="M1242" s="20" t="str">
        <f t="shared" si="39"/>
        <v>okay</v>
      </c>
    </row>
    <row r="1243" spans="1:13">
      <c r="A1243" s="18" t="s">
        <v>22</v>
      </c>
      <c r="B1243" s="18" t="s">
        <v>365</v>
      </c>
      <c r="C1243" s="18" t="s">
        <v>267</v>
      </c>
      <c r="D1243" s="18" t="s">
        <v>116</v>
      </c>
      <c r="E1243" s="18">
        <v>-50.74</v>
      </c>
      <c r="F1243" s="18">
        <v>0</v>
      </c>
      <c r="G1243" s="18">
        <v>0</v>
      </c>
      <c r="H1243" s="18">
        <v>-50.74</v>
      </c>
      <c r="L1243" s="20" t="str">
        <f t="shared" si="38"/>
        <v>N/A</v>
      </c>
      <c r="M1243" s="20" t="str">
        <f t="shared" si="39"/>
        <v>N/A</v>
      </c>
    </row>
    <row r="1244" spans="1:13">
      <c r="A1244" s="18" t="s">
        <v>22</v>
      </c>
      <c r="B1244" s="18" t="s">
        <v>365</v>
      </c>
      <c r="C1244" s="18" t="s">
        <v>267</v>
      </c>
      <c r="D1244" s="18" t="s">
        <v>121</v>
      </c>
      <c r="E1244" s="18">
        <v>-111.28</v>
      </c>
      <c r="F1244" s="18">
        <v>74.19</v>
      </c>
      <c r="G1244" s="18">
        <v>18.55</v>
      </c>
      <c r="H1244" s="18">
        <v>-55.64</v>
      </c>
      <c r="L1244" s="20" t="str">
        <f t="shared" si="38"/>
        <v>N/A</v>
      </c>
      <c r="M1244" s="20" t="str">
        <f t="shared" si="39"/>
        <v>N/A</v>
      </c>
    </row>
    <row r="1245" spans="1:13">
      <c r="A1245" s="18" t="s">
        <v>22</v>
      </c>
      <c r="B1245" s="18" t="s">
        <v>365</v>
      </c>
      <c r="C1245" s="18" t="s">
        <v>267</v>
      </c>
      <c r="D1245" s="18" t="s">
        <v>124</v>
      </c>
      <c r="E1245" s="18">
        <v>-22.74</v>
      </c>
      <c r="F1245" s="18">
        <v>0</v>
      </c>
      <c r="G1245" s="18">
        <v>14.15</v>
      </c>
      <c r="H1245" s="18">
        <v>-36.89</v>
      </c>
      <c r="L1245" s="20" t="str">
        <f t="shared" si="38"/>
        <v>N/A</v>
      </c>
      <c r="M1245" s="20" t="str">
        <f t="shared" si="39"/>
        <v>N/A</v>
      </c>
    </row>
    <row r="1246" spans="1:13">
      <c r="A1246" s="18" t="s">
        <v>22</v>
      </c>
      <c r="B1246" s="18" t="s">
        <v>365</v>
      </c>
      <c r="C1246" s="18" t="s">
        <v>267</v>
      </c>
      <c r="D1246" s="18" t="s">
        <v>127</v>
      </c>
      <c r="E1246" s="18">
        <v>0</v>
      </c>
      <c r="F1246" s="18">
        <v>0</v>
      </c>
      <c r="G1246" s="18">
        <v>0</v>
      </c>
      <c r="H1246" s="18">
        <v>0</v>
      </c>
      <c r="L1246" s="20" t="str">
        <f t="shared" si="38"/>
        <v>N/A</v>
      </c>
      <c r="M1246" s="20" t="str">
        <f t="shared" si="39"/>
        <v>N/A</v>
      </c>
    </row>
    <row r="1247" spans="1:13">
      <c r="A1247" s="18" t="s">
        <v>22</v>
      </c>
      <c r="B1247" s="18" t="s">
        <v>365</v>
      </c>
      <c r="C1247" s="18" t="s">
        <v>267</v>
      </c>
      <c r="D1247" s="18" t="s">
        <v>95</v>
      </c>
      <c r="E1247" s="18">
        <v>-5.54</v>
      </c>
      <c r="F1247" s="18">
        <v>1.38</v>
      </c>
      <c r="G1247" s="18">
        <v>4.1500000000000004</v>
      </c>
      <c r="H1247" s="18">
        <v>-8.31</v>
      </c>
      <c r="L1247" s="20" t="str">
        <f t="shared" si="38"/>
        <v>N/A</v>
      </c>
      <c r="M1247" s="20" t="str">
        <f t="shared" si="39"/>
        <v>N/A</v>
      </c>
    </row>
    <row r="1248" spans="1:13">
      <c r="A1248" s="18" t="s">
        <v>22</v>
      </c>
      <c r="B1248" s="18" t="s">
        <v>365</v>
      </c>
      <c r="C1248" s="18" t="s">
        <v>267</v>
      </c>
      <c r="D1248" s="18" t="s">
        <v>132</v>
      </c>
      <c r="E1248" s="18">
        <v>0</v>
      </c>
      <c r="F1248" s="18">
        <v>0</v>
      </c>
      <c r="G1248" s="18">
        <v>0</v>
      </c>
      <c r="H1248" s="18">
        <v>0</v>
      </c>
      <c r="L1248" s="20" t="str">
        <f t="shared" si="38"/>
        <v>N/A</v>
      </c>
      <c r="M1248" s="20" t="str">
        <f t="shared" si="39"/>
        <v>N/A</v>
      </c>
    </row>
    <row r="1249" spans="1:13">
      <c r="A1249" s="18" t="s">
        <v>22</v>
      </c>
      <c r="B1249" s="18" t="s">
        <v>365</v>
      </c>
      <c r="C1249" s="18" t="s">
        <v>267</v>
      </c>
      <c r="D1249" s="18" t="s">
        <v>135</v>
      </c>
      <c r="E1249" s="18">
        <v>-4938271.5999999996</v>
      </c>
      <c r="F1249" s="18">
        <v>0</v>
      </c>
      <c r="G1249" s="18">
        <v>0</v>
      </c>
      <c r="H1249" s="18">
        <v>-4938271.5999999996</v>
      </c>
      <c r="L1249" s="20" t="str">
        <f t="shared" si="38"/>
        <v>N/A</v>
      </c>
      <c r="M1249" s="20" t="str">
        <f t="shared" si="39"/>
        <v>N/A</v>
      </c>
    </row>
    <row r="1250" spans="1:13">
      <c r="A1250" s="18" t="s">
        <v>22</v>
      </c>
      <c r="B1250" s="18" t="s">
        <v>365</v>
      </c>
      <c r="C1250" s="18" t="s">
        <v>267</v>
      </c>
      <c r="D1250" s="18" t="s">
        <v>140</v>
      </c>
      <c r="E1250" s="18">
        <v>-11811.55</v>
      </c>
      <c r="F1250" s="18">
        <v>0</v>
      </c>
      <c r="G1250" s="18">
        <v>8304.5</v>
      </c>
      <c r="H1250" s="18">
        <v>-20116.05</v>
      </c>
      <c r="L1250" s="20" t="str">
        <f t="shared" si="38"/>
        <v>N/A</v>
      </c>
      <c r="M1250" s="20" t="str">
        <f t="shared" si="39"/>
        <v>N/A</v>
      </c>
    </row>
    <row r="1251" spans="1:13">
      <c r="A1251" s="18" t="s">
        <v>22</v>
      </c>
      <c r="B1251" s="18" t="s">
        <v>365</v>
      </c>
      <c r="C1251" s="18" t="s">
        <v>267</v>
      </c>
      <c r="D1251" s="18" t="s">
        <v>143</v>
      </c>
      <c r="E1251" s="18">
        <v>869313.07</v>
      </c>
      <c r="F1251" s="18">
        <v>0</v>
      </c>
      <c r="G1251" s="18">
        <v>0</v>
      </c>
      <c r="H1251" s="18">
        <v>869313.07</v>
      </c>
      <c r="L1251" s="20" t="str">
        <f t="shared" si="38"/>
        <v>N/A</v>
      </c>
      <c r="M1251" s="20" t="str">
        <f t="shared" si="39"/>
        <v>N/A</v>
      </c>
    </row>
    <row r="1252" spans="1:13">
      <c r="A1252" s="18" t="s">
        <v>22</v>
      </c>
      <c r="B1252" s="18" t="s">
        <v>365</v>
      </c>
      <c r="C1252" s="18" t="s">
        <v>267</v>
      </c>
      <c r="D1252" s="18" t="s">
        <v>146</v>
      </c>
      <c r="E1252" s="18">
        <v>110157.91</v>
      </c>
      <c r="F1252" s="18">
        <v>0</v>
      </c>
      <c r="G1252" s="18">
        <v>0</v>
      </c>
      <c r="H1252" s="18">
        <v>110157.91</v>
      </c>
      <c r="L1252" s="20" t="str">
        <f t="shared" si="38"/>
        <v>N/A</v>
      </c>
      <c r="M1252" s="20" t="str">
        <f t="shared" si="39"/>
        <v>N/A</v>
      </c>
    </row>
    <row r="1253" spans="1:13">
      <c r="A1253" s="18" t="s">
        <v>22</v>
      </c>
      <c r="B1253" s="18" t="s">
        <v>365</v>
      </c>
      <c r="C1253" s="18" t="s">
        <v>267</v>
      </c>
      <c r="D1253" s="18" t="s">
        <v>147</v>
      </c>
      <c r="E1253" s="18">
        <v>-960424.63</v>
      </c>
      <c r="F1253" s="18">
        <v>0</v>
      </c>
      <c r="G1253" s="18">
        <v>0</v>
      </c>
      <c r="H1253" s="18">
        <v>-960424.63</v>
      </c>
      <c r="L1253" s="20" t="str">
        <f t="shared" si="38"/>
        <v>N/A</v>
      </c>
      <c r="M1253" s="20" t="str">
        <f t="shared" si="39"/>
        <v>N/A</v>
      </c>
    </row>
    <row r="1254" spans="1:13">
      <c r="A1254" s="18" t="s">
        <v>22</v>
      </c>
      <c r="B1254" s="18" t="s">
        <v>365</v>
      </c>
      <c r="C1254" s="18" t="s">
        <v>267</v>
      </c>
      <c r="D1254" s="18" t="s">
        <v>153</v>
      </c>
      <c r="E1254" s="18">
        <v>0</v>
      </c>
      <c r="F1254" s="18">
        <v>0</v>
      </c>
      <c r="G1254" s="18">
        <v>0</v>
      </c>
      <c r="H1254" s="18">
        <v>0</v>
      </c>
      <c r="L1254" s="20" t="str">
        <f t="shared" si="38"/>
        <v>N/A</v>
      </c>
      <c r="M1254" s="20" t="str">
        <f t="shared" si="39"/>
        <v>N/A</v>
      </c>
    </row>
    <row r="1255" spans="1:13">
      <c r="A1255" s="18" t="s">
        <v>22</v>
      </c>
      <c r="B1255" s="18" t="s">
        <v>365</v>
      </c>
      <c r="C1255" s="18" t="s">
        <v>267</v>
      </c>
      <c r="D1255" s="18" t="s">
        <v>155</v>
      </c>
      <c r="E1255" s="18">
        <v>0</v>
      </c>
      <c r="F1255" s="18">
        <v>0</v>
      </c>
      <c r="G1255" s="18">
        <v>0</v>
      </c>
      <c r="H1255" s="18">
        <v>0</v>
      </c>
      <c r="L1255" s="20" t="str">
        <f t="shared" si="38"/>
        <v>N/A</v>
      </c>
      <c r="M1255" s="20" t="str">
        <f t="shared" si="39"/>
        <v>N/A</v>
      </c>
    </row>
    <row r="1256" spans="1:13">
      <c r="A1256" s="18" t="s">
        <v>22</v>
      </c>
      <c r="B1256" s="18" t="s">
        <v>365</v>
      </c>
      <c r="C1256" s="18" t="s">
        <v>267</v>
      </c>
      <c r="D1256" s="18" t="s">
        <v>156</v>
      </c>
      <c r="E1256" s="18">
        <v>-43.5</v>
      </c>
      <c r="F1256" s="18">
        <v>0</v>
      </c>
      <c r="G1256" s="18">
        <v>1.26</v>
      </c>
      <c r="H1256" s="18">
        <v>-44.76</v>
      </c>
      <c r="L1256" s="20" t="str">
        <f t="shared" si="38"/>
        <v>N/A</v>
      </c>
      <c r="M1256" s="20" t="str">
        <f t="shared" si="39"/>
        <v>N/A</v>
      </c>
    </row>
    <row r="1257" spans="1:13">
      <c r="A1257" s="18" t="s">
        <v>22</v>
      </c>
      <c r="B1257" s="18" t="s">
        <v>365</v>
      </c>
      <c r="C1257" s="18" t="s">
        <v>267</v>
      </c>
      <c r="D1257" s="18" t="s">
        <v>157</v>
      </c>
      <c r="E1257" s="18">
        <v>-407703.81</v>
      </c>
      <c r="F1257" s="18">
        <v>0</v>
      </c>
      <c r="G1257" s="18">
        <v>59444.18</v>
      </c>
      <c r="H1257" s="18">
        <v>-467147.99</v>
      </c>
      <c r="L1257" s="20" t="str">
        <f t="shared" si="38"/>
        <v>N/A</v>
      </c>
      <c r="M1257" s="20" t="str">
        <f t="shared" si="39"/>
        <v>N/A</v>
      </c>
    </row>
    <row r="1258" spans="1:13">
      <c r="A1258" s="18" t="s">
        <v>22</v>
      </c>
      <c r="B1258" s="18" t="s">
        <v>365</v>
      </c>
      <c r="C1258" s="18" t="s">
        <v>267</v>
      </c>
      <c r="D1258" s="18" t="s">
        <v>145</v>
      </c>
      <c r="E1258" s="18">
        <v>0</v>
      </c>
      <c r="F1258" s="18">
        <v>285.27</v>
      </c>
      <c r="G1258" s="18">
        <v>0</v>
      </c>
      <c r="H1258" s="18">
        <v>285.27</v>
      </c>
      <c r="L1258" s="20" t="str">
        <f t="shared" si="38"/>
        <v>N/A</v>
      </c>
      <c r="M1258" s="20" t="str">
        <f t="shared" si="39"/>
        <v>N/A</v>
      </c>
    </row>
    <row r="1259" spans="1:13">
      <c r="A1259" s="18" t="s">
        <v>22</v>
      </c>
      <c r="B1259" s="18" t="s">
        <v>365</v>
      </c>
      <c r="C1259" s="18" t="s">
        <v>267</v>
      </c>
      <c r="D1259" s="18" t="s">
        <v>96</v>
      </c>
      <c r="E1259" s="18">
        <v>8.3000000000000007</v>
      </c>
      <c r="F1259" s="18">
        <v>4.1500000000000004</v>
      </c>
      <c r="G1259" s="18">
        <v>0</v>
      </c>
      <c r="H1259" s="18">
        <v>12.45</v>
      </c>
      <c r="L1259" s="20" t="str">
        <f t="shared" si="38"/>
        <v>N/A</v>
      </c>
      <c r="M1259" s="20" t="str">
        <f t="shared" si="39"/>
        <v>N/A</v>
      </c>
    </row>
    <row r="1260" spans="1:13">
      <c r="A1260" s="18" t="s">
        <v>22</v>
      </c>
      <c r="B1260" s="18" t="s">
        <v>365</v>
      </c>
      <c r="C1260" s="18" t="s">
        <v>267</v>
      </c>
      <c r="D1260" s="18" t="s">
        <v>104</v>
      </c>
      <c r="E1260" s="18">
        <v>18.96</v>
      </c>
      <c r="F1260" s="18">
        <v>37.93</v>
      </c>
      <c r="G1260" s="18">
        <v>0</v>
      </c>
      <c r="H1260" s="18">
        <v>56.89</v>
      </c>
      <c r="L1260" s="20" t="str">
        <f t="shared" si="38"/>
        <v>N/A</v>
      </c>
      <c r="M1260" s="20" t="str">
        <f t="shared" si="39"/>
        <v>N/A</v>
      </c>
    </row>
    <row r="1261" spans="1:13">
      <c r="A1261" s="18" t="s">
        <v>22</v>
      </c>
      <c r="B1261" s="18" t="s">
        <v>365</v>
      </c>
      <c r="C1261" s="18" t="s">
        <v>267</v>
      </c>
      <c r="D1261" s="18" t="s">
        <v>359</v>
      </c>
      <c r="E1261" s="18">
        <v>894.58</v>
      </c>
      <c r="F1261" s="18">
        <v>8.4700000000000006</v>
      </c>
      <c r="G1261" s="18">
        <v>0</v>
      </c>
      <c r="H1261" s="18">
        <v>903.05</v>
      </c>
      <c r="L1261" s="20" t="str">
        <f t="shared" si="38"/>
        <v>N/A</v>
      </c>
      <c r="M1261" s="20" t="str">
        <f t="shared" si="39"/>
        <v>N/A</v>
      </c>
    </row>
    <row r="1262" spans="1:13">
      <c r="A1262" s="18" t="s">
        <v>22</v>
      </c>
      <c r="B1262" s="18" t="s">
        <v>365</v>
      </c>
      <c r="C1262" s="18" t="s">
        <v>267</v>
      </c>
      <c r="D1262" s="18" t="s">
        <v>113</v>
      </c>
      <c r="E1262" s="18">
        <v>1217.69</v>
      </c>
      <c r="F1262" s="18">
        <v>333.49</v>
      </c>
      <c r="G1262" s="18">
        <v>0</v>
      </c>
      <c r="H1262" s="18">
        <v>1551.18</v>
      </c>
      <c r="L1262" s="20" t="str">
        <f t="shared" si="38"/>
        <v>N/A</v>
      </c>
      <c r="M1262" s="20" t="str">
        <f t="shared" si="39"/>
        <v>N/A</v>
      </c>
    </row>
    <row r="1263" spans="1:13">
      <c r="A1263" s="18" t="s">
        <v>22</v>
      </c>
      <c r="B1263" s="18" t="s">
        <v>365</v>
      </c>
      <c r="C1263" s="18" t="s">
        <v>267</v>
      </c>
      <c r="D1263" s="18" t="s">
        <v>150</v>
      </c>
      <c r="E1263" s="18">
        <v>379.27</v>
      </c>
      <c r="F1263" s="18">
        <v>22.9</v>
      </c>
      <c r="G1263" s="18">
        <v>0</v>
      </c>
      <c r="H1263" s="18">
        <v>402.17</v>
      </c>
      <c r="L1263" s="20" t="str">
        <f t="shared" si="38"/>
        <v>N/A</v>
      </c>
      <c r="M1263" s="20" t="str">
        <f t="shared" si="39"/>
        <v>N/A</v>
      </c>
    </row>
    <row r="1264" spans="1:13">
      <c r="A1264" s="18" t="s">
        <v>22</v>
      </c>
      <c r="B1264" s="18" t="s">
        <v>365</v>
      </c>
      <c r="C1264" s="18" t="s">
        <v>267</v>
      </c>
      <c r="D1264" s="18" t="s">
        <v>120</v>
      </c>
      <c r="E1264" s="18">
        <v>0.56999999999999995</v>
      </c>
      <c r="F1264" s="18">
        <v>0</v>
      </c>
      <c r="G1264" s="18">
        <v>0</v>
      </c>
      <c r="H1264" s="18">
        <v>0.56999999999999995</v>
      </c>
      <c r="L1264" s="20" t="str">
        <f t="shared" si="38"/>
        <v>N/A</v>
      </c>
      <c r="M1264" s="20" t="str">
        <f t="shared" si="39"/>
        <v>N/A</v>
      </c>
    </row>
    <row r="1265" spans="1:13">
      <c r="A1265" s="18" t="s">
        <v>22</v>
      </c>
      <c r="B1265" s="18" t="s">
        <v>365</v>
      </c>
      <c r="C1265" s="18" t="s">
        <v>267</v>
      </c>
      <c r="D1265" s="18" t="s">
        <v>123</v>
      </c>
      <c r="E1265" s="18">
        <v>355.2</v>
      </c>
      <c r="F1265" s="18">
        <v>180.77</v>
      </c>
      <c r="G1265" s="18">
        <v>0</v>
      </c>
      <c r="H1265" s="18">
        <v>535.97</v>
      </c>
      <c r="L1265" s="20" t="str">
        <f t="shared" si="38"/>
        <v>N/A</v>
      </c>
      <c r="M1265" s="20" t="str">
        <f t="shared" si="39"/>
        <v>N/A</v>
      </c>
    </row>
    <row r="1266" spans="1:13">
      <c r="A1266" s="18" t="s">
        <v>22</v>
      </c>
      <c r="B1266" s="18" t="s">
        <v>365</v>
      </c>
      <c r="C1266" s="18" t="s">
        <v>267</v>
      </c>
      <c r="D1266" s="18" t="s">
        <v>126</v>
      </c>
      <c r="E1266" s="18">
        <v>52.88</v>
      </c>
      <c r="F1266" s="18">
        <v>10.19</v>
      </c>
      <c r="G1266" s="18">
        <v>0</v>
      </c>
      <c r="H1266" s="18">
        <v>63.07</v>
      </c>
      <c r="L1266" s="20" t="str">
        <f t="shared" si="38"/>
        <v>N/A</v>
      </c>
      <c r="M1266" s="20" t="str">
        <f t="shared" si="39"/>
        <v>N/A</v>
      </c>
    </row>
    <row r="1267" spans="1:13">
      <c r="A1267" s="18" t="s">
        <v>22</v>
      </c>
      <c r="B1267" s="18" t="s">
        <v>365</v>
      </c>
      <c r="C1267" s="18" t="s">
        <v>267</v>
      </c>
      <c r="D1267" s="18" t="s">
        <v>129</v>
      </c>
      <c r="E1267" s="18">
        <v>49.38</v>
      </c>
      <c r="F1267" s="18">
        <v>14.05</v>
      </c>
      <c r="G1267" s="18">
        <v>0</v>
      </c>
      <c r="H1267" s="18">
        <v>63.43</v>
      </c>
      <c r="L1267" s="20" t="str">
        <f t="shared" si="38"/>
        <v>N/A</v>
      </c>
      <c r="M1267" s="20" t="str">
        <f t="shared" si="39"/>
        <v>N/A</v>
      </c>
    </row>
    <row r="1268" spans="1:13">
      <c r="A1268" s="18" t="s">
        <v>22</v>
      </c>
      <c r="B1268" s="18" t="s">
        <v>365</v>
      </c>
      <c r="C1268" s="18" t="s">
        <v>267</v>
      </c>
      <c r="D1268" s="18" t="s">
        <v>131</v>
      </c>
      <c r="E1268" s="18">
        <v>125.4</v>
      </c>
      <c r="F1268" s="18">
        <v>89.51</v>
      </c>
      <c r="G1268" s="18">
        <v>0</v>
      </c>
      <c r="H1268" s="18">
        <v>214.91</v>
      </c>
      <c r="L1268" s="20" t="str">
        <f t="shared" si="38"/>
        <v>N/A</v>
      </c>
      <c r="M1268" s="20" t="str">
        <f t="shared" si="39"/>
        <v>N/A</v>
      </c>
    </row>
    <row r="1269" spans="1:13">
      <c r="A1269" s="18" t="s">
        <v>22</v>
      </c>
      <c r="B1269" s="18" t="s">
        <v>365</v>
      </c>
      <c r="C1269" s="18" t="s">
        <v>267</v>
      </c>
      <c r="D1269" s="18" t="s">
        <v>162</v>
      </c>
      <c r="E1269" s="18">
        <v>0</v>
      </c>
      <c r="F1269" s="18">
        <v>0</v>
      </c>
      <c r="G1269" s="18">
        <v>0</v>
      </c>
      <c r="H1269" s="18">
        <v>0</v>
      </c>
      <c r="L1269" s="20" t="str">
        <f t="shared" si="38"/>
        <v>N/A</v>
      </c>
      <c r="M1269" s="20" t="str">
        <f t="shared" si="39"/>
        <v>N/A</v>
      </c>
    </row>
    <row r="1270" spans="1:13">
      <c r="A1270" s="18" t="s">
        <v>22</v>
      </c>
      <c r="B1270" s="18" t="s">
        <v>365</v>
      </c>
      <c r="C1270" s="18" t="s">
        <v>267</v>
      </c>
      <c r="D1270" s="18" t="s">
        <v>134</v>
      </c>
      <c r="E1270" s="18">
        <v>9</v>
      </c>
      <c r="F1270" s="18">
        <v>11.25</v>
      </c>
      <c r="G1270" s="18">
        <v>0</v>
      </c>
      <c r="H1270" s="18">
        <v>20.25</v>
      </c>
      <c r="L1270" s="20" t="str">
        <f t="shared" si="38"/>
        <v>N/A</v>
      </c>
      <c r="M1270" s="20" t="str">
        <f t="shared" si="39"/>
        <v>N/A</v>
      </c>
    </row>
    <row r="1271" spans="1:13">
      <c r="A1271" s="18" t="s">
        <v>22</v>
      </c>
      <c r="B1271" s="18" t="s">
        <v>365</v>
      </c>
      <c r="C1271" s="18" t="s">
        <v>267</v>
      </c>
      <c r="D1271" s="18" t="s">
        <v>139</v>
      </c>
      <c r="E1271" s="18">
        <v>37.1</v>
      </c>
      <c r="F1271" s="18">
        <v>18.55</v>
      </c>
      <c r="G1271" s="18">
        <v>0</v>
      </c>
      <c r="H1271" s="18">
        <v>55.65</v>
      </c>
      <c r="L1271" s="20" t="str">
        <f t="shared" si="38"/>
        <v>N/A</v>
      </c>
      <c r="M1271" s="20" t="str">
        <f t="shared" si="39"/>
        <v>N/A</v>
      </c>
    </row>
    <row r="1272" spans="1:13">
      <c r="A1272" s="18" t="s">
        <v>22</v>
      </c>
      <c r="B1272" s="18" t="s">
        <v>365</v>
      </c>
      <c r="C1272" s="18" t="s">
        <v>267</v>
      </c>
      <c r="D1272" s="18" t="s">
        <v>142</v>
      </c>
      <c r="E1272" s="18">
        <v>30.67</v>
      </c>
      <c r="F1272" s="18">
        <v>18.12</v>
      </c>
      <c r="G1272" s="18">
        <v>0</v>
      </c>
      <c r="H1272" s="18">
        <v>48.79</v>
      </c>
      <c r="L1272" s="20" t="str">
        <f t="shared" si="38"/>
        <v>N/A</v>
      </c>
      <c r="M1272" s="20" t="str">
        <f t="shared" si="39"/>
        <v>N/A</v>
      </c>
    </row>
    <row r="1273" spans="1:13">
      <c r="A1273" s="18" t="s">
        <v>22</v>
      </c>
      <c r="B1273" s="18" t="s">
        <v>365</v>
      </c>
      <c r="C1273" s="18" t="s">
        <v>267</v>
      </c>
      <c r="D1273" s="18" t="s">
        <v>163</v>
      </c>
      <c r="E1273" s="18">
        <v>0</v>
      </c>
      <c r="F1273" s="18">
        <v>0</v>
      </c>
      <c r="G1273" s="18">
        <v>0</v>
      </c>
      <c r="H1273" s="18">
        <v>0</v>
      </c>
      <c r="L1273" s="20" t="str">
        <f t="shared" si="38"/>
        <v>N/A</v>
      </c>
      <c r="M1273" s="20" t="str">
        <f t="shared" si="39"/>
        <v>N/A</v>
      </c>
    </row>
    <row r="1274" spans="1:13">
      <c r="A1274" s="18" t="s">
        <v>22</v>
      </c>
      <c r="B1274" s="18" t="s">
        <v>365</v>
      </c>
      <c r="C1274" s="18" t="s">
        <v>269</v>
      </c>
      <c r="D1274" s="18" t="s">
        <v>87</v>
      </c>
      <c r="E1274" s="18">
        <v>5020.6499999999996</v>
      </c>
      <c r="F1274" s="18">
        <v>168191.6</v>
      </c>
      <c r="G1274" s="18">
        <v>21735.64</v>
      </c>
      <c r="H1274" s="18">
        <v>151476.60999999999</v>
      </c>
      <c r="L1274" s="20" t="str">
        <f t="shared" si="38"/>
        <v>Asset</v>
      </c>
      <c r="M1274" s="20" t="str">
        <f t="shared" si="39"/>
        <v>okay</v>
      </c>
    </row>
    <row r="1275" spans="1:13">
      <c r="A1275" s="18" t="s">
        <v>22</v>
      </c>
      <c r="B1275" s="18" t="s">
        <v>365</v>
      </c>
      <c r="C1275" s="18" t="s">
        <v>269</v>
      </c>
      <c r="D1275" s="18" t="s">
        <v>97</v>
      </c>
      <c r="E1275" s="18">
        <v>82396410.109999999</v>
      </c>
      <c r="F1275" s="18">
        <v>0</v>
      </c>
      <c r="G1275" s="18">
        <v>0</v>
      </c>
      <c r="H1275" s="18">
        <v>82396410.109999999</v>
      </c>
      <c r="L1275" s="20" t="str">
        <f t="shared" si="38"/>
        <v>Asset</v>
      </c>
      <c r="M1275" s="20" t="str">
        <f t="shared" si="39"/>
        <v>okay</v>
      </c>
    </row>
    <row r="1276" spans="1:13">
      <c r="A1276" s="18" t="s">
        <v>22</v>
      </c>
      <c r="B1276" s="18" t="s">
        <v>365</v>
      </c>
      <c r="C1276" s="18" t="s">
        <v>269</v>
      </c>
      <c r="D1276" s="18" t="s">
        <v>105</v>
      </c>
      <c r="E1276" s="18">
        <v>25648425.800000001</v>
      </c>
      <c r="F1276" s="18">
        <v>1203744.6599999999</v>
      </c>
      <c r="G1276" s="18">
        <v>0</v>
      </c>
      <c r="H1276" s="18">
        <v>26852170.460000001</v>
      </c>
      <c r="L1276" s="20" t="str">
        <f t="shared" si="38"/>
        <v>Asset</v>
      </c>
      <c r="M1276" s="20" t="str">
        <f t="shared" si="39"/>
        <v>okay</v>
      </c>
    </row>
    <row r="1277" spans="1:13">
      <c r="A1277" s="18" t="s">
        <v>22</v>
      </c>
      <c r="B1277" s="18" t="s">
        <v>365</v>
      </c>
      <c r="C1277" s="18" t="s">
        <v>269</v>
      </c>
      <c r="D1277" s="18" t="s">
        <v>108</v>
      </c>
      <c r="E1277" s="18">
        <v>0</v>
      </c>
      <c r="F1277" s="18">
        <v>0</v>
      </c>
      <c r="G1277" s="18">
        <v>0</v>
      </c>
      <c r="H1277" s="18">
        <v>0</v>
      </c>
      <c r="L1277" s="20" t="str">
        <f t="shared" si="38"/>
        <v>Asset</v>
      </c>
      <c r="M1277" s="20" t="str">
        <f t="shared" si="39"/>
        <v>okay</v>
      </c>
    </row>
    <row r="1278" spans="1:13">
      <c r="A1278" s="18" t="s">
        <v>22</v>
      </c>
      <c r="B1278" s="18" t="s">
        <v>365</v>
      </c>
      <c r="C1278" s="18" t="s">
        <v>269</v>
      </c>
      <c r="D1278" s="18" t="s">
        <v>116</v>
      </c>
      <c r="E1278" s="18">
        <v>-1027.0999999999999</v>
      </c>
      <c r="F1278" s="18">
        <v>0</v>
      </c>
      <c r="G1278" s="18">
        <v>0</v>
      </c>
      <c r="H1278" s="18">
        <v>-1027.0999999999999</v>
      </c>
      <c r="L1278" s="20" t="str">
        <f t="shared" si="38"/>
        <v>N/A</v>
      </c>
      <c r="M1278" s="20" t="str">
        <f t="shared" si="39"/>
        <v>N/A</v>
      </c>
    </row>
    <row r="1279" spans="1:13">
      <c r="A1279" s="18" t="s">
        <v>22</v>
      </c>
      <c r="B1279" s="18" t="s">
        <v>365</v>
      </c>
      <c r="C1279" s="18" t="s">
        <v>269</v>
      </c>
      <c r="D1279" s="18" t="s">
        <v>121</v>
      </c>
      <c r="E1279" s="18">
        <v>-2253.42</v>
      </c>
      <c r="F1279" s="18">
        <v>1502.28</v>
      </c>
      <c r="G1279" s="18">
        <v>375.57</v>
      </c>
      <c r="H1279" s="18">
        <v>-1126.71</v>
      </c>
      <c r="L1279" s="20" t="str">
        <f t="shared" si="38"/>
        <v>N/A</v>
      </c>
      <c r="M1279" s="20" t="str">
        <f t="shared" si="39"/>
        <v>N/A</v>
      </c>
    </row>
    <row r="1280" spans="1:13">
      <c r="A1280" s="18" t="s">
        <v>22</v>
      </c>
      <c r="B1280" s="18" t="s">
        <v>365</v>
      </c>
      <c r="C1280" s="18" t="s">
        <v>269</v>
      </c>
      <c r="D1280" s="18" t="s">
        <v>124</v>
      </c>
      <c r="E1280" s="18">
        <v>-460.37</v>
      </c>
      <c r="F1280" s="18">
        <v>0</v>
      </c>
      <c r="G1280" s="18">
        <v>286.5</v>
      </c>
      <c r="H1280" s="18">
        <v>-746.87</v>
      </c>
      <c r="L1280" s="20" t="str">
        <f t="shared" si="38"/>
        <v>N/A</v>
      </c>
      <c r="M1280" s="20" t="str">
        <f t="shared" si="39"/>
        <v>N/A</v>
      </c>
    </row>
    <row r="1281" spans="1:13">
      <c r="A1281" s="18" t="s">
        <v>22</v>
      </c>
      <c r="B1281" s="18" t="s">
        <v>365</v>
      </c>
      <c r="C1281" s="18" t="s">
        <v>269</v>
      </c>
      <c r="D1281" s="18" t="s">
        <v>127</v>
      </c>
      <c r="E1281" s="18">
        <v>0</v>
      </c>
      <c r="F1281" s="18">
        <v>0</v>
      </c>
      <c r="G1281" s="18">
        <v>0</v>
      </c>
      <c r="H1281" s="18">
        <v>0</v>
      </c>
      <c r="L1281" s="20" t="str">
        <f t="shared" si="38"/>
        <v>N/A</v>
      </c>
      <c r="M1281" s="20" t="str">
        <f t="shared" si="39"/>
        <v>N/A</v>
      </c>
    </row>
    <row r="1282" spans="1:13">
      <c r="A1282" s="18" t="s">
        <v>22</v>
      </c>
      <c r="B1282" s="18" t="s">
        <v>365</v>
      </c>
      <c r="C1282" s="18" t="s">
        <v>269</v>
      </c>
      <c r="D1282" s="18" t="s">
        <v>95</v>
      </c>
      <c r="E1282" s="18">
        <v>-112.06</v>
      </c>
      <c r="F1282" s="18">
        <v>28.03</v>
      </c>
      <c r="G1282" s="18">
        <v>84.08</v>
      </c>
      <c r="H1282" s="18">
        <v>-168.11</v>
      </c>
      <c r="L1282" s="20" t="str">
        <f t="shared" si="38"/>
        <v>N/A</v>
      </c>
      <c r="M1282" s="20" t="str">
        <f t="shared" si="39"/>
        <v>N/A</v>
      </c>
    </row>
    <row r="1283" spans="1:13">
      <c r="A1283" s="18" t="s">
        <v>22</v>
      </c>
      <c r="B1283" s="18" t="s">
        <v>365</v>
      </c>
      <c r="C1283" s="18" t="s">
        <v>269</v>
      </c>
      <c r="D1283" s="18" t="s">
        <v>132</v>
      </c>
      <c r="E1283" s="18">
        <v>0</v>
      </c>
      <c r="F1283" s="18">
        <v>0</v>
      </c>
      <c r="G1283" s="18">
        <v>0</v>
      </c>
      <c r="H1283" s="18">
        <v>0</v>
      </c>
      <c r="L1283" s="20" t="str">
        <f t="shared" ref="L1283:L1346" si="40">+IF(LEFT(D1283,1)="1","Asset","N/A")</f>
        <v>N/A</v>
      </c>
      <c r="M1283" s="20" t="str">
        <f t="shared" ref="M1283:M1346" si="41">+IF(L1283="asset",IF(H1283&lt;0,"Provide Comment","okay"),"N/A")</f>
        <v>N/A</v>
      </c>
    </row>
    <row r="1284" spans="1:13">
      <c r="A1284" s="18" t="s">
        <v>22</v>
      </c>
      <c r="B1284" s="18" t="s">
        <v>365</v>
      </c>
      <c r="C1284" s="18" t="s">
        <v>269</v>
      </c>
      <c r="D1284" s="18" t="s">
        <v>135</v>
      </c>
      <c r="E1284" s="18">
        <v>-100000000</v>
      </c>
      <c r="F1284" s="18">
        <v>0</v>
      </c>
      <c r="G1284" s="18">
        <v>0</v>
      </c>
      <c r="H1284" s="18">
        <v>-100000000</v>
      </c>
      <c r="L1284" s="20" t="str">
        <f t="shared" si="40"/>
        <v>N/A</v>
      </c>
      <c r="M1284" s="20" t="str">
        <f t="shared" si="41"/>
        <v>N/A</v>
      </c>
    </row>
    <row r="1285" spans="1:13">
      <c r="A1285" s="18" t="s">
        <v>22</v>
      </c>
      <c r="B1285" s="18" t="s">
        <v>365</v>
      </c>
      <c r="C1285" s="18" t="s">
        <v>269</v>
      </c>
      <c r="D1285" s="18" t="s">
        <v>140</v>
      </c>
      <c r="E1285" s="18">
        <v>-239183.85</v>
      </c>
      <c r="F1285" s="18">
        <v>0</v>
      </c>
      <c r="G1285" s="18">
        <v>168166.09</v>
      </c>
      <c r="H1285" s="18">
        <v>-407349.94</v>
      </c>
      <c r="L1285" s="20" t="str">
        <f t="shared" si="40"/>
        <v>N/A</v>
      </c>
      <c r="M1285" s="20" t="str">
        <f t="shared" si="41"/>
        <v>N/A</v>
      </c>
    </row>
    <row r="1286" spans="1:13">
      <c r="A1286" s="18" t="s">
        <v>22</v>
      </c>
      <c r="B1286" s="18" t="s">
        <v>365</v>
      </c>
      <c r="C1286" s="18" t="s">
        <v>269</v>
      </c>
      <c r="D1286" s="18" t="s">
        <v>143</v>
      </c>
      <c r="E1286" s="18">
        <v>17603589.879999999</v>
      </c>
      <c r="F1286" s="18">
        <v>0</v>
      </c>
      <c r="G1286" s="18">
        <v>0</v>
      </c>
      <c r="H1286" s="18">
        <v>17603589.879999999</v>
      </c>
      <c r="L1286" s="20" t="str">
        <f t="shared" si="40"/>
        <v>N/A</v>
      </c>
      <c r="M1286" s="20" t="str">
        <f t="shared" si="41"/>
        <v>N/A</v>
      </c>
    </row>
    <row r="1287" spans="1:13">
      <c r="A1287" s="18" t="s">
        <v>22</v>
      </c>
      <c r="B1287" s="18" t="s">
        <v>365</v>
      </c>
      <c r="C1287" s="18" t="s">
        <v>269</v>
      </c>
      <c r="D1287" s="18" t="s">
        <v>146</v>
      </c>
      <c r="E1287" s="18">
        <v>2230697.69</v>
      </c>
      <c r="F1287" s="18">
        <v>0</v>
      </c>
      <c r="G1287" s="18">
        <v>0</v>
      </c>
      <c r="H1287" s="18">
        <v>2230697.69</v>
      </c>
      <c r="L1287" s="20" t="str">
        <f t="shared" si="40"/>
        <v>N/A</v>
      </c>
      <c r="M1287" s="20" t="str">
        <f t="shared" si="41"/>
        <v>N/A</v>
      </c>
    </row>
    <row r="1288" spans="1:13">
      <c r="A1288" s="18" t="s">
        <v>22</v>
      </c>
      <c r="B1288" s="18" t="s">
        <v>365</v>
      </c>
      <c r="C1288" s="18" t="s">
        <v>269</v>
      </c>
      <c r="D1288" s="18" t="s">
        <v>147</v>
      </c>
      <c r="E1288" s="18">
        <v>-19448598.719999999</v>
      </c>
      <c r="F1288" s="18">
        <v>0</v>
      </c>
      <c r="G1288" s="18">
        <v>0</v>
      </c>
      <c r="H1288" s="18">
        <v>-19448598.719999999</v>
      </c>
      <c r="L1288" s="20" t="str">
        <f t="shared" si="40"/>
        <v>N/A</v>
      </c>
      <c r="M1288" s="20" t="str">
        <f t="shared" si="41"/>
        <v>N/A</v>
      </c>
    </row>
    <row r="1289" spans="1:13">
      <c r="A1289" s="18" t="s">
        <v>22</v>
      </c>
      <c r="B1289" s="18" t="s">
        <v>365</v>
      </c>
      <c r="C1289" s="18" t="s">
        <v>269</v>
      </c>
      <c r="D1289" s="18" t="s">
        <v>153</v>
      </c>
      <c r="E1289" s="18">
        <v>0</v>
      </c>
      <c r="F1289" s="18">
        <v>0</v>
      </c>
      <c r="G1289" s="18">
        <v>0</v>
      </c>
      <c r="H1289" s="18">
        <v>0</v>
      </c>
      <c r="L1289" s="20" t="str">
        <f t="shared" si="40"/>
        <v>N/A</v>
      </c>
      <c r="M1289" s="20" t="str">
        <f t="shared" si="41"/>
        <v>N/A</v>
      </c>
    </row>
    <row r="1290" spans="1:13">
      <c r="A1290" s="18" t="s">
        <v>22</v>
      </c>
      <c r="B1290" s="18" t="s">
        <v>365</v>
      </c>
      <c r="C1290" s="18" t="s">
        <v>269</v>
      </c>
      <c r="D1290" s="18" t="s">
        <v>155</v>
      </c>
      <c r="E1290" s="18">
        <v>0</v>
      </c>
      <c r="F1290" s="18">
        <v>0</v>
      </c>
      <c r="G1290" s="18">
        <v>0</v>
      </c>
      <c r="H1290" s="18">
        <v>0</v>
      </c>
      <c r="L1290" s="20" t="str">
        <f t="shared" si="40"/>
        <v>N/A</v>
      </c>
      <c r="M1290" s="20" t="str">
        <f t="shared" si="41"/>
        <v>N/A</v>
      </c>
    </row>
    <row r="1291" spans="1:13">
      <c r="A1291" s="18" t="s">
        <v>22</v>
      </c>
      <c r="B1291" s="18" t="s">
        <v>365</v>
      </c>
      <c r="C1291" s="18" t="s">
        <v>269</v>
      </c>
      <c r="D1291" s="18" t="s">
        <v>156</v>
      </c>
      <c r="E1291" s="18">
        <v>-880.84</v>
      </c>
      <c r="F1291" s="18">
        <v>0</v>
      </c>
      <c r="G1291" s="18">
        <v>25.51</v>
      </c>
      <c r="H1291" s="18">
        <v>-906.35</v>
      </c>
      <c r="L1291" s="20" t="str">
        <f t="shared" si="40"/>
        <v>N/A</v>
      </c>
      <c r="M1291" s="20" t="str">
        <f t="shared" si="41"/>
        <v>N/A</v>
      </c>
    </row>
    <row r="1292" spans="1:13">
      <c r="A1292" s="18" t="s">
        <v>22</v>
      </c>
      <c r="B1292" s="18" t="s">
        <v>365</v>
      </c>
      <c r="C1292" s="18" t="s">
        <v>269</v>
      </c>
      <c r="D1292" s="18" t="s">
        <v>157</v>
      </c>
      <c r="E1292" s="18">
        <v>-8256002</v>
      </c>
      <c r="F1292" s="18">
        <v>0</v>
      </c>
      <c r="G1292" s="18">
        <v>1203744.6599999999</v>
      </c>
      <c r="H1292" s="18">
        <v>-9459746.6600000001</v>
      </c>
      <c r="L1292" s="20" t="str">
        <f t="shared" si="40"/>
        <v>N/A</v>
      </c>
      <c r="M1292" s="20" t="str">
        <f t="shared" si="41"/>
        <v>N/A</v>
      </c>
    </row>
    <row r="1293" spans="1:13">
      <c r="A1293" s="18" t="s">
        <v>22</v>
      </c>
      <c r="B1293" s="18" t="s">
        <v>365</v>
      </c>
      <c r="C1293" s="18" t="s">
        <v>269</v>
      </c>
      <c r="D1293" s="18" t="s">
        <v>145</v>
      </c>
      <c r="E1293" s="18">
        <v>0</v>
      </c>
      <c r="F1293" s="18">
        <v>5776.78</v>
      </c>
      <c r="G1293" s="18">
        <v>0</v>
      </c>
      <c r="H1293" s="18">
        <v>5776.78</v>
      </c>
      <c r="L1293" s="20" t="str">
        <f t="shared" si="40"/>
        <v>N/A</v>
      </c>
      <c r="M1293" s="20" t="str">
        <f t="shared" si="41"/>
        <v>N/A</v>
      </c>
    </row>
    <row r="1294" spans="1:13">
      <c r="A1294" s="18" t="s">
        <v>22</v>
      </c>
      <c r="B1294" s="18" t="s">
        <v>365</v>
      </c>
      <c r="C1294" s="18" t="s">
        <v>269</v>
      </c>
      <c r="D1294" s="18" t="s">
        <v>96</v>
      </c>
      <c r="E1294" s="18">
        <v>168.16</v>
      </c>
      <c r="F1294" s="18">
        <v>84.08</v>
      </c>
      <c r="G1294" s="18">
        <v>0</v>
      </c>
      <c r="H1294" s="18">
        <v>252.24</v>
      </c>
      <c r="L1294" s="20" t="str">
        <f t="shared" si="40"/>
        <v>N/A</v>
      </c>
      <c r="M1294" s="20" t="str">
        <f t="shared" si="41"/>
        <v>N/A</v>
      </c>
    </row>
    <row r="1295" spans="1:13">
      <c r="A1295" s="18" t="s">
        <v>22</v>
      </c>
      <c r="B1295" s="18" t="s">
        <v>365</v>
      </c>
      <c r="C1295" s="18" t="s">
        <v>269</v>
      </c>
      <c r="D1295" s="18" t="s">
        <v>104</v>
      </c>
      <c r="E1295" s="18">
        <v>383.97</v>
      </c>
      <c r="F1295" s="18">
        <v>768.07</v>
      </c>
      <c r="G1295" s="18">
        <v>0</v>
      </c>
      <c r="H1295" s="18">
        <v>1152.04</v>
      </c>
      <c r="L1295" s="20" t="str">
        <f t="shared" si="40"/>
        <v>N/A</v>
      </c>
      <c r="M1295" s="20" t="str">
        <f t="shared" si="41"/>
        <v>N/A</v>
      </c>
    </row>
    <row r="1296" spans="1:13">
      <c r="A1296" s="18" t="s">
        <v>22</v>
      </c>
      <c r="B1296" s="18" t="s">
        <v>365</v>
      </c>
      <c r="C1296" s="18" t="s">
        <v>269</v>
      </c>
      <c r="D1296" s="18" t="s">
        <v>359</v>
      </c>
      <c r="E1296" s="18">
        <v>18115.23</v>
      </c>
      <c r="F1296" s="18">
        <v>171.53</v>
      </c>
      <c r="G1296" s="18">
        <v>0</v>
      </c>
      <c r="H1296" s="18">
        <v>18286.759999999998</v>
      </c>
      <c r="L1296" s="20" t="str">
        <f t="shared" si="40"/>
        <v>N/A</v>
      </c>
      <c r="M1296" s="20" t="str">
        <f t="shared" si="41"/>
        <v>N/A</v>
      </c>
    </row>
    <row r="1297" spans="1:13">
      <c r="A1297" s="18" t="s">
        <v>22</v>
      </c>
      <c r="B1297" s="18" t="s">
        <v>365</v>
      </c>
      <c r="C1297" s="18" t="s">
        <v>269</v>
      </c>
      <c r="D1297" s="18" t="s">
        <v>113</v>
      </c>
      <c r="E1297" s="18">
        <v>24658.080000000002</v>
      </c>
      <c r="F1297" s="18">
        <v>6753.21</v>
      </c>
      <c r="G1297" s="18">
        <v>0</v>
      </c>
      <c r="H1297" s="18">
        <v>31411.29</v>
      </c>
      <c r="L1297" s="20" t="str">
        <f t="shared" si="40"/>
        <v>N/A</v>
      </c>
      <c r="M1297" s="20" t="str">
        <f t="shared" si="41"/>
        <v>N/A</v>
      </c>
    </row>
    <row r="1298" spans="1:13">
      <c r="A1298" s="18" t="s">
        <v>22</v>
      </c>
      <c r="B1298" s="18" t="s">
        <v>365</v>
      </c>
      <c r="C1298" s="18" t="s">
        <v>269</v>
      </c>
      <c r="D1298" s="18" t="s">
        <v>150</v>
      </c>
      <c r="E1298" s="18">
        <v>7680.13</v>
      </c>
      <c r="F1298" s="18">
        <v>463.69</v>
      </c>
      <c r="G1298" s="18">
        <v>0</v>
      </c>
      <c r="H1298" s="18">
        <v>8143.82</v>
      </c>
      <c r="L1298" s="20" t="str">
        <f t="shared" si="40"/>
        <v>N/A</v>
      </c>
      <c r="M1298" s="20" t="str">
        <f t="shared" si="41"/>
        <v>N/A</v>
      </c>
    </row>
    <row r="1299" spans="1:13">
      <c r="A1299" s="18" t="s">
        <v>22</v>
      </c>
      <c r="B1299" s="18" t="s">
        <v>365</v>
      </c>
      <c r="C1299" s="18" t="s">
        <v>269</v>
      </c>
      <c r="D1299" s="18" t="s">
        <v>120</v>
      </c>
      <c r="E1299" s="18">
        <v>11.52</v>
      </c>
      <c r="F1299" s="18">
        <v>0</v>
      </c>
      <c r="G1299" s="18">
        <v>0</v>
      </c>
      <c r="H1299" s="18">
        <v>11.52</v>
      </c>
      <c r="L1299" s="20" t="str">
        <f t="shared" si="40"/>
        <v>N/A</v>
      </c>
      <c r="M1299" s="20" t="str">
        <f t="shared" si="41"/>
        <v>N/A</v>
      </c>
    </row>
    <row r="1300" spans="1:13">
      <c r="A1300" s="18" t="s">
        <v>22</v>
      </c>
      <c r="B1300" s="18" t="s">
        <v>365</v>
      </c>
      <c r="C1300" s="18" t="s">
        <v>269</v>
      </c>
      <c r="D1300" s="18" t="s">
        <v>123</v>
      </c>
      <c r="E1300" s="18">
        <v>7192.61</v>
      </c>
      <c r="F1300" s="18">
        <v>3660.6</v>
      </c>
      <c r="G1300" s="18">
        <v>0</v>
      </c>
      <c r="H1300" s="18">
        <v>10853.21</v>
      </c>
      <c r="L1300" s="20" t="str">
        <f t="shared" si="40"/>
        <v>N/A</v>
      </c>
      <c r="M1300" s="20" t="str">
        <f t="shared" si="41"/>
        <v>N/A</v>
      </c>
    </row>
    <row r="1301" spans="1:13">
      <c r="A1301" s="18" t="s">
        <v>22</v>
      </c>
      <c r="B1301" s="18" t="s">
        <v>365</v>
      </c>
      <c r="C1301" s="18" t="s">
        <v>269</v>
      </c>
      <c r="D1301" s="18" t="s">
        <v>126</v>
      </c>
      <c r="E1301" s="18">
        <v>1070.69</v>
      </c>
      <c r="F1301" s="18">
        <v>206.32</v>
      </c>
      <c r="G1301" s="18">
        <v>0</v>
      </c>
      <c r="H1301" s="18">
        <v>1277.01</v>
      </c>
      <c r="L1301" s="20" t="str">
        <f t="shared" si="40"/>
        <v>N/A</v>
      </c>
      <c r="M1301" s="20" t="str">
        <f t="shared" si="41"/>
        <v>N/A</v>
      </c>
    </row>
    <row r="1302" spans="1:13">
      <c r="A1302" s="18" t="s">
        <v>22</v>
      </c>
      <c r="B1302" s="18" t="s">
        <v>365</v>
      </c>
      <c r="C1302" s="18" t="s">
        <v>269</v>
      </c>
      <c r="D1302" s="18" t="s">
        <v>129</v>
      </c>
      <c r="E1302" s="18">
        <v>999.85</v>
      </c>
      <c r="F1302" s="18">
        <v>284.52</v>
      </c>
      <c r="G1302" s="18">
        <v>0</v>
      </c>
      <c r="H1302" s="18">
        <v>1284.3699999999999</v>
      </c>
      <c r="L1302" s="20" t="str">
        <f t="shared" si="40"/>
        <v>N/A</v>
      </c>
      <c r="M1302" s="20" t="str">
        <f t="shared" si="41"/>
        <v>N/A</v>
      </c>
    </row>
    <row r="1303" spans="1:13">
      <c r="A1303" s="18" t="s">
        <v>22</v>
      </c>
      <c r="B1303" s="18" t="s">
        <v>365</v>
      </c>
      <c r="C1303" s="18" t="s">
        <v>269</v>
      </c>
      <c r="D1303" s="18" t="s">
        <v>131</v>
      </c>
      <c r="E1303" s="18">
        <v>2539.5100000000002</v>
      </c>
      <c r="F1303" s="18">
        <v>1812.62</v>
      </c>
      <c r="G1303" s="18">
        <v>0</v>
      </c>
      <c r="H1303" s="18">
        <v>4352.13</v>
      </c>
      <c r="L1303" s="20" t="str">
        <f t="shared" si="40"/>
        <v>N/A</v>
      </c>
      <c r="M1303" s="20" t="str">
        <f t="shared" si="41"/>
        <v>N/A</v>
      </c>
    </row>
    <row r="1304" spans="1:13">
      <c r="A1304" s="18" t="s">
        <v>22</v>
      </c>
      <c r="B1304" s="18" t="s">
        <v>365</v>
      </c>
      <c r="C1304" s="18" t="s">
        <v>269</v>
      </c>
      <c r="D1304" s="18" t="s">
        <v>162</v>
      </c>
      <c r="E1304" s="18">
        <v>0</v>
      </c>
      <c r="F1304" s="18">
        <v>0</v>
      </c>
      <c r="G1304" s="18">
        <v>0</v>
      </c>
      <c r="H1304" s="18">
        <v>0</v>
      </c>
      <c r="L1304" s="20" t="str">
        <f t="shared" si="40"/>
        <v>N/A</v>
      </c>
      <c r="M1304" s="20" t="str">
        <f t="shared" si="41"/>
        <v>N/A</v>
      </c>
    </row>
    <row r="1305" spans="1:13">
      <c r="A1305" s="18" t="s">
        <v>22</v>
      </c>
      <c r="B1305" s="18" t="s">
        <v>365</v>
      </c>
      <c r="C1305" s="18" t="s">
        <v>269</v>
      </c>
      <c r="D1305" s="18" t="s">
        <v>134</v>
      </c>
      <c r="E1305" s="18">
        <v>182.27</v>
      </c>
      <c r="F1305" s="18">
        <v>227.69</v>
      </c>
      <c r="G1305" s="18">
        <v>0</v>
      </c>
      <c r="H1305" s="18">
        <v>409.96</v>
      </c>
      <c r="L1305" s="20" t="str">
        <f t="shared" si="40"/>
        <v>N/A</v>
      </c>
      <c r="M1305" s="20" t="str">
        <f t="shared" si="41"/>
        <v>N/A</v>
      </c>
    </row>
    <row r="1306" spans="1:13">
      <c r="A1306" s="18" t="s">
        <v>22</v>
      </c>
      <c r="B1306" s="18" t="s">
        <v>365</v>
      </c>
      <c r="C1306" s="18" t="s">
        <v>269</v>
      </c>
      <c r="D1306" s="18" t="s">
        <v>139</v>
      </c>
      <c r="E1306" s="18">
        <v>751.14</v>
      </c>
      <c r="F1306" s="18">
        <v>375.57</v>
      </c>
      <c r="G1306" s="18">
        <v>0</v>
      </c>
      <c r="H1306" s="18">
        <v>1126.71</v>
      </c>
      <c r="L1306" s="20" t="str">
        <f t="shared" si="40"/>
        <v>N/A</v>
      </c>
      <c r="M1306" s="20" t="str">
        <f t="shared" si="41"/>
        <v>N/A</v>
      </c>
    </row>
    <row r="1307" spans="1:13">
      <c r="A1307" s="18" t="s">
        <v>22</v>
      </c>
      <c r="B1307" s="18" t="s">
        <v>365</v>
      </c>
      <c r="C1307" s="18" t="s">
        <v>269</v>
      </c>
      <c r="D1307" s="18" t="s">
        <v>142</v>
      </c>
      <c r="E1307" s="18">
        <v>621.07000000000005</v>
      </c>
      <c r="F1307" s="18">
        <v>366.8</v>
      </c>
      <c r="G1307" s="18">
        <v>0</v>
      </c>
      <c r="H1307" s="18">
        <v>987.87</v>
      </c>
      <c r="L1307" s="20" t="str">
        <f t="shared" si="40"/>
        <v>N/A</v>
      </c>
      <c r="M1307" s="20" t="str">
        <f t="shared" si="41"/>
        <v>N/A</v>
      </c>
    </row>
    <row r="1308" spans="1:13">
      <c r="A1308" s="18" t="s">
        <v>22</v>
      </c>
      <c r="B1308" s="18" t="s">
        <v>365</v>
      </c>
      <c r="C1308" s="18" t="s">
        <v>269</v>
      </c>
      <c r="D1308" s="18" t="s">
        <v>163</v>
      </c>
      <c r="E1308" s="18">
        <v>0</v>
      </c>
      <c r="F1308" s="18">
        <v>0</v>
      </c>
      <c r="G1308" s="18">
        <v>0</v>
      </c>
      <c r="H1308" s="18">
        <v>0</v>
      </c>
      <c r="L1308" s="20" t="str">
        <f t="shared" si="40"/>
        <v>N/A</v>
      </c>
      <c r="M1308" s="20" t="str">
        <f t="shared" si="41"/>
        <v>N/A</v>
      </c>
    </row>
    <row r="1309" spans="1:13">
      <c r="A1309" s="18" t="s">
        <v>22</v>
      </c>
      <c r="B1309" s="18" t="s">
        <v>365</v>
      </c>
      <c r="C1309" s="18" t="s">
        <v>271</v>
      </c>
      <c r="D1309" s="18" t="s">
        <v>87</v>
      </c>
      <c r="E1309" s="18">
        <v>7531.2</v>
      </c>
      <c r="F1309" s="18">
        <v>252287.44</v>
      </c>
      <c r="G1309" s="18">
        <v>32603.19</v>
      </c>
      <c r="H1309" s="18">
        <v>227215.45</v>
      </c>
      <c r="L1309" s="20" t="str">
        <f t="shared" si="40"/>
        <v>Asset</v>
      </c>
      <c r="M1309" s="20" t="str">
        <f t="shared" si="41"/>
        <v>okay</v>
      </c>
    </row>
    <row r="1310" spans="1:13">
      <c r="A1310" s="18" t="s">
        <v>22</v>
      </c>
      <c r="B1310" s="18" t="s">
        <v>365</v>
      </c>
      <c r="C1310" s="18" t="s">
        <v>271</v>
      </c>
      <c r="D1310" s="18" t="s">
        <v>97</v>
      </c>
      <c r="E1310" s="18">
        <v>123594615.13</v>
      </c>
      <c r="F1310" s="18">
        <v>0</v>
      </c>
      <c r="G1310" s="18">
        <v>0</v>
      </c>
      <c r="H1310" s="18">
        <v>123594615.13</v>
      </c>
      <c r="L1310" s="20" t="str">
        <f t="shared" si="40"/>
        <v>Asset</v>
      </c>
      <c r="M1310" s="20" t="str">
        <f t="shared" si="41"/>
        <v>okay</v>
      </c>
    </row>
    <row r="1311" spans="1:13">
      <c r="A1311" s="18" t="s">
        <v>22</v>
      </c>
      <c r="B1311" s="18" t="s">
        <v>365</v>
      </c>
      <c r="C1311" s="18" t="s">
        <v>271</v>
      </c>
      <c r="D1311" s="18" t="s">
        <v>105</v>
      </c>
      <c r="E1311" s="18">
        <v>38472638.700000003</v>
      </c>
      <c r="F1311" s="18">
        <v>1805617.09</v>
      </c>
      <c r="G1311" s="18">
        <v>0</v>
      </c>
      <c r="H1311" s="18">
        <v>40278255.789999999</v>
      </c>
      <c r="L1311" s="20" t="str">
        <f t="shared" si="40"/>
        <v>Asset</v>
      </c>
      <c r="M1311" s="20" t="str">
        <f t="shared" si="41"/>
        <v>okay</v>
      </c>
    </row>
    <row r="1312" spans="1:13">
      <c r="A1312" s="18" t="s">
        <v>22</v>
      </c>
      <c r="B1312" s="18" t="s">
        <v>365</v>
      </c>
      <c r="C1312" s="18" t="s">
        <v>271</v>
      </c>
      <c r="D1312" s="18" t="s">
        <v>108</v>
      </c>
      <c r="E1312" s="18">
        <v>0</v>
      </c>
      <c r="F1312" s="18">
        <v>0</v>
      </c>
      <c r="G1312" s="18">
        <v>0</v>
      </c>
      <c r="H1312" s="18">
        <v>0</v>
      </c>
      <c r="L1312" s="20" t="str">
        <f t="shared" si="40"/>
        <v>Asset</v>
      </c>
      <c r="M1312" s="20" t="str">
        <f t="shared" si="41"/>
        <v>okay</v>
      </c>
    </row>
    <row r="1313" spans="1:13">
      <c r="A1313" s="18" t="s">
        <v>21</v>
      </c>
      <c r="B1313" s="18" t="s">
        <v>22</v>
      </c>
      <c r="C1313" s="18" t="s">
        <v>22</v>
      </c>
      <c r="D1313" s="18" t="s">
        <v>22</v>
      </c>
      <c r="E1313" s="18" t="s">
        <v>22</v>
      </c>
      <c r="F1313" s="18" t="s">
        <v>22</v>
      </c>
      <c r="G1313" s="18" t="s">
        <v>22</v>
      </c>
      <c r="H1313" s="32" t="s">
        <v>22</v>
      </c>
      <c r="L1313" s="20" t="str">
        <f t="shared" si="40"/>
        <v>N/A</v>
      </c>
      <c r="M1313" s="20" t="str">
        <f t="shared" si="41"/>
        <v>N/A</v>
      </c>
    </row>
    <row r="1314" spans="1:13">
      <c r="A1314" s="18" t="s">
        <v>22</v>
      </c>
      <c r="B1314" s="18" t="s">
        <v>365</v>
      </c>
      <c r="C1314" s="18" t="s">
        <v>271</v>
      </c>
      <c r="D1314" s="18" t="s">
        <v>116</v>
      </c>
      <c r="E1314" s="18">
        <v>-1540.61</v>
      </c>
      <c r="F1314" s="18">
        <v>0</v>
      </c>
      <c r="G1314" s="18">
        <v>0</v>
      </c>
      <c r="H1314" s="18">
        <v>-1540.61</v>
      </c>
      <c r="L1314" s="20" t="str">
        <f t="shared" si="40"/>
        <v>N/A</v>
      </c>
      <c r="M1314" s="20" t="str">
        <f t="shared" si="41"/>
        <v>N/A</v>
      </c>
    </row>
    <row r="1315" spans="1:13">
      <c r="A1315" s="18" t="s">
        <v>22</v>
      </c>
      <c r="B1315" s="18" t="s">
        <v>365</v>
      </c>
      <c r="C1315" s="18" t="s">
        <v>271</v>
      </c>
      <c r="D1315" s="18" t="s">
        <v>121</v>
      </c>
      <c r="E1315" s="18">
        <v>-3380.07</v>
      </c>
      <c r="F1315" s="18">
        <v>2253.4299999999998</v>
      </c>
      <c r="G1315" s="18">
        <v>563.35</v>
      </c>
      <c r="H1315" s="18">
        <v>-1689.99</v>
      </c>
      <c r="L1315" s="20" t="str">
        <f t="shared" si="40"/>
        <v>N/A</v>
      </c>
      <c r="M1315" s="20" t="str">
        <f t="shared" si="41"/>
        <v>N/A</v>
      </c>
    </row>
    <row r="1316" spans="1:13">
      <c r="A1316" s="18" t="s">
        <v>22</v>
      </c>
      <c r="B1316" s="18" t="s">
        <v>365</v>
      </c>
      <c r="C1316" s="18" t="s">
        <v>271</v>
      </c>
      <c r="D1316" s="18" t="s">
        <v>124</v>
      </c>
      <c r="E1316" s="18">
        <v>-690.64</v>
      </c>
      <c r="F1316" s="18">
        <v>0</v>
      </c>
      <c r="G1316" s="18">
        <v>429.81</v>
      </c>
      <c r="H1316" s="18">
        <v>-1120.45</v>
      </c>
      <c r="L1316" s="20" t="str">
        <f t="shared" si="40"/>
        <v>N/A</v>
      </c>
      <c r="M1316" s="20" t="str">
        <f t="shared" si="41"/>
        <v>N/A</v>
      </c>
    </row>
    <row r="1317" spans="1:13">
      <c r="A1317" s="18" t="s">
        <v>22</v>
      </c>
      <c r="B1317" s="18" t="s">
        <v>365</v>
      </c>
      <c r="C1317" s="18" t="s">
        <v>271</v>
      </c>
      <c r="D1317" s="18" t="s">
        <v>127</v>
      </c>
      <c r="E1317" s="18">
        <v>0</v>
      </c>
      <c r="F1317" s="18">
        <v>0</v>
      </c>
      <c r="G1317" s="18">
        <v>0</v>
      </c>
      <c r="H1317" s="18">
        <v>0</v>
      </c>
      <c r="L1317" s="20" t="str">
        <f t="shared" si="40"/>
        <v>N/A</v>
      </c>
      <c r="M1317" s="20" t="str">
        <f t="shared" si="41"/>
        <v>N/A</v>
      </c>
    </row>
    <row r="1318" spans="1:13">
      <c r="A1318" s="18" t="s">
        <v>22</v>
      </c>
      <c r="B1318" s="18" t="s">
        <v>365</v>
      </c>
      <c r="C1318" s="18" t="s">
        <v>271</v>
      </c>
      <c r="D1318" s="18" t="s">
        <v>95</v>
      </c>
      <c r="E1318" s="18">
        <v>-168.43</v>
      </c>
      <c r="F1318" s="18">
        <v>42.01</v>
      </c>
      <c r="G1318" s="18">
        <v>126.15</v>
      </c>
      <c r="H1318" s="18">
        <v>-252.57</v>
      </c>
      <c r="L1318" s="20" t="str">
        <f t="shared" si="40"/>
        <v>N/A</v>
      </c>
      <c r="M1318" s="20" t="str">
        <f t="shared" si="41"/>
        <v>N/A</v>
      </c>
    </row>
    <row r="1319" spans="1:13">
      <c r="A1319" s="18" t="s">
        <v>22</v>
      </c>
      <c r="B1319" s="18" t="s">
        <v>365</v>
      </c>
      <c r="C1319" s="18" t="s">
        <v>271</v>
      </c>
      <c r="D1319" s="18" t="s">
        <v>132</v>
      </c>
      <c r="E1319" s="18">
        <v>0</v>
      </c>
      <c r="F1319" s="18">
        <v>0</v>
      </c>
      <c r="G1319" s="18">
        <v>0</v>
      </c>
      <c r="H1319" s="18">
        <v>0</v>
      </c>
      <c r="L1319" s="20" t="str">
        <f t="shared" si="40"/>
        <v>N/A</v>
      </c>
      <c r="M1319" s="20" t="str">
        <f t="shared" si="41"/>
        <v>N/A</v>
      </c>
    </row>
    <row r="1320" spans="1:13">
      <c r="A1320" s="18" t="s">
        <v>22</v>
      </c>
      <c r="B1320" s="18" t="s">
        <v>365</v>
      </c>
      <c r="C1320" s="18" t="s">
        <v>271</v>
      </c>
      <c r="D1320" s="18" t="s">
        <v>135</v>
      </c>
      <c r="E1320" s="18">
        <v>-148767123.28999999</v>
      </c>
      <c r="F1320" s="18">
        <v>0</v>
      </c>
      <c r="G1320" s="18">
        <v>0</v>
      </c>
      <c r="H1320" s="18">
        <v>-148767123.28999999</v>
      </c>
      <c r="L1320" s="20" t="str">
        <f t="shared" si="40"/>
        <v>N/A</v>
      </c>
      <c r="M1320" s="20" t="str">
        <f t="shared" si="41"/>
        <v>N/A</v>
      </c>
    </row>
    <row r="1321" spans="1:13">
      <c r="A1321" s="18" t="s">
        <v>22</v>
      </c>
      <c r="B1321" s="18" t="s">
        <v>365</v>
      </c>
      <c r="C1321" s="18" t="s">
        <v>271</v>
      </c>
      <c r="D1321" s="18" t="s">
        <v>140</v>
      </c>
      <c r="E1321" s="18">
        <v>-358775.78</v>
      </c>
      <c r="F1321" s="18">
        <v>0</v>
      </c>
      <c r="G1321" s="18">
        <v>252249.16</v>
      </c>
      <c r="H1321" s="18">
        <v>-611024.93999999994</v>
      </c>
      <c r="L1321" s="20" t="str">
        <f t="shared" si="40"/>
        <v>N/A</v>
      </c>
      <c r="M1321" s="20" t="str">
        <f t="shared" si="41"/>
        <v>N/A</v>
      </c>
    </row>
    <row r="1322" spans="1:13">
      <c r="A1322" s="18" t="s">
        <v>22</v>
      </c>
      <c r="B1322" s="18" t="s">
        <v>365</v>
      </c>
      <c r="C1322" s="18" t="s">
        <v>271</v>
      </c>
      <c r="D1322" s="18" t="s">
        <v>143</v>
      </c>
      <c r="E1322" s="18">
        <v>25172508.129999999</v>
      </c>
      <c r="F1322" s="18">
        <v>0</v>
      </c>
      <c r="G1322" s="18">
        <v>0</v>
      </c>
      <c r="H1322" s="18">
        <v>25172508.129999999</v>
      </c>
      <c r="L1322" s="20" t="str">
        <f t="shared" si="40"/>
        <v>N/A</v>
      </c>
      <c r="M1322" s="20" t="str">
        <f t="shared" si="41"/>
        <v>N/A</v>
      </c>
    </row>
    <row r="1323" spans="1:13">
      <c r="A1323" s="18" t="s">
        <v>22</v>
      </c>
      <c r="B1323" s="18" t="s">
        <v>365</v>
      </c>
      <c r="C1323" s="18" t="s">
        <v>271</v>
      </c>
      <c r="D1323" s="18" t="s">
        <v>146</v>
      </c>
      <c r="E1323" s="18">
        <v>3346046.5</v>
      </c>
      <c r="F1323" s="18">
        <v>0</v>
      </c>
      <c r="G1323" s="18">
        <v>0</v>
      </c>
      <c r="H1323" s="18">
        <v>3346046.5</v>
      </c>
      <c r="L1323" s="20" t="str">
        <f t="shared" si="40"/>
        <v>N/A</v>
      </c>
      <c r="M1323" s="20" t="str">
        <f t="shared" si="41"/>
        <v>N/A</v>
      </c>
    </row>
    <row r="1324" spans="1:13">
      <c r="A1324" s="18" t="s">
        <v>22</v>
      </c>
      <c r="B1324" s="18" t="s">
        <v>365</v>
      </c>
      <c r="C1324" s="18" t="s">
        <v>271</v>
      </c>
      <c r="D1324" s="18" t="s">
        <v>147</v>
      </c>
      <c r="E1324" s="18">
        <v>-29172898.030000001</v>
      </c>
      <c r="F1324" s="18">
        <v>0</v>
      </c>
      <c r="G1324" s="18">
        <v>0</v>
      </c>
      <c r="H1324" s="18">
        <v>-29172898.030000001</v>
      </c>
      <c r="L1324" s="20" t="str">
        <f t="shared" si="40"/>
        <v>N/A</v>
      </c>
      <c r="M1324" s="20" t="str">
        <f t="shared" si="41"/>
        <v>N/A</v>
      </c>
    </row>
    <row r="1325" spans="1:13">
      <c r="A1325" s="18" t="s">
        <v>22</v>
      </c>
      <c r="B1325" s="18" t="s">
        <v>365</v>
      </c>
      <c r="C1325" s="18" t="s">
        <v>271</v>
      </c>
      <c r="D1325" s="18" t="s">
        <v>153</v>
      </c>
      <c r="E1325" s="18">
        <v>0</v>
      </c>
      <c r="F1325" s="18">
        <v>0</v>
      </c>
      <c r="G1325" s="18">
        <v>0</v>
      </c>
      <c r="H1325" s="18">
        <v>0</v>
      </c>
      <c r="L1325" s="20" t="str">
        <f t="shared" si="40"/>
        <v>N/A</v>
      </c>
      <c r="M1325" s="20" t="str">
        <f t="shared" si="41"/>
        <v>N/A</v>
      </c>
    </row>
    <row r="1326" spans="1:13">
      <c r="A1326" s="18" t="s">
        <v>22</v>
      </c>
      <c r="B1326" s="18" t="s">
        <v>365</v>
      </c>
      <c r="C1326" s="18" t="s">
        <v>271</v>
      </c>
      <c r="D1326" s="18" t="s">
        <v>155</v>
      </c>
      <c r="E1326" s="18">
        <v>0</v>
      </c>
      <c r="F1326" s="18">
        <v>0</v>
      </c>
      <c r="G1326" s="18">
        <v>0</v>
      </c>
      <c r="H1326" s="18">
        <v>0</v>
      </c>
      <c r="L1326" s="20" t="str">
        <f t="shared" si="40"/>
        <v>N/A</v>
      </c>
      <c r="M1326" s="20" t="str">
        <f t="shared" si="41"/>
        <v>N/A</v>
      </c>
    </row>
    <row r="1327" spans="1:13">
      <c r="A1327" s="18" t="s">
        <v>22</v>
      </c>
      <c r="B1327" s="18" t="s">
        <v>365</v>
      </c>
      <c r="C1327" s="18" t="s">
        <v>271</v>
      </c>
      <c r="D1327" s="18" t="s">
        <v>156</v>
      </c>
      <c r="E1327" s="18">
        <v>-1321.27</v>
      </c>
      <c r="F1327" s="18">
        <v>0</v>
      </c>
      <c r="G1327" s="18">
        <v>38.28</v>
      </c>
      <c r="H1327" s="18">
        <v>-1359.55</v>
      </c>
      <c r="L1327" s="20" t="str">
        <f t="shared" si="40"/>
        <v>N/A</v>
      </c>
      <c r="M1327" s="20" t="str">
        <f t="shared" si="41"/>
        <v>N/A</v>
      </c>
    </row>
    <row r="1328" spans="1:13">
      <c r="A1328" s="18" t="s">
        <v>22</v>
      </c>
      <c r="B1328" s="18" t="s">
        <v>365</v>
      </c>
      <c r="C1328" s="18" t="s">
        <v>271</v>
      </c>
      <c r="D1328" s="18" t="s">
        <v>157</v>
      </c>
      <c r="E1328" s="18">
        <v>-12384002.949999999</v>
      </c>
      <c r="F1328" s="18">
        <v>0</v>
      </c>
      <c r="G1328" s="18">
        <v>1805617.09</v>
      </c>
      <c r="H1328" s="18">
        <v>-14189620.039999999</v>
      </c>
      <c r="L1328" s="20" t="str">
        <f t="shared" si="40"/>
        <v>N/A</v>
      </c>
      <c r="M1328" s="20" t="str">
        <f t="shared" si="41"/>
        <v>N/A</v>
      </c>
    </row>
    <row r="1329" spans="1:13">
      <c r="A1329" s="18" t="s">
        <v>22</v>
      </c>
      <c r="B1329" s="18" t="s">
        <v>365</v>
      </c>
      <c r="C1329" s="18" t="s">
        <v>271</v>
      </c>
      <c r="D1329" s="18" t="s">
        <v>145</v>
      </c>
      <c r="E1329" s="18">
        <v>0</v>
      </c>
      <c r="F1329" s="18">
        <v>8665.16</v>
      </c>
      <c r="G1329" s="18">
        <v>0</v>
      </c>
      <c r="H1329" s="18">
        <v>8665.16</v>
      </c>
      <c r="L1329" s="20" t="str">
        <f t="shared" si="40"/>
        <v>N/A</v>
      </c>
      <c r="M1329" s="20" t="str">
        <f t="shared" si="41"/>
        <v>N/A</v>
      </c>
    </row>
    <row r="1330" spans="1:13">
      <c r="A1330" s="18" t="s">
        <v>22</v>
      </c>
      <c r="B1330" s="18" t="s">
        <v>365</v>
      </c>
      <c r="C1330" s="18" t="s">
        <v>271</v>
      </c>
      <c r="D1330" s="18" t="s">
        <v>96</v>
      </c>
      <c r="E1330" s="18">
        <v>252.3</v>
      </c>
      <c r="F1330" s="18">
        <v>126.15</v>
      </c>
      <c r="G1330" s="18">
        <v>0</v>
      </c>
      <c r="H1330" s="18">
        <v>378.45</v>
      </c>
      <c r="L1330" s="20" t="str">
        <f t="shared" si="40"/>
        <v>N/A</v>
      </c>
      <c r="M1330" s="20" t="str">
        <f t="shared" si="41"/>
        <v>N/A</v>
      </c>
    </row>
    <row r="1331" spans="1:13">
      <c r="A1331" s="18" t="s">
        <v>22</v>
      </c>
      <c r="B1331" s="18" t="s">
        <v>365</v>
      </c>
      <c r="C1331" s="18" t="s">
        <v>271</v>
      </c>
      <c r="D1331" s="18" t="s">
        <v>104</v>
      </c>
      <c r="E1331" s="18">
        <v>575.96</v>
      </c>
      <c r="F1331" s="18">
        <v>1152.0999999999999</v>
      </c>
      <c r="G1331" s="18">
        <v>0</v>
      </c>
      <c r="H1331" s="18">
        <v>1728.06</v>
      </c>
      <c r="L1331" s="20" t="str">
        <f t="shared" si="40"/>
        <v>N/A</v>
      </c>
      <c r="M1331" s="20" t="str">
        <f t="shared" si="41"/>
        <v>N/A</v>
      </c>
    </row>
    <row r="1332" spans="1:13">
      <c r="A1332" s="18" t="s">
        <v>22</v>
      </c>
      <c r="B1332" s="18" t="s">
        <v>365</v>
      </c>
      <c r="C1332" s="18" t="s">
        <v>271</v>
      </c>
      <c r="D1332" s="18" t="s">
        <v>359</v>
      </c>
      <c r="E1332" s="18">
        <v>27172.86</v>
      </c>
      <c r="F1332" s="18">
        <v>257.29000000000002</v>
      </c>
      <c r="G1332" s="18">
        <v>0</v>
      </c>
      <c r="H1332" s="18">
        <v>27430.15</v>
      </c>
      <c r="L1332" s="20" t="str">
        <f t="shared" si="40"/>
        <v>N/A</v>
      </c>
      <c r="M1332" s="20" t="str">
        <f t="shared" si="41"/>
        <v>N/A</v>
      </c>
    </row>
    <row r="1333" spans="1:13">
      <c r="A1333" s="18" t="s">
        <v>22</v>
      </c>
      <c r="B1333" s="18" t="s">
        <v>365</v>
      </c>
      <c r="C1333" s="18" t="s">
        <v>271</v>
      </c>
      <c r="D1333" s="18" t="s">
        <v>113</v>
      </c>
      <c r="E1333" s="18">
        <v>36987.06</v>
      </c>
      <c r="F1333" s="18">
        <v>10129.82</v>
      </c>
      <c r="G1333" s="18">
        <v>0</v>
      </c>
      <c r="H1333" s="18">
        <v>47116.88</v>
      </c>
      <c r="L1333" s="20" t="str">
        <f t="shared" si="40"/>
        <v>N/A</v>
      </c>
      <c r="M1333" s="20" t="str">
        <f t="shared" si="41"/>
        <v>N/A</v>
      </c>
    </row>
    <row r="1334" spans="1:13">
      <c r="A1334" s="18" t="s">
        <v>22</v>
      </c>
      <c r="B1334" s="18" t="s">
        <v>365</v>
      </c>
      <c r="C1334" s="18" t="s">
        <v>271</v>
      </c>
      <c r="D1334" s="18" t="s">
        <v>150</v>
      </c>
      <c r="E1334" s="18">
        <v>11520.19</v>
      </c>
      <c r="F1334" s="18">
        <v>695.54</v>
      </c>
      <c r="G1334" s="18">
        <v>0</v>
      </c>
      <c r="H1334" s="18">
        <v>12215.73</v>
      </c>
      <c r="L1334" s="20" t="str">
        <f t="shared" si="40"/>
        <v>N/A</v>
      </c>
      <c r="M1334" s="20" t="str">
        <f t="shared" si="41"/>
        <v>N/A</v>
      </c>
    </row>
    <row r="1335" spans="1:13">
      <c r="A1335" s="18" t="s">
        <v>22</v>
      </c>
      <c r="B1335" s="18" t="s">
        <v>365</v>
      </c>
      <c r="C1335" s="18" t="s">
        <v>271</v>
      </c>
      <c r="D1335" s="18" t="s">
        <v>120</v>
      </c>
      <c r="E1335" s="18">
        <v>17.23</v>
      </c>
      <c r="F1335" s="18">
        <v>0</v>
      </c>
      <c r="G1335" s="18">
        <v>0</v>
      </c>
      <c r="H1335" s="18">
        <v>17.23</v>
      </c>
      <c r="L1335" s="20" t="str">
        <f t="shared" si="40"/>
        <v>N/A</v>
      </c>
      <c r="M1335" s="20" t="str">
        <f t="shared" si="41"/>
        <v>N/A</v>
      </c>
    </row>
    <row r="1336" spans="1:13">
      <c r="A1336" s="18" t="s">
        <v>22</v>
      </c>
      <c r="B1336" s="18" t="s">
        <v>365</v>
      </c>
      <c r="C1336" s="18" t="s">
        <v>271</v>
      </c>
      <c r="D1336" s="18" t="s">
        <v>123</v>
      </c>
      <c r="E1336" s="18">
        <v>10788.94</v>
      </c>
      <c r="F1336" s="18">
        <v>5490.85</v>
      </c>
      <c r="G1336" s="18">
        <v>0</v>
      </c>
      <c r="H1336" s="18">
        <v>16279.79</v>
      </c>
      <c r="L1336" s="20" t="str">
        <f t="shared" si="40"/>
        <v>N/A</v>
      </c>
      <c r="M1336" s="20" t="str">
        <f t="shared" si="41"/>
        <v>N/A</v>
      </c>
    </row>
    <row r="1337" spans="1:13">
      <c r="A1337" s="18" t="s">
        <v>22</v>
      </c>
      <c r="B1337" s="18" t="s">
        <v>365</v>
      </c>
      <c r="C1337" s="18" t="s">
        <v>271</v>
      </c>
      <c r="D1337" s="18" t="s">
        <v>126</v>
      </c>
      <c r="E1337" s="18">
        <v>1606.06</v>
      </c>
      <c r="F1337" s="18">
        <v>309.43</v>
      </c>
      <c r="G1337" s="18">
        <v>0</v>
      </c>
      <c r="H1337" s="18">
        <v>1915.49</v>
      </c>
      <c r="L1337" s="20" t="str">
        <f t="shared" si="40"/>
        <v>N/A</v>
      </c>
      <c r="M1337" s="20" t="str">
        <f t="shared" si="41"/>
        <v>N/A</v>
      </c>
    </row>
    <row r="1338" spans="1:13">
      <c r="A1338" s="18" t="s">
        <v>22</v>
      </c>
      <c r="B1338" s="18" t="s">
        <v>365</v>
      </c>
      <c r="C1338" s="18" t="s">
        <v>271</v>
      </c>
      <c r="D1338" s="18" t="s">
        <v>129</v>
      </c>
      <c r="E1338" s="18">
        <v>1499.77</v>
      </c>
      <c r="F1338" s="18">
        <v>426.76</v>
      </c>
      <c r="G1338" s="18">
        <v>0</v>
      </c>
      <c r="H1338" s="18">
        <v>1926.53</v>
      </c>
      <c r="L1338" s="20" t="str">
        <f t="shared" si="40"/>
        <v>N/A</v>
      </c>
      <c r="M1338" s="20" t="str">
        <f t="shared" si="41"/>
        <v>N/A</v>
      </c>
    </row>
    <row r="1339" spans="1:13">
      <c r="A1339" s="18" t="s">
        <v>22</v>
      </c>
      <c r="B1339" s="18" t="s">
        <v>365</v>
      </c>
      <c r="C1339" s="18" t="s">
        <v>271</v>
      </c>
      <c r="D1339" s="18" t="s">
        <v>131</v>
      </c>
      <c r="E1339" s="18">
        <v>3809.31</v>
      </c>
      <c r="F1339" s="18">
        <v>2718.92</v>
      </c>
      <c r="G1339" s="18">
        <v>0</v>
      </c>
      <c r="H1339" s="18">
        <v>6528.23</v>
      </c>
      <c r="L1339" s="20" t="str">
        <f t="shared" si="40"/>
        <v>N/A</v>
      </c>
      <c r="M1339" s="20" t="str">
        <f t="shared" si="41"/>
        <v>N/A</v>
      </c>
    </row>
    <row r="1340" spans="1:13">
      <c r="A1340" s="18" t="s">
        <v>22</v>
      </c>
      <c r="B1340" s="18" t="s">
        <v>365</v>
      </c>
      <c r="C1340" s="18" t="s">
        <v>271</v>
      </c>
      <c r="D1340" s="18" t="s">
        <v>162</v>
      </c>
      <c r="E1340" s="18">
        <v>0</v>
      </c>
      <c r="F1340" s="18">
        <v>0</v>
      </c>
      <c r="G1340" s="18">
        <v>0</v>
      </c>
      <c r="H1340" s="18">
        <v>0</v>
      </c>
      <c r="L1340" s="20" t="str">
        <f t="shared" si="40"/>
        <v>N/A</v>
      </c>
      <c r="M1340" s="20" t="str">
        <f t="shared" si="41"/>
        <v>N/A</v>
      </c>
    </row>
    <row r="1341" spans="1:13">
      <c r="A1341" s="18" t="s">
        <v>22</v>
      </c>
      <c r="B1341" s="18" t="s">
        <v>365</v>
      </c>
      <c r="C1341" s="18" t="s">
        <v>271</v>
      </c>
      <c r="D1341" s="18" t="s">
        <v>134</v>
      </c>
      <c r="E1341" s="18">
        <v>273.27999999999997</v>
      </c>
      <c r="F1341" s="18">
        <v>341.48</v>
      </c>
      <c r="G1341" s="18">
        <v>0</v>
      </c>
      <c r="H1341" s="18">
        <v>614.76</v>
      </c>
      <c r="L1341" s="20" t="str">
        <f t="shared" si="40"/>
        <v>N/A</v>
      </c>
      <c r="M1341" s="20" t="str">
        <f t="shared" si="41"/>
        <v>N/A</v>
      </c>
    </row>
    <row r="1342" spans="1:13">
      <c r="A1342" s="18" t="s">
        <v>22</v>
      </c>
      <c r="B1342" s="18" t="s">
        <v>365</v>
      </c>
      <c r="C1342" s="18" t="s">
        <v>271</v>
      </c>
      <c r="D1342" s="18" t="s">
        <v>139</v>
      </c>
      <c r="E1342" s="18">
        <v>1126.7</v>
      </c>
      <c r="F1342" s="18">
        <v>563.35</v>
      </c>
      <c r="G1342" s="18">
        <v>0</v>
      </c>
      <c r="H1342" s="18">
        <v>1690.05</v>
      </c>
      <c r="L1342" s="20" t="str">
        <f t="shared" si="40"/>
        <v>N/A</v>
      </c>
      <c r="M1342" s="20" t="str">
        <f t="shared" si="41"/>
        <v>N/A</v>
      </c>
    </row>
    <row r="1343" spans="1:13">
      <c r="A1343" s="18" t="s">
        <v>22</v>
      </c>
      <c r="B1343" s="18" t="s">
        <v>365</v>
      </c>
      <c r="C1343" s="18" t="s">
        <v>271</v>
      </c>
      <c r="D1343" s="18" t="s">
        <v>142</v>
      </c>
      <c r="E1343" s="18">
        <v>931.75</v>
      </c>
      <c r="F1343" s="18">
        <v>550.21</v>
      </c>
      <c r="G1343" s="18">
        <v>0</v>
      </c>
      <c r="H1343" s="18">
        <v>1481.96</v>
      </c>
      <c r="L1343" s="20" t="str">
        <f t="shared" si="40"/>
        <v>N/A</v>
      </c>
      <c r="M1343" s="20" t="str">
        <f t="shared" si="41"/>
        <v>N/A</v>
      </c>
    </row>
    <row r="1344" spans="1:13">
      <c r="A1344" s="18" t="s">
        <v>22</v>
      </c>
      <c r="B1344" s="18" t="s">
        <v>365</v>
      </c>
      <c r="C1344" s="18" t="s">
        <v>271</v>
      </c>
      <c r="D1344" s="18" t="s">
        <v>163</v>
      </c>
      <c r="E1344" s="18">
        <v>0</v>
      </c>
      <c r="F1344" s="18">
        <v>0</v>
      </c>
      <c r="G1344" s="18">
        <v>0</v>
      </c>
      <c r="H1344" s="18">
        <v>0</v>
      </c>
      <c r="L1344" s="20" t="str">
        <f t="shared" si="40"/>
        <v>N/A</v>
      </c>
      <c r="M1344" s="20" t="str">
        <f t="shared" si="41"/>
        <v>N/A</v>
      </c>
    </row>
    <row r="1345" spans="1:13">
      <c r="A1345" s="18" t="s">
        <v>22</v>
      </c>
      <c r="B1345" s="18" t="s">
        <v>365</v>
      </c>
      <c r="C1345" s="18" t="s">
        <v>273</v>
      </c>
      <c r="D1345" s="18" t="s">
        <v>87</v>
      </c>
      <c r="E1345" s="18">
        <v>2008.25</v>
      </c>
      <c r="F1345" s="18">
        <v>67276.639999999999</v>
      </c>
      <c r="G1345" s="18">
        <v>8694.27</v>
      </c>
      <c r="H1345" s="18">
        <v>60590.62</v>
      </c>
      <c r="L1345" s="20" t="str">
        <f t="shared" si="40"/>
        <v>Asset</v>
      </c>
      <c r="M1345" s="20" t="str">
        <f t="shared" si="41"/>
        <v>okay</v>
      </c>
    </row>
    <row r="1346" spans="1:13">
      <c r="A1346" s="18" t="s">
        <v>22</v>
      </c>
      <c r="B1346" s="18" t="s">
        <v>365</v>
      </c>
      <c r="C1346" s="18" t="s">
        <v>273</v>
      </c>
      <c r="D1346" s="18" t="s">
        <v>97</v>
      </c>
      <c r="E1346" s="18">
        <v>32958564.059999999</v>
      </c>
      <c r="F1346" s="18">
        <v>0</v>
      </c>
      <c r="G1346" s="18">
        <v>0</v>
      </c>
      <c r="H1346" s="18">
        <v>32958564.059999999</v>
      </c>
      <c r="L1346" s="20" t="str">
        <f t="shared" si="40"/>
        <v>Asset</v>
      </c>
      <c r="M1346" s="20" t="str">
        <f t="shared" si="41"/>
        <v>okay</v>
      </c>
    </row>
    <row r="1347" spans="1:13">
      <c r="A1347" s="18" t="s">
        <v>22</v>
      </c>
      <c r="B1347" s="18" t="s">
        <v>365</v>
      </c>
      <c r="C1347" s="18" t="s">
        <v>273</v>
      </c>
      <c r="D1347" s="18" t="s">
        <v>105</v>
      </c>
      <c r="E1347" s="18">
        <v>10259370.310000001</v>
      </c>
      <c r="F1347" s="18">
        <v>481497.87</v>
      </c>
      <c r="G1347" s="18">
        <v>0</v>
      </c>
      <c r="H1347" s="18">
        <v>10740868.18</v>
      </c>
      <c r="L1347" s="20" t="str">
        <f t="shared" ref="L1347:L1410" si="42">+IF(LEFT(D1347,1)="1","Asset","N/A")</f>
        <v>Asset</v>
      </c>
      <c r="M1347" s="20" t="str">
        <f t="shared" ref="M1347:M1410" si="43">+IF(L1347="asset",IF(H1347&lt;0,"Provide Comment","okay"),"N/A")</f>
        <v>okay</v>
      </c>
    </row>
    <row r="1348" spans="1:13">
      <c r="A1348" s="18" t="s">
        <v>22</v>
      </c>
      <c r="B1348" s="18" t="s">
        <v>365</v>
      </c>
      <c r="C1348" s="18" t="s">
        <v>273</v>
      </c>
      <c r="D1348" s="18" t="s">
        <v>108</v>
      </c>
      <c r="E1348" s="18">
        <v>0</v>
      </c>
      <c r="F1348" s="18">
        <v>0</v>
      </c>
      <c r="G1348" s="18">
        <v>0</v>
      </c>
      <c r="H1348" s="18">
        <v>0</v>
      </c>
      <c r="L1348" s="20" t="str">
        <f t="shared" si="42"/>
        <v>Asset</v>
      </c>
      <c r="M1348" s="20" t="str">
        <f t="shared" si="43"/>
        <v>okay</v>
      </c>
    </row>
    <row r="1349" spans="1:13">
      <c r="A1349" s="18" t="s">
        <v>22</v>
      </c>
      <c r="B1349" s="18" t="s">
        <v>365</v>
      </c>
      <c r="C1349" s="18" t="s">
        <v>273</v>
      </c>
      <c r="D1349" s="18" t="s">
        <v>116</v>
      </c>
      <c r="E1349" s="18">
        <v>-410.85</v>
      </c>
      <c r="F1349" s="18">
        <v>0</v>
      </c>
      <c r="G1349" s="18">
        <v>0</v>
      </c>
      <c r="H1349" s="18">
        <v>-410.85</v>
      </c>
      <c r="L1349" s="20" t="str">
        <f t="shared" si="42"/>
        <v>N/A</v>
      </c>
      <c r="M1349" s="20" t="str">
        <f t="shared" si="43"/>
        <v>N/A</v>
      </c>
    </row>
    <row r="1350" spans="1:13">
      <c r="A1350" s="18" t="s">
        <v>22</v>
      </c>
      <c r="B1350" s="18" t="s">
        <v>365</v>
      </c>
      <c r="C1350" s="18" t="s">
        <v>273</v>
      </c>
      <c r="D1350" s="18" t="s">
        <v>121</v>
      </c>
      <c r="E1350" s="18">
        <v>-901.38</v>
      </c>
      <c r="F1350" s="18">
        <v>600.91</v>
      </c>
      <c r="G1350" s="18">
        <v>150.22999999999999</v>
      </c>
      <c r="H1350" s="18">
        <v>-450.7</v>
      </c>
      <c r="L1350" s="20" t="str">
        <f t="shared" si="42"/>
        <v>N/A</v>
      </c>
      <c r="M1350" s="20" t="str">
        <f t="shared" si="43"/>
        <v>N/A</v>
      </c>
    </row>
    <row r="1351" spans="1:13">
      <c r="A1351" s="18" t="s">
        <v>22</v>
      </c>
      <c r="B1351" s="18" t="s">
        <v>365</v>
      </c>
      <c r="C1351" s="18" t="s">
        <v>273</v>
      </c>
      <c r="D1351" s="18" t="s">
        <v>124</v>
      </c>
      <c r="E1351" s="18">
        <v>-184.15</v>
      </c>
      <c r="F1351" s="18">
        <v>0</v>
      </c>
      <c r="G1351" s="18">
        <v>114.6</v>
      </c>
      <c r="H1351" s="18">
        <v>-298.75</v>
      </c>
      <c r="L1351" s="20" t="str">
        <f t="shared" si="42"/>
        <v>N/A</v>
      </c>
      <c r="M1351" s="20" t="str">
        <f t="shared" si="43"/>
        <v>N/A</v>
      </c>
    </row>
    <row r="1352" spans="1:13">
      <c r="A1352" s="18" t="s">
        <v>22</v>
      </c>
      <c r="B1352" s="18" t="s">
        <v>365</v>
      </c>
      <c r="C1352" s="18" t="s">
        <v>273</v>
      </c>
      <c r="D1352" s="18" t="s">
        <v>127</v>
      </c>
      <c r="E1352" s="18">
        <v>0</v>
      </c>
      <c r="F1352" s="18">
        <v>0</v>
      </c>
      <c r="G1352" s="18">
        <v>0</v>
      </c>
      <c r="H1352" s="18">
        <v>0</v>
      </c>
      <c r="L1352" s="20" t="str">
        <f t="shared" si="42"/>
        <v>N/A</v>
      </c>
      <c r="M1352" s="20" t="str">
        <f t="shared" si="43"/>
        <v>N/A</v>
      </c>
    </row>
    <row r="1353" spans="1:13">
      <c r="A1353" s="18" t="s">
        <v>22</v>
      </c>
      <c r="B1353" s="18" t="s">
        <v>365</v>
      </c>
      <c r="C1353" s="18" t="s">
        <v>273</v>
      </c>
      <c r="D1353" s="18" t="s">
        <v>95</v>
      </c>
      <c r="E1353" s="18">
        <v>-44.83</v>
      </c>
      <c r="F1353" s="18">
        <v>11.21</v>
      </c>
      <c r="G1353" s="18">
        <v>33.630000000000003</v>
      </c>
      <c r="H1353" s="18">
        <v>-67.25</v>
      </c>
      <c r="L1353" s="20" t="str">
        <f t="shared" si="42"/>
        <v>N/A</v>
      </c>
      <c r="M1353" s="20" t="str">
        <f t="shared" si="43"/>
        <v>N/A</v>
      </c>
    </row>
    <row r="1354" spans="1:13">
      <c r="A1354" s="18" t="s">
        <v>22</v>
      </c>
      <c r="B1354" s="18" t="s">
        <v>365</v>
      </c>
      <c r="C1354" s="18" t="s">
        <v>273</v>
      </c>
      <c r="D1354" s="18" t="s">
        <v>132</v>
      </c>
      <c r="E1354" s="18">
        <v>0</v>
      </c>
      <c r="F1354" s="18">
        <v>0</v>
      </c>
      <c r="G1354" s="18">
        <v>0</v>
      </c>
      <c r="H1354" s="18">
        <v>0</v>
      </c>
      <c r="L1354" s="20" t="str">
        <f t="shared" si="42"/>
        <v>N/A</v>
      </c>
      <c r="M1354" s="20" t="str">
        <f t="shared" si="43"/>
        <v>N/A</v>
      </c>
    </row>
    <row r="1355" spans="1:13">
      <c r="A1355" s="18" t="s">
        <v>22</v>
      </c>
      <c r="B1355" s="18" t="s">
        <v>365</v>
      </c>
      <c r="C1355" s="18" t="s">
        <v>273</v>
      </c>
      <c r="D1355" s="18" t="s">
        <v>135</v>
      </c>
      <c r="E1355" s="18">
        <v>-40000000</v>
      </c>
      <c r="F1355" s="18">
        <v>0</v>
      </c>
      <c r="G1355" s="18">
        <v>0</v>
      </c>
      <c r="H1355" s="18">
        <v>-40000000</v>
      </c>
      <c r="L1355" s="20" t="str">
        <f t="shared" si="42"/>
        <v>N/A</v>
      </c>
      <c r="M1355" s="20" t="str">
        <f t="shared" si="43"/>
        <v>N/A</v>
      </c>
    </row>
    <row r="1356" spans="1:13">
      <c r="A1356" s="18" t="s">
        <v>22</v>
      </c>
      <c r="B1356" s="18" t="s">
        <v>365</v>
      </c>
      <c r="C1356" s="18" t="s">
        <v>273</v>
      </c>
      <c r="D1356" s="18" t="s">
        <v>140</v>
      </c>
      <c r="E1356" s="18">
        <v>-95673.54</v>
      </c>
      <c r="F1356" s="18">
        <v>0</v>
      </c>
      <c r="G1356" s="18">
        <v>67266.44</v>
      </c>
      <c r="H1356" s="18">
        <v>-162939.98000000001</v>
      </c>
      <c r="L1356" s="20" t="str">
        <f t="shared" si="42"/>
        <v>N/A</v>
      </c>
      <c r="M1356" s="20" t="str">
        <f t="shared" si="43"/>
        <v>N/A</v>
      </c>
    </row>
    <row r="1357" spans="1:13">
      <c r="A1357" s="18" t="s">
        <v>22</v>
      </c>
      <c r="B1357" s="18" t="s">
        <v>365</v>
      </c>
      <c r="C1357" s="18" t="s">
        <v>273</v>
      </c>
      <c r="D1357" s="18" t="s">
        <v>143</v>
      </c>
      <c r="E1357" s="18">
        <v>7041435.9400000004</v>
      </c>
      <c r="F1357" s="18">
        <v>0</v>
      </c>
      <c r="G1357" s="18">
        <v>0</v>
      </c>
      <c r="H1357" s="18">
        <v>7041435.9400000004</v>
      </c>
      <c r="L1357" s="20" t="str">
        <f t="shared" si="42"/>
        <v>N/A</v>
      </c>
      <c r="M1357" s="20" t="str">
        <f t="shared" si="43"/>
        <v>N/A</v>
      </c>
    </row>
    <row r="1358" spans="1:13">
      <c r="A1358" s="18" t="s">
        <v>22</v>
      </c>
      <c r="B1358" s="18" t="s">
        <v>365</v>
      </c>
      <c r="C1358" s="18" t="s">
        <v>273</v>
      </c>
      <c r="D1358" s="18" t="s">
        <v>146</v>
      </c>
      <c r="E1358" s="18">
        <v>892279.08</v>
      </c>
      <c r="F1358" s="18">
        <v>0</v>
      </c>
      <c r="G1358" s="18">
        <v>0</v>
      </c>
      <c r="H1358" s="18">
        <v>892279.08</v>
      </c>
      <c r="L1358" s="20" t="str">
        <f t="shared" si="42"/>
        <v>N/A</v>
      </c>
      <c r="M1358" s="20" t="str">
        <f t="shared" si="43"/>
        <v>N/A</v>
      </c>
    </row>
    <row r="1359" spans="1:13">
      <c r="A1359" s="18" t="s">
        <v>22</v>
      </c>
      <c r="B1359" s="18" t="s">
        <v>365</v>
      </c>
      <c r="C1359" s="18" t="s">
        <v>273</v>
      </c>
      <c r="D1359" s="18" t="s">
        <v>147</v>
      </c>
      <c r="E1359" s="18">
        <v>-7779439.4500000002</v>
      </c>
      <c r="F1359" s="18">
        <v>0</v>
      </c>
      <c r="G1359" s="18">
        <v>0</v>
      </c>
      <c r="H1359" s="18">
        <v>-7779439.4500000002</v>
      </c>
      <c r="L1359" s="20" t="str">
        <f t="shared" si="42"/>
        <v>N/A</v>
      </c>
      <c r="M1359" s="20" t="str">
        <f t="shared" si="43"/>
        <v>N/A</v>
      </c>
    </row>
    <row r="1360" spans="1:13">
      <c r="A1360" s="18" t="s">
        <v>22</v>
      </c>
      <c r="B1360" s="18" t="s">
        <v>365</v>
      </c>
      <c r="C1360" s="18" t="s">
        <v>273</v>
      </c>
      <c r="D1360" s="18" t="s">
        <v>153</v>
      </c>
      <c r="E1360" s="18">
        <v>0</v>
      </c>
      <c r="F1360" s="18">
        <v>0</v>
      </c>
      <c r="G1360" s="18">
        <v>0</v>
      </c>
      <c r="H1360" s="18">
        <v>0</v>
      </c>
      <c r="L1360" s="20" t="str">
        <f t="shared" si="42"/>
        <v>N/A</v>
      </c>
      <c r="M1360" s="20" t="str">
        <f t="shared" si="43"/>
        <v>N/A</v>
      </c>
    </row>
    <row r="1361" spans="1:13">
      <c r="A1361" s="18" t="s">
        <v>22</v>
      </c>
      <c r="B1361" s="18" t="s">
        <v>365</v>
      </c>
      <c r="C1361" s="18" t="s">
        <v>273</v>
      </c>
      <c r="D1361" s="18" t="s">
        <v>155</v>
      </c>
      <c r="E1361" s="18">
        <v>0</v>
      </c>
      <c r="F1361" s="18">
        <v>0</v>
      </c>
      <c r="G1361" s="18">
        <v>0</v>
      </c>
      <c r="H1361" s="18">
        <v>0</v>
      </c>
      <c r="L1361" s="20" t="str">
        <f t="shared" si="42"/>
        <v>N/A</v>
      </c>
      <c r="M1361" s="20" t="str">
        <f t="shared" si="43"/>
        <v>N/A</v>
      </c>
    </row>
    <row r="1362" spans="1:13">
      <c r="A1362" s="18" t="s">
        <v>22</v>
      </c>
      <c r="B1362" s="18" t="s">
        <v>365</v>
      </c>
      <c r="C1362" s="18" t="s">
        <v>273</v>
      </c>
      <c r="D1362" s="18" t="s">
        <v>156</v>
      </c>
      <c r="E1362" s="18">
        <v>-352.32</v>
      </c>
      <c r="F1362" s="18">
        <v>0</v>
      </c>
      <c r="G1362" s="18">
        <v>10.199999999999999</v>
      </c>
      <c r="H1362" s="18">
        <v>-362.52</v>
      </c>
      <c r="L1362" s="20" t="str">
        <f t="shared" si="42"/>
        <v>N/A</v>
      </c>
      <c r="M1362" s="20" t="str">
        <f t="shared" si="43"/>
        <v>N/A</v>
      </c>
    </row>
    <row r="1363" spans="1:13">
      <c r="A1363" s="18" t="s">
        <v>22</v>
      </c>
      <c r="B1363" s="18" t="s">
        <v>365</v>
      </c>
      <c r="C1363" s="18" t="s">
        <v>273</v>
      </c>
      <c r="D1363" s="18" t="s">
        <v>157</v>
      </c>
      <c r="E1363" s="18">
        <v>-3302400.8</v>
      </c>
      <c r="F1363" s="18">
        <v>0</v>
      </c>
      <c r="G1363" s="18">
        <v>481497.87</v>
      </c>
      <c r="H1363" s="18">
        <v>-3783898.67</v>
      </c>
      <c r="L1363" s="20" t="str">
        <f t="shared" si="42"/>
        <v>N/A</v>
      </c>
      <c r="M1363" s="20" t="str">
        <f t="shared" si="43"/>
        <v>N/A</v>
      </c>
    </row>
    <row r="1364" spans="1:13">
      <c r="A1364" s="18" t="s">
        <v>22</v>
      </c>
      <c r="B1364" s="18" t="s">
        <v>365</v>
      </c>
      <c r="C1364" s="18" t="s">
        <v>273</v>
      </c>
      <c r="D1364" s="18" t="s">
        <v>145</v>
      </c>
      <c r="E1364" s="18">
        <v>0</v>
      </c>
      <c r="F1364" s="18">
        <v>2310.71</v>
      </c>
      <c r="G1364" s="18">
        <v>0</v>
      </c>
      <c r="H1364" s="18">
        <v>2310.71</v>
      </c>
      <c r="L1364" s="20" t="str">
        <f t="shared" si="42"/>
        <v>N/A</v>
      </c>
      <c r="M1364" s="20" t="str">
        <f t="shared" si="43"/>
        <v>N/A</v>
      </c>
    </row>
    <row r="1365" spans="1:13">
      <c r="A1365" s="18" t="s">
        <v>22</v>
      </c>
      <c r="B1365" s="18" t="s">
        <v>365</v>
      </c>
      <c r="C1365" s="18" t="s">
        <v>273</v>
      </c>
      <c r="D1365" s="18" t="s">
        <v>96</v>
      </c>
      <c r="E1365" s="18">
        <v>67.260000000000005</v>
      </c>
      <c r="F1365" s="18">
        <v>33.630000000000003</v>
      </c>
      <c r="G1365" s="18">
        <v>0</v>
      </c>
      <c r="H1365" s="18">
        <v>100.89</v>
      </c>
      <c r="L1365" s="20" t="str">
        <f t="shared" si="42"/>
        <v>N/A</v>
      </c>
      <c r="M1365" s="20" t="str">
        <f t="shared" si="43"/>
        <v>N/A</v>
      </c>
    </row>
    <row r="1366" spans="1:13">
      <c r="A1366" s="18" t="s">
        <v>22</v>
      </c>
      <c r="B1366" s="18" t="s">
        <v>365</v>
      </c>
      <c r="C1366" s="18" t="s">
        <v>273</v>
      </c>
      <c r="D1366" s="18" t="s">
        <v>104</v>
      </c>
      <c r="E1366" s="18">
        <v>153.59</v>
      </c>
      <c r="F1366" s="18">
        <v>307.23</v>
      </c>
      <c r="G1366" s="18">
        <v>0</v>
      </c>
      <c r="H1366" s="18">
        <v>460.82</v>
      </c>
      <c r="L1366" s="20" t="str">
        <f t="shared" si="42"/>
        <v>N/A</v>
      </c>
      <c r="M1366" s="20" t="str">
        <f t="shared" si="43"/>
        <v>N/A</v>
      </c>
    </row>
    <row r="1367" spans="1:13">
      <c r="A1367" s="18" t="s">
        <v>22</v>
      </c>
      <c r="B1367" s="18" t="s">
        <v>365</v>
      </c>
      <c r="C1367" s="18" t="s">
        <v>273</v>
      </c>
      <c r="D1367" s="18" t="s">
        <v>359</v>
      </c>
      <c r="E1367" s="18">
        <v>7246.09</v>
      </c>
      <c r="F1367" s="18">
        <v>68.61</v>
      </c>
      <c r="G1367" s="18">
        <v>0</v>
      </c>
      <c r="H1367" s="18">
        <v>7314.7</v>
      </c>
      <c r="L1367" s="20" t="str">
        <f t="shared" si="42"/>
        <v>N/A</v>
      </c>
      <c r="M1367" s="20" t="str">
        <f t="shared" si="43"/>
        <v>N/A</v>
      </c>
    </row>
    <row r="1368" spans="1:13">
      <c r="A1368" s="18" t="s">
        <v>22</v>
      </c>
      <c r="B1368" s="18" t="s">
        <v>365</v>
      </c>
      <c r="C1368" s="18" t="s">
        <v>273</v>
      </c>
      <c r="D1368" s="18" t="s">
        <v>113</v>
      </c>
      <c r="E1368" s="18">
        <v>9863.23</v>
      </c>
      <c r="F1368" s="18">
        <v>2701.29</v>
      </c>
      <c r="G1368" s="18">
        <v>0</v>
      </c>
      <c r="H1368" s="18">
        <v>12564.52</v>
      </c>
      <c r="L1368" s="20" t="str">
        <f t="shared" si="42"/>
        <v>N/A</v>
      </c>
      <c r="M1368" s="20" t="str">
        <f t="shared" si="43"/>
        <v>N/A</v>
      </c>
    </row>
    <row r="1369" spans="1:13">
      <c r="A1369" s="18" t="s">
        <v>22</v>
      </c>
      <c r="B1369" s="18" t="s">
        <v>365</v>
      </c>
      <c r="C1369" s="18" t="s">
        <v>273</v>
      </c>
      <c r="D1369" s="18" t="s">
        <v>150</v>
      </c>
      <c r="E1369" s="18">
        <v>3072.05</v>
      </c>
      <c r="F1369" s="18">
        <v>185.48</v>
      </c>
      <c r="G1369" s="18">
        <v>0</v>
      </c>
      <c r="H1369" s="18">
        <v>3257.53</v>
      </c>
      <c r="L1369" s="20" t="str">
        <f t="shared" si="42"/>
        <v>N/A</v>
      </c>
      <c r="M1369" s="20" t="str">
        <f t="shared" si="43"/>
        <v>N/A</v>
      </c>
    </row>
    <row r="1370" spans="1:13">
      <c r="A1370" s="18" t="s">
        <v>22</v>
      </c>
      <c r="B1370" s="18" t="s">
        <v>365</v>
      </c>
      <c r="C1370" s="18" t="s">
        <v>273</v>
      </c>
      <c r="D1370" s="18" t="s">
        <v>120</v>
      </c>
      <c r="E1370" s="18">
        <v>4.6100000000000003</v>
      </c>
      <c r="F1370" s="18">
        <v>0</v>
      </c>
      <c r="G1370" s="18">
        <v>0</v>
      </c>
      <c r="H1370" s="18">
        <v>4.6100000000000003</v>
      </c>
      <c r="L1370" s="20" t="str">
        <f t="shared" si="42"/>
        <v>N/A</v>
      </c>
      <c r="M1370" s="20" t="str">
        <f t="shared" si="43"/>
        <v>N/A</v>
      </c>
    </row>
    <row r="1371" spans="1:13">
      <c r="A1371" s="18" t="s">
        <v>22</v>
      </c>
      <c r="B1371" s="18" t="s">
        <v>365</v>
      </c>
      <c r="C1371" s="18" t="s">
        <v>273</v>
      </c>
      <c r="D1371" s="18" t="s">
        <v>123</v>
      </c>
      <c r="E1371" s="18">
        <v>2877.04</v>
      </c>
      <c r="F1371" s="18">
        <v>1464.24</v>
      </c>
      <c r="G1371" s="18">
        <v>0</v>
      </c>
      <c r="H1371" s="18">
        <v>4341.28</v>
      </c>
      <c r="L1371" s="20" t="str">
        <f t="shared" si="42"/>
        <v>N/A</v>
      </c>
      <c r="M1371" s="20" t="str">
        <f t="shared" si="43"/>
        <v>N/A</v>
      </c>
    </row>
    <row r="1372" spans="1:13">
      <c r="A1372" s="18" t="s">
        <v>22</v>
      </c>
      <c r="B1372" s="18" t="s">
        <v>365</v>
      </c>
      <c r="C1372" s="18" t="s">
        <v>273</v>
      </c>
      <c r="D1372" s="18" t="s">
        <v>126</v>
      </c>
      <c r="E1372" s="18">
        <v>428.27</v>
      </c>
      <c r="F1372" s="18">
        <v>82.53</v>
      </c>
      <c r="G1372" s="18">
        <v>0</v>
      </c>
      <c r="H1372" s="18">
        <v>510.8</v>
      </c>
      <c r="L1372" s="20" t="str">
        <f t="shared" si="42"/>
        <v>N/A</v>
      </c>
      <c r="M1372" s="20" t="str">
        <f t="shared" si="43"/>
        <v>N/A</v>
      </c>
    </row>
    <row r="1373" spans="1:13">
      <c r="A1373" s="18" t="s">
        <v>22</v>
      </c>
      <c r="B1373" s="18" t="s">
        <v>365</v>
      </c>
      <c r="C1373" s="18" t="s">
        <v>273</v>
      </c>
      <c r="D1373" s="18" t="s">
        <v>129</v>
      </c>
      <c r="E1373" s="18">
        <v>399.95</v>
      </c>
      <c r="F1373" s="18">
        <v>113.81</v>
      </c>
      <c r="G1373" s="18">
        <v>0</v>
      </c>
      <c r="H1373" s="18">
        <v>513.76</v>
      </c>
      <c r="L1373" s="20" t="str">
        <f t="shared" si="42"/>
        <v>N/A</v>
      </c>
      <c r="M1373" s="20" t="str">
        <f t="shared" si="43"/>
        <v>N/A</v>
      </c>
    </row>
    <row r="1374" spans="1:13">
      <c r="A1374" s="18" t="s">
        <v>22</v>
      </c>
      <c r="B1374" s="18" t="s">
        <v>365</v>
      </c>
      <c r="C1374" s="18" t="s">
        <v>273</v>
      </c>
      <c r="D1374" s="18" t="s">
        <v>131</v>
      </c>
      <c r="E1374" s="18">
        <v>1015.81</v>
      </c>
      <c r="F1374" s="18">
        <v>725.05</v>
      </c>
      <c r="G1374" s="18">
        <v>0</v>
      </c>
      <c r="H1374" s="18">
        <v>1740.86</v>
      </c>
      <c r="L1374" s="20" t="str">
        <f t="shared" si="42"/>
        <v>N/A</v>
      </c>
      <c r="M1374" s="20" t="str">
        <f t="shared" si="43"/>
        <v>N/A</v>
      </c>
    </row>
    <row r="1375" spans="1:13">
      <c r="A1375" s="18" t="s">
        <v>22</v>
      </c>
      <c r="B1375" s="18" t="s">
        <v>365</v>
      </c>
      <c r="C1375" s="18" t="s">
        <v>273</v>
      </c>
      <c r="D1375" s="18" t="s">
        <v>162</v>
      </c>
      <c r="E1375" s="18">
        <v>0</v>
      </c>
      <c r="F1375" s="18">
        <v>0</v>
      </c>
      <c r="G1375" s="18">
        <v>0</v>
      </c>
      <c r="H1375" s="18">
        <v>0</v>
      </c>
      <c r="L1375" s="20" t="str">
        <f t="shared" si="42"/>
        <v>N/A</v>
      </c>
      <c r="M1375" s="20" t="str">
        <f t="shared" si="43"/>
        <v>N/A</v>
      </c>
    </row>
    <row r="1376" spans="1:13">
      <c r="A1376" s="18" t="s">
        <v>22</v>
      </c>
      <c r="B1376" s="18" t="s">
        <v>365</v>
      </c>
      <c r="C1376" s="18" t="s">
        <v>273</v>
      </c>
      <c r="D1376" s="18" t="s">
        <v>134</v>
      </c>
      <c r="E1376" s="18">
        <v>72.89</v>
      </c>
      <c r="F1376" s="18">
        <v>91.08</v>
      </c>
      <c r="G1376" s="18">
        <v>0</v>
      </c>
      <c r="H1376" s="18">
        <v>163.97</v>
      </c>
      <c r="L1376" s="20" t="str">
        <f t="shared" si="42"/>
        <v>N/A</v>
      </c>
      <c r="M1376" s="20" t="str">
        <f t="shared" si="43"/>
        <v>N/A</v>
      </c>
    </row>
    <row r="1377" spans="1:13">
      <c r="A1377" s="18" t="s">
        <v>22</v>
      </c>
      <c r="B1377" s="18" t="s">
        <v>365</v>
      </c>
      <c r="C1377" s="18" t="s">
        <v>273</v>
      </c>
      <c r="D1377" s="18" t="s">
        <v>139</v>
      </c>
      <c r="E1377" s="18">
        <v>300.45999999999998</v>
      </c>
      <c r="F1377" s="18">
        <v>150.22999999999999</v>
      </c>
      <c r="G1377" s="18">
        <v>0</v>
      </c>
      <c r="H1377" s="18">
        <v>450.69</v>
      </c>
      <c r="L1377" s="20" t="str">
        <f t="shared" si="42"/>
        <v>N/A</v>
      </c>
      <c r="M1377" s="20" t="str">
        <f t="shared" si="43"/>
        <v>N/A</v>
      </c>
    </row>
    <row r="1378" spans="1:13">
      <c r="A1378" s="18" t="s">
        <v>22</v>
      </c>
      <c r="B1378" s="18" t="s">
        <v>365</v>
      </c>
      <c r="C1378" s="18" t="s">
        <v>273</v>
      </c>
      <c r="D1378" s="18" t="s">
        <v>142</v>
      </c>
      <c r="E1378" s="18">
        <v>248.43</v>
      </c>
      <c r="F1378" s="18">
        <v>146.72</v>
      </c>
      <c r="G1378" s="18">
        <v>0</v>
      </c>
      <c r="H1378" s="18">
        <v>395.15</v>
      </c>
      <c r="L1378" s="20" t="str">
        <f t="shared" si="42"/>
        <v>N/A</v>
      </c>
      <c r="M1378" s="20" t="str">
        <f t="shared" si="43"/>
        <v>N/A</v>
      </c>
    </row>
    <row r="1379" spans="1:13">
      <c r="A1379" s="18" t="s">
        <v>22</v>
      </c>
      <c r="B1379" s="18" t="s">
        <v>365</v>
      </c>
      <c r="C1379" s="18" t="s">
        <v>273</v>
      </c>
      <c r="D1379" s="18" t="s">
        <v>163</v>
      </c>
      <c r="E1379" s="18">
        <v>0</v>
      </c>
      <c r="F1379" s="18">
        <v>0</v>
      </c>
      <c r="G1379" s="18">
        <v>0</v>
      </c>
      <c r="H1379" s="18">
        <v>0</v>
      </c>
      <c r="L1379" s="20" t="str">
        <f t="shared" si="42"/>
        <v>N/A</v>
      </c>
      <c r="M1379" s="20" t="str">
        <f t="shared" si="43"/>
        <v>N/A</v>
      </c>
    </row>
    <row r="1380" spans="1:13">
      <c r="A1380" s="18" t="s">
        <v>22</v>
      </c>
      <c r="B1380" s="18" t="s">
        <v>365</v>
      </c>
      <c r="C1380" s="18" t="s">
        <v>275</v>
      </c>
      <c r="D1380" s="18" t="s">
        <v>87</v>
      </c>
      <c r="E1380" s="18">
        <v>99.15</v>
      </c>
      <c r="F1380" s="18">
        <v>3322.3</v>
      </c>
      <c r="G1380" s="18">
        <v>429.34</v>
      </c>
      <c r="H1380" s="18">
        <v>2992.11</v>
      </c>
      <c r="L1380" s="20" t="str">
        <f t="shared" si="42"/>
        <v>Asset</v>
      </c>
      <c r="M1380" s="20" t="str">
        <f t="shared" si="43"/>
        <v>okay</v>
      </c>
    </row>
    <row r="1381" spans="1:13">
      <c r="A1381" s="18" t="s">
        <v>22</v>
      </c>
      <c r="B1381" s="18" t="s">
        <v>365</v>
      </c>
      <c r="C1381" s="18" t="s">
        <v>275</v>
      </c>
      <c r="D1381" s="18" t="s">
        <v>97</v>
      </c>
      <c r="E1381" s="18">
        <v>1627583.41</v>
      </c>
      <c r="F1381" s="18">
        <v>0</v>
      </c>
      <c r="G1381" s="18">
        <v>0</v>
      </c>
      <c r="H1381" s="18">
        <v>1627583.41</v>
      </c>
      <c r="L1381" s="20" t="str">
        <f t="shared" si="42"/>
        <v>Asset</v>
      </c>
      <c r="M1381" s="20" t="str">
        <f t="shared" si="43"/>
        <v>okay</v>
      </c>
    </row>
    <row r="1382" spans="1:13">
      <c r="A1382" s="18" t="s">
        <v>22</v>
      </c>
      <c r="B1382" s="18" t="s">
        <v>365</v>
      </c>
      <c r="C1382" s="18" t="s">
        <v>275</v>
      </c>
      <c r="D1382" s="18" t="s">
        <v>105</v>
      </c>
      <c r="E1382" s="18">
        <v>506635.57</v>
      </c>
      <c r="F1382" s="18">
        <v>23777.68</v>
      </c>
      <c r="G1382" s="18">
        <v>0</v>
      </c>
      <c r="H1382" s="18">
        <v>530413.25</v>
      </c>
      <c r="L1382" s="20" t="str">
        <f t="shared" si="42"/>
        <v>Asset</v>
      </c>
      <c r="M1382" s="20" t="str">
        <f t="shared" si="43"/>
        <v>okay</v>
      </c>
    </row>
    <row r="1383" spans="1:13">
      <c r="A1383" s="18" t="s">
        <v>22</v>
      </c>
      <c r="B1383" s="18" t="s">
        <v>365</v>
      </c>
      <c r="C1383" s="18" t="s">
        <v>275</v>
      </c>
      <c r="D1383" s="18" t="s">
        <v>108</v>
      </c>
      <c r="E1383" s="18">
        <v>0</v>
      </c>
      <c r="F1383" s="18">
        <v>0</v>
      </c>
      <c r="G1383" s="18">
        <v>0</v>
      </c>
      <c r="H1383" s="18">
        <v>0</v>
      </c>
      <c r="L1383" s="20" t="str">
        <f t="shared" si="42"/>
        <v>Asset</v>
      </c>
      <c r="M1383" s="20" t="str">
        <f t="shared" si="43"/>
        <v>okay</v>
      </c>
    </row>
    <row r="1384" spans="1:13">
      <c r="A1384" s="18" t="s">
        <v>22</v>
      </c>
      <c r="B1384" s="18" t="s">
        <v>365</v>
      </c>
      <c r="C1384" s="18" t="s">
        <v>275</v>
      </c>
      <c r="D1384" s="18" t="s">
        <v>116</v>
      </c>
      <c r="E1384" s="18">
        <v>-20.3</v>
      </c>
      <c r="F1384" s="18">
        <v>0</v>
      </c>
      <c r="G1384" s="18">
        <v>0</v>
      </c>
      <c r="H1384" s="18">
        <v>-20.3</v>
      </c>
      <c r="L1384" s="20" t="str">
        <f t="shared" si="42"/>
        <v>N/A</v>
      </c>
      <c r="M1384" s="20" t="str">
        <f t="shared" si="43"/>
        <v>N/A</v>
      </c>
    </row>
    <row r="1385" spans="1:13">
      <c r="A1385" s="18" t="s">
        <v>22</v>
      </c>
      <c r="B1385" s="18" t="s">
        <v>365</v>
      </c>
      <c r="C1385" s="18" t="s">
        <v>275</v>
      </c>
      <c r="D1385" s="18" t="s">
        <v>121</v>
      </c>
      <c r="E1385" s="18">
        <v>-44.53</v>
      </c>
      <c r="F1385" s="18">
        <v>29.67</v>
      </c>
      <c r="G1385" s="18">
        <v>7.42</v>
      </c>
      <c r="H1385" s="18">
        <v>-22.28</v>
      </c>
      <c r="L1385" s="20" t="str">
        <f t="shared" si="42"/>
        <v>N/A</v>
      </c>
      <c r="M1385" s="20" t="str">
        <f t="shared" si="43"/>
        <v>N/A</v>
      </c>
    </row>
    <row r="1386" spans="1:13">
      <c r="A1386" s="18" t="s">
        <v>22</v>
      </c>
      <c r="B1386" s="18" t="s">
        <v>365</v>
      </c>
      <c r="C1386" s="18" t="s">
        <v>275</v>
      </c>
      <c r="D1386" s="18" t="s">
        <v>124</v>
      </c>
      <c r="E1386" s="18">
        <v>-9.09</v>
      </c>
      <c r="F1386" s="18">
        <v>0</v>
      </c>
      <c r="G1386" s="18">
        <v>5.66</v>
      </c>
      <c r="H1386" s="18">
        <v>-14.75</v>
      </c>
      <c r="L1386" s="20" t="str">
        <f t="shared" si="42"/>
        <v>N/A</v>
      </c>
      <c r="M1386" s="20" t="str">
        <f t="shared" si="43"/>
        <v>N/A</v>
      </c>
    </row>
    <row r="1387" spans="1:13">
      <c r="A1387" s="18" t="s">
        <v>22</v>
      </c>
      <c r="B1387" s="18" t="s">
        <v>365</v>
      </c>
      <c r="C1387" s="18" t="s">
        <v>275</v>
      </c>
      <c r="D1387" s="18" t="s">
        <v>127</v>
      </c>
      <c r="E1387" s="18">
        <v>0</v>
      </c>
      <c r="F1387" s="18">
        <v>0</v>
      </c>
      <c r="G1387" s="18">
        <v>0</v>
      </c>
      <c r="H1387" s="18">
        <v>0</v>
      </c>
      <c r="L1387" s="20" t="str">
        <f t="shared" si="42"/>
        <v>N/A</v>
      </c>
      <c r="M1387" s="20" t="str">
        <f t="shared" si="43"/>
        <v>N/A</v>
      </c>
    </row>
    <row r="1388" spans="1:13">
      <c r="A1388" s="18" t="s">
        <v>22</v>
      </c>
      <c r="B1388" s="18" t="s">
        <v>365</v>
      </c>
      <c r="C1388" s="18" t="s">
        <v>275</v>
      </c>
      <c r="D1388" s="18" t="s">
        <v>95</v>
      </c>
      <c r="E1388" s="18">
        <v>-2.23</v>
      </c>
      <c r="F1388" s="18">
        <v>0.55000000000000004</v>
      </c>
      <c r="G1388" s="18">
        <v>1.66</v>
      </c>
      <c r="H1388" s="18">
        <v>-3.34</v>
      </c>
      <c r="L1388" s="20" t="str">
        <f t="shared" si="42"/>
        <v>N/A</v>
      </c>
      <c r="M1388" s="20" t="str">
        <f t="shared" si="43"/>
        <v>N/A</v>
      </c>
    </row>
    <row r="1389" spans="1:13">
      <c r="A1389" s="18" t="s">
        <v>22</v>
      </c>
      <c r="B1389" s="18" t="s">
        <v>365</v>
      </c>
      <c r="C1389" s="18" t="s">
        <v>275</v>
      </c>
      <c r="D1389" s="18" t="s">
        <v>132</v>
      </c>
      <c r="E1389" s="18">
        <v>0</v>
      </c>
      <c r="F1389" s="18">
        <v>0</v>
      </c>
      <c r="G1389" s="18">
        <v>0</v>
      </c>
      <c r="H1389" s="18">
        <v>0</v>
      </c>
      <c r="L1389" s="20" t="str">
        <f t="shared" si="42"/>
        <v>N/A</v>
      </c>
      <c r="M1389" s="20" t="str">
        <f t="shared" si="43"/>
        <v>N/A</v>
      </c>
    </row>
    <row r="1390" spans="1:13">
      <c r="A1390" s="18" t="s">
        <v>22</v>
      </c>
      <c r="B1390" s="18" t="s">
        <v>365</v>
      </c>
      <c r="C1390" s="18" t="s">
        <v>275</v>
      </c>
      <c r="D1390" s="18" t="s">
        <v>135</v>
      </c>
      <c r="E1390" s="18">
        <v>-1975308.64</v>
      </c>
      <c r="F1390" s="18">
        <v>0</v>
      </c>
      <c r="G1390" s="18">
        <v>0</v>
      </c>
      <c r="H1390" s="18">
        <v>-1975308.64</v>
      </c>
      <c r="L1390" s="20" t="str">
        <f t="shared" si="42"/>
        <v>N/A</v>
      </c>
      <c r="M1390" s="20" t="str">
        <f t="shared" si="43"/>
        <v>N/A</v>
      </c>
    </row>
    <row r="1391" spans="1:13">
      <c r="A1391" s="18" t="s">
        <v>22</v>
      </c>
      <c r="B1391" s="18" t="s">
        <v>365</v>
      </c>
      <c r="C1391" s="18" t="s">
        <v>275</v>
      </c>
      <c r="D1391" s="18" t="s">
        <v>140</v>
      </c>
      <c r="E1391" s="18">
        <v>-4724.62</v>
      </c>
      <c r="F1391" s="18">
        <v>0</v>
      </c>
      <c r="G1391" s="18">
        <v>3321.8</v>
      </c>
      <c r="H1391" s="18">
        <v>-8046.42</v>
      </c>
      <c r="L1391" s="20" t="str">
        <f t="shared" si="42"/>
        <v>N/A</v>
      </c>
      <c r="M1391" s="20" t="str">
        <f t="shared" si="43"/>
        <v>N/A</v>
      </c>
    </row>
    <row r="1392" spans="1:13">
      <c r="A1392" s="18" t="s">
        <v>22</v>
      </c>
      <c r="B1392" s="18" t="s">
        <v>365</v>
      </c>
      <c r="C1392" s="18" t="s">
        <v>275</v>
      </c>
      <c r="D1392" s="18" t="s">
        <v>143</v>
      </c>
      <c r="E1392" s="18">
        <v>347725.23</v>
      </c>
      <c r="F1392" s="18">
        <v>0</v>
      </c>
      <c r="G1392" s="18">
        <v>0</v>
      </c>
      <c r="H1392" s="18">
        <v>347725.23</v>
      </c>
      <c r="L1392" s="20" t="str">
        <f t="shared" si="42"/>
        <v>N/A</v>
      </c>
      <c r="M1392" s="20" t="str">
        <f t="shared" si="43"/>
        <v>N/A</v>
      </c>
    </row>
    <row r="1393" spans="1:13">
      <c r="A1393" s="18" t="s">
        <v>22</v>
      </c>
      <c r="B1393" s="18" t="s">
        <v>365</v>
      </c>
      <c r="C1393" s="18" t="s">
        <v>275</v>
      </c>
      <c r="D1393" s="18" t="s">
        <v>146</v>
      </c>
      <c r="E1393" s="18">
        <v>44063.16</v>
      </c>
      <c r="F1393" s="18">
        <v>0</v>
      </c>
      <c r="G1393" s="18">
        <v>0</v>
      </c>
      <c r="H1393" s="18">
        <v>44063.16</v>
      </c>
      <c r="L1393" s="20" t="str">
        <f t="shared" si="42"/>
        <v>N/A</v>
      </c>
      <c r="M1393" s="20" t="str">
        <f t="shared" si="43"/>
        <v>N/A</v>
      </c>
    </row>
    <row r="1394" spans="1:13">
      <c r="A1394" s="18" t="s">
        <v>22</v>
      </c>
      <c r="B1394" s="18" t="s">
        <v>365</v>
      </c>
      <c r="C1394" s="18" t="s">
        <v>275</v>
      </c>
      <c r="D1394" s="18" t="s">
        <v>147</v>
      </c>
      <c r="E1394" s="18">
        <v>-384169.8</v>
      </c>
      <c r="F1394" s="18">
        <v>0</v>
      </c>
      <c r="G1394" s="18">
        <v>0</v>
      </c>
      <c r="H1394" s="18">
        <v>-384169.8</v>
      </c>
      <c r="L1394" s="20" t="str">
        <f t="shared" si="42"/>
        <v>N/A</v>
      </c>
      <c r="M1394" s="20" t="str">
        <f t="shared" si="43"/>
        <v>N/A</v>
      </c>
    </row>
    <row r="1395" spans="1:13">
      <c r="A1395" s="18" t="s">
        <v>22</v>
      </c>
      <c r="B1395" s="18" t="s">
        <v>365</v>
      </c>
      <c r="C1395" s="18" t="s">
        <v>275</v>
      </c>
      <c r="D1395" s="18" t="s">
        <v>153</v>
      </c>
      <c r="E1395" s="18">
        <v>0</v>
      </c>
      <c r="F1395" s="18">
        <v>0</v>
      </c>
      <c r="G1395" s="18">
        <v>0</v>
      </c>
      <c r="H1395" s="18">
        <v>0</v>
      </c>
      <c r="L1395" s="20" t="str">
        <f t="shared" si="42"/>
        <v>N/A</v>
      </c>
      <c r="M1395" s="20" t="str">
        <f t="shared" si="43"/>
        <v>N/A</v>
      </c>
    </row>
    <row r="1396" spans="1:13">
      <c r="A1396" s="18" t="s">
        <v>22</v>
      </c>
      <c r="B1396" s="18" t="s">
        <v>365</v>
      </c>
      <c r="C1396" s="18" t="s">
        <v>275</v>
      </c>
      <c r="D1396" s="18" t="s">
        <v>155</v>
      </c>
      <c r="E1396" s="18">
        <v>0</v>
      </c>
      <c r="F1396" s="18">
        <v>0</v>
      </c>
      <c r="G1396" s="18">
        <v>0</v>
      </c>
      <c r="H1396" s="18">
        <v>0</v>
      </c>
      <c r="L1396" s="20" t="str">
        <f t="shared" si="42"/>
        <v>N/A</v>
      </c>
      <c r="M1396" s="20" t="str">
        <f t="shared" si="43"/>
        <v>N/A</v>
      </c>
    </row>
    <row r="1397" spans="1:13">
      <c r="A1397" s="18" t="s">
        <v>22</v>
      </c>
      <c r="B1397" s="18" t="s">
        <v>365</v>
      </c>
      <c r="C1397" s="18" t="s">
        <v>275</v>
      </c>
      <c r="D1397" s="18" t="s">
        <v>156</v>
      </c>
      <c r="E1397" s="18">
        <v>-17.399999999999999</v>
      </c>
      <c r="F1397" s="18">
        <v>0</v>
      </c>
      <c r="G1397" s="18">
        <v>0.5</v>
      </c>
      <c r="H1397" s="18">
        <v>-17.899999999999999</v>
      </c>
      <c r="L1397" s="20" t="str">
        <f t="shared" si="42"/>
        <v>N/A</v>
      </c>
      <c r="M1397" s="20" t="str">
        <f t="shared" si="43"/>
        <v>N/A</v>
      </c>
    </row>
    <row r="1398" spans="1:13">
      <c r="A1398" s="18" t="s">
        <v>22</v>
      </c>
      <c r="B1398" s="18" t="s">
        <v>365</v>
      </c>
      <c r="C1398" s="18" t="s">
        <v>275</v>
      </c>
      <c r="D1398" s="18" t="s">
        <v>157</v>
      </c>
      <c r="E1398" s="18">
        <v>-163081.53</v>
      </c>
      <c r="F1398" s="18">
        <v>0</v>
      </c>
      <c r="G1398" s="18">
        <v>23777.68</v>
      </c>
      <c r="H1398" s="18">
        <v>-186859.21</v>
      </c>
      <c r="L1398" s="20" t="str">
        <f t="shared" si="42"/>
        <v>N/A</v>
      </c>
      <c r="M1398" s="20" t="str">
        <f t="shared" si="43"/>
        <v>N/A</v>
      </c>
    </row>
    <row r="1399" spans="1:13">
      <c r="A1399" s="18" t="s">
        <v>22</v>
      </c>
      <c r="B1399" s="18" t="s">
        <v>365</v>
      </c>
      <c r="C1399" s="18" t="s">
        <v>275</v>
      </c>
      <c r="D1399" s="18" t="s">
        <v>145</v>
      </c>
      <c r="E1399" s="18">
        <v>0</v>
      </c>
      <c r="F1399" s="18">
        <v>114.11</v>
      </c>
      <c r="G1399" s="18">
        <v>0</v>
      </c>
      <c r="H1399" s="18">
        <v>114.11</v>
      </c>
      <c r="L1399" s="20" t="str">
        <f t="shared" si="42"/>
        <v>N/A</v>
      </c>
      <c r="M1399" s="20" t="str">
        <f t="shared" si="43"/>
        <v>N/A</v>
      </c>
    </row>
    <row r="1400" spans="1:13">
      <c r="A1400" s="18" t="s">
        <v>22</v>
      </c>
      <c r="B1400" s="18" t="s">
        <v>365</v>
      </c>
      <c r="C1400" s="18" t="s">
        <v>275</v>
      </c>
      <c r="D1400" s="18" t="s">
        <v>96</v>
      </c>
      <c r="E1400" s="18">
        <v>3.32</v>
      </c>
      <c r="F1400" s="18">
        <v>1.66</v>
      </c>
      <c r="G1400" s="18">
        <v>0</v>
      </c>
      <c r="H1400" s="18">
        <v>4.9800000000000004</v>
      </c>
      <c r="L1400" s="20" t="str">
        <f t="shared" si="42"/>
        <v>N/A</v>
      </c>
      <c r="M1400" s="20" t="str">
        <f t="shared" si="43"/>
        <v>N/A</v>
      </c>
    </row>
    <row r="1401" spans="1:13">
      <c r="A1401" s="18" t="s">
        <v>22</v>
      </c>
      <c r="B1401" s="18" t="s">
        <v>365</v>
      </c>
      <c r="C1401" s="18" t="s">
        <v>275</v>
      </c>
      <c r="D1401" s="18" t="s">
        <v>104</v>
      </c>
      <c r="E1401" s="18">
        <v>7.58</v>
      </c>
      <c r="F1401" s="18">
        <v>15.17</v>
      </c>
      <c r="G1401" s="18">
        <v>0</v>
      </c>
      <c r="H1401" s="18">
        <v>22.75</v>
      </c>
      <c r="L1401" s="20" t="str">
        <f t="shared" si="42"/>
        <v>N/A</v>
      </c>
      <c r="M1401" s="20" t="str">
        <f t="shared" si="43"/>
        <v>N/A</v>
      </c>
    </row>
    <row r="1402" spans="1:13">
      <c r="A1402" s="18" t="s">
        <v>22</v>
      </c>
      <c r="B1402" s="18" t="s">
        <v>365</v>
      </c>
      <c r="C1402" s="18" t="s">
        <v>275</v>
      </c>
      <c r="D1402" s="18" t="s">
        <v>359</v>
      </c>
      <c r="E1402" s="18">
        <v>357.84</v>
      </c>
      <c r="F1402" s="18">
        <v>3.39</v>
      </c>
      <c r="G1402" s="18">
        <v>0</v>
      </c>
      <c r="H1402" s="18">
        <v>361.23</v>
      </c>
      <c r="L1402" s="20" t="str">
        <f t="shared" si="42"/>
        <v>N/A</v>
      </c>
      <c r="M1402" s="20" t="str">
        <f t="shared" si="43"/>
        <v>N/A</v>
      </c>
    </row>
    <row r="1403" spans="1:13">
      <c r="A1403" s="18" t="s">
        <v>22</v>
      </c>
      <c r="B1403" s="18" t="s">
        <v>365</v>
      </c>
      <c r="C1403" s="18" t="s">
        <v>275</v>
      </c>
      <c r="D1403" s="18" t="s">
        <v>113</v>
      </c>
      <c r="E1403" s="18">
        <v>487.08</v>
      </c>
      <c r="F1403" s="18">
        <v>133.4</v>
      </c>
      <c r="G1403" s="18">
        <v>0</v>
      </c>
      <c r="H1403" s="18">
        <v>620.48</v>
      </c>
      <c r="L1403" s="20" t="str">
        <f t="shared" si="42"/>
        <v>N/A</v>
      </c>
      <c r="M1403" s="20" t="str">
        <f t="shared" si="43"/>
        <v>N/A</v>
      </c>
    </row>
    <row r="1404" spans="1:13">
      <c r="A1404" s="18" t="s">
        <v>22</v>
      </c>
      <c r="B1404" s="18" t="s">
        <v>365</v>
      </c>
      <c r="C1404" s="18" t="s">
        <v>275</v>
      </c>
      <c r="D1404" s="18" t="s">
        <v>150</v>
      </c>
      <c r="E1404" s="18">
        <v>151.69</v>
      </c>
      <c r="F1404" s="18">
        <v>9.15</v>
      </c>
      <c r="G1404" s="18">
        <v>0</v>
      </c>
      <c r="H1404" s="18">
        <v>160.84</v>
      </c>
      <c r="L1404" s="20" t="str">
        <f t="shared" si="42"/>
        <v>N/A</v>
      </c>
      <c r="M1404" s="20" t="str">
        <f t="shared" si="43"/>
        <v>N/A</v>
      </c>
    </row>
    <row r="1405" spans="1:13">
      <c r="A1405" s="18" t="s">
        <v>22</v>
      </c>
      <c r="B1405" s="18" t="s">
        <v>365</v>
      </c>
      <c r="C1405" s="18" t="s">
        <v>275</v>
      </c>
      <c r="D1405" s="18" t="s">
        <v>120</v>
      </c>
      <c r="E1405" s="18">
        <v>0.23</v>
      </c>
      <c r="F1405" s="18">
        <v>0</v>
      </c>
      <c r="G1405" s="18">
        <v>0</v>
      </c>
      <c r="H1405" s="18">
        <v>0.23</v>
      </c>
      <c r="L1405" s="20" t="str">
        <f t="shared" si="42"/>
        <v>N/A</v>
      </c>
      <c r="M1405" s="20" t="str">
        <f t="shared" si="43"/>
        <v>N/A</v>
      </c>
    </row>
    <row r="1406" spans="1:13">
      <c r="A1406" s="18" t="s">
        <v>22</v>
      </c>
      <c r="B1406" s="18" t="s">
        <v>365</v>
      </c>
      <c r="C1406" s="18" t="s">
        <v>275</v>
      </c>
      <c r="D1406" s="18" t="s">
        <v>123</v>
      </c>
      <c r="E1406" s="18">
        <v>142.08000000000001</v>
      </c>
      <c r="F1406" s="18">
        <v>72.31</v>
      </c>
      <c r="G1406" s="18">
        <v>0</v>
      </c>
      <c r="H1406" s="18">
        <v>214.39</v>
      </c>
      <c r="L1406" s="20" t="str">
        <f t="shared" si="42"/>
        <v>N/A</v>
      </c>
      <c r="M1406" s="20" t="str">
        <f t="shared" si="43"/>
        <v>N/A</v>
      </c>
    </row>
    <row r="1407" spans="1:13">
      <c r="A1407" s="18" t="s">
        <v>22</v>
      </c>
      <c r="B1407" s="18" t="s">
        <v>365</v>
      </c>
      <c r="C1407" s="18" t="s">
        <v>275</v>
      </c>
      <c r="D1407" s="18" t="s">
        <v>126</v>
      </c>
      <c r="E1407" s="18">
        <v>21.16</v>
      </c>
      <c r="F1407" s="18">
        <v>4.08</v>
      </c>
      <c r="G1407" s="18">
        <v>0</v>
      </c>
      <c r="H1407" s="18">
        <v>25.24</v>
      </c>
      <c r="L1407" s="20" t="str">
        <f t="shared" si="42"/>
        <v>N/A</v>
      </c>
      <c r="M1407" s="20" t="str">
        <f t="shared" si="43"/>
        <v>N/A</v>
      </c>
    </row>
    <row r="1408" spans="1:13">
      <c r="A1408" s="18" t="s">
        <v>22</v>
      </c>
      <c r="B1408" s="18" t="s">
        <v>365</v>
      </c>
      <c r="C1408" s="18" t="s">
        <v>275</v>
      </c>
      <c r="D1408" s="18" t="s">
        <v>129</v>
      </c>
      <c r="E1408" s="18">
        <v>19.760000000000002</v>
      </c>
      <c r="F1408" s="18">
        <v>5.62</v>
      </c>
      <c r="G1408" s="18">
        <v>0</v>
      </c>
      <c r="H1408" s="18">
        <v>25.38</v>
      </c>
      <c r="L1408" s="20" t="str">
        <f t="shared" si="42"/>
        <v>N/A</v>
      </c>
      <c r="M1408" s="20" t="str">
        <f t="shared" si="43"/>
        <v>N/A</v>
      </c>
    </row>
    <row r="1409" spans="1:13">
      <c r="A1409" s="18" t="s">
        <v>22</v>
      </c>
      <c r="B1409" s="18" t="s">
        <v>365</v>
      </c>
      <c r="C1409" s="18" t="s">
        <v>275</v>
      </c>
      <c r="D1409" s="18" t="s">
        <v>131</v>
      </c>
      <c r="E1409" s="18">
        <v>50.17</v>
      </c>
      <c r="F1409" s="18">
        <v>35.799999999999997</v>
      </c>
      <c r="G1409" s="18">
        <v>0</v>
      </c>
      <c r="H1409" s="18">
        <v>85.97</v>
      </c>
      <c r="L1409" s="20" t="str">
        <f t="shared" si="42"/>
        <v>N/A</v>
      </c>
      <c r="M1409" s="20" t="str">
        <f t="shared" si="43"/>
        <v>N/A</v>
      </c>
    </row>
    <row r="1410" spans="1:13">
      <c r="A1410" s="18" t="s">
        <v>22</v>
      </c>
      <c r="B1410" s="18" t="s">
        <v>365</v>
      </c>
      <c r="C1410" s="18" t="s">
        <v>275</v>
      </c>
      <c r="D1410" s="18" t="s">
        <v>162</v>
      </c>
      <c r="E1410" s="18">
        <v>0</v>
      </c>
      <c r="F1410" s="18">
        <v>0</v>
      </c>
      <c r="G1410" s="18">
        <v>0</v>
      </c>
      <c r="H1410" s="18">
        <v>0</v>
      </c>
      <c r="L1410" s="20" t="str">
        <f t="shared" si="42"/>
        <v>N/A</v>
      </c>
      <c r="M1410" s="20" t="str">
        <f t="shared" si="43"/>
        <v>N/A</v>
      </c>
    </row>
    <row r="1411" spans="1:13">
      <c r="A1411" s="18" t="s">
        <v>22</v>
      </c>
      <c r="B1411" s="18" t="s">
        <v>365</v>
      </c>
      <c r="C1411" s="18" t="s">
        <v>275</v>
      </c>
      <c r="D1411" s="18" t="s">
        <v>134</v>
      </c>
      <c r="E1411" s="18">
        <v>3.6</v>
      </c>
      <c r="F1411" s="18">
        <v>4.5</v>
      </c>
      <c r="G1411" s="18">
        <v>0</v>
      </c>
      <c r="H1411" s="18">
        <v>8.1</v>
      </c>
      <c r="L1411" s="20" t="str">
        <f t="shared" ref="L1411:L1474" si="44">+IF(LEFT(D1411,1)="1","Asset","N/A")</f>
        <v>N/A</v>
      </c>
      <c r="M1411" s="20" t="str">
        <f t="shared" ref="M1411:M1474" si="45">+IF(L1411="asset",IF(H1411&lt;0,"Provide Comment","okay"),"N/A")</f>
        <v>N/A</v>
      </c>
    </row>
    <row r="1412" spans="1:13">
      <c r="A1412" s="18" t="s">
        <v>22</v>
      </c>
      <c r="B1412" s="18" t="s">
        <v>365</v>
      </c>
      <c r="C1412" s="18" t="s">
        <v>275</v>
      </c>
      <c r="D1412" s="18" t="s">
        <v>139</v>
      </c>
      <c r="E1412" s="18">
        <v>14.84</v>
      </c>
      <c r="F1412" s="18">
        <v>7.42</v>
      </c>
      <c r="G1412" s="18">
        <v>0</v>
      </c>
      <c r="H1412" s="18">
        <v>22.26</v>
      </c>
      <c r="L1412" s="20" t="str">
        <f t="shared" si="44"/>
        <v>N/A</v>
      </c>
      <c r="M1412" s="20" t="str">
        <f t="shared" si="45"/>
        <v>N/A</v>
      </c>
    </row>
    <row r="1413" spans="1:13">
      <c r="A1413" s="18" t="s">
        <v>22</v>
      </c>
      <c r="B1413" s="18" t="s">
        <v>365</v>
      </c>
      <c r="C1413" s="18" t="s">
        <v>275</v>
      </c>
      <c r="D1413" s="18" t="s">
        <v>142</v>
      </c>
      <c r="E1413" s="18">
        <v>12.27</v>
      </c>
      <c r="F1413" s="18">
        <v>7.25</v>
      </c>
      <c r="G1413" s="18">
        <v>0</v>
      </c>
      <c r="H1413" s="18">
        <v>19.52</v>
      </c>
      <c r="L1413" s="20" t="str">
        <f t="shared" si="44"/>
        <v>N/A</v>
      </c>
      <c r="M1413" s="20" t="str">
        <f t="shared" si="45"/>
        <v>N/A</v>
      </c>
    </row>
    <row r="1414" spans="1:13">
      <c r="A1414" s="18" t="s">
        <v>22</v>
      </c>
      <c r="B1414" s="18" t="s">
        <v>365</v>
      </c>
      <c r="C1414" s="18" t="s">
        <v>275</v>
      </c>
      <c r="D1414" s="18" t="s">
        <v>163</v>
      </c>
      <c r="E1414" s="18">
        <v>0</v>
      </c>
      <c r="F1414" s="18">
        <v>0</v>
      </c>
      <c r="G1414" s="18">
        <v>0</v>
      </c>
      <c r="H1414" s="18">
        <v>0</v>
      </c>
      <c r="L1414" s="20" t="str">
        <f t="shared" si="44"/>
        <v>N/A</v>
      </c>
      <c r="M1414" s="20" t="str">
        <f t="shared" si="45"/>
        <v>N/A</v>
      </c>
    </row>
    <row r="1415" spans="1:13">
      <c r="A1415" s="18" t="s">
        <v>22</v>
      </c>
      <c r="B1415" s="18" t="s">
        <v>365</v>
      </c>
      <c r="C1415" s="18" t="s">
        <v>277</v>
      </c>
      <c r="D1415" s="18" t="s">
        <v>87</v>
      </c>
      <c r="E1415" s="18">
        <v>150.27000000000001</v>
      </c>
      <c r="F1415" s="18">
        <v>5045.75</v>
      </c>
      <c r="G1415" s="18">
        <v>7219.49</v>
      </c>
      <c r="H1415" s="18">
        <v>-2023.47</v>
      </c>
      <c r="L1415" s="20" t="str">
        <f t="shared" si="44"/>
        <v>Asset</v>
      </c>
      <c r="M1415" s="20" t="str">
        <f t="shared" si="45"/>
        <v>Provide Comment</v>
      </c>
    </row>
    <row r="1416" spans="1:13">
      <c r="A1416" s="18" t="s">
        <v>22</v>
      </c>
      <c r="B1416" s="18" t="s">
        <v>365</v>
      </c>
      <c r="C1416" s="18" t="s">
        <v>277</v>
      </c>
      <c r="D1416" s="18" t="s">
        <v>97</v>
      </c>
      <c r="E1416" s="18">
        <v>2471892.31</v>
      </c>
      <c r="F1416" s="18">
        <v>0</v>
      </c>
      <c r="G1416" s="18">
        <v>0</v>
      </c>
      <c r="H1416" s="18">
        <v>2471892.31</v>
      </c>
      <c r="L1416" s="20" t="str">
        <f t="shared" si="44"/>
        <v>Asset</v>
      </c>
      <c r="M1416" s="20" t="str">
        <f t="shared" si="45"/>
        <v>okay</v>
      </c>
    </row>
    <row r="1417" spans="1:13">
      <c r="A1417" s="18" t="s">
        <v>22</v>
      </c>
      <c r="B1417" s="18" t="s">
        <v>365</v>
      </c>
      <c r="C1417" s="18" t="s">
        <v>277</v>
      </c>
      <c r="D1417" s="18" t="s">
        <v>105</v>
      </c>
      <c r="E1417" s="18">
        <v>769452.78</v>
      </c>
      <c r="F1417" s="18">
        <v>36112.339999999997</v>
      </c>
      <c r="G1417" s="18">
        <v>0</v>
      </c>
      <c r="H1417" s="18">
        <v>805565.12</v>
      </c>
      <c r="L1417" s="20" t="str">
        <f t="shared" si="44"/>
        <v>Asset</v>
      </c>
      <c r="M1417" s="20" t="str">
        <f t="shared" si="45"/>
        <v>okay</v>
      </c>
    </row>
    <row r="1418" spans="1:13">
      <c r="A1418" s="18" t="s">
        <v>22</v>
      </c>
      <c r="B1418" s="18" t="s">
        <v>365</v>
      </c>
      <c r="C1418" s="18" t="s">
        <v>277</v>
      </c>
      <c r="D1418" s="18" t="s">
        <v>108</v>
      </c>
      <c r="E1418" s="18">
        <v>0</v>
      </c>
      <c r="F1418" s="18">
        <v>0</v>
      </c>
      <c r="G1418" s="18">
        <v>0</v>
      </c>
      <c r="H1418" s="18">
        <v>0</v>
      </c>
      <c r="L1418" s="20" t="str">
        <f t="shared" si="44"/>
        <v>Asset</v>
      </c>
      <c r="M1418" s="20" t="str">
        <f t="shared" si="45"/>
        <v>okay</v>
      </c>
    </row>
    <row r="1419" spans="1:13">
      <c r="A1419" s="18" t="s">
        <v>21</v>
      </c>
      <c r="B1419" s="18" t="s">
        <v>362</v>
      </c>
      <c r="C1419" s="18" t="s">
        <v>165</v>
      </c>
      <c r="D1419" s="18" t="s">
        <v>74</v>
      </c>
      <c r="E1419" s="18" t="s">
        <v>75</v>
      </c>
      <c r="F1419" s="18" t="s">
        <v>76</v>
      </c>
      <c r="G1419" s="18" t="s">
        <v>77</v>
      </c>
      <c r="H1419" s="32" t="s">
        <v>78</v>
      </c>
      <c r="L1419" s="20" t="str">
        <f t="shared" si="44"/>
        <v>N/A</v>
      </c>
      <c r="M1419" s="20" t="str">
        <f t="shared" si="45"/>
        <v>N/A</v>
      </c>
    </row>
    <row r="1420" spans="1:13">
      <c r="A1420" s="18" t="s">
        <v>22</v>
      </c>
      <c r="B1420" s="18" t="s">
        <v>365</v>
      </c>
      <c r="C1420" s="18" t="s">
        <v>277</v>
      </c>
      <c r="D1420" s="18" t="s">
        <v>116</v>
      </c>
      <c r="E1420" s="18">
        <v>-30.84</v>
      </c>
      <c r="F1420" s="18">
        <v>0</v>
      </c>
      <c r="G1420" s="18">
        <v>0</v>
      </c>
      <c r="H1420" s="18">
        <v>-30.84</v>
      </c>
      <c r="L1420" s="20" t="str">
        <f t="shared" si="44"/>
        <v>N/A</v>
      </c>
      <c r="M1420" s="20" t="str">
        <f t="shared" si="45"/>
        <v>N/A</v>
      </c>
    </row>
    <row r="1421" spans="1:13">
      <c r="A1421" s="18" t="s">
        <v>22</v>
      </c>
      <c r="B1421" s="18" t="s">
        <v>365</v>
      </c>
      <c r="C1421" s="18" t="s">
        <v>277</v>
      </c>
      <c r="D1421" s="18" t="s">
        <v>121</v>
      </c>
      <c r="E1421" s="18">
        <v>-67.62</v>
      </c>
      <c r="F1421" s="18">
        <v>45.07</v>
      </c>
      <c r="G1421" s="18">
        <v>11.27</v>
      </c>
      <c r="H1421" s="18">
        <v>-33.82</v>
      </c>
      <c r="L1421" s="20" t="str">
        <f t="shared" si="44"/>
        <v>N/A</v>
      </c>
      <c r="M1421" s="20" t="str">
        <f t="shared" si="45"/>
        <v>N/A</v>
      </c>
    </row>
    <row r="1422" spans="1:13">
      <c r="A1422" s="18" t="s">
        <v>22</v>
      </c>
      <c r="B1422" s="18" t="s">
        <v>365</v>
      </c>
      <c r="C1422" s="18" t="s">
        <v>277</v>
      </c>
      <c r="D1422" s="18" t="s">
        <v>124</v>
      </c>
      <c r="E1422" s="18">
        <v>-13.8</v>
      </c>
      <c r="F1422" s="18">
        <v>0</v>
      </c>
      <c r="G1422" s="18">
        <v>8.59</v>
      </c>
      <c r="H1422" s="18">
        <v>-22.39</v>
      </c>
      <c r="L1422" s="20" t="str">
        <f t="shared" si="44"/>
        <v>N/A</v>
      </c>
      <c r="M1422" s="20" t="str">
        <f t="shared" si="45"/>
        <v>N/A</v>
      </c>
    </row>
    <row r="1423" spans="1:13">
      <c r="A1423" s="18" t="s">
        <v>22</v>
      </c>
      <c r="B1423" s="18" t="s">
        <v>365</v>
      </c>
      <c r="C1423" s="18" t="s">
        <v>277</v>
      </c>
      <c r="D1423" s="18" t="s">
        <v>127</v>
      </c>
      <c r="E1423" s="18">
        <v>0</v>
      </c>
      <c r="F1423" s="18">
        <v>0</v>
      </c>
      <c r="G1423" s="18">
        <v>0</v>
      </c>
      <c r="H1423" s="18">
        <v>0</v>
      </c>
      <c r="L1423" s="20" t="str">
        <f t="shared" si="44"/>
        <v>N/A</v>
      </c>
      <c r="M1423" s="20" t="str">
        <f t="shared" si="45"/>
        <v>N/A</v>
      </c>
    </row>
    <row r="1424" spans="1:13">
      <c r="A1424" s="18" t="s">
        <v>22</v>
      </c>
      <c r="B1424" s="18" t="s">
        <v>365</v>
      </c>
      <c r="C1424" s="18" t="s">
        <v>277</v>
      </c>
      <c r="D1424" s="18" t="s">
        <v>95</v>
      </c>
      <c r="E1424" s="18">
        <v>-3.36</v>
      </c>
      <c r="F1424" s="18">
        <v>0.84</v>
      </c>
      <c r="G1424" s="18">
        <v>2.52</v>
      </c>
      <c r="H1424" s="18">
        <v>-5.04</v>
      </c>
      <c r="L1424" s="20" t="str">
        <f t="shared" si="44"/>
        <v>N/A</v>
      </c>
      <c r="M1424" s="20" t="str">
        <f t="shared" si="45"/>
        <v>N/A</v>
      </c>
    </row>
    <row r="1425" spans="1:13">
      <c r="A1425" s="18" t="s">
        <v>22</v>
      </c>
      <c r="B1425" s="18" t="s">
        <v>365</v>
      </c>
      <c r="C1425" s="18" t="s">
        <v>277</v>
      </c>
      <c r="D1425" s="18" t="s">
        <v>132</v>
      </c>
      <c r="E1425" s="18">
        <v>0</v>
      </c>
      <c r="F1425" s="18">
        <v>0</v>
      </c>
      <c r="G1425" s="18">
        <v>0</v>
      </c>
      <c r="H1425" s="18">
        <v>0</v>
      </c>
      <c r="L1425" s="20" t="str">
        <f t="shared" si="44"/>
        <v>N/A</v>
      </c>
      <c r="M1425" s="20" t="str">
        <f t="shared" si="45"/>
        <v>N/A</v>
      </c>
    </row>
    <row r="1426" spans="1:13">
      <c r="A1426" s="18" t="s">
        <v>22</v>
      </c>
      <c r="B1426" s="18" t="s">
        <v>365</v>
      </c>
      <c r="C1426" s="18" t="s">
        <v>277</v>
      </c>
      <c r="D1426" s="18" t="s">
        <v>135</v>
      </c>
      <c r="E1426" s="18">
        <v>-3000000</v>
      </c>
      <c r="F1426" s="18">
        <v>0</v>
      </c>
      <c r="G1426" s="18">
        <v>0</v>
      </c>
      <c r="H1426" s="18">
        <v>-3000000</v>
      </c>
      <c r="L1426" s="20" t="str">
        <f t="shared" si="44"/>
        <v>N/A</v>
      </c>
      <c r="M1426" s="20" t="str">
        <f t="shared" si="45"/>
        <v>N/A</v>
      </c>
    </row>
    <row r="1427" spans="1:13">
      <c r="A1427" s="18" t="s">
        <v>22</v>
      </c>
      <c r="B1427" s="18" t="s">
        <v>365</v>
      </c>
      <c r="C1427" s="18" t="s">
        <v>277</v>
      </c>
      <c r="D1427" s="18" t="s">
        <v>140</v>
      </c>
      <c r="E1427" s="18">
        <v>-7175.51</v>
      </c>
      <c r="F1427" s="18">
        <v>0</v>
      </c>
      <c r="G1427" s="18">
        <v>5044.9799999999996</v>
      </c>
      <c r="H1427" s="18">
        <v>-12220.49</v>
      </c>
      <c r="L1427" s="20" t="str">
        <f t="shared" si="44"/>
        <v>N/A</v>
      </c>
      <c r="M1427" s="20" t="str">
        <f t="shared" si="45"/>
        <v>N/A</v>
      </c>
    </row>
    <row r="1428" spans="1:13">
      <c r="A1428" s="18" t="s">
        <v>22</v>
      </c>
      <c r="B1428" s="18" t="s">
        <v>365</v>
      </c>
      <c r="C1428" s="18" t="s">
        <v>277</v>
      </c>
      <c r="D1428" s="18" t="s">
        <v>143</v>
      </c>
      <c r="E1428" s="18">
        <v>528107.68999999994</v>
      </c>
      <c r="F1428" s="18">
        <v>0</v>
      </c>
      <c r="G1428" s="18">
        <v>0</v>
      </c>
      <c r="H1428" s="18">
        <v>528107.68999999994</v>
      </c>
      <c r="L1428" s="20" t="str">
        <f t="shared" si="44"/>
        <v>N/A</v>
      </c>
      <c r="M1428" s="20" t="str">
        <f t="shared" si="45"/>
        <v>N/A</v>
      </c>
    </row>
    <row r="1429" spans="1:13">
      <c r="A1429" s="18" t="s">
        <v>22</v>
      </c>
      <c r="B1429" s="18" t="s">
        <v>365</v>
      </c>
      <c r="C1429" s="18" t="s">
        <v>277</v>
      </c>
      <c r="D1429" s="18" t="s">
        <v>146</v>
      </c>
      <c r="E1429" s="18">
        <v>66920.929999999993</v>
      </c>
      <c r="F1429" s="18">
        <v>0</v>
      </c>
      <c r="G1429" s="18">
        <v>0</v>
      </c>
      <c r="H1429" s="18">
        <v>66920.929999999993</v>
      </c>
      <c r="L1429" s="20" t="str">
        <f t="shared" si="44"/>
        <v>N/A</v>
      </c>
      <c r="M1429" s="20" t="str">
        <f t="shared" si="45"/>
        <v>N/A</v>
      </c>
    </row>
    <row r="1430" spans="1:13">
      <c r="A1430" s="18" t="s">
        <v>22</v>
      </c>
      <c r="B1430" s="18" t="s">
        <v>365</v>
      </c>
      <c r="C1430" s="18" t="s">
        <v>277</v>
      </c>
      <c r="D1430" s="18" t="s">
        <v>147</v>
      </c>
      <c r="E1430" s="18">
        <v>-583457.98</v>
      </c>
      <c r="F1430" s="18">
        <v>0</v>
      </c>
      <c r="G1430" s="18">
        <v>0</v>
      </c>
      <c r="H1430" s="18">
        <v>-583457.98</v>
      </c>
      <c r="L1430" s="20" t="str">
        <f t="shared" si="44"/>
        <v>N/A</v>
      </c>
      <c r="M1430" s="20" t="str">
        <f t="shared" si="45"/>
        <v>N/A</v>
      </c>
    </row>
    <row r="1431" spans="1:13">
      <c r="A1431" s="18" t="s">
        <v>22</v>
      </c>
      <c r="B1431" s="18" t="s">
        <v>365</v>
      </c>
      <c r="C1431" s="18" t="s">
        <v>277</v>
      </c>
      <c r="D1431" s="18" t="s">
        <v>153</v>
      </c>
      <c r="E1431" s="18">
        <v>0</v>
      </c>
      <c r="F1431" s="18">
        <v>0</v>
      </c>
      <c r="G1431" s="18">
        <v>0</v>
      </c>
      <c r="H1431" s="18">
        <v>0</v>
      </c>
      <c r="L1431" s="20" t="str">
        <f t="shared" si="44"/>
        <v>N/A</v>
      </c>
      <c r="M1431" s="20" t="str">
        <f t="shared" si="45"/>
        <v>N/A</v>
      </c>
    </row>
    <row r="1432" spans="1:13">
      <c r="A1432" s="18" t="s">
        <v>22</v>
      </c>
      <c r="B1432" s="18" t="s">
        <v>365</v>
      </c>
      <c r="C1432" s="18" t="s">
        <v>277</v>
      </c>
      <c r="D1432" s="18" t="s">
        <v>155</v>
      </c>
      <c r="E1432" s="18">
        <v>0</v>
      </c>
      <c r="F1432" s="18">
        <v>0</v>
      </c>
      <c r="G1432" s="18">
        <v>0</v>
      </c>
      <c r="H1432" s="18">
        <v>0</v>
      </c>
      <c r="L1432" s="20" t="str">
        <f t="shared" si="44"/>
        <v>N/A</v>
      </c>
      <c r="M1432" s="20" t="str">
        <f t="shared" si="45"/>
        <v>N/A</v>
      </c>
    </row>
    <row r="1433" spans="1:13">
      <c r="A1433" s="18" t="s">
        <v>22</v>
      </c>
      <c r="B1433" s="18" t="s">
        <v>365</v>
      </c>
      <c r="C1433" s="18" t="s">
        <v>277</v>
      </c>
      <c r="D1433" s="18" t="s">
        <v>156</v>
      </c>
      <c r="E1433" s="18">
        <v>-26.42</v>
      </c>
      <c r="F1433" s="18">
        <v>0</v>
      </c>
      <c r="G1433" s="18">
        <v>0.77</v>
      </c>
      <c r="H1433" s="18">
        <v>-27.19</v>
      </c>
      <c r="L1433" s="20" t="str">
        <f t="shared" si="44"/>
        <v>N/A</v>
      </c>
      <c r="M1433" s="20" t="str">
        <f t="shared" si="45"/>
        <v>N/A</v>
      </c>
    </row>
    <row r="1434" spans="1:13">
      <c r="A1434" s="18" t="s">
        <v>22</v>
      </c>
      <c r="B1434" s="18" t="s">
        <v>365</v>
      </c>
      <c r="C1434" s="18" t="s">
        <v>277</v>
      </c>
      <c r="D1434" s="18" t="s">
        <v>157</v>
      </c>
      <c r="E1434" s="18">
        <v>-247680.06</v>
      </c>
      <c r="F1434" s="18">
        <v>0</v>
      </c>
      <c r="G1434" s="18">
        <v>36112.339999999997</v>
      </c>
      <c r="H1434" s="18">
        <v>-283792.40000000002</v>
      </c>
      <c r="L1434" s="20" t="str">
        <f t="shared" si="44"/>
        <v>N/A</v>
      </c>
      <c r="M1434" s="20" t="str">
        <f t="shared" si="45"/>
        <v>N/A</v>
      </c>
    </row>
    <row r="1435" spans="1:13">
      <c r="A1435" s="18" t="s">
        <v>22</v>
      </c>
      <c r="B1435" s="18" t="s">
        <v>365</v>
      </c>
      <c r="C1435" s="18" t="s">
        <v>277</v>
      </c>
      <c r="D1435" s="18" t="s">
        <v>145</v>
      </c>
      <c r="E1435" s="18">
        <v>0</v>
      </c>
      <c r="F1435" s="18">
        <v>173.3</v>
      </c>
      <c r="G1435" s="18">
        <v>0</v>
      </c>
      <c r="H1435" s="18">
        <v>173.3</v>
      </c>
      <c r="L1435" s="20" t="str">
        <f t="shared" si="44"/>
        <v>N/A</v>
      </c>
      <c r="M1435" s="20" t="str">
        <f t="shared" si="45"/>
        <v>N/A</v>
      </c>
    </row>
    <row r="1436" spans="1:13">
      <c r="A1436" s="18" t="s">
        <v>22</v>
      </c>
      <c r="B1436" s="18" t="s">
        <v>365</v>
      </c>
      <c r="C1436" s="18" t="s">
        <v>277</v>
      </c>
      <c r="D1436" s="18" t="s">
        <v>96</v>
      </c>
      <c r="E1436" s="18">
        <v>5.04</v>
      </c>
      <c r="F1436" s="18">
        <v>2.52</v>
      </c>
      <c r="G1436" s="18">
        <v>0</v>
      </c>
      <c r="H1436" s="18">
        <v>7.56</v>
      </c>
      <c r="L1436" s="20" t="str">
        <f t="shared" si="44"/>
        <v>N/A</v>
      </c>
      <c r="M1436" s="20" t="str">
        <f t="shared" si="45"/>
        <v>N/A</v>
      </c>
    </row>
    <row r="1437" spans="1:13">
      <c r="A1437" s="18" t="s">
        <v>22</v>
      </c>
      <c r="B1437" s="18" t="s">
        <v>365</v>
      </c>
      <c r="C1437" s="18" t="s">
        <v>277</v>
      </c>
      <c r="D1437" s="18" t="s">
        <v>104</v>
      </c>
      <c r="E1437" s="18">
        <v>11.52</v>
      </c>
      <c r="F1437" s="18">
        <v>23.04</v>
      </c>
      <c r="G1437" s="18">
        <v>0</v>
      </c>
      <c r="H1437" s="18">
        <v>34.56</v>
      </c>
      <c r="L1437" s="20" t="str">
        <f t="shared" si="44"/>
        <v>N/A</v>
      </c>
      <c r="M1437" s="20" t="str">
        <f t="shared" si="45"/>
        <v>N/A</v>
      </c>
    </row>
    <row r="1438" spans="1:13">
      <c r="A1438" s="18" t="s">
        <v>22</v>
      </c>
      <c r="B1438" s="18" t="s">
        <v>365</v>
      </c>
      <c r="C1438" s="18" t="s">
        <v>277</v>
      </c>
      <c r="D1438" s="18" t="s">
        <v>359</v>
      </c>
      <c r="E1438" s="18">
        <v>543.46</v>
      </c>
      <c r="F1438" s="18">
        <v>5.15</v>
      </c>
      <c r="G1438" s="18">
        <v>0</v>
      </c>
      <c r="H1438" s="18">
        <v>548.61</v>
      </c>
      <c r="L1438" s="20" t="str">
        <f t="shared" si="44"/>
        <v>N/A</v>
      </c>
      <c r="M1438" s="20" t="str">
        <f t="shared" si="45"/>
        <v>N/A</v>
      </c>
    </row>
    <row r="1439" spans="1:13">
      <c r="A1439" s="18" t="s">
        <v>22</v>
      </c>
      <c r="B1439" s="18" t="s">
        <v>365</v>
      </c>
      <c r="C1439" s="18" t="s">
        <v>277</v>
      </c>
      <c r="D1439" s="18" t="s">
        <v>113</v>
      </c>
      <c r="E1439" s="18">
        <v>739.74</v>
      </c>
      <c r="F1439" s="18">
        <v>202.6</v>
      </c>
      <c r="G1439" s="18">
        <v>0</v>
      </c>
      <c r="H1439" s="18">
        <v>942.34</v>
      </c>
      <c r="L1439" s="20" t="str">
        <f t="shared" si="44"/>
        <v>N/A</v>
      </c>
      <c r="M1439" s="20" t="str">
        <f t="shared" si="45"/>
        <v>N/A</v>
      </c>
    </row>
    <row r="1440" spans="1:13">
      <c r="A1440" s="18" t="s">
        <v>22</v>
      </c>
      <c r="B1440" s="18" t="s">
        <v>365</v>
      </c>
      <c r="C1440" s="18" t="s">
        <v>277</v>
      </c>
      <c r="D1440" s="18" t="s">
        <v>150</v>
      </c>
      <c r="E1440" s="18">
        <v>230.4</v>
      </c>
      <c r="F1440" s="18">
        <v>13.91</v>
      </c>
      <c r="G1440" s="18">
        <v>0</v>
      </c>
      <c r="H1440" s="18">
        <v>244.31</v>
      </c>
      <c r="L1440" s="20" t="str">
        <f t="shared" si="44"/>
        <v>N/A</v>
      </c>
      <c r="M1440" s="20" t="str">
        <f t="shared" si="45"/>
        <v>N/A</v>
      </c>
    </row>
    <row r="1441" spans="1:13">
      <c r="A1441" s="18" t="s">
        <v>22</v>
      </c>
      <c r="B1441" s="18" t="s">
        <v>365</v>
      </c>
      <c r="C1441" s="18" t="s">
        <v>277</v>
      </c>
      <c r="D1441" s="18" t="s">
        <v>120</v>
      </c>
      <c r="E1441" s="18">
        <v>0.35</v>
      </c>
      <c r="F1441" s="18">
        <v>0</v>
      </c>
      <c r="G1441" s="18">
        <v>0</v>
      </c>
      <c r="H1441" s="18">
        <v>0.35</v>
      </c>
      <c r="L1441" s="20" t="str">
        <f t="shared" si="44"/>
        <v>N/A</v>
      </c>
      <c r="M1441" s="20" t="str">
        <f t="shared" si="45"/>
        <v>N/A</v>
      </c>
    </row>
    <row r="1442" spans="1:13">
      <c r="A1442" s="18" t="s">
        <v>22</v>
      </c>
      <c r="B1442" s="18" t="s">
        <v>365</v>
      </c>
      <c r="C1442" s="18" t="s">
        <v>277</v>
      </c>
      <c r="D1442" s="18" t="s">
        <v>123</v>
      </c>
      <c r="E1442" s="18">
        <v>215.77</v>
      </c>
      <c r="F1442" s="18">
        <v>109.82</v>
      </c>
      <c r="G1442" s="18">
        <v>0</v>
      </c>
      <c r="H1442" s="18">
        <v>325.58999999999997</v>
      </c>
      <c r="L1442" s="20" t="str">
        <f t="shared" si="44"/>
        <v>N/A</v>
      </c>
      <c r="M1442" s="20" t="str">
        <f t="shared" si="45"/>
        <v>N/A</v>
      </c>
    </row>
    <row r="1443" spans="1:13">
      <c r="A1443" s="18" t="s">
        <v>22</v>
      </c>
      <c r="B1443" s="18" t="s">
        <v>365</v>
      </c>
      <c r="C1443" s="18" t="s">
        <v>277</v>
      </c>
      <c r="D1443" s="18" t="s">
        <v>126</v>
      </c>
      <c r="E1443" s="18">
        <v>32.119999999999997</v>
      </c>
      <c r="F1443" s="18">
        <v>6.19</v>
      </c>
      <c r="G1443" s="18">
        <v>0</v>
      </c>
      <c r="H1443" s="18">
        <v>38.31</v>
      </c>
      <c r="L1443" s="20" t="str">
        <f t="shared" si="44"/>
        <v>N/A</v>
      </c>
      <c r="M1443" s="20" t="str">
        <f t="shared" si="45"/>
        <v>N/A</v>
      </c>
    </row>
    <row r="1444" spans="1:13">
      <c r="A1444" s="18" t="s">
        <v>22</v>
      </c>
      <c r="B1444" s="18" t="s">
        <v>365</v>
      </c>
      <c r="C1444" s="18" t="s">
        <v>277</v>
      </c>
      <c r="D1444" s="18" t="s">
        <v>129</v>
      </c>
      <c r="E1444" s="18">
        <v>30</v>
      </c>
      <c r="F1444" s="18">
        <v>8.5399999999999991</v>
      </c>
      <c r="G1444" s="18">
        <v>0</v>
      </c>
      <c r="H1444" s="18">
        <v>38.54</v>
      </c>
      <c r="L1444" s="20" t="str">
        <f t="shared" si="44"/>
        <v>N/A</v>
      </c>
      <c r="M1444" s="20" t="str">
        <f t="shared" si="45"/>
        <v>N/A</v>
      </c>
    </row>
    <row r="1445" spans="1:13">
      <c r="A1445" s="18" t="s">
        <v>22</v>
      </c>
      <c r="B1445" s="18" t="s">
        <v>365</v>
      </c>
      <c r="C1445" s="18" t="s">
        <v>277</v>
      </c>
      <c r="D1445" s="18" t="s">
        <v>131</v>
      </c>
      <c r="E1445" s="18">
        <v>76.180000000000007</v>
      </c>
      <c r="F1445" s="18">
        <v>54.37</v>
      </c>
      <c r="G1445" s="18">
        <v>0</v>
      </c>
      <c r="H1445" s="18">
        <v>130.55000000000001</v>
      </c>
      <c r="L1445" s="20" t="str">
        <f t="shared" si="44"/>
        <v>N/A</v>
      </c>
      <c r="M1445" s="20" t="str">
        <f t="shared" si="45"/>
        <v>N/A</v>
      </c>
    </row>
    <row r="1446" spans="1:13">
      <c r="A1446" s="18" t="s">
        <v>22</v>
      </c>
      <c r="B1446" s="18" t="s">
        <v>365</v>
      </c>
      <c r="C1446" s="18" t="s">
        <v>277</v>
      </c>
      <c r="D1446" s="18" t="s">
        <v>162</v>
      </c>
      <c r="E1446" s="18">
        <v>0</v>
      </c>
      <c r="F1446" s="18">
        <v>0</v>
      </c>
      <c r="G1446" s="18">
        <v>0</v>
      </c>
      <c r="H1446" s="18">
        <v>0</v>
      </c>
      <c r="L1446" s="20" t="str">
        <f t="shared" si="44"/>
        <v>N/A</v>
      </c>
      <c r="M1446" s="20" t="str">
        <f t="shared" si="45"/>
        <v>N/A</v>
      </c>
    </row>
    <row r="1447" spans="1:13">
      <c r="A1447" s="18" t="s">
        <v>22</v>
      </c>
      <c r="B1447" s="18" t="s">
        <v>365</v>
      </c>
      <c r="C1447" s="18" t="s">
        <v>277</v>
      </c>
      <c r="D1447" s="18" t="s">
        <v>134</v>
      </c>
      <c r="E1447" s="18">
        <v>5.48</v>
      </c>
      <c r="F1447" s="18">
        <v>6.84</v>
      </c>
      <c r="G1447" s="18">
        <v>0</v>
      </c>
      <c r="H1447" s="18">
        <v>12.32</v>
      </c>
      <c r="L1447" s="20" t="str">
        <f t="shared" si="44"/>
        <v>N/A</v>
      </c>
      <c r="M1447" s="20" t="str">
        <f t="shared" si="45"/>
        <v>N/A</v>
      </c>
    </row>
    <row r="1448" spans="1:13">
      <c r="A1448" s="18" t="s">
        <v>22</v>
      </c>
      <c r="B1448" s="18" t="s">
        <v>365</v>
      </c>
      <c r="C1448" s="18" t="s">
        <v>277</v>
      </c>
      <c r="D1448" s="18" t="s">
        <v>139</v>
      </c>
      <c r="E1448" s="18">
        <v>22.54</v>
      </c>
      <c r="F1448" s="18">
        <v>11.27</v>
      </c>
      <c r="G1448" s="18">
        <v>0</v>
      </c>
      <c r="H1448" s="18">
        <v>33.81</v>
      </c>
      <c r="L1448" s="20" t="str">
        <f t="shared" si="44"/>
        <v>N/A</v>
      </c>
      <c r="M1448" s="20" t="str">
        <f t="shared" si="45"/>
        <v>N/A</v>
      </c>
    </row>
    <row r="1449" spans="1:13">
      <c r="A1449" s="18" t="s">
        <v>22</v>
      </c>
      <c r="B1449" s="18" t="s">
        <v>365</v>
      </c>
      <c r="C1449" s="18" t="s">
        <v>277</v>
      </c>
      <c r="D1449" s="18" t="s">
        <v>142</v>
      </c>
      <c r="E1449" s="18">
        <v>18.62</v>
      </c>
      <c r="F1449" s="18">
        <v>11</v>
      </c>
      <c r="G1449" s="18">
        <v>0</v>
      </c>
      <c r="H1449" s="18">
        <v>29.62</v>
      </c>
      <c r="L1449" s="20" t="str">
        <f t="shared" si="44"/>
        <v>N/A</v>
      </c>
      <c r="M1449" s="20" t="str">
        <f t="shared" si="45"/>
        <v>N/A</v>
      </c>
    </row>
    <row r="1450" spans="1:13">
      <c r="A1450" s="18" t="s">
        <v>22</v>
      </c>
      <c r="B1450" s="18" t="s">
        <v>365</v>
      </c>
      <c r="C1450" s="18" t="s">
        <v>277</v>
      </c>
      <c r="D1450" s="18" t="s">
        <v>163</v>
      </c>
      <c r="E1450" s="18">
        <v>0</v>
      </c>
      <c r="F1450" s="18">
        <v>0</v>
      </c>
      <c r="G1450" s="18">
        <v>0</v>
      </c>
      <c r="H1450" s="18">
        <v>0</v>
      </c>
      <c r="L1450" s="20" t="str">
        <f t="shared" si="44"/>
        <v>N/A</v>
      </c>
      <c r="M1450" s="20" t="str">
        <f t="shared" si="45"/>
        <v>N/A</v>
      </c>
    </row>
    <row r="1451" spans="1:13">
      <c r="A1451" s="18" t="s">
        <v>22</v>
      </c>
      <c r="B1451" s="18" t="s">
        <v>365</v>
      </c>
      <c r="C1451" s="18" t="s">
        <v>279</v>
      </c>
      <c r="D1451" s="18" t="s">
        <v>87</v>
      </c>
      <c r="E1451" s="18">
        <v>185.97</v>
      </c>
      <c r="F1451" s="18">
        <v>6229.32</v>
      </c>
      <c r="G1451" s="18">
        <v>805.02</v>
      </c>
      <c r="H1451" s="18">
        <v>5610.27</v>
      </c>
      <c r="L1451" s="20" t="str">
        <f t="shared" si="44"/>
        <v>Asset</v>
      </c>
      <c r="M1451" s="20" t="str">
        <f t="shared" si="45"/>
        <v>okay</v>
      </c>
    </row>
    <row r="1452" spans="1:13">
      <c r="A1452" s="18" t="s">
        <v>22</v>
      </c>
      <c r="B1452" s="18" t="s">
        <v>365</v>
      </c>
      <c r="C1452" s="18" t="s">
        <v>279</v>
      </c>
      <c r="D1452" s="18" t="s">
        <v>97</v>
      </c>
      <c r="E1452" s="18">
        <v>3051718.89</v>
      </c>
      <c r="F1452" s="18">
        <v>0</v>
      </c>
      <c r="G1452" s="18">
        <v>0</v>
      </c>
      <c r="H1452" s="18">
        <v>3051718.89</v>
      </c>
      <c r="L1452" s="20" t="str">
        <f t="shared" si="44"/>
        <v>Asset</v>
      </c>
      <c r="M1452" s="20" t="str">
        <f t="shared" si="45"/>
        <v>okay</v>
      </c>
    </row>
    <row r="1453" spans="1:13">
      <c r="A1453" s="18" t="s">
        <v>22</v>
      </c>
      <c r="B1453" s="18" t="s">
        <v>365</v>
      </c>
      <c r="C1453" s="18" t="s">
        <v>279</v>
      </c>
      <c r="D1453" s="18" t="s">
        <v>105</v>
      </c>
      <c r="E1453" s="18">
        <v>949941.67</v>
      </c>
      <c r="F1453" s="18">
        <v>44583.13</v>
      </c>
      <c r="G1453" s="18">
        <v>0</v>
      </c>
      <c r="H1453" s="18">
        <v>994524.8</v>
      </c>
      <c r="L1453" s="20" t="str">
        <f t="shared" si="44"/>
        <v>Asset</v>
      </c>
      <c r="M1453" s="20" t="str">
        <f t="shared" si="45"/>
        <v>okay</v>
      </c>
    </row>
    <row r="1454" spans="1:13">
      <c r="A1454" s="18" t="s">
        <v>22</v>
      </c>
      <c r="B1454" s="18" t="s">
        <v>365</v>
      </c>
      <c r="C1454" s="18" t="s">
        <v>279</v>
      </c>
      <c r="D1454" s="18" t="s">
        <v>108</v>
      </c>
      <c r="E1454" s="18">
        <v>0</v>
      </c>
      <c r="F1454" s="18">
        <v>0</v>
      </c>
      <c r="G1454" s="18">
        <v>0</v>
      </c>
      <c r="H1454" s="18">
        <v>0</v>
      </c>
      <c r="L1454" s="20" t="str">
        <f t="shared" si="44"/>
        <v>Asset</v>
      </c>
      <c r="M1454" s="20" t="str">
        <f t="shared" si="45"/>
        <v>okay</v>
      </c>
    </row>
    <row r="1455" spans="1:13">
      <c r="A1455" s="18" t="s">
        <v>22</v>
      </c>
      <c r="B1455" s="18" t="s">
        <v>365</v>
      </c>
      <c r="C1455" s="18" t="s">
        <v>279</v>
      </c>
      <c r="D1455" s="18" t="s">
        <v>116</v>
      </c>
      <c r="E1455" s="18">
        <v>-38.04</v>
      </c>
      <c r="F1455" s="18">
        <v>0</v>
      </c>
      <c r="G1455" s="18">
        <v>0</v>
      </c>
      <c r="H1455" s="18">
        <v>-38.04</v>
      </c>
      <c r="L1455" s="20" t="str">
        <f t="shared" si="44"/>
        <v>N/A</v>
      </c>
      <c r="M1455" s="20" t="str">
        <f t="shared" si="45"/>
        <v>N/A</v>
      </c>
    </row>
    <row r="1456" spans="1:13">
      <c r="A1456" s="18" t="s">
        <v>22</v>
      </c>
      <c r="B1456" s="18" t="s">
        <v>365</v>
      </c>
      <c r="C1456" s="18" t="s">
        <v>279</v>
      </c>
      <c r="D1456" s="18" t="s">
        <v>121</v>
      </c>
      <c r="E1456" s="18">
        <v>-83.44</v>
      </c>
      <c r="F1456" s="18">
        <v>55.64</v>
      </c>
      <c r="G1456" s="18">
        <v>13.91</v>
      </c>
      <c r="H1456" s="18">
        <v>-41.71</v>
      </c>
      <c r="L1456" s="20" t="str">
        <f t="shared" si="44"/>
        <v>N/A</v>
      </c>
      <c r="M1456" s="20" t="str">
        <f t="shared" si="45"/>
        <v>N/A</v>
      </c>
    </row>
    <row r="1457" spans="1:13">
      <c r="A1457" s="18" t="s">
        <v>22</v>
      </c>
      <c r="B1457" s="18" t="s">
        <v>365</v>
      </c>
      <c r="C1457" s="18" t="s">
        <v>279</v>
      </c>
      <c r="D1457" s="18" t="s">
        <v>124</v>
      </c>
      <c r="E1457" s="18">
        <v>-17.05</v>
      </c>
      <c r="F1457" s="18">
        <v>0</v>
      </c>
      <c r="G1457" s="18">
        <v>10.61</v>
      </c>
      <c r="H1457" s="18">
        <v>-27.66</v>
      </c>
      <c r="L1457" s="20" t="str">
        <f t="shared" si="44"/>
        <v>N/A</v>
      </c>
      <c r="M1457" s="20" t="str">
        <f t="shared" si="45"/>
        <v>N/A</v>
      </c>
    </row>
    <row r="1458" spans="1:13">
      <c r="A1458" s="18" t="s">
        <v>22</v>
      </c>
      <c r="B1458" s="18" t="s">
        <v>365</v>
      </c>
      <c r="C1458" s="18" t="s">
        <v>279</v>
      </c>
      <c r="D1458" s="18" t="s">
        <v>127</v>
      </c>
      <c r="E1458" s="18">
        <v>0</v>
      </c>
      <c r="F1458" s="18">
        <v>0</v>
      </c>
      <c r="G1458" s="18">
        <v>0</v>
      </c>
      <c r="H1458" s="18">
        <v>0</v>
      </c>
      <c r="L1458" s="20" t="str">
        <f t="shared" si="44"/>
        <v>N/A</v>
      </c>
      <c r="M1458" s="20" t="str">
        <f t="shared" si="45"/>
        <v>N/A</v>
      </c>
    </row>
    <row r="1459" spans="1:13">
      <c r="A1459" s="18" t="s">
        <v>22</v>
      </c>
      <c r="B1459" s="18" t="s">
        <v>365</v>
      </c>
      <c r="C1459" s="18" t="s">
        <v>279</v>
      </c>
      <c r="D1459" s="18" t="s">
        <v>95</v>
      </c>
      <c r="E1459" s="18">
        <v>-4.1100000000000003</v>
      </c>
      <c r="F1459" s="18">
        <v>1.04</v>
      </c>
      <c r="G1459" s="18">
        <v>3.11</v>
      </c>
      <c r="H1459" s="18">
        <v>-6.18</v>
      </c>
      <c r="L1459" s="20" t="str">
        <f t="shared" si="44"/>
        <v>N/A</v>
      </c>
      <c r="M1459" s="20" t="str">
        <f t="shared" si="45"/>
        <v>N/A</v>
      </c>
    </row>
    <row r="1460" spans="1:13">
      <c r="A1460" s="18" t="s">
        <v>22</v>
      </c>
      <c r="B1460" s="18" t="s">
        <v>365</v>
      </c>
      <c r="C1460" s="18" t="s">
        <v>279</v>
      </c>
      <c r="D1460" s="18" t="s">
        <v>132</v>
      </c>
      <c r="E1460" s="18">
        <v>0</v>
      </c>
      <c r="F1460" s="18">
        <v>0</v>
      </c>
      <c r="G1460" s="18">
        <v>0</v>
      </c>
      <c r="H1460" s="18">
        <v>0</v>
      </c>
      <c r="L1460" s="20" t="str">
        <f t="shared" si="44"/>
        <v>N/A</v>
      </c>
      <c r="M1460" s="20" t="str">
        <f t="shared" si="45"/>
        <v>N/A</v>
      </c>
    </row>
    <row r="1461" spans="1:13">
      <c r="A1461" s="18" t="s">
        <v>22</v>
      </c>
      <c r="B1461" s="18" t="s">
        <v>365</v>
      </c>
      <c r="C1461" s="18" t="s">
        <v>279</v>
      </c>
      <c r="D1461" s="18" t="s">
        <v>135</v>
      </c>
      <c r="E1461" s="18">
        <v>-3703703.7</v>
      </c>
      <c r="F1461" s="18">
        <v>0</v>
      </c>
      <c r="G1461" s="18">
        <v>0</v>
      </c>
      <c r="H1461" s="18">
        <v>-3703703.7</v>
      </c>
      <c r="L1461" s="20" t="str">
        <f t="shared" si="44"/>
        <v>N/A</v>
      </c>
      <c r="M1461" s="20" t="str">
        <f t="shared" si="45"/>
        <v>N/A</v>
      </c>
    </row>
    <row r="1462" spans="1:13">
      <c r="A1462" s="18" t="s">
        <v>22</v>
      </c>
      <c r="B1462" s="18" t="s">
        <v>365</v>
      </c>
      <c r="C1462" s="18" t="s">
        <v>279</v>
      </c>
      <c r="D1462" s="18" t="s">
        <v>140</v>
      </c>
      <c r="E1462" s="18">
        <v>-8858.66</v>
      </c>
      <c r="F1462" s="18">
        <v>0</v>
      </c>
      <c r="G1462" s="18">
        <v>6228.37</v>
      </c>
      <c r="H1462" s="18">
        <v>-15087.03</v>
      </c>
      <c r="L1462" s="20" t="str">
        <f t="shared" si="44"/>
        <v>N/A</v>
      </c>
      <c r="M1462" s="20" t="str">
        <f t="shared" si="45"/>
        <v>N/A</v>
      </c>
    </row>
    <row r="1463" spans="1:13">
      <c r="A1463" s="18" t="s">
        <v>22</v>
      </c>
      <c r="B1463" s="18" t="s">
        <v>365</v>
      </c>
      <c r="C1463" s="18" t="s">
        <v>279</v>
      </c>
      <c r="D1463" s="18" t="s">
        <v>143</v>
      </c>
      <c r="E1463" s="18">
        <v>651984.81000000006</v>
      </c>
      <c r="F1463" s="18">
        <v>0</v>
      </c>
      <c r="G1463" s="18">
        <v>0</v>
      </c>
      <c r="H1463" s="18">
        <v>651984.81000000006</v>
      </c>
      <c r="L1463" s="20" t="str">
        <f t="shared" si="44"/>
        <v>N/A</v>
      </c>
      <c r="M1463" s="20" t="str">
        <f t="shared" si="45"/>
        <v>N/A</v>
      </c>
    </row>
    <row r="1464" spans="1:13">
      <c r="A1464" s="18" t="s">
        <v>22</v>
      </c>
      <c r="B1464" s="18" t="s">
        <v>365</v>
      </c>
      <c r="C1464" s="18" t="s">
        <v>279</v>
      </c>
      <c r="D1464" s="18" t="s">
        <v>146</v>
      </c>
      <c r="E1464" s="18">
        <v>82618.44</v>
      </c>
      <c r="F1464" s="18">
        <v>0</v>
      </c>
      <c r="G1464" s="18">
        <v>0</v>
      </c>
      <c r="H1464" s="18">
        <v>82618.44</v>
      </c>
      <c r="L1464" s="20" t="str">
        <f t="shared" si="44"/>
        <v>N/A</v>
      </c>
      <c r="M1464" s="20" t="str">
        <f t="shared" si="45"/>
        <v>N/A</v>
      </c>
    </row>
    <row r="1465" spans="1:13">
      <c r="A1465" s="18" t="s">
        <v>22</v>
      </c>
      <c r="B1465" s="18" t="s">
        <v>365</v>
      </c>
      <c r="C1465" s="18" t="s">
        <v>279</v>
      </c>
      <c r="D1465" s="18" t="s">
        <v>147</v>
      </c>
      <c r="E1465" s="18">
        <v>-720318.53</v>
      </c>
      <c r="F1465" s="18">
        <v>0</v>
      </c>
      <c r="G1465" s="18">
        <v>0</v>
      </c>
      <c r="H1465" s="18">
        <v>-720318.53</v>
      </c>
      <c r="L1465" s="20" t="str">
        <f t="shared" si="44"/>
        <v>N/A</v>
      </c>
      <c r="M1465" s="20" t="str">
        <f t="shared" si="45"/>
        <v>N/A</v>
      </c>
    </row>
    <row r="1466" spans="1:13">
      <c r="A1466" s="18" t="s">
        <v>22</v>
      </c>
      <c r="B1466" s="18" t="s">
        <v>365</v>
      </c>
      <c r="C1466" s="18" t="s">
        <v>279</v>
      </c>
      <c r="D1466" s="18" t="s">
        <v>153</v>
      </c>
      <c r="E1466" s="18">
        <v>0</v>
      </c>
      <c r="F1466" s="18">
        <v>0</v>
      </c>
      <c r="G1466" s="18">
        <v>0</v>
      </c>
      <c r="H1466" s="18">
        <v>0</v>
      </c>
      <c r="L1466" s="20" t="str">
        <f t="shared" si="44"/>
        <v>N/A</v>
      </c>
      <c r="M1466" s="20" t="str">
        <f t="shared" si="45"/>
        <v>N/A</v>
      </c>
    </row>
    <row r="1467" spans="1:13">
      <c r="A1467" s="18" t="s">
        <v>22</v>
      </c>
      <c r="B1467" s="18" t="s">
        <v>365</v>
      </c>
      <c r="C1467" s="18" t="s">
        <v>279</v>
      </c>
      <c r="D1467" s="18" t="s">
        <v>155</v>
      </c>
      <c r="E1467" s="18">
        <v>0</v>
      </c>
      <c r="F1467" s="18">
        <v>0</v>
      </c>
      <c r="G1467" s="18">
        <v>0</v>
      </c>
      <c r="H1467" s="18">
        <v>0</v>
      </c>
      <c r="L1467" s="20" t="str">
        <f t="shared" si="44"/>
        <v>N/A</v>
      </c>
      <c r="M1467" s="20" t="str">
        <f t="shared" si="45"/>
        <v>N/A</v>
      </c>
    </row>
    <row r="1468" spans="1:13">
      <c r="A1468" s="18" t="s">
        <v>22</v>
      </c>
      <c r="B1468" s="18" t="s">
        <v>365</v>
      </c>
      <c r="C1468" s="18" t="s">
        <v>279</v>
      </c>
      <c r="D1468" s="18" t="s">
        <v>156</v>
      </c>
      <c r="E1468" s="18">
        <v>-32.619999999999997</v>
      </c>
      <c r="F1468" s="18">
        <v>0</v>
      </c>
      <c r="G1468" s="18">
        <v>0.95</v>
      </c>
      <c r="H1468" s="18">
        <v>-33.57</v>
      </c>
      <c r="L1468" s="20" t="str">
        <f t="shared" si="44"/>
        <v>N/A</v>
      </c>
      <c r="M1468" s="20" t="str">
        <f t="shared" si="45"/>
        <v>N/A</v>
      </c>
    </row>
    <row r="1469" spans="1:13">
      <c r="A1469" s="18" t="s">
        <v>22</v>
      </c>
      <c r="B1469" s="18" t="s">
        <v>365</v>
      </c>
      <c r="C1469" s="18" t="s">
        <v>279</v>
      </c>
      <c r="D1469" s="18" t="s">
        <v>157</v>
      </c>
      <c r="E1469" s="18">
        <v>-305777.84999999998</v>
      </c>
      <c r="F1469" s="18">
        <v>0</v>
      </c>
      <c r="G1469" s="18">
        <v>44583.13</v>
      </c>
      <c r="H1469" s="18">
        <v>-350360.98</v>
      </c>
      <c r="L1469" s="20" t="str">
        <f t="shared" si="44"/>
        <v>N/A</v>
      </c>
      <c r="M1469" s="20" t="str">
        <f t="shared" si="45"/>
        <v>N/A</v>
      </c>
    </row>
    <row r="1470" spans="1:13">
      <c r="A1470" s="18" t="s">
        <v>22</v>
      </c>
      <c r="B1470" s="18" t="s">
        <v>365</v>
      </c>
      <c r="C1470" s="18" t="s">
        <v>279</v>
      </c>
      <c r="D1470" s="18" t="s">
        <v>145</v>
      </c>
      <c r="E1470" s="18">
        <v>0</v>
      </c>
      <c r="F1470" s="18">
        <v>213.95</v>
      </c>
      <c r="G1470" s="18">
        <v>0</v>
      </c>
      <c r="H1470" s="18">
        <v>213.95</v>
      </c>
      <c r="L1470" s="20" t="str">
        <f t="shared" si="44"/>
        <v>N/A</v>
      </c>
      <c r="M1470" s="20" t="str">
        <f t="shared" si="45"/>
        <v>N/A</v>
      </c>
    </row>
    <row r="1471" spans="1:13">
      <c r="A1471" s="18" t="s">
        <v>22</v>
      </c>
      <c r="B1471" s="18" t="s">
        <v>365</v>
      </c>
      <c r="C1471" s="18" t="s">
        <v>279</v>
      </c>
      <c r="D1471" s="18" t="s">
        <v>96</v>
      </c>
      <c r="E1471" s="18">
        <v>6.22</v>
      </c>
      <c r="F1471" s="18">
        <v>3.11</v>
      </c>
      <c r="G1471" s="18">
        <v>0</v>
      </c>
      <c r="H1471" s="18">
        <v>9.33</v>
      </c>
      <c r="L1471" s="20" t="str">
        <f t="shared" si="44"/>
        <v>N/A</v>
      </c>
      <c r="M1471" s="20" t="str">
        <f t="shared" si="45"/>
        <v>N/A</v>
      </c>
    </row>
    <row r="1472" spans="1:13">
      <c r="A1472" s="18" t="s">
        <v>22</v>
      </c>
      <c r="B1472" s="18" t="s">
        <v>365</v>
      </c>
      <c r="C1472" s="18" t="s">
        <v>279</v>
      </c>
      <c r="D1472" s="18" t="s">
        <v>104</v>
      </c>
      <c r="E1472" s="18">
        <v>14.22</v>
      </c>
      <c r="F1472" s="18">
        <v>28.45</v>
      </c>
      <c r="G1472" s="18">
        <v>0</v>
      </c>
      <c r="H1472" s="18">
        <v>42.67</v>
      </c>
      <c r="L1472" s="20" t="str">
        <f t="shared" si="44"/>
        <v>N/A</v>
      </c>
      <c r="M1472" s="20" t="str">
        <f t="shared" si="45"/>
        <v>N/A</v>
      </c>
    </row>
    <row r="1473" spans="1:13">
      <c r="A1473" s="18" t="s">
        <v>22</v>
      </c>
      <c r="B1473" s="18" t="s">
        <v>365</v>
      </c>
      <c r="C1473" s="18" t="s">
        <v>279</v>
      </c>
      <c r="D1473" s="18" t="s">
        <v>359</v>
      </c>
      <c r="E1473" s="18">
        <v>670.93</v>
      </c>
      <c r="F1473" s="18">
        <v>6.35</v>
      </c>
      <c r="G1473" s="18">
        <v>0</v>
      </c>
      <c r="H1473" s="18">
        <v>677.28</v>
      </c>
      <c r="L1473" s="20" t="str">
        <f t="shared" si="44"/>
        <v>N/A</v>
      </c>
      <c r="M1473" s="20" t="str">
        <f t="shared" si="45"/>
        <v>N/A</v>
      </c>
    </row>
    <row r="1474" spans="1:13">
      <c r="A1474" s="18" t="s">
        <v>22</v>
      </c>
      <c r="B1474" s="18" t="s">
        <v>365</v>
      </c>
      <c r="C1474" s="18" t="s">
        <v>279</v>
      </c>
      <c r="D1474" s="18" t="s">
        <v>113</v>
      </c>
      <c r="E1474" s="18">
        <v>913.27</v>
      </c>
      <c r="F1474" s="18">
        <v>250.12</v>
      </c>
      <c r="G1474" s="18">
        <v>0</v>
      </c>
      <c r="H1474" s="18">
        <v>1163.3900000000001</v>
      </c>
      <c r="L1474" s="20" t="str">
        <f t="shared" si="44"/>
        <v>N/A</v>
      </c>
      <c r="M1474" s="20" t="str">
        <f t="shared" si="45"/>
        <v>N/A</v>
      </c>
    </row>
    <row r="1475" spans="1:13">
      <c r="A1475" s="18" t="s">
        <v>22</v>
      </c>
      <c r="B1475" s="18" t="s">
        <v>365</v>
      </c>
      <c r="C1475" s="18" t="s">
        <v>279</v>
      </c>
      <c r="D1475" s="18" t="s">
        <v>150</v>
      </c>
      <c r="E1475" s="18">
        <v>284.45</v>
      </c>
      <c r="F1475" s="18">
        <v>17.170000000000002</v>
      </c>
      <c r="G1475" s="18">
        <v>0</v>
      </c>
      <c r="H1475" s="18">
        <v>301.62</v>
      </c>
      <c r="L1475" s="20" t="str">
        <f t="shared" ref="L1475:L1538" si="46">+IF(LEFT(D1475,1)="1","Asset","N/A")</f>
        <v>N/A</v>
      </c>
      <c r="M1475" s="20" t="str">
        <f t="shared" ref="M1475:M1538" si="47">+IF(L1475="asset",IF(H1475&lt;0,"Provide Comment","okay"),"N/A")</f>
        <v>N/A</v>
      </c>
    </row>
    <row r="1476" spans="1:13">
      <c r="A1476" s="18" t="s">
        <v>22</v>
      </c>
      <c r="B1476" s="18" t="s">
        <v>365</v>
      </c>
      <c r="C1476" s="18" t="s">
        <v>279</v>
      </c>
      <c r="D1476" s="18" t="s">
        <v>120</v>
      </c>
      <c r="E1476" s="18">
        <v>0.43</v>
      </c>
      <c r="F1476" s="18">
        <v>0</v>
      </c>
      <c r="G1476" s="18">
        <v>0</v>
      </c>
      <c r="H1476" s="18">
        <v>0.43</v>
      </c>
      <c r="L1476" s="20" t="str">
        <f t="shared" si="46"/>
        <v>N/A</v>
      </c>
      <c r="M1476" s="20" t="str">
        <f t="shared" si="47"/>
        <v>N/A</v>
      </c>
    </row>
    <row r="1477" spans="1:13">
      <c r="A1477" s="18" t="s">
        <v>22</v>
      </c>
      <c r="B1477" s="18" t="s">
        <v>365</v>
      </c>
      <c r="C1477" s="18" t="s">
        <v>279</v>
      </c>
      <c r="D1477" s="18" t="s">
        <v>123</v>
      </c>
      <c r="E1477" s="18">
        <v>266.39</v>
      </c>
      <c r="F1477" s="18">
        <v>135.58000000000001</v>
      </c>
      <c r="G1477" s="18">
        <v>0</v>
      </c>
      <c r="H1477" s="18">
        <v>401.97</v>
      </c>
      <c r="L1477" s="20" t="str">
        <f t="shared" si="46"/>
        <v>N/A</v>
      </c>
      <c r="M1477" s="20" t="str">
        <f t="shared" si="47"/>
        <v>N/A</v>
      </c>
    </row>
    <row r="1478" spans="1:13">
      <c r="A1478" s="18" t="s">
        <v>22</v>
      </c>
      <c r="B1478" s="18" t="s">
        <v>365</v>
      </c>
      <c r="C1478" s="18" t="s">
        <v>279</v>
      </c>
      <c r="D1478" s="18" t="s">
        <v>126</v>
      </c>
      <c r="E1478" s="18">
        <v>39.659999999999997</v>
      </c>
      <c r="F1478" s="18">
        <v>7.64</v>
      </c>
      <c r="G1478" s="18">
        <v>0</v>
      </c>
      <c r="H1478" s="18">
        <v>47.3</v>
      </c>
      <c r="L1478" s="20" t="str">
        <f t="shared" si="46"/>
        <v>N/A</v>
      </c>
      <c r="M1478" s="20" t="str">
        <f t="shared" si="47"/>
        <v>N/A</v>
      </c>
    </row>
    <row r="1479" spans="1:13">
      <c r="A1479" s="18" t="s">
        <v>22</v>
      </c>
      <c r="B1479" s="18" t="s">
        <v>365</v>
      </c>
      <c r="C1479" s="18" t="s">
        <v>279</v>
      </c>
      <c r="D1479" s="18" t="s">
        <v>129</v>
      </c>
      <c r="E1479" s="18">
        <v>37.020000000000003</v>
      </c>
      <c r="F1479" s="18">
        <v>10.54</v>
      </c>
      <c r="G1479" s="18">
        <v>0</v>
      </c>
      <c r="H1479" s="18">
        <v>47.56</v>
      </c>
      <c r="L1479" s="20" t="str">
        <f t="shared" si="46"/>
        <v>N/A</v>
      </c>
      <c r="M1479" s="20" t="str">
        <f t="shared" si="47"/>
        <v>N/A</v>
      </c>
    </row>
    <row r="1480" spans="1:13">
      <c r="A1480" s="18" t="s">
        <v>22</v>
      </c>
      <c r="B1480" s="18" t="s">
        <v>365</v>
      </c>
      <c r="C1480" s="18" t="s">
        <v>279</v>
      </c>
      <c r="D1480" s="18" t="s">
        <v>131</v>
      </c>
      <c r="E1480" s="18">
        <v>94.05</v>
      </c>
      <c r="F1480" s="18">
        <v>67.14</v>
      </c>
      <c r="G1480" s="18">
        <v>0</v>
      </c>
      <c r="H1480" s="18">
        <v>161.19</v>
      </c>
      <c r="L1480" s="20" t="str">
        <f t="shared" si="46"/>
        <v>N/A</v>
      </c>
      <c r="M1480" s="20" t="str">
        <f t="shared" si="47"/>
        <v>N/A</v>
      </c>
    </row>
    <row r="1481" spans="1:13">
      <c r="A1481" s="18" t="s">
        <v>22</v>
      </c>
      <c r="B1481" s="18" t="s">
        <v>365</v>
      </c>
      <c r="C1481" s="18" t="s">
        <v>279</v>
      </c>
      <c r="D1481" s="18" t="s">
        <v>162</v>
      </c>
      <c r="E1481" s="18">
        <v>0</v>
      </c>
      <c r="F1481" s="18">
        <v>0</v>
      </c>
      <c r="G1481" s="18">
        <v>0</v>
      </c>
      <c r="H1481" s="18">
        <v>0</v>
      </c>
      <c r="L1481" s="20" t="str">
        <f t="shared" si="46"/>
        <v>N/A</v>
      </c>
      <c r="M1481" s="20" t="str">
        <f t="shared" si="47"/>
        <v>N/A</v>
      </c>
    </row>
    <row r="1482" spans="1:13">
      <c r="A1482" s="18" t="s">
        <v>22</v>
      </c>
      <c r="B1482" s="18" t="s">
        <v>365</v>
      </c>
      <c r="C1482" s="18" t="s">
        <v>279</v>
      </c>
      <c r="D1482" s="18" t="s">
        <v>134</v>
      </c>
      <c r="E1482" s="18">
        <v>6.76</v>
      </c>
      <c r="F1482" s="18">
        <v>8.43</v>
      </c>
      <c r="G1482" s="18">
        <v>0</v>
      </c>
      <c r="H1482" s="18">
        <v>15.19</v>
      </c>
      <c r="L1482" s="20" t="str">
        <f t="shared" si="46"/>
        <v>N/A</v>
      </c>
      <c r="M1482" s="20" t="str">
        <f t="shared" si="47"/>
        <v>N/A</v>
      </c>
    </row>
    <row r="1483" spans="1:13">
      <c r="A1483" s="18" t="s">
        <v>22</v>
      </c>
      <c r="B1483" s="18" t="s">
        <v>365</v>
      </c>
      <c r="C1483" s="18" t="s">
        <v>279</v>
      </c>
      <c r="D1483" s="18" t="s">
        <v>139</v>
      </c>
      <c r="E1483" s="18">
        <v>27.82</v>
      </c>
      <c r="F1483" s="18">
        <v>13.91</v>
      </c>
      <c r="G1483" s="18">
        <v>0</v>
      </c>
      <c r="H1483" s="18">
        <v>41.73</v>
      </c>
      <c r="L1483" s="20" t="str">
        <f t="shared" si="46"/>
        <v>N/A</v>
      </c>
      <c r="M1483" s="20" t="str">
        <f t="shared" si="47"/>
        <v>N/A</v>
      </c>
    </row>
    <row r="1484" spans="1:13">
      <c r="A1484" s="18" t="s">
        <v>22</v>
      </c>
      <c r="B1484" s="18" t="s">
        <v>365</v>
      </c>
      <c r="C1484" s="18" t="s">
        <v>279</v>
      </c>
      <c r="D1484" s="18" t="s">
        <v>142</v>
      </c>
      <c r="E1484" s="18">
        <v>23</v>
      </c>
      <c r="F1484" s="18">
        <v>13.58</v>
      </c>
      <c r="G1484" s="18">
        <v>0</v>
      </c>
      <c r="H1484" s="18">
        <v>36.58</v>
      </c>
      <c r="L1484" s="20" t="str">
        <f t="shared" si="46"/>
        <v>N/A</v>
      </c>
      <c r="M1484" s="20" t="str">
        <f t="shared" si="47"/>
        <v>N/A</v>
      </c>
    </row>
    <row r="1485" spans="1:13">
      <c r="A1485" s="18" t="s">
        <v>22</v>
      </c>
      <c r="B1485" s="18" t="s">
        <v>365</v>
      </c>
      <c r="C1485" s="18" t="s">
        <v>279</v>
      </c>
      <c r="D1485" s="18" t="s">
        <v>163</v>
      </c>
      <c r="E1485" s="18">
        <v>0</v>
      </c>
      <c r="F1485" s="18">
        <v>0</v>
      </c>
      <c r="G1485" s="18">
        <v>0</v>
      </c>
      <c r="H1485" s="18">
        <v>0</v>
      </c>
      <c r="L1485" s="20" t="str">
        <f t="shared" si="46"/>
        <v>N/A</v>
      </c>
      <c r="M1485" s="20" t="str">
        <f t="shared" si="47"/>
        <v>N/A</v>
      </c>
    </row>
    <row r="1486" spans="1:13">
      <c r="A1486" s="18" t="s">
        <v>22</v>
      </c>
      <c r="B1486" s="18" t="s">
        <v>365</v>
      </c>
      <c r="C1486" s="18" t="s">
        <v>281</v>
      </c>
      <c r="D1486" s="18" t="s">
        <v>87</v>
      </c>
      <c r="E1486" s="18">
        <v>24.78</v>
      </c>
      <c r="F1486" s="18">
        <v>830.57</v>
      </c>
      <c r="G1486" s="18">
        <v>107.34</v>
      </c>
      <c r="H1486" s="18">
        <v>748.01</v>
      </c>
      <c r="L1486" s="20" t="str">
        <f t="shared" si="46"/>
        <v>Asset</v>
      </c>
      <c r="M1486" s="20" t="str">
        <f t="shared" si="47"/>
        <v>okay</v>
      </c>
    </row>
    <row r="1487" spans="1:13">
      <c r="A1487" s="18" t="s">
        <v>22</v>
      </c>
      <c r="B1487" s="18" t="s">
        <v>365</v>
      </c>
      <c r="C1487" s="18" t="s">
        <v>281</v>
      </c>
      <c r="D1487" s="18" t="s">
        <v>97</v>
      </c>
      <c r="E1487" s="18">
        <v>406895.86</v>
      </c>
      <c r="F1487" s="18">
        <v>0</v>
      </c>
      <c r="G1487" s="18">
        <v>0</v>
      </c>
      <c r="H1487" s="18">
        <v>406895.86</v>
      </c>
      <c r="L1487" s="20" t="str">
        <f t="shared" si="46"/>
        <v>Asset</v>
      </c>
      <c r="M1487" s="20" t="str">
        <f t="shared" si="47"/>
        <v>okay</v>
      </c>
    </row>
    <row r="1488" spans="1:13">
      <c r="A1488" s="18" t="s">
        <v>22</v>
      </c>
      <c r="B1488" s="18" t="s">
        <v>365</v>
      </c>
      <c r="C1488" s="18" t="s">
        <v>281</v>
      </c>
      <c r="D1488" s="18" t="s">
        <v>105</v>
      </c>
      <c r="E1488" s="18">
        <v>126658.88</v>
      </c>
      <c r="F1488" s="18">
        <v>5944.42</v>
      </c>
      <c r="G1488" s="18">
        <v>0</v>
      </c>
      <c r="H1488" s="18">
        <v>132603.29999999999</v>
      </c>
      <c r="L1488" s="20" t="str">
        <f t="shared" si="46"/>
        <v>Asset</v>
      </c>
      <c r="M1488" s="20" t="str">
        <f t="shared" si="47"/>
        <v>okay</v>
      </c>
    </row>
    <row r="1489" spans="1:13">
      <c r="A1489" s="18" t="s">
        <v>22</v>
      </c>
      <c r="B1489" s="18" t="s">
        <v>365</v>
      </c>
      <c r="C1489" s="18" t="s">
        <v>281</v>
      </c>
      <c r="D1489" s="18" t="s">
        <v>108</v>
      </c>
      <c r="E1489" s="18">
        <v>0</v>
      </c>
      <c r="F1489" s="18">
        <v>0</v>
      </c>
      <c r="G1489" s="18">
        <v>0</v>
      </c>
      <c r="H1489" s="18">
        <v>0</v>
      </c>
      <c r="L1489" s="20" t="str">
        <f t="shared" si="46"/>
        <v>Asset</v>
      </c>
      <c r="M1489" s="20" t="str">
        <f t="shared" si="47"/>
        <v>okay</v>
      </c>
    </row>
    <row r="1490" spans="1:13">
      <c r="A1490" s="18" t="s">
        <v>22</v>
      </c>
      <c r="B1490" s="18" t="s">
        <v>365</v>
      </c>
      <c r="C1490" s="18" t="s">
        <v>281</v>
      </c>
      <c r="D1490" s="18" t="s">
        <v>116</v>
      </c>
      <c r="E1490" s="18">
        <v>-5.05</v>
      </c>
      <c r="F1490" s="18">
        <v>0</v>
      </c>
      <c r="G1490" s="18">
        <v>0</v>
      </c>
      <c r="H1490" s="18">
        <v>-5.05</v>
      </c>
      <c r="L1490" s="20" t="str">
        <f t="shared" si="46"/>
        <v>N/A</v>
      </c>
      <c r="M1490" s="20" t="str">
        <f t="shared" si="47"/>
        <v>N/A</v>
      </c>
    </row>
    <row r="1491" spans="1:13">
      <c r="A1491" s="18" t="s">
        <v>22</v>
      </c>
      <c r="B1491" s="18" t="s">
        <v>365</v>
      </c>
      <c r="C1491" s="18" t="s">
        <v>281</v>
      </c>
      <c r="D1491" s="18" t="s">
        <v>121</v>
      </c>
      <c r="E1491" s="18">
        <v>-11.13</v>
      </c>
      <c r="F1491" s="18">
        <v>7.42</v>
      </c>
      <c r="G1491" s="18">
        <v>1.85</v>
      </c>
      <c r="H1491" s="18">
        <v>-5.56</v>
      </c>
      <c r="L1491" s="20" t="str">
        <f t="shared" si="46"/>
        <v>N/A</v>
      </c>
      <c r="M1491" s="20" t="str">
        <f t="shared" si="47"/>
        <v>N/A</v>
      </c>
    </row>
    <row r="1492" spans="1:13">
      <c r="A1492" s="18" t="s">
        <v>22</v>
      </c>
      <c r="B1492" s="18" t="s">
        <v>365</v>
      </c>
      <c r="C1492" s="18" t="s">
        <v>281</v>
      </c>
      <c r="D1492" s="18" t="s">
        <v>124</v>
      </c>
      <c r="E1492" s="18">
        <v>-2.2599999999999998</v>
      </c>
      <c r="F1492" s="18">
        <v>0</v>
      </c>
      <c r="G1492" s="18">
        <v>1.41</v>
      </c>
      <c r="H1492" s="18">
        <v>-3.67</v>
      </c>
      <c r="L1492" s="20" t="str">
        <f t="shared" si="46"/>
        <v>N/A</v>
      </c>
      <c r="M1492" s="20" t="str">
        <f t="shared" si="47"/>
        <v>N/A</v>
      </c>
    </row>
    <row r="1493" spans="1:13">
      <c r="A1493" s="18" t="s">
        <v>22</v>
      </c>
      <c r="B1493" s="18" t="s">
        <v>365</v>
      </c>
      <c r="C1493" s="18" t="s">
        <v>281</v>
      </c>
      <c r="D1493" s="18" t="s">
        <v>127</v>
      </c>
      <c r="E1493" s="18">
        <v>0</v>
      </c>
      <c r="F1493" s="18">
        <v>0</v>
      </c>
      <c r="G1493" s="18">
        <v>0</v>
      </c>
      <c r="H1493" s="18">
        <v>0</v>
      </c>
      <c r="L1493" s="20" t="str">
        <f t="shared" si="46"/>
        <v>N/A</v>
      </c>
      <c r="M1493" s="20" t="str">
        <f t="shared" si="47"/>
        <v>N/A</v>
      </c>
    </row>
    <row r="1494" spans="1:13">
      <c r="A1494" s="18" t="s">
        <v>22</v>
      </c>
      <c r="B1494" s="18" t="s">
        <v>365</v>
      </c>
      <c r="C1494" s="18" t="s">
        <v>281</v>
      </c>
      <c r="D1494" s="18" t="s">
        <v>95</v>
      </c>
      <c r="E1494" s="18">
        <v>-0.56000000000000005</v>
      </c>
      <c r="F1494" s="18">
        <v>0.14000000000000001</v>
      </c>
      <c r="G1494" s="18">
        <v>0.42</v>
      </c>
      <c r="H1494" s="18">
        <v>-0.84</v>
      </c>
      <c r="L1494" s="20" t="str">
        <f t="shared" si="46"/>
        <v>N/A</v>
      </c>
      <c r="M1494" s="20" t="str">
        <f t="shared" si="47"/>
        <v>N/A</v>
      </c>
    </row>
    <row r="1495" spans="1:13">
      <c r="A1495" s="18" t="s">
        <v>22</v>
      </c>
      <c r="B1495" s="18" t="s">
        <v>365</v>
      </c>
      <c r="C1495" s="18" t="s">
        <v>281</v>
      </c>
      <c r="D1495" s="18" t="s">
        <v>132</v>
      </c>
      <c r="E1495" s="18">
        <v>0</v>
      </c>
      <c r="F1495" s="18">
        <v>0</v>
      </c>
      <c r="G1495" s="18">
        <v>0</v>
      </c>
      <c r="H1495" s="18">
        <v>0</v>
      </c>
      <c r="L1495" s="20" t="str">
        <f t="shared" si="46"/>
        <v>N/A</v>
      </c>
      <c r="M1495" s="20" t="str">
        <f t="shared" si="47"/>
        <v>N/A</v>
      </c>
    </row>
    <row r="1496" spans="1:13">
      <c r="A1496" s="18" t="s">
        <v>22</v>
      </c>
      <c r="B1496" s="18" t="s">
        <v>365</v>
      </c>
      <c r="C1496" s="18" t="s">
        <v>281</v>
      </c>
      <c r="D1496" s="18" t="s">
        <v>135</v>
      </c>
      <c r="E1496" s="18">
        <v>-493827.16</v>
      </c>
      <c r="F1496" s="18">
        <v>0</v>
      </c>
      <c r="G1496" s="18">
        <v>0</v>
      </c>
      <c r="H1496" s="18">
        <v>-493827.16</v>
      </c>
      <c r="L1496" s="20" t="str">
        <f t="shared" si="46"/>
        <v>N/A</v>
      </c>
      <c r="M1496" s="20" t="str">
        <f t="shared" si="47"/>
        <v>N/A</v>
      </c>
    </row>
    <row r="1497" spans="1:13">
      <c r="A1497" s="18" t="s">
        <v>22</v>
      </c>
      <c r="B1497" s="18" t="s">
        <v>365</v>
      </c>
      <c r="C1497" s="18" t="s">
        <v>281</v>
      </c>
      <c r="D1497" s="18" t="s">
        <v>140</v>
      </c>
      <c r="E1497" s="18">
        <v>-1181.1500000000001</v>
      </c>
      <c r="F1497" s="18">
        <v>0</v>
      </c>
      <c r="G1497" s="18">
        <v>830.45</v>
      </c>
      <c r="H1497" s="18">
        <v>-2011.6</v>
      </c>
      <c r="L1497" s="20" t="str">
        <f t="shared" si="46"/>
        <v>N/A</v>
      </c>
      <c r="M1497" s="20" t="str">
        <f t="shared" si="47"/>
        <v>N/A</v>
      </c>
    </row>
    <row r="1498" spans="1:13">
      <c r="A1498" s="18" t="s">
        <v>22</v>
      </c>
      <c r="B1498" s="18" t="s">
        <v>365</v>
      </c>
      <c r="C1498" s="18" t="s">
        <v>281</v>
      </c>
      <c r="D1498" s="18" t="s">
        <v>143</v>
      </c>
      <c r="E1498" s="18">
        <v>86931.3</v>
      </c>
      <c r="F1498" s="18">
        <v>0</v>
      </c>
      <c r="G1498" s="18">
        <v>0</v>
      </c>
      <c r="H1498" s="18">
        <v>86931.3</v>
      </c>
      <c r="L1498" s="20" t="str">
        <f t="shared" si="46"/>
        <v>N/A</v>
      </c>
      <c r="M1498" s="20" t="str">
        <f t="shared" si="47"/>
        <v>N/A</v>
      </c>
    </row>
    <row r="1499" spans="1:13">
      <c r="A1499" s="18" t="s">
        <v>22</v>
      </c>
      <c r="B1499" s="18" t="s">
        <v>365</v>
      </c>
      <c r="C1499" s="18" t="s">
        <v>281</v>
      </c>
      <c r="D1499" s="18" t="s">
        <v>146</v>
      </c>
      <c r="E1499" s="18">
        <v>11015.79</v>
      </c>
      <c r="F1499" s="18">
        <v>0</v>
      </c>
      <c r="G1499" s="18">
        <v>0</v>
      </c>
      <c r="H1499" s="18">
        <v>11015.79</v>
      </c>
      <c r="L1499" s="20" t="str">
        <f t="shared" si="46"/>
        <v>N/A</v>
      </c>
      <c r="M1499" s="20" t="str">
        <f t="shared" si="47"/>
        <v>N/A</v>
      </c>
    </row>
    <row r="1500" spans="1:13">
      <c r="A1500" s="18" t="s">
        <v>22</v>
      </c>
      <c r="B1500" s="18" t="s">
        <v>365</v>
      </c>
      <c r="C1500" s="18" t="s">
        <v>281</v>
      </c>
      <c r="D1500" s="18" t="s">
        <v>147</v>
      </c>
      <c r="E1500" s="18">
        <v>-96042.47</v>
      </c>
      <c r="F1500" s="18">
        <v>0</v>
      </c>
      <c r="G1500" s="18">
        <v>0</v>
      </c>
      <c r="H1500" s="18">
        <v>-96042.47</v>
      </c>
      <c r="L1500" s="20" t="str">
        <f t="shared" si="46"/>
        <v>N/A</v>
      </c>
      <c r="M1500" s="20" t="str">
        <f t="shared" si="47"/>
        <v>N/A</v>
      </c>
    </row>
    <row r="1501" spans="1:13">
      <c r="A1501" s="18" t="s">
        <v>22</v>
      </c>
      <c r="B1501" s="18" t="s">
        <v>365</v>
      </c>
      <c r="C1501" s="18" t="s">
        <v>281</v>
      </c>
      <c r="D1501" s="18" t="s">
        <v>153</v>
      </c>
      <c r="E1501" s="18">
        <v>0</v>
      </c>
      <c r="F1501" s="18">
        <v>0</v>
      </c>
      <c r="G1501" s="18">
        <v>0</v>
      </c>
      <c r="H1501" s="18">
        <v>0</v>
      </c>
      <c r="L1501" s="20" t="str">
        <f t="shared" si="46"/>
        <v>N/A</v>
      </c>
      <c r="M1501" s="20" t="str">
        <f t="shared" si="47"/>
        <v>N/A</v>
      </c>
    </row>
    <row r="1502" spans="1:13">
      <c r="A1502" s="18" t="s">
        <v>22</v>
      </c>
      <c r="B1502" s="18" t="s">
        <v>365</v>
      </c>
      <c r="C1502" s="18" t="s">
        <v>281</v>
      </c>
      <c r="D1502" s="18" t="s">
        <v>155</v>
      </c>
      <c r="E1502" s="18">
        <v>0</v>
      </c>
      <c r="F1502" s="18">
        <v>0</v>
      </c>
      <c r="G1502" s="18">
        <v>0</v>
      </c>
      <c r="H1502" s="18">
        <v>0</v>
      </c>
      <c r="L1502" s="20" t="str">
        <f t="shared" si="46"/>
        <v>N/A</v>
      </c>
      <c r="M1502" s="20" t="str">
        <f t="shared" si="47"/>
        <v>N/A</v>
      </c>
    </row>
    <row r="1503" spans="1:13">
      <c r="A1503" s="18" t="s">
        <v>22</v>
      </c>
      <c r="B1503" s="18" t="s">
        <v>365</v>
      </c>
      <c r="C1503" s="18" t="s">
        <v>281</v>
      </c>
      <c r="D1503" s="18" t="s">
        <v>156</v>
      </c>
      <c r="E1503" s="18">
        <v>-4.3499999999999996</v>
      </c>
      <c r="F1503" s="18">
        <v>0</v>
      </c>
      <c r="G1503" s="18">
        <v>0.12</v>
      </c>
      <c r="H1503" s="18">
        <v>-4.47</v>
      </c>
      <c r="L1503" s="20" t="str">
        <f t="shared" si="46"/>
        <v>N/A</v>
      </c>
      <c r="M1503" s="20" t="str">
        <f t="shared" si="47"/>
        <v>N/A</v>
      </c>
    </row>
    <row r="1504" spans="1:13">
      <c r="A1504" s="18" t="s">
        <v>22</v>
      </c>
      <c r="B1504" s="18" t="s">
        <v>365</v>
      </c>
      <c r="C1504" s="18" t="s">
        <v>281</v>
      </c>
      <c r="D1504" s="18" t="s">
        <v>157</v>
      </c>
      <c r="E1504" s="18">
        <v>-40770.379999999997</v>
      </c>
      <c r="F1504" s="18">
        <v>0</v>
      </c>
      <c r="G1504" s="18">
        <v>5944.42</v>
      </c>
      <c r="H1504" s="18">
        <v>-46714.8</v>
      </c>
      <c r="L1504" s="20" t="str">
        <f t="shared" si="46"/>
        <v>N/A</v>
      </c>
      <c r="M1504" s="20" t="str">
        <f t="shared" si="47"/>
        <v>N/A</v>
      </c>
    </row>
    <row r="1505" spans="1:13">
      <c r="A1505" s="18" t="s">
        <v>22</v>
      </c>
      <c r="B1505" s="18" t="s">
        <v>365</v>
      </c>
      <c r="C1505" s="18" t="s">
        <v>281</v>
      </c>
      <c r="D1505" s="18" t="s">
        <v>145</v>
      </c>
      <c r="E1505" s="18">
        <v>0</v>
      </c>
      <c r="F1505" s="18">
        <v>28.53</v>
      </c>
      <c r="G1505" s="18">
        <v>0</v>
      </c>
      <c r="H1505" s="18">
        <v>28.53</v>
      </c>
      <c r="L1505" s="20" t="str">
        <f t="shared" si="46"/>
        <v>N/A</v>
      </c>
      <c r="M1505" s="20" t="str">
        <f t="shared" si="47"/>
        <v>N/A</v>
      </c>
    </row>
    <row r="1506" spans="1:13">
      <c r="A1506" s="18" t="s">
        <v>22</v>
      </c>
      <c r="B1506" s="18" t="s">
        <v>365</v>
      </c>
      <c r="C1506" s="18" t="s">
        <v>281</v>
      </c>
      <c r="D1506" s="18" t="s">
        <v>96</v>
      </c>
      <c r="E1506" s="18">
        <v>0.84</v>
      </c>
      <c r="F1506" s="18">
        <v>0.42</v>
      </c>
      <c r="G1506" s="18">
        <v>0</v>
      </c>
      <c r="H1506" s="18">
        <v>1.26</v>
      </c>
      <c r="L1506" s="20" t="str">
        <f t="shared" si="46"/>
        <v>N/A</v>
      </c>
      <c r="M1506" s="20" t="str">
        <f t="shared" si="47"/>
        <v>N/A</v>
      </c>
    </row>
    <row r="1507" spans="1:13">
      <c r="A1507" s="18" t="s">
        <v>22</v>
      </c>
      <c r="B1507" s="18" t="s">
        <v>365</v>
      </c>
      <c r="C1507" s="18" t="s">
        <v>281</v>
      </c>
      <c r="D1507" s="18" t="s">
        <v>104</v>
      </c>
      <c r="E1507" s="18">
        <v>1.9</v>
      </c>
      <c r="F1507" s="18">
        <v>3.79</v>
      </c>
      <c r="G1507" s="18">
        <v>0</v>
      </c>
      <c r="H1507" s="18">
        <v>5.69</v>
      </c>
      <c r="L1507" s="20" t="str">
        <f t="shared" si="46"/>
        <v>N/A</v>
      </c>
      <c r="M1507" s="20" t="str">
        <f t="shared" si="47"/>
        <v>N/A</v>
      </c>
    </row>
    <row r="1508" spans="1:13">
      <c r="A1508" s="18" t="s">
        <v>22</v>
      </c>
      <c r="B1508" s="18" t="s">
        <v>365</v>
      </c>
      <c r="C1508" s="18" t="s">
        <v>281</v>
      </c>
      <c r="D1508" s="18" t="s">
        <v>359</v>
      </c>
      <c r="E1508" s="18">
        <v>89.46</v>
      </c>
      <c r="F1508" s="18">
        <v>0.85</v>
      </c>
      <c r="G1508" s="18">
        <v>0</v>
      </c>
      <c r="H1508" s="18">
        <v>90.31</v>
      </c>
      <c r="L1508" s="20" t="str">
        <f t="shared" si="46"/>
        <v>N/A</v>
      </c>
      <c r="M1508" s="20" t="str">
        <f t="shared" si="47"/>
        <v>N/A</v>
      </c>
    </row>
    <row r="1509" spans="1:13">
      <c r="A1509" s="18" t="s">
        <v>22</v>
      </c>
      <c r="B1509" s="18" t="s">
        <v>365</v>
      </c>
      <c r="C1509" s="18" t="s">
        <v>281</v>
      </c>
      <c r="D1509" s="18" t="s">
        <v>113</v>
      </c>
      <c r="E1509" s="18">
        <v>121.77</v>
      </c>
      <c r="F1509" s="18">
        <v>33.35</v>
      </c>
      <c r="G1509" s="18">
        <v>0</v>
      </c>
      <c r="H1509" s="18">
        <v>155.12</v>
      </c>
      <c r="L1509" s="20" t="str">
        <f t="shared" si="46"/>
        <v>N/A</v>
      </c>
      <c r="M1509" s="20" t="str">
        <f t="shared" si="47"/>
        <v>N/A</v>
      </c>
    </row>
    <row r="1510" spans="1:13">
      <c r="A1510" s="18" t="s">
        <v>22</v>
      </c>
      <c r="B1510" s="18" t="s">
        <v>365</v>
      </c>
      <c r="C1510" s="18" t="s">
        <v>281</v>
      </c>
      <c r="D1510" s="18" t="s">
        <v>150</v>
      </c>
      <c r="E1510" s="18">
        <v>37.92</v>
      </c>
      <c r="F1510" s="18">
        <v>2.29</v>
      </c>
      <c r="G1510" s="18">
        <v>0</v>
      </c>
      <c r="H1510" s="18">
        <v>40.21</v>
      </c>
      <c r="L1510" s="20" t="str">
        <f t="shared" si="46"/>
        <v>N/A</v>
      </c>
      <c r="M1510" s="20" t="str">
        <f t="shared" si="47"/>
        <v>N/A</v>
      </c>
    </row>
    <row r="1511" spans="1:13">
      <c r="A1511" s="18" t="s">
        <v>22</v>
      </c>
      <c r="B1511" s="18" t="s">
        <v>365</v>
      </c>
      <c r="C1511" s="18" t="s">
        <v>281</v>
      </c>
      <c r="D1511" s="18" t="s">
        <v>120</v>
      </c>
      <c r="E1511" s="18">
        <v>0.06</v>
      </c>
      <c r="F1511" s="18">
        <v>0</v>
      </c>
      <c r="G1511" s="18">
        <v>0</v>
      </c>
      <c r="H1511" s="18">
        <v>0.06</v>
      </c>
      <c r="L1511" s="20" t="str">
        <f t="shared" si="46"/>
        <v>N/A</v>
      </c>
      <c r="M1511" s="20" t="str">
        <f t="shared" si="47"/>
        <v>N/A</v>
      </c>
    </row>
    <row r="1512" spans="1:13">
      <c r="A1512" s="18" t="s">
        <v>22</v>
      </c>
      <c r="B1512" s="18" t="s">
        <v>365</v>
      </c>
      <c r="C1512" s="18" t="s">
        <v>281</v>
      </c>
      <c r="D1512" s="18" t="s">
        <v>123</v>
      </c>
      <c r="E1512" s="18">
        <v>35.53</v>
      </c>
      <c r="F1512" s="18">
        <v>18.07</v>
      </c>
      <c r="G1512" s="18">
        <v>0</v>
      </c>
      <c r="H1512" s="18">
        <v>53.6</v>
      </c>
      <c r="L1512" s="20" t="str">
        <f t="shared" si="46"/>
        <v>N/A</v>
      </c>
      <c r="M1512" s="20" t="str">
        <f t="shared" si="47"/>
        <v>N/A</v>
      </c>
    </row>
    <row r="1513" spans="1:13">
      <c r="A1513" s="18" t="s">
        <v>22</v>
      </c>
      <c r="B1513" s="18" t="s">
        <v>365</v>
      </c>
      <c r="C1513" s="18" t="s">
        <v>281</v>
      </c>
      <c r="D1513" s="18" t="s">
        <v>126</v>
      </c>
      <c r="E1513" s="18">
        <v>5.29</v>
      </c>
      <c r="F1513" s="18">
        <v>1.02</v>
      </c>
      <c r="G1513" s="18">
        <v>0</v>
      </c>
      <c r="H1513" s="18">
        <v>6.31</v>
      </c>
      <c r="L1513" s="20" t="str">
        <f t="shared" si="46"/>
        <v>N/A</v>
      </c>
      <c r="M1513" s="20" t="str">
        <f t="shared" si="47"/>
        <v>N/A</v>
      </c>
    </row>
    <row r="1514" spans="1:13">
      <c r="A1514" s="18" t="s">
        <v>22</v>
      </c>
      <c r="B1514" s="18" t="s">
        <v>365</v>
      </c>
      <c r="C1514" s="18" t="s">
        <v>281</v>
      </c>
      <c r="D1514" s="18" t="s">
        <v>129</v>
      </c>
      <c r="E1514" s="18">
        <v>4.9400000000000004</v>
      </c>
      <c r="F1514" s="18">
        <v>1.41</v>
      </c>
      <c r="G1514" s="18">
        <v>0</v>
      </c>
      <c r="H1514" s="18">
        <v>6.35</v>
      </c>
      <c r="L1514" s="20" t="str">
        <f t="shared" si="46"/>
        <v>N/A</v>
      </c>
      <c r="M1514" s="20" t="str">
        <f t="shared" si="47"/>
        <v>N/A</v>
      </c>
    </row>
    <row r="1515" spans="1:13">
      <c r="A1515" s="18" t="s">
        <v>22</v>
      </c>
      <c r="B1515" s="18" t="s">
        <v>365</v>
      </c>
      <c r="C1515" s="18" t="s">
        <v>281</v>
      </c>
      <c r="D1515" s="18" t="s">
        <v>131</v>
      </c>
      <c r="E1515" s="18">
        <v>12.53</v>
      </c>
      <c r="F1515" s="18">
        <v>8.9499999999999993</v>
      </c>
      <c r="G1515" s="18">
        <v>0</v>
      </c>
      <c r="H1515" s="18">
        <v>21.48</v>
      </c>
      <c r="L1515" s="20" t="str">
        <f t="shared" si="46"/>
        <v>N/A</v>
      </c>
      <c r="M1515" s="20" t="str">
        <f t="shared" si="47"/>
        <v>N/A</v>
      </c>
    </row>
    <row r="1516" spans="1:13">
      <c r="A1516" s="18" t="s">
        <v>22</v>
      </c>
      <c r="B1516" s="18" t="s">
        <v>365</v>
      </c>
      <c r="C1516" s="18" t="s">
        <v>281</v>
      </c>
      <c r="D1516" s="18" t="s">
        <v>162</v>
      </c>
      <c r="E1516" s="18">
        <v>0</v>
      </c>
      <c r="F1516" s="18">
        <v>0</v>
      </c>
      <c r="G1516" s="18">
        <v>0</v>
      </c>
      <c r="H1516" s="18">
        <v>0</v>
      </c>
      <c r="L1516" s="20" t="str">
        <f t="shared" si="46"/>
        <v>N/A</v>
      </c>
      <c r="M1516" s="20" t="str">
        <f t="shared" si="47"/>
        <v>N/A</v>
      </c>
    </row>
    <row r="1517" spans="1:13">
      <c r="A1517" s="18" t="s">
        <v>22</v>
      </c>
      <c r="B1517" s="18" t="s">
        <v>365</v>
      </c>
      <c r="C1517" s="18" t="s">
        <v>281</v>
      </c>
      <c r="D1517" s="18" t="s">
        <v>134</v>
      </c>
      <c r="E1517" s="18">
        <v>0.9</v>
      </c>
      <c r="F1517" s="18">
        <v>1.1200000000000001</v>
      </c>
      <c r="G1517" s="18">
        <v>0</v>
      </c>
      <c r="H1517" s="18">
        <v>2.02</v>
      </c>
      <c r="L1517" s="20" t="str">
        <f t="shared" si="46"/>
        <v>N/A</v>
      </c>
      <c r="M1517" s="20" t="str">
        <f t="shared" si="47"/>
        <v>N/A</v>
      </c>
    </row>
    <row r="1518" spans="1:13">
      <c r="A1518" s="18" t="s">
        <v>22</v>
      </c>
      <c r="B1518" s="18" t="s">
        <v>365</v>
      </c>
      <c r="C1518" s="18" t="s">
        <v>281</v>
      </c>
      <c r="D1518" s="18" t="s">
        <v>139</v>
      </c>
      <c r="E1518" s="18">
        <v>3.7</v>
      </c>
      <c r="F1518" s="18">
        <v>1.85</v>
      </c>
      <c r="G1518" s="18">
        <v>0</v>
      </c>
      <c r="H1518" s="18">
        <v>5.55</v>
      </c>
      <c r="L1518" s="20" t="str">
        <f t="shared" si="46"/>
        <v>N/A</v>
      </c>
      <c r="M1518" s="20" t="str">
        <f t="shared" si="47"/>
        <v>N/A</v>
      </c>
    </row>
    <row r="1519" spans="1:13">
      <c r="A1519" s="18" t="s">
        <v>22</v>
      </c>
      <c r="B1519" s="18" t="s">
        <v>365</v>
      </c>
      <c r="C1519" s="18" t="s">
        <v>281</v>
      </c>
      <c r="D1519" s="18" t="s">
        <v>142</v>
      </c>
      <c r="E1519" s="18">
        <v>3.06</v>
      </c>
      <c r="F1519" s="18">
        <v>1.81</v>
      </c>
      <c r="G1519" s="18">
        <v>0</v>
      </c>
      <c r="H1519" s="18">
        <v>4.87</v>
      </c>
      <c r="L1519" s="20" t="str">
        <f t="shared" si="46"/>
        <v>N/A</v>
      </c>
      <c r="M1519" s="20" t="str">
        <f t="shared" si="47"/>
        <v>N/A</v>
      </c>
    </row>
    <row r="1520" spans="1:13">
      <c r="A1520" s="18" t="s">
        <v>22</v>
      </c>
      <c r="B1520" s="18" t="s">
        <v>365</v>
      </c>
      <c r="C1520" s="18" t="s">
        <v>281</v>
      </c>
      <c r="D1520" s="18" t="s">
        <v>163</v>
      </c>
      <c r="E1520" s="18">
        <v>0</v>
      </c>
      <c r="F1520" s="18">
        <v>0</v>
      </c>
      <c r="G1520" s="18">
        <v>0</v>
      </c>
      <c r="H1520" s="18">
        <v>0</v>
      </c>
      <c r="L1520" s="20" t="str">
        <f t="shared" si="46"/>
        <v>N/A</v>
      </c>
      <c r="M1520" s="20" t="str">
        <f t="shared" si="47"/>
        <v>N/A</v>
      </c>
    </row>
    <row r="1521" spans="1:13">
      <c r="A1521" s="18" t="s">
        <v>22</v>
      </c>
      <c r="B1521" s="18" t="s">
        <v>365</v>
      </c>
      <c r="C1521" s="18" t="s">
        <v>283</v>
      </c>
      <c r="D1521" s="18" t="s">
        <v>87</v>
      </c>
      <c r="E1521" s="18">
        <v>49.54</v>
      </c>
      <c r="F1521" s="18">
        <v>1661.15</v>
      </c>
      <c r="G1521" s="18">
        <v>214.69</v>
      </c>
      <c r="H1521" s="18">
        <v>1496</v>
      </c>
      <c r="L1521" s="20" t="str">
        <f t="shared" si="46"/>
        <v>Asset</v>
      </c>
      <c r="M1521" s="20" t="str">
        <f t="shared" si="47"/>
        <v>okay</v>
      </c>
    </row>
    <row r="1522" spans="1:13">
      <c r="A1522" s="18" t="s">
        <v>22</v>
      </c>
      <c r="B1522" s="18" t="s">
        <v>365</v>
      </c>
      <c r="C1522" s="18" t="s">
        <v>283</v>
      </c>
      <c r="D1522" s="18" t="s">
        <v>97</v>
      </c>
      <c r="E1522" s="18">
        <v>813791.7</v>
      </c>
      <c r="F1522" s="18">
        <v>0</v>
      </c>
      <c r="G1522" s="18">
        <v>0</v>
      </c>
      <c r="H1522" s="18">
        <v>813791.7</v>
      </c>
      <c r="L1522" s="20" t="str">
        <f t="shared" si="46"/>
        <v>Asset</v>
      </c>
      <c r="M1522" s="20" t="str">
        <f t="shared" si="47"/>
        <v>okay</v>
      </c>
    </row>
    <row r="1523" spans="1:13">
      <c r="A1523" s="18" t="s">
        <v>22</v>
      </c>
      <c r="B1523" s="18" t="s">
        <v>365</v>
      </c>
      <c r="C1523" s="18" t="s">
        <v>283</v>
      </c>
      <c r="D1523" s="18" t="s">
        <v>105</v>
      </c>
      <c r="E1523" s="18">
        <v>253317.78</v>
      </c>
      <c r="F1523" s="18">
        <v>11888.83</v>
      </c>
      <c r="G1523" s="18">
        <v>0</v>
      </c>
      <c r="H1523" s="18">
        <v>265206.61</v>
      </c>
      <c r="L1523" s="20" t="str">
        <f t="shared" si="46"/>
        <v>Asset</v>
      </c>
      <c r="M1523" s="20" t="str">
        <f t="shared" si="47"/>
        <v>okay</v>
      </c>
    </row>
    <row r="1524" spans="1:13">
      <c r="A1524" s="18" t="s">
        <v>22</v>
      </c>
      <c r="B1524" s="18" t="s">
        <v>365</v>
      </c>
      <c r="C1524" s="18" t="s">
        <v>283</v>
      </c>
      <c r="D1524" s="18" t="s">
        <v>108</v>
      </c>
      <c r="E1524" s="18">
        <v>0</v>
      </c>
      <c r="F1524" s="18">
        <v>0</v>
      </c>
      <c r="G1524" s="18">
        <v>0</v>
      </c>
      <c r="H1524" s="18">
        <v>0</v>
      </c>
      <c r="L1524" s="20" t="str">
        <f t="shared" si="46"/>
        <v>Asset</v>
      </c>
      <c r="M1524" s="20" t="str">
        <f t="shared" si="47"/>
        <v>okay</v>
      </c>
    </row>
    <row r="1525" spans="1:13">
      <c r="A1525" s="18" t="s">
        <v>22</v>
      </c>
      <c r="B1525" s="18" t="s">
        <v>365</v>
      </c>
      <c r="C1525" s="18" t="s">
        <v>283</v>
      </c>
      <c r="D1525" s="18" t="s">
        <v>116</v>
      </c>
      <c r="E1525" s="18">
        <v>-10.14</v>
      </c>
      <c r="F1525" s="18">
        <v>0</v>
      </c>
      <c r="G1525" s="18">
        <v>0</v>
      </c>
      <c r="H1525" s="18">
        <v>-10.14</v>
      </c>
      <c r="L1525" s="20" t="str">
        <f t="shared" si="46"/>
        <v>N/A</v>
      </c>
      <c r="M1525" s="20" t="str">
        <f t="shared" si="47"/>
        <v>N/A</v>
      </c>
    </row>
    <row r="1526" spans="1:13">
      <c r="A1526" s="18" t="s">
        <v>22</v>
      </c>
      <c r="B1526" s="18" t="s">
        <v>365</v>
      </c>
      <c r="C1526" s="18" t="s">
        <v>283</v>
      </c>
      <c r="D1526" s="18" t="s">
        <v>121</v>
      </c>
      <c r="E1526" s="18">
        <v>-22.25</v>
      </c>
      <c r="F1526" s="18">
        <v>14.84</v>
      </c>
      <c r="G1526" s="18">
        <v>3.71</v>
      </c>
      <c r="H1526" s="18">
        <v>-11.12</v>
      </c>
      <c r="L1526" s="20" t="str">
        <f t="shared" si="46"/>
        <v>N/A</v>
      </c>
      <c r="M1526" s="20" t="str">
        <f t="shared" si="47"/>
        <v>N/A</v>
      </c>
    </row>
    <row r="1527" spans="1:13">
      <c r="A1527" s="18" t="s">
        <v>22</v>
      </c>
      <c r="B1527" s="18" t="s">
        <v>365</v>
      </c>
      <c r="C1527" s="18" t="s">
        <v>283</v>
      </c>
      <c r="D1527" s="18" t="s">
        <v>124</v>
      </c>
      <c r="E1527" s="18">
        <v>-4.55</v>
      </c>
      <c r="F1527" s="18">
        <v>0</v>
      </c>
      <c r="G1527" s="18">
        <v>2.83</v>
      </c>
      <c r="H1527" s="18">
        <v>-7.38</v>
      </c>
      <c r="L1527" s="20" t="str">
        <f t="shared" si="46"/>
        <v>N/A</v>
      </c>
      <c r="M1527" s="20" t="str">
        <f t="shared" si="47"/>
        <v>N/A</v>
      </c>
    </row>
    <row r="1528" spans="1:13">
      <c r="A1528" s="18" t="s">
        <v>22</v>
      </c>
      <c r="B1528" s="18" t="s">
        <v>365</v>
      </c>
      <c r="C1528" s="18" t="s">
        <v>283</v>
      </c>
      <c r="D1528" s="18" t="s">
        <v>127</v>
      </c>
      <c r="E1528" s="18">
        <v>0</v>
      </c>
      <c r="F1528" s="18">
        <v>0</v>
      </c>
      <c r="G1528" s="18">
        <v>0</v>
      </c>
      <c r="H1528" s="18">
        <v>0</v>
      </c>
      <c r="L1528" s="20" t="str">
        <f t="shared" si="46"/>
        <v>N/A</v>
      </c>
      <c r="M1528" s="20" t="str">
        <f t="shared" si="47"/>
        <v>N/A</v>
      </c>
    </row>
    <row r="1529" spans="1:13">
      <c r="A1529" s="18" t="s">
        <v>22</v>
      </c>
      <c r="B1529" s="18" t="s">
        <v>365</v>
      </c>
      <c r="C1529" s="18" t="s">
        <v>283</v>
      </c>
      <c r="D1529" s="18" t="s">
        <v>95</v>
      </c>
      <c r="E1529" s="18">
        <v>-1.1000000000000001</v>
      </c>
      <c r="F1529" s="18">
        <v>0.28000000000000003</v>
      </c>
      <c r="G1529" s="18">
        <v>0.83</v>
      </c>
      <c r="H1529" s="18">
        <v>-1.65</v>
      </c>
      <c r="L1529" s="20" t="str">
        <f t="shared" si="46"/>
        <v>N/A</v>
      </c>
      <c r="M1529" s="20" t="str">
        <f t="shared" si="47"/>
        <v>N/A</v>
      </c>
    </row>
    <row r="1530" spans="1:13">
      <c r="A1530" s="18" t="s">
        <v>22</v>
      </c>
      <c r="B1530" s="18" t="s">
        <v>365</v>
      </c>
      <c r="C1530" s="18" t="s">
        <v>283</v>
      </c>
      <c r="D1530" s="18" t="s">
        <v>132</v>
      </c>
      <c r="E1530" s="18">
        <v>0</v>
      </c>
      <c r="F1530" s="18">
        <v>0</v>
      </c>
      <c r="G1530" s="18">
        <v>0</v>
      </c>
      <c r="H1530" s="18">
        <v>0</v>
      </c>
      <c r="L1530" s="20" t="str">
        <f t="shared" si="46"/>
        <v>N/A</v>
      </c>
      <c r="M1530" s="20" t="str">
        <f t="shared" si="47"/>
        <v>N/A</v>
      </c>
    </row>
    <row r="1531" spans="1:13">
      <c r="A1531" s="18" t="s">
        <v>22</v>
      </c>
      <c r="B1531" s="18" t="s">
        <v>365</v>
      </c>
      <c r="C1531" s="18" t="s">
        <v>283</v>
      </c>
      <c r="D1531" s="18" t="s">
        <v>135</v>
      </c>
      <c r="E1531" s="18">
        <v>-987654.32</v>
      </c>
      <c r="F1531" s="18">
        <v>0</v>
      </c>
      <c r="G1531" s="18">
        <v>0</v>
      </c>
      <c r="H1531" s="18">
        <v>-987654.32</v>
      </c>
      <c r="L1531" s="20" t="str">
        <f t="shared" si="46"/>
        <v>N/A</v>
      </c>
      <c r="M1531" s="20" t="str">
        <f t="shared" si="47"/>
        <v>N/A</v>
      </c>
    </row>
    <row r="1532" spans="1:13">
      <c r="A1532" s="18" t="s">
        <v>22</v>
      </c>
      <c r="B1532" s="18" t="s">
        <v>365</v>
      </c>
      <c r="C1532" s="18" t="s">
        <v>283</v>
      </c>
      <c r="D1532" s="18" t="s">
        <v>140</v>
      </c>
      <c r="E1532" s="18">
        <v>-2362.31</v>
      </c>
      <c r="F1532" s="18">
        <v>0</v>
      </c>
      <c r="G1532" s="18">
        <v>1660.9</v>
      </c>
      <c r="H1532" s="18">
        <v>-4023.21</v>
      </c>
      <c r="L1532" s="20" t="str">
        <f t="shared" si="46"/>
        <v>N/A</v>
      </c>
      <c r="M1532" s="20" t="str">
        <f t="shared" si="47"/>
        <v>N/A</v>
      </c>
    </row>
    <row r="1533" spans="1:13">
      <c r="A1533" s="18" t="s">
        <v>22</v>
      </c>
      <c r="B1533" s="18" t="s">
        <v>365</v>
      </c>
      <c r="C1533" s="18" t="s">
        <v>283</v>
      </c>
      <c r="D1533" s="18" t="s">
        <v>143</v>
      </c>
      <c r="E1533" s="18">
        <v>173862.62</v>
      </c>
      <c r="F1533" s="18">
        <v>0</v>
      </c>
      <c r="G1533" s="18">
        <v>0</v>
      </c>
      <c r="H1533" s="18">
        <v>173862.62</v>
      </c>
      <c r="L1533" s="20" t="str">
        <f t="shared" si="46"/>
        <v>N/A</v>
      </c>
      <c r="M1533" s="20" t="str">
        <f t="shared" si="47"/>
        <v>N/A</v>
      </c>
    </row>
    <row r="1534" spans="1:13">
      <c r="A1534" s="18" t="s">
        <v>22</v>
      </c>
      <c r="B1534" s="18" t="s">
        <v>365</v>
      </c>
      <c r="C1534" s="18" t="s">
        <v>283</v>
      </c>
      <c r="D1534" s="18" t="s">
        <v>146</v>
      </c>
      <c r="E1534" s="18">
        <v>22031.59</v>
      </c>
      <c r="F1534" s="18">
        <v>0</v>
      </c>
      <c r="G1534" s="18">
        <v>0</v>
      </c>
      <c r="H1534" s="18">
        <v>22031.59</v>
      </c>
      <c r="L1534" s="20" t="str">
        <f t="shared" si="46"/>
        <v>N/A</v>
      </c>
      <c r="M1534" s="20" t="str">
        <f t="shared" si="47"/>
        <v>N/A</v>
      </c>
    </row>
    <row r="1535" spans="1:13">
      <c r="A1535" s="18" t="s">
        <v>22</v>
      </c>
      <c r="B1535" s="18" t="s">
        <v>365</v>
      </c>
      <c r="C1535" s="18" t="s">
        <v>283</v>
      </c>
      <c r="D1535" s="18" t="s">
        <v>147</v>
      </c>
      <c r="E1535" s="18">
        <v>-192084.9</v>
      </c>
      <c r="F1535" s="18">
        <v>0</v>
      </c>
      <c r="G1535" s="18">
        <v>0</v>
      </c>
      <c r="H1535" s="18">
        <v>-192084.9</v>
      </c>
      <c r="L1535" s="20" t="str">
        <f t="shared" si="46"/>
        <v>N/A</v>
      </c>
      <c r="M1535" s="20" t="str">
        <f t="shared" si="47"/>
        <v>N/A</v>
      </c>
    </row>
    <row r="1536" spans="1:13">
      <c r="A1536" s="18" t="s">
        <v>22</v>
      </c>
      <c r="B1536" s="18" t="s">
        <v>365</v>
      </c>
      <c r="C1536" s="18" t="s">
        <v>283</v>
      </c>
      <c r="D1536" s="18" t="s">
        <v>153</v>
      </c>
      <c r="E1536" s="18">
        <v>0</v>
      </c>
      <c r="F1536" s="18">
        <v>0</v>
      </c>
      <c r="G1536" s="18">
        <v>0</v>
      </c>
      <c r="H1536" s="18">
        <v>0</v>
      </c>
      <c r="L1536" s="20" t="str">
        <f t="shared" si="46"/>
        <v>N/A</v>
      </c>
      <c r="M1536" s="20" t="str">
        <f t="shared" si="47"/>
        <v>N/A</v>
      </c>
    </row>
    <row r="1537" spans="1:13">
      <c r="A1537" s="18" t="s">
        <v>22</v>
      </c>
      <c r="B1537" s="18" t="s">
        <v>365</v>
      </c>
      <c r="C1537" s="18" t="s">
        <v>283</v>
      </c>
      <c r="D1537" s="18" t="s">
        <v>155</v>
      </c>
      <c r="E1537" s="18">
        <v>0</v>
      </c>
      <c r="F1537" s="18">
        <v>0</v>
      </c>
      <c r="G1537" s="18">
        <v>0</v>
      </c>
      <c r="H1537" s="18">
        <v>0</v>
      </c>
      <c r="L1537" s="20" t="str">
        <f t="shared" si="46"/>
        <v>N/A</v>
      </c>
      <c r="M1537" s="20" t="str">
        <f t="shared" si="47"/>
        <v>N/A</v>
      </c>
    </row>
    <row r="1538" spans="1:13">
      <c r="A1538" s="18" t="s">
        <v>22</v>
      </c>
      <c r="B1538" s="18" t="s">
        <v>365</v>
      </c>
      <c r="C1538" s="18" t="s">
        <v>283</v>
      </c>
      <c r="D1538" s="18" t="s">
        <v>156</v>
      </c>
      <c r="E1538" s="18">
        <v>-8.6999999999999993</v>
      </c>
      <c r="F1538" s="18">
        <v>0</v>
      </c>
      <c r="G1538" s="18">
        <v>0.25</v>
      </c>
      <c r="H1538" s="18">
        <v>-8.9499999999999993</v>
      </c>
      <c r="L1538" s="20" t="str">
        <f t="shared" si="46"/>
        <v>N/A</v>
      </c>
      <c r="M1538" s="20" t="str">
        <f t="shared" si="47"/>
        <v>N/A</v>
      </c>
    </row>
    <row r="1539" spans="1:13">
      <c r="A1539" s="18" t="s">
        <v>22</v>
      </c>
      <c r="B1539" s="18" t="s">
        <v>365</v>
      </c>
      <c r="C1539" s="18" t="s">
        <v>283</v>
      </c>
      <c r="D1539" s="18" t="s">
        <v>157</v>
      </c>
      <c r="E1539" s="18">
        <v>-81540.759999999995</v>
      </c>
      <c r="F1539" s="18">
        <v>0</v>
      </c>
      <c r="G1539" s="18">
        <v>11888.83</v>
      </c>
      <c r="H1539" s="18">
        <v>-93429.59</v>
      </c>
      <c r="L1539" s="20" t="str">
        <f t="shared" ref="L1539:L1602" si="48">+IF(LEFT(D1539,1)="1","Asset","N/A")</f>
        <v>N/A</v>
      </c>
      <c r="M1539" s="20" t="str">
        <f t="shared" ref="M1539:M1602" si="49">+IF(L1539="asset",IF(H1539&lt;0,"Provide Comment","okay"),"N/A")</f>
        <v>N/A</v>
      </c>
    </row>
    <row r="1540" spans="1:13">
      <c r="A1540" s="18" t="s">
        <v>22</v>
      </c>
      <c r="B1540" s="18" t="s">
        <v>365</v>
      </c>
      <c r="C1540" s="18" t="s">
        <v>283</v>
      </c>
      <c r="D1540" s="18" t="s">
        <v>145</v>
      </c>
      <c r="E1540" s="18">
        <v>0</v>
      </c>
      <c r="F1540" s="18">
        <v>57.05</v>
      </c>
      <c r="G1540" s="18">
        <v>0</v>
      </c>
      <c r="H1540" s="18">
        <v>57.05</v>
      </c>
      <c r="L1540" s="20" t="str">
        <f t="shared" si="48"/>
        <v>N/A</v>
      </c>
      <c r="M1540" s="20" t="str">
        <f t="shared" si="49"/>
        <v>N/A</v>
      </c>
    </row>
    <row r="1541" spans="1:13">
      <c r="A1541" s="18" t="s">
        <v>22</v>
      </c>
      <c r="B1541" s="18" t="s">
        <v>365</v>
      </c>
      <c r="C1541" s="18" t="s">
        <v>283</v>
      </c>
      <c r="D1541" s="18" t="s">
        <v>96</v>
      </c>
      <c r="E1541" s="18">
        <v>1.66</v>
      </c>
      <c r="F1541" s="18">
        <v>0.83</v>
      </c>
      <c r="G1541" s="18">
        <v>0</v>
      </c>
      <c r="H1541" s="18">
        <v>2.4900000000000002</v>
      </c>
      <c r="L1541" s="20" t="str">
        <f t="shared" si="48"/>
        <v>N/A</v>
      </c>
      <c r="M1541" s="20" t="str">
        <f t="shared" si="49"/>
        <v>N/A</v>
      </c>
    </row>
    <row r="1542" spans="1:13">
      <c r="A1542" s="18" t="s">
        <v>22</v>
      </c>
      <c r="B1542" s="18" t="s">
        <v>365</v>
      </c>
      <c r="C1542" s="18" t="s">
        <v>283</v>
      </c>
      <c r="D1542" s="18" t="s">
        <v>104</v>
      </c>
      <c r="E1542" s="18">
        <v>3.79</v>
      </c>
      <c r="F1542" s="18">
        <v>7.59</v>
      </c>
      <c r="G1542" s="18">
        <v>0</v>
      </c>
      <c r="H1542" s="18">
        <v>11.38</v>
      </c>
      <c r="L1542" s="20" t="str">
        <f t="shared" si="48"/>
        <v>N/A</v>
      </c>
      <c r="M1542" s="20" t="str">
        <f t="shared" si="49"/>
        <v>N/A</v>
      </c>
    </row>
    <row r="1543" spans="1:13">
      <c r="A1543" s="18" t="s">
        <v>22</v>
      </c>
      <c r="B1543" s="18" t="s">
        <v>365</v>
      </c>
      <c r="C1543" s="18" t="s">
        <v>283</v>
      </c>
      <c r="D1543" s="18" t="s">
        <v>359</v>
      </c>
      <c r="E1543" s="18">
        <v>178.91</v>
      </c>
      <c r="F1543" s="18">
        <v>1.69</v>
      </c>
      <c r="G1543" s="18">
        <v>0</v>
      </c>
      <c r="H1543" s="18">
        <v>180.6</v>
      </c>
      <c r="L1543" s="20" t="str">
        <f t="shared" si="48"/>
        <v>N/A</v>
      </c>
      <c r="M1543" s="20" t="str">
        <f t="shared" si="49"/>
        <v>N/A</v>
      </c>
    </row>
    <row r="1544" spans="1:13">
      <c r="A1544" s="18" t="s">
        <v>22</v>
      </c>
      <c r="B1544" s="18" t="s">
        <v>365</v>
      </c>
      <c r="C1544" s="18" t="s">
        <v>283</v>
      </c>
      <c r="D1544" s="18" t="s">
        <v>113</v>
      </c>
      <c r="E1544" s="18">
        <v>243.54</v>
      </c>
      <c r="F1544" s="18">
        <v>66.7</v>
      </c>
      <c r="G1544" s="18">
        <v>0</v>
      </c>
      <c r="H1544" s="18">
        <v>310.24</v>
      </c>
      <c r="L1544" s="20" t="str">
        <f t="shared" si="48"/>
        <v>N/A</v>
      </c>
      <c r="M1544" s="20" t="str">
        <f t="shared" si="49"/>
        <v>N/A</v>
      </c>
    </row>
    <row r="1545" spans="1:13">
      <c r="A1545" s="18" t="s">
        <v>22</v>
      </c>
      <c r="B1545" s="18" t="s">
        <v>365</v>
      </c>
      <c r="C1545" s="18" t="s">
        <v>283</v>
      </c>
      <c r="D1545" s="18" t="s">
        <v>150</v>
      </c>
      <c r="E1545" s="18">
        <v>75.86</v>
      </c>
      <c r="F1545" s="18">
        <v>4.58</v>
      </c>
      <c r="G1545" s="18">
        <v>0</v>
      </c>
      <c r="H1545" s="18">
        <v>80.44</v>
      </c>
      <c r="L1545" s="20" t="str">
        <f t="shared" si="48"/>
        <v>N/A</v>
      </c>
      <c r="M1545" s="20" t="str">
        <f t="shared" si="49"/>
        <v>N/A</v>
      </c>
    </row>
    <row r="1546" spans="1:13">
      <c r="A1546" s="18" t="s">
        <v>22</v>
      </c>
      <c r="B1546" s="18" t="s">
        <v>365</v>
      </c>
      <c r="C1546" s="18" t="s">
        <v>283</v>
      </c>
      <c r="D1546" s="18" t="s">
        <v>120</v>
      </c>
      <c r="E1546" s="18">
        <v>0.11</v>
      </c>
      <c r="F1546" s="18">
        <v>0</v>
      </c>
      <c r="G1546" s="18">
        <v>0</v>
      </c>
      <c r="H1546" s="18">
        <v>0.11</v>
      </c>
      <c r="L1546" s="20" t="str">
        <f t="shared" si="48"/>
        <v>N/A</v>
      </c>
      <c r="M1546" s="20" t="str">
        <f t="shared" si="49"/>
        <v>N/A</v>
      </c>
    </row>
    <row r="1547" spans="1:13">
      <c r="A1547" s="18" t="s">
        <v>22</v>
      </c>
      <c r="B1547" s="18" t="s">
        <v>365</v>
      </c>
      <c r="C1547" s="18" t="s">
        <v>283</v>
      </c>
      <c r="D1547" s="18" t="s">
        <v>123</v>
      </c>
      <c r="E1547" s="18">
        <v>71.03</v>
      </c>
      <c r="F1547" s="18">
        <v>36.159999999999997</v>
      </c>
      <c r="G1547" s="18">
        <v>0</v>
      </c>
      <c r="H1547" s="18">
        <v>107.19</v>
      </c>
      <c r="L1547" s="20" t="str">
        <f t="shared" si="48"/>
        <v>N/A</v>
      </c>
      <c r="M1547" s="20" t="str">
        <f t="shared" si="49"/>
        <v>N/A</v>
      </c>
    </row>
    <row r="1548" spans="1:13">
      <c r="A1548" s="18" t="s">
        <v>22</v>
      </c>
      <c r="B1548" s="18" t="s">
        <v>365</v>
      </c>
      <c r="C1548" s="18" t="s">
        <v>283</v>
      </c>
      <c r="D1548" s="18" t="s">
        <v>126</v>
      </c>
      <c r="E1548" s="18">
        <v>10.58</v>
      </c>
      <c r="F1548" s="18">
        <v>2.04</v>
      </c>
      <c r="G1548" s="18">
        <v>0</v>
      </c>
      <c r="H1548" s="18">
        <v>12.62</v>
      </c>
      <c r="L1548" s="20" t="str">
        <f t="shared" si="48"/>
        <v>N/A</v>
      </c>
      <c r="M1548" s="20" t="str">
        <f t="shared" si="49"/>
        <v>N/A</v>
      </c>
    </row>
    <row r="1549" spans="1:13">
      <c r="A1549" s="18" t="s">
        <v>22</v>
      </c>
      <c r="B1549" s="18" t="s">
        <v>365</v>
      </c>
      <c r="C1549" s="18" t="s">
        <v>283</v>
      </c>
      <c r="D1549" s="18" t="s">
        <v>129</v>
      </c>
      <c r="E1549" s="18">
        <v>9.8800000000000008</v>
      </c>
      <c r="F1549" s="18">
        <v>2.81</v>
      </c>
      <c r="G1549" s="18">
        <v>0</v>
      </c>
      <c r="H1549" s="18">
        <v>12.69</v>
      </c>
      <c r="L1549" s="20" t="str">
        <f t="shared" si="48"/>
        <v>N/A</v>
      </c>
      <c r="M1549" s="20" t="str">
        <f t="shared" si="49"/>
        <v>N/A</v>
      </c>
    </row>
    <row r="1550" spans="1:13">
      <c r="A1550" s="18" t="s">
        <v>22</v>
      </c>
      <c r="B1550" s="18" t="s">
        <v>365</v>
      </c>
      <c r="C1550" s="18" t="s">
        <v>283</v>
      </c>
      <c r="D1550" s="18" t="s">
        <v>131</v>
      </c>
      <c r="E1550" s="18">
        <v>25.09</v>
      </c>
      <c r="F1550" s="18">
        <v>17.91</v>
      </c>
      <c r="G1550" s="18">
        <v>0</v>
      </c>
      <c r="H1550" s="18">
        <v>43</v>
      </c>
      <c r="L1550" s="20" t="str">
        <f t="shared" si="48"/>
        <v>N/A</v>
      </c>
      <c r="M1550" s="20" t="str">
        <f t="shared" si="49"/>
        <v>N/A</v>
      </c>
    </row>
    <row r="1551" spans="1:13">
      <c r="A1551" s="18" t="s">
        <v>22</v>
      </c>
      <c r="B1551" s="18" t="s">
        <v>365</v>
      </c>
      <c r="C1551" s="18" t="s">
        <v>283</v>
      </c>
      <c r="D1551" s="18" t="s">
        <v>162</v>
      </c>
      <c r="E1551" s="18">
        <v>0</v>
      </c>
      <c r="F1551" s="18">
        <v>0</v>
      </c>
      <c r="G1551" s="18">
        <v>0</v>
      </c>
      <c r="H1551" s="18">
        <v>0</v>
      </c>
      <c r="L1551" s="20" t="str">
        <f t="shared" si="48"/>
        <v>N/A</v>
      </c>
      <c r="M1551" s="20" t="str">
        <f t="shared" si="49"/>
        <v>N/A</v>
      </c>
    </row>
    <row r="1552" spans="1:13">
      <c r="A1552" s="18" t="s">
        <v>22</v>
      </c>
      <c r="B1552" s="18" t="s">
        <v>365</v>
      </c>
      <c r="C1552" s="18" t="s">
        <v>283</v>
      </c>
      <c r="D1552" s="18" t="s">
        <v>134</v>
      </c>
      <c r="E1552" s="18">
        <v>1.8</v>
      </c>
      <c r="F1552" s="18">
        <v>2.25</v>
      </c>
      <c r="G1552" s="18">
        <v>0</v>
      </c>
      <c r="H1552" s="18">
        <v>4.05</v>
      </c>
      <c r="L1552" s="20" t="str">
        <f t="shared" si="48"/>
        <v>N/A</v>
      </c>
      <c r="M1552" s="20" t="str">
        <f t="shared" si="49"/>
        <v>N/A</v>
      </c>
    </row>
    <row r="1553" spans="1:13">
      <c r="A1553" s="18" t="s">
        <v>22</v>
      </c>
      <c r="B1553" s="18" t="s">
        <v>365</v>
      </c>
      <c r="C1553" s="18" t="s">
        <v>283</v>
      </c>
      <c r="D1553" s="18" t="s">
        <v>139</v>
      </c>
      <c r="E1553" s="18">
        <v>7.42</v>
      </c>
      <c r="F1553" s="18">
        <v>3.71</v>
      </c>
      <c r="G1553" s="18">
        <v>0</v>
      </c>
      <c r="H1553" s="18">
        <v>11.13</v>
      </c>
      <c r="L1553" s="20" t="str">
        <f t="shared" si="48"/>
        <v>N/A</v>
      </c>
      <c r="M1553" s="20" t="str">
        <f t="shared" si="49"/>
        <v>N/A</v>
      </c>
    </row>
    <row r="1554" spans="1:13">
      <c r="A1554" s="18" t="s">
        <v>22</v>
      </c>
      <c r="B1554" s="18" t="s">
        <v>365</v>
      </c>
      <c r="C1554" s="18" t="s">
        <v>283</v>
      </c>
      <c r="D1554" s="18" t="s">
        <v>142</v>
      </c>
      <c r="E1554" s="18">
        <v>6.13</v>
      </c>
      <c r="F1554" s="18">
        <v>3.62</v>
      </c>
      <c r="G1554" s="18">
        <v>0</v>
      </c>
      <c r="H1554" s="18">
        <v>9.75</v>
      </c>
      <c r="L1554" s="20" t="str">
        <f t="shared" si="48"/>
        <v>N/A</v>
      </c>
      <c r="M1554" s="20" t="str">
        <f t="shared" si="49"/>
        <v>N/A</v>
      </c>
    </row>
    <row r="1555" spans="1:13">
      <c r="A1555" s="18" t="s">
        <v>22</v>
      </c>
      <c r="B1555" s="18" t="s">
        <v>365</v>
      </c>
      <c r="C1555" s="18" t="s">
        <v>283</v>
      </c>
      <c r="D1555" s="18" t="s">
        <v>163</v>
      </c>
      <c r="E1555" s="18">
        <v>0</v>
      </c>
      <c r="F1555" s="18">
        <v>0</v>
      </c>
      <c r="G1555" s="18">
        <v>0</v>
      </c>
      <c r="H1555" s="18">
        <v>0</v>
      </c>
      <c r="L1555" s="20" t="str">
        <f t="shared" si="48"/>
        <v>N/A</v>
      </c>
      <c r="M1555" s="20" t="str">
        <f t="shared" si="49"/>
        <v>N/A</v>
      </c>
    </row>
    <row r="1556" spans="1:13">
      <c r="A1556" s="18" t="s">
        <v>22</v>
      </c>
      <c r="B1556" s="18" t="s">
        <v>365</v>
      </c>
      <c r="C1556" s="18" t="s">
        <v>285</v>
      </c>
      <c r="D1556" s="18" t="s">
        <v>87</v>
      </c>
      <c r="E1556" s="18">
        <v>1004.12</v>
      </c>
      <c r="F1556" s="18">
        <v>33638.33</v>
      </c>
      <c r="G1556" s="18">
        <v>4347.12</v>
      </c>
      <c r="H1556" s="18">
        <v>30295.33</v>
      </c>
      <c r="L1556" s="20" t="str">
        <f t="shared" si="48"/>
        <v>Asset</v>
      </c>
      <c r="M1556" s="20" t="str">
        <f t="shared" si="49"/>
        <v>okay</v>
      </c>
    </row>
    <row r="1557" spans="1:13">
      <c r="A1557" s="18" t="s">
        <v>22</v>
      </c>
      <c r="B1557" s="18" t="s">
        <v>365</v>
      </c>
      <c r="C1557" s="18" t="s">
        <v>285</v>
      </c>
      <c r="D1557" s="18" t="s">
        <v>97</v>
      </c>
      <c r="E1557" s="18">
        <v>16479282.02</v>
      </c>
      <c r="F1557" s="18">
        <v>0</v>
      </c>
      <c r="G1557" s="18">
        <v>0</v>
      </c>
      <c r="H1557" s="18">
        <v>16479282.02</v>
      </c>
      <c r="L1557" s="20" t="str">
        <f t="shared" si="48"/>
        <v>Asset</v>
      </c>
      <c r="M1557" s="20" t="str">
        <f t="shared" si="49"/>
        <v>okay</v>
      </c>
    </row>
    <row r="1558" spans="1:13">
      <c r="A1558" s="18" t="s">
        <v>22</v>
      </c>
      <c r="B1558" s="18" t="s">
        <v>365</v>
      </c>
      <c r="C1558" s="18" t="s">
        <v>285</v>
      </c>
      <c r="D1558" s="18" t="s">
        <v>105</v>
      </c>
      <c r="E1558" s="18">
        <v>5129685.17</v>
      </c>
      <c r="F1558" s="18">
        <v>240748.93</v>
      </c>
      <c r="G1558" s="18">
        <v>0</v>
      </c>
      <c r="H1558" s="18">
        <v>5370434.0999999996</v>
      </c>
      <c r="L1558" s="20" t="str">
        <f t="shared" si="48"/>
        <v>Asset</v>
      </c>
      <c r="M1558" s="20" t="str">
        <f t="shared" si="49"/>
        <v>okay</v>
      </c>
    </row>
    <row r="1559" spans="1:13">
      <c r="A1559" s="18" t="s">
        <v>22</v>
      </c>
      <c r="B1559" s="18" t="s">
        <v>365</v>
      </c>
      <c r="C1559" s="18" t="s">
        <v>285</v>
      </c>
      <c r="D1559" s="18" t="s">
        <v>108</v>
      </c>
      <c r="E1559" s="18">
        <v>0</v>
      </c>
      <c r="F1559" s="18">
        <v>0</v>
      </c>
      <c r="G1559" s="18">
        <v>0</v>
      </c>
      <c r="H1559" s="18">
        <v>0</v>
      </c>
      <c r="L1559" s="20" t="str">
        <f t="shared" si="48"/>
        <v>Asset</v>
      </c>
      <c r="M1559" s="20" t="str">
        <f t="shared" si="49"/>
        <v>okay</v>
      </c>
    </row>
    <row r="1560" spans="1:13">
      <c r="A1560" s="18" t="s">
        <v>22</v>
      </c>
      <c r="B1560" s="18" t="s">
        <v>365</v>
      </c>
      <c r="C1560" s="18" t="s">
        <v>285</v>
      </c>
      <c r="D1560" s="18" t="s">
        <v>116</v>
      </c>
      <c r="E1560" s="18">
        <v>-205.41</v>
      </c>
      <c r="F1560" s="18">
        <v>0</v>
      </c>
      <c r="G1560" s="18">
        <v>0</v>
      </c>
      <c r="H1560" s="18">
        <v>-205.41</v>
      </c>
      <c r="L1560" s="20" t="str">
        <f t="shared" si="48"/>
        <v>N/A</v>
      </c>
      <c r="M1560" s="20" t="str">
        <f t="shared" si="49"/>
        <v>N/A</v>
      </c>
    </row>
    <row r="1561" spans="1:13">
      <c r="A1561" s="18" t="s">
        <v>22</v>
      </c>
      <c r="B1561" s="18" t="s">
        <v>365</v>
      </c>
      <c r="C1561" s="18" t="s">
        <v>285</v>
      </c>
      <c r="D1561" s="18" t="s">
        <v>121</v>
      </c>
      <c r="E1561" s="18">
        <v>-450.68</v>
      </c>
      <c r="F1561" s="18">
        <v>300.45999999999998</v>
      </c>
      <c r="G1561" s="18">
        <v>75.11</v>
      </c>
      <c r="H1561" s="18">
        <v>-225.33</v>
      </c>
      <c r="L1561" s="20" t="str">
        <f t="shared" si="48"/>
        <v>N/A</v>
      </c>
      <c r="M1561" s="20" t="str">
        <f t="shared" si="49"/>
        <v>N/A</v>
      </c>
    </row>
    <row r="1562" spans="1:13">
      <c r="A1562" s="18" t="s">
        <v>22</v>
      </c>
      <c r="B1562" s="18" t="s">
        <v>365</v>
      </c>
      <c r="C1562" s="18" t="s">
        <v>285</v>
      </c>
      <c r="D1562" s="18" t="s">
        <v>124</v>
      </c>
      <c r="E1562" s="18">
        <v>-92.07</v>
      </c>
      <c r="F1562" s="18">
        <v>0</v>
      </c>
      <c r="G1562" s="18">
        <v>57.3</v>
      </c>
      <c r="H1562" s="18">
        <v>-149.37</v>
      </c>
      <c r="L1562" s="20" t="str">
        <f t="shared" si="48"/>
        <v>N/A</v>
      </c>
      <c r="M1562" s="20" t="str">
        <f t="shared" si="49"/>
        <v>N/A</v>
      </c>
    </row>
    <row r="1563" spans="1:13">
      <c r="A1563" s="18" t="s">
        <v>22</v>
      </c>
      <c r="B1563" s="18" t="s">
        <v>365</v>
      </c>
      <c r="C1563" s="18" t="s">
        <v>285</v>
      </c>
      <c r="D1563" s="18" t="s">
        <v>127</v>
      </c>
      <c r="E1563" s="18">
        <v>0</v>
      </c>
      <c r="F1563" s="18">
        <v>0</v>
      </c>
      <c r="G1563" s="18">
        <v>0</v>
      </c>
      <c r="H1563" s="18">
        <v>0</v>
      </c>
      <c r="L1563" s="20" t="str">
        <f t="shared" si="48"/>
        <v>N/A</v>
      </c>
      <c r="M1563" s="20" t="str">
        <f t="shared" si="49"/>
        <v>N/A</v>
      </c>
    </row>
    <row r="1564" spans="1:13">
      <c r="A1564" s="18" t="s">
        <v>22</v>
      </c>
      <c r="B1564" s="18" t="s">
        <v>365</v>
      </c>
      <c r="C1564" s="18" t="s">
        <v>285</v>
      </c>
      <c r="D1564" s="18" t="s">
        <v>95</v>
      </c>
      <c r="E1564" s="18">
        <v>-22.42</v>
      </c>
      <c r="F1564" s="18">
        <v>5.61</v>
      </c>
      <c r="G1564" s="18">
        <v>16.82</v>
      </c>
      <c r="H1564" s="18">
        <v>-33.630000000000003</v>
      </c>
      <c r="L1564" s="20" t="str">
        <f t="shared" si="48"/>
        <v>N/A</v>
      </c>
      <c r="M1564" s="20" t="str">
        <f t="shared" si="49"/>
        <v>N/A</v>
      </c>
    </row>
    <row r="1565" spans="1:13">
      <c r="A1565" s="18" t="s">
        <v>22</v>
      </c>
      <c r="B1565" s="18" t="s">
        <v>365</v>
      </c>
      <c r="C1565" s="18" t="s">
        <v>285</v>
      </c>
      <c r="D1565" s="18" t="s">
        <v>132</v>
      </c>
      <c r="E1565" s="18">
        <v>0</v>
      </c>
      <c r="F1565" s="18">
        <v>0</v>
      </c>
      <c r="G1565" s="18">
        <v>0</v>
      </c>
      <c r="H1565" s="18">
        <v>0</v>
      </c>
      <c r="L1565" s="20" t="str">
        <f t="shared" si="48"/>
        <v>N/A</v>
      </c>
      <c r="M1565" s="20" t="str">
        <f t="shared" si="49"/>
        <v>N/A</v>
      </c>
    </row>
    <row r="1566" spans="1:13">
      <c r="A1566" s="18" t="s">
        <v>22</v>
      </c>
      <c r="B1566" s="18" t="s">
        <v>365</v>
      </c>
      <c r="C1566" s="18" t="s">
        <v>285</v>
      </c>
      <c r="D1566" s="18" t="s">
        <v>135</v>
      </c>
      <c r="E1566" s="18">
        <v>-20000000</v>
      </c>
      <c r="F1566" s="18">
        <v>0</v>
      </c>
      <c r="G1566" s="18">
        <v>0</v>
      </c>
      <c r="H1566" s="18">
        <v>-20000000</v>
      </c>
      <c r="L1566" s="20" t="str">
        <f t="shared" si="48"/>
        <v>N/A</v>
      </c>
      <c r="M1566" s="20" t="str">
        <f t="shared" si="49"/>
        <v>N/A</v>
      </c>
    </row>
    <row r="1567" spans="1:13">
      <c r="A1567" s="18" t="s">
        <v>22</v>
      </c>
      <c r="B1567" s="18" t="s">
        <v>365</v>
      </c>
      <c r="C1567" s="18" t="s">
        <v>285</v>
      </c>
      <c r="D1567" s="18" t="s">
        <v>140</v>
      </c>
      <c r="E1567" s="18">
        <v>-47836.77</v>
      </c>
      <c r="F1567" s="18">
        <v>0</v>
      </c>
      <c r="G1567" s="18">
        <v>33633.22</v>
      </c>
      <c r="H1567" s="18">
        <v>-81469.990000000005</v>
      </c>
      <c r="L1567" s="20" t="str">
        <f t="shared" si="48"/>
        <v>N/A</v>
      </c>
      <c r="M1567" s="20" t="str">
        <f t="shared" si="49"/>
        <v>N/A</v>
      </c>
    </row>
    <row r="1568" spans="1:13">
      <c r="A1568" s="18" t="s">
        <v>22</v>
      </c>
      <c r="B1568" s="18" t="s">
        <v>365</v>
      </c>
      <c r="C1568" s="18" t="s">
        <v>285</v>
      </c>
      <c r="D1568" s="18" t="s">
        <v>143</v>
      </c>
      <c r="E1568" s="18">
        <v>3520717.98</v>
      </c>
      <c r="F1568" s="18">
        <v>0</v>
      </c>
      <c r="G1568" s="18">
        <v>0</v>
      </c>
      <c r="H1568" s="18">
        <v>3520717.98</v>
      </c>
      <c r="L1568" s="20" t="str">
        <f t="shared" si="48"/>
        <v>N/A</v>
      </c>
      <c r="M1568" s="20" t="str">
        <f t="shared" si="49"/>
        <v>N/A</v>
      </c>
    </row>
    <row r="1569" spans="1:13">
      <c r="A1569" s="18" t="s">
        <v>22</v>
      </c>
      <c r="B1569" s="18" t="s">
        <v>365</v>
      </c>
      <c r="C1569" s="18" t="s">
        <v>285</v>
      </c>
      <c r="D1569" s="18" t="s">
        <v>146</v>
      </c>
      <c r="E1569" s="18">
        <v>446139.53</v>
      </c>
      <c r="F1569" s="18">
        <v>0</v>
      </c>
      <c r="G1569" s="18">
        <v>0</v>
      </c>
      <c r="H1569" s="18">
        <v>446139.53</v>
      </c>
      <c r="L1569" s="20" t="str">
        <f t="shared" si="48"/>
        <v>N/A</v>
      </c>
      <c r="M1569" s="20" t="str">
        <f t="shared" si="49"/>
        <v>N/A</v>
      </c>
    </row>
    <row r="1570" spans="1:13">
      <c r="A1570" s="18" t="s">
        <v>22</v>
      </c>
      <c r="B1570" s="18" t="s">
        <v>365</v>
      </c>
      <c r="C1570" s="18" t="s">
        <v>285</v>
      </c>
      <c r="D1570" s="18" t="s">
        <v>147</v>
      </c>
      <c r="E1570" s="18">
        <v>-3889719.7</v>
      </c>
      <c r="F1570" s="18">
        <v>0</v>
      </c>
      <c r="G1570" s="18">
        <v>0</v>
      </c>
      <c r="H1570" s="18">
        <v>-3889719.7</v>
      </c>
      <c r="L1570" s="20" t="str">
        <f t="shared" si="48"/>
        <v>N/A</v>
      </c>
      <c r="M1570" s="20" t="str">
        <f t="shared" si="49"/>
        <v>N/A</v>
      </c>
    </row>
    <row r="1571" spans="1:13">
      <c r="A1571" s="18" t="s">
        <v>22</v>
      </c>
      <c r="B1571" s="18" t="s">
        <v>365</v>
      </c>
      <c r="C1571" s="18" t="s">
        <v>285</v>
      </c>
      <c r="D1571" s="18" t="s">
        <v>153</v>
      </c>
      <c r="E1571" s="18">
        <v>0</v>
      </c>
      <c r="F1571" s="18">
        <v>0</v>
      </c>
      <c r="G1571" s="18">
        <v>0</v>
      </c>
      <c r="H1571" s="18">
        <v>0</v>
      </c>
      <c r="L1571" s="20" t="str">
        <f t="shared" si="48"/>
        <v>N/A</v>
      </c>
      <c r="M1571" s="20" t="str">
        <f t="shared" si="49"/>
        <v>N/A</v>
      </c>
    </row>
    <row r="1572" spans="1:13">
      <c r="A1572" s="18" t="s">
        <v>22</v>
      </c>
      <c r="B1572" s="18" t="s">
        <v>365</v>
      </c>
      <c r="C1572" s="18" t="s">
        <v>285</v>
      </c>
      <c r="D1572" s="18" t="s">
        <v>155</v>
      </c>
      <c r="E1572" s="18">
        <v>0</v>
      </c>
      <c r="F1572" s="18">
        <v>0</v>
      </c>
      <c r="G1572" s="18">
        <v>0</v>
      </c>
      <c r="H1572" s="18">
        <v>0</v>
      </c>
      <c r="L1572" s="20" t="str">
        <f t="shared" si="48"/>
        <v>N/A</v>
      </c>
      <c r="M1572" s="20" t="str">
        <f t="shared" si="49"/>
        <v>N/A</v>
      </c>
    </row>
    <row r="1573" spans="1:13">
      <c r="A1573" s="18" t="s">
        <v>22</v>
      </c>
      <c r="B1573" s="18" t="s">
        <v>365</v>
      </c>
      <c r="C1573" s="18" t="s">
        <v>285</v>
      </c>
      <c r="D1573" s="18" t="s">
        <v>156</v>
      </c>
      <c r="E1573" s="18">
        <v>-176.16</v>
      </c>
      <c r="F1573" s="18">
        <v>0</v>
      </c>
      <c r="G1573" s="18">
        <v>5.1100000000000003</v>
      </c>
      <c r="H1573" s="18">
        <v>-181.27</v>
      </c>
      <c r="L1573" s="20" t="str">
        <f t="shared" si="48"/>
        <v>N/A</v>
      </c>
      <c r="M1573" s="20" t="str">
        <f t="shared" si="49"/>
        <v>N/A</v>
      </c>
    </row>
    <row r="1574" spans="1:13">
      <c r="A1574" s="18" t="s">
        <v>22</v>
      </c>
      <c r="B1574" s="18" t="s">
        <v>365</v>
      </c>
      <c r="C1574" s="18" t="s">
        <v>285</v>
      </c>
      <c r="D1574" s="18" t="s">
        <v>157</v>
      </c>
      <c r="E1574" s="18">
        <v>-1651200.41</v>
      </c>
      <c r="F1574" s="18">
        <v>0</v>
      </c>
      <c r="G1574" s="18">
        <v>240748.93</v>
      </c>
      <c r="H1574" s="18">
        <v>-1891949.34</v>
      </c>
      <c r="L1574" s="20" t="str">
        <f t="shared" si="48"/>
        <v>N/A</v>
      </c>
      <c r="M1574" s="20" t="str">
        <f t="shared" si="49"/>
        <v>N/A</v>
      </c>
    </row>
    <row r="1575" spans="1:13">
      <c r="A1575" s="18" t="s">
        <v>22</v>
      </c>
      <c r="B1575" s="18" t="s">
        <v>365</v>
      </c>
      <c r="C1575" s="18" t="s">
        <v>285</v>
      </c>
      <c r="D1575" s="18" t="s">
        <v>145</v>
      </c>
      <c r="E1575" s="18">
        <v>0</v>
      </c>
      <c r="F1575" s="18">
        <v>1155.3599999999999</v>
      </c>
      <c r="G1575" s="18">
        <v>0</v>
      </c>
      <c r="H1575" s="18">
        <v>1155.3599999999999</v>
      </c>
      <c r="L1575" s="20" t="str">
        <f t="shared" si="48"/>
        <v>N/A</v>
      </c>
      <c r="M1575" s="20" t="str">
        <f t="shared" si="49"/>
        <v>N/A</v>
      </c>
    </row>
    <row r="1576" spans="1:13">
      <c r="A1576" s="18" t="s">
        <v>22</v>
      </c>
      <c r="B1576" s="18" t="s">
        <v>365</v>
      </c>
      <c r="C1576" s="18" t="s">
        <v>285</v>
      </c>
      <c r="D1576" s="18" t="s">
        <v>96</v>
      </c>
      <c r="E1576" s="18">
        <v>33.64</v>
      </c>
      <c r="F1576" s="18">
        <v>16.82</v>
      </c>
      <c r="G1576" s="18">
        <v>0</v>
      </c>
      <c r="H1576" s="18">
        <v>50.46</v>
      </c>
      <c r="L1576" s="20" t="str">
        <f t="shared" si="48"/>
        <v>N/A</v>
      </c>
      <c r="M1576" s="20" t="str">
        <f t="shared" si="49"/>
        <v>N/A</v>
      </c>
    </row>
    <row r="1577" spans="1:13">
      <c r="A1577" s="18" t="s">
        <v>22</v>
      </c>
      <c r="B1577" s="18" t="s">
        <v>365</v>
      </c>
      <c r="C1577" s="18" t="s">
        <v>285</v>
      </c>
      <c r="D1577" s="18" t="s">
        <v>104</v>
      </c>
      <c r="E1577" s="18">
        <v>76.790000000000006</v>
      </c>
      <c r="F1577" s="18">
        <v>153.61000000000001</v>
      </c>
      <c r="G1577" s="18">
        <v>0</v>
      </c>
      <c r="H1577" s="18">
        <v>230.4</v>
      </c>
      <c r="L1577" s="20" t="str">
        <f t="shared" si="48"/>
        <v>N/A</v>
      </c>
      <c r="M1577" s="20" t="str">
        <f t="shared" si="49"/>
        <v>N/A</v>
      </c>
    </row>
    <row r="1578" spans="1:13">
      <c r="A1578" s="18" t="s">
        <v>22</v>
      </c>
      <c r="B1578" s="18" t="s">
        <v>365</v>
      </c>
      <c r="C1578" s="18" t="s">
        <v>285</v>
      </c>
      <c r="D1578" s="18" t="s">
        <v>359</v>
      </c>
      <c r="E1578" s="18">
        <v>3623.04</v>
      </c>
      <c r="F1578" s="18">
        <v>34.31</v>
      </c>
      <c r="G1578" s="18">
        <v>0</v>
      </c>
      <c r="H1578" s="18">
        <v>3657.35</v>
      </c>
      <c r="L1578" s="20" t="str">
        <f t="shared" si="48"/>
        <v>N/A</v>
      </c>
      <c r="M1578" s="20" t="str">
        <f t="shared" si="49"/>
        <v>N/A</v>
      </c>
    </row>
    <row r="1579" spans="1:13">
      <c r="A1579" s="18" t="s">
        <v>22</v>
      </c>
      <c r="B1579" s="18" t="s">
        <v>365</v>
      </c>
      <c r="C1579" s="18" t="s">
        <v>285</v>
      </c>
      <c r="D1579" s="18" t="s">
        <v>113</v>
      </c>
      <c r="E1579" s="18">
        <v>4931.62</v>
      </c>
      <c r="F1579" s="18">
        <v>1350.64</v>
      </c>
      <c r="G1579" s="18">
        <v>0</v>
      </c>
      <c r="H1579" s="18">
        <v>6282.26</v>
      </c>
      <c r="L1579" s="20" t="str">
        <f t="shared" si="48"/>
        <v>N/A</v>
      </c>
      <c r="M1579" s="20" t="str">
        <f t="shared" si="49"/>
        <v>N/A</v>
      </c>
    </row>
    <row r="1580" spans="1:13">
      <c r="A1580" s="18" t="s">
        <v>22</v>
      </c>
      <c r="B1580" s="18" t="s">
        <v>365</v>
      </c>
      <c r="C1580" s="18" t="s">
        <v>285</v>
      </c>
      <c r="D1580" s="18" t="s">
        <v>150</v>
      </c>
      <c r="E1580" s="18">
        <v>1536.01</v>
      </c>
      <c r="F1580" s="18">
        <v>92.73</v>
      </c>
      <c r="G1580" s="18">
        <v>0</v>
      </c>
      <c r="H1580" s="18">
        <v>1628.74</v>
      </c>
      <c r="L1580" s="20" t="str">
        <f t="shared" si="48"/>
        <v>N/A</v>
      </c>
      <c r="M1580" s="20" t="str">
        <f t="shared" si="49"/>
        <v>N/A</v>
      </c>
    </row>
    <row r="1581" spans="1:13">
      <c r="A1581" s="18" t="s">
        <v>22</v>
      </c>
      <c r="B1581" s="18" t="s">
        <v>365</v>
      </c>
      <c r="C1581" s="18" t="s">
        <v>285</v>
      </c>
      <c r="D1581" s="18" t="s">
        <v>120</v>
      </c>
      <c r="E1581" s="18">
        <v>2.2999999999999998</v>
      </c>
      <c r="F1581" s="18">
        <v>0</v>
      </c>
      <c r="G1581" s="18">
        <v>0</v>
      </c>
      <c r="H1581" s="18">
        <v>2.2999999999999998</v>
      </c>
      <c r="L1581" s="20" t="str">
        <f t="shared" si="48"/>
        <v>N/A</v>
      </c>
      <c r="M1581" s="20" t="str">
        <f t="shared" si="49"/>
        <v>N/A</v>
      </c>
    </row>
    <row r="1582" spans="1:13">
      <c r="A1582" s="18" t="s">
        <v>22</v>
      </c>
      <c r="B1582" s="18" t="s">
        <v>365</v>
      </c>
      <c r="C1582" s="18" t="s">
        <v>285</v>
      </c>
      <c r="D1582" s="18" t="s">
        <v>123</v>
      </c>
      <c r="E1582" s="18">
        <v>1438.52</v>
      </c>
      <c r="F1582" s="18">
        <v>732.12</v>
      </c>
      <c r="G1582" s="18">
        <v>0</v>
      </c>
      <c r="H1582" s="18">
        <v>2170.64</v>
      </c>
      <c r="L1582" s="20" t="str">
        <f t="shared" si="48"/>
        <v>N/A</v>
      </c>
      <c r="M1582" s="20" t="str">
        <f t="shared" si="49"/>
        <v>N/A</v>
      </c>
    </row>
    <row r="1583" spans="1:13">
      <c r="A1583" s="18" t="s">
        <v>22</v>
      </c>
      <c r="B1583" s="18" t="s">
        <v>365</v>
      </c>
      <c r="C1583" s="18" t="s">
        <v>285</v>
      </c>
      <c r="D1583" s="18" t="s">
        <v>126</v>
      </c>
      <c r="E1583" s="18">
        <v>214.13</v>
      </c>
      <c r="F1583" s="18">
        <v>41.26</v>
      </c>
      <c r="G1583" s="18">
        <v>0</v>
      </c>
      <c r="H1583" s="18">
        <v>255.39</v>
      </c>
      <c r="L1583" s="20" t="str">
        <f t="shared" si="48"/>
        <v>N/A</v>
      </c>
      <c r="M1583" s="20" t="str">
        <f t="shared" si="49"/>
        <v>N/A</v>
      </c>
    </row>
    <row r="1584" spans="1:13">
      <c r="A1584" s="18" t="s">
        <v>22</v>
      </c>
      <c r="B1584" s="18" t="s">
        <v>365</v>
      </c>
      <c r="C1584" s="18" t="s">
        <v>285</v>
      </c>
      <c r="D1584" s="18" t="s">
        <v>129</v>
      </c>
      <c r="E1584" s="18">
        <v>199.97</v>
      </c>
      <c r="F1584" s="18">
        <v>56.9</v>
      </c>
      <c r="G1584" s="18">
        <v>0</v>
      </c>
      <c r="H1584" s="18">
        <v>256.87</v>
      </c>
      <c r="L1584" s="20" t="str">
        <f t="shared" si="48"/>
        <v>N/A</v>
      </c>
      <c r="M1584" s="20" t="str">
        <f t="shared" si="49"/>
        <v>N/A</v>
      </c>
    </row>
    <row r="1585" spans="1:13">
      <c r="A1585" s="18" t="s">
        <v>22</v>
      </c>
      <c r="B1585" s="18" t="s">
        <v>365</v>
      </c>
      <c r="C1585" s="18" t="s">
        <v>285</v>
      </c>
      <c r="D1585" s="18" t="s">
        <v>131</v>
      </c>
      <c r="E1585" s="18">
        <v>507.9</v>
      </c>
      <c r="F1585" s="18">
        <v>362.52</v>
      </c>
      <c r="G1585" s="18">
        <v>0</v>
      </c>
      <c r="H1585" s="18">
        <v>870.42</v>
      </c>
      <c r="L1585" s="20" t="str">
        <f t="shared" si="48"/>
        <v>N/A</v>
      </c>
      <c r="M1585" s="20" t="str">
        <f t="shared" si="49"/>
        <v>N/A</v>
      </c>
    </row>
    <row r="1586" spans="1:13">
      <c r="A1586" s="18" t="s">
        <v>22</v>
      </c>
      <c r="B1586" s="18" t="s">
        <v>365</v>
      </c>
      <c r="C1586" s="18" t="s">
        <v>285</v>
      </c>
      <c r="D1586" s="18" t="s">
        <v>162</v>
      </c>
      <c r="E1586" s="18">
        <v>0</v>
      </c>
      <c r="F1586" s="18">
        <v>0</v>
      </c>
      <c r="G1586" s="18">
        <v>0</v>
      </c>
      <c r="H1586" s="18">
        <v>0</v>
      </c>
      <c r="L1586" s="20" t="str">
        <f t="shared" si="48"/>
        <v>N/A</v>
      </c>
      <c r="M1586" s="20" t="str">
        <f t="shared" si="49"/>
        <v>N/A</v>
      </c>
    </row>
    <row r="1587" spans="1:13">
      <c r="A1587" s="18" t="s">
        <v>22</v>
      </c>
      <c r="B1587" s="18" t="s">
        <v>365</v>
      </c>
      <c r="C1587" s="18" t="s">
        <v>285</v>
      </c>
      <c r="D1587" s="18" t="s">
        <v>134</v>
      </c>
      <c r="E1587" s="18">
        <v>36.450000000000003</v>
      </c>
      <c r="F1587" s="18">
        <v>45.54</v>
      </c>
      <c r="G1587" s="18">
        <v>0</v>
      </c>
      <c r="H1587" s="18">
        <v>81.99</v>
      </c>
      <c r="L1587" s="20" t="str">
        <f t="shared" si="48"/>
        <v>N/A</v>
      </c>
      <c r="M1587" s="20" t="str">
        <f t="shared" si="49"/>
        <v>N/A</v>
      </c>
    </row>
    <row r="1588" spans="1:13">
      <c r="A1588" s="18" t="s">
        <v>22</v>
      </c>
      <c r="B1588" s="18" t="s">
        <v>365</v>
      </c>
      <c r="C1588" s="18" t="s">
        <v>285</v>
      </c>
      <c r="D1588" s="18" t="s">
        <v>139</v>
      </c>
      <c r="E1588" s="18">
        <v>150.22</v>
      </c>
      <c r="F1588" s="18">
        <v>75.11</v>
      </c>
      <c r="G1588" s="18">
        <v>0</v>
      </c>
      <c r="H1588" s="18">
        <v>225.33</v>
      </c>
      <c r="L1588" s="20" t="str">
        <f t="shared" si="48"/>
        <v>N/A</v>
      </c>
      <c r="M1588" s="20" t="str">
        <f t="shared" si="49"/>
        <v>N/A</v>
      </c>
    </row>
    <row r="1589" spans="1:13">
      <c r="A1589" s="18" t="s">
        <v>22</v>
      </c>
      <c r="B1589" s="18" t="s">
        <v>365</v>
      </c>
      <c r="C1589" s="18" t="s">
        <v>285</v>
      </c>
      <c r="D1589" s="18" t="s">
        <v>142</v>
      </c>
      <c r="E1589" s="18">
        <v>124.21</v>
      </c>
      <c r="F1589" s="18">
        <v>73.36</v>
      </c>
      <c r="G1589" s="18">
        <v>0</v>
      </c>
      <c r="H1589" s="18">
        <v>197.57</v>
      </c>
      <c r="L1589" s="20" t="str">
        <f t="shared" si="48"/>
        <v>N/A</v>
      </c>
      <c r="M1589" s="20" t="str">
        <f t="shared" si="49"/>
        <v>N/A</v>
      </c>
    </row>
    <row r="1590" spans="1:13">
      <c r="A1590" s="18" t="s">
        <v>22</v>
      </c>
      <c r="B1590" s="18" t="s">
        <v>365</v>
      </c>
      <c r="C1590" s="18" t="s">
        <v>285</v>
      </c>
      <c r="D1590" s="18" t="s">
        <v>163</v>
      </c>
      <c r="E1590" s="18">
        <v>0</v>
      </c>
      <c r="F1590" s="18">
        <v>0</v>
      </c>
      <c r="G1590" s="18">
        <v>0</v>
      </c>
      <c r="H1590" s="18">
        <v>0</v>
      </c>
      <c r="L1590" s="20" t="str">
        <f t="shared" si="48"/>
        <v>N/A</v>
      </c>
      <c r="M1590" s="20" t="str">
        <f t="shared" si="49"/>
        <v>N/A</v>
      </c>
    </row>
    <row r="1591" spans="1:13">
      <c r="A1591" s="18" t="s">
        <v>22</v>
      </c>
      <c r="B1591" s="18" t="s">
        <v>365</v>
      </c>
      <c r="C1591" s="18" t="s">
        <v>287</v>
      </c>
      <c r="D1591" s="18" t="s">
        <v>87</v>
      </c>
      <c r="E1591" s="18">
        <v>495.73</v>
      </c>
      <c r="F1591" s="18">
        <v>16611.52</v>
      </c>
      <c r="G1591" s="18">
        <v>45386.38</v>
      </c>
      <c r="H1591" s="18">
        <v>-28279.13</v>
      </c>
      <c r="L1591" s="20" t="str">
        <f t="shared" si="48"/>
        <v>Asset</v>
      </c>
      <c r="M1591" s="20" t="str">
        <f t="shared" si="49"/>
        <v>Provide Comment</v>
      </c>
    </row>
    <row r="1592" spans="1:13">
      <c r="A1592" s="18" t="s">
        <v>22</v>
      </c>
      <c r="B1592" s="18" t="s">
        <v>365</v>
      </c>
      <c r="C1592" s="18" t="s">
        <v>287</v>
      </c>
      <c r="D1592" s="18" t="s">
        <v>97</v>
      </c>
      <c r="E1592" s="18">
        <v>8137917.0499999998</v>
      </c>
      <c r="F1592" s="18">
        <v>0</v>
      </c>
      <c r="G1592" s="18">
        <v>0</v>
      </c>
      <c r="H1592" s="18">
        <v>8137917.0499999998</v>
      </c>
      <c r="L1592" s="20" t="str">
        <f t="shared" si="48"/>
        <v>Asset</v>
      </c>
      <c r="M1592" s="20" t="str">
        <f t="shared" si="49"/>
        <v>okay</v>
      </c>
    </row>
    <row r="1593" spans="1:13">
      <c r="A1593" s="18" t="s">
        <v>22</v>
      </c>
      <c r="B1593" s="18" t="s">
        <v>365</v>
      </c>
      <c r="C1593" s="18" t="s">
        <v>287</v>
      </c>
      <c r="D1593" s="18" t="s">
        <v>105</v>
      </c>
      <c r="E1593" s="18">
        <v>2533177.85</v>
      </c>
      <c r="F1593" s="18">
        <v>118888.36</v>
      </c>
      <c r="G1593" s="18">
        <v>0</v>
      </c>
      <c r="H1593" s="18">
        <v>2652066.21</v>
      </c>
      <c r="L1593" s="20" t="str">
        <f t="shared" si="48"/>
        <v>Asset</v>
      </c>
      <c r="M1593" s="20" t="str">
        <f t="shared" si="49"/>
        <v>okay</v>
      </c>
    </row>
    <row r="1594" spans="1:13">
      <c r="A1594" s="18" t="s">
        <v>22</v>
      </c>
      <c r="B1594" s="18" t="s">
        <v>365</v>
      </c>
      <c r="C1594" s="18" t="s">
        <v>287</v>
      </c>
      <c r="D1594" s="18" t="s">
        <v>108</v>
      </c>
      <c r="E1594" s="18">
        <v>0</v>
      </c>
      <c r="F1594" s="18">
        <v>0</v>
      </c>
      <c r="G1594" s="18">
        <v>0</v>
      </c>
      <c r="H1594" s="18">
        <v>0</v>
      </c>
      <c r="L1594" s="20" t="str">
        <f t="shared" si="48"/>
        <v>Asset</v>
      </c>
      <c r="M1594" s="20" t="str">
        <f t="shared" si="49"/>
        <v>okay</v>
      </c>
    </row>
    <row r="1595" spans="1:13">
      <c r="A1595" s="18" t="s">
        <v>21</v>
      </c>
      <c r="B1595" s="18" t="s">
        <v>22</v>
      </c>
      <c r="C1595" s="18" t="s">
        <v>22</v>
      </c>
      <c r="D1595" s="18" t="s">
        <v>22</v>
      </c>
      <c r="E1595" s="18" t="s">
        <v>22</v>
      </c>
      <c r="F1595" s="18" t="s">
        <v>22</v>
      </c>
      <c r="G1595" s="18" t="s">
        <v>22</v>
      </c>
      <c r="H1595" s="32" t="s">
        <v>22</v>
      </c>
      <c r="L1595" s="20" t="str">
        <f t="shared" si="48"/>
        <v>N/A</v>
      </c>
      <c r="M1595" s="20" t="str">
        <f t="shared" si="49"/>
        <v>N/A</v>
      </c>
    </row>
    <row r="1596" spans="1:13">
      <c r="A1596" s="18" t="s">
        <v>22</v>
      </c>
      <c r="B1596" s="18" t="s">
        <v>365</v>
      </c>
      <c r="C1596" s="18" t="s">
        <v>287</v>
      </c>
      <c r="D1596" s="18" t="s">
        <v>116</v>
      </c>
      <c r="E1596" s="18">
        <v>-101.44</v>
      </c>
      <c r="F1596" s="18">
        <v>0</v>
      </c>
      <c r="G1596" s="18">
        <v>0</v>
      </c>
      <c r="H1596" s="18">
        <v>-101.44</v>
      </c>
      <c r="L1596" s="20" t="str">
        <f t="shared" si="48"/>
        <v>N/A</v>
      </c>
      <c r="M1596" s="20" t="str">
        <f t="shared" si="49"/>
        <v>N/A</v>
      </c>
    </row>
    <row r="1597" spans="1:13">
      <c r="A1597" s="18" t="s">
        <v>22</v>
      </c>
      <c r="B1597" s="18" t="s">
        <v>365</v>
      </c>
      <c r="C1597" s="18" t="s">
        <v>287</v>
      </c>
      <c r="D1597" s="18" t="s">
        <v>121</v>
      </c>
      <c r="E1597" s="18">
        <v>-222.57</v>
      </c>
      <c r="F1597" s="18">
        <v>148.37</v>
      </c>
      <c r="G1597" s="18">
        <v>37.090000000000003</v>
      </c>
      <c r="H1597" s="18">
        <v>-111.29</v>
      </c>
      <c r="L1597" s="20" t="str">
        <f t="shared" si="48"/>
        <v>N/A</v>
      </c>
      <c r="M1597" s="20" t="str">
        <f t="shared" si="49"/>
        <v>N/A</v>
      </c>
    </row>
    <row r="1598" spans="1:13">
      <c r="A1598" s="18" t="s">
        <v>22</v>
      </c>
      <c r="B1598" s="18" t="s">
        <v>365</v>
      </c>
      <c r="C1598" s="18" t="s">
        <v>287</v>
      </c>
      <c r="D1598" s="18" t="s">
        <v>124</v>
      </c>
      <c r="E1598" s="18">
        <v>-45.48</v>
      </c>
      <c r="F1598" s="18">
        <v>0</v>
      </c>
      <c r="G1598" s="18">
        <v>28.3</v>
      </c>
      <c r="H1598" s="18">
        <v>-73.78</v>
      </c>
      <c r="L1598" s="20" t="str">
        <f t="shared" si="48"/>
        <v>N/A</v>
      </c>
      <c r="M1598" s="20" t="str">
        <f t="shared" si="49"/>
        <v>N/A</v>
      </c>
    </row>
    <row r="1599" spans="1:13">
      <c r="A1599" s="18" t="s">
        <v>22</v>
      </c>
      <c r="B1599" s="18" t="s">
        <v>365</v>
      </c>
      <c r="C1599" s="18" t="s">
        <v>287</v>
      </c>
      <c r="D1599" s="18" t="s">
        <v>127</v>
      </c>
      <c r="E1599" s="18">
        <v>0</v>
      </c>
      <c r="F1599" s="18">
        <v>0</v>
      </c>
      <c r="G1599" s="18">
        <v>0</v>
      </c>
      <c r="H1599" s="18">
        <v>0</v>
      </c>
      <c r="L1599" s="20" t="str">
        <f t="shared" si="48"/>
        <v>N/A</v>
      </c>
      <c r="M1599" s="20" t="str">
        <f t="shared" si="49"/>
        <v>N/A</v>
      </c>
    </row>
    <row r="1600" spans="1:13">
      <c r="A1600" s="18" t="s">
        <v>22</v>
      </c>
      <c r="B1600" s="18" t="s">
        <v>365</v>
      </c>
      <c r="C1600" s="18" t="s">
        <v>287</v>
      </c>
      <c r="D1600" s="18" t="s">
        <v>95</v>
      </c>
      <c r="E1600" s="18">
        <v>-11.03</v>
      </c>
      <c r="F1600" s="18">
        <v>2.77</v>
      </c>
      <c r="G1600" s="18">
        <v>8.3000000000000007</v>
      </c>
      <c r="H1600" s="18">
        <v>-16.559999999999999</v>
      </c>
      <c r="L1600" s="20" t="str">
        <f t="shared" si="48"/>
        <v>N/A</v>
      </c>
      <c r="M1600" s="20" t="str">
        <f t="shared" si="49"/>
        <v>N/A</v>
      </c>
    </row>
    <row r="1601" spans="1:13">
      <c r="A1601" s="18" t="s">
        <v>22</v>
      </c>
      <c r="B1601" s="18" t="s">
        <v>365</v>
      </c>
      <c r="C1601" s="18" t="s">
        <v>287</v>
      </c>
      <c r="D1601" s="18" t="s">
        <v>132</v>
      </c>
      <c r="E1601" s="18">
        <v>0</v>
      </c>
      <c r="F1601" s="18">
        <v>0</v>
      </c>
      <c r="G1601" s="18">
        <v>0</v>
      </c>
      <c r="H1601" s="18">
        <v>0</v>
      </c>
      <c r="L1601" s="20" t="str">
        <f t="shared" si="48"/>
        <v>N/A</v>
      </c>
      <c r="M1601" s="20" t="str">
        <f t="shared" si="49"/>
        <v>N/A</v>
      </c>
    </row>
    <row r="1602" spans="1:13">
      <c r="A1602" s="18" t="s">
        <v>22</v>
      </c>
      <c r="B1602" s="18" t="s">
        <v>365</v>
      </c>
      <c r="C1602" s="18" t="s">
        <v>287</v>
      </c>
      <c r="D1602" s="18" t="s">
        <v>135</v>
      </c>
      <c r="E1602" s="18">
        <v>-9876543.2100000009</v>
      </c>
      <c r="F1602" s="18">
        <v>0</v>
      </c>
      <c r="G1602" s="18">
        <v>0</v>
      </c>
      <c r="H1602" s="18">
        <v>-9876543.2100000009</v>
      </c>
      <c r="L1602" s="20" t="str">
        <f t="shared" si="48"/>
        <v>N/A</v>
      </c>
      <c r="M1602" s="20" t="str">
        <f t="shared" si="49"/>
        <v>N/A</v>
      </c>
    </row>
    <row r="1603" spans="1:13">
      <c r="A1603" s="18" t="s">
        <v>22</v>
      </c>
      <c r="B1603" s="18" t="s">
        <v>365</v>
      </c>
      <c r="C1603" s="18" t="s">
        <v>287</v>
      </c>
      <c r="D1603" s="18" t="s">
        <v>140</v>
      </c>
      <c r="E1603" s="18">
        <v>-23623.1</v>
      </c>
      <c r="F1603" s="18">
        <v>0</v>
      </c>
      <c r="G1603" s="18">
        <v>16609</v>
      </c>
      <c r="H1603" s="18">
        <v>-40232.1</v>
      </c>
      <c r="L1603" s="20" t="str">
        <f t="shared" ref="L1603:L1666" si="50">+IF(LEFT(D1603,1)="1","Asset","N/A")</f>
        <v>N/A</v>
      </c>
      <c r="M1603" s="20" t="str">
        <f t="shared" ref="M1603:M1666" si="51">+IF(L1603="asset",IF(H1603&lt;0,"Provide Comment","okay"),"N/A")</f>
        <v>N/A</v>
      </c>
    </row>
    <row r="1604" spans="1:13">
      <c r="A1604" s="18" t="s">
        <v>22</v>
      </c>
      <c r="B1604" s="18" t="s">
        <v>365</v>
      </c>
      <c r="C1604" s="18" t="s">
        <v>287</v>
      </c>
      <c r="D1604" s="18" t="s">
        <v>143</v>
      </c>
      <c r="E1604" s="18">
        <v>1738626.16</v>
      </c>
      <c r="F1604" s="18">
        <v>0</v>
      </c>
      <c r="G1604" s="18">
        <v>0</v>
      </c>
      <c r="H1604" s="18">
        <v>1738626.16</v>
      </c>
      <c r="L1604" s="20" t="str">
        <f t="shared" si="50"/>
        <v>N/A</v>
      </c>
      <c r="M1604" s="20" t="str">
        <f t="shared" si="51"/>
        <v>N/A</v>
      </c>
    </row>
    <row r="1605" spans="1:13">
      <c r="A1605" s="18" t="s">
        <v>22</v>
      </c>
      <c r="B1605" s="18" t="s">
        <v>365</v>
      </c>
      <c r="C1605" s="18" t="s">
        <v>287</v>
      </c>
      <c r="D1605" s="18" t="s">
        <v>146</v>
      </c>
      <c r="E1605" s="18">
        <v>220315.82</v>
      </c>
      <c r="F1605" s="18">
        <v>0</v>
      </c>
      <c r="G1605" s="18">
        <v>0</v>
      </c>
      <c r="H1605" s="18">
        <v>220315.82</v>
      </c>
      <c r="L1605" s="20" t="str">
        <f t="shared" si="50"/>
        <v>N/A</v>
      </c>
      <c r="M1605" s="20" t="str">
        <f t="shared" si="51"/>
        <v>N/A</v>
      </c>
    </row>
    <row r="1606" spans="1:13">
      <c r="A1606" s="18" t="s">
        <v>22</v>
      </c>
      <c r="B1606" s="18" t="s">
        <v>365</v>
      </c>
      <c r="C1606" s="18" t="s">
        <v>287</v>
      </c>
      <c r="D1606" s="18" t="s">
        <v>147</v>
      </c>
      <c r="E1606" s="18">
        <v>-1920849.24</v>
      </c>
      <c r="F1606" s="18">
        <v>0</v>
      </c>
      <c r="G1606" s="18">
        <v>0</v>
      </c>
      <c r="H1606" s="18">
        <v>-1920849.24</v>
      </c>
      <c r="L1606" s="20" t="str">
        <f t="shared" si="50"/>
        <v>N/A</v>
      </c>
      <c r="M1606" s="20" t="str">
        <f t="shared" si="51"/>
        <v>N/A</v>
      </c>
    </row>
    <row r="1607" spans="1:13">
      <c r="A1607" s="18" t="s">
        <v>22</v>
      </c>
      <c r="B1607" s="18" t="s">
        <v>365</v>
      </c>
      <c r="C1607" s="18" t="s">
        <v>287</v>
      </c>
      <c r="D1607" s="18" t="s">
        <v>153</v>
      </c>
      <c r="E1607" s="18">
        <v>0</v>
      </c>
      <c r="F1607" s="18">
        <v>0</v>
      </c>
      <c r="G1607" s="18">
        <v>0</v>
      </c>
      <c r="H1607" s="18">
        <v>0</v>
      </c>
      <c r="L1607" s="20" t="str">
        <f t="shared" si="50"/>
        <v>N/A</v>
      </c>
      <c r="M1607" s="20" t="str">
        <f t="shared" si="51"/>
        <v>N/A</v>
      </c>
    </row>
    <row r="1608" spans="1:13">
      <c r="A1608" s="18" t="s">
        <v>22</v>
      </c>
      <c r="B1608" s="18" t="s">
        <v>365</v>
      </c>
      <c r="C1608" s="18" t="s">
        <v>287</v>
      </c>
      <c r="D1608" s="18" t="s">
        <v>155</v>
      </c>
      <c r="E1608" s="18">
        <v>0</v>
      </c>
      <c r="F1608" s="18">
        <v>0</v>
      </c>
      <c r="G1608" s="18">
        <v>0</v>
      </c>
      <c r="H1608" s="18">
        <v>0</v>
      </c>
      <c r="L1608" s="20" t="str">
        <f t="shared" si="50"/>
        <v>N/A</v>
      </c>
      <c r="M1608" s="20" t="str">
        <f t="shared" si="51"/>
        <v>N/A</v>
      </c>
    </row>
    <row r="1609" spans="1:13">
      <c r="A1609" s="18" t="s">
        <v>22</v>
      </c>
      <c r="B1609" s="18" t="s">
        <v>365</v>
      </c>
      <c r="C1609" s="18" t="s">
        <v>287</v>
      </c>
      <c r="D1609" s="18" t="s">
        <v>156</v>
      </c>
      <c r="E1609" s="18">
        <v>-87</v>
      </c>
      <c r="F1609" s="18">
        <v>0</v>
      </c>
      <c r="G1609" s="18">
        <v>2.52</v>
      </c>
      <c r="H1609" s="18">
        <v>-89.52</v>
      </c>
      <c r="L1609" s="20" t="str">
        <f t="shared" si="50"/>
        <v>N/A</v>
      </c>
      <c r="M1609" s="20" t="str">
        <f t="shared" si="51"/>
        <v>N/A</v>
      </c>
    </row>
    <row r="1610" spans="1:13">
      <c r="A1610" s="18" t="s">
        <v>22</v>
      </c>
      <c r="B1610" s="18" t="s">
        <v>365</v>
      </c>
      <c r="C1610" s="18" t="s">
        <v>287</v>
      </c>
      <c r="D1610" s="18" t="s">
        <v>157</v>
      </c>
      <c r="E1610" s="18">
        <v>-815407.61</v>
      </c>
      <c r="F1610" s="18">
        <v>0</v>
      </c>
      <c r="G1610" s="18">
        <v>118888.36</v>
      </c>
      <c r="H1610" s="18">
        <v>-934295.97</v>
      </c>
      <c r="L1610" s="20" t="str">
        <f t="shared" si="50"/>
        <v>N/A</v>
      </c>
      <c r="M1610" s="20" t="str">
        <f t="shared" si="51"/>
        <v>N/A</v>
      </c>
    </row>
    <row r="1611" spans="1:13">
      <c r="A1611" s="18" t="s">
        <v>22</v>
      </c>
      <c r="B1611" s="18" t="s">
        <v>365</v>
      </c>
      <c r="C1611" s="18" t="s">
        <v>287</v>
      </c>
      <c r="D1611" s="18" t="s">
        <v>145</v>
      </c>
      <c r="E1611" s="18">
        <v>0</v>
      </c>
      <c r="F1611" s="18">
        <v>570.54999999999995</v>
      </c>
      <c r="G1611" s="18">
        <v>0</v>
      </c>
      <c r="H1611" s="18">
        <v>570.54999999999995</v>
      </c>
      <c r="L1611" s="20" t="str">
        <f t="shared" si="50"/>
        <v>N/A</v>
      </c>
      <c r="M1611" s="20" t="str">
        <f t="shared" si="51"/>
        <v>N/A</v>
      </c>
    </row>
    <row r="1612" spans="1:13">
      <c r="A1612" s="18" t="s">
        <v>22</v>
      </c>
      <c r="B1612" s="18" t="s">
        <v>365</v>
      </c>
      <c r="C1612" s="18" t="s">
        <v>287</v>
      </c>
      <c r="D1612" s="18" t="s">
        <v>96</v>
      </c>
      <c r="E1612" s="18">
        <v>16.600000000000001</v>
      </c>
      <c r="F1612" s="18">
        <v>8.3000000000000007</v>
      </c>
      <c r="G1612" s="18">
        <v>0</v>
      </c>
      <c r="H1612" s="18">
        <v>24.9</v>
      </c>
      <c r="L1612" s="20" t="str">
        <f t="shared" si="50"/>
        <v>N/A</v>
      </c>
      <c r="M1612" s="20" t="str">
        <f t="shared" si="51"/>
        <v>N/A</v>
      </c>
    </row>
    <row r="1613" spans="1:13">
      <c r="A1613" s="18" t="s">
        <v>22</v>
      </c>
      <c r="B1613" s="18" t="s">
        <v>365</v>
      </c>
      <c r="C1613" s="18" t="s">
        <v>287</v>
      </c>
      <c r="D1613" s="18" t="s">
        <v>104</v>
      </c>
      <c r="E1613" s="18">
        <v>37.92</v>
      </c>
      <c r="F1613" s="18">
        <v>75.86</v>
      </c>
      <c r="G1613" s="18">
        <v>0</v>
      </c>
      <c r="H1613" s="18">
        <v>113.78</v>
      </c>
      <c r="L1613" s="20" t="str">
        <f t="shared" si="50"/>
        <v>N/A</v>
      </c>
      <c r="M1613" s="20" t="str">
        <f t="shared" si="51"/>
        <v>N/A</v>
      </c>
    </row>
    <row r="1614" spans="1:13">
      <c r="A1614" s="18" t="s">
        <v>22</v>
      </c>
      <c r="B1614" s="18" t="s">
        <v>365</v>
      </c>
      <c r="C1614" s="18" t="s">
        <v>287</v>
      </c>
      <c r="D1614" s="18" t="s">
        <v>359</v>
      </c>
      <c r="E1614" s="18">
        <v>1789.16</v>
      </c>
      <c r="F1614" s="18">
        <v>16.940000000000001</v>
      </c>
      <c r="G1614" s="18">
        <v>0</v>
      </c>
      <c r="H1614" s="18">
        <v>1806.1</v>
      </c>
      <c r="L1614" s="20" t="str">
        <f t="shared" si="50"/>
        <v>N/A</v>
      </c>
      <c r="M1614" s="20" t="str">
        <f t="shared" si="51"/>
        <v>N/A</v>
      </c>
    </row>
    <row r="1615" spans="1:13">
      <c r="A1615" s="18" t="s">
        <v>22</v>
      </c>
      <c r="B1615" s="18" t="s">
        <v>365</v>
      </c>
      <c r="C1615" s="18" t="s">
        <v>287</v>
      </c>
      <c r="D1615" s="18" t="s">
        <v>113</v>
      </c>
      <c r="E1615" s="18">
        <v>2435.37</v>
      </c>
      <c r="F1615" s="18">
        <v>666.98</v>
      </c>
      <c r="G1615" s="18">
        <v>0</v>
      </c>
      <c r="H1615" s="18">
        <v>3102.35</v>
      </c>
      <c r="L1615" s="20" t="str">
        <f t="shared" si="50"/>
        <v>N/A</v>
      </c>
      <c r="M1615" s="20" t="str">
        <f t="shared" si="51"/>
        <v>N/A</v>
      </c>
    </row>
    <row r="1616" spans="1:13">
      <c r="A1616" s="18" t="s">
        <v>22</v>
      </c>
      <c r="B1616" s="18" t="s">
        <v>365</v>
      </c>
      <c r="C1616" s="18" t="s">
        <v>287</v>
      </c>
      <c r="D1616" s="18" t="s">
        <v>150</v>
      </c>
      <c r="E1616" s="18">
        <v>758.52</v>
      </c>
      <c r="F1616" s="18">
        <v>45.79</v>
      </c>
      <c r="G1616" s="18">
        <v>0</v>
      </c>
      <c r="H1616" s="18">
        <v>804.31</v>
      </c>
      <c r="L1616" s="20" t="str">
        <f t="shared" si="50"/>
        <v>N/A</v>
      </c>
      <c r="M1616" s="20" t="str">
        <f t="shared" si="51"/>
        <v>N/A</v>
      </c>
    </row>
    <row r="1617" spans="1:13">
      <c r="A1617" s="18" t="s">
        <v>22</v>
      </c>
      <c r="B1617" s="18" t="s">
        <v>365</v>
      </c>
      <c r="C1617" s="18" t="s">
        <v>287</v>
      </c>
      <c r="D1617" s="18" t="s">
        <v>120</v>
      </c>
      <c r="E1617" s="18">
        <v>1.1399999999999999</v>
      </c>
      <c r="F1617" s="18">
        <v>0</v>
      </c>
      <c r="G1617" s="18">
        <v>0</v>
      </c>
      <c r="H1617" s="18">
        <v>1.1399999999999999</v>
      </c>
      <c r="L1617" s="20" t="str">
        <f t="shared" si="50"/>
        <v>N/A</v>
      </c>
      <c r="M1617" s="20" t="str">
        <f t="shared" si="51"/>
        <v>N/A</v>
      </c>
    </row>
    <row r="1618" spans="1:13">
      <c r="A1618" s="18" t="s">
        <v>22</v>
      </c>
      <c r="B1618" s="18" t="s">
        <v>365</v>
      </c>
      <c r="C1618" s="18" t="s">
        <v>287</v>
      </c>
      <c r="D1618" s="18" t="s">
        <v>123</v>
      </c>
      <c r="E1618" s="18">
        <v>710.37</v>
      </c>
      <c r="F1618" s="18">
        <v>361.54</v>
      </c>
      <c r="G1618" s="18">
        <v>0</v>
      </c>
      <c r="H1618" s="18">
        <v>1071.9100000000001</v>
      </c>
      <c r="L1618" s="20" t="str">
        <f t="shared" si="50"/>
        <v>N/A</v>
      </c>
      <c r="M1618" s="20" t="str">
        <f t="shared" si="51"/>
        <v>N/A</v>
      </c>
    </row>
    <row r="1619" spans="1:13">
      <c r="A1619" s="18" t="s">
        <v>22</v>
      </c>
      <c r="B1619" s="18" t="s">
        <v>365</v>
      </c>
      <c r="C1619" s="18" t="s">
        <v>287</v>
      </c>
      <c r="D1619" s="18" t="s">
        <v>126</v>
      </c>
      <c r="E1619" s="18">
        <v>105.74</v>
      </c>
      <c r="F1619" s="18">
        <v>20.38</v>
      </c>
      <c r="G1619" s="18">
        <v>0</v>
      </c>
      <c r="H1619" s="18">
        <v>126.12</v>
      </c>
      <c r="L1619" s="20" t="str">
        <f t="shared" si="50"/>
        <v>N/A</v>
      </c>
      <c r="M1619" s="20" t="str">
        <f t="shared" si="51"/>
        <v>N/A</v>
      </c>
    </row>
    <row r="1620" spans="1:13">
      <c r="A1620" s="18" t="s">
        <v>22</v>
      </c>
      <c r="B1620" s="18" t="s">
        <v>365</v>
      </c>
      <c r="C1620" s="18" t="s">
        <v>287</v>
      </c>
      <c r="D1620" s="18" t="s">
        <v>129</v>
      </c>
      <c r="E1620" s="18">
        <v>98.75</v>
      </c>
      <c r="F1620" s="18">
        <v>28.1</v>
      </c>
      <c r="G1620" s="18">
        <v>0</v>
      </c>
      <c r="H1620" s="18">
        <v>126.85</v>
      </c>
      <c r="L1620" s="20" t="str">
        <f t="shared" si="50"/>
        <v>N/A</v>
      </c>
      <c r="M1620" s="20" t="str">
        <f t="shared" si="51"/>
        <v>N/A</v>
      </c>
    </row>
    <row r="1621" spans="1:13">
      <c r="A1621" s="18" t="s">
        <v>22</v>
      </c>
      <c r="B1621" s="18" t="s">
        <v>365</v>
      </c>
      <c r="C1621" s="18" t="s">
        <v>287</v>
      </c>
      <c r="D1621" s="18" t="s">
        <v>131</v>
      </c>
      <c r="E1621" s="18">
        <v>250.82</v>
      </c>
      <c r="F1621" s="18">
        <v>179.03</v>
      </c>
      <c r="G1621" s="18">
        <v>0</v>
      </c>
      <c r="H1621" s="18">
        <v>429.85</v>
      </c>
      <c r="L1621" s="20" t="str">
        <f t="shared" si="50"/>
        <v>N/A</v>
      </c>
      <c r="M1621" s="20" t="str">
        <f t="shared" si="51"/>
        <v>N/A</v>
      </c>
    </row>
    <row r="1622" spans="1:13">
      <c r="A1622" s="18" t="s">
        <v>22</v>
      </c>
      <c r="B1622" s="18" t="s">
        <v>365</v>
      </c>
      <c r="C1622" s="18" t="s">
        <v>287</v>
      </c>
      <c r="D1622" s="18" t="s">
        <v>162</v>
      </c>
      <c r="E1622" s="18">
        <v>0</v>
      </c>
      <c r="F1622" s="18">
        <v>0</v>
      </c>
      <c r="G1622" s="18">
        <v>0</v>
      </c>
      <c r="H1622" s="18">
        <v>0</v>
      </c>
      <c r="L1622" s="20" t="str">
        <f t="shared" si="50"/>
        <v>N/A</v>
      </c>
      <c r="M1622" s="20" t="str">
        <f t="shared" si="51"/>
        <v>N/A</v>
      </c>
    </row>
    <row r="1623" spans="1:13">
      <c r="A1623" s="18" t="s">
        <v>22</v>
      </c>
      <c r="B1623" s="18" t="s">
        <v>365</v>
      </c>
      <c r="C1623" s="18" t="s">
        <v>287</v>
      </c>
      <c r="D1623" s="18" t="s">
        <v>134</v>
      </c>
      <c r="E1623" s="18">
        <v>18</v>
      </c>
      <c r="F1623" s="18">
        <v>22.49</v>
      </c>
      <c r="G1623" s="18">
        <v>0</v>
      </c>
      <c r="H1623" s="18">
        <v>40.49</v>
      </c>
      <c r="L1623" s="20" t="str">
        <f t="shared" si="50"/>
        <v>N/A</v>
      </c>
      <c r="M1623" s="20" t="str">
        <f t="shared" si="51"/>
        <v>N/A</v>
      </c>
    </row>
    <row r="1624" spans="1:13">
      <c r="A1624" s="18" t="s">
        <v>22</v>
      </c>
      <c r="B1624" s="18" t="s">
        <v>365</v>
      </c>
      <c r="C1624" s="18" t="s">
        <v>287</v>
      </c>
      <c r="D1624" s="18" t="s">
        <v>139</v>
      </c>
      <c r="E1624" s="18">
        <v>74.180000000000007</v>
      </c>
      <c r="F1624" s="18">
        <v>37.090000000000003</v>
      </c>
      <c r="G1624" s="18">
        <v>0</v>
      </c>
      <c r="H1624" s="18">
        <v>111.27</v>
      </c>
      <c r="L1624" s="20" t="str">
        <f t="shared" si="50"/>
        <v>N/A</v>
      </c>
      <c r="M1624" s="20" t="str">
        <f t="shared" si="51"/>
        <v>N/A</v>
      </c>
    </row>
    <row r="1625" spans="1:13">
      <c r="A1625" s="18" t="s">
        <v>22</v>
      </c>
      <c r="B1625" s="18" t="s">
        <v>365</v>
      </c>
      <c r="C1625" s="18" t="s">
        <v>287</v>
      </c>
      <c r="D1625" s="18" t="s">
        <v>142</v>
      </c>
      <c r="E1625" s="18">
        <v>61.35</v>
      </c>
      <c r="F1625" s="18">
        <v>36.229999999999997</v>
      </c>
      <c r="G1625" s="18">
        <v>0</v>
      </c>
      <c r="H1625" s="18">
        <v>97.58</v>
      </c>
      <c r="L1625" s="20" t="str">
        <f t="shared" si="50"/>
        <v>N/A</v>
      </c>
      <c r="M1625" s="20" t="str">
        <f t="shared" si="51"/>
        <v>N/A</v>
      </c>
    </row>
    <row r="1626" spans="1:13">
      <c r="A1626" s="18" t="s">
        <v>22</v>
      </c>
      <c r="B1626" s="18" t="s">
        <v>365</v>
      </c>
      <c r="C1626" s="18" t="s">
        <v>287</v>
      </c>
      <c r="D1626" s="18" t="s">
        <v>163</v>
      </c>
      <c r="E1626" s="18">
        <v>0</v>
      </c>
      <c r="F1626" s="18">
        <v>0</v>
      </c>
      <c r="G1626" s="18">
        <v>0</v>
      </c>
      <c r="H1626" s="18">
        <v>0</v>
      </c>
      <c r="L1626" s="20" t="str">
        <f t="shared" si="50"/>
        <v>N/A</v>
      </c>
      <c r="M1626" s="20" t="str">
        <f t="shared" si="51"/>
        <v>N/A</v>
      </c>
    </row>
    <row r="1627" spans="1:13">
      <c r="A1627" s="18" t="s">
        <v>22</v>
      </c>
      <c r="B1627" s="18" t="s">
        <v>365</v>
      </c>
      <c r="C1627" s="18" t="s">
        <v>289</v>
      </c>
      <c r="D1627" s="18" t="s">
        <v>87</v>
      </c>
      <c r="E1627" s="18">
        <v>0</v>
      </c>
      <c r="F1627" s="18">
        <v>0</v>
      </c>
      <c r="G1627" s="18">
        <v>0</v>
      </c>
      <c r="H1627" s="18">
        <v>0</v>
      </c>
      <c r="L1627" s="20" t="str">
        <f t="shared" si="50"/>
        <v>Asset</v>
      </c>
      <c r="M1627" s="20" t="str">
        <f t="shared" si="51"/>
        <v>okay</v>
      </c>
    </row>
    <row r="1628" spans="1:13">
      <c r="A1628" s="18" t="s">
        <v>22</v>
      </c>
      <c r="B1628" s="18" t="s">
        <v>365</v>
      </c>
      <c r="C1628" s="18" t="s">
        <v>289</v>
      </c>
      <c r="D1628" s="18" t="s">
        <v>97</v>
      </c>
      <c r="E1628" s="18">
        <v>0</v>
      </c>
      <c r="F1628" s="18">
        <v>0</v>
      </c>
      <c r="G1628" s="18">
        <v>0</v>
      </c>
      <c r="H1628" s="18">
        <v>0</v>
      </c>
      <c r="L1628" s="20" t="str">
        <f t="shared" si="50"/>
        <v>Asset</v>
      </c>
      <c r="M1628" s="20" t="str">
        <f t="shared" si="51"/>
        <v>okay</v>
      </c>
    </row>
    <row r="1629" spans="1:13">
      <c r="A1629" s="18" t="s">
        <v>22</v>
      </c>
      <c r="B1629" s="18" t="s">
        <v>365</v>
      </c>
      <c r="C1629" s="18" t="s">
        <v>289</v>
      </c>
      <c r="D1629" s="18" t="s">
        <v>105</v>
      </c>
      <c r="E1629" s="18">
        <v>0</v>
      </c>
      <c r="F1629" s="18">
        <v>0</v>
      </c>
      <c r="G1629" s="18">
        <v>0</v>
      </c>
      <c r="H1629" s="18">
        <v>0</v>
      </c>
      <c r="L1629" s="20" t="str">
        <f t="shared" si="50"/>
        <v>Asset</v>
      </c>
      <c r="M1629" s="20" t="str">
        <f t="shared" si="51"/>
        <v>okay</v>
      </c>
    </row>
    <row r="1630" spans="1:13">
      <c r="A1630" s="18" t="s">
        <v>22</v>
      </c>
      <c r="B1630" s="18" t="s">
        <v>365</v>
      </c>
      <c r="C1630" s="18" t="s">
        <v>289</v>
      </c>
      <c r="D1630" s="18" t="s">
        <v>108</v>
      </c>
      <c r="E1630" s="18">
        <v>0</v>
      </c>
      <c r="F1630" s="18">
        <v>0</v>
      </c>
      <c r="G1630" s="18">
        <v>0</v>
      </c>
      <c r="H1630" s="18">
        <v>0</v>
      </c>
      <c r="L1630" s="20" t="str">
        <f t="shared" si="50"/>
        <v>Asset</v>
      </c>
      <c r="M1630" s="20" t="str">
        <f t="shared" si="51"/>
        <v>okay</v>
      </c>
    </row>
    <row r="1631" spans="1:13">
      <c r="A1631" s="18" t="s">
        <v>21</v>
      </c>
      <c r="B1631" s="18" t="s">
        <v>362</v>
      </c>
      <c r="C1631" s="18" t="s">
        <v>165</v>
      </c>
      <c r="D1631" s="18" t="s">
        <v>74</v>
      </c>
      <c r="E1631" s="18" t="s">
        <v>75</v>
      </c>
      <c r="F1631" s="18" t="s">
        <v>76</v>
      </c>
      <c r="G1631" s="18" t="s">
        <v>77</v>
      </c>
      <c r="H1631" s="32" t="s">
        <v>78</v>
      </c>
      <c r="L1631" s="20" t="str">
        <f t="shared" si="50"/>
        <v>N/A</v>
      </c>
      <c r="M1631" s="20" t="str">
        <f t="shared" si="51"/>
        <v>N/A</v>
      </c>
    </row>
    <row r="1632" spans="1:13">
      <c r="A1632" s="18" t="s">
        <v>22</v>
      </c>
      <c r="B1632" s="18" t="s">
        <v>365</v>
      </c>
      <c r="C1632" s="18" t="s">
        <v>289</v>
      </c>
      <c r="D1632" s="18" t="s">
        <v>116</v>
      </c>
      <c r="E1632" s="18">
        <v>0</v>
      </c>
      <c r="F1632" s="18">
        <v>0</v>
      </c>
      <c r="G1632" s="18">
        <v>0</v>
      </c>
      <c r="H1632" s="18">
        <v>0</v>
      </c>
      <c r="L1632" s="20" t="str">
        <f t="shared" si="50"/>
        <v>N/A</v>
      </c>
      <c r="M1632" s="20" t="str">
        <f t="shared" si="51"/>
        <v>N/A</v>
      </c>
    </row>
    <row r="1633" spans="1:13">
      <c r="A1633" s="18" t="s">
        <v>22</v>
      </c>
      <c r="B1633" s="18" t="s">
        <v>365</v>
      </c>
      <c r="C1633" s="18" t="s">
        <v>289</v>
      </c>
      <c r="D1633" s="18" t="s">
        <v>121</v>
      </c>
      <c r="E1633" s="18">
        <v>0</v>
      </c>
      <c r="F1633" s="18">
        <v>0</v>
      </c>
      <c r="G1633" s="18">
        <v>0</v>
      </c>
      <c r="H1633" s="18">
        <v>0</v>
      </c>
      <c r="L1633" s="20" t="str">
        <f t="shared" si="50"/>
        <v>N/A</v>
      </c>
      <c r="M1633" s="20" t="str">
        <f t="shared" si="51"/>
        <v>N/A</v>
      </c>
    </row>
    <row r="1634" spans="1:13">
      <c r="A1634" s="18" t="s">
        <v>22</v>
      </c>
      <c r="B1634" s="18" t="s">
        <v>365</v>
      </c>
      <c r="C1634" s="18" t="s">
        <v>289</v>
      </c>
      <c r="D1634" s="18" t="s">
        <v>124</v>
      </c>
      <c r="E1634" s="18">
        <v>0</v>
      </c>
      <c r="F1634" s="18">
        <v>0</v>
      </c>
      <c r="G1634" s="18">
        <v>0</v>
      </c>
      <c r="H1634" s="18">
        <v>0</v>
      </c>
      <c r="L1634" s="20" t="str">
        <f t="shared" si="50"/>
        <v>N/A</v>
      </c>
      <c r="M1634" s="20" t="str">
        <f t="shared" si="51"/>
        <v>N/A</v>
      </c>
    </row>
    <row r="1635" spans="1:13">
      <c r="A1635" s="18" t="s">
        <v>22</v>
      </c>
      <c r="B1635" s="18" t="s">
        <v>365</v>
      </c>
      <c r="C1635" s="18" t="s">
        <v>289</v>
      </c>
      <c r="D1635" s="18" t="s">
        <v>127</v>
      </c>
      <c r="E1635" s="18">
        <v>0</v>
      </c>
      <c r="F1635" s="18">
        <v>0</v>
      </c>
      <c r="G1635" s="18">
        <v>0</v>
      </c>
      <c r="H1635" s="18">
        <v>0</v>
      </c>
      <c r="L1635" s="20" t="str">
        <f t="shared" si="50"/>
        <v>N/A</v>
      </c>
      <c r="M1635" s="20" t="str">
        <f t="shared" si="51"/>
        <v>N/A</v>
      </c>
    </row>
    <row r="1636" spans="1:13">
      <c r="A1636" s="18" t="s">
        <v>22</v>
      </c>
      <c r="B1636" s="18" t="s">
        <v>365</v>
      </c>
      <c r="C1636" s="18" t="s">
        <v>289</v>
      </c>
      <c r="D1636" s="18" t="s">
        <v>95</v>
      </c>
      <c r="E1636" s="18">
        <v>0</v>
      </c>
      <c r="F1636" s="18">
        <v>0</v>
      </c>
      <c r="G1636" s="18">
        <v>0</v>
      </c>
      <c r="H1636" s="18">
        <v>0</v>
      </c>
      <c r="L1636" s="20" t="str">
        <f t="shared" si="50"/>
        <v>N/A</v>
      </c>
      <c r="M1636" s="20" t="str">
        <f t="shared" si="51"/>
        <v>N/A</v>
      </c>
    </row>
    <row r="1637" spans="1:13">
      <c r="A1637" s="18" t="s">
        <v>22</v>
      </c>
      <c r="B1637" s="18" t="s">
        <v>365</v>
      </c>
      <c r="C1637" s="18" t="s">
        <v>289</v>
      </c>
      <c r="D1637" s="18" t="s">
        <v>132</v>
      </c>
      <c r="E1637" s="18">
        <v>0</v>
      </c>
      <c r="F1637" s="18">
        <v>0</v>
      </c>
      <c r="G1637" s="18">
        <v>0</v>
      </c>
      <c r="H1637" s="18">
        <v>0</v>
      </c>
      <c r="L1637" s="20" t="str">
        <f t="shared" si="50"/>
        <v>N/A</v>
      </c>
      <c r="M1637" s="20" t="str">
        <f t="shared" si="51"/>
        <v>N/A</v>
      </c>
    </row>
    <row r="1638" spans="1:13">
      <c r="A1638" s="18" t="s">
        <v>22</v>
      </c>
      <c r="B1638" s="18" t="s">
        <v>365</v>
      </c>
      <c r="C1638" s="18" t="s">
        <v>289</v>
      </c>
      <c r="D1638" s="18" t="s">
        <v>135</v>
      </c>
      <c r="E1638" s="18">
        <v>-5000000</v>
      </c>
      <c r="F1638" s="18">
        <v>0</v>
      </c>
      <c r="G1638" s="18">
        <v>0</v>
      </c>
      <c r="H1638" s="18">
        <v>-5000000</v>
      </c>
      <c r="L1638" s="20" t="str">
        <f t="shared" si="50"/>
        <v>N/A</v>
      </c>
      <c r="M1638" s="20" t="str">
        <f t="shared" si="51"/>
        <v>N/A</v>
      </c>
    </row>
    <row r="1639" spans="1:13">
      <c r="A1639" s="18" t="s">
        <v>22</v>
      </c>
      <c r="B1639" s="18" t="s">
        <v>365</v>
      </c>
      <c r="C1639" s="18" t="s">
        <v>289</v>
      </c>
      <c r="D1639" s="18" t="s">
        <v>140</v>
      </c>
      <c r="E1639" s="18">
        <v>-3550.89</v>
      </c>
      <c r="F1639" s="18">
        <v>0</v>
      </c>
      <c r="G1639" s="18">
        <v>0</v>
      </c>
      <c r="H1639" s="18">
        <v>-3550.89</v>
      </c>
      <c r="L1639" s="20" t="str">
        <f t="shared" si="50"/>
        <v>N/A</v>
      </c>
      <c r="M1639" s="20" t="str">
        <f t="shared" si="51"/>
        <v>N/A</v>
      </c>
    </row>
    <row r="1640" spans="1:13">
      <c r="A1640" s="18" t="s">
        <v>22</v>
      </c>
      <c r="B1640" s="18" t="s">
        <v>365</v>
      </c>
      <c r="C1640" s="18" t="s">
        <v>289</v>
      </c>
      <c r="D1640" s="18" t="s">
        <v>143</v>
      </c>
      <c r="E1640" s="18">
        <v>880179.49</v>
      </c>
      <c r="F1640" s="18">
        <v>0</v>
      </c>
      <c r="G1640" s="18">
        <v>0</v>
      </c>
      <c r="H1640" s="18">
        <v>880179.49</v>
      </c>
      <c r="L1640" s="20" t="str">
        <f t="shared" si="50"/>
        <v>N/A</v>
      </c>
      <c r="M1640" s="20" t="str">
        <f t="shared" si="51"/>
        <v>N/A</v>
      </c>
    </row>
    <row r="1641" spans="1:13">
      <c r="A1641" s="18" t="s">
        <v>22</v>
      </c>
      <c r="B1641" s="18" t="s">
        <v>365</v>
      </c>
      <c r="C1641" s="18" t="s">
        <v>289</v>
      </c>
      <c r="D1641" s="18" t="s">
        <v>146</v>
      </c>
      <c r="E1641" s="18">
        <v>111534.88</v>
      </c>
      <c r="F1641" s="18">
        <v>0</v>
      </c>
      <c r="G1641" s="18">
        <v>0</v>
      </c>
      <c r="H1641" s="18">
        <v>111534.88</v>
      </c>
      <c r="L1641" s="20" t="str">
        <f t="shared" si="50"/>
        <v>N/A</v>
      </c>
      <c r="M1641" s="20" t="str">
        <f t="shared" si="51"/>
        <v>N/A</v>
      </c>
    </row>
    <row r="1642" spans="1:13">
      <c r="A1642" s="18" t="s">
        <v>22</v>
      </c>
      <c r="B1642" s="18" t="s">
        <v>365</v>
      </c>
      <c r="C1642" s="18" t="s">
        <v>289</v>
      </c>
      <c r="D1642" s="18" t="s">
        <v>147</v>
      </c>
      <c r="E1642" s="18">
        <v>-277103.7</v>
      </c>
      <c r="F1642" s="18">
        <v>0</v>
      </c>
      <c r="G1642" s="18">
        <v>0</v>
      </c>
      <c r="H1642" s="18">
        <v>-277103.7</v>
      </c>
      <c r="L1642" s="20" t="str">
        <f t="shared" si="50"/>
        <v>N/A</v>
      </c>
      <c r="M1642" s="20" t="str">
        <f t="shared" si="51"/>
        <v>N/A</v>
      </c>
    </row>
    <row r="1643" spans="1:13">
      <c r="A1643" s="18" t="s">
        <v>22</v>
      </c>
      <c r="B1643" s="18" t="s">
        <v>365</v>
      </c>
      <c r="C1643" s="18" t="s">
        <v>289</v>
      </c>
      <c r="D1643" s="18" t="s">
        <v>151</v>
      </c>
      <c r="E1643" s="18">
        <v>4288940.22</v>
      </c>
      <c r="F1643" s="18">
        <v>0</v>
      </c>
      <c r="G1643" s="18">
        <v>0</v>
      </c>
      <c r="H1643" s="18">
        <v>4288940.22</v>
      </c>
      <c r="L1643" s="20" t="str">
        <f t="shared" si="50"/>
        <v>N/A</v>
      </c>
      <c r="M1643" s="20" t="str">
        <f t="shared" si="51"/>
        <v>N/A</v>
      </c>
    </row>
    <row r="1644" spans="1:13">
      <c r="A1644" s="18" t="s">
        <v>22</v>
      </c>
      <c r="B1644" s="18" t="s">
        <v>365</v>
      </c>
      <c r="C1644" s="18" t="s">
        <v>289</v>
      </c>
      <c r="D1644" s="18" t="s">
        <v>153</v>
      </c>
      <c r="E1644" s="18">
        <v>0</v>
      </c>
      <c r="F1644" s="18">
        <v>0</v>
      </c>
      <c r="G1644" s="18">
        <v>0</v>
      </c>
      <c r="H1644" s="18">
        <v>0</v>
      </c>
      <c r="L1644" s="20" t="str">
        <f t="shared" si="50"/>
        <v>N/A</v>
      </c>
      <c r="M1644" s="20" t="str">
        <f t="shared" si="51"/>
        <v>N/A</v>
      </c>
    </row>
    <row r="1645" spans="1:13">
      <c r="A1645" s="18" t="s">
        <v>22</v>
      </c>
      <c r="B1645" s="18" t="s">
        <v>365</v>
      </c>
      <c r="C1645" s="18" t="s">
        <v>289</v>
      </c>
      <c r="D1645" s="18" t="s">
        <v>155</v>
      </c>
      <c r="E1645" s="18">
        <v>0</v>
      </c>
      <c r="F1645" s="18">
        <v>0</v>
      </c>
      <c r="G1645" s="18">
        <v>0</v>
      </c>
      <c r="H1645" s="18">
        <v>0</v>
      </c>
      <c r="L1645" s="20" t="str">
        <f t="shared" si="50"/>
        <v>N/A</v>
      </c>
      <c r="M1645" s="20" t="str">
        <f t="shared" si="51"/>
        <v>N/A</v>
      </c>
    </row>
    <row r="1646" spans="1:13">
      <c r="A1646" s="18" t="s">
        <v>22</v>
      </c>
      <c r="B1646" s="18" t="s">
        <v>365</v>
      </c>
      <c r="C1646" s="18" t="s">
        <v>289</v>
      </c>
      <c r="D1646" s="18" t="s">
        <v>156</v>
      </c>
      <c r="E1646" s="18">
        <v>0</v>
      </c>
      <c r="F1646" s="18">
        <v>0</v>
      </c>
      <c r="G1646" s="18">
        <v>0</v>
      </c>
      <c r="H1646" s="18">
        <v>0</v>
      </c>
      <c r="L1646" s="20" t="str">
        <f t="shared" si="50"/>
        <v>N/A</v>
      </c>
      <c r="M1646" s="20" t="str">
        <f t="shared" si="51"/>
        <v>N/A</v>
      </c>
    </row>
    <row r="1647" spans="1:13">
      <c r="A1647" s="18" t="s">
        <v>22</v>
      </c>
      <c r="B1647" s="18" t="s">
        <v>365</v>
      </c>
      <c r="C1647" s="18" t="s">
        <v>289</v>
      </c>
      <c r="D1647" s="18" t="s">
        <v>157</v>
      </c>
      <c r="E1647" s="18">
        <v>0</v>
      </c>
      <c r="F1647" s="18">
        <v>0</v>
      </c>
      <c r="G1647" s="18">
        <v>0</v>
      </c>
      <c r="H1647" s="18">
        <v>0</v>
      </c>
      <c r="L1647" s="20" t="str">
        <f t="shared" si="50"/>
        <v>N/A</v>
      </c>
      <c r="M1647" s="20" t="str">
        <f t="shared" si="51"/>
        <v>N/A</v>
      </c>
    </row>
    <row r="1648" spans="1:13">
      <c r="A1648" s="18" t="s">
        <v>22</v>
      </c>
      <c r="B1648" s="18" t="s">
        <v>365</v>
      </c>
      <c r="C1648" s="18" t="s">
        <v>289</v>
      </c>
      <c r="D1648" s="18" t="s">
        <v>145</v>
      </c>
      <c r="E1648" s="18">
        <v>0</v>
      </c>
      <c r="F1648" s="18">
        <v>0</v>
      </c>
      <c r="G1648" s="18">
        <v>0</v>
      </c>
      <c r="H1648" s="18">
        <v>0</v>
      </c>
      <c r="L1648" s="20" t="str">
        <f t="shared" si="50"/>
        <v>N/A</v>
      </c>
      <c r="M1648" s="20" t="str">
        <f t="shared" si="51"/>
        <v>N/A</v>
      </c>
    </row>
    <row r="1649" spans="1:13">
      <c r="A1649" s="18" t="s">
        <v>22</v>
      </c>
      <c r="B1649" s="18" t="s">
        <v>365</v>
      </c>
      <c r="C1649" s="18" t="s">
        <v>289</v>
      </c>
      <c r="D1649" s="18" t="s">
        <v>96</v>
      </c>
      <c r="E1649" s="18">
        <v>0</v>
      </c>
      <c r="F1649" s="18">
        <v>0</v>
      </c>
      <c r="G1649" s="18">
        <v>0</v>
      </c>
      <c r="H1649" s="18">
        <v>0</v>
      </c>
      <c r="L1649" s="20" t="str">
        <f t="shared" si="50"/>
        <v>N/A</v>
      </c>
      <c r="M1649" s="20" t="str">
        <f t="shared" si="51"/>
        <v>N/A</v>
      </c>
    </row>
    <row r="1650" spans="1:13">
      <c r="A1650" s="18" t="s">
        <v>22</v>
      </c>
      <c r="B1650" s="18" t="s">
        <v>365</v>
      </c>
      <c r="C1650" s="18" t="s">
        <v>289</v>
      </c>
      <c r="D1650" s="18" t="s">
        <v>150</v>
      </c>
      <c r="E1650" s="18">
        <v>0</v>
      </c>
      <c r="F1650" s="18">
        <v>0</v>
      </c>
      <c r="G1650" s="18">
        <v>0</v>
      </c>
      <c r="H1650" s="18">
        <v>0</v>
      </c>
      <c r="L1650" s="20" t="str">
        <f t="shared" si="50"/>
        <v>N/A</v>
      </c>
      <c r="M1650" s="20" t="str">
        <f t="shared" si="51"/>
        <v>N/A</v>
      </c>
    </row>
    <row r="1651" spans="1:13">
      <c r="A1651" s="18" t="s">
        <v>22</v>
      </c>
      <c r="B1651" s="18" t="s">
        <v>365</v>
      </c>
      <c r="C1651" s="18" t="s">
        <v>289</v>
      </c>
      <c r="D1651" s="18" t="s">
        <v>162</v>
      </c>
      <c r="E1651" s="18">
        <v>0</v>
      </c>
      <c r="F1651" s="18">
        <v>0</v>
      </c>
      <c r="G1651" s="18">
        <v>0</v>
      </c>
      <c r="H1651" s="18">
        <v>0</v>
      </c>
      <c r="L1651" s="20" t="str">
        <f t="shared" si="50"/>
        <v>N/A</v>
      </c>
      <c r="M1651" s="20" t="str">
        <f t="shared" si="51"/>
        <v>N/A</v>
      </c>
    </row>
    <row r="1652" spans="1:13">
      <c r="A1652" s="18" t="s">
        <v>22</v>
      </c>
      <c r="B1652" s="18" t="s">
        <v>365</v>
      </c>
      <c r="C1652" s="18" t="s">
        <v>289</v>
      </c>
      <c r="D1652" s="18" t="s">
        <v>134</v>
      </c>
      <c r="E1652" s="18">
        <v>0</v>
      </c>
      <c r="F1652" s="18">
        <v>0</v>
      </c>
      <c r="G1652" s="18">
        <v>0</v>
      </c>
      <c r="H1652" s="18">
        <v>0</v>
      </c>
      <c r="L1652" s="20" t="str">
        <f t="shared" si="50"/>
        <v>N/A</v>
      </c>
      <c r="M1652" s="20" t="str">
        <f t="shared" si="51"/>
        <v>N/A</v>
      </c>
    </row>
    <row r="1653" spans="1:13">
      <c r="A1653" s="18" t="s">
        <v>22</v>
      </c>
      <c r="B1653" s="18" t="s">
        <v>365</v>
      </c>
      <c r="C1653" s="18" t="s">
        <v>289</v>
      </c>
      <c r="D1653" s="18" t="s">
        <v>139</v>
      </c>
      <c r="E1653" s="18">
        <v>0</v>
      </c>
      <c r="F1653" s="18">
        <v>0</v>
      </c>
      <c r="G1653" s="18">
        <v>0</v>
      </c>
      <c r="H1653" s="18">
        <v>0</v>
      </c>
      <c r="L1653" s="20" t="str">
        <f t="shared" si="50"/>
        <v>N/A</v>
      </c>
      <c r="M1653" s="20" t="str">
        <f t="shared" si="51"/>
        <v>N/A</v>
      </c>
    </row>
    <row r="1654" spans="1:13">
      <c r="A1654" s="18" t="s">
        <v>22</v>
      </c>
      <c r="B1654" s="18" t="s">
        <v>365</v>
      </c>
      <c r="C1654" s="18" t="s">
        <v>289</v>
      </c>
      <c r="D1654" s="18" t="s">
        <v>142</v>
      </c>
      <c r="E1654" s="18">
        <v>0</v>
      </c>
      <c r="F1654" s="18">
        <v>0</v>
      </c>
      <c r="G1654" s="18">
        <v>0</v>
      </c>
      <c r="H1654" s="18">
        <v>0</v>
      </c>
      <c r="L1654" s="20" t="str">
        <f t="shared" si="50"/>
        <v>N/A</v>
      </c>
      <c r="M1654" s="20" t="str">
        <f t="shared" si="51"/>
        <v>N/A</v>
      </c>
    </row>
    <row r="1655" spans="1:13">
      <c r="A1655" s="18" t="s">
        <v>22</v>
      </c>
      <c r="B1655" s="18" t="s">
        <v>365</v>
      </c>
      <c r="C1655" s="18" t="s">
        <v>291</v>
      </c>
      <c r="D1655" s="18" t="s">
        <v>87</v>
      </c>
      <c r="E1655" s="18">
        <v>247.38</v>
      </c>
      <c r="F1655" s="18">
        <v>8305.76</v>
      </c>
      <c r="G1655" s="18">
        <v>22692.7</v>
      </c>
      <c r="H1655" s="18">
        <v>-14139.56</v>
      </c>
      <c r="L1655" s="20" t="str">
        <f t="shared" si="50"/>
        <v>Asset</v>
      </c>
      <c r="M1655" s="20" t="str">
        <f t="shared" si="51"/>
        <v>Provide Comment</v>
      </c>
    </row>
    <row r="1656" spans="1:13">
      <c r="A1656" s="18" t="s">
        <v>22</v>
      </c>
      <c r="B1656" s="18" t="s">
        <v>365</v>
      </c>
      <c r="C1656" s="18" t="s">
        <v>291</v>
      </c>
      <c r="D1656" s="18" t="s">
        <v>97</v>
      </c>
      <c r="E1656" s="18">
        <v>4068958.53</v>
      </c>
      <c r="F1656" s="18">
        <v>0</v>
      </c>
      <c r="G1656" s="18">
        <v>0</v>
      </c>
      <c r="H1656" s="18">
        <v>4068958.53</v>
      </c>
      <c r="L1656" s="20" t="str">
        <f t="shared" si="50"/>
        <v>Asset</v>
      </c>
      <c r="M1656" s="20" t="str">
        <f t="shared" si="51"/>
        <v>okay</v>
      </c>
    </row>
    <row r="1657" spans="1:13">
      <c r="A1657" s="18" t="s">
        <v>22</v>
      </c>
      <c r="B1657" s="18" t="s">
        <v>365</v>
      </c>
      <c r="C1657" s="18" t="s">
        <v>291</v>
      </c>
      <c r="D1657" s="18" t="s">
        <v>105</v>
      </c>
      <c r="E1657" s="18">
        <v>1266588.93</v>
      </c>
      <c r="F1657" s="18">
        <v>59444.18</v>
      </c>
      <c r="G1657" s="18">
        <v>0</v>
      </c>
      <c r="H1657" s="18">
        <v>1326033.1100000001</v>
      </c>
      <c r="L1657" s="20" t="str">
        <f t="shared" si="50"/>
        <v>Asset</v>
      </c>
      <c r="M1657" s="20" t="str">
        <f t="shared" si="51"/>
        <v>okay</v>
      </c>
    </row>
    <row r="1658" spans="1:13">
      <c r="A1658" s="18" t="s">
        <v>22</v>
      </c>
      <c r="B1658" s="18" t="s">
        <v>365</v>
      </c>
      <c r="C1658" s="18" t="s">
        <v>291</v>
      </c>
      <c r="D1658" s="18" t="s">
        <v>108</v>
      </c>
      <c r="E1658" s="18">
        <v>0</v>
      </c>
      <c r="F1658" s="18">
        <v>0</v>
      </c>
      <c r="G1658" s="18">
        <v>0</v>
      </c>
      <c r="H1658" s="18">
        <v>0</v>
      </c>
      <c r="L1658" s="20" t="str">
        <f t="shared" si="50"/>
        <v>Asset</v>
      </c>
      <c r="M1658" s="20" t="str">
        <f t="shared" si="51"/>
        <v>okay</v>
      </c>
    </row>
    <row r="1659" spans="1:13">
      <c r="A1659" s="18" t="s">
        <v>21</v>
      </c>
      <c r="B1659" s="18" t="s">
        <v>22</v>
      </c>
      <c r="C1659" s="18" t="s">
        <v>22</v>
      </c>
      <c r="D1659" s="18" t="s">
        <v>22</v>
      </c>
      <c r="E1659" s="18" t="s">
        <v>22</v>
      </c>
      <c r="F1659" s="18" t="s">
        <v>22</v>
      </c>
      <c r="G1659" s="18" t="s">
        <v>22</v>
      </c>
      <c r="H1659" s="32" t="s">
        <v>22</v>
      </c>
      <c r="L1659" s="20" t="str">
        <f t="shared" si="50"/>
        <v>N/A</v>
      </c>
      <c r="M1659" s="20" t="str">
        <f t="shared" si="51"/>
        <v>N/A</v>
      </c>
    </row>
    <row r="1660" spans="1:13">
      <c r="A1660" s="18" t="s">
        <v>22</v>
      </c>
      <c r="B1660" s="18" t="s">
        <v>365</v>
      </c>
      <c r="C1660" s="18" t="s">
        <v>291</v>
      </c>
      <c r="D1660" s="18" t="s">
        <v>116</v>
      </c>
      <c r="E1660" s="18">
        <v>-50.74</v>
      </c>
      <c r="F1660" s="18">
        <v>0</v>
      </c>
      <c r="G1660" s="18">
        <v>0</v>
      </c>
      <c r="H1660" s="18">
        <v>-50.74</v>
      </c>
      <c r="L1660" s="20" t="str">
        <f t="shared" si="50"/>
        <v>N/A</v>
      </c>
      <c r="M1660" s="20" t="str">
        <f t="shared" si="51"/>
        <v>N/A</v>
      </c>
    </row>
    <row r="1661" spans="1:13">
      <c r="A1661" s="18" t="s">
        <v>22</v>
      </c>
      <c r="B1661" s="18" t="s">
        <v>365</v>
      </c>
      <c r="C1661" s="18" t="s">
        <v>291</v>
      </c>
      <c r="D1661" s="18" t="s">
        <v>121</v>
      </c>
      <c r="E1661" s="18">
        <v>-111.28</v>
      </c>
      <c r="F1661" s="18">
        <v>74.19</v>
      </c>
      <c r="G1661" s="18">
        <v>18.55</v>
      </c>
      <c r="H1661" s="18">
        <v>-55.64</v>
      </c>
      <c r="L1661" s="20" t="str">
        <f t="shared" si="50"/>
        <v>N/A</v>
      </c>
      <c r="M1661" s="20" t="str">
        <f t="shared" si="51"/>
        <v>N/A</v>
      </c>
    </row>
    <row r="1662" spans="1:13">
      <c r="A1662" s="18" t="s">
        <v>22</v>
      </c>
      <c r="B1662" s="18" t="s">
        <v>365</v>
      </c>
      <c r="C1662" s="18" t="s">
        <v>291</v>
      </c>
      <c r="D1662" s="18" t="s">
        <v>124</v>
      </c>
      <c r="E1662" s="18">
        <v>-22.74</v>
      </c>
      <c r="F1662" s="18">
        <v>0</v>
      </c>
      <c r="G1662" s="18">
        <v>14.15</v>
      </c>
      <c r="H1662" s="18">
        <v>-36.89</v>
      </c>
      <c r="L1662" s="20" t="str">
        <f t="shared" si="50"/>
        <v>N/A</v>
      </c>
      <c r="M1662" s="20" t="str">
        <f t="shared" si="51"/>
        <v>N/A</v>
      </c>
    </row>
    <row r="1663" spans="1:13">
      <c r="A1663" s="18" t="s">
        <v>22</v>
      </c>
      <c r="B1663" s="18" t="s">
        <v>365</v>
      </c>
      <c r="C1663" s="18" t="s">
        <v>291</v>
      </c>
      <c r="D1663" s="18" t="s">
        <v>127</v>
      </c>
      <c r="E1663" s="18">
        <v>0</v>
      </c>
      <c r="F1663" s="18">
        <v>0</v>
      </c>
      <c r="G1663" s="18">
        <v>0</v>
      </c>
      <c r="H1663" s="18">
        <v>0</v>
      </c>
      <c r="L1663" s="20" t="str">
        <f t="shared" si="50"/>
        <v>N/A</v>
      </c>
      <c r="M1663" s="20" t="str">
        <f t="shared" si="51"/>
        <v>N/A</v>
      </c>
    </row>
    <row r="1664" spans="1:13">
      <c r="A1664" s="18" t="s">
        <v>22</v>
      </c>
      <c r="B1664" s="18" t="s">
        <v>365</v>
      </c>
      <c r="C1664" s="18" t="s">
        <v>291</v>
      </c>
      <c r="D1664" s="18" t="s">
        <v>95</v>
      </c>
      <c r="E1664" s="18">
        <v>-5.54</v>
      </c>
      <c r="F1664" s="18">
        <v>1.38</v>
      </c>
      <c r="G1664" s="18">
        <v>4.1500000000000004</v>
      </c>
      <c r="H1664" s="18">
        <v>-8.31</v>
      </c>
      <c r="L1664" s="20" t="str">
        <f t="shared" si="50"/>
        <v>N/A</v>
      </c>
      <c r="M1664" s="20" t="str">
        <f t="shared" si="51"/>
        <v>N/A</v>
      </c>
    </row>
    <row r="1665" spans="1:13">
      <c r="A1665" s="18" t="s">
        <v>22</v>
      </c>
      <c r="B1665" s="18" t="s">
        <v>365</v>
      </c>
      <c r="C1665" s="18" t="s">
        <v>291</v>
      </c>
      <c r="D1665" s="18" t="s">
        <v>132</v>
      </c>
      <c r="E1665" s="18">
        <v>0</v>
      </c>
      <c r="F1665" s="18">
        <v>0</v>
      </c>
      <c r="G1665" s="18">
        <v>0</v>
      </c>
      <c r="H1665" s="18">
        <v>0</v>
      </c>
      <c r="L1665" s="20" t="str">
        <f t="shared" si="50"/>
        <v>N/A</v>
      </c>
      <c r="M1665" s="20" t="str">
        <f t="shared" si="51"/>
        <v>N/A</v>
      </c>
    </row>
    <row r="1666" spans="1:13">
      <c r="A1666" s="18" t="s">
        <v>22</v>
      </c>
      <c r="B1666" s="18" t="s">
        <v>365</v>
      </c>
      <c r="C1666" s="18" t="s">
        <v>291</v>
      </c>
      <c r="D1666" s="18" t="s">
        <v>135</v>
      </c>
      <c r="E1666" s="18">
        <v>-4938271.5999999996</v>
      </c>
      <c r="F1666" s="18">
        <v>0</v>
      </c>
      <c r="G1666" s="18">
        <v>0</v>
      </c>
      <c r="H1666" s="18">
        <v>-4938271.5999999996</v>
      </c>
      <c r="L1666" s="20" t="str">
        <f t="shared" si="50"/>
        <v>N/A</v>
      </c>
      <c r="M1666" s="20" t="str">
        <f t="shared" si="51"/>
        <v>N/A</v>
      </c>
    </row>
    <row r="1667" spans="1:13">
      <c r="A1667" s="18" t="s">
        <v>22</v>
      </c>
      <c r="B1667" s="18" t="s">
        <v>365</v>
      </c>
      <c r="C1667" s="18" t="s">
        <v>291</v>
      </c>
      <c r="D1667" s="18" t="s">
        <v>140</v>
      </c>
      <c r="E1667" s="18">
        <v>-11811.55</v>
      </c>
      <c r="F1667" s="18">
        <v>0</v>
      </c>
      <c r="G1667" s="18">
        <v>8304.5</v>
      </c>
      <c r="H1667" s="18">
        <v>-20116.05</v>
      </c>
      <c r="L1667" s="20" t="str">
        <f t="shared" ref="L1667:L1730" si="52">+IF(LEFT(D1667,1)="1","Asset","N/A")</f>
        <v>N/A</v>
      </c>
      <c r="M1667" s="20" t="str">
        <f t="shared" ref="M1667:M1730" si="53">+IF(L1667="asset",IF(H1667&lt;0,"Provide Comment","okay"),"N/A")</f>
        <v>N/A</v>
      </c>
    </row>
    <row r="1668" spans="1:13">
      <c r="A1668" s="18" t="s">
        <v>22</v>
      </c>
      <c r="B1668" s="18" t="s">
        <v>365</v>
      </c>
      <c r="C1668" s="18" t="s">
        <v>291</v>
      </c>
      <c r="D1668" s="18" t="s">
        <v>143</v>
      </c>
      <c r="E1668" s="18">
        <v>869313.07</v>
      </c>
      <c r="F1668" s="18">
        <v>0</v>
      </c>
      <c r="G1668" s="18">
        <v>0</v>
      </c>
      <c r="H1668" s="18">
        <v>869313.07</v>
      </c>
      <c r="L1668" s="20" t="str">
        <f t="shared" si="52"/>
        <v>N/A</v>
      </c>
      <c r="M1668" s="20" t="str">
        <f t="shared" si="53"/>
        <v>N/A</v>
      </c>
    </row>
    <row r="1669" spans="1:13">
      <c r="A1669" s="18" t="s">
        <v>22</v>
      </c>
      <c r="B1669" s="18" t="s">
        <v>365</v>
      </c>
      <c r="C1669" s="18" t="s">
        <v>291</v>
      </c>
      <c r="D1669" s="18" t="s">
        <v>146</v>
      </c>
      <c r="E1669" s="18">
        <v>110157.91</v>
      </c>
      <c r="F1669" s="18">
        <v>0</v>
      </c>
      <c r="G1669" s="18">
        <v>0</v>
      </c>
      <c r="H1669" s="18">
        <v>110157.91</v>
      </c>
      <c r="L1669" s="20" t="str">
        <f t="shared" si="52"/>
        <v>N/A</v>
      </c>
      <c r="M1669" s="20" t="str">
        <f t="shared" si="53"/>
        <v>N/A</v>
      </c>
    </row>
    <row r="1670" spans="1:13">
      <c r="A1670" s="18" t="s">
        <v>22</v>
      </c>
      <c r="B1670" s="18" t="s">
        <v>365</v>
      </c>
      <c r="C1670" s="18" t="s">
        <v>291</v>
      </c>
      <c r="D1670" s="18" t="s">
        <v>147</v>
      </c>
      <c r="E1670" s="18">
        <v>-960424.63</v>
      </c>
      <c r="F1670" s="18">
        <v>0</v>
      </c>
      <c r="G1670" s="18">
        <v>0</v>
      </c>
      <c r="H1670" s="18">
        <v>-960424.63</v>
      </c>
      <c r="L1670" s="20" t="str">
        <f t="shared" si="52"/>
        <v>N/A</v>
      </c>
      <c r="M1670" s="20" t="str">
        <f t="shared" si="53"/>
        <v>N/A</v>
      </c>
    </row>
    <row r="1671" spans="1:13">
      <c r="A1671" s="18" t="s">
        <v>22</v>
      </c>
      <c r="B1671" s="18" t="s">
        <v>365</v>
      </c>
      <c r="C1671" s="18" t="s">
        <v>291</v>
      </c>
      <c r="D1671" s="18" t="s">
        <v>153</v>
      </c>
      <c r="E1671" s="18">
        <v>0</v>
      </c>
      <c r="F1671" s="18">
        <v>0</v>
      </c>
      <c r="G1671" s="18">
        <v>0</v>
      </c>
      <c r="H1671" s="18">
        <v>0</v>
      </c>
      <c r="L1671" s="20" t="str">
        <f t="shared" si="52"/>
        <v>N/A</v>
      </c>
      <c r="M1671" s="20" t="str">
        <f t="shared" si="53"/>
        <v>N/A</v>
      </c>
    </row>
    <row r="1672" spans="1:13">
      <c r="A1672" s="18" t="s">
        <v>22</v>
      </c>
      <c r="B1672" s="18" t="s">
        <v>365</v>
      </c>
      <c r="C1672" s="18" t="s">
        <v>291</v>
      </c>
      <c r="D1672" s="18" t="s">
        <v>155</v>
      </c>
      <c r="E1672" s="18">
        <v>0</v>
      </c>
      <c r="F1672" s="18">
        <v>0</v>
      </c>
      <c r="G1672" s="18">
        <v>0</v>
      </c>
      <c r="H1672" s="18">
        <v>0</v>
      </c>
      <c r="L1672" s="20" t="str">
        <f t="shared" si="52"/>
        <v>N/A</v>
      </c>
      <c r="M1672" s="20" t="str">
        <f t="shared" si="53"/>
        <v>N/A</v>
      </c>
    </row>
    <row r="1673" spans="1:13">
      <c r="A1673" s="18" t="s">
        <v>22</v>
      </c>
      <c r="B1673" s="18" t="s">
        <v>365</v>
      </c>
      <c r="C1673" s="18" t="s">
        <v>291</v>
      </c>
      <c r="D1673" s="18" t="s">
        <v>156</v>
      </c>
      <c r="E1673" s="18">
        <v>-43.5</v>
      </c>
      <c r="F1673" s="18">
        <v>0</v>
      </c>
      <c r="G1673" s="18">
        <v>1.26</v>
      </c>
      <c r="H1673" s="18">
        <v>-44.76</v>
      </c>
      <c r="L1673" s="20" t="str">
        <f t="shared" si="52"/>
        <v>N/A</v>
      </c>
      <c r="M1673" s="20" t="str">
        <f t="shared" si="53"/>
        <v>N/A</v>
      </c>
    </row>
    <row r="1674" spans="1:13">
      <c r="A1674" s="18" t="s">
        <v>22</v>
      </c>
      <c r="B1674" s="18" t="s">
        <v>365</v>
      </c>
      <c r="C1674" s="18" t="s">
        <v>291</v>
      </c>
      <c r="D1674" s="18" t="s">
        <v>157</v>
      </c>
      <c r="E1674" s="18">
        <v>-407703.81</v>
      </c>
      <c r="F1674" s="18">
        <v>0</v>
      </c>
      <c r="G1674" s="18">
        <v>59444.18</v>
      </c>
      <c r="H1674" s="18">
        <v>-467147.99</v>
      </c>
      <c r="L1674" s="20" t="str">
        <f t="shared" si="52"/>
        <v>N/A</v>
      </c>
      <c r="M1674" s="20" t="str">
        <f t="shared" si="53"/>
        <v>N/A</v>
      </c>
    </row>
    <row r="1675" spans="1:13">
      <c r="A1675" s="18" t="s">
        <v>22</v>
      </c>
      <c r="B1675" s="18" t="s">
        <v>365</v>
      </c>
      <c r="C1675" s="18" t="s">
        <v>291</v>
      </c>
      <c r="D1675" s="18" t="s">
        <v>145</v>
      </c>
      <c r="E1675" s="18">
        <v>0</v>
      </c>
      <c r="F1675" s="18">
        <v>285.27</v>
      </c>
      <c r="G1675" s="18">
        <v>0</v>
      </c>
      <c r="H1675" s="18">
        <v>285.27</v>
      </c>
      <c r="L1675" s="20" t="str">
        <f t="shared" si="52"/>
        <v>N/A</v>
      </c>
      <c r="M1675" s="20" t="str">
        <f t="shared" si="53"/>
        <v>N/A</v>
      </c>
    </row>
    <row r="1676" spans="1:13">
      <c r="A1676" s="18" t="s">
        <v>22</v>
      </c>
      <c r="B1676" s="18" t="s">
        <v>365</v>
      </c>
      <c r="C1676" s="18" t="s">
        <v>291</v>
      </c>
      <c r="D1676" s="18" t="s">
        <v>96</v>
      </c>
      <c r="E1676" s="18">
        <v>8.3000000000000007</v>
      </c>
      <c r="F1676" s="18">
        <v>4.1500000000000004</v>
      </c>
      <c r="G1676" s="18">
        <v>0</v>
      </c>
      <c r="H1676" s="18">
        <v>12.45</v>
      </c>
      <c r="L1676" s="20" t="str">
        <f t="shared" si="52"/>
        <v>N/A</v>
      </c>
      <c r="M1676" s="20" t="str">
        <f t="shared" si="53"/>
        <v>N/A</v>
      </c>
    </row>
    <row r="1677" spans="1:13">
      <c r="A1677" s="18" t="s">
        <v>22</v>
      </c>
      <c r="B1677" s="18" t="s">
        <v>365</v>
      </c>
      <c r="C1677" s="18" t="s">
        <v>291</v>
      </c>
      <c r="D1677" s="18" t="s">
        <v>104</v>
      </c>
      <c r="E1677" s="18">
        <v>18.96</v>
      </c>
      <c r="F1677" s="18">
        <v>37.93</v>
      </c>
      <c r="G1677" s="18">
        <v>0</v>
      </c>
      <c r="H1677" s="18">
        <v>56.89</v>
      </c>
      <c r="L1677" s="20" t="str">
        <f t="shared" si="52"/>
        <v>N/A</v>
      </c>
      <c r="M1677" s="20" t="str">
        <f t="shared" si="53"/>
        <v>N/A</v>
      </c>
    </row>
    <row r="1678" spans="1:13">
      <c r="A1678" s="18" t="s">
        <v>22</v>
      </c>
      <c r="B1678" s="18" t="s">
        <v>365</v>
      </c>
      <c r="C1678" s="18" t="s">
        <v>291</v>
      </c>
      <c r="D1678" s="18" t="s">
        <v>359</v>
      </c>
      <c r="E1678" s="18">
        <v>894.58</v>
      </c>
      <c r="F1678" s="18">
        <v>8.4700000000000006</v>
      </c>
      <c r="G1678" s="18">
        <v>0</v>
      </c>
      <c r="H1678" s="18">
        <v>903.05</v>
      </c>
      <c r="L1678" s="20" t="str">
        <f t="shared" si="52"/>
        <v>N/A</v>
      </c>
      <c r="M1678" s="20" t="str">
        <f t="shared" si="53"/>
        <v>N/A</v>
      </c>
    </row>
    <row r="1679" spans="1:13">
      <c r="A1679" s="18" t="s">
        <v>22</v>
      </c>
      <c r="B1679" s="18" t="s">
        <v>365</v>
      </c>
      <c r="C1679" s="18" t="s">
        <v>291</v>
      </c>
      <c r="D1679" s="18" t="s">
        <v>113</v>
      </c>
      <c r="E1679" s="18">
        <v>1217.69</v>
      </c>
      <c r="F1679" s="18">
        <v>333.49</v>
      </c>
      <c r="G1679" s="18">
        <v>0</v>
      </c>
      <c r="H1679" s="18">
        <v>1551.18</v>
      </c>
      <c r="L1679" s="20" t="str">
        <f t="shared" si="52"/>
        <v>N/A</v>
      </c>
      <c r="M1679" s="20" t="str">
        <f t="shared" si="53"/>
        <v>N/A</v>
      </c>
    </row>
    <row r="1680" spans="1:13">
      <c r="A1680" s="18" t="s">
        <v>22</v>
      </c>
      <c r="B1680" s="18" t="s">
        <v>365</v>
      </c>
      <c r="C1680" s="18" t="s">
        <v>291</v>
      </c>
      <c r="D1680" s="18" t="s">
        <v>150</v>
      </c>
      <c r="E1680" s="18">
        <v>379.27</v>
      </c>
      <c r="F1680" s="18">
        <v>22.9</v>
      </c>
      <c r="G1680" s="18">
        <v>0</v>
      </c>
      <c r="H1680" s="18">
        <v>402.17</v>
      </c>
      <c r="L1680" s="20" t="str">
        <f t="shared" si="52"/>
        <v>N/A</v>
      </c>
      <c r="M1680" s="20" t="str">
        <f t="shared" si="53"/>
        <v>N/A</v>
      </c>
    </row>
    <row r="1681" spans="1:13">
      <c r="A1681" s="18" t="s">
        <v>22</v>
      </c>
      <c r="B1681" s="18" t="s">
        <v>365</v>
      </c>
      <c r="C1681" s="18" t="s">
        <v>291</v>
      </c>
      <c r="D1681" s="18" t="s">
        <v>120</v>
      </c>
      <c r="E1681" s="18">
        <v>0.56999999999999995</v>
      </c>
      <c r="F1681" s="18">
        <v>0</v>
      </c>
      <c r="G1681" s="18">
        <v>0</v>
      </c>
      <c r="H1681" s="18">
        <v>0.56999999999999995</v>
      </c>
      <c r="L1681" s="20" t="str">
        <f t="shared" si="52"/>
        <v>N/A</v>
      </c>
      <c r="M1681" s="20" t="str">
        <f t="shared" si="53"/>
        <v>N/A</v>
      </c>
    </row>
    <row r="1682" spans="1:13">
      <c r="A1682" s="18" t="s">
        <v>22</v>
      </c>
      <c r="B1682" s="18" t="s">
        <v>365</v>
      </c>
      <c r="C1682" s="18" t="s">
        <v>291</v>
      </c>
      <c r="D1682" s="18" t="s">
        <v>123</v>
      </c>
      <c r="E1682" s="18">
        <v>355.2</v>
      </c>
      <c r="F1682" s="18">
        <v>180.77</v>
      </c>
      <c r="G1682" s="18">
        <v>0</v>
      </c>
      <c r="H1682" s="18">
        <v>535.97</v>
      </c>
      <c r="L1682" s="20" t="str">
        <f t="shared" si="52"/>
        <v>N/A</v>
      </c>
      <c r="M1682" s="20" t="str">
        <f t="shared" si="53"/>
        <v>N/A</v>
      </c>
    </row>
    <row r="1683" spans="1:13">
      <c r="A1683" s="18" t="s">
        <v>22</v>
      </c>
      <c r="B1683" s="18" t="s">
        <v>365</v>
      </c>
      <c r="C1683" s="18" t="s">
        <v>291</v>
      </c>
      <c r="D1683" s="18" t="s">
        <v>126</v>
      </c>
      <c r="E1683" s="18">
        <v>52.88</v>
      </c>
      <c r="F1683" s="18">
        <v>10.19</v>
      </c>
      <c r="G1683" s="18">
        <v>0</v>
      </c>
      <c r="H1683" s="18">
        <v>63.07</v>
      </c>
      <c r="L1683" s="20" t="str">
        <f t="shared" si="52"/>
        <v>N/A</v>
      </c>
      <c r="M1683" s="20" t="str">
        <f t="shared" si="53"/>
        <v>N/A</v>
      </c>
    </row>
    <row r="1684" spans="1:13">
      <c r="A1684" s="18" t="s">
        <v>22</v>
      </c>
      <c r="B1684" s="18" t="s">
        <v>365</v>
      </c>
      <c r="C1684" s="18" t="s">
        <v>291</v>
      </c>
      <c r="D1684" s="18" t="s">
        <v>129</v>
      </c>
      <c r="E1684" s="18">
        <v>49.38</v>
      </c>
      <c r="F1684" s="18">
        <v>14.05</v>
      </c>
      <c r="G1684" s="18">
        <v>0</v>
      </c>
      <c r="H1684" s="18">
        <v>63.43</v>
      </c>
      <c r="L1684" s="20" t="str">
        <f t="shared" si="52"/>
        <v>N/A</v>
      </c>
      <c r="M1684" s="20" t="str">
        <f t="shared" si="53"/>
        <v>N/A</v>
      </c>
    </row>
    <row r="1685" spans="1:13">
      <c r="A1685" s="18" t="s">
        <v>22</v>
      </c>
      <c r="B1685" s="18" t="s">
        <v>365</v>
      </c>
      <c r="C1685" s="18" t="s">
        <v>291</v>
      </c>
      <c r="D1685" s="18" t="s">
        <v>131</v>
      </c>
      <c r="E1685" s="18">
        <v>125.4</v>
      </c>
      <c r="F1685" s="18">
        <v>89.51</v>
      </c>
      <c r="G1685" s="18">
        <v>0</v>
      </c>
      <c r="H1685" s="18">
        <v>214.91</v>
      </c>
      <c r="L1685" s="20" t="str">
        <f t="shared" si="52"/>
        <v>N/A</v>
      </c>
      <c r="M1685" s="20" t="str">
        <f t="shared" si="53"/>
        <v>N/A</v>
      </c>
    </row>
    <row r="1686" spans="1:13">
      <c r="A1686" s="18" t="s">
        <v>22</v>
      </c>
      <c r="B1686" s="18" t="s">
        <v>365</v>
      </c>
      <c r="C1686" s="18" t="s">
        <v>291</v>
      </c>
      <c r="D1686" s="18" t="s">
        <v>162</v>
      </c>
      <c r="E1686" s="18">
        <v>0</v>
      </c>
      <c r="F1686" s="18">
        <v>0</v>
      </c>
      <c r="G1686" s="18">
        <v>0</v>
      </c>
      <c r="H1686" s="18">
        <v>0</v>
      </c>
      <c r="L1686" s="20" t="str">
        <f t="shared" si="52"/>
        <v>N/A</v>
      </c>
      <c r="M1686" s="20" t="str">
        <f t="shared" si="53"/>
        <v>N/A</v>
      </c>
    </row>
    <row r="1687" spans="1:13">
      <c r="A1687" s="18" t="s">
        <v>22</v>
      </c>
      <c r="B1687" s="18" t="s">
        <v>365</v>
      </c>
      <c r="C1687" s="18" t="s">
        <v>291</v>
      </c>
      <c r="D1687" s="18" t="s">
        <v>134</v>
      </c>
      <c r="E1687" s="18">
        <v>9</v>
      </c>
      <c r="F1687" s="18">
        <v>11.25</v>
      </c>
      <c r="G1687" s="18">
        <v>0</v>
      </c>
      <c r="H1687" s="18">
        <v>20.25</v>
      </c>
      <c r="L1687" s="20" t="str">
        <f t="shared" si="52"/>
        <v>N/A</v>
      </c>
      <c r="M1687" s="20" t="str">
        <f t="shared" si="53"/>
        <v>N/A</v>
      </c>
    </row>
    <row r="1688" spans="1:13">
      <c r="A1688" s="18" t="s">
        <v>22</v>
      </c>
      <c r="B1688" s="18" t="s">
        <v>365</v>
      </c>
      <c r="C1688" s="18" t="s">
        <v>291</v>
      </c>
      <c r="D1688" s="18" t="s">
        <v>139</v>
      </c>
      <c r="E1688" s="18">
        <v>37.1</v>
      </c>
      <c r="F1688" s="18">
        <v>18.55</v>
      </c>
      <c r="G1688" s="18">
        <v>0</v>
      </c>
      <c r="H1688" s="18">
        <v>55.65</v>
      </c>
      <c r="L1688" s="20" t="str">
        <f t="shared" si="52"/>
        <v>N/A</v>
      </c>
      <c r="M1688" s="20" t="str">
        <f t="shared" si="53"/>
        <v>N/A</v>
      </c>
    </row>
    <row r="1689" spans="1:13">
      <c r="A1689" s="18" t="s">
        <v>22</v>
      </c>
      <c r="B1689" s="18" t="s">
        <v>365</v>
      </c>
      <c r="C1689" s="18" t="s">
        <v>291</v>
      </c>
      <c r="D1689" s="18" t="s">
        <v>142</v>
      </c>
      <c r="E1689" s="18">
        <v>30.67</v>
      </c>
      <c r="F1689" s="18">
        <v>18.12</v>
      </c>
      <c r="G1689" s="18">
        <v>0</v>
      </c>
      <c r="H1689" s="18">
        <v>48.79</v>
      </c>
      <c r="L1689" s="20" t="str">
        <f t="shared" si="52"/>
        <v>N/A</v>
      </c>
      <c r="M1689" s="20" t="str">
        <f t="shared" si="53"/>
        <v>N/A</v>
      </c>
    </row>
    <row r="1690" spans="1:13">
      <c r="A1690" s="18" t="s">
        <v>22</v>
      </c>
      <c r="B1690" s="18" t="s">
        <v>365</v>
      </c>
      <c r="C1690" s="18" t="s">
        <v>291</v>
      </c>
      <c r="D1690" s="18" t="s">
        <v>163</v>
      </c>
      <c r="E1690" s="18">
        <v>0</v>
      </c>
      <c r="F1690" s="18">
        <v>0</v>
      </c>
      <c r="G1690" s="18">
        <v>0</v>
      </c>
      <c r="H1690" s="18">
        <v>0</v>
      </c>
      <c r="L1690" s="20" t="str">
        <f t="shared" si="52"/>
        <v>N/A</v>
      </c>
      <c r="M1690" s="20" t="str">
        <f t="shared" si="53"/>
        <v>N/A</v>
      </c>
    </row>
    <row r="1691" spans="1:13">
      <c r="A1691" s="18" t="s">
        <v>22</v>
      </c>
      <c r="B1691" s="18" t="s">
        <v>365</v>
      </c>
      <c r="C1691" s="18" t="s">
        <v>293</v>
      </c>
      <c r="D1691" s="18" t="s">
        <v>87</v>
      </c>
      <c r="E1691" s="18">
        <v>74.319999999999993</v>
      </c>
      <c r="F1691" s="18">
        <v>2491.7199999999998</v>
      </c>
      <c r="G1691" s="18">
        <v>322.02999999999997</v>
      </c>
      <c r="H1691" s="18">
        <v>2244.0100000000002</v>
      </c>
      <c r="L1691" s="20" t="str">
        <f t="shared" si="52"/>
        <v>Asset</v>
      </c>
      <c r="M1691" s="20" t="str">
        <f t="shared" si="53"/>
        <v>okay</v>
      </c>
    </row>
    <row r="1692" spans="1:13">
      <c r="A1692" s="18" t="s">
        <v>22</v>
      </c>
      <c r="B1692" s="18" t="s">
        <v>365</v>
      </c>
      <c r="C1692" s="18" t="s">
        <v>293</v>
      </c>
      <c r="D1692" s="18" t="s">
        <v>97</v>
      </c>
      <c r="E1692" s="18">
        <v>1220687.56</v>
      </c>
      <c r="F1692" s="18">
        <v>0</v>
      </c>
      <c r="G1692" s="18">
        <v>0</v>
      </c>
      <c r="H1692" s="18">
        <v>1220687.56</v>
      </c>
      <c r="L1692" s="20" t="str">
        <f t="shared" si="52"/>
        <v>Asset</v>
      </c>
      <c r="M1692" s="20" t="str">
        <f t="shared" si="53"/>
        <v>okay</v>
      </c>
    </row>
    <row r="1693" spans="1:13">
      <c r="A1693" s="18" t="s">
        <v>22</v>
      </c>
      <c r="B1693" s="18" t="s">
        <v>365</v>
      </c>
      <c r="C1693" s="18" t="s">
        <v>293</v>
      </c>
      <c r="D1693" s="18" t="s">
        <v>105</v>
      </c>
      <c r="E1693" s="18">
        <v>379976.67</v>
      </c>
      <c r="F1693" s="18">
        <v>17833.25</v>
      </c>
      <c r="G1693" s="18">
        <v>0</v>
      </c>
      <c r="H1693" s="18">
        <v>397809.91999999998</v>
      </c>
      <c r="L1693" s="20" t="str">
        <f t="shared" si="52"/>
        <v>Asset</v>
      </c>
      <c r="M1693" s="20" t="str">
        <f t="shared" si="53"/>
        <v>okay</v>
      </c>
    </row>
    <row r="1694" spans="1:13">
      <c r="A1694" s="18" t="s">
        <v>22</v>
      </c>
      <c r="B1694" s="18" t="s">
        <v>365</v>
      </c>
      <c r="C1694" s="18" t="s">
        <v>293</v>
      </c>
      <c r="D1694" s="18" t="s">
        <v>108</v>
      </c>
      <c r="E1694" s="18">
        <v>0</v>
      </c>
      <c r="F1694" s="18">
        <v>0</v>
      </c>
      <c r="G1694" s="18">
        <v>0</v>
      </c>
      <c r="H1694" s="18">
        <v>0</v>
      </c>
      <c r="L1694" s="20" t="str">
        <f t="shared" si="52"/>
        <v>Asset</v>
      </c>
      <c r="M1694" s="20" t="str">
        <f t="shared" si="53"/>
        <v>okay</v>
      </c>
    </row>
    <row r="1695" spans="1:13">
      <c r="A1695" s="18" t="s">
        <v>22</v>
      </c>
      <c r="B1695" s="18" t="s">
        <v>365</v>
      </c>
      <c r="C1695" s="18" t="s">
        <v>293</v>
      </c>
      <c r="D1695" s="18" t="s">
        <v>116</v>
      </c>
      <c r="E1695" s="18">
        <v>-15.2</v>
      </c>
      <c r="F1695" s="18">
        <v>0</v>
      </c>
      <c r="G1695" s="18">
        <v>0</v>
      </c>
      <c r="H1695" s="18">
        <v>-15.2</v>
      </c>
      <c r="L1695" s="20" t="str">
        <f t="shared" si="52"/>
        <v>N/A</v>
      </c>
      <c r="M1695" s="20" t="str">
        <f t="shared" si="53"/>
        <v>N/A</v>
      </c>
    </row>
    <row r="1696" spans="1:13">
      <c r="A1696" s="18" t="s">
        <v>22</v>
      </c>
      <c r="B1696" s="18" t="s">
        <v>365</v>
      </c>
      <c r="C1696" s="18" t="s">
        <v>293</v>
      </c>
      <c r="D1696" s="18" t="s">
        <v>121</v>
      </c>
      <c r="E1696" s="18">
        <v>-33.369999999999997</v>
      </c>
      <c r="F1696" s="18">
        <v>22.26</v>
      </c>
      <c r="G1696" s="18">
        <v>5.56</v>
      </c>
      <c r="H1696" s="18">
        <v>-16.670000000000002</v>
      </c>
      <c r="L1696" s="20" t="str">
        <f t="shared" si="52"/>
        <v>N/A</v>
      </c>
      <c r="M1696" s="20" t="str">
        <f t="shared" si="53"/>
        <v>N/A</v>
      </c>
    </row>
    <row r="1697" spans="1:13">
      <c r="A1697" s="18" t="s">
        <v>22</v>
      </c>
      <c r="B1697" s="18" t="s">
        <v>365</v>
      </c>
      <c r="C1697" s="18" t="s">
        <v>293</v>
      </c>
      <c r="D1697" s="18" t="s">
        <v>124</v>
      </c>
      <c r="E1697" s="18">
        <v>-6.81</v>
      </c>
      <c r="F1697" s="18">
        <v>0</v>
      </c>
      <c r="G1697" s="18">
        <v>4.24</v>
      </c>
      <c r="H1697" s="18">
        <v>-11.05</v>
      </c>
      <c r="L1697" s="20" t="str">
        <f t="shared" si="52"/>
        <v>N/A</v>
      </c>
      <c r="M1697" s="20" t="str">
        <f t="shared" si="53"/>
        <v>N/A</v>
      </c>
    </row>
    <row r="1698" spans="1:13">
      <c r="A1698" s="18" t="s">
        <v>22</v>
      </c>
      <c r="B1698" s="18" t="s">
        <v>365</v>
      </c>
      <c r="C1698" s="18" t="s">
        <v>293</v>
      </c>
      <c r="D1698" s="18" t="s">
        <v>127</v>
      </c>
      <c r="E1698" s="18">
        <v>0</v>
      </c>
      <c r="F1698" s="18">
        <v>0</v>
      </c>
      <c r="G1698" s="18">
        <v>0</v>
      </c>
      <c r="H1698" s="18">
        <v>0</v>
      </c>
      <c r="L1698" s="20" t="str">
        <f t="shared" si="52"/>
        <v>N/A</v>
      </c>
      <c r="M1698" s="20" t="str">
        <f t="shared" si="53"/>
        <v>N/A</v>
      </c>
    </row>
    <row r="1699" spans="1:13">
      <c r="A1699" s="18" t="s">
        <v>22</v>
      </c>
      <c r="B1699" s="18" t="s">
        <v>365</v>
      </c>
      <c r="C1699" s="18" t="s">
        <v>293</v>
      </c>
      <c r="D1699" s="18" t="s">
        <v>95</v>
      </c>
      <c r="E1699" s="18">
        <v>-1.66</v>
      </c>
      <c r="F1699" s="18">
        <v>0.42</v>
      </c>
      <c r="G1699" s="18">
        <v>1.25</v>
      </c>
      <c r="H1699" s="18">
        <v>-2.4900000000000002</v>
      </c>
      <c r="L1699" s="20" t="str">
        <f t="shared" si="52"/>
        <v>N/A</v>
      </c>
      <c r="M1699" s="20" t="str">
        <f t="shared" si="53"/>
        <v>N/A</v>
      </c>
    </row>
    <row r="1700" spans="1:13">
      <c r="A1700" s="18" t="s">
        <v>22</v>
      </c>
      <c r="B1700" s="18" t="s">
        <v>365</v>
      </c>
      <c r="C1700" s="18" t="s">
        <v>293</v>
      </c>
      <c r="D1700" s="18" t="s">
        <v>132</v>
      </c>
      <c r="E1700" s="18">
        <v>0</v>
      </c>
      <c r="F1700" s="18">
        <v>0</v>
      </c>
      <c r="G1700" s="18">
        <v>0</v>
      </c>
      <c r="H1700" s="18">
        <v>0</v>
      </c>
      <c r="L1700" s="20" t="str">
        <f t="shared" si="52"/>
        <v>N/A</v>
      </c>
      <c r="M1700" s="20" t="str">
        <f t="shared" si="53"/>
        <v>N/A</v>
      </c>
    </row>
    <row r="1701" spans="1:13">
      <c r="A1701" s="18" t="s">
        <v>22</v>
      </c>
      <c r="B1701" s="18" t="s">
        <v>365</v>
      </c>
      <c r="C1701" s="18" t="s">
        <v>293</v>
      </c>
      <c r="D1701" s="18" t="s">
        <v>135</v>
      </c>
      <c r="E1701" s="18">
        <v>-1481481.48</v>
      </c>
      <c r="F1701" s="18">
        <v>0</v>
      </c>
      <c r="G1701" s="18">
        <v>0</v>
      </c>
      <c r="H1701" s="18">
        <v>-1481481.48</v>
      </c>
      <c r="L1701" s="20" t="str">
        <f t="shared" si="52"/>
        <v>N/A</v>
      </c>
      <c r="M1701" s="20" t="str">
        <f t="shared" si="53"/>
        <v>N/A</v>
      </c>
    </row>
    <row r="1702" spans="1:13">
      <c r="A1702" s="18" t="s">
        <v>22</v>
      </c>
      <c r="B1702" s="18" t="s">
        <v>365</v>
      </c>
      <c r="C1702" s="18" t="s">
        <v>293</v>
      </c>
      <c r="D1702" s="18" t="s">
        <v>140</v>
      </c>
      <c r="E1702" s="18">
        <v>-3543.46</v>
      </c>
      <c r="F1702" s="18">
        <v>0</v>
      </c>
      <c r="G1702" s="18">
        <v>2491.35</v>
      </c>
      <c r="H1702" s="18">
        <v>-6034.81</v>
      </c>
      <c r="L1702" s="20" t="str">
        <f t="shared" si="52"/>
        <v>N/A</v>
      </c>
      <c r="M1702" s="20" t="str">
        <f t="shared" si="53"/>
        <v>N/A</v>
      </c>
    </row>
    <row r="1703" spans="1:13">
      <c r="A1703" s="18" t="s">
        <v>22</v>
      </c>
      <c r="B1703" s="18" t="s">
        <v>365</v>
      </c>
      <c r="C1703" s="18" t="s">
        <v>293</v>
      </c>
      <c r="D1703" s="18" t="s">
        <v>143</v>
      </c>
      <c r="E1703" s="18">
        <v>260793.92</v>
      </c>
      <c r="F1703" s="18">
        <v>0</v>
      </c>
      <c r="G1703" s="18">
        <v>0</v>
      </c>
      <c r="H1703" s="18">
        <v>260793.92</v>
      </c>
      <c r="L1703" s="20" t="str">
        <f t="shared" si="52"/>
        <v>N/A</v>
      </c>
      <c r="M1703" s="20" t="str">
        <f t="shared" si="53"/>
        <v>N/A</v>
      </c>
    </row>
    <row r="1704" spans="1:13">
      <c r="A1704" s="18" t="s">
        <v>22</v>
      </c>
      <c r="B1704" s="18" t="s">
        <v>365</v>
      </c>
      <c r="C1704" s="18" t="s">
        <v>293</v>
      </c>
      <c r="D1704" s="18" t="s">
        <v>146</v>
      </c>
      <c r="E1704" s="18">
        <v>33047.379999999997</v>
      </c>
      <c r="F1704" s="18">
        <v>0</v>
      </c>
      <c r="G1704" s="18">
        <v>0</v>
      </c>
      <c r="H1704" s="18">
        <v>33047.379999999997</v>
      </c>
      <c r="L1704" s="20" t="str">
        <f t="shared" si="52"/>
        <v>N/A</v>
      </c>
      <c r="M1704" s="20" t="str">
        <f t="shared" si="53"/>
        <v>N/A</v>
      </c>
    </row>
    <row r="1705" spans="1:13">
      <c r="A1705" s="18" t="s">
        <v>22</v>
      </c>
      <c r="B1705" s="18" t="s">
        <v>365</v>
      </c>
      <c r="C1705" s="18" t="s">
        <v>293</v>
      </c>
      <c r="D1705" s="18" t="s">
        <v>147</v>
      </c>
      <c r="E1705" s="18">
        <v>-288127.38</v>
      </c>
      <c r="F1705" s="18">
        <v>0</v>
      </c>
      <c r="G1705" s="18">
        <v>0</v>
      </c>
      <c r="H1705" s="18">
        <v>-288127.38</v>
      </c>
      <c r="L1705" s="20" t="str">
        <f t="shared" si="52"/>
        <v>N/A</v>
      </c>
      <c r="M1705" s="20" t="str">
        <f t="shared" si="53"/>
        <v>N/A</v>
      </c>
    </row>
    <row r="1706" spans="1:13">
      <c r="A1706" s="18" t="s">
        <v>22</v>
      </c>
      <c r="B1706" s="18" t="s">
        <v>365</v>
      </c>
      <c r="C1706" s="18" t="s">
        <v>293</v>
      </c>
      <c r="D1706" s="18" t="s">
        <v>153</v>
      </c>
      <c r="E1706" s="18">
        <v>0</v>
      </c>
      <c r="F1706" s="18">
        <v>0</v>
      </c>
      <c r="G1706" s="18">
        <v>0</v>
      </c>
      <c r="H1706" s="18">
        <v>0</v>
      </c>
      <c r="L1706" s="20" t="str">
        <f t="shared" si="52"/>
        <v>N/A</v>
      </c>
      <c r="M1706" s="20" t="str">
        <f t="shared" si="53"/>
        <v>N/A</v>
      </c>
    </row>
    <row r="1707" spans="1:13">
      <c r="A1707" s="18" t="s">
        <v>22</v>
      </c>
      <c r="B1707" s="18" t="s">
        <v>365</v>
      </c>
      <c r="C1707" s="18" t="s">
        <v>293</v>
      </c>
      <c r="D1707" s="18" t="s">
        <v>155</v>
      </c>
      <c r="E1707" s="18">
        <v>0</v>
      </c>
      <c r="F1707" s="18">
        <v>0</v>
      </c>
      <c r="G1707" s="18">
        <v>0</v>
      </c>
      <c r="H1707" s="18">
        <v>0</v>
      </c>
      <c r="L1707" s="20" t="str">
        <f t="shared" si="52"/>
        <v>N/A</v>
      </c>
      <c r="M1707" s="20" t="str">
        <f t="shared" si="53"/>
        <v>N/A</v>
      </c>
    </row>
    <row r="1708" spans="1:13">
      <c r="A1708" s="18" t="s">
        <v>22</v>
      </c>
      <c r="B1708" s="18" t="s">
        <v>365</v>
      </c>
      <c r="C1708" s="18" t="s">
        <v>293</v>
      </c>
      <c r="D1708" s="18" t="s">
        <v>156</v>
      </c>
      <c r="E1708" s="18">
        <v>-13.04</v>
      </c>
      <c r="F1708" s="18">
        <v>0</v>
      </c>
      <c r="G1708" s="18">
        <v>0.37</v>
      </c>
      <c r="H1708" s="18">
        <v>-13.41</v>
      </c>
      <c r="L1708" s="20" t="str">
        <f t="shared" si="52"/>
        <v>N/A</v>
      </c>
      <c r="M1708" s="20" t="str">
        <f t="shared" si="53"/>
        <v>N/A</v>
      </c>
    </row>
    <row r="1709" spans="1:13">
      <c r="A1709" s="18" t="s">
        <v>22</v>
      </c>
      <c r="B1709" s="18" t="s">
        <v>365</v>
      </c>
      <c r="C1709" s="18" t="s">
        <v>293</v>
      </c>
      <c r="D1709" s="18" t="s">
        <v>157</v>
      </c>
      <c r="E1709" s="18">
        <v>-122311.15</v>
      </c>
      <c r="F1709" s="18">
        <v>0</v>
      </c>
      <c r="G1709" s="18">
        <v>17833.25</v>
      </c>
      <c r="H1709" s="18">
        <v>-140144.4</v>
      </c>
      <c r="L1709" s="20" t="str">
        <f t="shared" si="52"/>
        <v>N/A</v>
      </c>
      <c r="M1709" s="20" t="str">
        <f t="shared" si="53"/>
        <v>N/A</v>
      </c>
    </row>
    <row r="1710" spans="1:13">
      <c r="A1710" s="18" t="s">
        <v>22</v>
      </c>
      <c r="B1710" s="18" t="s">
        <v>365</v>
      </c>
      <c r="C1710" s="18" t="s">
        <v>293</v>
      </c>
      <c r="D1710" s="18" t="s">
        <v>145</v>
      </c>
      <c r="E1710" s="18">
        <v>0</v>
      </c>
      <c r="F1710" s="18">
        <v>85.58</v>
      </c>
      <c r="G1710" s="18">
        <v>0</v>
      </c>
      <c r="H1710" s="18">
        <v>85.58</v>
      </c>
      <c r="L1710" s="20" t="str">
        <f t="shared" si="52"/>
        <v>N/A</v>
      </c>
      <c r="M1710" s="20" t="str">
        <f t="shared" si="53"/>
        <v>N/A</v>
      </c>
    </row>
    <row r="1711" spans="1:13">
      <c r="A1711" s="18" t="s">
        <v>22</v>
      </c>
      <c r="B1711" s="18" t="s">
        <v>365</v>
      </c>
      <c r="C1711" s="18" t="s">
        <v>293</v>
      </c>
      <c r="D1711" s="18" t="s">
        <v>96</v>
      </c>
      <c r="E1711" s="18">
        <v>2.5</v>
      </c>
      <c r="F1711" s="18">
        <v>1.25</v>
      </c>
      <c r="G1711" s="18">
        <v>0</v>
      </c>
      <c r="H1711" s="18">
        <v>3.75</v>
      </c>
      <c r="L1711" s="20" t="str">
        <f t="shared" si="52"/>
        <v>N/A</v>
      </c>
      <c r="M1711" s="20" t="str">
        <f t="shared" si="53"/>
        <v>N/A</v>
      </c>
    </row>
    <row r="1712" spans="1:13">
      <c r="A1712" s="18" t="s">
        <v>22</v>
      </c>
      <c r="B1712" s="18" t="s">
        <v>365</v>
      </c>
      <c r="C1712" s="18" t="s">
        <v>293</v>
      </c>
      <c r="D1712" s="18" t="s">
        <v>104</v>
      </c>
      <c r="E1712" s="18">
        <v>5.69</v>
      </c>
      <c r="F1712" s="18">
        <v>11.38</v>
      </c>
      <c r="G1712" s="18">
        <v>0</v>
      </c>
      <c r="H1712" s="18">
        <v>17.07</v>
      </c>
      <c r="L1712" s="20" t="str">
        <f t="shared" si="52"/>
        <v>N/A</v>
      </c>
      <c r="M1712" s="20" t="str">
        <f t="shared" si="53"/>
        <v>N/A</v>
      </c>
    </row>
    <row r="1713" spans="1:13">
      <c r="A1713" s="18" t="s">
        <v>22</v>
      </c>
      <c r="B1713" s="18" t="s">
        <v>365</v>
      </c>
      <c r="C1713" s="18" t="s">
        <v>293</v>
      </c>
      <c r="D1713" s="18" t="s">
        <v>359</v>
      </c>
      <c r="E1713" s="18">
        <v>268.37</v>
      </c>
      <c r="F1713" s="18">
        <v>2.54</v>
      </c>
      <c r="G1713" s="18">
        <v>0</v>
      </c>
      <c r="H1713" s="18">
        <v>270.91000000000003</v>
      </c>
      <c r="L1713" s="20" t="str">
        <f t="shared" si="52"/>
        <v>N/A</v>
      </c>
      <c r="M1713" s="20" t="str">
        <f t="shared" si="53"/>
        <v>N/A</v>
      </c>
    </row>
    <row r="1714" spans="1:13">
      <c r="A1714" s="18" t="s">
        <v>22</v>
      </c>
      <c r="B1714" s="18" t="s">
        <v>365</v>
      </c>
      <c r="C1714" s="18" t="s">
        <v>293</v>
      </c>
      <c r="D1714" s="18" t="s">
        <v>113</v>
      </c>
      <c r="E1714" s="18">
        <v>365.31</v>
      </c>
      <c r="F1714" s="18">
        <v>100.05</v>
      </c>
      <c r="G1714" s="18">
        <v>0</v>
      </c>
      <c r="H1714" s="18">
        <v>465.36</v>
      </c>
      <c r="L1714" s="20" t="str">
        <f t="shared" si="52"/>
        <v>N/A</v>
      </c>
      <c r="M1714" s="20" t="str">
        <f t="shared" si="53"/>
        <v>N/A</v>
      </c>
    </row>
    <row r="1715" spans="1:13">
      <c r="A1715" s="18" t="s">
        <v>22</v>
      </c>
      <c r="B1715" s="18" t="s">
        <v>365</v>
      </c>
      <c r="C1715" s="18" t="s">
        <v>293</v>
      </c>
      <c r="D1715" s="18" t="s">
        <v>150</v>
      </c>
      <c r="E1715" s="18">
        <v>113.79</v>
      </c>
      <c r="F1715" s="18">
        <v>6.87</v>
      </c>
      <c r="G1715" s="18">
        <v>0</v>
      </c>
      <c r="H1715" s="18">
        <v>120.66</v>
      </c>
      <c r="L1715" s="20" t="str">
        <f t="shared" si="52"/>
        <v>N/A</v>
      </c>
      <c r="M1715" s="20" t="str">
        <f t="shared" si="53"/>
        <v>N/A</v>
      </c>
    </row>
    <row r="1716" spans="1:13">
      <c r="A1716" s="18" t="s">
        <v>22</v>
      </c>
      <c r="B1716" s="18" t="s">
        <v>365</v>
      </c>
      <c r="C1716" s="18" t="s">
        <v>293</v>
      </c>
      <c r="D1716" s="18" t="s">
        <v>120</v>
      </c>
      <c r="E1716" s="18">
        <v>0.17</v>
      </c>
      <c r="F1716" s="18">
        <v>0</v>
      </c>
      <c r="G1716" s="18">
        <v>0</v>
      </c>
      <c r="H1716" s="18">
        <v>0.17</v>
      </c>
      <c r="L1716" s="20" t="str">
        <f t="shared" si="52"/>
        <v>N/A</v>
      </c>
      <c r="M1716" s="20" t="str">
        <f t="shared" si="53"/>
        <v>N/A</v>
      </c>
    </row>
    <row r="1717" spans="1:13">
      <c r="A1717" s="18" t="s">
        <v>22</v>
      </c>
      <c r="B1717" s="18" t="s">
        <v>365</v>
      </c>
      <c r="C1717" s="18" t="s">
        <v>293</v>
      </c>
      <c r="D1717" s="18" t="s">
        <v>123</v>
      </c>
      <c r="E1717" s="18">
        <v>106.56</v>
      </c>
      <c r="F1717" s="18">
        <v>54.23</v>
      </c>
      <c r="G1717" s="18">
        <v>0</v>
      </c>
      <c r="H1717" s="18">
        <v>160.79</v>
      </c>
      <c r="L1717" s="20" t="str">
        <f t="shared" si="52"/>
        <v>N/A</v>
      </c>
      <c r="M1717" s="20" t="str">
        <f t="shared" si="53"/>
        <v>N/A</v>
      </c>
    </row>
    <row r="1718" spans="1:13">
      <c r="A1718" s="18" t="s">
        <v>22</v>
      </c>
      <c r="B1718" s="18" t="s">
        <v>365</v>
      </c>
      <c r="C1718" s="18" t="s">
        <v>293</v>
      </c>
      <c r="D1718" s="18" t="s">
        <v>126</v>
      </c>
      <c r="E1718" s="18">
        <v>15.86</v>
      </c>
      <c r="F1718" s="18">
        <v>3.06</v>
      </c>
      <c r="G1718" s="18">
        <v>0</v>
      </c>
      <c r="H1718" s="18">
        <v>18.920000000000002</v>
      </c>
      <c r="L1718" s="20" t="str">
        <f t="shared" si="52"/>
        <v>N/A</v>
      </c>
      <c r="M1718" s="20" t="str">
        <f t="shared" si="53"/>
        <v>N/A</v>
      </c>
    </row>
    <row r="1719" spans="1:13">
      <c r="A1719" s="18" t="s">
        <v>22</v>
      </c>
      <c r="B1719" s="18" t="s">
        <v>365</v>
      </c>
      <c r="C1719" s="18" t="s">
        <v>293</v>
      </c>
      <c r="D1719" s="18" t="s">
        <v>129</v>
      </c>
      <c r="E1719" s="18">
        <v>14.82</v>
      </c>
      <c r="F1719" s="18">
        <v>4.22</v>
      </c>
      <c r="G1719" s="18">
        <v>0</v>
      </c>
      <c r="H1719" s="18">
        <v>19.04</v>
      </c>
      <c r="L1719" s="20" t="str">
        <f t="shared" si="52"/>
        <v>N/A</v>
      </c>
      <c r="M1719" s="20" t="str">
        <f t="shared" si="53"/>
        <v>N/A</v>
      </c>
    </row>
    <row r="1720" spans="1:13">
      <c r="A1720" s="18" t="s">
        <v>22</v>
      </c>
      <c r="B1720" s="18" t="s">
        <v>365</v>
      </c>
      <c r="C1720" s="18" t="s">
        <v>293</v>
      </c>
      <c r="D1720" s="18" t="s">
        <v>131</v>
      </c>
      <c r="E1720" s="18">
        <v>37.619999999999997</v>
      </c>
      <c r="F1720" s="18">
        <v>26.85</v>
      </c>
      <c r="G1720" s="18">
        <v>0</v>
      </c>
      <c r="H1720" s="18">
        <v>64.47</v>
      </c>
      <c r="L1720" s="20" t="str">
        <f t="shared" si="52"/>
        <v>N/A</v>
      </c>
      <c r="M1720" s="20" t="str">
        <f t="shared" si="53"/>
        <v>N/A</v>
      </c>
    </row>
    <row r="1721" spans="1:13">
      <c r="A1721" s="18" t="s">
        <v>22</v>
      </c>
      <c r="B1721" s="18" t="s">
        <v>365</v>
      </c>
      <c r="C1721" s="18" t="s">
        <v>293</v>
      </c>
      <c r="D1721" s="18" t="s">
        <v>162</v>
      </c>
      <c r="E1721" s="18">
        <v>0</v>
      </c>
      <c r="F1721" s="18">
        <v>0</v>
      </c>
      <c r="G1721" s="18">
        <v>0</v>
      </c>
      <c r="H1721" s="18">
        <v>0</v>
      </c>
      <c r="L1721" s="20" t="str">
        <f t="shared" si="52"/>
        <v>N/A</v>
      </c>
      <c r="M1721" s="20" t="str">
        <f t="shared" si="53"/>
        <v>N/A</v>
      </c>
    </row>
    <row r="1722" spans="1:13">
      <c r="A1722" s="18" t="s">
        <v>22</v>
      </c>
      <c r="B1722" s="18" t="s">
        <v>365</v>
      </c>
      <c r="C1722" s="18" t="s">
        <v>293</v>
      </c>
      <c r="D1722" s="18" t="s">
        <v>134</v>
      </c>
      <c r="E1722" s="18">
        <v>2.7</v>
      </c>
      <c r="F1722" s="18">
        <v>3.38</v>
      </c>
      <c r="G1722" s="18">
        <v>0</v>
      </c>
      <c r="H1722" s="18">
        <v>6.08</v>
      </c>
      <c r="L1722" s="20" t="str">
        <f t="shared" si="52"/>
        <v>N/A</v>
      </c>
      <c r="M1722" s="20" t="str">
        <f t="shared" si="53"/>
        <v>N/A</v>
      </c>
    </row>
    <row r="1723" spans="1:13">
      <c r="A1723" s="18" t="s">
        <v>22</v>
      </c>
      <c r="B1723" s="18" t="s">
        <v>365</v>
      </c>
      <c r="C1723" s="18" t="s">
        <v>293</v>
      </c>
      <c r="D1723" s="18" t="s">
        <v>139</v>
      </c>
      <c r="E1723" s="18">
        <v>11.12</v>
      </c>
      <c r="F1723" s="18">
        <v>5.56</v>
      </c>
      <c r="G1723" s="18">
        <v>0</v>
      </c>
      <c r="H1723" s="18">
        <v>16.68</v>
      </c>
      <c r="L1723" s="20" t="str">
        <f t="shared" si="52"/>
        <v>N/A</v>
      </c>
      <c r="M1723" s="20" t="str">
        <f t="shared" si="53"/>
        <v>N/A</v>
      </c>
    </row>
    <row r="1724" spans="1:13">
      <c r="A1724" s="18" t="s">
        <v>22</v>
      </c>
      <c r="B1724" s="18" t="s">
        <v>365</v>
      </c>
      <c r="C1724" s="18" t="s">
        <v>293</v>
      </c>
      <c r="D1724" s="18" t="s">
        <v>142</v>
      </c>
      <c r="E1724" s="18">
        <v>9.19</v>
      </c>
      <c r="F1724" s="18">
        <v>5.43</v>
      </c>
      <c r="G1724" s="18">
        <v>0</v>
      </c>
      <c r="H1724" s="18">
        <v>14.62</v>
      </c>
      <c r="L1724" s="20" t="str">
        <f t="shared" si="52"/>
        <v>N/A</v>
      </c>
      <c r="M1724" s="20" t="str">
        <f t="shared" si="53"/>
        <v>N/A</v>
      </c>
    </row>
    <row r="1725" spans="1:13">
      <c r="A1725" s="18" t="s">
        <v>22</v>
      </c>
      <c r="B1725" s="18" t="s">
        <v>365</v>
      </c>
      <c r="C1725" s="18" t="s">
        <v>293</v>
      </c>
      <c r="D1725" s="18" t="s">
        <v>163</v>
      </c>
      <c r="E1725" s="18">
        <v>0</v>
      </c>
      <c r="F1725" s="18">
        <v>0</v>
      </c>
      <c r="G1725" s="18">
        <v>0</v>
      </c>
      <c r="H1725" s="18">
        <v>0</v>
      </c>
      <c r="L1725" s="20" t="str">
        <f t="shared" si="52"/>
        <v>N/A</v>
      </c>
      <c r="M1725" s="20" t="str">
        <f t="shared" si="53"/>
        <v>N/A</v>
      </c>
    </row>
    <row r="1726" spans="1:13">
      <c r="A1726" s="18" t="s">
        <v>22</v>
      </c>
      <c r="B1726" s="18" t="s">
        <v>365</v>
      </c>
      <c r="C1726" s="18" t="s">
        <v>295</v>
      </c>
      <c r="D1726" s="18" t="s">
        <v>87</v>
      </c>
      <c r="E1726" s="18">
        <v>49.54</v>
      </c>
      <c r="F1726" s="18">
        <v>1661.15</v>
      </c>
      <c r="G1726" s="18">
        <v>214.69</v>
      </c>
      <c r="H1726" s="18">
        <v>1496</v>
      </c>
      <c r="L1726" s="20" t="str">
        <f t="shared" si="52"/>
        <v>Asset</v>
      </c>
      <c r="M1726" s="20" t="str">
        <f t="shared" si="53"/>
        <v>okay</v>
      </c>
    </row>
    <row r="1727" spans="1:13">
      <c r="A1727" s="18" t="s">
        <v>22</v>
      </c>
      <c r="B1727" s="18" t="s">
        <v>365</v>
      </c>
      <c r="C1727" s="18" t="s">
        <v>295</v>
      </c>
      <c r="D1727" s="18" t="s">
        <v>97</v>
      </c>
      <c r="E1727" s="18">
        <v>813791.7</v>
      </c>
      <c r="F1727" s="18">
        <v>0</v>
      </c>
      <c r="G1727" s="18">
        <v>0</v>
      </c>
      <c r="H1727" s="18">
        <v>813791.7</v>
      </c>
      <c r="L1727" s="20" t="str">
        <f t="shared" si="52"/>
        <v>Asset</v>
      </c>
      <c r="M1727" s="20" t="str">
        <f t="shared" si="53"/>
        <v>okay</v>
      </c>
    </row>
    <row r="1728" spans="1:13">
      <c r="A1728" s="18" t="s">
        <v>22</v>
      </c>
      <c r="B1728" s="18" t="s">
        <v>365</v>
      </c>
      <c r="C1728" s="18" t="s">
        <v>295</v>
      </c>
      <c r="D1728" s="18" t="s">
        <v>105</v>
      </c>
      <c r="E1728" s="18">
        <v>253317.78</v>
      </c>
      <c r="F1728" s="18">
        <v>11888.83</v>
      </c>
      <c r="G1728" s="18">
        <v>0</v>
      </c>
      <c r="H1728" s="18">
        <v>265206.61</v>
      </c>
      <c r="L1728" s="20" t="str">
        <f t="shared" si="52"/>
        <v>Asset</v>
      </c>
      <c r="M1728" s="20" t="str">
        <f t="shared" si="53"/>
        <v>okay</v>
      </c>
    </row>
    <row r="1729" spans="1:13">
      <c r="A1729" s="18" t="s">
        <v>22</v>
      </c>
      <c r="B1729" s="18" t="s">
        <v>365</v>
      </c>
      <c r="C1729" s="18" t="s">
        <v>295</v>
      </c>
      <c r="D1729" s="18" t="s">
        <v>108</v>
      </c>
      <c r="E1729" s="18">
        <v>0</v>
      </c>
      <c r="F1729" s="18">
        <v>0</v>
      </c>
      <c r="G1729" s="18">
        <v>0</v>
      </c>
      <c r="H1729" s="18">
        <v>0</v>
      </c>
      <c r="L1729" s="20" t="str">
        <f t="shared" si="52"/>
        <v>Asset</v>
      </c>
      <c r="M1729" s="20" t="str">
        <f t="shared" si="53"/>
        <v>okay</v>
      </c>
    </row>
    <row r="1730" spans="1:13">
      <c r="A1730" s="18" t="s">
        <v>22</v>
      </c>
      <c r="B1730" s="18" t="s">
        <v>365</v>
      </c>
      <c r="C1730" s="18" t="s">
        <v>295</v>
      </c>
      <c r="D1730" s="18" t="s">
        <v>116</v>
      </c>
      <c r="E1730" s="18">
        <v>-10.14</v>
      </c>
      <c r="F1730" s="18">
        <v>0</v>
      </c>
      <c r="G1730" s="18">
        <v>0</v>
      </c>
      <c r="H1730" s="18">
        <v>-10.14</v>
      </c>
      <c r="L1730" s="20" t="str">
        <f t="shared" si="52"/>
        <v>N/A</v>
      </c>
      <c r="M1730" s="20" t="str">
        <f t="shared" si="53"/>
        <v>N/A</v>
      </c>
    </row>
    <row r="1731" spans="1:13">
      <c r="A1731" s="18" t="s">
        <v>22</v>
      </c>
      <c r="B1731" s="18" t="s">
        <v>365</v>
      </c>
      <c r="C1731" s="18" t="s">
        <v>295</v>
      </c>
      <c r="D1731" s="18" t="s">
        <v>121</v>
      </c>
      <c r="E1731" s="18">
        <v>-22.25</v>
      </c>
      <c r="F1731" s="18">
        <v>14.84</v>
      </c>
      <c r="G1731" s="18">
        <v>3.71</v>
      </c>
      <c r="H1731" s="18">
        <v>-11.12</v>
      </c>
      <c r="L1731" s="20" t="str">
        <f t="shared" ref="L1731:L1794" si="54">+IF(LEFT(D1731,1)="1","Asset","N/A")</f>
        <v>N/A</v>
      </c>
      <c r="M1731" s="20" t="str">
        <f t="shared" ref="M1731:M1794" si="55">+IF(L1731="asset",IF(H1731&lt;0,"Provide Comment","okay"),"N/A")</f>
        <v>N/A</v>
      </c>
    </row>
    <row r="1732" spans="1:13">
      <c r="A1732" s="18" t="s">
        <v>22</v>
      </c>
      <c r="B1732" s="18" t="s">
        <v>365</v>
      </c>
      <c r="C1732" s="18" t="s">
        <v>295</v>
      </c>
      <c r="D1732" s="18" t="s">
        <v>124</v>
      </c>
      <c r="E1732" s="18">
        <v>-4.55</v>
      </c>
      <c r="F1732" s="18">
        <v>0</v>
      </c>
      <c r="G1732" s="18">
        <v>2.83</v>
      </c>
      <c r="H1732" s="18">
        <v>-7.38</v>
      </c>
      <c r="L1732" s="20" t="str">
        <f t="shared" si="54"/>
        <v>N/A</v>
      </c>
      <c r="M1732" s="20" t="str">
        <f t="shared" si="55"/>
        <v>N/A</v>
      </c>
    </row>
    <row r="1733" spans="1:13">
      <c r="A1733" s="18" t="s">
        <v>22</v>
      </c>
      <c r="B1733" s="18" t="s">
        <v>365</v>
      </c>
      <c r="C1733" s="18" t="s">
        <v>295</v>
      </c>
      <c r="D1733" s="18" t="s">
        <v>127</v>
      </c>
      <c r="E1733" s="18">
        <v>0</v>
      </c>
      <c r="F1733" s="18">
        <v>0</v>
      </c>
      <c r="G1733" s="18">
        <v>0</v>
      </c>
      <c r="H1733" s="18">
        <v>0</v>
      </c>
      <c r="L1733" s="20" t="str">
        <f t="shared" si="54"/>
        <v>N/A</v>
      </c>
      <c r="M1733" s="20" t="str">
        <f t="shared" si="55"/>
        <v>N/A</v>
      </c>
    </row>
    <row r="1734" spans="1:13">
      <c r="A1734" s="18" t="s">
        <v>22</v>
      </c>
      <c r="B1734" s="18" t="s">
        <v>365</v>
      </c>
      <c r="C1734" s="18" t="s">
        <v>295</v>
      </c>
      <c r="D1734" s="18" t="s">
        <v>95</v>
      </c>
      <c r="E1734" s="18">
        <v>-1.1000000000000001</v>
      </c>
      <c r="F1734" s="18">
        <v>0.28000000000000003</v>
      </c>
      <c r="G1734" s="18">
        <v>0.83</v>
      </c>
      <c r="H1734" s="18">
        <v>-1.65</v>
      </c>
      <c r="L1734" s="20" t="str">
        <f t="shared" si="54"/>
        <v>N/A</v>
      </c>
      <c r="M1734" s="20" t="str">
        <f t="shared" si="55"/>
        <v>N/A</v>
      </c>
    </row>
    <row r="1735" spans="1:13">
      <c r="A1735" s="18" t="s">
        <v>22</v>
      </c>
      <c r="B1735" s="18" t="s">
        <v>365</v>
      </c>
      <c r="C1735" s="18" t="s">
        <v>295</v>
      </c>
      <c r="D1735" s="18" t="s">
        <v>132</v>
      </c>
      <c r="E1735" s="18">
        <v>0</v>
      </c>
      <c r="F1735" s="18">
        <v>0</v>
      </c>
      <c r="G1735" s="18">
        <v>0</v>
      </c>
      <c r="H1735" s="18">
        <v>0</v>
      </c>
      <c r="L1735" s="20" t="str">
        <f t="shared" si="54"/>
        <v>N/A</v>
      </c>
      <c r="M1735" s="20" t="str">
        <f t="shared" si="55"/>
        <v>N/A</v>
      </c>
    </row>
    <row r="1736" spans="1:13">
      <c r="A1736" s="18" t="s">
        <v>22</v>
      </c>
      <c r="B1736" s="18" t="s">
        <v>365</v>
      </c>
      <c r="C1736" s="18" t="s">
        <v>295</v>
      </c>
      <c r="D1736" s="18" t="s">
        <v>135</v>
      </c>
      <c r="E1736" s="18">
        <v>-987654.32</v>
      </c>
      <c r="F1736" s="18">
        <v>0</v>
      </c>
      <c r="G1736" s="18">
        <v>0</v>
      </c>
      <c r="H1736" s="18">
        <v>-987654.32</v>
      </c>
      <c r="L1736" s="20" t="str">
        <f t="shared" si="54"/>
        <v>N/A</v>
      </c>
      <c r="M1736" s="20" t="str">
        <f t="shared" si="55"/>
        <v>N/A</v>
      </c>
    </row>
    <row r="1737" spans="1:13">
      <c r="A1737" s="18" t="s">
        <v>22</v>
      </c>
      <c r="B1737" s="18" t="s">
        <v>365</v>
      </c>
      <c r="C1737" s="18" t="s">
        <v>295</v>
      </c>
      <c r="D1737" s="18" t="s">
        <v>140</v>
      </c>
      <c r="E1737" s="18">
        <v>-2362.31</v>
      </c>
      <c r="F1737" s="18">
        <v>0</v>
      </c>
      <c r="G1737" s="18">
        <v>1660.9</v>
      </c>
      <c r="H1737" s="18">
        <v>-4023.21</v>
      </c>
      <c r="L1737" s="20" t="str">
        <f t="shared" si="54"/>
        <v>N/A</v>
      </c>
      <c r="M1737" s="20" t="str">
        <f t="shared" si="55"/>
        <v>N/A</v>
      </c>
    </row>
    <row r="1738" spans="1:13">
      <c r="A1738" s="18" t="s">
        <v>22</v>
      </c>
      <c r="B1738" s="18" t="s">
        <v>365</v>
      </c>
      <c r="C1738" s="18" t="s">
        <v>295</v>
      </c>
      <c r="D1738" s="18" t="s">
        <v>143</v>
      </c>
      <c r="E1738" s="18">
        <v>173862.62</v>
      </c>
      <c r="F1738" s="18">
        <v>0</v>
      </c>
      <c r="G1738" s="18">
        <v>0</v>
      </c>
      <c r="H1738" s="18">
        <v>173862.62</v>
      </c>
      <c r="L1738" s="20" t="str">
        <f t="shared" si="54"/>
        <v>N/A</v>
      </c>
      <c r="M1738" s="20" t="str">
        <f t="shared" si="55"/>
        <v>N/A</v>
      </c>
    </row>
    <row r="1739" spans="1:13">
      <c r="A1739" s="18" t="s">
        <v>22</v>
      </c>
      <c r="B1739" s="18" t="s">
        <v>365</v>
      </c>
      <c r="C1739" s="18" t="s">
        <v>295</v>
      </c>
      <c r="D1739" s="18" t="s">
        <v>146</v>
      </c>
      <c r="E1739" s="18">
        <v>22031.59</v>
      </c>
      <c r="F1739" s="18">
        <v>0</v>
      </c>
      <c r="G1739" s="18">
        <v>0</v>
      </c>
      <c r="H1739" s="18">
        <v>22031.59</v>
      </c>
      <c r="L1739" s="20" t="str">
        <f t="shared" si="54"/>
        <v>N/A</v>
      </c>
      <c r="M1739" s="20" t="str">
        <f t="shared" si="55"/>
        <v>N/A</v>
      </c>
    </row>
    <row r="1740" spans="1:13">
      <c r="A1740" s="18" t="s">
        <v>22</v>
      </c>
      <c r="B1740" s="18" t="s">
        <v>365</v>
      </c>
      <c r="C1740" s="18" t="s">
        <v>295</v>
      </c>
      <c r="D1740" s="18" t="s">
        <v>147</v>
      </c>
      <c r="E1740" s="18">
        <v>-192084.9</v>
      </c>
      <c r="F1740" s="18">
        <v>0</v>
      </c>
      <c r="G1740" s="18">
        <v>0</v>
      </c>
      <c r="H1740" s="18">
        <v>-192084.9</v>
      </c>
      <c r="L1740" s="20" t="str">
        <f t="shared" si="54"/>
        <v>N/A</v>
      </c>
      <c r="M1740" s="20" t="str">
        <f t="shared" si="55"/>
        <v>N/A</v>
      </c>
    </row>
    <row r="1741" spans="1:13">
      <c r="A1741" s="18" t="s">
        <v>22</v>
      </c>
      <c r="B1741" s="18" t="s">
        <v>365</v>
      </c>
      <c r="C1741" s="18" t="s">
        <v>295</v>
      </c>
      <c r="D1741" s="18" t="s">
        <v>153</v>
      </c>
      <c r="E1741" s="18">
        <v>0</v>
      </c>
      <c r="F1741" s="18">
        <v>0</v>
      </c>
      <c r="G1741" s="18">
        <v>0</v>
      </c>
      <c r="H1741" s="18">
        <v>0</v>
      </c>
      <c r="L1741" s="20" t="str">
        <f t="shared" si="54"/>
        <v>N/A</v>
      </c>
      <c r="M1741" s="20" t="str">
        <f t="shared" si="55"/>
        <v>N/A</v>
      </c>
    </row>
    <row r="1742" spans="1:13">
      <c r="A1742" s="18" t="s">
        <v>22</v>
      </c>
      <c r="B1742" s="18" t="s">
        <v>365</v>
      </c>
      <c r="C1742" s="18" t="s">
        <v>295</v>
      </c>
      <c r="D1742" s="18" t="s">
        <v>155</v>
      </c>
      <c r="E1742" s="18">
        <v>0</v>
      </c>
      <c r="F1742" s="18">
        <v>0</v>
      </c>
      <c r="G1742" s="18">
        <v>0</v>
      </c>
      <c r="H1742" s="18">
        <v>0</v>
      </c>
      <c r="L1742" s="20" t="str">
        <f t="shared" si="54"/>
        <v>N/A</v>
      </c>
      <c r="M1742" s="20" t="str">
        <f t="shared" si="55"/>
        <v>N/A</v>
      </c>
    </row>
    <row r="1743" spans="1:13">
      <c r="A1743" s="18" t="s">
        <v>22</v>
      </c>
      <c r="B1743" s="18" t="s">
        <v>365</v>
      </c>
      <c r="C1743" s="18" t="s">
        <v>295</v>
      </c>
      <c r="D1743" s="18" t="s">
        <v>156</v>
      </c>
      <c r="E1743" s="18">
        <v>-8.6999999999999993</v>
      </c>
      <c r="F1743" s="18">
        <v>0</v>
      </c>
      <c r="G1743" s="18">
        <v>0.25</v>
      </c>
      <c r="H1743" s="18">
        <v>-8.9499999999999993</v>
      </c>
      <c r="L1743" s="20" t="str">
        <f t="shared" si="54"/>
        <v>N/A</v>
      </c>
      <c r="M1743" s="20" t="str">
        <f t="shared" si="55"/>
        <v>N/A</v>
      </c>
    </row>
    <row r="1744" spans="1:13">
      <c r="A1744" s="18" t="s">
        <v>22</v>
      </c>
      <c r="B1744" s="18" t="s">
        <v>365</v>
      </c>
      <c r="C1744" s="18" t="s">
        <v>295</v>
      </c>
      <c r="D1744" s="18" t="s">
        <v>157</v>
      </c>
      <c r="E1744" s="18">
        <v>-81540.759999999995</v>
      </c>
      <c r="F1744" s="18">
        <v>0</v>
      </c>
      <c r="G1744" s="18">
        <v>11888.83</v>
      </c>
      <c r="H1744" s="18">
        <v>-93429.59</v>
      </c>
      <c r="L1744" s="20" t="str">
        <f t="shared" si="54"/>
        <v>N/A</v>
      </c>
      <c r="M1744" s="20" t="str">
        <f t="shared" si="55"/>
        <v>N/A</v>
      </c>
    </row>
    <row r="1745" spans="1:13">
      <c r="A1745" s="18" t="s">
        <v>22</v>
      </c>
      <c r="B1745" s="18" t="s">
        <v>365</v>
      </c>
      <c r="C1745" s="18" t="s">
        <v>295</v>
      </c>
      <c r="D1745" s="18" t="s">
        <v>145</v>
      </c>
      <c r="E1745" s="18">
        <v>0</v>
      </c>
      <c r="F1745" s="18">
        <v>57.05</v>
      </c>
      <c r="G1745" s="18">
        <v>0</v>
      </c>
      <c r="H1745" s="18">
        <v>57.05</v>
      </c>
      <c r="L1745" s="20" t="str">
        <f t="shared" si="54"/>
        <v>N/A</v>
      </c>
      <c r="M1745" s="20" t="str">
        <f t="shared" si="55"/>
        <v>N/A</v>
      </c>
    </row>
    <row r="1746" spans="1:13">
      <c r="A1746" s="18" t="s">
        <v>22</v>
      </c>
      <c r="B1746" s="18" t="s">
        <v>365</v>
      </c>
      <c r="C1746" s="18" t="s">
        <v>295</v>
      </c>
      <c r="D1746" s="18" t="s">
        <v>96</v>
      </c>
      <c r="E1746" s="18">
        <v>1.66</v>
      </c>
      <c r="F1746" s="18">
        <v>0.83</v>
      </c>
      <c r="G1746" s="18">
        <v>0</v>
      </c>
      <c r="H1746" s="18">
        <v>2.4900000000000002</v>
      </c>
      <c r="L1746" s="20" t="str">
        <f t="shared" si="54"/>
        <v>N/A</v>
      </c>
      <c r="M1746" s="20" t="str">
        <f t="shared" si="55"/>
        <v>N/A</v>
      </c>
    </row>
    <row r="1747" spans="1:13">
      <c r="A1747" s="18" t="s">
        <v>22</v>
      </c>
      <c r="B1747" s="18" t="s">
        <v>365</v>
      </c>
      <c r="C1747" s="18" t="s">
        <v>295</v>
      </c>
      <c r="D1747" s="18" t="s">
        <v>104</v>
      </c>
      <c r="E1747" s="18">
        <v>3.79</v>
      </c>
      <c r="F1747" s="18">
        <v>7.59</v>
      </c>
      <c r="G1747" s="18">
        <v>0</v>
      </c>
      <c r="H1747" s="18">
        <v>11.38</v>
      </c>
      <c r="L1747" s="20" t="str">
        <f t="shared" si="54"/>
        <v>N/A</v>
      </c>
      <c r="M1747" s="20" t="str">
        <f t="shared" si="55"/>
        <v>N/A</v>
      </c>
    </row>
    <row r="1748" spans="1:13">
      <c r="A1748" s="18" t="s">
        <v>22</v>
      </c>
      <c r="B1748" s="18" t="s">
        <v>365</v>
      </c>
      <c r="C1748" s="18" t="s">
        <v>295</v>
      </c>
      <c r="D1748" s="18" t="s">
        <v>359</v>
      </c>
      <c r="E1748" s="18">
        <v>178.91</v>
      </c>
      <c r="F1748" s="18">
        <v>1.69</v>
      </c>
      <c r="G1748" s="18">
        <v>0</v>
      </c>
      <c r="H1748" s="18">
        <v>180.6</v>
      </c>
      <c r="L1748" s="20" t="str">
        <f t="shared" si="54"/>
        <v>N/A</v>
      </c>
      <c r="M1748" s="20" t="str">
        <f t="shared" si="55"/>
        <v>N/A</v>
      </c>
    </row>
    <row r="1749" spans="1:13">
      <c r="A1749" s="18" t="s">
        <v>22</v>
      </c>
      <c r="B1749" s="18" t="s">
        <v>365</v>
      </c>
      <c r="C1749" s="18" t="s">
        <v>295</v>
      </c>
      <c r="D1749" s="18" t="s">
        <v>113</v>
      </c>
      <c r="E1749" s="18">
        <v>243.54</v>
      </c>
      <c r="F1749" s="18">
        <v>66.7</v>
      </c>
      <c r="G1749" s="18">
        <v>0</v>
      </c>
      <c r="H1749" s="18">
        <v>310.24</v>
      </c>
      <c r="L1749" s="20" t="str">
        <f t="shared" si="54"/>
        <v>N/A</v>
      </c>
      <c r="M1749" s="20" t="str">
        <f t="shared" si="55"/>
        <v>N/A</v>
      </c>
    </row>
    <row r="1750" spans="1:13">
      <c r="A1750" s="18" t="s">
        <v>22</v>
      </c>
      <c r="B1750" s="18" t="s">
        <v>365</v>
      </c>
      <c r="C1750" s="18" t="s">
        <v>295</v>
      </c>
      <c r="D1750" s="18" t="s">
        <v>150</v>
      </c>
      <c r="E1750" s="18">
        <v>75.86</v>
      </c>
      <c r="F1750" s="18">
        <v>4.58</v>
      </c>
      <c r="G1750" s="18">
        <v>0</v>
      </c>
      <c r="H1750" s="18">
        <v>80.44</v>
      </c>
      <c r="L1750" s="20" t="str">
        <f t="shared" si="54"/>
        <v>N/A</v>
      </c>
      <c r="M1750" s="20" t="str">
        <f t="shared" si="55"/>
        <v>N/A</v>
      </c>
    </row>
    <row r="1751" spans="1:13">
      <c r="A1751" s="18" t="s">
        <v>22</v>
      </c>
      <c r="B1751" s="18" t="s">
        <v>365</v>
      </c>
      <c r="C1751" s="18" t="s">
        <v>295</v>
      </c>
      <c r="D1751" s="18" t="s">
        <v>120</v>
      </c>
      <c r="E1751" s="18">
        <v>0.11</v>
      </c>
      <c r="F1751" s="18">
        <v>0</v>
      </c>
      <c r="G1751" s="18">
        <v>0</v>
      </c>
      <c r="H1751" s="18">
        <v>0.11</v>
      </c>
      <c r="L1751" s="20" t="str">
        <f t="shared" si="54"/>
        <v>N/A</v>
      </c>
      <c r="M1751" s="20" t="str">
        <f t="shared" si="55"/>
        <v>N/A</v>
      </c>
    </row>
    <row r="1752" spans="1:13">
      <c r="A1752" s="18" t="s">
        <v>22</v>
      </c>
      <c r="B1752" s="18" t="s">
        <v>365</v>
      </c>
      <c r="C1752" s="18" t="s">
        <v>295</v>
      </c>
      <c r="D1752" s="18" t="s">
        <v>123</v>
      </c>
      <c r="E1752" s="18">
        <v>71.03</v>
      </c>
      <c r="F1752" s="18">
        <v>36.159999999999997</v>
      </c>
      <c r="G1752" s="18">
        <v>0</v>
      </c>
      <c r="H1752" s="18">
        <v>107.19</v>
      </c>
      <c r="L1752" s="20" t="str">
        <f t="shared" si="54"/>
        <v>N/A</v>
      </c>
      <c r="M1752" s="20" t="str">
        <f t="shared" si="55"/>
        <v>N/A</v>
      </c>
    </row>
    <row r="1753" spans="1:13">
      <c r="A1753" s="18" t="s">
        <v>22</v>
      </c>
      <c r="B1753" s="18" t="s">
        <v>365</v>
      </c>
      <c r="C1753" s="18" t="s">
        <v>295</v>
      </c>
      <c r="D1753" s="18" t="s">
        <v>126</v>
      </c>
      <c r="E1753" s="18">
        <v>10.58</v>
      </c>
      <c r="F1753" s="18">
        <v>2.04</v>
      </c>
      <c r="G1753" s="18">
        <v>0</v>
      </c>
      <c r="H1753" s="18">
        <v>12.62</v>
      </c>
      <c r="L1753" s="20" t="str">
        <f t="shared" si="54"/>
        <v>N/A</v>
      </c>
      <c r="M1753" s="20" t="str">
        <f t="shared" si="55"/>
        <v>N/A</v>
      </c>
    </row>
    <row r="1754" spans="1:13">
      <c r="A1754" s="18" t="s">
        <v>22</v>
      </c>
      <c r="B1754" s="18" t="s">
        <v>365</v>
      </c>
      <c r="C1754" s="18" t="s">
        <v>295</v>
      </c>
      <c r="D1754" s="18" t="s">
        <v>129</v>
      </c>
      <c r="E1754" s="18">
        <v>9.8800000000000008</v>
      </c>
      <c r="F1754" s="18">
        <v>2.81</v>
      </c>
      <c r="G1754" s="18">
        <v>0</v>
      </c>
      <c r="H1754" s="18">
        <v>12.69</v>
      </c>
      <c r="L1754" s="20" t="str">
        <f t="shared" si="54"/>
        <v>N/A</v>
      </c>
      <c r="M1754" s="20" t="str">
        <f t="shared" si="55"/>
        <v>N/A</v>
      </c>
    </row>
    <row r="1755" spans="1:13">
      <c r="A1755" s="18" t="s">
        <v>22</v>
      </c>
      <c r="B1755" s="18" t="s">
        <v>365</v>
      </c>
      <c r="C1755" s="18" t="s">
        <v>295</v>
      </c>
      <c r="D1755" s="18" t="s">
        <v>131</v>
      </c>
      <c r="E1755" s="18">
        <v>25.09</v>
      </c>
      <c r="F1755" s="18">
        <v>17.91</v>
      </c>
      <c r="G1755" s="18">
        <v>0</v>
      </c>
      <c r="H1755" s="18">
        <v>43</v>
      </c>
      <c r="L1755" s="20" t="str">
        <f t="shared" si="54"/>
        <v>N/A</v>
      </c>
      <c r="M1755" s="20" t="str">
        <f t="shared" si="55"/>
        <v>N/A</v>
      </c>
    </row>
    <row r="1756" spans="1:13">
      <c r="A1756" s="18" t="s">
        <v>22</v>
      </c>
      <c r="B1756" s="18" t="s">
        <v>365</v>
      </c>
      <c r="C1756" s="18" t="s">
        <v>295</v>
      </c>
      <c r="D1756" s="18" t="s">
        <v>162</v>
      </c>
      <c r="E1756" s="18">
        <v>0</v>
      </c>
      <c r="F1756" s="18">
        <v>0</v>
      </c>
      <c r="G1756" s="18">
        <v>0</v>
      </c>
      <c r="H1756" s="18">
        <v>0</v>
      </c>
      <c r="L1756" s="20" t="str">
        <f t="shared" si="54"/>
        <v>N/A</v>
      </c>
      <c r="M1756" s="20" t="str">
        <f t="shared" si="55"/>
        <v>N/A</v>
      </c>
    </row>
    <row r="1757" spans="1:13">
      <c r="A1757" s="18" t="s">
        <v>22</v>
      </c>
      <c r="B1757" s="18" t="s">
        <v>365</v>
      </c>
      <c r="C1757" s="18" t="s">
        <v>295</v>
      </c>
      <c r="D1757" s="18" t="s">
        <v>134</v>
      </c>
      <c r="E1757" s="18">
        <v>1.8</v>
      </c>
      <c r="F1757" s="18">
        <v>2.25</v>
      </c>
      <c r="G1757" s="18">
        <v>0</v>
      </c>
      <c r="H1757" s="18">
        <v>4.05</v>
      </c>
      <c r="L1757" s="20" t="str">
        <f t="shared" si="54"/>
        <v>N/A</v>
      </c>
      <c r="M1757" s="20" t="str">
        <f t="shared" si="55"/>
        <v>N/A</v>
      </c>
    </row>
    <row r="1758" spans="1:13">
      <c r="A1758" s="18" t="s">
        <v>22</v>
      </c>
      <c r="B1758" s="18" t="s">
        <v>365</v>
      </c>
      <c r="C1758" s="18" t="s">
        <v>295</v>
      </c>
      <c r="D1758" s="18" t="s">
        <v>139</v>
      </c>
      <c r="E1758" s="18">
        <v>7.42</v>
      </c>
      <c r="F1758" s="18">
        <v>3.71</v>
      </c>
      <c r="G1758" s="18">
        <v>0</v>
      </c>
      <c r="H1758" s="18">
        <v>11.13</v>
      </c>
      <c r="L1758" s="20" t="str">
        <f t="shared" si="54"/>
        <v>N/A</v>
      </c>
      <c r="M1758" s="20" t="str">
        <f t="shared" si="55"/>
        <v>N/A</v>
      </c>
    </row>
    <row r="1759" spans="1:13">
      <c r="A1759" s="18" t="s">
        <v>22</v>
      </c>
      <c r="B1759" s="18" t="s">
        <v>365</v>
      </c>
      <c r="C1759" s="18" t="s">
        <v>295</v>
      </c>
      <c r="D1759" s="18" t="s">
        <v>142</v>
      </c>
      <c r="E1759" s="18">
        <v>6.13</v>
      </c>
      <c r="F1759" s="18">
        <v>3.62</v>
      </c>
      <c r="G1759" s="18">
        <v>0</v>
      </c>
      <c r="H1759" s="18">
        <v>9.75</v>
      </c>
      <c r="L1759" s="20" t="str">
        <f t="shared" si="54"/>
        <v>N/A</v>
      </c>
      <c r="M1759" s="20" t="str">
        <f t="shared" si="55"/>
        <v>N/A</v>
      </c>
    </row>
    <row r="1760" spans="1:13">
      <c r="A1760" s="18" t="s">
        <v>22</v>
      </c>
      <c r="B1760" s="18" t="s">
        <v>365</v>
      </c>
      <c r="C1760" s="18" t="s">
        <v>295</v>
      </c>
      <c r="D1760" s="18" t="s">
        <v>163</v>
      </c>
      <c r="E1760" s="18">
        <v>0</v>
      </c>
      <c r="F1760" s="18">
        <v>0</v>
      </c>
      <c r="G1760" s="18">
        <v>0</v>
      </c>
      <c r="H1760" s="18">
        <v>0</v>
      </c>
      <c r="L1760" s="20" t="str">
        <f t="shared" si="54"/>
        <v>N/A</v>
      </c>
      <c r="M1760" s="20" t="str">
        <f t="shared" si="55"/>
        <v>N/A</v>
      </c>
    </row>
    <row r="1761" spans="12:13">
      <c r="L1761" s="20" t="str">
        <f t="shared" si="54"/>
        <v>N/A</v>
      </c>
      <c r="M1761" s="20" t="str">
        <f t="shared" si="55"/>
        <v>N/A</v>
      </c>
    </row>
    <row r="1762" spans="12:13">
      <c r="L1762" s="20" t="str">
        <f t="shared" si="54"/>
        <v>N/A</v>
      </c>
      <c r="M1762" s="20" t="str">
        <f t="shared" si="55"/>
        <v>N/A</v>
      </c>
    </row>
    <row r="1763" spans="12:13">
      <c r="L1763" s="20" t="str">
        <f t="shared" si="54"/>
        <v>N/A</v>
      </c>
      <c r="M1763" s="20" t="str">
        <f t="shared" si="55"/>
        <v>N/A</v>
      </c>
    </row>
    <row r="1764" spans="12:13">
      <c r="L1764" s="20" t="str">
        <f t="shared" si="54"/>
        <v>N/A</v>
      </c>
      <c r="M1764" s="20" t="str">
        <f t="shared" si="55"/>
        <v>N/A</v>
      </c>
    </row>
    <row r="1765" spans="12:13">
      <c r="L1765" s="20" t="str">
        <f t="shared" si="54"/>
        <v>N/A</v>
      </c>
      <c r="M1765" s="20" t="str">
        <f t="shared" si="55"/>
        <v>N/A</v>
      </c>
    </row>
    <row r="1766" spans="12:13">
      <c r="L1766" s="20" t="str">
        <f t="shared" si="54"/>
        <v>N/A</v>
      </c>
      <c r="M1766" s="20" t="str">
        <f t="shared" si="55"/>
        <v>N/A</v>
      </c>
    </row>
    <row r="1767" spans="12:13">
      <c r="L1767" s="20" t="str">
        <f t="shared" si="54"/>
        <v>N/A</v>
      </c>
      <c r="M1767" s="20" t="str">
        <f t="shared" si="55"/>
        <v>N/A</v>
      </c>
    </row>
    <row r="1768" spans="12:13">
      <c r="L1768" s="20" t="str">
        <f t="shared" si="54"/>
        <v>N/A</v>
      </c>
      <c r="M1768" s="20" t="str">
        <f t="shared" si="55"/>
        <v>N/A</v>
      </c>
    </row>
    <row r="1769" spans="12:13">
      <c r="L1769" s="20" t="str">
        <f t="shared" si="54"/>
        <v>N/A</v>
      </c>
      <c r="M1769" s="20" t="str">
        <f t="shared" si="55"/>
        <v>N/A</v>
      </c>
    </row>
    <row r="1770" spans="12:13">
      <c r="L1770" s="20" t="str">
        <f t="shared" si="54"/>
        <v>N/A</v>
      </c>
      <c r="M1770" s="20" t="str">
        <f t="shared" si="55"/>
        <v>N/A</v>
      </c>
    </row>
    <row r="1771" spans="12:13">
      <c r="L1771" s="20" t="str">
        <f t="shared" si="54"/>
        <v>N/A</v>
      </c>
      <c r="M1771" s="20" t="str">
        <f t="shared" si="55"/>
        <v>N/A</v>
      </c>
    </row>
    <row r="1772" spans="12:13">
      <c r="L1772" s="20" t="str">
        <f t="shared" si="54"/>
        <v>N/A</v>
      </c>
      <c r="M1772" s="20" t="str">
        <f t="shared" si="55"/>
        <v>N/A</v>
      </c>
    </row>
    <row r="1773" spans="12:13">
      <c r="L1773" s="20" t="str">
        <f t="shared" si="54"/>
        <v>N/A</v>
      </c>
      <c r="M1773" s="20" t="str">
        <f t="shared" si="55"/>
        <v>N/A</v>
      </c>
    </row>
    <row r="1774" spans="12:13">
      <c r="L1774" s="20" t="str">
        <f t="shared" si="54"/>
        <v>N/A</v>
      </c>
      <c r="M1774" s="20" t="str">
        <f t="shared" si="55"/>
        <v>N/A</v>
      </c>
    </row>
    <row r="1775" spans="12:13">
      <c r="L1775" s="20" t="str">
        <f t="shared" si="54"/>
        <v>N/A</v>
      </c>
      <c r="M1775" s="20" t="str">
        <f t="shared" si="55"/>
        <v>N/A</v>
      </c>
    </row>
    <row r="1776" spans="12:13">
      <c r="L1776" s="20" t="str">
        <f t="shared" si="54"/>
        <v>N/A</v>
      </c>
      <c r="M1776" s="20" t="str">
        <f t="shared" si="55"/>
        <v>N/A</v>
      </c>
    </row>
    <row r="1777" spans="12:13">
      <c r="L1777" s="20" t="str">
        <f t="shared" si="54"/>
        <v>N/A</v>
      </c>
      <c r="M1777" s="20" t="str">
        <f t="shared" si="55"/>
        <v>N/A</v>
      </c>
    </row>
    <row r="1778" spans="12:13">
      <c r="L1778" s="20" t="str">
        <f t="shared" si="54"/>
        <v>N/A</v>
      </c>
      <c r="M1778" s="20" t="str">
        <f t="shared" si="55"/>
        <v>N/A</v>
      </c>
    </row>
    <row r="1779" spans="12:13">
      <c r="L1779" s="20" t="str">
        <f t="shared" si="54"/>
        <v>N/A</v>
      </c>
      <c r="M1779" s="20" t="str">
        <f t="shared" si="55"/>
        <v>N/A</v>
      </c>
    </row>
    <row r="1780" spans="12:13">
      <c r="L1780" s="20" t="str">
        <f t="shared" si="54"/>
        <v>N/A</v>
      </c>
      <c r="M1780" s="20" t="str">
        <f t="shared" si="55"/>
        <v>N/A</v>
      </c>
    </row>
    <row r="1781" spans="12:13">
      <c r="L1781" s="20" t="str">
        <f t="shared" si="54"/>
        <v>N/A</v>
      </c>
      <c r="M1781" s="20" t="str">
        <f t="shared" si="55"/>
        <v>N/A</v>
      </c>
    </row>
    <row r="1782" spans="12:13">
      <c r="L1782" s="20" t="str">
        <f t="shared" si="54"/>
        <v>N/A</v>
      </c>
      <c r="M1782" s="20" t="str">
        <f t="shared" si="55"/>
        <v>N/A</v>
      </c>
    </row>
    <row r="1783" spans="12:13">
      <c r="L1783" s="20" t="str">
        <f t="shared" si="54"/>
        <v>N/A</v>
      </c>
      <c r="M1783" s="20" t="str">
        <f t="shared" si="55"/>
        <v>N/A</v>
      </c>
    </row>
    <row r="1784" spans="12:13">
      <c r="L1784" s="20" t="str">
        <f t="shared" si="54"/>
        <v>N/A</v>
      </c>
      <c r="M1784" s="20" t="str">
        <f t="shared" si="55"/>
        <v>N/A</v>
      </c>
    </row>
    <row r="1785" spans="12:13">
      <c r="L1785" s="20" t="str">
        <f t="shared" si="54"/>
        <v>N/A</v>
      </c>
      <c r="M1785" s="20" t="str">
        <f t="shared" si="55"/>
        <v>N/A</v>
      </c>
    </row>
    <row r="1786" spans="12:13">
      <c r="L1786" s="20" t="str">
        <f t="shared" si="54"/>
        <v>N/A</v>
      </c>
      <c r="M1786" s="20" t="str">
        <f t="shared" si="55"/>
        <v>N/A</v>
      </c>
    </row>
    <row r="1787" spans="12:13">
      <c r="L1787" s="20" t="str">
        <f t="shared" si="54"/>
        <v>N/A</v>
      </c>
      <c r="M1787" s="20" t="str">
        <f t="shared" si="55"/>
        <v>N/A</v>
      </c>
    </row>
    <row r="1788" spans="12:13">
      <c r="L1788" s="20" t="str">
        <f t="shared" si="54"/>
        <v>N/A</v>
      </c>
      <c r="M1788" s="20" t="str">
        <f t="shared" si="55"/>
        <v>N/A</v>
      </c>
    </row>
    <row r="1789" spans="12:13">
      <c r="L1789" s="20" t="str">
        <f t="shared" si="54"/>
        <v>N/A</v>
      </c>
      <c r="M1789" s="20" t="str">
        <f t="shared" si="55"/>
        <v>N/A</v>
      </c>
    </row>
    <row r="1790" spans="12:13">
      <c r="L1790" s="20" t="str">
        <f t="shared" si="54"/>
        <v>N/A</v>
      </c>
      <c r="M1790" s="20" t="str">
        <f t="shared" si="55"/>
        <v>N/A</v>
      </c>
    </row>
    <row r="1791" spans="12:13">
      <c r="L1791" s="20" t="str">
        <f t="shared" si="54"/>
        <v>N/A</v>
      </c>
      <c r="M1791" s="20" t="str">
        <f t="shared" si="55"/>
        <v>N/A</v>
      </c>
    </row>
    <row r="1792" spans="12:13">
      <c r="L1792" s="20" t="str">
        <f t="shared" si="54"/>
        <v>N/A</v>
      </c>
      <c r="M1792" s="20" t="str">
        <f t="shared" si="55"/>
        <v>N/A</v>
      </c>
    </row>
    <row r="1793" spans="12:13">
      <c r="L1793" s="20" t="str">
        <f t="shared" si="54"/>
        <v>N/A</v>
      </c>
      <c r="M1793" s="20" t="str">
        <f t="shared" si="55"/>
        <v>N/A</v>
      </c>
    </row>
    <row r="1794" spans="12:13">
      <c r="L1794" s="20" t="str">
        <f t="shared" si="54"/>
        <v>N/A</v>
      </c>
      <c r="M1794" s="20" t="str">
        <f t="shared" si="55"/>
        <v>N/A</v>
      </c>
    </row>
    <row r="1795" spans="12:13">
      <c r="L1795" s="20" t="str">
        <f t="shared" ref="L1795:L1858" si="56">+IF(LEFT(D1795,1)="1","Asset","N/A")</f>
        <v>N/A</v>
      </c>
      <c r="M1795" s="20" t="str">
        <f t="shared" ref="M1795:M1858" si="57">+IF(L1795="asset",IF(H1795&lt;0,"Provide Comment","okay"),"N/A")</f>
        <v>N/A</v>
      </c>
    </row>
    <row r="1796" spans="12:13">
      <c r="L1796" s="20" t="str">
        <f t="shared" si="56"/>
        <v>N/A</v>
      </c>
      <c r="M1796" s="20" t="str">
        <f t="shared" si="57"/>
        <v>N/A</v>
      </c>
    </row>
    <row r="1797" spans="12:13">
      <c r="L1797" s="20" t="str">
        <f t="shared" si="56"/>
        <v>N/A</v>
      </c>
      <c r="M1797" s="20" t="str">
        <f t="shared" si="57"/>
        <v>N/A</v>
      </c>
    </row>
    <row r="1798" spans="12:13">
      <c r="L1798" s="20" t="str">
        <f t="shared" si="56"/>
        <v>N/A</v>
      </c>
      <c r="M1798" s="20" t="str">
        <f t="shared" si="57"/>
        <v>N/A</v>
      </c>
    </row>
    <row r="1799" spans="12:13">
      <c r="L1799" s="20" t="str">
        <f t="shared" si="56"/>
        <v>N/A</v>
      </c>
      <c r="M1799" s="20" t="str">
        <f t="shared" si="57"/>
        <v>N/A</v>
      </c>
    </row>
    <row r="1800" spans="12:13">
      <c r="L1800" s="20" t="str">
        <f t="shared" si="56"/>
        <v>N/A</v>
      </c>
      <c r="M1800" s="20" t="str">
        <f t="shared" si="57"/>
        <v>N/A</v>
      </c>
    </row>
    <row r="1801" spans="12:13">
      <c r="L1801" s="20" t="str">
        <f t="shared" si="56"/>
        <v>N/A</v>
      </c>
      <c r="M1801" s="20" t="str">
        <f t="shared" si="57"/>
        <v>N/A</v>
      </c>
    </row>
    <row r="1802" spans="12:13">
      <c r="L1802" s="20" t="str">
        <f t="shared" si="56"/>
        <v>N/A</v>
      </c>
      <c r="M1802" s="20" t="str">
        <f t="shared" si="57"/>
        <v>N/A</v>
      </c>
    </row>
    <row r="1803" spans="12:13">
      <c r="L1803" s="20" t="str">
        <f t="shared" si="56"/>
        <v>N/A</v>
      </c>
      <c r="M1803" s="20" t="str">
        <f t="shared" si="57"/>
        <v>N/A</v>
      </c>
    </row>
    <row r="1804" spans="12:13">
      <c r="L1804" s="20" t="str">
        <f t="shared" si="56"/>
        <v>N/A</v>
      </c>
      <c r="M1804" s="20" t="str">
        <f t="shared" si="57"/>
        <v>N/A</v>
      </c>
    </row>
    <row r="1805" spans="12:13">
      <c r="L1805" s="20" t="str">
        <f t="shared" si="56"/>
        <v>N/A</v>
      </c>
      <c r="M1805" s="20" t="str">
        <f t="shared" si="57"/>
        <v>N/A</v>
      </c>
    </row>
    <row r="1806" spans="12:13">
      <c r="L1806" s="20" t="str">
        <f t="shared" si="56"/>
        <v>N/A</v>
      </c>
      <c r="M1806" s="20" t="str">
        <f t="shared" si="57"/>
        <v>N/A</v>
      </c>
    </row>
    <row r="1807" spans="12:13">
      <c r="L1807" s="20" t="str">
        <f t="shared" si="56"/>
        <v>N/A</v>
      </c>
      <c r="M1807" s="20" t="str">
        <f t="shared" si="57"/>
        <v>N/A</v>
      </c>
    </row>
    <row r="1808" spans="12:13">
      <c r="L1808" s="20" t="str">
        <f t="shared" si="56"/>
        <v>N/A</v>
      </c>
      <c r="M1808" s="20" t="str">
        <f t="shared" si="57"/>
        <v>N/A</v>
      </c>
    </row>
    <row r="1809" spans="12:13">
      <c r="L1809" s="20" t="str">
        <f t="shared" si="56"/>
        <v>N/A</v>
      </c>
      <c r="M1809" s="20" t="str">
        <f t="shared" si="57"/>
        <v>N/A</v>
      </c>
    </row>
    <row r="1810" spans="12:13">
      <c r="L1810" s="20" t="str">
        <f t="shared" si="56"/>
        <v>N/A</v>
      </c>
      <c r="M1810" s="20" t="str">
        <f t="shared" si="57"/>
        <v>N/A</v>
      </c>
    </row>
    <row r="1811" spans="12:13">
      <c r="L1811" s="20" t="str">
        <f t="shared" si="56"/>
        <v>N/A</v>
      </c>
      <c r="M1811" s="20" t="str">
        <f t="shared" si="57"/>
        <v>N/A</v>
      </c>
    </row>
    <row r="1812" spans="12:13">
      <c r="L1812" s="20" t="str">
        <f t="shared" si="56"/>
        <v>N/A</v>
      </c>
      <c r="M1812" s="20" t="str">
        <f t="shared" si="57"/>
        <v>N/A</v>
      </c>
    </row>
    <row r="1813" spans="12:13">
      <c r="L1813" s="20" t="str">
        <f t="shared" si="56"/>
        <v>N/A</v>
      </c>
      <c r="M1813" s="20" t="str">
        <f t="shared" si="57"/>
        <v>N/A</v>
      </c>
    </row>
    <row r="1814" spans="12:13">
      <c r="L1814" s="20" t="str">
        <f t="shared" si="56"/>
        <v>N/A</v>
      </c>
      <c r="M1814" s="20" t="str">
        <f t="shared" si="57"/>
        <v>N/A</v>
      </c>
    </row>
    <row r="1815" spans="12:13">
      <c r="L1815" s="20" t="str">
        <f t="shared" si="56"/>
        <v>N/A</v>
      </c>
      <c r="M1815" s="20" t="str">
        <f t="shared" si="57"/>
        <v>N/A</v>
      </c>
    </row>
    <row r="1816" spans="12:13">
      <c r="L1816" s="20" t="str">
        <f t="shared" si="56"/>
        <v>N/A</v>
      </c>
      <c r="M1816" s="20" t="str">
        <f t="shared" si="57"/>
        <v>N/A</v>
      </c>
    </row>
    <row r="1817" spans="12:13">
      <c r="L1817" s="20" t="str">
        <f t="shared" si="56"/>
        <v>N/A</v>
      </c>
      <c r="M1817" s="20" t="str">
        <f t="shared" si="57"/>
        <v>N/A</v>
      </c>
    </row>
    <row r="1818" spans="12:13">
      <c r="L1818" s="20" t="str">
        <f t="shared" si="56"/>
        <v>N/A</v>
      </c>
      <c r="M1818" s="20" t="str">
        <f t="shared" si="57"/>
        <v>N/A</v>
      </c>
    </row>
    <row r="1819" spans="12:13">
      <c r="L1819" s="20" t="str">
        <f t="shared" si="56"/>
        <v>N/A</v>
      </c>
      <c r="M1819" s="20" t="str">
        <f t="shared" si="57"/>
        <v>N/A</v>
      </c>
    </row>
    <row r="1820" spans="12:13">
      <c r="L1820" s="20" t="str">
        <f t="shared" si="56"/>
        <v>N/A</v>
      </c>
      <c r="M1820" s="20" t="str">
        <f t="shared" si="57"/>
        <v>N/A</v>
      </c>
    </row>
    <row r="1821" spans="12:13">
      <c r="L1821" s="20" t="str">
        <f t="shared" si="56"/>
        <v>N/A</v>
      </c>
      <c r="M1821" s="20" t="str">
        <f t="shared" si="57"/>
        <v>N/A</v>
      </c>
    </row>
    <row r="1822" spans="12:13">
      <c r="L1822" s="20" t="str">
        <f t="shared" si="56"/>
        <v>N/A</v>
      </c>
      <c r="M1822" s="20" t="str">
        <f t="shared" si="57"/>
        <v>N/A</v>
      </c>
    </row>
    <row r="1823" spans="12:13">
      <c r="L1823" s="20" t="str">
        <f t="shared" si="56"/>
        <v>N/A</v>
      </c>
      <c r="M1823" s="20" t="str">
        <f t="shared" si="57"/>
        <v>N/A</v>
      </c>
    </row>
    <row r="1824" spans="12:13">
      <c r="L1824" s="20" t="str">
        <f t="shared" si="56"/>
        <v>N/A</v>
      </c>
      <c r="M1824" s="20" t="str">
        <f t="shared" si="57"/>
        <v>N/A</v>
      </c>
    </row>
    <row r="1825" spans="12:13">
      <c r="L1825" s="20" t="str">
        <f t="shared" si="56"/>
        <v>N/A</v>
      </c>
      <c r="M1825" s="20" t="str">
        <f t="shared" si="57"/>
        <v>N/A</v>
      </c>
    </row>
    <row r="1826" spans="12:13">
      <c r="L1826" s="20" t="str">
        <f t="shared" si="56"/>
        <v>N/A</v>
      </c>
      <c r="M1826" s="20" t="str">
        <f t="shared" si="57"/>
        <v>N/A</v>
      </c>
    </row>
    <row r="1827" spans="12:13">
      <c r="L1827" s="20" t="str">
        <f t="shared" si="56"/>
        <v>N/A</v>
      </c>
      <c r="M1827" s="20" t="str">
        <f t="shared" si="57"/>
        <v>N/A</v>
      </c>
    </row>
    <row r="1828" spans="12:13">
      <c r="L1828" s="20" t="str">
        <f t="shared" si="56"/>
        <v>N/A</v>
      </c>
      <c r="M1828" s="20" t="str">
        <f t="shared" si="57"/>
        <v>N/A</v>
      </c>
    </row>
    <row r="1829" spans="12:13">
      <c r="L1829" s="20" t="str">
        <f t="shared" si="56"/>
        <v>N/A</v>
      </c>
      <c r="M1829" s="20" t="str">
        <f t="shared" si="57"/>
        <v>N/A</v>
      </c>
    </row>
    <row r="1830" spans="12:13">
      <c r="L1830" s="20" t="str">
        <f t="shared" si="56"/>
        <v>N/A</v>
      </c>
      <c r="M1830" s="20" t="str">
        <f t="shared" si="57"/>
        <v>N/A</v>
      </c>
    </row>
    <row r="1831" spans="12:13">
      <c r="L1831" s="20" t="str">
        <f t="shared" si="56"/>
        <v>N/A</v>
      </c>
      <c r="M1831" s="20" t="str">
        <f t="shared" si="57"/>
        <v>N/A</v>
      </c>
    </row>
    <row r="1832" spans="12:13">
      <c r="L1832" s="20" t="str">
        <f t="shared" si="56"/>
        <v>N/A</v>
      </c>
      <c r="M1832" s="20" t="str">
        <f t="shared" si="57"/>
        <v>N/A</v>
      </c>
    </row>
    <row r="1833" spans="12:13">
      <c r="L1833" s="20" t="str">
        <f t="shared" si="56"/>
        <v>N/A</v>
      </c>
      <c r="M1833" s="20" t="str">
        <f t="shared" si="57"/>
        <v>N/A</v>
      </c>
    </row>
    <row r="1834" spans="12:13">
      <c r="L1834" s="20" t="str">
        <f t="shared" si="56"/>
        <v>N/A</v>
      </c>
      <c r="M1834" s="20" t="str">
        <f t="shared" si="57"/>
        <v>N/A</v>
      </c>
    </row>
    <row r="1835" spans="12:13">
      <c r="L1835" s="20" t="str">
        <f t="shared" si="56"/>
        <v>N/A</v>
      </c>
      <c r="M1835" s="20" t="str">
        <f t="shared" si="57"/>
        <v>N/A</v>
      </c>
    </row>
    <row r="1836" spans="12:13">
      <c r="L1836" s="20" t="str">
        <f t="shared" si="56"/>
        <v>N/A</v>
      </c>
      <c r="M1836" s="20" t="str">
        <f t="shared" si="57"/>
        <v>N/A</v>
      </c>
    </row>
    <row r="1837" spans="12:13">
      <c r="L1837" s="20" t="str">
        <f t="shared" si="56"/>
        <v>N/A</v>
      </c>
      <c r="M1837" s="20" t="str">
        <f t="shared" si="57"/>
        <v>N/A</v>
      </c>
    </row>
    <row r="1838" spans="12:13">
      <c r="L1838" s="20" t="str">
        <f t="shared" si="56"/>
        <v>N/A</v>
      </c>
      <c r="M1838" s="20" t="str">
        <f t="shared" si="57"/>
        <v>N/A</v>
      </c>
    </row>
    <row r="1839" spans="12:13">
      <c r="L1839" s="20" t="str">
        <f t="shared" si="56"/>
        <v>N/A</v>
      </c>
      <c r="M1839" s="20" t="str">
        <f t="shared" si="57"/>
        <v>N/A</v>
      </c>
    </row>
    <row r="1840" spans="12:13">
      <c r="L1840" s="20" t="str">
        <f t="shared" si="56"/>
        <v>N/A</v>
      </c>
      <c r="M1840" s="20" t="str">
        <f t="shared" si="57"/>
        <v>N/A</v>
      </c>
    </row>
    <row r="1841" spans="12:13">
      <c r="L1841" s="20" t="str">
        <f t="shared" si="56"/>
        <v>N/A</v>
      </c>
      <c r="M1841" s="20" t="str">
        <f t="shared" si="57"/>
        <v>N/A</v>
      </c>
    </row>
    <row r="1842" spans="12:13">
      <c r="L1842" s="20" t="str">
        <f t="shared" si="56"/>
        <v>N/A</v>
      </c>
      <c r="M1842" s="20" t="str">
        <f t="shared" si="57"/>
        <v>N/A</v>
      </c>
    </row>
    <row r="1843" spans="12:13">
      <c r="L1843" s="20" t="str">
        <f t="shared" si="56"/>
        <v>N/A</v>
      </c>
      <c r="M1843" s="20" t="str">
        <f t="shared" si="57"/>
        <v>N/A</v>
      </c>
    </row>
    <row r="1844" spans="12:13">
      <c r="L1844" s="20" t="str">
        <f t="shared" si="56"/>
        <v>N/A</v>
      </c>
      <c r="M1844" s="20" t="str">
        <f t="shared" si="57"/>
        <v>N/A</v>
      </c>
    </row>
    <row r="1845" spans="12:13">
      <c r="L1845" s="20" t="str">
        <f t="shared" si="56"/>
        <v>N/A</v>
      </c>
      <c r="M1845" s="20" t="str">
        <f t="shared" si="57"/>
        <v>N/A</v>
      </c>
    </row>
    <row r="1846" spans="12:13">
      <c r="L1846" s="20" t="str">
        <f t="shared" si="56"/>
        <v>N/A</v>
      </c>
      <c r="M1846" s="20" t="str">
        <f t="shared" si="57"/>
        <v>N/A</v>
      </c>
    </row>
    <row r="1847" spans="12:13">
      <c r="L1847" s="20" t="str">
        <f t="shared" si="56"/>
        <v>N/A</v>
      </c>
      <c r="M1847" s="20" t="str">
        <f t="shared" si="57"/>
        <v>N/A</v>
      </c>
    </row>
    <row r="1848" spans="12:13">
      <c r="L1848" s="20" t="str">
        <f t="shared" si="56"/>
        <v>N/A</v>
      </c>
      <c r="M1848" s="20" t="str">
        <f t="shared" si="57"/>
        <v>N/A</v>
      </c>
    </row>
    <row r="1849" spans="12:13">
      <c r="L1849" s="20" t="str">
        <f t="shared" si="56"/>
        <v>N/A</v>
      </c>
      <c r="M1849" s="20" t="str">
        <f t="shared" si="57"/>
        <v>N/A</v>
      </c>
    </row>
    <row r="1850" spans="12:13">
      <c r="L1850" s="20" t="str">
        <f t="shared" si="56"/>
        <v>N/A</v>
      </c>
      <c r="M1850" s="20" t="str">
        <f t="shared" si="57"/>
        <v>N/A</v>
      </c>
    </row>
    <row r="1851" spans="12:13">
      <c r="L1851" s="20" t="str">
        <f t="shared" si="56"/>
        <v>N/A</v>
      </c>
      <c r="M1851" s="20" t="str">
        <f t="shared" si="57"/>
        <v>N/A</v>
      </c>
    </row>
    <row r="1852" spans="12:13">
      <c r="L1852" s="20" t="str">
        <f t="shared" si="56"/>
        <v>N/A</v>
      </c>
      <c r="M1852" s="20" t="str">
        <f t="shared" si="57"/>
        <v>N/A</v>
      </c>
    </row>
    <row r="1853" spans="12:13">
      <c r="L1853" s="20" t="str">
        <f t="shared" si="56"/>
        <v>N/A</v>
      </c>
      <c r="M1853" s="20" t="str">
        <f t="shared" si="57"/>
        <v>N/A</v>
      </c>
    </row>
    <row r="1854" spans="12:13">
      <c r="L1854" s="20" t="str">
        <f t="shared" si="56"/>
        <v>N/A</v>
      </c>
      <c r="M1854" s="20" t="str">
        <f t="shared" si="57"/>
        <v>N/A</v>
      </c>
    </row>
    <row r="1855" spans="12:13">
      <c r="L1855" s="20" t="str">
        <f t="shared" si="56"/>
        <v>N/A</v>
      </c>
      <c r="M1855" s="20" t="str">
        <f t="shared" si="57"/>
        <v>N/A</v>
      </c>
    </row>
    <row r="1856" spans="12:13">
      <c r="L1856" s="20" t="str">
        <f t="shared" si="56"/>
        <v>N/A</v>
      </c>
      <c r="M1856" s="20" t="str">
        <f t="shared" si="57"/>
        <v>N/A</v>
      </c>
    </row>
    <row r="1857" spans="12:13">
      <c r="L1857" s="20" t="str">
        <f t="shared" si="56"/>
        <v>N/A</v>
      </c>
      <c r="M1857" s="20" t="str">
        <f t="shared" si="57"/>
        <v>N/A</v>
      </c>
    </row>
    <row r="1858" spans="12:13">
      <c r="L1858" s="20" t="str">
        <f t="shared" si="56"/>
        <v>N/A</v>
      </c>
      <c r="M1858" s="20" t="str">
        <f t="shared" si="57"/>
        <v>N/A</v>
      </c>
    </row>
    <row r="1859" spans="12:13">
      <c r="L1859" s="20" t="str">
        <f t="shared" ref="L1859:L1922" si="58">+IF(LEFT(D1859,1)="1","Asset","N/A")</f>
        <v>N/A</v>
      </c>
      <c r="M1859" s="20" t="str">
        <f t="shared" ref="M1859:M1922" si="59">+IF(L1859="asset",IF(H1859&lt;0,"Provide Comment","okay"),"N/A")</f>
        <v>N/A</v>
      </c>
    </row>
    <row r="1860" spans="12:13">
      <c r="L1860" s="20" t="str">
        <f t="shared" si="58"/>
        <v>N/A</v>
      </c>
      <c r="M1860" s="20" t="str">
        <f t="shared" si="59"/>
        <v>N/A</v>
      </c>
    </row>
    <row r="1861" spans="12:13">
      <c r="L1861" s="20" t="str">
        <f t="shared" si="58"/>
        <v>N/A</v>
      </c>
      <c r="M1861" s="20" t="str">
        <f t="shared" si="59"/>
        <v>N/A</v>
      </c>
    </row>
    <row r="1862" spans="12:13">
      <c r="L1862" s="20" t="str">
        <f t="shared" si="58"/>
        <v>N/A</v>
      </c>
      <c r="M1862" s="20" t="str">
        <f t="shared" si="59"/>
        <v>N/A</v>
      </c>
    </row>
    <row r="1863" spans="12:13">
      <c r="L1863" s="20" t="str">
        <f t="shared" si="58"/>
        <v>N/A</v>
      </c>
      <c r="M1863" s="20" t="str">
        <f t="shared" si="59"/>
        <v>N/A</v>
      </c>
    </row>
    <row r="1864" spans="12:13">
      <c r="L1864" s="20" t="str">
        <f t="shared" si="58"/>
        <v>N/A</v>
      </c>
      <c r="M1864" s="20" t="str">
        <f t="shared" si="59"/>
        <v>N/A</v>
      </c>
    </row>
    <row r="1865" spans="12:13">
      <c r="L1865" s="20" t="str">
        <f t="shared" si="58"/>
        <v>N/A</v>
      </c>
      <c r="M1865" s="20" t="str">
        <f t="shared" si="59"/>
        <v>N/A</v>
      </c>
    </row>
    <row r="1866" spans="12:13">
      <c r="L1866" s="20" t="str">
        <f t="shared" si="58"/>
        <v>N/A</v>
      </c>
      <c r="M1866" s="20" t="str">
        <f t="shared" si="59"/>
        <v>N/A</v>
      </c>
    </row>
    <row r="1867" spans="12:13">
      <c r="L1867" s="20" t="str">
        <f t="shared" si="58"/>
        <v>N/A</v>
      </c>
      <c r="M1867" s="20" t="str">
        <f t="shared" si="59"/>
        <v>N/A</v>
      </c>
    </row>
    <row r="1868" spans="12:13">
      <c r="L1868" s="20" t="str">
        <f t="shared" si="58"/>
        <v>N/A</v>
      </c>
      <c r="M1868" s="20" t="str">
        <f t="shared" si="59"/>
        <v>N/A</v>
      </c>
    </row>
    <row r="1869" spans="12:13">
      <c r="L1869" s="20" t="str">
        <f t="shared" si="58"/>
        <v>N/A</v>
      </c>
      <c r="M1869" s="20" t="str">
        <f t="shared" si="59"/>
        <v>N/A</v>
      </c>
    </row>
    <row r="1870" spans="12:13">
      <c r="L1870" s="20" t="str">
        <f t="shared" si="58"/>
        <v>N/A</v>
      </c>
      <c r="M1870" s="20" t="str">
        <f t="shared" si="59"/>
        <v>N/A</v>
      </c>
    </row>
    <row r="1871" spans="12:13">
      <c r="L1871" s="20" t="str">
        <f t="shared" si="58"/>
        <v>N/A</v>
      </c>
      <c r="M1871" s="20" t="str">
        <f t="shared" si="59"/>
        <v>N/A</v>
      </c>
    </row>
    <row r="1872" spans="12:13">
      <c r="L1872" s="20" t="str">
        <f t="shared" si="58"/>
        <v>N/A</v>
      </c>
      <c r="M1872" s="20" t="str">
        <f t="shared" si="59"/>
        <v>N/A</v>
      </c>
    </row>
    <row r="1873" spans="12:13">
      <c r="L1873" s="20" t="str">
        <f t="shared" si="58"/>
        <v>N/A</v>
      </c>
      <c r="M1873" s="20" t="str">
        <f t="shared" si="59"/>
        <v>N/A</v>
      </c>
    </row>
    <row r="1874" spans="12:13">
      <c r="L1874" s="20" t="str">
        <f t="shared" si="58"/>
        <v>N/A</v>
      </c>
      <c r="M1874" s="20" t="str">
        <f t="shared" si="59"/>
        <v>N/A</v>
      </c>
    </row>
    <row r="1875" spans="12:13">
      <c r="L1875" s="20" t="str">
        <f t="shared" si="58"/>
        <v>N/A</v>
      </c>
      <c r="M1875" s="20" t="str">
        <f t="shared" si="59"/>
        <v>N/A</v>
      </c>
    </row>
    <row r="1876" spans="12:13">
      <c r="L1876" s="20" t="str">
        <f t="shared" si="58"/>
        <v>N/A</v>
      </c>
      <c r="M1876" s="20" t="str">
        <f t="shared" si="59"/>
        <v>N/A</v>
      </c>
    </row>
    <row r="1877" spans="12:13">
      <c r="L1877" s="20" t="str">
        <f t="shared" si="58"/>
        <v>N/A</v>
      </c>
      <c r="M1877" s="20" t="str">
        <f t="shared" si="59"/>
        <v>N/A</v>
      </c>
    </row>
    <row r="1878" spans="12:13">
      <c r="L1878" s="20" t="str">
        <f t="shared" si="58"/>
        <v>N/A</v>
      </c>
      <c r="M1878" s="20" t="str">
        <f t="shared" si="59"/>
        <v>N/A</v>
      </c>
    </row>
    <row r="1879" spans="12:13">
      <c r="L1879" s="20" t="str">
        <f t="shared" si="58"/>
        <v>N/A</v>
      </c>
      <c r="M1879" s="20" t="str">
        <f t="shared" si="59"/>
        <v>N/A</v>
      </c>
    </row>
    <row r="1880" spans="12:13">
      <c r="L1880" s="20" t="str">
        <f t="shared" si="58"/>
        <v>N/A</v>
      </c>
      <c r="M1880" s="20" t="str">
        <f t="shared" si="59"/>
        <v>N/A</v>
      </c>
    </row>
    <row r="1881" spans="12:13">
      <c r="L1881" s="20" t="str">
        <f t="shared" si="58"/>
        <v>N/A</v>
      </c>
      <c r="M1881" s="20" t="str">
        <f t="shared" si="59"/>
        <v>N/A</v>
      </c>
    </row>
    <row r="1882" spans="12:13">
      <c r="L1882" s="20" t="str">
        <f t="shared" si="58"/>
        <v>N/A</v>
      </c>
      <c r="M1882" s="20" t="str">
        <f t="shared" si="59"/>
        <v>N/A</v>
      </c>
    </row>
    <row r="1883" spans="12:13">
      <c r="L1883" s="20" t="str">
        <f t="shared" si="58"/>
        <v>N/A</v>
      </c>
      <c r="M1883" s="20" t="str">
        <f t="shared" si="59"/>
        <v>N/A</v>
      </c>
    </row>
    <row r="1884" spans="12:13">
      <c r="L1884" s="20" t="str">
        <f t="shared" si="58"/>
        <v>N/A</v>
      </c>
      <c r="M1884" s="20" t="str">
        <f t="shared" si="59"/>
        <v>N/A</v>
      </c>
    </row>
    <row r="1885" spans="12:13">
      <c r="L1885" s="20" t="str">
        <f t="shared" si="58"/>
        <v>N/A</v>
      </c>
      <c r="M1885" s="20" t="str">
        <f t="shared" si="59"/>
        <v>N/A</v>
      </c>
    </row>
    <row r="1886" spans="12:13">
      <c r="L1886" s="20" t="str">
        <f t="shared" si="58"/>
        <v>N/A</v>
      </c>
      <c r="M1886" s="20" t="str">
        <f t="shared" si="59"/>
        <v>N/A</v>
      </c>
    </row>
    <row r="1887" spans="12:13">
      <c r="L1887" s="20" t="str">
        <f t="shared" si="58"/>
        <v>N/A</v>
      </c>
      <c r="M1887" s="20" t="str">
        <f t="shared" si="59"/>
        <v>N/A</v>
      </c>
    </row>
    <row r="1888" spans="12:13">
      <c r="L1888" s="20" t="str">
        <f t="shared" si="58"/>
        <v>N/A</v>
      </c>
      <c r="M1888" s="20" t="str">
        <f t="shared" si="59"/>
        <v>N/A</v>
      </c>
    </row>
    <row r="1889" spans="12:13">
      <c r="L1889" s="20" t="str">
        <f t="shared" si="58"/>
        <v>N/A</v>
      </c>
      <c r="M1889" s="20" t="str">
        <f t="shared" si="59"/>
        <v>N/A</v>
      </c>
    </row>
    <row r="1890" spans="12:13">
      <c r="L1890" s="20" t="str">
        <f t="shared" si="58"/>
        <v>N/A</v>
      </c>
      <c r="M1890" s="20" t="str">
        <f t="shared" si="59"/>
        <v>N/A</v>
      </c>
    </row>
    <row r="1891" spans="12:13">
      <c r="L1891" s="20" t="str">
        <f t="shared" si="58"/>
        <v>N/A</v>
      </c>
      <c r="M1891" s="20" t="str">
        <f t="shared" si="59"/>
        <v>N/A</v>
      </c>
    </row>
    <row r="1892" spans="12:13">
      <c r="L1892" s="20" t="str">
        <f t="shared" si="58"/>
        <v>N/A</v>
      </c>
      <c r="M1892" s="20" t="str">
        <f t="shared" si="59"/>
        <v>N/A</v>
      </c>
    </row>
    <row r="1893" spans="12:13">
      <c r="L1893" s="20" t="str">
        <f t="shared" si="58"/>
        <v>N/A</v>
      </c>
      <c r="M1893" s="20" t="str">
        <f t="shared" si="59"/>
        <v>N/A</v>
      </c>
    </row>
    <row r="1894" spans="12:13">
      <c r="L1894" s="20" t="str">
        <f t="shared" si="58"/>
        <v>N/A</v>
      </c>
      <c r="M1894" s="20" t="str">
        <f t="shared" si="59"/>
        <v>N/A</v>
      </c>
    </row>
    <row r="1895" spans="12:13">
      <c r="L1895" s="20" t="str">
        <f t="shared" si="58"/>
        <v>N/A</v>
      </c>
      <c r="M1895" s="20" t="str">
        <f t="shared" si="59"/>
        <v>N/A</v>
      </c>
    </row>
    <row r="1896" spans="12:13">
      <c r="L1896" s="20" t="str">
        <f t="shared" si="58"/>
        <v>N/A</v>
      </c>
      <c r="M1896" s="20" t="str">
        <f t="shared" si="59"/>
        <v>N/A</v>
      </c>
    </row>
    <row r="1897" spans="12:13">
      <c r="L1897" s="20" t="str">
        <f t="shared" si="58"/>
        <v>N/A</v>
      </c>
      <c r="M1897" s="20" t="str">
        <f t="shared" si="59"/>
        <v>N/A</v>
      </c>
    </row>
    <row r="1898" spans="12:13">
      <c r="L1898" s="20" t="str">
        <f t="shared" si="58"/>
        <v>N/A</v>
      </c>
      <c r="M1898" s="20" t="str">
        <f t="shared" si="59"/>
        <v>N/A</v>
      </c>
    </row>
    <row r="1899" spans="12:13">
      <c r="L1899" s="20" t="str">
        <f t="shared" si="58"/>
        <v>N/A</v>
      </c>
      <c r="M1899" s="20" t="str">
        <f t="shared" si="59"/>
        <v>N/A</v>
      </c>
    </row>
    <row r="1900" spans="12:13">
      <c r="L1900" s="20" t="str">
        <f t="shared" si="58"/>
        <v>N/A</v>
      </c>
      <c r="M1900" s="20" t="str">
        <f t="shared" si="59"/>
        <v>N/A</v>
      </c>
    </row>
    <row r="1901" spans="12:13">
      <c r="L1901" s="20" t="str">
        <f t="shared" si="58"/>
        <v>N/A</v>
      </c>
      <c r="M1901" s="20" t="str">
        <f t="shared" si="59"/>
        <v>N/A</v>
      </c>
    </row>
    <row r="1902" spans="12:13">
      <c r="L1902" s="20" t="str">
        <f t="shared" si="58"/>
        <v>N/A</v>
      </c>
      <c r="M1902" s="20" t="str">
        <f t="shared" si="59"/>
        <v>N/A</v>
      </c>
    </row>
    <row r="1903" spans="12:13">
      <c r="L1903" s="20" t="str">
        <f t="shared" si="58"/>
        <v>N/A</v>
      </c>
      <c r="M1903" s="20" t="str">
        <f t="shared" si="59"/>
        <v>N/A</v>
      </c>
    </row>
    <row r="1904" spans="12:13">
      <c r="L1904" s="20" t="str">
        <f t="shared" si="58"/>
        <v>N/A</v>
      </c>
      <c r="M1904" s="20" t="str">
        <f t="shared" si="59"/>
        <v>N/A</v>
      </c>
    </row>
    <row r="1905" spans="12:13">
      <c r="L1905" s="20" t="str">
        <f t="shared" si="58"/>
        <v>N/A</v>
      </c>
      <c r="M1905" s="20" t="str">
        <f t="shared" si="59"/>
        <v>N/A</v>
      </c>
    </row>
    <row r="1906" spans="12:13">
      <c r="L1906" s="20" t="str">
        <f t="shared" si="58"/>
        <v>N/A</v>
      </c>
      <c r="M1906" s="20" t="str">
        <f t="shared" si="59"/>
        <v>N/A</v>
      </c>
    </row>
    <row r="1907" spans="12:13">
      <c r="L1907" s="20" t="str">
        <f t="shared" si="58"/>
        <v>N/A</v>
      </c>
      <c r="M1907" s="20" t="str">
        <f t="shared" si="59"/>
        <v>N/A</v>
      </c>
    </row>
    <row r="1908" spans="12:13">
      <c r="L1908" s="20" t="str">
        <f t="shared" si="58"/>
        <v>N/A</v>
      </c>
      <c r="M1908" s="20" t="str">
        <f t="shared" si="59"/>
        <v>N/A</v>
      </c>
    </row>
    <row r="1909" spans="12:13">
      <c r="L1909" s="20" t="str">
        <f t="shared" si="58"/>
        <v>N/A</v>
      </c>
      <c r="M1909" s="20" t="str">
        <f t="shared" si="59"/>
        <v>N/A</v>
      </c>
    </row>
    <row r="1910" spans="12:13">
      <c r="L1910" s="20" t="str">
        <f t="shared" si="58"/>
        <v>N/A</v>
      </c>
      <c r="M1910" s="20" t="str">
        <f t="shared" si="59"/>
        <v>N/A</v>
      </c>
    </row>
    <row r="1911" spans="12:13">
      <c r="L1911" s="20" t="str">
        <f t="shared" si="58"/>
        <v>N/A</v>
      </c>
      <c r="M1911" s="20" t="str">
        <f t="shared" si="59"/>
        <v>N/A</v>
      </c>
    </row>
    <row r="1912" spans="12:13">
      <c r="L1912" s="20" t="str">
        <f t="shared" si="58"/>
        <v>N/A</v>
      </c>
      <c r="M1912" s="20" t="str">
        <f t="shared" si="59"/>
        <v>N/A</v>
      </c>
    </row>
    <row r="1913" spans="12:13">
      <c r="L1913" s="20" t="str">
        <f t="shared" si="58"/>
        <v>N/A</v>
      </c>
      <c r="M1913" s="20" t="str">
        <f t="shared" si="59"/>
        <v>N/A</v>
      </c>
    </row>
    <row r="1914" spans="12:13">
      <c r="L1914" s="20" t="str">
        <f t="shared" si="58"/>
        <v>N/A</v>
      </c>
      <c r="M1914" s="20" t="str">
        <f t="shared" si="59"/>
        <v>N/A</v>
      </c>
    </row>
    <row r="1915" spans="12:13">
      <c r="L1915" s="20" t="str">
        <f t="shared" si="58"/>
        <v>N/A</v>
      </c>
      <c r="M1915" s="20" t="str">
        <f t="shared" si="59"/>
        <v>N/A</v>
      </c>
    </row>
    <row r="1916" spans="12:13">
      <c r="L1916" s="20" t="str">
        <f t="shared" si="58"/>
        <v>N/A</v>
      </c>
      <c r="M1916" s="20" t="str">
        <f t="shared" si="59"/>
        <v>N/A</v>
      </c>
    </row>
    <row r="1917" spans="12:13">
      <c r="L1917" s="20" t="str">
        <f t="shared" si="58"/>
        <v>N/A</v>
      </c>
      <c r="M1917" s="20" t="str">
        <f t="shared" si="59"/>
        <v>N/A</v>
      </c>
    </row>
    <row r="1918" spans="12:13">
      <c r="L1918" s="20" t="str">
        <f t="shared" si="58"/>
        <v>N/A</v>
      </c>
      <c r="M1918" s="20" t="str">
        <f t="shared" si="59"/>
        <v>N/A</v>
      </c>
    </row>
    <row r="1919" spans="12:13">
      <c r="L1919" s="20" t="str">
        <f t="shared" si="58"/>
        <v>N/A</v>
      </c>
      <c r="M1919" s="20" t="str">
        <f t="shared" si="59"/>
        <v>N/A</v>
      </c>
    </row>
    <row r="1920" spans="12:13">
      <c r="L1920" s="20" t="str">
        <f t="shared" si="58"/>
        <v>N/A</v>
      </c>
      <c r="M1920" s="20" t="str">
        <f t="shared" si="59"/>
        <v>N/A</v>
      </c>
    </row>
    <row r="1921" spans="12:13">
      <c r="L1921" s="20" t="str">
        <f t="shared" si="58"/>
        <v>N/A</v>
      </c>
      <c r="M1921" s="20" t="str">
        <f t="shared" si="59"/>
        <v>N/A</v>
      </c>
    </row>
    <row r="1922" spans="12:13">
      <c r="L1922" s="20" t="str">
        <f t="shared" si="58"/>
        <v>N/A</v>
      </c>
      <c r="M1922" s="20" t="str">
        <f t="shared" si="59"/>
        <v>N/A</v>
      </c>
    </row>
    <row r="1923" spans="12:13">
      <c r="L1923" s="20" t="str">
        <f t="shared" ref="L1923:L1986" si="60">+IF(LEFT(D1923,1)="1","Asset","N/A")</f>
        <v>N/A</v>
      </c>
      <c r="M1923" s="20" t="str">
        <f t="shared" ref="M1923:M1986" si="61">+IF(L1923="asset",IF(H1923&lt;0,"Provide Comment","okay"),"N/A")</f>
        <v>N/A</v>
      </c>
    </row>
    <row r="1924" spans="12:13">
      <c r="L1924" s="20" t="str">
        <f t="shared" si="60"/>
        <v>N/A</v>
      </c>
      <c r="M1924" s="20" t="str">
        <f t="shared" si="61"/>
        <v>N/A</v>
      </c>
    </row>
    <row r="1925" spans="12:13">
      <c r="L1925" s="20" t="str">
        <f t="shared" si="60"/>
        <v>N/A</v>
      </c>
      <c r="M1925" s="20" t="str">
        <f t="shared" si="61"/>
        <v>N/A</v>
      </c>
    </row>
    <row r="1926" spans="12:13">
      <c r="L1926" s="20" t="str">
        <f t="shared" si="60"/>
        <v>N/A</v>
      </c>
      <c r="M1926" s="20" t="str">
        <f t="shared" si="61"/>
        <v>N/A</v>
      </c>
    </row>
    <row r="1927" spans="12:13">
      <c r="L1927" s="20" t="str">
        <f t="shared" si="60"/>
        <v>N/A</v>
      </c>
      <c r="M1927" s="20" t="str">
        <f t="shared" si="61"/>
        <v>N/A</v>
      </c>
    </row>
    <row r="1928" spans="12:13">
      <c r="L1928" s="20" t="str">
        <f t="shared" si="60"/>
        <v>N/A</v>
      </c>
      <c r="M1928" s="20" t="str">
        <f t="shared" si="61"/>
        <v>N/A</v>
      </c>
    </row>
    <row r="1929" spans="12:13">
      <c r="L1929" s="20" t="str">
        <f t="shared" si="60"/>
        <v>N/A</v>
      </c>
      <c r="M1929" s="20" t="str">
        <f t="shared" si="61"/>
        <v>N/A</v>
      </c>
    </row>
    <row r="1930" spans="12:13">
      <c r="L1930" s="20" t="str">
        <f t="shared" si="60"/>
        <v>N/A</v>
      </c>
      <c r="M1930" s="20" t="str">
        <f t="shared" si="61"/>
        <v>N/A</v>
      </c>
    </row>
    <row r="1931" spans="12:13">
      <c r="L1931" s="20" t="str">
        <f t="shared" si="60"/>
        <v>N/A</v>
      </c>
      <c r="M1931" s="20" t="str">
        <f t="shared" si="61"/>
        <v>N/A</v>
      </c>
    </row>
    <row r="1932" spans="12:13">
      <c r="L1932" s="20" t="str">
        <f t="shared" si="60"/>
        <v>N/A</v>
      </c>
      <c r="M1932" s="20" t="str">
        <f t="shared" si="61"/>
        <v>N/A</v>
      </c>
    </row>
    <row r="1933" spans="12:13">
      <c r="L1933" s="20" t="str">
        <f t="shared" si="60"/>
        <v>N/A</v>
      </c>
      <c r="M1933" s="20" t="str">
        <f t="shared" si="61"/>
        <v>N/A</v>
      </c>
    </row>
    <row r="1934" spans="12:13">
      <c r="L1934" s="20" t="str">
        <f t="shared" si="60"/>
        <v>N/A</v>
      </c>
      <c r="M1934" s="20" t="str">
        <f t="shared" si="61"/>
        <v>N/A</v>
      </c>
    </row>
    <row r="1935" spans="12:13">
      <c r="L1935" s="20" t="str">
        <f t="shared" si="60"/>
        <v>N/A</v>
      </c>
      <c r="M1935" s="20" t="str">
        <f t="shared" si="61"/>
        <v>N/A</v>
      </c>
    </row>
    <row r="1936" spans="12:13">
      <c r="L1936" s="20" t="str">
        <f t="shared" si="60"/>
        <v>N/A</v>
      </c>
      <c r="M1936" s="20" t="str">
        <f t="shared" si="61"/>
        <v>N/A</v>
      </c>
    </row>
    <row r="1937" spans="12:13">
      <c r="L1937" s="20" t="str">
        <f t="shared" si="60"/>
        <v>N/A</v>
      </c>
      <c r="M1937" s="20" t="str">
        <f t="shared" si="61"/>
        <v>N/A</v>
      </c>
    </row>
    <row r="1938" spans="12:13">
      <c r="L1938" s="20" t="str">
        <f t="shared" si="60"/>
        <v>N/A</v>
      </c>
      <c r="M1938" s="20" t="str">
        <f t="shared" si="61"/>
        <v>N/A</v>
      </c>
    </row>
    <row r="1939" spans="12:13">
      <c r="L1939" s="20" t="str">
        <f t="shared" si="60"/>
        <v>N/A</v>
      </c>
      <c r="M1939" s="20" t="str">
        <f t="shared" si="61"/>
        <v>N/A</v>
      </c>
    </row>
    <row r="1940" spans="12:13">
      <c r="L1940" s="20" t="str">
        <f t="shared" si="60"/>
        <v>N/A</v>
      </c>
      <c r="M1940" s="20" t="str">
        <f t="shared" si="61"/>
        <v>N/A</v>
      </c>
    </row>
    <row r="1941" spans="12:13">
      <c r="L1941" s="20" t="str">
        <f t="shared" si="60"/>
        <v>N/A</v>
      </c>
      <c r="M1941" s="20" t="str">
        <f t="shared" si="61"/>
        <v>N/A</v>
      </c>
    </row>
    <row r="1942" spans="12:13">
      <c r="L1942" s="20" t="str">
        <f t="shared" si="60"/>
        <v>N/A</v>
      </c>
      <c r="M1942" s="20" t="str">
        <f t="shared" si="61"/>
        <v>N/A</v>
      </c>
    </row>
    <row r="1943" spans="12:13">
      <c r="L1943" s="20" t="str">
        <f t="shared" si="60"/>
        <v>N/A</v>
      </c>
      <c r="M1943" s="20" t="str">
        <f t="shared" si="61"/>
        <v>N/A</v>
      </c>
    </row>
    <row r="1944" spans="12:13">
      <c r="L1944" s="20" t="str">
        <f t="shared" si="60"/>
        <v>N/A</v>
      </c>
      <c r="M1944" s="20" t="str">
        <f t="shared" si="61"/>
        <v>N/A</v>
      </c>
    </row>
    <row r="1945" spans="12:13">
      <c r="L1945" s="20" t="str">
        <f t="shared" si="60"/>
        <v>N/A</v>
      </c>
      <c r="M1945" s="20" t="str">
        <f t="shared" si="61"/>
        <v>N/A</v>
      </c>
    </row>
    <row r="1946" spans="12:13">
      <c r="L1946" s="20" t="str">
        <f t="shared" si="60"/>
        <v>N/A</v>
      </c>
      <c r="M1946" s="20" t="str">
        <f t="shared" si="61"/>
        <v>N/A</v>
      </c>
    </row>
    <row r="1947" spans="12:13">
      <c r="L1947" s="20" t="str">
        <f t="shared" si="60"/>
        <v>N/A</v>
      </c>
      <c r="M1947" s="20" t="str">
        <f t="shared" si="61"/>
        <v>N/A</v>
      </c>
    </row>
    <row r="1948" spans="12:13">
      <c r="L1948" s="20" t="str">
        <f t="shared" si="60"/>
        <v>N/A</v>
      </c>
      <c r="M1948" s="20" t="str">
        <f t="shared" si="61"/>
        <v>N/A</v>
      </c>
    </row>
    <row r="1949" spans="12:13">
      <c r="L1949" s="20" t="str">
        <f t="shared" si="60"/>
        <v>N/A</v>
      </c>
      <c r="M1949" s="20" t="str">
        <f t="shared" si="61"/>
        <v>N/A</v>
      </c>
    </row>
    <row r="1950" spans="12:13">
      <c r="L1950" s="20" t="str">
        <f t="shared" si="60"/>
        <v>N/A</v>
      </c>
      <c r="M1950" s="20" t="str">
        <f t="shared" si="61"/>
        <v>N/A</v>
      </c>
    </row>
    <row r="1951" spans="12:13">
      <c r="L1951" s="20" t="str">
        <f t="shared" si="60"/>
        <v>N/A</v>
      </c>
      <c r="M1951" s="20" t="str">
        <f t="shared" si="61"/>
        <v>N/A</v>
      </c>
    </row>
    <row r="1952" spans="12:13">
      <c r="L1952" s="20" t="str">
        <f t="shared" si="60"/>
        <v>N/A</v>
      </c>
      <c r="M1952" s="20" t="str">
        <f t="shared" si="61"/>
        <v>N/A</v>
      </c>
    </row>
    <row r="1953" spans="12:13">
      <c r="L1953" s="20" t="str">
        <f t="shared" si="60"/>
        <v>N/A</v>
      </c>
      <c r="M1953" s="20" t="str">
        <f t="shared" si="61"/>
        <v>N/A</v>
      </c>
    </row>
    <row r="1954" spans="12:13">
      <c r="L1954" s="20" t="str">
        <f t="shared" si="60"/>
        <v>N/A</v>
      </c>
      <c r="M1954" s="20" t="str">
        <f t="shared" si="61"/>
        <v>N/A</v>
      </c>
    </row>
    <row r="1955" spans="12:13">
      <c r="L1955" s="20" t="str">
        <f t="shared" si="60"/>
        <v>N/A</v>
      </c>
      <c r="M1955" s="20" t="str">
        <f t="shared" si="61"/>
        <v>N/A</v>
      </c>
    </row>
    <row r="1956" spans="12:13">
      <c r="L1956" s="20" t="str">
        <f t="shared" si="60"/>
        <v>N/A</v>
      </c>
      <c r="M1956" s="20" t="str">
        <f t="shared" si="61"/>
        <v>N/A</v>
      </c>
    </row>
    <row r="1957" spans="12:13">
      <c r="L1957" s="20" t="str">
        <f t="shared" si="60"/>
        <v>N/A</v>
      </c>
      <c r="M1957" s="20" t="str">
        <f t="shared" si="61"/>
        <v>N/A</v>
      </c>
    </row>
    <row r="1958" spans="12:13">
      <c r="L1958" s="20" t="str">
        <f t="shared" si="60"/>
        <v>N/A</v>
      </c>
      <c r="M1958" s="20" t="str">
        <f t="shared" si="61"/>
        <v>N/A</v>
      </c>
    </row>
    <row r="1959" spans="12:13">
      <c r="L1959" s="20" t="str">
        <f t="shared" si="60"/>
        <v>N/A</v>
      </c>
      <c r="M1959" s="20" t="str">
        <f t="shared" si="61"/>
        <v>N/A</v>
      </c>
    </row>
    <row r="1960" spans="12:13">
      <c r="L1960" s="20" t="str">
        <f t="shared" si="60"/>
        <v>N/A</v>
      </c>
      <c r="M1960" s="20" t="str">
        <f t="shared" si="61"/>
        <v>N/A</v>
      </c>
    </row>
    <row r="1961" spans="12:13">
      <c r="L1961" s="20" t="str">
        <f t="shared" si="60"/>
        <v>N/A</v>
      </c>
      <c r="M1961" s="20" t="str">
        <f t="shared" si="61"/>
        <v>N/A</v>
      </c>
    </row>
    <row r="1962" spans="12:13">
      <c r="L1962" s="20" t="str">
        <f t="shared" si="60"/>
        <v>N/A</v>
      </c>
      <c r="M1962" s="20" t="str">
        <f t="shared" si="61"/>
        <v>N/A</v>
      </c>
    </row>
    <row r="1963" spans="12:13">
      <c r="L1963" s="20" t="str">
        <f t="shared" si="60"/>
        <v>N/A</v>
      </c>
      <c r="M1963" s="20" t="str">
        <f t="shared" si="61"/>
        <v>N/A</v>
      </c>
    </row>
    <row r="1964" spans="12:13">
      <c r="L1964" s="20" t="str">
        <f t="shared" si="60"/>
        <v>N/A</v>
      </c>
      <c r="M1964" s="20" t="str">
        <f t="shared" si="61"/>
        <v>N/A</v>
      </c>
    </row>
    <row r="1965" spans="12:13">
      <c r="L1965" s="20" t="str">
        <f t="shared" si="60"/>
        <v>N/A</v>
      </c>
      <c r="M1965" s="20" t="str">
        <f t="shared" si="61"/>
        <v>N/A</v>
      </c>
    </row>
    <row r="1966" spans="12:13">
      <c r="L1966" s="20" t="str">
        <f t="shared" si="60"/>
        <v>N/A</v>
      </c>
      <c r="M1966" s="20" t="str">
        <f t="shared" si="61"/>
        <v>N/A</v>
      </c>
    </row>
    <row r="1967" spans="12:13">
      <c r="L1967" s="20" t="str">
        <f t="shared" si="60"/>
        <v>N/A</v>
      </c>
      <c r="M1967" s="20" t="str">
        <f t="shared" si="61"/>
        <v>N/A</v>
      </c>
    </row>
    <row r="1968" spans="12:13">
      <c r="L1968" s="20" t="str">
        <f t="shared" si="60"/>
        <v>N/A</v>
      </c>
      <c r="M1968" s="20" t="str">
        <f t="shared" si="61"/>
        <v>N/A</v>
      </c>
    </row>
    <row r="1969" spans="12:13">
      <c r="L1969" s="20" t="str">
        <f t="shared" si="60"/>
        <v>N/A</v>
      </c>
      <c r="M1969" s="20" t="str">
        <f t="shared" si="61"/>
        <v>N/A</v>
      </c>
    </row>
    <row r="1970" spans="12:13">
      <c r="L1970" s="20" t="str">
        <f t="shared" si="60"/>
        <v>N/A</v>
      </c>
      <c r="M1970" s="20" t="str">
        <f t="shared" si="61"/>
        <v>N/A</v>
      </c>
    </row>
    <row r="1971" spans="12:13">
      <c r="L1971" s="20" t="str">
        <f t="shared" si="60"/>
        <v>N/A</v>
      </c>
      <c r="M1971" s="20" t="str">
        <f t="shared" si="61"/>
        <v>N/A</v>
      </c>
    </row>
    <row r="1972" spans="12:13">
      <c r="L1972" s="20" t="str">
        <f t="shared" si="60"/>
        <v>N/A</v>
      </c>
      <c r="M1972" s="20" t="str">
        <f t="shared" si="61"/>
        <v>N/A</v>
      </c>
    </row>
    <row r="1973" spans="12:13">
      <c r="L1973" s="20" t="str">
        <f t="shared" si="60"/>
        <v>N/A</v>
      </c>
      <c r="M1973" s="20" t="str">
        <f t="shared" si="61"/>
        <v>N/A</v>
      </c>
    </row>
    <row r="1974" spans="12:13">
      <c r="L1974" s="20" t="str">
        <f t="shared" si="60"/>
        <v>N/A</v>
      </c>
      <c r="M1974" s="20" t="str">
        <f t="shared" si="61"/>
        <v>N/A</v>
      </c>
    </row>
    <row r="1975" spans="12:13">
      <c r="L1975" s="20" t="str">
        <f t="shared" si="60"/>
        <v>N/A</v>
      </c>
      <c r="M1975" s="20" t="str">
        <f t="shared" si="61"/>
        <v>N/A</v>
      </c>
    </row>
    <row r="1976" spans="12:13">
      <c r="L1976" s="20" t="str">
        <f t="shared" si="60"/>
        <v>N/A</v>
      </c>
      <c r="M1976" s="20" t="str">
        <f t="shared" si="61"/>
        <v>N/A</v>
      </c>
    </row>
    <row r="1977" spans="12:13">
      <c r="L1977" s="20" t="str">
        <f t="shared" si="60"/>
        <v>N/A</v>
      </c>
      <c r="M1977" s="20" t="str">
        <f t="shared" si="61"/>
        <v>N/A</v>
      </c>
    </row>
    <row r="1978" spans="12:13">
      <c r="L1978" s="20" t="str">
        <f t="shared" si="60"/>
        <v>N/A</v>
      </c>
      <c r="M1978" s="20" t="str">
        <f t="shared" si="61"/>
        <v>N/A</v>
      </c>
    </row>
    <row r="1979" spans="12:13">
      <c r="L1979" s="20" t="str">
        <f t="shared" si="60"/>
        <v>N/A</v>
      </c>
      <c r="M1979" s="20" t="str">
        <f t="shared" si="61"/>
        <v>N/A</v>
      </c>
    </row>
    <row r="1980" spans="12:13">
      <c r="L1980" s="20" t="str">
        <f t="shared" si="60"/>
        <v>N/A</v>
      </c>
      <c r="M1980" s="20" t="str">
        <f t="shared" si="61"/>
        <v>N/A</v>
      </c>
    </row>
    <row r="1981" spans="12:13">
      <c r="L1981" s="20" t="str">
        <f t="shared" si="60"/>
        <v>N/A</v>
      </c>
      <c r="M1981" s="20" t="str">
        <f t="shared" si="61"/>
        <v>N/A</v>
      </c>
    </row>
    <row r="1982" spans="12:13">
      <c r="L1982" s="20" t="str">
        <f t="shared" si="60"/>
        <v>N/A</v>
      </c>
      <c r="M1982" s="20" t="str">
        <f t="shared" si="61"/>
        <v>N/A</v>
      </c>
    </row>
    <row r="1983" spans="12:13">
      <c r="L1983" s="20" t="str">
        <f t="shared" si="60"/>
        <v>N/A</v>
      </c>
      <c r="M1983" s="20" t="str">
        <f t="shared" si="61"/>
        <v>N/A</v>
      </c>
    </row>
    <row r="1984" spans="12:13">
      <c r="L1984" s="20" t="str">
        <f t="shared" si="60"/>
        <v>N/A</v>
      </c>
      <c r="M1984" s="20" t="str">
        <f t="shared" si="61"/>
        <v>N/A</v>
      </c>
    </row>
    <row r="1985" spans="12:13">
      <c r="L1985" s="20" t="str">
        <f t="shared" si="60"/>
        <v>N/A</v>
      </c>
      <c r="M1985" s="20" t="str">
        <f t="shared" si="61"/>
        <v>N/A</v>
      </c>
    </row>
    <row r="1986" spans="12:13">
      <c r="L1986" s="20" t="str">
        <f t="shared" si="60"/>
        <v>N/A</v>
      </c>
      <c r="M1986" s="20" t="str">
        <f t="shared" si="61"/>
        <v>N/A</v>
      </c>
    </row>
    <row r="1987" spans="12:13">
      <c r="L1987" s="20" t="str">
        <f t="shared" ref="L1987:L2050" si="62">+IF(LEFT(D1987,1)="1","Asset","N/A")</f>
        <v>N/A</v>
      </c>
      <c r="M1987" s="20" t="str">
        <f t="shared" ref="M1987:M2050" si="63">+IF(L1987="asset",IF(H1987&lt;0,"Provide Comment","okay"),"N/A")</f>
        <v>N/A</v>
      </c>
    </row>
    <row r="1988" spans="12:13">
      <c r="L1988" s="20" t="str">
        <f t="shared" si="62"/>
        <v>N/A</v>
      </c>
      <c r="M1988" s="20" t="str">
        <f t="shared" si="63"/>
        <v>N/A</v>
      </c>
    </row>
    <row r="1989" spans="12:13">
      <c r="L1989" s="20" t="str">
        <f t="shared" si="62"/>
        <v>N/A</v>
      </c>
      <c r="M1989" s="20" t="str">
        <f t="shared" si="63"/>
        <v>N/A</v>
      </c>
    </row>
    <row r="1990" spans="12:13">
      <c r="L1990" s="20" t="str">
        <f t="shared" si="62"/>
        <v>N/A</v>
      </c>
      <c r="M1990" s="20" t="str">
        <f t="shared" si="63"/>
        <v>N/A</v>
      </c>
    </row>
    <row r="1991" spans="12:13">
      <c r="L1991" s="20" t="str">
        <f t="shared" si="62"/>
        <v>N/A</v>
      </c>
      <c r="M1991" s="20" t="str">
        <f t="shared" si="63"/>
        <v>N/A</v>
      </c>
    </row>
    <row r="1992" spans="12:13">
      <c r="L1992" s="20" t="str">
        <f t="shared" si="62"/>
        <v>N/A</v>
      </c>
      <c r="M1992" s="20" t="str">
        <f t="shared" si="63"/>
        <v>N/A</v>
      </c>
    </row>
    <row r="1993" spans="12:13">
      <c r="L1993" s="20" t="str">
        <f t="shared" si="62"/>
        <v>N/A</v>
      </c>
      <c r="M1993" s="20" t="str">
        <f t="shared" si="63"/>
        <v>N/A</v>
      </c>
    </row>
    <row r="1994" spans="12:13">
      <c r="L1994" s="20" t="str">
        <f t="shared" si="62"/>
        <v>N/A</v>
      </c>
      <c r="M1994" s="20" t="str">
        <f t="shared" si="63"/>
        <v>N/A</v>
      </c>
    </row>
    <row r="1995" spans="12:13">
      <c r="L1995" s="20" t="str">
        <f t="shared" si="62"/>
        <v>N/A</v>
      </c>
      <c r="M1995" s="20" t="str">
        <f t="shared" si="63"/>
        <v>N/A</v>
      </c>
    </row>
    <row r="1996" spans="12:13">
      <c r="L1996" s="20" t="str">
        <f t="shared" si="62"/>
        <v>N/A</v>
      </c>
      <c r="M1996" s="20" t="str">
        <f t="shared" si="63"/>
        <v>N/A</v>
      </c>
    </row>
    <row r="1997" spans="12:13">
      <c r="L1997" s="20" t="str">
        <f t="shared" si="62"/>
        <v>N/A</v>
      </c>
      <c r="M1997" s="20" t="str">
        <f t="shared" si="63"/>
        <v>N/A</v>
      </c>
    </row>
    <row r="1998" spans="12:13">
      <c r="L1998" s="20" t="str">
        <f t="shared" si="62"/>
        <v>N/A</v>
      </c>
      <c r="M1998" s="20" t="str">
        <f t="shared" si="63"/>
        <v>N/A</v>
      </c>
    </row>
    <row r="1999" spans="12:13">
      <c r="L1999" s="20" t="str">
        <f t="shared" si="62"/>
        <v>N/A</v>
      </c>
      <c r="M1999" s="20" t="str">
        <f t="shared" si="63"/>
        <v>N/A</v>
      </c>
    </row>
    <row r="2000" spans="12:13">
      <c r="L2000" s="20" t="str">
        <f t="shared" si="62"/>
        <v>N/A</v>
      </c>
      <c r="M2000" s="20" t="str">
        <f t="shared" si="63"/>
        <v>N/A</v>
      </c>
    </row>
    <row r="2001" spans="12:13">
      <c r="L2001" s="20" t="str">
        <f t="shared" si="62"/>
        <v>N/A</v>
      </c>
      <c r="M2001" s="20" t="str">
        <f t="shared" si="63"/>
        <v>N/A</v>
      </c>
    </row>
    <row r="2002" spans="12:13">
      <c r="L2002" s="20" t="str">
        <f t="shared" si="62"/>
        <v>N/A</v>
      </c>
      <c r="M2002" s="20" t="str">
        <f t="shared" si="63"/>
        <v>N/A</v>
      </c>
    </row>
    <row r="2003" spans="12:13">
      <c r="L2003" s="20" t="str">
        <f t="shared" si="62"/>
        <v>N/A</v>
      </c>
      <c r="M2003" s="20" t="str">
        <f t="shared" si="63"/>
        <v>N/A</v>
      </c>
    </row>
    <row r="2004" spans="12:13">
      <c r="L2004" s="20" t="str">
        <f t="shared" si="62"/>
        <v>N/A</v>
      </c>
      <c r="M2004" s="20" t="str">
        <f t="shared" si="63"/>
        <v>N/A</v>
      </c>
    </row>
    <row r="2005" spans="12:13">
      <c r="L2005" s="20" t="str">
        <f t="shared" si="62"/>
        <v>N/A</v>
      </c>
      <c r="M2005" s="20" t="str">
        <f t="shared" si="63"/>
        <v>N/A</v>
      </c>
    </row>
    <row r="2006" spans="12:13">
      <c r="L2006" s="20" t="str">
        <f t="shared" si="62"/>
        <v>N/A</v>
      </c>
      <c r="M2006" s="20" t="str">
        <f t="shared" si="63"/>
        <v>N/A</v>
      </c>
    </row>
    <row r="2007" spans="12:13">
      <c r="L2007" s="20" t="str">
        <f t="shared" si="62"/>
        <v>N/A</v>
      </c>
      <c r="M2007" s="20" t="str">
        <f t="shared" si="63"/>
        <v>N/A</v>
      </c>
    </row>
    <row r="2008" spans="12:13">
      <c r="L2008" s="20" t="str">
        <f t="shared" si="62"/>
        <v>N/A</v>
      </c>
      <c r="M2008" s="20" t="str">
        <f t="shared" si="63"/>
        <v>N/A</v>
      </c>
    </row>
    <row r="2009" spans="12:13">
      <c r="L2009" s="20" t="str">
        <f t="shared" si="62"/>
        <v>N/A</v>
      </c>
      <c r="M2009" s="20" t="str">
        <f t="shared" si="63"/>
        <v>N/A</v>
      </c>
    </row>
    <row r="2010" spans="12:13">
      <c r="L2010" s="20" t="str">
        <f t="shared" si="62"/>
        <v>N/A</v>
      </c>
      <c r="M2010" s="20" t="str">
        <f t="shared" si="63"/>
        <v>N/A</v>
      </c>
    </row>
    <row r="2011" spans="12:13">
      <c r="L2011" s="20" t="str">
        <f t="shared" si="62"/>
        <v>N/A</v>
      </c>
      <c r="M2011" s="20" t="str">
        <f t="shared" si="63"/>
        <v>N/A</v>
      </c>
    </row>
    <row r="2012" spans="12:13">
      <c r="L2012" s="20" t="str">
        <f t="shared" si="62"/>
        <v>N/A</v>
      </c>
      <c r="M2012" s="20" t="str">
        <f t="shared" si="63"/>
        <v>N/A</v>
      </c>
    </row>
    <row r="2013" spans="12:13">
      <c r="L2013" s="20" t="str">
        <f t="shared" si="62"/>
        <v>N/A</v>
      </c>
      <c r="M2013" s="20" t="str">
        <f t="shared" si="63"/>
        <v>N/A</v>
      </c>
    </row>
    <row r="2014" spans="12:13">
      <c r="L2014" s="20" t="str">
        <f t="shared" si="62"/>
        <v>N/A</v>
      </c>
      <c r="M2014" s="20" t="str">
        <f t="shared" si="63"/>
        <v>N/A</v>
      </c>
    </row>
    <row r="2015" spans="12:13">
      <c r="L2015" s="20" t="str">
        <f t="shared" si="62"/>
        <v>N/A</v>
      </c>
      <c r="M2015" s="20" t="str">
        <f t="shared" si="63"/>
        <v>N/A</v>
      </c>
    </row>
    <row r="2016" spans="12:13">
      <c r="L2016" s="20" t="str">
        <f t="shared" si="62"/>
        <v>N/A</v>
      </c>
      <c r="M2016" s="20" t="str">
        <f t="shared" si="63"/>
        <v>N/A</v>
      </c>
    </row>
    <row r="2017" spans="12:13">
      <c r="L2017" s="20" t="str">
        <f t="shared" si="62"/>
        <v>N/A</v>
      </c>
      <c r="M2017" s="20" t="str">
        <f t="shared" si="63"/>
        <v>N/A</v>
      </c>
    </row>
    <row r="2018" spans="12:13">
      <c r="L2018" s="20" t="str">
        <f t="shared" si="62"/>
        <v>N/A</v>
      </c>
      <c r="M2018" s="20" t="str">
        <f t="shared" si="63"/>
        <v>N/A</v>
      </c>
    </row>
    <row r="2019" spans="12:13">
      <c r="L2019" s="20" t="str">
        <f t="shared" si="62"/>
        <v>N/A</v>
      </c>
      <c r="M2019" s="20" t="str">
        <f t="shared" si="63"/>
        <v>N/A</v>
      </c>
    </row>
    <row r="2020" spans="12:13">
      <c r="L2020" s="20" t="str">
        <f t="shared" si="62"/>
        <v>N/A</v>
      </c>
      <c r="M2020" s="20" t="str">
        <f t="shared" si="63"/>
        <v>N/A</v>
      </c>
    </row>
    <row r="2021" spans="12:13">
      <c r="L2021" s="20" t="str">
        <f t="shared" si="62"/>
        <v>N/A</v>
      </c>
      <c r="M2021" s="20" t="str">
        <f t="shared" si="63"/>
        <v>N/A</v>
      </c>
    </row>
    <row r="2022" spans="12:13">
      <c r="L2022" s="20" t="str">
        <f t="shared" si="62"/>
        <v>N/A</v>
      </c>
      <c r="M2022" s="20" t="str">
        <f t="shared" si="63"/>
        <v>N/A</v>
      </c>
    </row>
    <row r="2023" spans="12:13">
      <c r="L2023" s="20" t="str">
        <f t="shared" si="62"/>
        <v>N/A</v>
      </c>
      <c r="M2023" s="20" t="str">
        <f t="shared" si="63"/>
        <v>N/A</v>
      </c>
    </row>
    <row r="2024" spans="12:13">
      <c r="L2024" s="20" t="str">
        <f t="shared" si="62"/>
        <v>N/A</v>
      </c>
      <c r="M2024" s="20" t="str">
        <f t="shared" si="63"/>
        <v>N/A</v>
      </c>
    </row>
    <row r="2025" spans="12:13">
      <c r="L2025" s="20" t="str">
        <f t="shared" si="62"/>
        <v>N/A</v>
      </c>
      <c r="M2025" s="20" t="str">
        <f t="shared" si="63"/>
        <v>N/A</v>
      </c>
    </row>
    <row r="2026" spans="12:13">
      <c r="L2026" s="20" t="str">
        <f t="shared" si="62"/>
        <v>N/A</v>
      </c>
      <c r="M2026" s="20" t="str">
        <f t="shared" si="63"/>
        <v>N/A</v>
      </c>
    </row>
    <row r="2027" spans="12:13">
      <c r="L2027" s="20" t="str">
        <f t="shared" si="62"/>
        <v>N/A</v>
      </c>
      <c r="M2027" s="20" t="str">
        <f t="shared" si="63"/>
        <v>N/A</v>
      </c>
    </row>
    <row r="2028" spans="12:13">
      <c r="L2028" s="20" t="str">
        <f t="shared" si="62"/>
        <v>N/A</v>
      </c>
      <c r="M2028" s="20" t="str">
        <f t="shared" si="63"/>
        <v>N/A</v>
      </c>
    </row>
    <row r="2029" spans="12:13">
      <c r="L2029" s="20" t="str">
        <f t="shared" si="62"/>
        <v>N/A</v>
      </c>
      <c r="M2029" s="20" t="str">
        <f t="shared" si="63"/>
        <v>N/A</v>
      </c>
    </row>
    <row r="2030" spans="12:13">
      <c r="L2030" s="20" t="str">
        <f t="shared" si="62"/>
        <v>N/A</v>
      </c>
      <c r="M2030" s="20" t="str">
        <f t="shared" si="63"/>
        <v>N/A</v>
      </c>
    </row>
    <row r="2031" spans="12:13">
      <c r="L2031" s="20" t="str">
        <f t="shared" si="62"/>
        <v>N/A</v>
      </c>
      <c r="M2031" s="20" t="str">
        <f t="shared" si="63"/>
        <v>N/A</v>
      </c>
    </row>
    <row r="2032" spans="12:13">
      <c r="L2032" s="20" t="str">
        <f t="shared" si="62"/>
        <v>N/A</v>
      </c>
      <c r="M2032" s="20" t="str">
        <f t="shared" si="63"/>
        <v>N/A</v>
      </c>
    </row>
    <row r="2033" spans="12:13">
      <c r="L2033" s="20" t="str">
        <f t="shared" si="62"/>
        <v>N/A</v>
      </c>
      <c r="M2033" s="20" t="str">
        <f t="shared" si="63"/>
        <v>N/A</v>
      </c>
    </row>
    <row r="2034" spans="12:13">
      <c r="L2034" s="20" t="str">
        <f t="shared" si="62"/>
        <v>N/A</v>
      </c>
      <c r="M2034" s="20" t="str">
        <f t="shared" si="63"/>
        <v>N/A</v>
      </c>
    </row>
    <row r="2035" spans="12:13">
      <c r="L2035" s="20" t="str">
        <f t="shared" si="62"/>
        <v>N/A</v>
      </c>
      <c r="M2035" s="20" t="str">
        <f t="shared" si="63"/>
        <v>N/A</v>
      </c>
    </row>
    <row r="2036" spans="12:13">
      <c r="L2036" s="20" t="str">
        <f t="shared" si="62"/>
        <v>N/A</v>
      </c>
      <c r="M2036" s="20" t="str">
        <f t="shared" si="63"/>
        <v>N/A</v>
      </c>
    </row>
    <row r="2037" spans="12:13">
      <c r="L2037" s="20" t="str">
        <f t="shared" si="62"/>
        <v>N/A</v>
      </c>
      <c r="M2037" s="20" t="str">
        <f t="shared" si="63"/>
        <v>N/A</v>
      </c>
    </row>
    <row r="2038" spans="12:13">
      <c r="L2038" s="20" t="str">
        <f t="shared" si="62"/>
        <v>N/A</v>
      </c>
      <c r="M2038" s="20" t="str">
        <f t="shared" si="63"/>
        <v>N/A</v>
      </c>
    </row>
    <row r="2039" spans="12:13">
      <c r="L2039" s="20" t="str">
        <f t="shared" si="62"/>
        <v>N/A</v>
      </c>
      <c r="M2039" s="20" t="str">
        <f t="shared" si="63"/>
        <v>N/A</v>
      </c>
    </row>
    <row r="2040" spans="12:13">
      <c r="L2040" s="20" t="str">
        <f t="shared" si="62"/>
        <v>N/A</v>
      </c>
      <c r="M2040" s="20" t="str">
        <f t="shared" si="63"/>
        <v>N/A</v>
      </c>
    </row>
    <row r="2041" spans="12:13">
      <c r="L2041" s="20" t="str">
        <f t="shared" si="62"/>
        <v>N/A</v>
      </c>
      <c r="M2041" s="20" t="str">
        <f t="shared" si="63"/>
        <v>N/A</v>
      </c>
    </row>
    <row r="2042" spans="12:13">
      <c r="L2042" s="20" t="str">
        <f t="shared" si="62"/>
        <v>N/A</v>
      </c>
      <c r="M2042" s="20" t="str">
        <f t="shared" si="63"/>
        <v>N/A</v>
      </c>
    </row>
    <row r="2043" spans="12:13">
      <c r="L2043" s="20" t="str">
        <f t="shared" si="62"/>
        <v>N/A</v>
      </c>
      <c r="M2043" s="20" t="str">
        <f t="shared" si="63"/>
        <v>N/A</v>
      </c>
    </row>
    <row r="2044" spans="12:13">
      <c r="L2044" s="20" t="str">
        <f t="shared" si="62"/>
        <v>N/A</v>
      </c>
      <c r="M2044" s="20" t="str">
        <f t="shared" si="63"/>
        <v>N/A</v>
      </c>
    </row>
    <row r="2045" spans="12:13">
      <c r="L2045" s="20" t="str">
        <f t="shared" si="62"/>
        <v>N/A</v>
      </c>
      <c r="M2045" s="20" t="str">
        <f t="shared" si="63"/>
        <v>N/A</v>
      </c>
    </row>
    <row r="2046" spans="12:13">
      <c r="L2046" s="20" t="str">
        <f t="shared" si="62"/>
        <v>N/A</v>
      </c>
      <c r="M2046" s="20" t="str">
        <f t="shared" si="63"/>
        <v>N/A</v>
      </c>
    </row>
    <row r="2047" spans="12:13">
      <c r="L2047" s="20" t="str">
        <f t="shared" si="62"/>
        <v>N/A</v>
      </c>
      <c r="M2047" s="20" t="str">
        <f t="shared" si="63"/>
        <v>N/A</v>
      </c>
    </row>
    <row r="2048" spans="12:13">
      <c r="L2048" s="20" t="str">
        <f t="shared" si="62"/>
        <v>N/A</v>
      </c>
      <c r="M2048" s="20" t="str">
        <f t="shared" si="63"/>
        <v>N/A</v>
      </c>
    </row>
    <row r="2049" spans="12:13">
      <c r="L2049" s="20" t="str">
        <f t="shared" si="62"/>
        <v>N/A</v>
      </c>
      <c r="M2049" s="20" t="str">
        <f t="shared" si="63"/>
        <v>N/A</v>
      </c>
    </row>
    <row r="2050" spans="12:13">
      <c r="L2050" s="20" t="str">
        <f t="shared" si="62"/>
        <v>N/A</v>
      </c>
      <c r="M2050" s="20" t="str">
        <f t="shared" si="63"/>
        <v>N/A</v>
      </c>
    </row>
    <row r="2051" spans="12:13">
      <c r="L2051" s="20" t="str">
        <f t="shared" ref="L2051:L2114" si="64">+IF(LEFT(D2051,1)="1","Asset","N/A")</f>
        <v>N/A</v>
      </c>
      <c r="M2051" s="20" t="str">
        <f t="shared" ref="M2051:M2114" si="65">+IF(L2051="asset",IF(H2051&lt;0,"Provide Comment","okay"),"N/A")</f>
        <v>N/A</v>
      </c>
    </row>
    <row r="2052" spans="12:13">
      <c r="L2052" s="20" t="str">
        <f t="shared" si="64"/>
        <v>N/A</v>
      </c>
      <c r="M2052" s="20" t="str">
        <f t="shared" si="65"/>
        <v>N/A</v>
      </c>
    </row>
    <row r="2053" spans="12:13">
      <c r="L2053" s="20" t="str">
        <f t="shared" si="64"/>
        <v>N/A</v>
      </c>
      <c r="M2053" s="20" t="str">
        <f t="shared" si="65"/>
        <v>N/A</v>
      </c>
    </row>
    <row r="2054" spans="12:13">
      <c r="L2054" s="20" t="str">
        <f t="shared" si="64"/>
        <v>N/A</v>
      </c>
      <c r="M2054" s="20" t="str">
        <f t="shared" si="65"/>
        <v>N/A</v>
      </c>
    </row>
    <row r="2055" spans="12:13">
      <c r="L2055" s="20" t="str">
        <f t="shared" si="64"/>
        <v>N/A</v>
      </c>
      <c r="M2055" s="20" t="str">
        <f t="shared" si="65"/>
        <v>N/A</v>
      </c>
    </row>
    <row r="2056" spans="12:13">
      <c r="L2056" s="20" t="str">
        <f t="shared" si="64"/>
        <v>N/A</v>
      </c>
      <c r="M2056" s="20" t="str">
        <f t="shared" si="65"/>
        <v>N/A</v>
      </c>
    </row>
    <row r="2057" spans="12:13">
      <c r="L2057" s="20" t="str">
        <f t="shared" si="64"/>
        <v>N/A</v>
      </c>
      <c r="M2057" s="20" t="str">
        <f t="shared" si="65"/>
        <v>N/A</v>
      </c>
    </row>
    <row r="2058" spans="12:13">
      <c r="L2058" s="20" t="str">
        <f t="shared" si="64"/>
        <v>N/A</v>
      </c>
      <c r="M2058" s="20" t="str">
        <f t="shared" si="65"/>
        <v>N/A</v>
      </c>
    </row>
    <row r="2059" spans="12:13">
      <c r="L2059" s="20" t="str">
        <f t="shared" si="64"/>
        <v>N/A</v>
      </c>
      <c r="M2059" s="20" t="str">
        <f t="shared" si="65"/>
        <v>N/A</v>
      </c>
    </row>
    <row r="2060" spans="12:13">
      <c r="L2060" s="20" t="str">
        <f t="shared" si="64"/>
        <v>N/A</v>
      </c>
      <c r="M2060" s="20" t="str">
        <f t="shared" si="65"/>
        <v>N/A</v>
      </c>
    </row>
    <row r="2061" spans="12:13">
      <c r="L2061" s="20" t="str">
        <f t="shared" si="64"/>
        <v>N/A</v>
      </c>
      <c r="M2061" s="20" t="str">
        <f t="shared" si="65"/>
        <v>N/A</v>
      </c>
    </row>
    <row r="2062" spans="12:13">
      <c r="L2062" s="20" t="str">
        <f t="shared" si="64"/>
        <v>N/A</v>
      </c>
      <c r="M2062" s="20" t="str">
        <f t="shared" si="65"/>
        <v>N/A</v>
      </c>
    </row>
    <row r="2063" spans="12:13">
      <c r="L2063" s="20" t="str">
        <f t="shared" si="64"/>
        <v>N/A</v>
      </c>
      <c r="M2063" s="20" t="str">
        <f t="shared" si="65"/>
        <v>N/A</v>
      </c>
    </row>
    <row r="2064" spans="12:13">
      <c r="L2064" s="20" t="str">
        <f t="shared" si="64"/>
        <v>N/A</v>
      </c>
      <c r="M2064" s="20" t="str">
        <f t="shared" si="65"/>
        <v>N/A</v>
      </c>
    </row>
    <row r="2065" spans="12:13">
      <c r="L2065" s="20" t="str">
        <f t="shared" si="64"/>
        <v>N/A</v>
      </c>
      <c r="M2065" s="20" t="str">
        <f t="shared" si="65"/>
        <v>N/A</v>
      </c>
    </row>
    <row r="2066" spans="12:13">
      <c r="L2066" s="20" t="str">
        <f t="shared" si="64"/>
        <v>N/A</v>
      </c>
      <c r="M2066" s="20" t="str">
        <f t="shared" si="65"/>
        <v>N/A</v>
      </c>
    </row>
    <row r="2067" spans="12:13">
      <c r="L2067" s="20" t="str">
        <f t="shared" si="64"/>
        <v>N/A</v>
      </c>
      <c r="M2067" s="20" t="str">
        <f t="shared" si="65"/>
        <v>N/A</v>
      </c>
    </row>
    <row r="2068" spans="12:13">
      <c r="L2068" s="20" t="str">
        <f t="shared" si="64"/>
        <v>N/A</v>
      </c>
      <c r="M2068" s="20" t="str">
        <f t="shared" si="65"/>
        <v>N/A</v>
      </c>
    </row>
    <row r="2069" spans="12:13">
      <c r="L2069" s="20" t="str">
        <f t="shared" si="64"/>
        <v>N/A</v>
      </c>
      <c r="M2069" s="20" t="str">
        <f t="shared" si="65"/>
        <v>N/A</v>
      </c>
    </row>
    <row r="2070" spans="12:13">
      <c r="L2070" s="20" t="str">
        <f t="shared" si="64"/>
        <v>N/A</v>
      </c>
      <c r="M2070" s="20" t="str">
        <f t="shared" si="65"/>
        <v>N/A</v>
      </c>
    </row>
    <row r="2071" spans="12:13">
      <c r="L2071" s="20" t="str">
        <f t="shared" si="64"/>
        <v>N/A</v>
      </c>
      <c r="M2071" s="20" t="str">
        <f t="shared" si="65"/>
        <v>N/A</v>
      </c>
    </row>
    <row r="2072" spans="12:13">
      <c r="L2072" s="20" t="str">
        <f t="shared" si="64"/>
        <v>N/A</v>
      </c>
      <c r="M2072" s="20" t="str">
        <f t="shared" si="65"/>
        <v>N/A</v>
      </c>
    </row>
    <row r="2073" spans="12:13">
      <c r="L2073" s="20" t="str">
        <f t="shared" si="64"/>
        <v>N/A</v>
      </c>
      <c r="M2073" s="20" t="str">
        <f t="shared" si="65"/>
        <v>N/A</v>
      </c>
    </row>
    <row r="2074" spans="12:13">
      <c r="L2074" s="20" t="str">
        <f t="shared" si="64"/>
        <v>N/A</v>
      </c>
      <c r="M2074" s="20" t="str">
        <f t="shared" si="65"/>
        <v>N/A</v>
      </c>
    </row>
    <row r="2075" spans="12:13">
      <c r="L2075" s="20" t="str">
        <f t="shared" si="64"/>
        <v>N/A</v>
      </c>
      <c r="M2075" s="20" t="str">
        <f t="shared" si="65"/>
        <v>N/A</v>
      </c>
    </row>
    <row r="2076" spans="12:13">
      <c r="L2076" s="20" t="str">
        <f t="shared" si="64"/>
        <v>N/A</v>
      </c>
      <c r="M2076" s="20" t="str">
        <f t="shared" si="65"/>
        <v>N/A</v>
      </c>
    </row>
    <row r="2077" spans="12:13">
      <c r="L2077" s="20" t="str">
        <f t="shared" si="64"/>
        <v>N/A</v>
      </c>
      <c r="M2077" s="20" t="str">
        <f t="shared" si="65"/>
        <v>N/A</v>
      </c>
    </row>
    <row r="2078" spans="12:13">
      <c r="L2078" s="20" t="str">
        <f t="shared" si="64"/>
        <v>N/A</v>
      </c>
      <c r="M2078" s="20" t="str">
        <f t="shared" si="65"/>
        <v>N/A</v>
      </c>
    </row>
    <row r="2079" spans="12:13">
      <c r="L2079" s="20" t="str">
        <f t="shared" si="64"/>
        <v>N/A</v>
      </c>
      <c r="M2079" s="20" t="str">
        <f t="shared" si="65"/>
        <v>N/A</v>
      </c>
    </row>
    <row r="2080" spans="12:13">
      <c r="L2080" s="20" t="str">
        <f t="shared" si="64"/>
        <v>N/A</v>
      </c>
      <c r="M2080" s="20" t="str">
        <f t="shared" si="65"/>
        <v>N/A</v>
      </c>
    </row>
    <row r="2081" spans="12:13">
      <c r="L2081" s="20" t="str">
        <f t="shared" si="64"/>
        <v>N/A</v>
      </c>
      <c r="M2081" s="20" t="str">
        <f t="shared" si="65"/>
        <v>N/A</v>
      </c>
    </row>
    <row r="2082" spans="12:13">
      <c r="L2082" s="20" t="str">
        <f t="shared" si="64"/>
        <v>N/A</v>
      </c>
      <c r="M2082" s="20" t="str">
        <f t="shared" si="65"/>
        <v>N/A</v>
      </c>
    </row>
    <row r="2083" spans="12:13">
      <c r="L2083" s="20" t="str">
        <f t="shared" si="64"/>
        <v>N/A</v>
      </c>
      <c r="M2083" s="20" t="str">
        <f t="shared" si="65"/>
        <v>N/A</v>
      </c>
    </row>
    <row r="2084" spans="12:13">
      <c r="L2084" s="20" t="str">
        <f t="shared" si="64"/>
        <v>N/A</v>
      </c>
      <c r="M2084" s="20" t="str">
        <f t="shared" si="65"/>
        <v>N/A</v>
      </c>
    </row>
    <row r="2085" spans="12:13">
      <c r="L2085" s="20" t="str">
        <f t="shared" si="64"/>
        <v>N/A</v>
      </c>
      <c r="M2085" s="20" t="str">
        <f t="shared" si="65"/>
        <v>N/A</v>
      </c>
    </row>
    <row r="2086" spans="12:13">
      <c r="L2086" s="20" t="str">
        <f t="shared" si="64"/>
        <v>N/A</v>
      </c>
      <c r="M2086" s="20" t="str">
        <f t="shared" si="65"/>
        <v>N/A</v>
      </c>
    </row>
    <row r="2087" spans="12:13">
      <c r="L2087" s="20" t="str">
        <f t="shared" si="64"/>
        <v>N/A</v>
      </c>
      <c r="M2087" s="20" t="str">
        <f t="shared" si="65"/>
        <v>N/A</v>
      </c>
    </row>
    <row r="2088" spans="12:13">
      <c r="L2088" s="20" t="str">
        <f t="shared" si="64"/>
        <v>N/A</v>
      </c>
      <c r="M2088" s="20" t="str">
        <f t="shared" si="65"/>
        <v>N/A</v>
      </c>
    </row>
    <row r="2089" spans="12:13">
      <c r="L2089" s="20" t="str">
        <f t="shared" si="64"/>
        <v>N/A</v>
      </c>
      <c r="M2089" s="20" t="str">
        <f t="shared" si="65"/>
        <v>N/A</v>
      </c>
    </row>
    <row r="2090" spans="12:13">
      <c r="L2090" s="20" t="str">
        <f t="shared" si="64"/>
        <v>N/A</v>
      </c>
      <c r="M2090" s="20" t="str">
        <f t="shared" si="65"/>
        <v>N/A</v>
      </c>
    </row>
    <row r="2091" spans="12:13">
      <c r="L2091" s="20" t="str">
        <f t="shared" si="64"/>
        <v>N/A</v>
      </c>
      <c r="M2091" s="20" t="str">
        <f t="shared" si="65"/>
        <v>N/A</v>
      </c>
    </row>
    <row r="2092" spans="12:13">
      <c r="L2092" s="20" t="str">
        <f t="shared" si="64"/>
        <v>N/A</v>
      </c>
      <c r="M2092" s="20" t="str">
        <f t="shared" si="65"/>
        <v>N/A</v>
      </c>
    </row>
    <row r="2093" spans="12:13">
      <c r="L2093" s="20" t="str">
        <f t="shared" si="64"/>
        <v>N/A</v>
      </c>
      <c r="M2093" s="20" t="str">
        <f t="shared" si="65"/>
        <v>N/A</v>
      </c>
    </row>
    <row r="2094" spans="12:13">
      <c r="L2094" s="20" t="str">
        <f t="shared" si="64"/>
        <v>N/A</v>
      </c>
      <c r="M2094" s="20" t="str">
        <f t="shared" si="65"/>
        <v>N/A</v>
      </c>
    </row>
    <row r="2095" spans="12:13">
      <c r="L2095" s="20" t="str">
        <f t="shared" si="64"/>
        <v>N/A</v>
      </c>
      <c r="M2095" s="20" t="str">
        <f t="shared" si="65"/>
        <v>N/A</v>
      </c>
    </row>
    <row r="2096" spans="12:13">
      <c r="L2096" s="20" t="str">
        <f t="shared" si="64"/>
        <v>N/A</v>
      </c>
      <c r="M2096" s="20" t="str">
        <f t="shared" si="65"/>
        <v>N/A</v>
      </c>
    </row>
    <row r="2097" spans="12:13">
      <c r="L2097" s="20" t="str">
        <f t="shared" si="64"/>
        <v>N/A</v>
      </c>
      <c r="M2097" s="20" t="str">
        <f t="shared" si="65"/>
        <v>N/A</v>
      </c>
    </row>
    <row r="2098" spans="12:13">
      <c r="L2098" s="20" t="str">
        <f t="shared" si="64"/>
        <v>N/A</v>
      </c>
      <c r="M2098" s="20" t="str">
        <f t="shared" si="65"/>
        <v>N/A</v>
      </c>
    </row>
    <row r="2099" spans="12:13">
      <c r="L2099" s="20" t="str">
        <f t="shared" si="64"/>
        <v>N/A</v>
      </c>
      <c r="M2099" s="20" t="str">
        <f t="shared" si="65"/>
        <v>N/A</v>
      </c>
    </row>
    <row r="2100" spans="12:13">
      <c r="L2100" s="20" t="str">
        <f t="shared" si="64"/>
        <v>N/A</v>
      </c>
      <c r="M2100" s="20" t="str">
        <f t="shared" si="65"/>
        <v>N/A</v>
      </c>
    </row>
    <row r="2101" spans="12:13">
      <c r="L2101" s="20" t="str">
        <f t="shared" si="64"/>
        <v>N/A</v>
      </c>
      <c r="M2101" s="20" t="str">
        <f t="shared" si="65"/>
        <v>N/A</v>
      </c>
    </row>
    <row r="2102" spans="12:13">
      <c r="L2102" s="20" t="str">
        <f t="shared" si="64"/>
        <v>N/A</v>
      </c>
      <c r="M2102" s="20" t="str">
        <f t="shared" si="65"/>
        <v>N/A</v>
      </c>
    </row>
    <row r="2103" spans="12:13">
      <c r="L2103" s="20" t="str">
        <f t="shared" si="64"/>
        <v>N/A</v>
      </c>
      <c r="M2103" s="20" t="str">
        <f t="shared" si="65"/>
        <v>N/A</v>
      </c>
    </row>
    <row r="2104" spans="12:13">
      <c r="L2104" s="20" t="str">
        <f t="shared" si="64"/>
        <v>N/A</v>
      </c>
      <c r="M2104" s="20" t="str">
        <f t="shared" si="65"/>
        <v>N/A</v>
      </c>
    </row>
    <row r="2105" spans="12:13">
      <c r="L2105" s="20" t="str">
        <f t="shared" si="64"/>
        <v>N/A</v>
      </c>
      <c r="M2105" s="20" t="str">
        <f t="shared" si="65"/>
        <v>N/A</v>
      </c>
    </row>
    <row r="2106" spans="12:13">
      <c r="L2106" s="20" t="str">
        <f t="shared" si="64"/>
        <v>N/A</v>
      </c>
      <c r="M2106" s="20" t="str">
        <f t="shared" si="65"/>
        <v>N/A</v>
      </c>
    </row>
    <row r="2107" spans="12:13">
      <c r="L2107" s="20" t="str">
        <f t="shared" si="64"/>
        <v>N/A</v>
      </c>
      <c r="M2107" s="20" t="str">
        <f t="shared" si="65"/>
        <v>N/A</v>
      </c>
    </row>
    <row r="2108" spans="12:13">
      <c r="L2108" s="20" t="str">
        <f t="shared" si="64"/>
        <v>N/A</v>
      </c>
      <c r="M2108" s="20" t="str">
        <f t="shared" si="65"/>
        <v>N/A</v>
      </c>
    </row>
    <row r="2109" spans="12:13">
      <c r="L2109" s="20" t="str">
        <f t="shared" si="64"/>
        <v>N/A</v>
      </c>
      <c r="M2109" s="20" t="str">
        <f t="shared" si="65"/>
        <v>N/A</v>
      </c>
    </row>
    <row r="2110" spans="12:13">
      <c r="L2110" s="20" t="str">
        <f t="shared" si="64"/>
        <v>N/A</v>
      </c>
      <c r="M2110" s="20" t="str">
        <f t="shared" si="65"/>
        <v>N/A</v>
      </c>
    </row>
    <row r="2111" spans="12:13">
      <c r="L2111" s="20" t="str">
        <f t="shared" si="64"/>
        <v>N/A</v>
      </c>
      <c r="M2111" s="20" t="str">
        <f t="shared" si="65"/>
        <v>N/A</v>
      </c>
    </row>
    <row r="2112" spans="12:13">
      <c r="L2112" s="20" t="str">
        <f t="shared" si="64"/>
        <v>N/A</v>
      </c>
      <c r="M2112" s="20" t="str">
        <f t="shared" si="65"/>
        <v>N/A</v>
      </c>
    </row>
    <row r="2113" spans="12:13">
      <c r="L2113" s="20" t="str">
        <f t="shared" si="64"/>
        <v>N/A</v>
      </c>
      <c r="M2113" s="20" t="str">
        <f t="shared" si="65"/>
        <v>N/A</v>
      </c>
    </row>
    <row r="2114" spans="12:13">
      <c r="L2114" s="20" t="str">
        <f t="shared" si="64"/>
        <v>N/A</v>
      </c>
      <c r="M2114" s="20" t="str">
        <f t="shared" si="65"/>
        <v>N/A</v>
      </c>
    </row>
    <row r="2115" spans="12:13">
      <c r="L2115" s="20" t="str">
        <f t="shared" ref="L2115:L2178" si="66">+IF(LEFT(D2115,1)="1","Asset","N/A")</f>
        <v>N/A</v>
      </c>
      <c r="M2115" s="20" t="str">
        <f t="shared" ref="M2115:M2178" si="67">+IF(L2115="asset",IF(H2115&lt;0,"Provide Comment","okay"),"N/A")</f>
        <v>N/A</v>
      </c>
    </row>
    <row r="2116" spans="12:13">
      <c r="L2116" s="20" t="str">
        <f t="shared" si="66"/>
        <v>N/A</v>
      </c>
      <c r="M2116" s="20" t="str">
        <f t="shared" si="67"/>
        <v>N/A</v>
      </c>
    </row>
    <row r="2117" spans="12:13">
      <c r="L2117" s="20" t="str">
        <f t="shared" si="66"/>
        <v>N/A</v>
      </c>
      <c r="M2117" s="20" t="str">
        <f t="shared" si="67"/>
        <v>N/A</v>
      </c>
    </row>
    <row r="2118" spans="12:13">
      <c r="L2118" s="20" t="str">
        <f t="shared" si="66"/>
        <v>N/A</v>
      </c>
      <c r="M2118" s="20" t="str">
        <f t="shared" si="67"/>
        <v>N/A</v>
      </c>
    </row>
    <row r="2119" spans="12:13">
      <c r="L2119" s="20" t="str">
        <f t="shared" si="66"/>
        <v>N/A</v>
      </c>
      <c r="M2119" s="20" t="str">
        <f t="shared" si="67"/>
        <v>N/A</v>
      </c>
    </row>
    <row r="2120" spans="12:13">
      <c r="L2120" s="20" t="str">
        <f t="shared" si="66"/>
        <v>N/A</v>
      </c>
      <c r="M2120" s="20" t="str">
        <f t="shared" si="67"/>
        <v>N/A</v>
      </c>
    </row>
    <row r="2121" spans="12:13">
      <c r="L2121" s="20" t="str">
        <f t="shared" si="66"/>
        <v>N/A</v>
      </c>
      <c r="M2121" s="20" t="str">
        <f t="shared" si="67"/>
        <v>N/A</v>
      </c>
    </row>
    <row r="2122" spans="12:13">
      <c r="L2122" s="20" t="str">
        <f t="shared" si="66"/>
        <v>N/A</v>
      </c>
      <c r="M2122" s="20" t="str">
        <f t="shared" si="67"/>
        <v>N/A</v>
      </c>
    </row>
    <row r="2123" spans="12:13">
      <c r="L2123" s="20" t="str">
        <f t="shared" si="66"/>
        <v>N/A</v>
      </c>
      <c r="M2123" s="20" t="str">
        <f t="shared" si="67"/>
        <v>N/A</v>
      </c>
    </row>
    <row r="2124" spans="12:13">
      <c r="L2124" s="20" t="str">
        <f t="shared" si="66"/>
        <v>N/A</v>
      </c>
      <c r="M2124" s="20" t="str">
        <f t="shared" si="67"/>
        <v>N/A</v>
      </c>
    </row>
    <row r="2125" spans="12:13">
      <c r="L2125" s="20" t="str">
        <f t="shared" si="66"/>
        <v>N/A</v>
      </c>
      <c r="M2125" s="20" t="str">
        <f t="shared" si="67"/>
        <v>N/A</v>
      </c>
    </row>
    <row r="2126" spans="12:13">
      <c r="L2126" s="20" t="str">
        <f t="shared" si="66"/>
        <v>N/A</v>
      </c>
      <c r="M2126" s="20" t="str">
        <f t="shared" si="67"/>
        <v>N/A</v>
      </c>
    </row>
    <row r="2127" spans="12:13">
      <c r="L2127" s="20" t="str">
        <f t="shared" si="66"/>
        <v>N/A</v>
      </c>
      <c r="M2127" s="20" t="str">
        <f t="shared" si="67"/>
        <v>N/A</v>
      </c>
    </row>
    <row r="2128" spans="12:13">
      <c r="L2128" s="20" t="str">
        <f t="shared" si="66"/>
        <v>N/A</v>
      </c>
      <c r="M2128" s="20" t="str">
        <f t="shared" si="67"/>
        <v>N/A</v>
      </c>
    </row>
    <row r="2129" spans="12:13">
      <c r="L2129" s="20" t="str">
        <f t="shared" si="66"/>
        <v>N/A</v>
      </c>
      <c r="M2129" s="20" t="str">
        <f t="shared" si="67"/>
        <v>N/A</v>
      </c>
    </row>
    <row r="2130" spans="12:13">
      <c r="L2130" s="20" t="str">
        <f t="shared" si="66"/>
        <v>N/A</v>
      </c>
      <c r="M2130" s="20" t="str">
        <f t="shared" si="67"/>
        <v>N/A</v>
      </c>
    </row>
    <row r="2131" spans="12:13">
      <c r="L2131" s="20" t="str">
        <f t="shared" si="66"/>
        <v>N/A</v>
      </c>
      <c r="M2131" s="20" t="str">
        <f t="shared" si="67"/>
        <v>N/A</v>
      </c>
    </row>
    <row r="2132" spans="12:13">
      <c r="L2132" s="20" t="str">
        <f t="shared" si="66"/>
        <v>N/A</v>
      </c>
      <c r="M2132" s="20" t="str">
        <f t="shared" si="67"/>
        <v>N/A</v>
      </c>
    </row>
    <row r="2133" spans="12:13">
      <c r="L2133" s="20" t="str">
        <f t="shared" si="66"/>
        <v>N/A</v>
      </c>
      <c r="M2133" s="20" t="str">
        <f t="shared" si="67"/>
        <v>N/A</v>
      </c>
    </row>
    <row r="2134" spans="12:13">
      <c r="L2134" s="20" t="str">
        <f t="shared" si="66"/>
        <v>N/A</v>
      </c>
      <c r="M2134" s="20" t="str">
        <f t="shared" si="67"/>
        <v>N/A</v>
      </c>
    </row>
    <row r="2135" spans="12:13">
      <c r="L2135" s="20" t="str">
        <f t="shared" si="66"/>
        <v>N/A</v>
      </c>
      <c r="M2135" s="20" t="str">
        <f t="shared" si="67"/>
        <v>N/A</v>
      </c>
    </row>
    <row r="2136" spans="12:13">
      <c r="L2136" s="20" t="str">
        <f t="shared" si="66"/>
        <v>N/A</v>
      </c>
      <c r="M2136" s="20" t="str">
        <f t="shared" si="67"/>
        <v>N/A</v>
      </c>
    </row>
    <row r="2137" spans="12:13">
      <c r="L2137" s="20" t="str">
        <f t="shared" si="66"/>
        <v>N/A</v>
      </c>
      <c r="M2137" s="20" t="str">
        <f t="shared" si="67"/>
        <v>N/A</v>
      </c>
    </row>
    <row r="2138" spans="12:13">
      <c r="L2138" s="20" t="str">
        <f t="shared" si="66"/>
        <v>N/A</v>
      </c>
      <c r="M2138" s="20" t="str">
        <f t="shared" si="67"/>
        <v>N/A</v>
      </c>
    </row>
    <row r="2139" spans="12:13">
      <c r="L2139" s="20" t="str">
        <f t="shared" si="66"/>
        <v>N/A</v>
      </c>
      <c r="M2139" s="20" t="str">
        <f t="shared" si="67"/>
        <v>N/A</v>
      </c>
    </row>
    <row r="2140" spans="12:13">
      <c r="L2140" s="20" t="str">
        <f t="shared" si="66"/>
        <v>N/A</v>
      </c>
      <c r="M2140" s="20" t="str">
        <f t="shared" si="67"/>
        <v>N/A</v>
      </c>
    </row>
    <row r="2141" spans="12:13">
      <c r="L2141" s="20" t="str">
        <f t="shared" si="66"/>
        <v>N/A</v>
      </c>
      <c r="M2141" s="20" t="str">
        <f t="shared" si="67"/>
        <v>N/A</v>
      </c>
    </row>
    <row r="2142" spans="12:13">
      <c r="L2142" s="20" t="str">
        <f t="shared" si="66"/>
        <v>N/A</v>
      </c>
      <c r="M2142" s="20" t="str">
        <f t="shared" si="67"/>
        <v>N/A</v>
      </c>
    </row>
    <row r="2143" spans="12:13">
      <c r="L2143" s="20" t="str">
        <f t="shared" si="66"/>
        <v>N/A</v>
      </c>
      <c r="M2143" s="20" t="str">
        <f t="shared" si="67"/>
        <v>N/A</v>
      </c>
    </row>
    <row r="2144" spans="12:13">
      <c r="L2144" s="20" t="str">
        <f t="shared" si="66"/>
        <v>N/A</v>
      </c>
      <c r="M2144" s="20" t="str">
        <f t="shared" si="67"/>
        <v>N/A</v>
      </c>
    </row>
    <row r="2145" spans="12:13">
      <c r="L2145" s="20" t="str">
        <f t="shared" si="66"/>
        <v>N/A</v>
      </c>
      <c r="M2145" s="20" t="str">
        <f t="shared" si="67"/>
        <v>N/A</v>
      </c>
    </row>
    <row r="2146" spans="12:13">
      <c r="L2146" s="20" t="str">
        <f t="shared" si="66"/>
        <v>N/A</v>
      </c>
      <c r="M2146" s="20" t="str">
        <f t="shared" si="67"/>
        <v>N/A</v>
      </c>
    </row>
    <row r="2147" spans="12:13">
      <c r="L2147" s="20" t="str">
        <f t="shared" si="66"/>
        <v>N/A</v>
      </c>
      <c r="M2147" s="20" t="str">
        <f t="shared" si="67"/>
        <v>N/A</v>
      </c>
    </row>
    <row r="2148" spans="12:13">
      <c r="L2148" s="20" t="str">
        <f t="shared" si="66"/>
        <v>N/A</v>
      </c>
      <c r="M2148" s="20" t="str">
        <f t="shared" si="67"/>
        <v>N/A</v>
      </c>
    </row>
    <row r="2149" spans="12:13">
      <c r="L2149" s="20" t="str">
        <f t="shared" si="66"/>
        <v>N/A</v>
      </c>
      <c r="M2149" s="20" t="str">
        <f t="shared" si="67"/>
        <v>N/A</v>
      </c>
    </row>
    <row r="2150" spans="12:13">
      <c r="L2150" s="20" t="str">
        <f t="shared" si="66"/>
        <v>N/A</v>
      </c>
      <c r="M2150" s="20" t="str">
        <f t="shared" si="67"/>
        <v>N/A</v>
      </c>
    </row>
    <row r="2151" spans="12:13">
      <c r="L2151" s="20" t="str">
        <f t="shared" si="66"/>
        <v>N/A</v>
      </c>
      <c r="M2151" s="20" t="str">
        <f t="shared" si="67"/>
        <v>N/A</v>
      </c>
    </row>
    <row r="2152" spans="12:13">
      <c r="L2152" s="20" t="str">
        <f t="shared" si="66"/>
        <v>N/A</v>
      </c>
      <c r="M2152" s="20" t="str">
        <f t="shared" si="67"/>
        <v>N/A</v>
      </c>
    </row>
    <row r="2153" spans="12:13">
      <c r="L2153" s="20" t="str">
        <f t="shared" si="66"/>
        <v>N/A</v>
      </c>
      <c r="M2153" s="20" t="str">
        <f t="shared" si="67"/>
        <v>N/A</v>
      </c>
    </row>
    <row r="2154" spans="12:13">
      <c r="L2154" s="20" t="str">
        <f t="shared" si="66"/>
        <v>N/A</v>
      </c>
      <c r="M2154" s="20" t="str">
        <f t="shared" si="67"/>
        <v>N/A</v>
      </c>
    </row>
    <row r="2155" spans="12:13">
      <c r="L2155" s="20" t="str">
        <f t="shared" si="66"/>
        <v>N/A</v>
      </c>
      <c r="M2155" s="20" t="str">
        <f t="shared" si="67"/>
        <v>N/A</v>
      </c>
    </row>
    <row r="2156" spans="12:13">
      <c r="L2156" s="20" t="str">
        <f t="shared" si="66"/>
        <v>N/A</v>
      </c>
      <c r="M2156" s="20" t="str">
        <f t="shared" si="67"/>
        <v>N/A</v>
      </c>
    </row>
    <row r="2157" spans="12:13">
      <c r="L2157" s="20" t="str">
        <f t="shared" si="66"/>
        <v>N/A</v>
      </c>
      <c r="M2157" s="20" t="str">
        <f t="shared" si="67"/>
        <v>N/A</v>
      </c>
    </row>
    <row r="2158" spans="12:13">
      <c r="L2158" s="20" t="str">
        <f t="shared" si="66"/>
        <v>N/A</v>
      </c>
      <c r="M2158" s="20" t="str">
        <f t="shared" si="67"/>
        <v>N/A</v>
      </c>
    </row>
    <row r="2159" spans="12:13">
      <c r="L2159" s="20" t="str">
        <f t="shared" si="66"/>
        <v>N/A</v>
      </c>
      <c r="M2159" s="20" t="str">
        <f t="shared" si="67"/>
        <v>N/A</v>
      </c>
    </row>
    <row r="2160" spans="12:13">
      <c r="L2160" s="20" t="str">
        <f t="shared" si="66"/>
        <v>N/A</v>
      </c>
      <c r="M2160" s="20" t="str">
        <f t="shared" si="67"/>
        <v>N/A</v>
      </c>
    </row>
    <row r="2161" spans="12:13">
      <c r="L2161" s="20" t="str">
        <f t="shared" si="66"/>
        <v>N/A</v>
      </c>
      <c r="M2161" s="20" t="str">
        <f t="shared" si="67"/>
        <v>N/A</v>
      </c>
    </row>
    <row r="2162" spans="12:13">
      <c r="L2162" s="20" t="str">
        <f t="shared" si="66"/>
        <v>N/A</v>
      </c>
      <c r="M2162" s="20" t="str">
        <f t="shared" si="67"/>
        <v>N/A</v>
      </c>
    </row>
    <row r="2163" spans="12:13">
      <c r="L2163" s="20" t="str">
        <f t="shared" si="66"/>
        <v>N/A</v>
      </c>
      <c r="M2163" s="20" t="str">
        <f t="shared" si="67"/>
        <v>N/A</v>
      </c>
    </row>
    <row r="2164" spans="12:13">
      <c r="L2164" s="20" t="str">
        <f t="shared" si="66"/>
        <v>N/A</v>
      </c>
      <c r="M2164" s="20" t="str">
        <f t="shared" si="67"/>
        <v>N/A</v>
      </c>
    </row>
    <row r="2165" spans="12:13">
      <c r="L2165" s="20" t="str">
        <f t="shared" si="66"/>
        <v>N/A</v>
      </c>
      <c r="M2165" s="20" t="str">
        <f t="shared" si="67"/>
        <v>N/A</v>
      </c>
    </row>
    <row r="2166" spans="12:13">
      <c r="L2166" s="20" t="str">
        <f t="shared" si="66"/>
        <v>N/A</v>
      </c>
      <c r="M2166" s="20" t="str">
        <f t="shared" si="67"/>
        <v>N/A</v>
      </c>
    </row>
    <row r="2167" spans="12:13">
      <c r="L2167" s="20" t="str">
        <f t="shared" si="66"/>
        <v>N/A</v>
      </c>
      <c r="M2167" s="20" t="str">
        <f t="shared" si="67"/>
        <v>N/A</v>
      </c>
    </row>
    <row r="2168" spans="12:13">
      <c r="L2168" s="20" t="str">
        <f t="shared" si="66"/>
        <v>N/A</v>
      </c>
      <c r="M2168" s="20" t="str">
        <f t="shared" si="67"/>
        <v>N/A</v>
      </c>
    </row>
    <row r="2169" spans="12:13">
      <c r="L2169" s="20" t="str">
        <f t="shared" si="66"/>
        <v>N/A</v>
      </c>
      <c r="M2169" s="20" t="str">
        <f t="shared" si="67"/>
        <v>N/A</v>
      </c>
    </row>
    <row r="2170" spans="12:13">
      <c r="L2170" s="20" t="str">
        <f t="shared" si="66"/>
        <v>N/A</v>
      </c>
      <c r="M2170" s="20" t="str">
        <f t="shared" si="67"/>
        <v>N/A</v>
      </c>
    </row>
    <row r="2171" spans="12:13">
      <c r="L2171" s="20" t="str">
        <f t="shared" si="66"/>
        <v>N/A</v>
      </c>
      <c r="M2171" s="20" t="str">
        <f t="shared" si="67"/>
        <v>N/A</v>
      </c>
    </row>
    <row r="2172" spans="12:13">
      <c r="L2172" s="20" t="str">
        <f t="shared" si="66"/>
        <v>N/A</v>
      </c>
      <c r="M2172" s="20" t="str">
        <f t="shared" si="67"/>
        <v>N/A</v>
      </c>
    </row>
    <row r="2173" spans="12:13">
      <c r="L2173" s="20" t="str">
        <f t="shared" si="66"/>
        <v>N/A</v>
      </c>
      <c r="M2173" s="20" t="str">
        <f t="shared" si="67"/>
        <v>N/A</v>
      </c>
    </row>
    <row r="2174" spans="12:13">
      <c r="L2174" s="20" t="str">
        <f t="shared" si="66"/>
        <v>N/A</v>
      </c>
      <c r="M2174" s="20" t="str">
        <f t="shared" si="67"/>
        <v>N/A</v>
      </c>
    </row>
    <row r="2175" spans="12:13">
      <c r="L2175" s="20" t="str">
        <f t="shared" si="66"/>
        <v>N/A</v>
      </c>
      <c r="M2175" s="20" t="str">
        <f t="shared" si="67"/>
        <v>N/A</v>
      </c>
    </row>
    <row r="2176" spans="12:13">
      <c r="L2176" s="20" t="str">
        <f t="shared" si="66"/>
        <v>N/A</v>
      </c>
      <c r="M2176" s="20" t="str">
        <f t="shared" si="67"/>
        <v>N/A</v>
      </c>
    </row>
    <row r="2177" spans="12:13">
      <c r="L2177" s="20" t="str">
        <f t="shared" si="66"/>
        <v>N/A</v>
      </c>
      <c r="M2177" s="20" t="str">
        <f t="shared" si="67"/>
        <v>N/A</v>
      </c>
    </row>
    <row r="2178" spans="12:13">
      <c r="L2178" s="20" t="str">
        <f t="shared" si="66"/>
        <v>N/A</v>
      </c>
      <c r="M2178" s="20" t="str">
        <f t="shared" si="67"/>
        <v>N/A</v>
      </c>
    </row>
    <row r="2179" spans="12:13">
      <c r="L2179" s="20" t="str">
        <f t="shared" ref="L2179:L2242" si="68">+IF(LEFT(D2179,1)="1","Asset","N/A")</f>
        <v>N/A</v>
      </c>
      <c r="M2179" s="20" t="str">
        <f t="shared" ref="M2179:M2242" si="69">+IF(L2179="asset",IF(H2179&lt;0,"Provide Comment","okay"),"N/A")</f>
        <v>N/A</v>
      </c>
    </row>
    <row r="2180" spans="12:13">
      <c r="L2180" s="20" t="str">
        <f t="shared" si="68"/>
        <v>N/A</v>
      </c>
      <c r="M2180" s="20" t="str">
        <f t="shared" si="69"/>
        <v>N/A</v>
      </c>
    </row>
    <row r="2181" spans="12:13">
      <c r="L2181" s="20" t="str">
        <f t="shared" si="68"/>
        <v>N/A</v>
      </c>
      <c r="M2181" s="20" t="str">
        <f t="shared" si="69"/>
        <v>N/A</v>
      </c>
    </row>
    <row r="2182" spans="12:13">
      <c r="L2182" s="20" t="str">
        <f t="shared" si="68"/>
        <v>N/A</v>
      </c>
      <c r="M2182" s="20" t="str">
        <f t="shared" si="69"/>
        <v>N/A</v>
      </c>
    </row>
    <row r="2183" spans="12:13">
      <c r="L2183" s="20" t="str">
        <f t="shared" si="68"/>
        <v>N/A</v>
      </c>
      <c r="M2183" s="20" t="str">
        <f t="shared" si="69"/>
        <v>N/A</v>
      </c>
    </row>
    <row r="2184" spans="12:13">
      <c r="L2184" s="20" t="str">
        <f t="shared" si="68"/>
        <v>N/A</v>
      </c>
      <c r="M2184" s="20" t="str">
        <f t="shared" si="69"/>
        <v>N/A</v>
      </c>
    </row>
    <row r="2185" spans="12:13">
      <c r="L2185" s="20" t="str">
        <f t="shared" si="68"/>
        <v>N/A</v>
      </c>
      <c r="M2185" s="20" t="str">
        <f t="shared" si="69"/>
        <v>N/A</v>
      </c>
    </row>
    <row r="2186" spans="12:13">
      <c r="L2186" s="20" t="str">
        <f t="shared" si="68"/>
        <v>N/A</v>
      </c>
      <c r="M2186" s="20" t="str">
        <f t="shared" si="69"/>
        <v>N/A</v>
      </c>
    </row>
    <row r="2187" spans="12:13">
      <c r="L2187" s="20" t="str">
        <f t="shared" si="68"/>
        <v>N/A</v>
      </c>
      <c r="M2187" s="20" t="str">
        <f t="shared" si="69"/>
        <v>N/A</v>
      </c>
    </row>
    <row r="2188" spans="12:13">
      <c r="L2188" s="20" t="str">
        <f t="shared" si="68"/>
        <v>N/A</v>
      </c>
      <c r="M2188" s="20" t="str">
        <f t="shared" si="69"/>
        <v>N/A</v>
      </c>
    </row>
    <row r="2189" spans="12:13">
      <c r="L2189" s="20" t="str">
        <f t="shared" si="68"/>
        <v>N/A</v>
      </c>
      <c r="M2189" s="20" t="str">
        <f t="shared" si="69"/>
        <v>N/A</v>
      </c>
    </row>
    <row r="2190" spans="12:13">
      <c r="L2190" s="20" t="str">
        <f t="shared" si="68"/>
        <v>N/A</v>
      </c>
      <c r="M2190" s="20" t="str">
        <f t="shared" si="69"/>
        <v>N/A</v>
      </c>
    </row>
    <row r="2191" spans="12:13">
      <c r="L2191" s="20" t="str">
        <f t="shared" si="68"/>
        <v>N/A</v>
      </c>
      <c r="M2191" s="20" t="str">
        <f t="shared" si="69"/>
        <v>N/A</v>
      </c>
    </row>
    <row r="2192" spans="12:13">
      <c r="L2192" s="20" t="str">
        <f t="shared" si="68"/>
        <v>N/A</v>
      </c>
      <c r="M2192" s="20" t="str">
        <f t="shared" si="69"/>
        <v>N/A</v>
      </c>
    </row>
    <row r="2193" spans="12:13">
      <c r="L2193" s="20" t="str">
        <f t="shared" si="68"/>
        <v>N/A</v>
      </c>
      <c r="M2193" s="20" t="str">
        <f t="shared" si="69"/>
        <v>N/A</v>
      </c>
    </row>
    <row r="2194" spans="12:13">
      <c r="L2194" s="20" t="str">
        <f t="shared" si="68"/>
        <v>N/A</v>
      </c>
      <c r="M2194" s="20" t="str">
        <f t="shared" si="69"/>
        <v>N/A</v>
      </c>
    </row>
    <row r="2195" spans="12:13">
      <c r="L2195" s="20" t="str">
        <f t="shared" si="68"/>
        <v>N/A</v>
      </c>
      <c r="M2195" s="20" t="str">
        <f t="shared" si="69"/>
        <v>N/A</v>
      </c>
    </row>
    <row r="2196" spans="12:13">
      <c r="L2196" s="20" t="str">
        <f t="shared" si="68"/>
        <v>N/A</v>
      </c>
      <c r="M2196" s="20" t="str">
        <f t="shared" si="69"/>
        <v>N/A</v>
      </c>
    </row>
    <row r="2197" spans="12:13">
      <c r="L2197" s="20" t="str">
        <f t="shared" si="68"/>
        <v>N/A</v>
      </c>
      <c r="M2197" s="20" t="str">
        <f t="shared" si="69"/>
        <v>N/A</v>
      </c>
    </row>
    <row r="2198" spans="12:13">
      <c r="L2198" s="20" t="str">
        <f t="shared" si="68"/>
        <v>N/A</v>
      </c>
      <c r="M2198" s="20" t="str">
        <f t="shared" si="69"/>
        <v>N/A</v>
      </c>
    </row>
    <row r="2199" spans="12:13">
      <c r="L2199" s="20" t="str">
        <f t="shared" si="68"/>
        <v>N/A</v>
      </c>
      <c r="M2199" s="20" t="str">
        <f t="shared" si="69"/>
        <v>N/A</v>
      </c>
    </row>
    <row r="2200" spans="12:13">
      <c r="L2200" s="20" t="str">
        <f t="shared" si="68"/>
        <v>N/A</v>
      </c>
      <c r="M2200" s="20" t="str">
        <f t="shared" si="69"/>
        <v>N/A</v>
      </c>
    </row>
    <row r="2201" spans="12:13">
      <c r="L2201" s="20" t="str">
        <f t="shared" si="68"/>
        <v>N/A</v>
      </c>
      <c r="M2201" s="20" t="str">
        <f t="shared" si="69"/>
        <v>N/A</v>
      </c>
    </row>
    <row r="2202" spans="12:13">
      <c r="L2202" s="20" t="str">
        <f t="shared" si="68"/>
        <v>N/A</v>
      </c>
      <c r="M2202" s="20" t="str">
        <f t="shared" si="69"/>
        <v>N/A</v>
      </c>
    </row>
    <row r="2203" spans="12:13">
      <c r="L2203" s="20" t="str">
        <f t="shared" si="68"/>
        <v>N/A</v>
      </c>
      <c r="M2203" s="20" t="str">
        <f t="shared" si="69"/>
        <v>N/A</v>
      </c>
    </row>
    <row r="2204" spans="12:13">
      <c r="L2204" s="20" t="str">
        <f t="shared" si="68"/>
        <v>N/A</v>
      </c>
      <c r="M2204" s="20" t="str">
        <f t="shared" si="69"/>
        <v>N/A</v>
      </c>
    </row>
    <row r="2205" spans="12:13">
      <c r="L2205" s="20" t="str">
        <f t="shared" si="68"/>
        <v>N/A</v>
      </c>
      <c r="M2205" s="20" t="str">
        <f t="shared" si="69"/>
        <v>N/A</v>
      </c>
    </row>
    <row r="2206" spans="12:13">
      <c r="L2206" s="20" t="str">
        <f t="shared" si="68"/>
        <v>N/A</v>
      </c>
      <c r="M2206" s="20" t="str">
        <f t="shared" si="69"/>
        <v>N/A</v>
      </c>
    </row>
    <row r="2207" spans="12:13">
      <c r="L2207" s="20" t="str">
        <f t="shared" si="68"/>
        <v>N/A</v>
      </c>
      <c r="M2207" s="20" t="str">
        <f t="shared" si="69"/>
        <v>N/A</v>
      </c>
    </row>
    <row r="2208" spans="12:13">
      <c r="L2208" s="20" t="str">
        <f t="shared" si="68"/>
        <v>N/A</v>
      </c>
      <c r="M2208" s="20" t="str">
        <f t="shared" si="69"/>
        <v>N/A</v>
      </c>
    </row>
    <row r="2209" spans="12:13">
      <c r="L2209" s="20" t="str">
        <f t="shared" si="68"/>
        <v>N/A</v>
      </c>
      <c r="M2209" s="20" t="str">
        <f t="shared" si="69"/>
        <v>N/A</v>
      </c>
    </row>
    <row r="2210" spans="12:13">
      <c r="L2210" s="20" t="str">
        <f t="shared" si="68"/>
        <v>N/A</v>
      </c>
      <c r="M2210" s="20" t="str">
        <f t="shared" si="69"/>
        <v>N/A</v>
      </c>
    </row>
    <row r="2211" spans="12:13">
      <c r="L2211" s="20" t="str">
        <f t="shared" si="68"/>
        <v>N/A</v>
      </c>
      <c r="M2211" s="20" t="str">
        <f t="shared" si="69"/>
        <v>N/A</v>
      </c>
    </row>
    <row r="2212" spans="12:13">
      <c r="L2212" s="20" t="str">
        <f t="shared" si="68"/>
        <v>N/A</v>
      </c>
      <c r="M2212" s="20" t="str">
        <f t="shared" si="69"/>
        <v>N/A</v>
      </c>
    </row>
    <row r="2213" spans="12:13">
      <c r="L2213" s="20" t="str">
        <f t="shared" si="68"/>
        <v>N/A</v>
      </c>
      <c r="M2213" s="20" t="str">
        <f t="shared" si="69"/>
        <v>N/A</v>
      </c>
    </row>
    <row r="2214" spans="12:13">
      <c r="L2214" s="20" t="str">
        <f t="shared" si="68"/>
        <v>N/A</v>
      </c>
      <c r="M2214" s="20" t="str">
        <f t="shared" si="69"/>
        <v>N/A</v>
      </c>
    </row>
    <row r="2215" spans="12:13">
      <c r="L2215" s="20" t="str">
        <f t="shared" si="68"/>
        <v>N/A</v>
      </c>
      <c r="M2215" s="20" t="str">
        <f t="shared" si="69"/>
        <v>N/A</v>
      </c>
    </row>
    <row r="2216" spans="12:13">
      <c r="L2216" s="20" t="str">
        <f t="shared" si="68"/>
        <v>N/A</v>
      </c>
      <c r="M2216" s="20" t="str">
        <f t="shared" si="69"/>
        <v>N/A</v>
      </c>
    </row>
    <row r="2217" spans="12:13">
      <c r="L2217" s="20" t="str">
        <f t="shared" si="68"/>
        <v>N/A</v>
      </c>
      <c r="M2217" s="20" t="str">
        <f t="shared" si="69"/>
        <v>N/A</v>
      </c>
    </row>
    <row r="2218" spans="12:13">
      <c r="L2218" s="20" t="str">
        <f t="shared" si="68"/>
        <v>N/A</v>
      </c>
      <c r="M2218" s="20" t="str">
        <f t="shared" si="69"/>
        <v>N/A</v>
      </c>
    </row>
    <row r="2219" spans="12:13">
      <c r="L2219" s="20" t="str">
        <f t="shared" si="68"/>
        <v>N/A</v>
      </c>
      <c r="M2219" s="20" t="str">
        <f t="shared" si="69"/>
        <v>N/A</v>
      </c>
    </row>
    <row r="2220" spans="12:13">
      <c r="L2220" s="20" t="str">
        <f t="shared" si="68"/>
        <v>N/A</v>
      </c>
      <c r="M2220" s="20" t="str">
        <f t="shared" si="69"/>
        <v>N/A</v>
      </c>
    </row>
    <row r="2221" spans="12:13">
      <c r="L2221" s="20" t="str">
        <f t="shared" si="68"/>
        <v>N/A</v>
      </c>
      <c r="M2221" s="20" t="str">
        <f t="shared" si="69"/>
        <v>N/A</v>
      </c>
    </row>
    <row r="2222" spans="12:13">
      <c r="L2222" s="20" t="str">
        <f t="shared" si="68"/>
        <v>N/A</v>
      </c>
      <c r="M2222" s="20" t="str">
        <f t="shared" si="69"/>
        <v>N/A</v>
      </c>
    </row>
    <row r="2223" spans="12:13">
      <c r="L2223" s="20" t="str">
        <f t="shared" si="68"/>
        <v>N/A</v>
      </c>
      <c r="M2223" s="20" t="str">
        <f t="shared" si="69"/>
        <v>N/A</v>
      </c>
    </row>
    <row r="2224" spans="12:13">
      <c r="L2224" s="20" t="str">
        <f t="shared" si="68"/>
        <v>N/A</v>
      </c>
      <c r="M2224" s="20" t="str">
        <f t="shared" si="69"/>
        <v>N/A</v>
      </c>
    </row>
    <row r="2225" spans="12:13">
      <c r="L2225" s="20" t="str">
        <f t="shared" si="68"/>
        <v>N/A</v>
      </c>
      <c r="M2225" s="20" t="str">
        <f t="shared" si="69"/>
        <v>N/A</v>
      </c>
    </row>
    <row r="2226" spans="12:13">
      <c r="L2226" s="20" t="str">
        <f t="shared" si="68"/>
        <v>N/A</v>
      </c>
      <c r="M2226" s="20" t="str">
        <f t="shared" si="69"/>
        <v>N/A</v>
      </c>
    </row>
    <row r="2227" spans="12:13">
      <c r="L2227" s="20" t="str">
        <f t="shared" si="68"/>
        <v>N/A</v>
      </c>
      <c r="M2227" s="20" t="str">
        <f t="shared" si="69"/>
        <v>N/A</v>
      </c>
    </row>
    <row r="2228" spans="12:13">
      <c r="L2228" s="20" t="str">
        <f t="shared" si="68"/>
        <v>N/A</v>
      </c>
      <c r="M2228" s="20" t="str">
        <f t="shared" si="69"/>
        <v>N/A</v>
      </c>
    </row>
    <row r="2229" spans="12:13">
      <c r="L2229" s="20" t="str">
        <f t="shared" si="68"/>
        <v>N/A</v>
      </c>
      <c r="M2229" s="20" t="str">
        <f t="shared" si="69"/>
        <v>N/A</v>
      </c>
    </row>
    <row r="2230" spans="12:13">
      <c r="L2230" s="20" t="str">
        <f t="shared" si="68"/>
        <v>N/A</v>
      </c>
      <c r="M2230" s="20" t="str">
        <f t="shared" si="69"/>
        <v>N/A</v>
      </c>
    </row>
    <row r="2231" spans="12:13">
      <c r="L2231" s="20" t="str">
        <f t="shared" si="68"/>
        <v>N/A</v>
      </c>
      <c r="M2231" s="20" t="str">
        <f t="shared" si="69"/>
        <v>N/A</v>
      </c>
    </row>
    <row r="2232" spans="12:13">
      <c r="L2232" s="20" t="str">
        <f t="shared" si="68"/>
        <v>N/A</v>
      </c>
      <c r="M2232" s="20" t="str">
        <f t="shared" si="69"/>
        <v>N/A</v>
      </c>
    </row>
    <row r="2233" spans="12:13">
      <c r="L2233" s="20" t="str">
        <f t="shared" si="68"/>
        <v>N/A</v>
      </c>
      <c r="M2233" s="20" t="str">
        <f t="shared" si="69"/>
        <v>N/A</v>
      </c>
    </row>
    <row r="2234" spans="12:13">
      <c r="L2234" s="20" t="str">
        <f t="shared" si="68"/>
        <v>N/A</v>
      </c>
      <c r="M2234" s="20" t="str">
        <f t="shared" si="69"/>
        <v>N/A</v>
      </c>
    </row>
    <row r="2235" spans="12:13">
      <c r="L2235" s="20" t="str">
        <f t="shared" si="68"/>
        <v>N/A</v>
      </c>
      <c r="M2235" s="20" t="str">
        <f t="shared" si="69"/>
        <v>N/A</v>
      </c>
    </row>
    <row r="2236" spans="12:13">
      <c r="L2236" s="20" t="str">
        <f t="shared" si="68"/>
        <v>N/A</v>
      </c>
      <c r="M2236" s="20" t="str">
        <f t="shared" si="69"/>
        <v>N/A</v>
      </c>
    </row>
    <row r="2237" spans="12:13">
      <c r="L2237" s="20" t="str">
        <f t="shared" si="68"/>
        <v>N/A</v>
      </c>
      <c r="M2237" s="20" t="str">
        <f t="shared" si="69"/>
        <v>N/A</v>
      </c>
    </row>
    <row r="2238" spans="12:13">
      <c r="L2238" s="20" t="str">
        <f t="shared" si="68"/>
        <v>N/A</v>
      </c>
      <c r="M2238" s="20" t="str">
        <f t="shared" si="69"/>
        <v>N/A</v>
      </c>
    </row>
    <row r="2239" spans="12:13">
      <c r="L2239" s="20" t="str">
        <f t="shared" si="68"/>
        <v>N/A</v>
      </c>
      <c r="M2239" s="20" t="str">
        <f t="shared" si="69"/>
        <v>N/A</v>
      </c>
    </row>
    <row r="2240" spans="12:13">
      <c r="L2240" s="20" t="str">
        <f t="shared" si="68"/>
        <v>N/A</v>
      </c>
      <c r="M2240" s="20" t="str">
        <f t="shared" si="69"/>
        <v>N/A</v>
      </c>
    </row>
    <row r="2241" spans="12:13">
      <c r="L2241" s="20" t="str">
        <f t="shared" si="68"/>
        <v>N/A</v>
      </c>
      <c r="M2241" s="20" t="str">
        <f t="shared" si="69"/>
        <v>N/A</v>
      </c>
    </row>
    <row r="2242" spans="12:13">
      <c r="L2242" s="20" t="str">
        <f t="shared" si="68"/>
        <v>N/A</v>
      </c>
      <c r="M2242" s="20" t="str">
        <f t="shared" si="69"/>
        <v>N/A</v>
      </c>
    </row>
    <row r="2243" spans="12:13">
      <c r="L2243" s="20" t="str">
        <f t="shared" ref="L2243:L2306" si="70">+IF(LEFT(D2243,1)="1","Asset","N/A")</f>
        <v>N/A</v>
      </c>
      <c r="M2243" s="20" t="str">
        <f t="shared" ref="M2243:M2306" si="71">+IF(L2243="asset",IF(H2243&lt;0,"Provide Comment","okay"),"N/A")</f>
        <v>N/A</v>
      </c>
    </row>
    <row r="2244" spans="12:13">
      <c r="L2244" s="20" t="str">
        <f t="shared" si="70"/>
        <v>N/A</v>
      </c>
      <c r="M2244" s="20" t="str">
        <f t="shared" si="71"/>
        <v>N/A</v>
      </c>
    </row>
    <row r="2245" spans="12:13">
      <c r="L2245" s="20" t="str">
        <f t="shared" si="70"/>
        <v>N/A</v>
      </c>
      <c r="M2245" s="20" t="str">
        <f t="shared" si="71"/>
        <v>N/A</v>
      </c>
    </row>
    <row r="2246" spans="12:13">
      <c r="L2246" s="20" t="str">
        <f t="shared" si="70"/>
        <v>N/A</v>
      </c>
      <c r="M2246" s="20" t="str">
        <f t="shared" si="71"/>
        <v>N/A</v>
      </c>
    </row>
    <row r="2247" spans="12:13">
      <c r="L2247" s="20" t="str">
        <f t="shared" si="70"/>
        <v>N/A</v>
      </c>
      <c r="M2247" s="20" t="str">
        <f t="shared" si="71"/>
        <v>N/A</v>
      </c>
    </row>
    <row r="2248" spans="12:13">
      <c r="L2248" s="20" t="str">
        <f t="shared" si="70"/>
        <v>N/A</v>
      </c>
      <c r="M2248" s="20" t="str">
        <f t="shared" si="71"/>
        <v>N/A</v>
      </c>
    </row>
    <row r="2249" spans="12:13">
      <c r="L2249" s="20" t="str">
        <f t="shared" si="70"/>
        <v>N/A</v>
      </c>
      <c r="M2249" s="20" t="str">
        <f t="shared" si="71"/>
        <v>N/A</v>
      </c>
    </row>
    <row r="2250" spans="12:13">
      <c r="L2250" s="20" t="str">
        <f t="shared" si="70"/>
        <v>N/A</v>
      </c>
      <c r="M2250" s="20" t="str">
        <f t="shared" si="71"/>
        <v>N/A</v>
      </c>
    </row>
    <row r="2251" spans="12:13">
      <c r="L2251" s="20" t="str">
        <f t="shared" si="70"/>
        <v>N/A</v>
      </c>
      <c r="M2251" s="20" t="str">
        <f t="shared" si="71"/>
        <v>N/A</v>
      </c>
    </row>
    <row r="2252" spans="12:13">
      <c r="L2252" s="20" t="str">
        <f t="shared" si="70"/>
        <v>N/A</v>
      </c>
      <c r="M2252" s="20" t="str">
        <f t="shared" si="71"/>
        <v>N/A</v>
      </c>
    </row>
    <row r="2253" spans="12:13">
      <c r="L2253" s="20" t="str">
        <f t="shared" si="70"/>
        <v>N/A</v>
      </c>
      <c r="M2253" s="20" t="str">
        <f t="shared" si="71"/>
        <v>N/A</v>
      </c>
    </row>
    <row r="2254" spans="12:13">
      <c r="L2254" s="20" t="str">
        <f t="shared" si="70"/>
        <v>N/A</v>
      </c>
      <c r="M2254" s="20" t="str">
        <f t="shared" si="71"/>
        <v>N/A</v>
      </c>
    </row>
    <row r="2255" spans="12:13">
      <c r="L2255" s="20" t="str">
        <f t="shared" si="70"/>
        <v>N/A</v>
      </c>
      <c r="M2255" s="20" t="str">
        <f t="shared" si="71"/>
        <v>N/A</v>
      </c>
    </row>
    <row r="2256" spans="12:13">
      <c r="L2256" s="20" t="str">
        <f t="shared" si="70"/>
        <v>N/A</v>
      </c>
      <c r="M2256" s="20" t="str">
        <f t="shared" si="71"/>
        <v>N/A</v>
      </c>
    </row>
    <row r="2257" spans="12:13">
      <c r="L2257" s="20" t="str">
        <f t="shared" si="70"/>
        <v>N/A</v>
      </c>
      <c r="M2257" s="20" t="str">
        <f t="shared" si="71"/>
        <v>N/A</v>
      </c>
    </row>
    <row r="2258" spans="12:13">
      <c r="L2258" s="20" t="str">
        <f t="shared" si="70"/>
        <v>N/A</v>
      </c>
      <c r="M2258" s="20" t="str">
        <f t="shared" si="71"/>
        <v>N/A</v>
      </c>
    </row>
    <row r="2259" spans="12:13">
      <c r="L2259" s="20" t="str">
        <f t="shared" si="70"/>
        <v>N/A</v>
      </c>
      <c r="M2259" s="20" t="str">
        <f t="shared" si="71"/>
        <v>N/A</v>
      </c>
    </row>
    <row r="2260" spans="12:13">
      <c r="L2260" s="20" t="str">
        <f t="shared" si="70"/>
        <v>N/A</v>
      </c>
      <c r="M2260" s="20" t="str">
        <f t="shared" si="71"/>
        <v>N/A</v>
      </c>
    </row>
    <row r="2261" spans="12:13">
      <c r="L2261" s="20" t="str">
        <f t="shared" si="70"/>
        <v>N/A</v>
      </c>
      <c r="M2261" s="20" t="str">
        <f t="shared" si="71"/>
        <v>N/A</v>
      </c>
    </row>
    <row r="2262" spans="12:13">
      <c r="L2262" s="20" t="str">
        <f t="shared" si="70"/>
        <v>N/A</v>
      </c>
      <c r="M2262" s="20" t="str">
        <f t="shared" si="71"/>
        <v>N/A</v>
      </c>
    </row>
    <row r="2263" spans="12:13">
      <c r="L2263" s="20" t="str">
        <f t="shared" si="70"/>
        <v>N/A</v>
      </c>
      <c r="M2263" s="20" t="str">
        <f t="shared" si="71"/>
        <v>N/A</v>
      </c>
    </row>
    <row r="2264" spans="12:13">
      <c r="L2264" s="20" t="str">
        <f t="shared" si="70"/>
        <v>N/A</v>
      </c>
      <c r="M2264" s="20" t="str">
        <f t="shared" si="71"/>
        <v>N/A</v>
      </c>
    </row>
    <row r="2265" spans="12:13">
      <c r="L2265" s="20" t="str">
        <f t="shared" si="70"/>
        <v>N/A</v>
      </c>
      <c r="M2265" s="20" t="str">
        <f t="shared" si="71"/>
        <v>N/A</v>
      </c>
    </row>
    <row r="2266" spans="12:13">
      <c r="L2266" s="20" t="str">
        <f t="shared" si="70"/>
        <v>N/A</v>
      </c>
      <c r="M2266" s="20" t="str">
        <f t="shared" si="71"/>
        <v>N/A</v>
      </c>
    </row>
    <row r="2267" spans="12:13">
      <c r="L2267" s="20" t="str">
        <f t="shared" si="70"/>
        <v>N/A</v>
      </c>
      <c r="M2267" s="20" t="str">
        <f t="shared" si="71"/>
        <v>N/A</v>
      </c>
    </row>
    <row r="2268" spans="12:13">
      <c r="L2268" s="20" t="str">
        <f t="shared" si="70"/>
        <v>N/A</v>
      </c>
      <c r="M2268" s="20" t="str">
        <f t="shared" si="71"/>
        <v>N/A</v>
      </c>
    </row>
    <row r="2269" spans="12:13">
      <c r="L2269" s="20" t="str">
        <f t="shared" si="70"/>
        <v>N/A</v>
      </c>
      <c r="M2269" s="20" t="str">
        <f t="shared" si="71"/>
        <v>N/A</v>
      </c>
    </row>
    <row r="2270" spans="12:13">
      <c r="L2270" s="20" t="str">
        <f t="shared" si="70"/>
        <v>N/A</v>
      </c>
      <c r="M2270" s="20" t="str">
        <f t="shared" si="71"/>
        <v>N/A</v>
      </c>
    </row>
    <row r="2271" spans="12:13">
      <c r="L2271" s="20" t="str">
        <f t="shared" si="70"/>
        <v>N/A</v>
      </c>
      <c r="M2271" s="20" t="str">
        <f t="shared" si="71"/>
        <v>N/A</v>
      </c>
    </row>
    <row r="2272" spans="12:13">
      <c r="L2272" s="20" t="str">
        <f t="shared" si="70"/>
        <v>N/A</v>
      </c>
      <c r="M2272" s="20" t="str">
        <f t="shared" si="71"/>
        <v>N/A</v>
      </c>
    </row>
    <row r="2273" spans="12:13">
      <c r="L2273" s="20" t="str">
        <f t="shared" si="70"/>
        <v>N/A</v>
      </c>
      <c r="M2273" s="20" t="str">
        <f t="shared" si="71"/>
        <v>N/A</v>
      </c>
    </row>
    <row r="2274" spans="12:13">
      <c r="L2274" s="20" t="str">
        <f t="shared" si="70"/>
        <v>N/A</v>
      </c>
      <c r="M2274" s="20" t="str">
        <f t="shared" si="71"/>
        <v>N/A</v>
      </c>
    </row>
    <row r="2275" spans="12:13">
      <c r="L2275" s="20" t="str">
        <f t="shared" si="70"/>
        <v>N/A</v>
      </c>
      <c r="M2275" s="20" t="str">
        <f t="shared" si="71"/>
        <v>N/A</v>
      </c>
    </row>
    <row r="2276" spans="12:13">
      <c r="L2276" s="20" t="str">
        <f t="shared" si="70"/>
        <v>N/A</v>
      </c>
      <c r="M2276" s="20" t="str">
        <f t="shared" si="71"/>
        <v>N/A</v>
      </c>
    </row>
    <row r="2277" spans="12:13">
      <c r="L2277" s="20" t="str">
        <f t="shared" si="70"/>
        <v>N/A</v>
      </c>
      <c r="M2277" s="20" t="str">
        <f t="shared" si="71"/>
        <v>N/A</v>
      </c>
    </row>
    <row r="2278" spans="12:13">
      <c r="L2278" s="20" t="str">
        <f t="shared" si="70"/>
        <v>N/A</v>
      </c>
      <c r="M2278" s="20" t="str">
        <f t="shared" si="71"/>
        <v>N/A</v>
      </c>
    </row>
    <row r="2279" spans="12:13">
      <c r="L2279" s="20" t="str">
        <f t="shared" si="70"/>
        <v>N/A</v>
      </c>
      <c r="M2279" s="20" t="str">
        <f t="shared" si="71"/>
        <v>N/A</v>
      </c>
    </row>
    <row r="2280" spans="12:13">
      <c r="L2280" s="20" t="str">
        <f t="shared" si="70"/>
        <v>N/A</v>
      </c>
      <c r="M2280" s="20" t="str">
        <f t="shared" si="71"/>
        <v>N/A</v>
      </c>
    </row>
    <row r="2281" spans="12:13">
      <c r="L2281" s="20" t="str">
        <f t="shared" si="70"/>
        <v>N/A</v>
      </c>
      <c r="M2281" s="20" t="str">
        <f t="shared" si="71"/>
        <v>N/A</v>
      </c>
    </row>
    <row r="2282" spans="12:13">
      <c r="L2282" s="20" t="str">
        <f t="shared" si="70"/>
        <v>N/A</v>
      </c>
      <c r="M2282" s="20" t="str">
        <f t="shared" si="71"/>
        <v>N/A</v>
      </c>
    </row>
    <row r="2283" spans="12:13">
      <c r="L2283" s="20" t="str">
        <f t="shared" si="70"/>
        <v>N/A</v>
      </c>
      <c r="M2283" s="20" t="str">
        <f t="shared" si="71"/>
        <v>N/A</v>
      </c>
    </row>
    <row r="2284" spans="12:13">
      <c r="L2284" s="20" t="str">
        <f t="shared" si="70"/>
        <v>N/A</v>
      </c>
      <c r="M2284" s="20" t="str">
        <f t="shared" si="71"/>
        <v>N/A</v>
      </c>
    </row>
    <row r="2285" spans="12:13">
      <c r="L2285" s="20" t="str">
        <f t="shared" si="70"/>
        <v>N/A</v>
      </c>
      <c r="M2285" s="20" t="str">
        <f t="shared" si="71"/>
        <v>N/A</v>
      </c>
    </row>
    <row r="2286" spans="12:13">
      <c r="L2286" s="20" t="str">
        <f t="shared" si="70"/>
        <v>N/A</v>
      </c>
      <c r="M2286" s="20" t="str">
        <f t="shared" si="71"/>
        <v>N/A</v>
      </c>
    </row>
    <row r="2287" spans="12:13">
      <c r="L2287" s="20" t="str">
        <f t="shared" si="70"/>
        <v>N/A</v>
      </c>
      <c r="M2287" s="20" t="str">
        <f t="shared" si="71"/>
        <v>N/A</v>
      </c>
    </row>
    <row r="2288" spans="12:13">
      <c r="L2288" s="20" t="str">
        <f t="shared" si="70"/>
        <v>N/A</v>
      </c>
      <c r="M2288" s="20" t="str">
        <f t="shared" si="71"/>
        <v>N/A</v>
      </c>
    </row>
    <row r="2289" spans="12:13">
      <c r="L2289" s="20" t="str">
        <f t="shared" si="70"/>
        <v>N/A</v>
      </c>
      <c r="M2289" s="20" t="str">
        <f t="shared" si="71"/>
        <v>N/A</v>
      </c>
    </row>
    <row r="2290" spans="12:13">
      <c r="L2290" s="20" t="str">
        <f t="shared" si="70"/>
        <v>N/A</v>
      </c>
      <c r="M2290" s="20" t="str">
        <f t="shared" si="71"/>
        <v>N/A</v>
      </c>
    </row>
    <row r="2291" spans="12:13">
      <c r="L2291" s="20" t="str">
        <f t="shared" si="70"/>
        <v>N/A</v>
      </c>
      <c r="M2291" s="20" t="str">
        <f t="shared" si="71"/>
        <v>N/A</v>
      </c>
    </row>
    <row r="2292" spans="12:13">
      <c r="L2292" s="20" t="str">
        <f t="shared" si="70"/>
        <v>N/A</v>
      </c>
      <c r="M2292" s="20" t="str">
        <f t="shared" si="71"/>
        <v>N/A</v>
      </c>
    </row>
    <row r="2293" spans="12:13">
      <c r="L2293" s="20" t="str">
        <f t="shared" si="70"/>
        <v>N/A</v>
      </c>
      <c r="M2293" s="20" t="str">
        <f t="shared" si="71"/>
        <v>N/A</v>
      </c>
    </row>
    <row r="2294" spans="12:13">
      <c r="L2294" s="20" t="str">
        <f t="shared" si="70"/>
        <v>N/A</v>
      </c>
      <c r="M2294" s="20" t="str">
        <f t="shared" si="71"/>
        <v>N/A</v>
      </c>
    </row>
    <row r="2295" spans="12:13">
      <c r="L2295" s="20" t="str">
        <f t="shared" si="70"/>
        <v>N/A</v>
      </c>
      <c r="M2295" s="20" t="str">
        <f t="shared" si="71"/>
        <v>N/A</v>
      </c>
    </row>
    <row r="2296" spans="12:13">
      <c r="L2296" s="20" t="str">
        <f t="shared" si="70"/>
        <v>N/A</v>
      </c>
      <c r="M2296" s="20" t="str">
        <f t="shared" si="71"/>
        <v>N/A</v>
      </c>
    </row>
    <row r="2297" spans="12:13">
      <c r="L2297" s="20" t="str">
        <f t="shared" si="70"/>
        <v>N/A</v>
      </c>
      <c r="M2297" s="20" t="str">
        <f t="shared" si="71"/>
        <v>N/A</v>
      </c>
    </row>
    <row r="2298" spans="12:13">
      <c r="L2298" s="20" t="str">
        <f t="shared" si="70"/>
        <v>N/A</v>
      </c>
      <c r="M2298" s="20" t="str">
        <f t="shared" si="71"/>
        <v>N/A</v>
      </c>
    </row>
    <row r="2299" spans="12:13">
      <c r="L2299" s="20" t="str">
        <f t="shared" si="70"/>
        <v>N/A</v>
      </c>
      <c r="M2299" s="20" t="str">
        <f t="shared" si="71"/>
        <v>N/A</v>
      </c>
    </row>
    <row r="2300" spans="12:13">
      <c r="L2300" s="20" t="str">
        <f t="shared" si="70"/>
        <v>N/A</v>
      </c>
      <c r="M2300" s="20" t="str">
        <f t="shared" si="71"/>
        <v>N/A</v>
      </c>
    </row>
    <row r="2301" spans="12:13">
      <c r="L2301" s="20" t="str">
        <f t="shared" si="70"/>
        <v>N/A</v>
      </c>
      <c r="M2301" s="20" t="str">
        <f t="shared" si="71"/>
        <v>N/A</v>
      </c>
    </row>
    <row r="2302" spans="12:13">
      <c r="L2302" s="20" t="str">
        <f t="shared" si="70"/>
        <v>N/A</v>
      </c>
      <c r="M2302" s="20" t="str">
        <f t="shared" si="71"/>
        <v>N/A</v>
      </c>
    </row>
    <row r="2303" spans="12:13">
      <c r="L2303" s="20" t="str">
        <f t="shared" si="70"/>
        <v>N/A</v>
      </c>
      <c r="M2303" s="20" t="str">
        <f t="shared" si="71"/>
        <v>N/A</v>
      </c>
    </row>
    <row r="2304" spans="12:13">
      <c r="L2304" s="20" t="str">
        <f t="shared" si="70"/>
        <v>N/A</v>
      </c>
      <c r="M2304" s="20" t="str">
        <f t="shared" si="71"/>
        <v>N/A</v>
      </c>
    </row>
    <row r="2305" spans="12:13">
      <c r="L2305" s="20" t="str">
        <f t="shared" si="70"/>
        <v>N/A</v>
      </c>
      <c r="M2305" s="20" t="str">
        <f t="shared" si="71"/>
        <v>N/A</v>
      </c>
    </row>
    <row r="2306" spans="12:13">
      <c r="L2306" s="20" t="str">
        <f t="shared" si="70"/>
        <v>N/A</v>
      </c>
      <c r="M2306" s="20" t="str">
        <f t="shared" si="71"/>
        <v>N/A</v>
      </c>
    </row>
    <row r="2307" spans="12:13">
      <c r="L2307" s="20" t="str">
        <f t="shared" ref="L2307:L2370" si="72">+IF(LEFT(D2307,1)="1","Asset","N/A")</f>
        <v>N/A</v>
      </c>
      <c r="M2307" s="20" t="str">
        <f t="shared" ref="M2307:M2370" si="73">+IF(L2307="asset",IF(H2307&lt;0,"Provide Comment","okay"),"N/A")</f>
        <v>N/A</v>
      </c>
    </row>
    <row r="2308" spans="12:13">
      <c r="L2308" s="20" t="str">
        <f t="shared" si="72"/>
        <v>N/A</v>
      </c>
      <c r="M2308" s="20" t="str">
        <f t="shared" si="73"/>
        <v>N/A</v>
      </c>
    </row>
    <row r="2309" spans="12:13">
      <c r="L2309" s="20" t="str">
        <f t="shared" si="72"/>
        <v>N/A</v>
      </c>
      <c r="M2309" s="20" t="str">
        <f t="shared" si="73"/>
        <v>N/A</v>
      </c>
    </row>
    <row r="2310" spans="12:13">
      <c r="L2310" s="20" t="str">
        <f t="shared" si="72"/>
        <v>N/A</v>
      </c>
      <c r="M2310" s="20" t="str">
        <f t="shared" si="73"/>
        <v>N/A</v>
      </c>
    </row>
    <row r="2311" spans="12:13">
      <c r="L2311" s="20" t="str">
        <f t="shared" si="72"/>
        <v>N/A</v>
      </c>
      <c r="M2311" s="20" t="str">
        <f t="shared" si="73"/>
        <v>N/A</v>
      </c>
    </row>
    <row r="2312" spans="12:13">
      <c r="L2312" s="20" t="str">
        <f t="shared" si="72"/>
        <v>N/A</v>
      </c>
      <c r="M2312" s="20" t="str">
        <f t="shared" si="73"/>
        <v>N/A</v>
      </c>
    </row>
    <row r="2313" spans="12:13">
      <c r="L2313" s="20" t="str">
        <f t="shared" si="72"/>
        <v>N/A</v>
      </c>
      <c r="M2313" s="20" t="str">
        <f t="shared" si="73"/>
        <v>N/A</v>
      </c>
    </row>
    <row r="2314" spans="12:13">
      <c r="L2314" s="20" t="str">
        <f t="shared" si="72"/>
        <v>N/A</v>
      </c>
      <c r="M2314" s="20" t="str">
        <f t="shared" si="73"/>
        <v>N/A</v>
      </c>
    </row>
    <row r="2315" spans="12:13">
      <c r="L2315" s="20" t="str">
        <f t="shared" si="72"/>
        <v>N/A</v>
      </c>
      <c r="M2315" s="20" t="str">
        <f t="shared" si="73"/>
        <v>N/A</v>
      </c>
    </row>
    <row r="2316" spans="12:13">
      <c r="L2316" s="20" t="str">
        <f t="shared" si="72"/>
        <v>N/A</v>
      </c>
      <c r="M2316" s="20" t="str">
        <f t="shared" si="73"/>
        <v>N/A</v>
      </c>
    </row>
    <row r="2317" spans="12:13">
      <c r="L2317" s="20" t="str">
        <f t="shared" si="72"/>
        <v>N/A</v>
      </c>
      <c r="M2317" s="20" t="str">
        <f t="shared" si="73"/>
        <v>N/A</v>
      </c>
    </row>
    <row r="2318" spans="12:13">
      <c r="L2318" s="20" t="str">
        <f t="shared" si="72"/>
        <v>N/A</v>
      </c>
      <c r="M2318" s="20" t="str">
        <f t="shared" si="73"/>
        <v>N/A</v>
      </c>
    </row>
    <row r="2319" spans="12:13">
      <c r="L2319" s="20" t="str">
        <f t="shared" si="72"/>
        <v>N/A</v>
      </c>
      <c r="M2319" s="20" t="str">
        <f t="shared" si="73"/>
        <v>N/A</v>
      </c>
    </row>
    <row r="2320" spans="12:13">
      <c r="L2320" s="20" t="str">
        <f t="shared" si="72"/>
        <v>N/A</v>
      </c>
      <c r="M2320" s="20" t="str">
        <f t="shared" si="73"/>
        <v>N/A</v>
      </c>
    </row>
    <row r="2321" spans="12:13">
      <c r="L2321" s="20" t="str">
        <f t="shared" si="72"/>
        <v>N/A</v>
      </c>
      <c r="M2321" s="20" t="str">
        <f t="shared" si="73"/>
        <v>N/A</v>
      </c>
    </row>
    <row r="2322" spans="12:13">
      <c r="L2322" s="20" t="str">
        <f t="shared" si="72"/>
        <v>N/A</v>
      </c>
      <c r="M2322" s="20" t="str">
        <f t="shared" si="73"/>
        <v>N/A</v>
      </c>
    </row>
    <row r="2323" spans="12:13">
      <c r="L2323" s="20" t="str">
        <f t="shared" si="72"/>
        <v>N/A</v>
      </c>
      <c r="M2323" s="20" t="str">
        <f t="shared" si="73"/>
        <v>N/A</v>
      </c>
    </row>
    <row r="2324" spans="12:13">
      <c r="L2324" s="20" t="str">
        <f t="shared" si="72"/>
        <v>N/A</v>
      </c>
      <c r="M2324" s="20" t="str">
        <f t="shared" si="73"/>
        <v>N/A</v>
      </c>
    </row>
    <row r="2325" spans="12:13">
      <c r="L2325" s="20" t="str">
        <f t="shared" si="72"/>
        <v>N/A</v>
      </c>
      <c r="M2325" s="20" t="str">
        <f t="shared" si="73"/>
        <v>N/A</v>
      </c>
    </row>
    <row r="2326" spans="12:13">
      <c r="L2326" s="20" t="str">
        <f t="shared" si="72"/>
        <v>N/A</v>
      </c>
      <c r="M2326" s="20" t="str">
        <f t="shared" si="73"/>
        <v>N/A</v>
      </c>
    </row>
    <row r="2327" spans="12:13">
      <c r="L2327" s="20" t="str">
        <f t="shared" si="72"/>
        <v>N/A</v>
      </c>
      <c r="M2327" s="20" t="str">
        <f t="shared" si="73"/>
        <v>N/A</v>
      </c>
    </row>
    <row r="2328" spans="12:13">
      <c r="L2328" s="20" t="str">
        <f t="shared" si="72"/>
        <v>N/A</v>
      </c>
      <c r="M2328" s="20" t="str">
        <f t="shared" si="73"/>
        <v>N/A</v>
      </c>
    </row>
    <row r="2329" spans="12:13">
      <c r="L2329" s="20" t="str">
        <f t="shared" si="72"/>
        <v>N/A</v>
      </c>
      <c r="M2329" s="20" t="str">
        <f t="shared" si="73"/>
        <v>N/A</v>
      </c>
    </row>
    <row r="2330" spans="12:13">
      <c r="L2330" s="20" t="str">
        <f t="shared" si="72"/>
        <v>N/A</v>
      </c>
      <c r="M2330" s="20" t="str">
        <f t="shared" si="73"/>
        <v>N/A</v>
      </c>
    </row>
    <row r="2331" spans="12:13">
      <c r="L2331" s="20" t="str">
        <f t="shared" si="72"/>
        <v>N/A</v>
      </c>
      <c r="M2331" s="20" t="str">
        <f t="shared" si="73"/>
        <v>N/A</v>
      </c>
    </row>
    <row r="2332" spans="12:13">
      <c r="L2332" s="20" t="str">
        <f t="shared" si="72"/>
        <v>N/A</v>
      </c>
      <c r="M2332" s="20" t="str">
        <f t="shared" si="73"/>
        <v>N/A</v>
      </c>
    </row>
    <row r="2333" spans="12:13">
      <c r="L2333" s="20" t="str">
        <f t="shared" si="72"/>
        <v>N/A</v>
      </c>
      <c r="M2333" s="20" t="str">
        <f t="shared" si="73"/>
        <v>N/A</v>
      </c>
    </row>
    <row r="2334" spans="12:13">
      <c r="L2334" s="20" t="str">
        <f t="shared" si="72"/>
        <v>N/A</v>
      </c>
      <c r="M2334" s="20" t="str">
        <f t="shared" si="73"/>
        <v>N/A</v>
      </c>
    </row>
    <row r="2335" spans="12:13">
      <c r="L2335" s="20" t="str">
        <f t="shared" si="72"/>
        <v>N/A</v>
      </c>
      <c r="M2335" s="20" t="str">
        <f t="shared" si="73"/>
        <v>N/A</v>
      </c>
    </row>
    <row r="2336" spans="12:13">
      <c r="L2336" s="20" t="str">
        <f t="shared" si="72"/>
        <v>N/A</v>
      </c>
      <c r="M2336" s="20" t="str">
        <f t="shared" si="73"/>
        <v>N/A</v>
      </c>
    </row>
    <row r="2337" spans="12:13">
      <c r="L2337" s="20" t="str">
        <f t="shared" si="72"/>
        <v>N/A</v>
      </c>
      <c r="M2337" s="20" t="str">
        <f t="shared" si="73"/>
        <v>N/A</v>
      </c>
    </row>
    <row r="2338" spans="12:13">
      <c r="L2338" s="20" t="str">
        <f t="shared" si="72"/>
        <v>N/A</v>
      </c>
      <c r="M2338" s="20" t="str">
        <f t="shared" si="73"/>
        <v>N/A</v>
      </c>
    </row>
    <row r="2339" spans="12:13">
      <c r="L2339" s="20" t="str">
        <f t="shared" si="72"/>
        <v>N/A</v>
      </c>
      <c r="M2339" s="20" t="str">
        <f t="shared" si="73"/>
        <v>N/A</v>
      </c>
    </row>
    <row r="2340" spans="12:13">
      <c r="L2340" s="20" t="str">
        <f t="shared" si="72"/>
        <v>N/A</v>
      </c>
      <c r="M2340" s="20" t="str">
        <f t="shared" si="73"/>
        <v>N/A</v>
      </c>
    </row>
    <row r="2341" spans="12:13">
      <c r="L2341" s="20" t="str">
        <f t="shared" si="72"/>
        <v>N/A</v>
      </c>
      <c r="M2341" s="20" t="str">
        <f t="shared" si="73"/>
        <v>N/A</v>
      </c>
    </row>
    <row r="2342" spans="12:13">
      <c r="L2342" s="20" t="str">
        <f t="shared" si="72"/>
        <v>N/A</v>
      </c>
      <c r="M2342" s="20" t="str">
        <f t="shared" si="73"/>
        <v>N/A</v>
      </c>
    </row>
    <row r="2343" spans="12:13">
      <c r="L2343" s="20" t="str">
        <f t="shared" si="72"/>
        <v>N/A</v>
      </c>
      <c r="M2343" s="20" t="str">
        <f t="shared" si="73"/>
        <v>N/A</v>
      </c>
    </row>
    <row r="2344" spans="12:13">
      <c r="L2344" s="20" t="str">
        <f t="shared" si="72"/>
        <v>N/A</v>
      </c>
      <c r="M2344" s="20" t="str">
        <f t="shared" si="73"/>
        <v>N/A</v>
      </c>
    </row>
    <row r="2345" spans="12:13">
      <c r="L2345" s="20" t="str">
        <f t="shared" si="72"/>
        <v>N/A</v>
      </c>
      <c r="M2345" s="20" t="str">
        <f t="shared" si="73"/>
        <v>N/A</v>
      </c>
    </row>
    <row r="2346" spans="12:13">
      <c r="L2346" s="20" t="str">
        <f t="shared" si="72"/>
        <v>N/A</v>
      </c>
      <c r="M2346" s="20" t="str">
        <f t="shared" si="73"/>
        <v>N/A</v>
      </c>
    </row>
    <row r="2347" spans="12:13">
      <c r="L2347" s="20" t="str">
        <f t="shared" si="72"/>
        <v>N/A</v>
      </c>
      <c r="M2347" s="20" t="str">
        <f t="shared" si="73"/>
        <v>N/A</v>
      </c>
    </row>
    <row r="2348" spans="12:13">
      <c r="L2348" s="20" t="str">
        <f t="shared" si="72"/>
        <v>N/A</v>
      </c>
      <c r="M2348" s="20" t="str">
        <f t="shared" si="73"/>
        <v>N/A</v>
      </c>
    </row>
    <row r="2349" spans="12:13">
      <c r="L2349" s="20" t="str">
        <f t="shared" si="72"/>
        <v>N/A</v>
      </c>
      <c r="M2349" s="20" t="str">
        <f t="shared" si="73"/>
        <v>N/A</v>
      </c>
    </row>
    <row r="2350" spans="12:13">
      <c r="L2350" s="20" t="str">
        <f t="shared" si="72"/>
        <v>N/A</v>
      </c>
      <c r="M2350" s="20" t="str">
        <f t="shared" si="73"/>
        <v>N/A</v>
      </c>
    </row>
    <row r="2351" spans="12:13">
      <c r="L2351" s="20" t="str">
        <f t="shared" si="72"/>
        <v>N/A</v>
      </c>
      <c r="M2351" s="20" t="str">
        <f t="shared" si="73"/>
        <v>N/A</v>
      </c>
    </row>
    <row r="2352" spans="12:13">
      <c r="L2352" s="20" t="str">
        <f t="shared" si="72"/>
        <v>N/A</v>
      </c>
      <c r="M2352" s="20" t="str">
        <f t="shared" si="73"/>
        <v>N/A</v>
      </c>
    </row>
    <row r="2353" spans="12:13">
      <c r="L2353" s="20" t="str">
        <f t="shared" si="72"/>
        <v>N/A</v>
      </c>
      <c r="M2353" s="20" t="str">
        <f t="shared" si="73"/>
        <v>N/A</v>
      </c>
    </row>
    <row r="2354" spans="12:13">
      <c r="L2354" s="20" t="str">
        <f t="shared" si="72"/>
        <v>N/A</v>
      </c>
      <c r="M2354" s="20" t="str">
        <f t="shared" si="73"/>
        <v>N/A</v>
      </c>
    </row>
    <row r="2355" spans="12:13">
      <c r="L2355" s="20" t="str">
        <f t="shared" si="72"/>
        <v>N/A</v>
      </c>
      <c r="M2355" s="20" t="str">
        <f t="shared" si="73"/>
        <v>N/A</v>
      </c>
    </row>
    <row r="2356" spans="12:13">
      <c r="L2356" s="20" t="str">
        <f t="shared" si="72"/>
        <v>N/A</v>
      </c>
      <c r="M2356" s="20" t="str">
        <f t="shared" si="73"/>
        <v>N/A</v>
      </c>
    </row>
    <row r="2357" spans="12:13">
      <c r="L2357" s="20" t="str">
        <f t="shared" si="72"/>
        <v>N/A</v>
      </c>
      <c r="M2357" s="20" t="str">
        <f t="shared" si="73"/>
        <v>N/A</v>
      </c>
    </row>
    <row r="2358" spans="12:13">
      <c r="L2358" s="20" t="str">
        <f t="shared" si="72"/>
        <v>N/A</v>
      </c>
      <c r="M2358" s="20" t="str">
        <f t="shared" si="73"/>
        <v>N/A</v>
      </c>
    </row>
    <row r="2359" spans="12:13">
      <c r="L2359" s="20" t="str">
        <f t="shared" si="72"/>
        <v>N/A</v>
      </c>
      <c r="M2359" s="20" t="str">
        <f t="shared" si="73"/>
        <v>N/A</v>
      </c>
    </row>
    <row r="2360" spans="12:13">
      <c r="L2360" s="20" t="str">
        <f t="shared" si="72"/>
        <v>N/A</v>
      </c>
      <c r="M2360" s="20" t="str">
        <f t="shared" si="73"/>
        <v>N/A</v>
      </c>
    </row>
    <row r="2361" spans="12:13">
      <c r="L2361" s="20" t="str">
        <f t="shared" si="72"/>
        <v>N/A</v>
      </c>
      <c r="M2361" s="20" t="str">
        <f t="shared" si="73"/>
        <v>N/A</v>
      </c>
    </row>
    <row r="2362" spans="12:13">
      <c r="L2362" s="20" t="str">
        <f t="shared" si="72"/>
        <v>N/A</v>
      </c>
      <c r="M2362" s="20" t="str">
        <f t="shared" si="73"/>
        <v>N/A</v>
      </c>
    </row>
    <row r="2363" spans="12:13">
      <c r="L2363" s="20" t="str">
        <f t="shared" si="72"/>
        <v>N/A</v>
      </c>
      <c r="M2363" s="20" t="str">
        <f t="shared" si="73"/>
        <v>N/A</v>
      </c>
    </row>
    <row r="2364" spans="12:13">
      <c r="L2364" s="20" t="str">
        <f t="shared" si="72"/>
        <v>N/A</v>
      </c>
      <c r="M2364" s="20" t="str">
        <f t="shared" si="73"/>
        <v>N/A</v>
      </c>
    </row>
    <row r="2365" spans="12:13">
      <c r="L2365" s="20" t="str">
        <f t="shared" si="72"/>
        <v>N/A</v>
      </c>
      <c r="M2365" s="20" t="str">
        <f t="shared" si="73"/>
        <v>N/A</v>
      </c>
    </row>
    <row r="2366" spans="12:13">
      <c r="L2366" s="20" t="str">
        <f t="shared" si="72"/>
        <v>N/A</v>
      </c>
      <c r="M2366" s="20" t="str">
        <f t="shared" si="73"/>
        <v>N/A</v>
      </c>
    </row>
    <row r="2367" spans="12:13">
      <c r="L2367" s="20" t="str">
        <f t="shared" si="72"/>
        <v>N/A</v>
      </c>
      <c r="M2367" s="20" t="str">
        <f t="shared" si="73"/>
        <v>N/A</v>
      </c>
    </row>
    <row r="2368" spans="12:13">
      <c r="L2368" s="20" t="str">
        <f t="shared" si="72"/>
        <v>N/A</v>
      </c>
      <c r="M2368" s="20" t="str">
        <f t="shared" si="73"/>
        <v>N/A</v>
      </c>
    </row>
    <row r="2369" spans="12:13">
      <c r="L2369" s="20" t="str">
        <f t="shared" si="72"/>
        <v>N/A</v>
      </c>
      <c r="M2369" s="20" t="str">
        <f t="shared" si="73"/>
        <v>N/A</v>
      </c>
    </row>
    <row r="2370" spans="12:13">
      <c r="L2370" s="20" t="str">
        <f t="shared" si="72"/>
        <v>N/A</v>
      </c>
      <c r="M2370" s="20" t="str">
        <f t="shared" si="73"/>
        <v>N/A</v>
      </c>
    </row>
    <row r="2371" spans="12:13">
      <c r="L2371" s="20" t="str">
        <f t="shared" ref="L2371:L2434" si="74">+IF(LEFT(D2371,1)="1","Asset","N/A")</f>
        <v>N/A</v>
      </c>
      <c r="M2371" s="20" t="str">
        <f t="shared" ref="M2371:M2434" si="75">+IF(L2371="asset",IF(H2371&lt;0,"Provide Comment","okay"),"N/A")</f>
        <v>N/A</v>
      </c>
    </row>
    <row r="2372" spans="12:13">
      <c r="L2372" s="20" t="str">
        <f t="shared" si="74"/>
        <v>N/A</v>
      </c>
      <c r="M2372" s="20" t="str">
        <f t="shared" si="75"/>
        <v>N/A</v>
      </c>
    </row>
    <row r="2373" spans="12:13">
      <c r="L2373" s="20" t="str">
        <f t="shared" si="74"/>
        <v>N/A</v>
      </c>
      <c r="M2373" s="20" t="str">
        <f t="shared" si="75"/>
        <v>N/A</v>
      </c>
    </row>
    <row r="2374" spans="12:13">
      <c r="L2374" s="20" t="str">
        <f t="shared" si="74"/>
        <v>N/A</v>
      </c>
      <c r="M2374" s="20" t="str">
        <f t="shared" si="75"/>
        <v>N/A</v>
      </c>
    </row>
    <row r="2375" spans="12:13">
      <c r="L2375" s="20" t="str">
        <f t="shared" si="74"/>
        <v>N/A</v>
      </c>
      <c r="M2375" s="20" t="str">
        <f t="shared" si="75"/>
        <v>N/A</v>
      </c>
    </row>
    <row r="2376" spans="12:13">
      <c r="L2376" s="20" t="str">
        <f t="shared" si="74"/>
        <v>N/A</v>
      </c>
      <c r="M2376" s="20" t="str">
        <f t="shared" si="75"/>
        <v>N/A</v>
      </c>
    </row>
    <row r="2377" spans="12:13">
      <c r="L2377" s="20" t="str">
        <f t="shared" si="74"/>
        <v>N/A</v>
      </c>
      <c r="M2377" s="20" t="str">
        <f t="shared" si="75"/>
        <v>N/A</v>
      </c>
    </row>
    <row r="2378" spans="12:13">
      <c r="L2378" s="20" t="str">
        <f t="shared" si="74"/>
        <v>N/A</v>
      </c>
      <c r="M2378" s="20" t="str">
        <f t="shared" si="75"/>
        <v>N/A</v>
      </c>
    </row>
    <row r="2379" spans="12:13">
      <c r="L2379" s="20" t="str">
        <f t="shared" si="74"/>
        <v>N/A</v>
      </c>
      <c r="M2379" s="20" t="str">
        <f t="shared" si="75"/>
        <v>N/A</v>
      </c>
    </row>
    <row r="2380" spans="12:13">
      <c r="L2380" s="20" t="str">
        <f t="shared" si="74"/>
        <v>N/A</v>
      </c>
      <c r="M2380" s="20" t="str">
        <f t="shared" si="75"/>
        <v>N/A</v>
      </c>
    </row>
    <row r="2381" spans="12:13">
      <c r="L2381" s="20" t="str">
        <f t="shared" si="74"/>
        <v>N/A</v>
      </c>
      <c r="M2381" s="20" t="str">
        <f t="shared" si="75"/>
        <v>N/A</v>
      </c>
    </row>
    <row r="2382" spans="12:13">
      <c r="L2382" s="20" t="str">
        <f t="shared" si="74"/>
        <v>N/A</v>
      </c>
      <c r="M2382" s="20" t="str">
        <f t="shared" si="75"/>
        <v>N/A</v>
      </c>
    </row>
    <row r="2383" spans="12:13">
      <c r="L2383" s="20" t="str">
        <f t="shared" si="74"/>
        <v>N/A</v>
      </c>
      <c r="M2383" s="20" t="str">
        <f t="shared" si="75"/>
        <v>N/A</v>
      </c>
    </row>
    <row r="2384" spans="12:13">
      <c r="L2384" s="20" t="str">
        <f t="shared" si="74"/>
        <v>N/A</v>
      </c>
      <c r="M2384" s="20" t="str">
        <f t="shared" si="75"/>
        <v>N/A</v>
      </c>
    </row>
    <row r="2385" spans="12:13">
      <c r="L2385" s="20" t="str">
        <f t="shared" si="74"/>
        <v>N/A</v>
      </c>
      <c r="M2385" s="20" t="str">
        <f t="shared" si="75"/>
        <v>N/A</v>
      </c>
    </row>
    <row r="2386" spans="12:13">
      <c r="L2386" s="20" t="str">
        <f t="shared" si="74"/>
        <v>N/A</v>
      </c>
      <c r="M2386" s="20" t="str">
        <f t="shared" si="75"/>
        <v>N/A</v>
      </c>
    </row>
    <row r="2387" spans="12:13">
      <c r="L2387" s="20" t="str">
        <f t="shared" si="74"/>
        <v>N/A</v>
      </c>
      <c r="M2387" s="20" t="str">
        <f t="shared" si="75"/>
        <v>N/A</v>
      </c>
    </row>
    <row r="2388" spans="12:13">
      <c r="L2388" s="20" t="str">
        <f t="shared" si="74"/>
        <v>N/A</v>
      </c>
      <c r="M2388" s="20" t="str">
        <f t="shared" si="75"/>
        <v>N/A</v>
      </c>
    </row>
    <row r="2389" spans="12:13">
      <c r="L2389" s="20" t="str">
        <f t="shared" si="74"/>
        <v>N/A</v>
      </c>
      <c r="M2389" s="20" t="str">
        <f t="shared" si="75"/>
        <v>N/A</v>
      </c>
    </row>
    <row r="2390" spans="12:13">
      <c r="L2390" s="20" t="str">
        <f t="shared" si="74"/>
        <v>N/A</v>
      </c>
      <c r="M2390" s="20" t="str">
        <f t="shared" si="75"/>
        <v>N/A</v>
      </c>
    </row>
    <row r="2391" spans="12:13">
      <c r="L2391" s="20" t="str">
        <f t="shared" si="74"/>
        <v>N/A</v>
      </c>
      <c r="M2391" s="20" t="str">
        <f t="shared" si="75"/>
        <v>N/A</v>
      </c>
    </row>
    <row r="2392" spans="12:13">
      <c r="L2392" s="20" t="str">
        <f t="shared" si="74"/>
        <v>N/A</v>
      </c>
      <c r="M2392" s="20" t="str">
        <f t="shared" si="75"/>
        <v>N/A</v>
      </c>
    </row>
    <row r="2393" spans="12:13">
      <c r="L2393" s="20" t="str">
        <f t="shared" si="74"/>
        <v>N/A</v>
      </c>
      <c r="M2393" s="20" t="str">
        <f t="shared" si="75"/>
        <v>N/A</v>
      </c>
    </row>
    <row r="2394" spans="12:13">
      <c r="L2394" s="20" t="str">
        <f t="shared" si="74"/>
        <v>N/A</v>
      </c>
      <c r="M2394" s="20" t="str">
        <f t="shared" si="75"/>
        <v>N/A</v>
      </c>
    </row>
    <row r="2395" spans="12:13">
      <c r="L2395" s="20" t="str">
        <f t="shared" si="74"/>
        <v>N/A</v>
      </c>
      <c r="M2395" s="20" t="str">
        <f t="shared" si="75"/>
        <v>N/A</v>
      </c>
    </row>
    <row r="2396" spans="12:13">
      <c r="L2396" s="20" t="str">
        <f t="shared" si="74"/>
        <v>N/A</v>
      </c>
      <c r="M2396" s="20" t="str">
        <f t="shared" si="75"/>
        <v>N/A</v>
      </c>
    </row>
    <row r="2397" spans="12:13">
      <c r="L2397" s="20" t="str">
        <f t="shared" si="74"/>
        <v>N/A</v>
      </c>
      <c r="M2397" s="20" t="str">
        <f t="shared" si="75"/>
        <v>N/A</v>
      </c>
    </row>
    <row r="2398" spans="12:13">
      <c r="L2398" s="20" t="str">
        <f t="shared" si="74"/>
        <v>N/A</v>
      </c>
      <c r="M2398" s="20" t="str">
        <f t="shared" si="75"/>
        <v>N/A</v>
      </c>
    </row>
    <row r="2399" spans="12:13">
      <c r="L2399" s="20" t="str">
        <f t="shared" si="74"/>
        <v>N/A</v>
      </c>
      <c r="M2399" s="20" t="str">
        <f t="shared" si="75"/>
        <v>N/A</v>
      </c>
    </row>
    <row r="2400" spans="12:13">
      <c r="L2400" s="20" t="str">
        <f t="shared" si="74"/>
        <v>N/A</v>
      </c>
      <c r="M2400" s="20" t="str">
        <f t="shared" si="75"/>
        <v>N/A</v>
      </c>
    </row>
    <row r="2401" spans="12:13">
      <c r="L2401" s="20" t="str">
        <f t="shared" si="74"/>
        <v>N/A</v>
      </c>
      <c r="M2401" s="20" t="str">
        <f t="shared" si="75"/>
        <v>N/A</v>
      </c>
    </row>
    <row r="2402" spans="12:13">
      <c r="L2402" s="20" t="str">
        <f t="shared" si="74"/>
        <v>N/A</v>
      </c>
      <c r="M2402" s="20" t="str">
        <f t="shared" si="75"/>
        <v>N/A</v>
      </c>
    </row>
    <row r="2403" spans="12:13">
      <c r="L2403" s="20" t="str">
        <f t="shared" si="74"/>
        <v>N/A</v>
      </c>
      <c r="M2403" s="20" t="str">
        <f t="shared" si="75"/>
        <v>N/A</v>
      </c>
    </row>
    <row r="2404" spans="12:13">
      <c r="L2404" s="20" t="str">
        <f t="shared" si="74"/>
        <v>N/A</v>
      </c>
      <c r="M2404" s="20" t="str">
        <f t="shared" si="75"/>
        <v>N/A</v>
      </c>
    </row>
    <row r="2405" spans="12:13">
      <c r="L2405" s="20" t="str">
        <f t="shared" si="74"/>
        <v>N/A</v>
      </c>
      <c r="M2405" s="20" t="str">
        <f t="shared" si="75"/>
        <v>N/A</v>
      </c>
    </row>
    <row r="2406" spans="12:13">
      <c r="L2406" s="20" t="str">
        <f t="shared" si="74"/>
        <v>N/A</v>
      </c>
      <c r="M2406" s="20" t="str">
        <f t="shared" si="75"/>
        <v>N/A</v>
      </c>
    </row>
    <row r="2407" spans="12:13">
      <c r="L2407" s="20" t="str">
        <f t="shared" si="74"/>
        <v>N/A</v>
      </c>
      <c r="M2407" s="20" t="str">
        <f t="shared" si="75"/>
        <v>N/A</v>
      </c>
    </row>
    <row r="2408" spans="12:13">
      <c r="L2408" s="20" t="str">
        <f t="shared" si="74"/>
        <v>N/A</v>
      </c>
      <c r="M2408" s="20" t="str">
        <f t="shared" si="75"/>
        <v>N/A</v>
      </c>
    </row>
    <row r="2409" spans="12:13">
      <c r="L2409" s="20" t="str">
        <f t="shared" si="74"/>
        <v>N/A</v>
      </c>
      <c r="M2409" s="20" t="str">
        <f t="shared" si="75"/>
        <v>N/A</v>
      </c>
    </row>
    <row r="2410" spans="12:13">
      <c r="L2410" s="20" t="str">
        <f t="shared" si="74"/>
        <v>N/A</v>
      </c>
      <c r="M2410" s="20" t="str">
        <f t="shared" si="75"/>
        <v>N/A</v>
      </c>
    </row>
    <row r="2411" spans="12:13">
      <c r="L2411" s="20" t="str">
        <f t="shared" si="74"/>
        <v>N/A</v>
      </c>
      <c r="M2411" s="20" t="str">
        <f t="shared" si="75"/>
        <v>N/A</v>
      </c>
    </row>
    <row r="2412" spans="12:13">
      <c r="L2412" s="20" t="str">
        <f t="shared" si="74"/>
        <v>N/A</v>
      </c>
      <c r="M2412" s="20" t="str">
        <f t="shared" si="75"/>
        <v>N/A</v>
      </c>
    </row>
    <row r="2413" spans="12:13">
      <c r="L2413" s="20" t="str">
        <f t="shared" si="74"/>
        <v>N/A</v>
      </c>
      <c r="M2413" s="20" t="str">
        <f t="shared" si="75"/>
        <v>N/A</v>
      </c>
    </row>
    <row r="2414" spans="12:13">
      <c r="L2414" s="20" t="str">
        <f t="shared" si="74"/>
        <v>N/A</v>
      </c>
      <c r="M2414" s="20" t="str">
        <f t="shared" si="75"/>
        <v>N/A</v>
      </c>
    </row>
    <row r="2415" spans="12:13">
      <c r="L2415" s="20" t="str">
        <f t="shared" si="74"/>
        <v>N/A</v>
      </c>
      <c r="M2415" s="20" t="str">
        <f t="shared" si="75"/>
        <v>N/A</v>
      </c>
    </row>
    <row r="2416" spans="12:13">
      <c r="L2416" s="20" t="str">
        <f t="shared" si="74"/>
        <v>N/A</v>
      </c>
      <c r="M2416" s="20" t="str">
        <f t="shared" si="75"/>
        <v>N/A</v>
      </c>
    </row>
    <row r="2417" spans="12:13">
      <c r="L2417" s="20" t="str">
        <f t="shared" si="74"/>
        <v>N/A</v>
      </c>
      <c r="M2417" s="20" t="str">
        <f t="shared" si="75"/>
        <v>N/A</v>
      </c>
    </row>
    <row r="2418" spans="12:13">
      <c r="L2418" s="20" t="str">
        <f t="shared" si="74"/>
        <v>N/A</v>
      </c>
      <c r="M2418" s="20" t="str">
        <f t="shared" si="75"/>
        <v>N/A</v>
      </c>
    </row>
    <row r="2419" spans="12:13">
      <c r="L2419" s="20" t="str">
        <f t="shared" si="74"/>
        <v>N/A</v>
      </c>
      <c r="M2419" s="20" t="str">
        <f t="shared" si="75"/>
        <v>N/A</v>
      </c>
    </row>
    <row r="2420" spans="12:13">
      <c r="L2420" s="20" t="str">
        <f t="shared" si="74"/>
        <v>N/A</v>
      </c>
      <c r="M2420" s="20" t="str">
        <f t="shared" si="75"/>
        <v>N/A</v>
      </c>
    </row>
    <row r="2421" spans="12:13">
      <c r="L2421" s="20" t="str">
        <f t="shared" si="74"/>
        <v>N/A</v>
      </c>
      <c r="M2421" s="20" t="str">
        <f t="shared" si="75"/>
        <v>N/A</v>
      </c>
    </row>
    <row r="2422" spans="12:13">
      <c r="L2422" s="20" t="str">
        <f t="shared" si="74"/>
        <v>N/A</v>
      </c>
      <c r="M2422" s="20" t="str">
        <f t="shared" si="75"/>
        <v>N/A</v>
      </c>
    </row>
    <row r="2423" spans="12:13">
      <c r="L2423" s="20" t="str">
        <f t="shared" si="74"/>
        <v>N/A</v>
      </c>
      <c r="M2423" s="20" t="str">
        <f t="shared" si="75"/>
        <v>N/A</v>
      </c>
    </row>
    <row r="2424" spans="12:13">
      <c r="L2424" s="20" t="str">
        <f t="shared" si="74"/>
        <v>N/A</v>
      </c>
      <c r="M2424" s="20" t="str">
        <f t="shared" si="75"/>
        <v>N/A</v>
      </c>
    </row>
    <row r="2425" spans="12:13">
      <c r="L2425" s="20" t="str">
        <f t="shared" si="74"/>
        <v>N/A</v>
      </c>
      <c r="M2425" s="20" t="str">
        <f t="shared" si="75"/>
        <v>N/A</v>
      </c>
    </row>
    <row r="2426" spans="12:13">
      <c r="L2426" s="20" t="str">
        <f t="shared" si="74"/>
        <v>N/A</v>
      </c>
      <c r="M2426" s="20" t="str">
        <f t="shared" si="75"/>
        <v>N/A</v>
      </c>
    </row>
    <row r="2427" spans="12:13">
      <c r="L2427" s="20" t="str">
        <f t="shared" si="74"/>
        <v>N/A</v>
      </c>
      <c r="M2427" s="20" t="str">
        <f t="shared" si="75"/>
        <v>N/A</v>
      </c>
    </row>
    <row r="2428" spans="12:13">
      <c r="L2428" s="20" t="str">
        <f t="shared" si="74"/>
        <v>N/A</v>
      </c>
      <c r="M2428" s="20" t="str">
        <f t="shared" si="75"/>
        <v>N/A</v>
      </c>
    </row>
    <row r="2429" spans="12:13">
      <c r="L2429" s="20" t="str">
        <f t="shared" si="74"/>
        <v>N/A</v>
      </c>
      <c r="M2429" s="20" t="str">
        <f t="shared" si="75"/>
        <v>N/A</v>
      </c>
    </row>
    <row r="2430" spans="12:13">
      <c r="L2430" s="20" t="str">
        <f t="shared" si="74"/>
        <v>N/A</v>
      </c>
      <c r="M2430" s="20" t="str">
        <f t="shared" si="75"/>
        <v>N/A</v>
      </c>
    </row>
    <row r="2431" spans="12:13">
      <c r="L2431" s="20" t="str">
        <f t="shared" si="74"/>
        <v>N/A</v>
      </c>
      <c r="M2431" s="20" t="str">
        <f t="shared" si="75"/>
        <v>N/A</v>
      </c>
    </row>
    <row r="2432" spans="12:13">
      <c r="L2432" s="20" t="str">
        <f t="shared" si="74"/>
        <v>N/A</v>
      </c>
      <c r="M2432" s="20" t="str">
        <f t="shared" si="75"/>
        <v>N/A</v>
      </c>
    </row>
    <row r="2433" spans="12:13">
      <c r="L2433" s="20" t="str">
        <f t="shared" si="74"/>
        <v>N/A</v>
      </c>
      <c r="M2433" s="20" t="str">
        <f t="shared" si="75"/>
        <v>N/A</v>
      </c>
    </row>
    <row r="2434" spans="12:13">
      <c r="L2434" s="20" t="str">
        <f t="shared" si="74"/>
        <v>N/A</v>
      </c>
      <c r="M2434" s="20" t="str">
        <f t="shared" si="75"/>
        <v>N/A</v>
      </c>
    </row>
    <row r="2435" spans="12:13">
      <c r="L2435" s="20" t="str">
        <f t="shared" ref="L2435:L2498" si="76">+IF(LEFT(D2435,1)="1","Asset","N/A")</f>
        <v>N/A</v>
      </c>
      <c r="M2435" s="20" t="str">
        <f t="shared" ref="M2435:M2498" si="77">+IF(L2435="asset",IF(H2435&lt;0,"Provide Comment","okay"),"N/A")</f>
        <v>N/A</v>
      </c>
    </row>
    <row r="2436" spans="12:13">
      <c r="L2436" s="20" t="str">
        <f t="shared" si="76"/>
        <v>N/A</v>
      </c>
      <c r="M2436" s="20" t="str">
        <f t="shared" si="77"/>
        <v>N/A</v>
      </c>
    </row>
    <row r="2437" spans="12:13">
      <c r="L2437" s="20" t="str">
        <f t="shared" si="76"/>
        <v>N/A</v>
      </c>
      <c r="M2437" s="20" t="str">
        <f t="shared" si="77"/>
        <v>N/A</v>
      </c>
    </row>
    <row r="2438" spans="12:13">
      <c r="L2438" s="20" t="str">
        <f t="shared" si="76"/>
        <v>N/A</v>
      </c>
      <c r="M2438" s="20" t="str">
        <f t="shared" si="77"/>
        <v>N/A</v>
      </c>
    </row>
    <row r="2439" spans="12:13">
      <c r="L2439" s="20" t="str">
        <f t="shared" si="76"/>
        <v>N/A</v>
      </c>
      <c r="M2439" s="20" t="str">
        <f t="shared" si="77"/>
        <v>N/A</v>
      </c>
    </row>
    <row r="2440" spans="12:13">
      <c r="L2440" s="20" t="str">
        <f t="shared" si="76"/>
        <v>N/A</v>
      </c>
      <c r="M2440" s="20" t="str">
        <f t="shared" si="77"/>
        <v>N/A</v>
      </c>
    </row>
    <row r="2441" spans="12:13">
      <c r="L2441" s="20" t="str">
        <f t="shared" si="76"/>
        <v>N/A</v>
      </c>
      <c r="M2441" s="20" t="str">
        <f t="shared" si="77"/>
        <v>N/A</v>
      </c>
    </row>
    <row r="2442" spans="12:13">
      <c r="L2442" s="20" t="str">
        <f t="shared" si="76"/>
        <v>N/A</v>
      </c>
      <c r="M2442" s="20" t="str">
        <f t="shared" si="77"/>
        <v>N/A</v>
      </c>
    </row>
    <row r="2443" spans="12:13">
      <c r="L2443" s="20" t="str">
        <f t="shared" si="76"/>
        <v>N/A</v>
      </c>
      <c r="M2443" s="20" t="str">
        <f t="shared" si="77"/>
        <v>N/A</v>
      </c>
    </row>
    <row r="2444" spans="12:13">
      <c r="L2444" s="20" t="str">
        <f t="shared" si="76"/>
        <v>N/A</v>
      </c>
      <c r="M2444" s="20" t="str">
        <f t="shared" si="77"/>
        <v>N/A</v>
      </c>
    </row>
    <row r="2445" spans="12:13">
      <c r="L2445" s="20" t="str">
        <f t="shared" si="76"/>
        <v>N/A</v>
      </c>
      <c r="M2445" s="20" t="str">
        <f t="shared" si="77"/>
        <v>N/A</v>
      </c>
    </row>
    <row r="2446" spans="12:13">
      <c r="L2446" s="20" t="str">
        <f t="shared" si="76"/>
        <v>N/A</v>
      </c>
      <c r="M2446" s="20" t="str">
        <f t="shared" si="77"/>
        <v>N/A</v>
      </c>
    </row>
    <row r="2447" spans="12:13">
      <c r="L2447" s="20" t="str">
        <f t="shared" si="76"/>
        <v>N/A</v>
      </c>
      <c r="M2447" s="20" t="str">
        <f t="shared" si="77"/>
        <v>N/A</v>
      </c>
    </row>
    <row r="2448" spans="12:13">
      <c r="L2448" s="20" t="str">
        <f t="shared" si="76"/>
        <v>N/A</v>
      </c>
      <c r="M2448" s="20" t="str">
        <f t="shared" si="77"/>
        <v>N/A</v>
      </c>
    </row>
    <row r="2449" spans="12:13">
      <c r="L2449" s="20" t="str">
        <f t="shared" si="76"/>
        <v>N/A</v>
      </c>
      <c r="M2449" s="20" t="str">
        <f t="shared" si="77"/>
        <v>N/A</v>
      </c>
    </row>
    <row r="2450" spans="12:13">
      <c r="L2450" s="20" t="str">
        <f t="shared" si="76"/>
        <v>N/A</v>
      </c>
      <c r="M2450" s="20" t="str">
        <f t="shared" si="77"/>
        <v>N/A</v>
      </c>
    </row>
    <row r="2451" spans="12:13">
      <c r="L2451" s="20" t="str">
        <f t="shared" si="76"/>
        <v>N/A</v>
      </c>
      <c r="M2451" s="20" t="str">
        <f t="shared" si="77"/>
        <v>N/A</v>
      </c>
    </row>
    <row r="2452" spans="12:13">
      <c r="L2452" s="20" t="str">
        <f t="shared" si="76"/>
        <v>N/A</v>
      </c>
      <c r="M2452" s="20" t="str">
        <f t="shared" si="77"/>
        <v>N/A</v>
      </c>
    </row>
    <row r="2453" spans="12:13">
      <c r="L2453" s="20" t="str">
        <f t="shared" si="76"/>
        <v>N/A</v>
      </c>
      <c r="M2453" s="20" t="str">
        <f t="shared" si="77"/>
        <v>N/A</v>
      </c>
    </row>
    <row r="2454" spans="12:13">
      <c r="L2454" s="20" t="str">
        <f t="shared" si="76"/>
        <v>N/A</v>
      </c>
      <c r="M2454" s="20" t="str">
        <f t="shared" si="77"/>
        <v>N/A</v>
      </c>
    </row>
    <row r="2455" spans="12:13">
      <c r="L2455" s="20" t="str">
        <f t="shared" si="76"/>
        <v>N/A</v>
      </c>
      <c r="M2455" s="20" t="str">
        <f t="shared" si="77"/>
        <v>N/A</v>
      </c>
    </row>
    <row r="2456" spans="12:13">
      <c r="L2456" s="20" t="str">
        <f t="shared" si="76"/>
        <v>N/A</v>
      </c>
      <c r="M2456" s="20" t="str">
        <f t="shared" si="77"/>
        <v>N/A</v>
      </c>
    </row>
    <row r="2457" spans="12:13">
      <c r="L2457" s="20" t="str">
        <f t="shared" si="76"/>
        <v>N/A</v>
      </c>
      <c r="M2457" s="20" t="str">
        <f t="shared" si="77"/>
        <v>N/A</v>
      </c>
    </row>
    <row r="2458" spans="12:13">
      <c r="L2458" s="20" t="str">
        <f t="shared" si="76"/>
        <v>N/A</v>
      </c>
      <c r="M2458" s="20" t="str">
        <f t="shared" si="77"/>
        <v>N/A</v>
      </c>
    </row>
    <row r="2459" spans="12:13">
      <c r="L2459" s="20" t="str">
        <f t="shared" si="76"/>
        <v>N/A</v>
      </c>
      <c r="M2459" s="20" t="str">
        <f t="shared" si="77"/>
        <v>N/A</v>
      </c>
    </row>
    <row r="2460" spans="12:13">
      <c r="L2460" s="20" t="str">
        <f t="shared" si="76"/>
        <v>N/A</v>
      </c>
      <c r="M2460" s="20" t="str">
        <f t="shared" si="77"/>
        <v>N/A</v>
      </c>
    </row>
    <row r="2461" spans="12:13">
      <c r="L2461" s="20" t="str">
        <f t="shared" si="76"/>
        <v>N/A</v>
      </c>
      <c r="M2461" s="20" t="str">
        <f t="shared" si="77"/>
        <v>N/A</v>
      </c>
    </row>
    <row r="2462" spans="12:13">
      <c r="L2462" s="20" t="str">
        <f t="shared" si="76"/>
        <v>N/A</v>
      </c>
      <c r="M2462" s="20" t="str">
        <f t="shared" si="77"/>
        <v>N/A</v>
      </c>
    </row>
    <row r="2463" spans="12:13">
      <c r="L2463" s="20" t="str">
        <f t="shared" si="76"/>
        <v>N/A</v>
      </c>
      <c r="M2463" s="20" t="str">
        <f t="shared" si="77"/>
        <v>N/A</v>
      </c>
    </row>
    <row r="2464" spans="12:13">
      <c r="L2464" s="20" t="str">
        <f t="shared" si="76"/>
        <v>N/A</v>
      </c>
      <c r="M2464" s="20" t="str">
        <f t="shared" si="77"/>
        <v>N/A</v>
      </c>
    </row>
    <row r="2465" spans="12:13">
      <c r="L2465" s="20" t="str">
        <f t="shared" si="76"/>
        <v>N/A</v>
      </c>
      <c r="M2465" s="20" t="str">
        <f t="shared" si="77"/>
        <v>N/A</v>
      </c>
    </row>
    <row r="2466" spans="12:13">
      <c r="L2466" s="20" t="str">
        <f t="shared" si="76"/>
        <v>N/A</v>
      </c>
      <c r="M2466" s="20" t="str">
        <f t="shared" si="77"/>
        <v>N/A</v>
      </c>
    </row>
    <row r="2467" spans="12:13">
      <c r="L2467" s="20" t="str">
        <f t="shared" si="76"/>
        <v>N/A</v>
      </c>
      <c r="M2467" s="20" t="str">
        <f t="shared" si="77"/>
        <v>N/A</v>
      </c>
    </row>
    <row r="2468" spans="12:13">
      <c r="L2468" s="20" t="str">
        <f t="shared" si="76"/>
        <v>N/A</v>
      </c>
      <c r="M2468" s="20" t="str">
        <f t="shared" si="77"/>
        <v>N/A</v>
      </c>
    </row>
    <row r="2469" spans="12:13">
      <c r="L2469" s="20" t="str">
        <f t="shared" si="76"/>
        <v>N/A</v>
      </c>
      <c r="M2469" s="20" t="str">
        <f t="shared" si="77"/>
        <v>N/A</v>
      </c>
    </row>
    <row r="2470" spans="12:13">
      <c r="L2470" s="20" t="str">
        <f t="shared" si="76"/>
        <v>N/A</v>
      </c>
      <c r="M2470" s="20" t="str">
        <f t="shared" si="77"/>
        <v>N/A</v>
      </c>
    </row>
    <row r="2471" spans="12:13">
      <c r="L2471" s="20" t="str">
        <f t="shared" si="76"/>
        <v>N/A</v>
      </c>
      <c r="M2471" s="20" t="str">
        <f t="shared" si="77"/>
        <v>N/A</v>
      </c>
    </row>
    <row r="2472" spans="12:13">
      <c r="L2472" s="20" t="str">
        <f t="shared" si="76"/>
        <v>N/A</v>
      </c>
      <c r="M2472" s="20" t="str">
        <f t="shared" si="77"/>
        <v>N/A</v>
      </c>
    </row>
    <row r="2473" spans="12:13">
      <c r="L2473" s="20" t="str">
        <f t="shared" si="76"/>
        <v>N/A</v>
      </c>
      <c r="M2473" s="20" t="str">
        <f t="shared" si="77"/>
        <v>N/A</v>
      </c>
    </row>
    <row r="2474" spans="12:13">
      <c r="L2474" s="20" t="str">
        <f t="shared" si="76"/>
        <v>N/A</v>
      </c>
      <c r="M2474" s="20" t="str">
        <f t="shared" si="77"/>
        <v>N/A</v>
      </c>
    </row>
    <row r="2475" spans="12:13">
      <c r="L2475" s="20" t="str">
        <f t="shared" si="76"/>
        <v>N/A</v>
      </c>
      <c r="M2475" s="20" t="str">
        <f t="shared" si="77"/>
        <v>N/A</v>
      </c>
    </row>
    <row r="2476" spans="12:13">
      <c r="L2476" s="20" t="str">
        <f t="shared" si="76"/>
        <v>N/A</v>
      </c>
      <c r="M2476" s="20" t="str">
        <f t="shared" si="77"/>
        <v>N/A</v>
      </c>
    </row>
    <row r="2477" spans="12:13">
      <c r="L2477" s="20" t="str">
        <f t="shared" si="76"/>
        <v>N/A</v>
      </c>
      <c r="M2477" s="20" t="str">
        <f t="shared" si="77"/>
        <v>N/A</v>
      </c>
    </row>
    <row r="2478" spans="12:13">
      <c r="L2478" s="20" t="str">
        <f t="shared" si="76"/>
        <v>N/A</v>
      </c>
      <c r="M2478" s="20" t="str">
        <f t="shared" si="77"/>
        <v>N/A</v>
      </c>
    </row>
    <row r="2479" spans="12:13">
      <c r="L2479" s="20" t="str">
        <f t="shared" si="76"/>
        <v>N/A</v>
      </c>
      <c r="M2479" s="20" t="str">
        <f t="shared" si="77"/>
        <v>N/A</v>
      </c>
    </row>
    <row r="2480" spans="12:13">
      <c r="L2480" s="20" t="str">
        <f t="shared" si="76"/>
        <v>N/A</v>
      </c>
      <c r="M2480" s="20" t="str">
        <f t="shared" si="77"/>
        <v>N/A</v>
      </c>
    </row>
    <row r="2481" spans="12:13">
      <c r="L2481" s="20" t="str">
        <f t="shared" si="76"/>
        <v>N/A</v>
      </c>
      <c r="M2481" s="20" t="str">
        <f t="shared" si="77"/>
        <v>N/A</v>
      </c>
    </row>
    <row r="2482" spans="12:13">
      <c r="L2482" s="20" t="str">
        <f t="shared" si="76"/>
        <v>N/A</v>
      </c>
      <c r="M2482" s="20" t="str">
        <f t="shared" si="77"/>
        <v>N/A</v>
      </c>
    </row>
    <row r="2483" spans="12:13">
      <c r="L2483" s="20" t="str">
        <f t="shared" si="76"/>
        <v>N/A</v>
      </c>
      <c r="M2483" s="20" t="str">
        <f t="shared" si="77"/>
        <v>N/A</v>
      </c>
    </row>
    <row r="2484" spans="12:13">
      <c r="L2484" s="20" t="str">
        <f t="shared" si="76"/>
        <v>N/A</v>
      </c>
      <c r="M2484" s="20" t="str">
        <f t="shared" si="77"/>
        <v>N/A</v>
      </c>
    </row>
    <row r="2485" spans="12:13">
      <c r="L2485" s="20" t="str">
        <f t="shared" si="76"/>
        <v>N/A</v>
      </c>
      <c r="M2485" s="20" t="str">
        <f t="shared" si="77"/>
        <v>N/A</v>
      </c>
    </row>
    <row r="2486" spans="12:13">
      <c r="L2486" s="20" t="str">
        <f t="shared" si="76"/>
        <v>N/A</v>
      </c>
      <c r="M2486" s="20" t="str">
        <f t="shared" si="77"/>
        <v>N/A</v>
      </c>
    </row>
    <row r="2487" spans="12:13">
      <c r="L2487" s="20" t="str">
        <f t="shared" si="76"/>
        <v>N/A</v>
      </c>
      <c r="M2487" s="20" t="str">
        <f t="shared" si="77"/>
        <v>N/A</v>
      </c>
    </row>
    <row r="2488" spans="12:13">
      <c r="L2488" s="20" t="str">
        <f t="shared" si="76"/>
        <v>N/A</v>
      </c>
      <c r="M2488" s="20" t="str">
        <f t="shared" si="77"/>
        <v>N/A</v>
      </c>
    </row>
    <row r="2489" spans="12:13">
      <c r="L2489" s="20" t="str">
        <f t="shared" si="76"/>
        <v>N/A</v>
      </c>
      <c r="M2489" s="20" t="str">
        <f t="shared" si="77"/>
        <v>N/A</v>
      </c>
    </row>
    <row r="2490" spans="12:13">
      <c r="L2490" s="20" t="str">
        <f t="shared" si="76"/>
        <v>N/A</v>
      </c>
      <c r="M2490" s="20" t="str">
        <f t="shared" si="77"/>
        <v>N/A</v>
      </c>
    </row>
    <row r="2491" spans="12:13">
      <c r="L2491" s="20" t="str">
        <f t="shared" si="76"/>
        <v>N/A</v>
      </c>
      <c r="M2491" s="20" t="str">
        <f t="shared" si="77"/>
        <v>N/A</v>
      </c>
    </row>
    <row r="2492" spans="12:13">
      <c r="L2492" s="20" t="str">
        <f t="shared" si="76"/>
        <v>N/A</v>
      </c>
      <c r="M2492" s="20" t="str">
        <f t="shared" si="77"/>
        <v>N/A</v>
      </c>
    </row>
    <row r="2493" spans="12:13">
      <c r="L2493" s="20" t="str">
        <f t="shared" si="76"/>
        <v>N/A</v>
      </c>
      <c r="M2493" s="20" t="str">
        <f t="shared" si="77"/>
        <v>N/A</v>
      </c>
    </row>
    <row r="2494" spans="12:13">
      <c r="L2494" s="20" t="str">
        <f t="shared" si="76"/>
        <v>N/A</v>
      </c>
      <c r="M2494" s="20" t="str">
        <f t="shared" si="77"/>
        <v>N/A</v>
      </c>
    </row>
    <row r="2495" spans="12:13">
      <c r="L2495" s="20" t="str">
        <f t="shared" si="76"/>
        <v>N/A</v>
      </c>
      <c r="M2495" s="20" t="str">
        <f t="shared" si="77"/>
        <v>N/A</v>
      </c>
    </row>
    <row r="2496" spans="12:13">
      <c r="L2496" s="20" t="str">
        <f t="shared" si="76"/>
        <v>N/A</v>
      </c>
      <c r="M2496" s="20" t="str">
        <f t="shared" si="77"/>
        <v>N/A</v>
      </c>
    </row>
    <row r="2497" spans="12:13">
      <c r="L2497" s="20" t="str">
        <f t="shared" si="76"/>
        <v>N/A</v>
      </c>
      <c r="M2497" s="20" t="str">
        <f t="shared" si="77"/>
        <v>N/A</v>
      </c>
    </row>
    <row r="2498" spans="12:13">
      <c r="L2498" s="20" t="str">
        <f t="shared" si="76"/>
        <v>N/A</v>
      </c>
      <c r="M2498" s="20" t="str">
        <f t="shared" si="77"/>
        <v>N/A</v>
      </c>
    </row>
    <row r="2499" spans="12:13">
      <c r="L2499" s="20" t="str">
        <f t="shared" ref="L2499:L2562" si="78">+IF(LEFT(D2499,1)="1","Asset","N/A")</f>
        <v>N/A</v>
      </c>
      <c r="M2499" s="20" t="str">
        <f t="shared" ref="M2499:M2562" si="79">+IF(L2499="asset",IF(H2499&lt;0,"Provide Comment","okay"),"N/A")</f>
        <v>N/A</v>
      </c>
    </row>
    <row r="2500" spans="12:13">
      <c r="L2500" s="20" t="str">
        <f t="shared" si="78"/>
        <v>N/A</v>
      </c>
      <c r="M2500" s="20" t="str">
        <f t="shared" si="79"/>
        <v>N/A</v>
      </c>
    </row>
    <row r="2501" spans="12:13">
      <c r="L2501" s="20" t="str">
        <f t="shared" si="78"/>
        <v>N/A</v>
      </c>
      <c r="M2501" s="20" t="str">
        <f t="shared" si="79"/>
        <v>N/A</v>
      </c>
    </row>
    <row r="2502" spans="12:13">
      <c r="L2502" s="20" t="str">
        <f t="shared" si="78"/>
        <v>N/A</v>
      </c>
      <c r="M2502" s="20" t="str">
        <f t="shared" si="79"/>
        <v>N/A</v>
      </c>
    </row>
    <row r="2503" spans="12:13">
      <c r="L2503" s="20" t="str">
        <f t="shared" si="78"/>
        <v>N/A</v>
      </c>
      <c r="M2503" s="20" t="str">
        <f t="shared" si="79"/>
        <v>N/A</v>
      </c>
    </row>
    <row r="2504" spans="12:13">
      <c r="L2504" s="20" t="str">
        <f t="shared" si="78"/>
        <v>N/A</v>
      </c>
      <c r="M2504" s="20" t="str">
        <f t="shared" si="79"/>
        <v>N/A</v>
      </c>
    </row>
    <row r="2505" spans="12:13">
      <c r="L2505" s="20" t="str">
        <f t="shared" si="78"/>
        <v>N/A</v>
      </c>
      <c r="M2505" s="20" t="str">
        <f t="shared" si="79"/>
        <v>N/A</v>
      </c>
    </row>
    <row r="2506" spans="12:13">
      <c r="L2506" s="20" t="str">
        <f t="shared" si="78"/>
        <v>N/A</v>
      </c>
      <c r="M2506" s="20" t="str">
        <f t="shared" si="79"/>
        <v>N/A</v>
      </c>
    </row>
    <row r="2507" spans="12:13">
      <c r="L2507" s="20" t="str">
        <f t="shared" si="78"/>
        <v>N/A</v>
      </c>
      <c r="M2507" s="20" t="str">
        <f t="shared" si="79"/>
        <v>N/A</v>
      </c>
    </row>
    <row r="2508" spans="12:13">
      <c r="L2508" s="20" t="str">
        <f t="shared" si="78"/>
        <v>N/A</v>
      </c>
      <c r="M2508" s="20" t="str">
        <f t="shared" si="79"/>
        <v>N/A</v>
      </c>
    </row>
    <row r="2509" spans="12:13">
      <c r="L2509" s="20" t="str">
        <f t="shared" si="78"/>
        <v>N/A</v>
      </c>
      <c r="M2509" s="20" t="str">
        <f t="shared" si="79"/>
        <v>N/A</v>
      </c>
    </row>
    <row r="2510" spans="12:13">
      <c r="L2510" s="20" t="str">
        <f t="shared" si="78"/>
        <v>N/A</v>
      </c>
      <c r="M2510" s="20" t="str">
        <f t="shared" si="79"/>
        <v>N/A</v>
      </c>
    </row>
    <row r="2511" spans="12:13">
      <c r="L2511" s="20" t="str">
        <f t="shared" si="78"/>
        <v>N/A</v>
      </c>
      <c r="M2511" s="20" t="str">
        <f t="shared" si="79"/>
        <v>N/A</v>
      </c>
    </row>
    <row r="2512" spans="12:13">
      <c r="L2512" s="20" t="str">
        <f t="shared" si="78"/>
        <v>N/A</v>
      </c>
      <c r="M2512" s="20" t="str">
        <f t="shared" si="79"/>
        <v>N/A</v>
      </c>
    </row>
    <row r="2513" spans="12:13">
      <c r="L2513" s="20" t="str">
        <f t="shared" si="78"/>
        <v>N/A</v>
      </c>
      <c r="M2513" s="20" t="str">
        <f t="shared" si="79"/>
        <v>N/A</v>
      </c>
    </row>
    <row r="2514" spans="12:13">
      <c r="L2514" s="20" t="str">
        <f t="shared" si="78"/>
        <v>N/A</v>
      </c>
      <c r="M2514" s="20" t="str">
        <f t="shared" si="79"/>
        <v>N/A</v>
      </c>
    </row>
    <row r="2515" spans="12:13">
      <c r="L2515" s="20" t="str">
        <f t="shared" si="78"/>
        <v>N/A</v>
      </c>
      <c r="M2515" s="20" t="str">
        <f t="shared" si="79"/>
        <v>N/A</v>
      </c>
    </row>
    <row r="2516" spans="12:13">
      <c r="L2516" s="20" t="str">
        <f t="shared" si="78"/>
        <v>N/A</v>
      </c>
      <c r="M2516" s="20" t="str">
        <f t="shared" si="79"/>
        <v>N/A</v>
      </c>
    </row>
    <row r="2517" spans="12:13">
      <c r="L2517" s="20" t="str">
        <f t="shared" si="78"/>
        <v>N/A</v>
      </c>
      <c r="M2517" s="20" t="str">
        <f t="shared" si="79"/>
        <v>N/A</v>
      </c>
    </row>
    <row r="2518" spans="12:13">
      <c r="L2518" s="20" t="str">
        <f t="shared" si="78"/>
        <v>N/A</v>
      </c>
      <c r="M2518" s="20" t="str">
        <f t="shared" si="79"/>
        <v>N/A</v>
      </c>
    </row>
    <row r="2519" spans="12:13">
      <c r="L2519" s="20" t="str">
        <f t="shared" si="78"/>
        <v>N/A</v>
      </c>
      <c r="M2519" s="20" t="str">
        <f t="shared" si="79"/>
        <v>N/A</v>
      </c>
    </row>
    <row r="2520" spans="12:13">
      <c r="L2520" s="20" t="str">
        <f t="shared" si="78"/>
        <v>N/A</v>
      </c>
      <c r="M2520" s="20" t="str">
        <f t="shared" si="79"/>
        <v>N/A</v>
      </c>
    </row>
    <row r="2521" spans="12:13">
      <c r="L2521" s="20" t="str">
        <f t="shared" si="78"/>
        <v>N/A</v>
      </c>
      <c r="M2521" s="20" t="str">
        <f t="shared" si="79"/>
        <v>N/A</v>
      </c>
    </row>
    <row r="2522" spans="12:13">
      <c r="L2522" s="20" t="str">
        <f t="shared" si="78"/>
        <v>N/A</v>
      </c>
      <c r="M2522" s="20" t="str">
        <f t="shared" si="79"/>
        <v>N/A</v>
      </c>
    </row>
    <row r="2523" spans="12:13">
      <c r="L2523" s="20" t="str">
        <f t="shared" si="78"/>
        <v>N/A</v>
      </c>
      <c r="M2523" s="20" t="str">
        <f t="shared" si="79"/>
        <v>N/A</v>
      </c>
    </row>
    <row r="2524" spans="12:13">
      <c r="L2524" s="20" t="str">
        <f t="shared" si="78"/>
        <v>N/A</v>
      </c>
      <c r="M2524" s="20" t="str">
        <f t="shared" si="79"/>
        <v>N/A</v>
      </c>
    </row>
    <row r="2525" spans="12:13">
      <c r="L2525" s="20" t="str">
        <f t="shared" si="78"/>
        <v>N/A</v>
      </c>
      <c r="M2525" s="20" t="str">
        <f t="shared" si="79"/>
        <v>N/A</v>
      </c>
    </row>
    <row r="2526" spans="12:13">
      <c r="L2526" s="20" t="str">
        <f t="shared" si="78"/>
        <v>N/A</v>
      </c>
      <c r="M2526" s="20" t="str">
        <f t="shared" si="79"/>
        <v>N/A</v>
      </c>
    </row>
    <row r="2527" spans="12:13">
      <c r="L2527" s="20" t="str">
        <f t="shared" si="78"/>
        <v>N/A</v>
      </c>
      <c r="M2527" s="20" t="str">
        <f t="shared" si="79"/>
        <v>N/A</v>
      </c>
    </row>
    <row r="2528" spans="12:13">
      <c r="L2528" s="20" t="str">
        <f t="shared" si="78"/>
        <v>N/A</v>
      </c>
      <c r="M2528" s="20" t="str">
        <f t="shared" si="79"/>
        <v>N/A</v>
      </c>
    </row>
    <row r="2529" spans="12:13">
      <c r="L2529" s="20" t="str">
        <f t="shared" si="78"/>
        <v>N/A</v>
      </c>
      <c r="M2529" s="20" t="str">
        <f t="shared" si="79"/>
        <v>N/A</v>
      </c>
    </row>
    <row r="2530" spans="12:13">
      <c r="L2530" s="20" t="str">
        <f t="shared" si="78"/>
        <v>N/A</v>
      </c>
      <c r="M2530" s="20" t="str">
        <f t="shared" si="79"/>
        <v>N/A</v>
      </c>
    </row>
    <row r="2531" spans="12:13">
      <c r="L2531" s="20" t="str">
        <f t="shared" si="78"/>
        <v>N/A</v>
      </c>
      <c r="M2531" s="20" t="str">
        <f t="shared" si="79"/>
        <v>N/A</v>
      </c>
    </row>
    <row r="2532" spans="12:13">
      <c r="L2532" s="20" t="str">
        <f t="shared" si="78"/>
        <v>N/A</v>
      </c>
      <c r="M2532" s="20" t="str">
        <f t="shared" si="79"/>
        <v>N/A</v>
      </c>
    </row>
    <row r="2533" spans="12:13">
      <c r="L2533" s="20" t="str">
        <f t="shared" si="78"/>
        <v>N/A</v>
      </c>
      <c r="M2533" s="20" t="str">
        <f t="shared" si="79"/>
        <v>N/A</v>
      </c>
    </row>
    <row r="2534" spans="12:13">
      <c r="L2534" s="20" t="str">
        <f t="shared" si="78"/>
        <v>N/A</v>
      </c>
      <c r="M2534" s="20" t="str">
        <f t="shared" si="79"/>
        <v>N/A</v>
      </c>
    </row>
    <row r="2535" spans="12:13">
      <c r="L2535" s="20" t="str">
        <f t="shared" si="78"/>
        <v>N/A</v>
      </c>
      <c r="M2535" s="20" t="str">
        <f t="shared" si="79"/>
        <v>N/A</v>
      </c>
    </row>
    <row r="2536" spans="12:13">
      <c r="L2536" s="20" t="str">
        <f t="shared" si="78"/>
        <v>N/A</v>
      </c>
      <c r="M2536" s="20" t="str">
        <f t="shared" si="79"/>
        <v>N/A</v>
      </c>
    </row>
    <row r="2537" spans="12:13">
      <c r="L2537" s="20" t="str">
        <f t="shared" si="78"/>
        <v>N/A</v>
      </c>
      <c r="M2537" s="20" t="str">
        <f t="shared" si="79"/>
        <v>N/A</v>
      </c>
    </row>
    <row r="2538" spans="12:13">
      <c r="L2538" s="20" t="str">
        <f t="shared" si="78"/>
        <v>N/A</v>
      </c>
      <c r="M2538" s="20" t="str">
        <f t="shared" si="79"/>
        <v>N/A</v>
      </c>
    </row>
    <row r="2539" spans="12:13">
      <c r="L2539" s="20" t="str">
        <f t="shared" si="78"/>
        <v>N/A</v>
      </c>
      <c r="M2539" s="20" t="str">
        <f t="shared" si="79"/>
        <v>N/A</v>
      </c>
    </row>
    <row r="2540" spans="12:13">
      <c r="L2540" s="20" t="str">
        <f t="shared" si="78"/>
        <v>N/A</v>
      </c>
      <c r="M2540" s="20" t="str">
        <f t="shared" si="79"/>
        <v>N/A</v>
      </c>
    </row>
    <row r="2541" spans="12:13">
      <c r="L2541" s="20" t="str">
        <f t="shared" si="78"/>
        <v>N/A</v>
      </c>
      <c r="M2541" s="20" t="str">
        <f t="shared" si="79"/>
        <v>N/A</v>
      </c>
    </row>
    <row r="2542" spans="12:13">
      <c r="L2542" s="20" t="str">
        <f t="shared" si="78"/>
        <v>N/A</v>
      </c>
      <c r="M2542" s="20" t="str">
        <f t="shared" si="79"/>
        <v>N/A</v>
      </c>
    </row>
    <row r="2543" spans="12:13">
      <c r="L2543" s="20" t="str">
        <f t="shared" si="78"/>
        <v>N/A</v>
      </c>
      <c r="M2543" s="20" t="str">
        <f t="shared" si="79"/>
        <v>N/A</v>
      </c>
    </row>
    <row r="2544" spans="12:13">
      <c r="L2544" s="20" t="str">
        <f t="shared" si="78"/>
        <v>N/A</v>
      </c>
      <c r="M2544" s="20" t="str">
        <f t="shared" si="79"/>
        <v>N/A</v>
      </c>
    </row>
    <row r="2545" spans="12:13">
      <c r="L2545" s="20" t="str">
        <f t="shared" si="78"/>
        <v>N/A</v>
      </c>
      <c r="M2545" s="20" t="str">
        <f t="shared" si="79"/>
        <v>N/A</v>
      </c>
    </row>
    <row r="2546" spans="12:13">
      <c r="L2546" s="20" t="str">
        <f t="shared" si="78"/>
        <v>N/A</v>
      </c>
      <c r="M2546" s="20" t="str">
        <f t="shared" si="79"/>
        <v>N/A</v>
      </c>
    </row>
    <row r="2547" spans="12:13">
      <c r="L2547" s="20" t="str">
        <f t="shared" si="78"/>
        <v>N/A</v>
      </c>
      <c r="M2547" s="20" t="str">
        <f t="shared" si="79"/>
        <v>N/A</v>
      </c>
    </row>
    <row r="2548" spans="12:13">
      <c r="L2548" s="20" t="str">
        <f t="shared" si="78"/>
        <v>N/A</v>
      </c>
      <c r="M2548" s="20" t="str">
        <f t="shared" si="79"/>
        <v>N/A</v>
      </c>
    </row>
    <row r="2549" spans="12:13">
      <c r="L2549" s="20" t="str">
        <f t="shared" si="78"/>
        <v>N/A</v>
      </c>
      <c r="M2549" s="20" t="str">
        <f t="shared" si="79"/>
        <v>N/A</v>
      </c>
    </row>
    <row r="2550" spans="12:13">
      <c r="L2550" s="20" t="str">
        <f t="shared" si="78"/>
        <v>N/A</v>
      </c>
      <c r="M2550" s="20" t="str">
        <f t="shared" si="79"/>
        <v>N/A</v>
      </c>
    </row>
    <row r="2551" spans="12:13">
      <c r="L2551" s="20" t="str">
        <f t="shared" si="78"/>
        <v>N/A</v>
      </c>
      <c r="M2551" s="20" t="str">
        <f t="shared" si="79"/>
        <v>N/A</v>
      </c>
    </row>
    <row r="2552" spans="12:13">
      <c r="L2552" s="20" t="str">
        <f t="shared" si="78"/>
        <v>N/A</v>
      </c>
      <c r="M2552" s="20" t="str">
        <f t="shared" si="79"/>
        <v>N/A</v>
      </c>
    </row>
    <row r="2553" spans="12:13">
      <c r="L2553" s="20" t="str">
        <f t="shared" si="78"/>
        <v>N/A</v>
      </c>
      <c r="M2553" s="20" t="str">
        <f t="shared" si="79"/>
        <v>N/A</v>
      </c>
    </row>
    <row r="2554" spans="12:13">
      <c r="L2554" s="20" t="str">
        <f t="shared" si="78"/>
        <v>N/A</v>
      </c>
      <c r="M2554" s="20" t="str">
        <f t="shared" si="79"/>
        <v>N/A</v>
      </c>
    </row>
    <row r="2555" spans="12:13">
      <c r="L2555" s="20" t="str">
        <f t="shared" si="78"/>
        <v>N/A</v>
      </c>
      <c r="M2555" s="20" t="str">
        <f t="shared" si="79"/>
        <v>N/A</v>
      </c>
    </row>
    <row r="2556" spans="12:13">
      <c r="L2556" s="20" t="str">
        <f t="shared" si="78"/>
        <v>N/A</v>
      </c>
      <c r="M2556" s="20" t="str">
        <f t="shared" si="79"/>
        <v>N/A</v>
      </c>
    </row>
    <row r="2557" spans="12:13">
      <c r="L2557" s="20" t="str">
        <f t="shared" si="78"/>
        <v>N/A</v>
      </c>
      <c r="M2557" s="20" t="str">
        <f t="shared" si="79"/>
        <v>N/A</v>
      </c>
    </row>
    <row r="2558" spans="12:13">
      <c r="L2558" s="20" t="str">
        <f t="shared" si="78"/>
        <v>N/A</v>
      </c>
      <c r="M2558" s="20" t="str">
        <f t="shared" si="79"/>
        <v>N/A</v>
      </c>
    </row>
    <row r="2559" spans="12:13">
      <c r="L2559" s="20" t="str">
        <f t="shared" si="78"/>
        <v>N/A</v>
      </c>
      <c r="M2559" s="20" t="str">
        <f t="shared" si="79"/>
        <v>N/A</v>
      </c>
    </row>
    <row r="2560" spans="12:13">
      <c r="L2560" s="20" t="str">
        <f t="shared" si="78"/>
        <v>N/A</v>
      </c>
      <c r="M2560" s="20" t="str">
        <f t="shared" si="79"/>
        <v>N/A</v>
      </c>
    </row>
    <row r="2561" spans="12:13">
      <c r="L2561" s="20" t="str">
        <f t="shared" si="78"/>
        <v>N/A</v>
      </c>
      <c r="M2561" s="20" t="str">
        <f t="shared" si="79"/>
        <v>N/A</v>
      </c>
    </row>
    <row r="2562" spans="12:13">
      <c r="L2562" s="20" t="str">
        <f t="shared" si="78"/>
        <v>N/A</v>
      </c>
      <c r="M2562" s="20" t="str">
        <f t="shared" si="79"/>
        <v>N/A</v>
      </c>
    </row>
    <row r="2563" spans="12:13">
      <c r="L2563" s="20" t="str">
        <f t="shared" ref="L2563:L2626" si="80">+IF(LEFT(D2563,1)="1","Asset","N/A")</f>
        <v>N/A</v>
      </c>
      <c r="M2563" s="20" t="str">
        <f t="shared" ref="M2563:M2626" si="81">+IF(L2563="asset",IF(H2563&lt;0,"Provide Comment","okay"),"N/A")</f>
        <v>N/A</v>
      </c>
    </row>
    <row r="2564" spans="12:13">
      <c r="L2564" s="20" t="str">
        <f t="shared" si="80"/>
        <v>N/A</v>
      </c>
      <c r="M2564" s="20" t="str">
        <f t="shared" si="81"/>
        <v>N/A</v>
      </c>
    </row>
    <row r="2565" spans="12:13">
      <c r="L2565" s="20" t="str">
        <f t="shared" si="80"/>
        <v>N/A</v>
      </c>
      <c r="M2565" s="20" t="str">
        <f t="shared" si="81"/>
        <v>N/A</v>
      </c>
    </row>
    <row r="2566" spans="12:13">
      <c r="L2566" s="20" t="str">
        <f t="shared" si="80"/>
        <v>N/A</v>
      </c>
      <c r="M2566" s="20" t="str">
        <f t="shared" si="81"/>
        <v>N/A</v>
      </c>
    </row>
    <row r="2567" spans="12:13">
      <c r="L2567" s="20" t="str">
        <f t="shared" si="80"/>
        <v>N/A</v>
      </c>
      <c r="M2567" s="20" t="str">
        <f t="shared" si="81"/>
        <v>N/A</v>
      </c>
    </row>
    <row r="2568" spans="12:13">
      <c r="L2568" s="20" t="str">
        <f t="shared" si="80"/>
        <v>N/A</v>
      </c>
      <c r="M2568" s="20" t="str">
        <f t="shared" si="81"/>
        <v>N/A</v>
      </c>
    </row>
    <row r="2569" spans="12:13">
      <c r="L2569" s="20" t="str">
        <f t="shared" si="80"/>
        <v>N/A</v>
      </c>
      <c r="M2569" s="20" t="str">
        <f t="shared" si="81"/>
        <v>N/A</v>
      </c>
    </row>
    <row r="2570" spans="12:13">
      <c r="L2570" s="20" t="str">
        <f t="shared" si="80"/>
        <v>N/A</v>
      </c>
      <c r="M2570" s="20" t="str">
        <f t="shared" si="81"/>
        <v>N/A</v>
      </c>
    </row>
    <row r="2571" spans="12:13">
      <c r="L2571" s="20" t="str">
        <f t="shared" si="80"/>
        <v>N/A</v>
      </c>
      <c r="M2571" s="20" t="str">
        <f t="shared" si="81"/>
        <v>N/A</v>
      </c>
    </row>
    <row r="2572" spans="12:13">
      <c r="L2572" s="20" t="str">
        <f t="shared" si="80"/>
        <v>N/A</v>
      </c>
      <c r="M2572" s="20" t="str">
        <f t="shared" si="81"/>
        <v>N/A</v>
      </c>
    </row>
    <row r="2573" spans="12:13">
      <c r="L2573" s="20" t="str">
        <f t="shared" si="80"/>
        <v>N/A</v>
      </c>
      <c r="M2573" s="20" t="str">
        <f t="shared" si="81"/>
        <v>N/A</v>
      </c>
    </row>
    <row r="2574" spans="12:13">
      <c r="L2574" s="20" t="str">
        <f t="shared" si="80"/>
        <v>N/A</v>
      </c>
      <c r="M2574" s="20" t="str">
        <f t="shared" si="81"/>
        <v>N/A</v>
      </c>
    </row>
    <row r="2575" spans="12:13">
      <c r="L2575" s="20" t="str">
        <f t="shared" si="80"/>
        <v>N/A</v>
      </c>
      <c r="M2575" s="20" t="str">
        <f t="shared" si="81"/>
        <v>N/A</v>
      </c>
    </row>
    <row r="2576" spans="12:13">
      <c r="L2576" s="20" t="str">
        <f t="shared" si="80"/>
        <v>N/A</v>
      </c>
      <c r="M2576" s="20" t="str">
        <f t="shared" si="81"/>
        <v>N/A</v>
      </c>
    </row>
    <row r="2577" spans="12:13">
      <c r="L2577" s="20" t="str">
        <f t="shared" si="80"/>
        <v>N/A</v>
      </c>
      <c r="M2577" s="20" t="str">
        <f t="shared" si="81"/>
        <v>N/A</v>
      </c>
    </row>
    <row r="2578" spans="12:13">
      <c r="L2578" s="20" t="str">
        <f t="shared" si="80"/>
        <v>N/A</v>
      </c>
      <c r="M2578" s="20" t="str">
        <f t="shared" si="81"/>
        <v>N/A</v>
      </c>
    </row>
    <row r="2579" spans="12:13">
      <c r="L2579" s="20" t="str">
        <f t="shared" si="80"/>
        <v>N/A</v>
      </c>
      <c r="M2579" s="20" t="str">
        <f t="shared" si="81"/>
        <v>N/A</v>
      </c>
    </row>
    <row r="2580" spans="12:13">
      <c r="L2580" s="20" t="str">
        <f t="shared" si="80"/>
        <v>N/A</v>
      </c>
      <c r="M2580" s="20" t="str">
        <f t="shared" si="81"/>
        <v>N/A</v>
      </c>
    </row>
    <row r="2581" spans="12:13">
      <c r="L2581" s="20" t="str">
        <f t="shared" si="80"/>
        <v>N/A</v>
      </c>
      <c r="M2581" s="20" t="str">
        <f t="shared" si="81"/>
        <v>N/A</v>
      </c>
    </row>
    <row r="2582" spans="12:13">
      <c r="L2582" s="20" t="str">
        <f t="shared" si="80"/>
        <v>N/A</v>
      </c>
      <c r="M2582" s="20" t="str">
        <f t="shared" si="81"/>
        <v>N/A</v>
      </c>
    </row>
    <row r="2583" spans="12:13">
      <c r="L2583" s="20" t="str">
        <f t="shared" si="80"/>
        <v>N/A</v>
      </c>
      <c r="M2583" s="20" t="str">
        <f t="shared" si="81"/>
        <v>N/A</v>
      </c>
    </row>
    <row r="2584" spans="12:13">
      <c r="L2584" s="20" t="str">
        <f t="shared" si="80"/>
        <v>N/A</v>
      </c>
      <c r="M2584" s="20" t="str">
        <f t="shared" si="81"/>
        <v>N/A</v>
      </c>
    </row>
    <row r="2585" spans="12:13">
      <c r="L2585" s="20" t="str">
        <f t="shared" si="80"/>
        <v>N/A</v>
      </c>
      <c r="M2585" s="20" t="str">
        <f t="shared" si="81"/>
        <v>N/A</v>
      </c>
    </row>
    <row r="2586" spans="12:13">
      <c r="L2586" s="20" t="str">
        <f t="shared" si="80"/>
        <v>N/A</v>
      </c>
      <c r="M2586" s="20" t="str">
        <f t="shared" si="81"/>
        <v>N/A</v>
      </c>
    </row>
    <row r="2587" spans="12:13">
      <c r="L2587" s="20" t="str">
        <f t="shared" si="80"/>
        <v>N/A</v>
      </c>
      <c r="M2587" s="20" t="str">
        <f t="shared" si="81"/>
        <v>N/A</v>
      </c>
    </row>
    <row r="2588" spans="12:13">
      <c r="L2588" s="20" t="str">
        <f t="shared" si="80"/>
        <v>N/A</v>
      </c>
      <c r="M2588" s="20" t="str">
        <f t="shared" si="81"/>
        <v>N/A</v>
      </c>
    </row>
    <row r="2589" spans="12:13">
      <c r="L2589" s="20" t="str">
        <f t="shared" si="80"/>
        <v>N/A</v>
      </c>
      <c r="M2589" s="20" t="str">
        <f t="shared" si="81"/>
        <v>N/A</v>
      </c>
    </row>
    <row r="2590" spans="12:13">
      <c r="L2590" s="20" t="str">
        <f t="shared" si="80"/>
        <v>N/A</v>
      </c>
      <c r="M2590" s="20" t="str">
        <f t="shared" si="81"/>
        <v>N/A</v>
      </c>
    </row>
    <row r="2591" spans="12:13">
      <c r="L2591" s="20" t="str">
        <f t="shared" si="80"/>
        <v>N/A</v>
      </c>
      <c r="M2591" s="20" t="str">
        <f t="shared" si="81"/>
        <v>N/A</v>
      </c>
    </row>
    <row r="2592" spans="12:13">
      <c r="L2592" s="20" t="str">
        <f t="shared" si="80"/>
        <v>N/A</v>
      </c>
      <c r="M2592" s="20" t="str">
        <f t="shared" si="81"/>
        <v>N/A</v>
      </c>
    </row>
    <row r="2593" spans="12:13">
      <c r="L2593" s="20" t="str">
        <f t="shared" si="80"/>
        <v>N/A</v>
      </c>
      <c r="M2593" s="20" t="str">
        <f t="shared" si="81"/>
        <v>N/A</v>
      </c>
    </row>
    <row r="2594" spans="12:13">
      <c r="L2594" s="20" t="str">
        <f t="shared" si="80"/>
        <v>N/A</v>
      </c>
      <c r="M2594" s="20" t="str">
        <f t="shared" si="81"/>
        <v>N/A</v>
      </c>
    </row>
    <row r="2595" spans="12:13">
      <c r="L2595" s="20" t="str">
        <f t="shared" si="80"/>
        <v>N/A</v>
      </c>
      <c r="M2595" s="20" t="str">
        <f t="shared" si="81"/>
        <v>N/A</v>
      </c>
    </row>
    <row r="2596" spans="12:13">
      <c r="L2596" s="20" t="str">
        <f t="shared" si="80"/>
        <v>N/A</v>
      </c>
      <c r="M2596" s="20" t="str">
        <f t="shared" si="81"/>
        <v>N/A</v>
      </c>
    </row>
    <row r="2597" spans="12:13">
      <c r="L2597" s="20" t="str">
        <f t="shared" si="80"/>
        <v>N/A</v>
      </c>
      <c r="M2597" s="20" t="str">
        <f t="shared" si="81"/>
        <v>N/A</v>
      </c>
    </row>
    <row r="2598" spans="12:13">
      <c r="L2598" s="20" t="str">
        <f t="shared" si="80"/>
        <v>N/A</v>
      </c>
      <c r="M2598" s="20" t="str">
        <f t="shared" si="81"/>
        <v>N/A</v>
      </c>
    </row>
    <row r="2599" spans="12:13">
      <c r="L2599" s="20" t="str">
        <f t="shared" si="80"/>
        <v>N/A</v>
      </c>
      <c r="M2599" s="20" t="str">
        <f t="shared" si="81"/>
        <v>N/A</v>
      </c>
    </row>
    <row r="2600" spans="12:13">
      <c r="L2600" s="20" t="str">
        <f t="shared" si="80"/>
        <v>N/A</v>
      </c>
      <c r="M2600" s="20" t="str">
        <f t="shared" si="81"/>
        <v>N/A</v>
      </c>
    </row>
    <row r="2601" spans="12:13">
      <c r="L2601" s="20" t="str">
        <f t="shared" si="80"/>
        <v>N/A</v>
      </c>
      <c r="M2601" s="20" t="str">
        <f t="shared" si="81"/>
        <v>N/A</v>
      </c>
    </row>
    <row r="2602" spans="12:13">
      <c r="L2602" s="20" t="str">
        <f t="shared" si="80"/>
        <v>N/A</v>
      </c>
      <c r="M2602" s="20" t="str">
        <f t="shared" si="81"/>
        <v>N/A</v>
      </c>
    </row>
    <row r="2603" spans="12:13">
      <c r="L2603" s="20" t="str">
        <f t="shared" si="80"/>
        <v>N/A</v>
      </c>
      <c r="M2603" s="20" t="str">
        <f t="shared" si="81"/>
        <v>N/A</v>
      </c>
    </row>
    <row r="2604" spans="12:13">
      <c r="L2604" s="20" t="str">
        <f t="shared" si="80"/>
        <v>N/A</v>
      </c>
      <c r="M2604" s="20" t="str">
        <f t="shared" si="81"/>
        <v>N/A</v>
      </c>
    </row>
    <row r="2605" spans="12:13">
      <c r="L2605" s="20" t="str">
        <f t="shared" si="80"/>
        <v>N/A</v>
      </c>
      <c r="M2605" s="20" t="str">
        <f t="shared" si="81"/>
        <v>N/A</v>
      </c>
    </row>
    <row r="2606" spans="12:13">
      <c r="L2606" s="20" t="str">
        <f t="shared" si="80"/>
        <v>N/A</v>
      </c>
      <c r="M2606" s="20" t="str">
        <f t="shared" si="81"/>
        <v>N/A</v>
      </c>
    </row>
    <row r="2607" spans="12:13">
      <c r="L2607" s="20" t="str">
        <f t="shared" si="80"/>
        <v>N/A</v>
      </c>
      <c r="M2607" s="20" t="str">
        <f t="shared" si="81"/>
        <v>N/A</v>
      </c>
    </row>
    <row r="2608" spans="12:13">
      <c r="L2608" s="20" t="str">
        <f t="shared" si="80"/>
        <v>N/A</v>
      </c>
      <c r="M2608" s="20" t="str">
        <f t="shared" si="81"/>
        <v>N/A</v>
      </c>
    </row>
    <row r="2609" spans="12:13">
      <c r="L2609" s="20" t="str">
        <f t="shared" si="80"/>
        <v>N/A</v>
      </c>
      <c r="M2609" s="20" t="str">
        <f t="shared" si="81"/>
        <v>N/A</v>
      </c>
    </row>
    <row r="2610" spans="12:13">
      <c r="L2610" s="20" t="str">
        <f t="shared" si="80"/>
        <v>N/A</v>
      </c>
      <c r="M2610" s="20" t="str">
        <f t="shared" si="81"/>
        <v>N/A</v>
      </c>
    </row>
    <row r="2611" spans="12:13">
      <c r="L2611" s="20" t="str">
        <f t="shared" si="80"/>
        <v>N/A</v>
      </c>
      <c r="M2611" s="20" t="str">
        <f t="shared" si="81"/>
        <v>N/A</v>
      </c>
    </row>
    <row r="2612" spans="12:13">
      <c r="L2612" s="20" t="str">
        <f t="shared" si="80"/>
        <v>N/A</v>
      </c>
      <c r="M2612" s="20" t="str">
        <f t="shared" si="81"/>
        <v>N/A</v>
      </c>
    </row>
    <row r="2613" spans="12:13">
      <c r="L2613" s="20" t="str">
        <f t="shared" si="80"/>
        <v>N/A</v>
      </c>
      <c r="M2613" s="20" t="str">
        <f t="shared" si="81"/>
        <v>N/A</v>
      </c>
    </row>
    <row r="2614" spans="12:13">
      <c r="L2614" s="20" t="str">
        <f t="shared" si="80"/>
        <v>N/A</v>
      </c>
      <c r="M2614" s="20" t="str">
        <f t="shared" si="81"/>
        <v>N/A</v>
      </c>
    </row>
    <row r="2615" spans="12:13">
      <c r="L2615" s="20" t="str">
        <f t="shared" si="80"/>
        <v>N/A</v>
      </c>
      <c r="M2615" s="20" t="str">
        <f t="shared" si="81"/>
        <v>N/A</v>
      </c>
    </row>
    <row r="2616" spans="12:13">
      <c r="L2616" s="20" t="str">
        <f t="shared" si="80"/>
        <v>N/A</v>
      </c>
      <c r="M2616" s="20" t="str">
        <f t="shared" si="81"/>
        <v>N/A</v>
      </c>
    </row>
    <row r="2617" spans="12:13">
      <c r="L2617" s="20" t="str">
        <f t="shared" si="80"/>
        <v>N/A</v>
      </c>
      <c r="M2617" s="20" t="str">
        <f t="shared" si="81"/>
        <v>N/A</v>
      </c>
    </row>
    <row r="2618" spans="12:13">
      <c r="L2618" s="20" t="str">
        <f t="shared" si="80"/>
        <v>N/A</v>
      </c>
      <c r="M2618" s="20" t="str">
        <f t="shared" si="81"/>
        <v>N/A</v>
      </c>
    </row>
    <row r="2619" spans="12:13">
      <c r="L2619" s="20" t="str">
        <f t="shared" si="80"/>
        <v>N/A</v>
      </c>
      <c r="M2619" s="20" t="str">
        <f t="shared" si="81"/>
        <v>N/A</v>
      </c>
    </row>
    <row r="2620" spans="12:13">
      <c r="L2620" s="20" t="str">
        <f t="shared" si="80"/>
        <v>N/A</v>
      </c>
      <c r="M2620" s="20" t="str">
        <f t="shared" si="81"/>
        <v>N/A</v>
      </c>
    </row>
    <row r="2621" spans="12:13">
      <c r="L2621" s="20" t="str">
        <f t="shared" si="80"/>
        <v>N/A</v>
      </c>
      <c r="M2621" s="20" t="str">
        <f t="shared" si="81"/>
        <v>N/A</v>
      </c>
    </row>
    <row r="2622" spans="12:13">
      <c r="L2622" s="20" t="str">
        <f t="shared" si="80"/>
        <v>N/A</v>
      </c>
      <c r="M2622" s="20" t="str">
        <f t="shared" si="81"/>
        <v>N/A</v>
      </c>
    </row>
    <row r="2623" spans="12:13">
      <c r="L2623" s="20" t="str">
        <f t="shared" si="80"/>
        <v>N/A</v>
      </c>
      <c r="M2623" s="20" t="str">
        <f t="shared" si="81"/>
        <v>N/A</v>
      </c>
    </row>
    <row r="2624" spans="12:13">
      <c r="L2624" s="20" t="str">
        <f t="shared" si="80"/>
        <v>N/A</v>
      </c>
      <c r="M2624" s="20" t="str">
        <f t="shared" si="81"/>
        <v>N/A</v>
      </c>
    </row>
    <row r="2625" spans="12:13">
      <c r="L2625" s="20" t="str">
        <f t="shared" si="80"/>
        <v>N/A</v>
      </c>
      <c r="M2625" s="20" t="str">
        <f t="shared" si="81"/>
        <v>N/A</v>
      </c>
    </row>
    <row r="2626" spans="12:13">
      <c r="L2626" s="20" t="str">
        <f t="shared" si="80"/>
        <v>N/A</v>
      </c>
      <c r="M2626" s="20" t="str">
        <f t="shared" si="81"/>
        <v>N/A</v>
      </c>
    </row>
    <row r="2627" spans="12:13">
      <c r="L2627" s="20" t="str">
        <f t="shared" ref="L2627:L2690" si="82">+IF(LEFT(D2627,1)="1","Asset","N/A")</f>
        <v>N/A</v>
      </c>
      <c r="M2627" s="20" t="str">
        <f t="shared" ref="M2627:M2690" si="83">+IF(L2627="asset",IF(H2627&lt;0,"Provide Comment","okay"),"N/A")</f>
        <v>N/A</v>
      </c>
    </row>
    <row r="2628" spans="12:13">
      <c r="L2628" s="20" t="str">
        <f t="shared" si="82"/>
        <v>N/A</v>
      </c>
      <c r="M2628" s="20" t="str">
        <f t="shared" si="83"/>
        <v>N/A</v>
      </c>
    </row>
    <row r="2629" spans="12:13">
      <c r="L2629" s="20" t="str">
        <f t="shared" si="82"/>
        <v>N/A</v>
      </c>
      <c r="M2629" s="20" t="str">
        <f t="shared" si="83"/>
        <v>N/A</v>
      </c>
    </row>
    <row r="2630" spans="12:13">
      <c r="L2630" s="20" t="str">
        <f t="shared" si="82"/>
        <v>N/A</v>
      </c>
      <c r="M2630" s="20" t="str">
        <f t="shared" si="83"/>
        <v>N/A</v>
      </c>
    </row>
    <row r="2631" spans="12:13">
      <c r="L2631" s="20" t="str">
        <f t="shared" si="82"/>
        <v>N/A</v>
      </c>
      <c r="M2631" s="20" t="str">
        <f t="shared" si="83"/>
        <v>N/A</v>
      </c>
    </row>
    <row r="2632" spans="12:13">
      <c r="L2632" s="20" t="str">
        <f t="shared" si="82"/>
        <v>N/A</v>
      </c>
      <c r="M2632" s="20" t="str">
        <f t="shared" si="83"/>
        <v>N/A</v>
      </c>
    </row>
    <row r="2633" spans="12:13">
      <c r="L2633" s="20" t="str">
        <f t="shared" si="82"/>
        <v>N/A</v>
      </c>
      <c r="M2633" s="20" t="str">
        <f t="shared" si="83"/>
        <v>N/A</v>
      </c>
    </row>
    <row r="2634" spans="12:13">
      <c r="L2634" s="20" t="str">
        <f t="shared" si="82"/>
        <v>N/A</v>
      </c>
      <c r="M2634" s="20" t="str">
        <f t="shared" si="83"/>
        <v>N/A</v>
      </c>
    </row>
    <row r="2635" spans="12:13">
      <c r="L2635" s="20" t="str">
        <f t="shared" si="82"/>
        <v>N/A</v>
      </c>
      <c r="M2635" s="20" t="str">
        <f t="shared" si="83"/>
        <v>N/A</v>
      </c>
    </row>
    <row r="2636" spans="12:13">
      <c r="L2636" s="20" t="str">
        <f t="shared" si="82"/>
        <v>N/A</v>
      </c>
      <c r="M2636" s="20" t="str">
        <f t="shared" si="83"/>
        <v>N/A</v>
      </c>
    </row>
    <row r="2637" spans="12:13">
      <c r="L2637" s="20" t="str">
        <f t="shared" si="82"/>
        <v>N/A</v>
      </c>
      <c r="M2637" s="20" t="str">
        <f t="shared" si="83"/>
        <v>N/A</v>
      </c>
    </row>
    <row r="2638" spans="12:13">
      <c r="L2638" s="20" t="str">
        <f t="shared" si="82"/>
        <v>N/A</v>
      </c>
      <c r="M2638" s="20" t="str">
        <f t="shared" si="83"/>
        <v>N/A</v>
      </c>
    </row>
    <row r="2639" spans="12:13">
      <c r="L2639" s="20" t="str">
        <f t="shared" si="82"/>
        <v>N/A</v>
      </c>
      <c r="M2639" s="20" t="str">
        <f t="shared" si="83"/>
        <v>N/A</v>
      </c>
    </row>
    <row r="2640" spans="12:13">
      <c r="L2640" s="20" t="str">
        <f t="shared" si="82"/>
        <v>N/A</v>
      </c>
      <c r="M2640" s="20" t="str">
        <f t="shared" si="83"/>
        <v>N/A</v>
      </c>
    </row>
    <row r="2641" spans="12:13">
      <c r="L2641" s="20" t="str">
        <f t="shared" si="82"/>
        <v>N/A</v>
      </c>
      <c r="M2641" s="20" t="str">
        <f t="shared" si="83"/>
        <v>N/A</v>
      </c>
    </row>
    <row r="2642" spans="12:13">
      <c r="L2642" s="20" t="str">
        <f t="shared" si="82"/>
        <v>N/A</v>
      </c>
      <c r="M2642" s="20" t="str">
        <f t="shared" si="83"/>
        <v>N/A</v>
      </c>
    </row>
    <row r="2643" spans="12:13">
      <c r="L2643" s="20" t="str">
        <f t="shared" si="82"/>
        <v>N/A</v>
      </c>
      <c r="M2643" s="20" t="str">
        <f t="shared" si="83"/>
        <v>N/A</v>
      </c>
    </row>
    <row r="2644" spans="12:13">
      <c r="L2644" s="20" t="str">
        <f t="shared" si="82"/>
        <v>N/A</v>
      </c>
      <c r="M2644" s="20" t="str">
        <f t="shared" si="83"/>
        <v>N/A</v>
      </c>
    </row>
    <row r="2645" spans="12:13">
      <c r="L2645" s="20" t="str">
        <f t="shared" si="82"/>
        <v>N/A</v>
      </c>
      <c r="M2645" s="20" t="str">
        <f t="shared" si="83"/>
        <v>N/A</v>
      </c>
    </row>
    <row r="2646" spans="12:13">
      <c r="L2646" s="20" t="str">
        <f t="shared" si="82"/>
        <v>N/A</v>
      </c>
      <c r="M2646" s="20" t="str">
        <f t="shared" si="83"/>
        <v>N/A</v>
      </c>
    </row>
    <row r="2647" spans="12:13">
      <c r="L2647" s="20" t="str">
        <f t="shared" si="82"/>
        <v>N/A</v>
      </c>
      <c r="M2647" s="20" t="str">
        <f t="shared" si="83"/>
        <v>N/A</v>
      </c>
    </row>
    <row r="2648" spans="12:13">
      <c r="L2648" s="20" t="str">
        <f t="shared" si="82"/>
        <v>N/A</v>
      </c>
      <c r="M2648" s="20" t="str">
        <f t="shared" si="83"/>
        <v>N/A</v>
      </c>
    </row>
    <row r="2649" spans="12:13">
      <c r="L2649" s="20" t="str">
        <f t="shared" si="82"/>
        <v>N/A</v>
      </c>
      <c r="M2649" s="20" t="str">
        <f t="shared" si="83"/>
        <v>N/A</v>
      </c>
    </row>
    <row r="2650" spans="12:13">
      <c r="L2650" s="20" t="str">
        <f t="shared" si="82"/>
        <v>N/A</v>
      </c>
      <c r="M2650" s="20" t="str">
        <f t="shared" si="83"/>
        <v>N/A</v>
      </c>
    </row>
    <row r="2651" spans="12:13">
      <c r="L2651" s="20" t="str">
        <f t="shared" si="82"/>
        <v>N/A</v>
      </c>
      <c r="M2651" s="20" t="str">
        <f t="shared" si="83"/>
        <v>N/A</v>
      </c>
    </row>
    <row r="2652" spans="12:13">
      <c r="L2652" s="20" t="str">
        <f t="shared" si="82"/>
        <v>N/A</v>
      </c>
      <c r="M2652" s="20" t="str">
        <f t="shared" si="83"/>
        <v>N/A</v>
      </c>
    </row>
    <row r="2653" spans="12:13">
      <c r="L2653" s="20" t="str">
        <f t="shared" si="82"/>
        <v>N/A</v>
      </c>
      <c r="M2653" s="20" t="str">
        <f t="shared" si="83"/>
        <v>N/A</v>
      </c>
    </row>
    <row r="2654" spans="12:13">
      <c r="L2654" s="20" t="str">
        <f t="shared" si="82"/>
        <v>N/A</v>
      </c>
      <c r="M2654" s="20" t="str">
        <f t="shared" si="83"/>
        <v>N/A</v>
      </c>
    </row>
    <row r="2655" spans="12:13">
      <c r="L2655" s="20" t="str">
        <f t="shared" si="82"/>
        <v>N/A</v>
      </c>
      <c r="M2655" s="20" t="str">
        <f t="shared" si="83"/>
        <v>N/A</v>
      </c>
    </row>
    <row r="2656" spans="12:13">
      <c r="L2656" s="20" t="str">
        <f t="shared" si="82"/>
        <v>N/A</v>
      </c>
      <c r="M2656" s="20" t="str">
        <f t="shared" si="83"/>
        <v>N/A</v>
      </c>
    </row>
    <row r="2657" spans="12:13">
      <c r="L2657" s="20" t="str">
        <f t="shared" si="82"/>
        <v>N/A</v>
      </c>
      <c r="M2657" s="20" t="str">
        <f t="shared" si="83"/>
        <v>N/A</v>
      </c>
    </row>
    <row r="2658" spans="12:13">
      <c r="L2658" s="20" t="str">
        <f t="shared" si="82"/>
        <v>N/A</v>
      </c>
      <c r="M2658" s="20" t="str">
        <f t="shared" si="83"/>
        <v>N/A</v>
      </c>
    </row>
    <row r="2659" spans="12:13">
      <c r="L2659" s="20" t="str">
        <f t="shared" si="82"/>
        <v>N/A</v>
      </c>
      <c r="M2659" s="20" t="str">
        <f t="shared" si="83"/>
        <v>N/A</v>
      </c>
    </row>
    <row r="2660" spans="12:13">
      <c r="L2660" s="20" t="str">
        <f t="shared" si="82"/>
        <v>N/A</v>
      </c>
      <c r="M2660" s="20" t="str">
        <f t="shared" si="83"/>
        <v>N/A</v>
      </c>
    </row>
    <row r="2661" spans="12:13">
      <c r="L2661" s="20" t="str">
        <f t="shared" si="82"/>
        <v>N/A</v>
      </c>
      <c r="M2661" s="20" t="str">
        <f t="shared" si="83"/>
        <v>N/A</v>
      </c>
    </row>
    <row r="2662" spans="12:13">
      <c r="L2662" s="20" t="str">
        <f t="shared" si="82"/>
        <v>N/A</v>
      </c>
      <c r="M2662" s="20" t="str">
        <f t="shared" si="83"/>
        <v>N/A</v>
      </c>
    </row>
    <row r="2663" spans="12:13">
      <c r="L2663" s="20" t="str">
        <f t="shared" si="82"/>
        <v>N/A</v>
      </c>
      <c r="M2663" s="20" t="str">
        <f t="shared" si="83"/>
        <v>N/A</v>
      </c>
    </row>
    <row r="2664" spans="12:13">
      <c r="L2664" s="20" t="str">
        <f t="shared" si="82"/>
        <v>N/A</v>
      </c>
      <c r="M2664" s="20" t="str">
        <f t="shared" si="83"/>
        <v>N/A</v>
      </c>
    </row>
    <row r="2665" spans="12:13">
      <c r="L2665" s="20" t="str">
        <f t="shared" si="82"/>
        <v>N/A</v>
      </c>
      <c r="M2665" s="20" t="str">
        <f t="shared" si="83"/>
        <v>N/A</v>
      </c>
    </row>
    <row r="2666" spans="12:13">
      <c r="L2666" s="20" t="str">
        <f t="shared" si="82"/>
        <v>N/A</v>
      </c>
      <c r="M2666" s="20" t="str">
        <f t="shared" si="83"/>
        <v>N/A</v>
      </c>
    </row>
    <row r="2667" spans="12:13">
      <c r="L2667" s="20" t="str">
        <f t="shared" si="82"/>
        <v>N/A</v>
      </c>
      <c r="M2667" s="20" t="str">
        <f t="shared" si="83"/>
        <v>N/A</v>
      </c>
    </row>
    <row r="2668" spans="12:13">
      <c r="L2668" s="20" t="str">
        <f t="shared" si="82"/>
        <v>N/A</v>
      </c>
      <c r="M2668" s="20" t="str">
        <f t="shared" si="83"/>
        <v>N/A</v>
      </c>
    </row>
    <row r="2669" spans="12:13">
      <c r="L2669" s="20" t="str">
        <f t="shared" si="82"/>
        <v>N/A</v>
      </c>
      <c r="M2669" s="20" t="str">
        <f t="shared" si="83"/>
        <v>N/A</v>
      </c>
    </row>
    <row r="2670" spans="12:13">
      <c r="L2670" s="20" t="str">
        <f t="shared" si="82"/>
        <v>N/A</v>
      </c>
      <c r="M2670" s="20" t="str">
        <f t="shared" si="83"/>
        <v>N/A</v>
      </c>
    </row>
    <row r="2671" spans="12:13">
      <c r="L2671" s="20" t="str">
        <f t="shared" si="82"/>
        <v>N/A</v>
      </c>
      <c r="M2671" s="20" t="str">
        <f t="shared" si="83"/>
        <v>N/A</v>
      </c>
    </row>
    <row r="2672" spans="12:13">
      <c r="L2672" s="20" t="str">
        <f t="shared" si="82"/>
        <v>N/A</v>
      </c>
      <c r="M2672" s="20" t="str">
        <f t="shared" si="83"/>
        <v>N/A</v>
      </c>
    </row>
    <row r="2673" spans="12:13">
      <c r="L2673" s="20" t="str">
        <f t="shared" si="82"/>
        <v>N/A</v>
      </c>
      <c r="M2673" s="20" t="str">
        <f t="shared" si="83"/>
        <v>N/A</v>
      </c>
    </row>
    <row r="2674" spans="12:13">
      <c r="L2674" s="20" t="str">
        <f t="shared" si="82"/>
        <v>N/A</v>
      </c>
      <c r="M2674" s="20" t="str">
        <f t="shared" si="83"/>
        <v>N/A</v>
      </c>
    </row>
    <row r="2675" spans="12:13">
      <c r="L2675" s="20" t="str">
        <f t="shared" si="82"/>
        <v>N/A</v>
      </c>
      <c r="M2675" s="20" t="str">
        <f t="shared" si="83"/>
        <v>N/A</v>
      </c>
    </row>
    <row r="2676" spans="12:13">
      <c r="L2676" s="20" t="str">
        <f t="shared" si="82"/>
        <v>N/A</v>
      </c>
      <c r="M2676" s="20" t="str">
        <f t="shared" si="83"/>
        <v>N/A</v>
      </c>
    </row>
    <row r="2677" spans="12:13">
      <c r="L2677" s="20" t="str">
        <f t="shared" si="82"/>
        <v>N/A</v>
      </c>
      <c r="M2677" s="20" t="str">
        <f t="shared" si="83"/>
        <v>N/A</v>
      </c>
    </row>
    <row r="2678" spans="12:13">
      <c r="L2678" s="20" t="str">
        <f t="shared" si="82"/>
        <v>N/A</v>
      </c>
      <c r="M2678" s="20" t="str">
        <f t="shared" si="83"/>
        <v>N/A</v>
      </c>
    </row>
    <row r="2679" spans="12:13">
      <c r="L2679" s="20" t="str">
        <f t="shared" si="82"/>
        <v>N/A</v>
      </c>
      <c r="M2679" s="20" t="str">
        <f t="shared" si="83"/>
        <v>N/A</v>
      </c>
    </row>
    <row r="2680" spans="12:13">
      <c r="L2680" s="20" t="str">
        <f t="shared" si="82"/>
        <v>N/A</v>
      </c>
      <c r="M2680" s="20" t="str">
        <f t="shared" si="83"/>
        <v>N/A</v>
      </c>
    </row>
    <row r="2681" spans="12:13">
      <c r="L2681" s="20" t="str">
        <f t="shared" si="82"/>
        <v>N/A</v>
      </c>
      <c r="M2681" s="20" t="str">
        <f t="shared" si="83"/>
        <v>N/A</v>
      </c>
    </row>
    <row r="2682" spans="12:13">
      <c r="L2682" s="20" t="str">
        <f t="shared" si="82"/>
        <v>N/A</v>
      </c>
      <c r="M2682" s="20" t="str">
        <f t="shared" si="83"/>
        <v>N/A</v>
      </c>
    </row>
    <row r="2683" spans="12:13">
      <c r="L2683" s="20" t="str">
        <f t="shared" si="82"/>
        <v>N/A</v>
      </c>
      <c r="M2683" s="20" t="str">
        <f t="shared" si="83"/>
        <v>N/A</v>
      </c>
    </row>
    <row r="2684" spans="12:13">
      <c r="L2684" s="20" t="str">
        <f t="shared" si="82"/>
        <v>N/A</v>
      </c>
      <c r="M2684" s="20" t="str">
        <f t="shared" si="83"/>
        <v>N/A</v>
      </c>
    </row>
    <row r="2685" spans="12:13">
      <c r="L2685" s="20" t="str">
        <f t="shared" si="82"/>
        <v>N/A</v>
      </c>
      <c r="M2685" s="20" t="str">
        <f t="shared" si="83"/>
        <v>N/A</v>
      </c>
    </row>
    <row r="2686" spans="12:13">
      <c r="L2686" s="20" t="str">
        <f t="shared" si="82"/>
        <v>N/A</v>
      </c>
      <c r="M2686" s="20" t="str">
        <f t="shared" si="83"/>
        <v>N/A</v>
      </c>
    </row>
    <row r="2687" spans="12:13">
      <c r="L2687" s="20" t="str">
        <f t="shared" si="82"/>
        <v>N/A</v>
      </c>
      <c r="M2687" s="20" t="str">
        <f t="shared" si="83"/>
        <v>N/A</v>
      </c>
    </row>
    <row r="2688" spans="12:13">
      <c r="L2688" s="20" t="str">
        <f t="shared" si="82"/>
        <v>N/A</v>
      </c>
      <c r="M2688" s="20" t="str">
        <f t="shared" si="83"/>
        <v>N/A</v>
      </c>
    </row>
    <row r="2689" spans="12:13">
      <c r="L2689" s="20" t="str">
        <f t="shared" si="82"/>
        <v>N/A</v>
      </c>
      <c r="M2689" s="20" t="str">
        <f t="shared" si="83"/>
        <v>N/A</v>
      </c>
    </row>
    <row r="2690" spans="12:13">
      <c r="L2690" s="20" t="str">
        <f t="shared" si="82"/>
        <v>N/A</v>
      </c>
      <c r="M2690" s="20" t="str">
        <f t="shared" si="83"/>
        <v>N/A</v>
      </c>
    </row>
    <row r="2691" spans="12:13">
      <c r="L2691" s="20" t="str">
        <f t="shared" ref="L2691:L2754" si="84">+IF(LEFT(D2691,1)="1","Asset","N/A")</f>
        <v>N/A</v>
      </c>
      <c r="M2691" s="20" t="str">
        <f t="shared" ref="M2691:M2754" si="85">+IF(L2691="asset",IF(H2691&lt;0,"Provide Comment","okay"),"N/A")</f>
        <v>N/A</v>
      </c>
    </row>
    <row r="2692" spans="12:13">
      <c r="L2692" s="20" t="str">
        <f t="shared" si="84"/>
        <v>N/A</v>
      </c>
      <c r="M2692" s="20" t="str">
        <f t="shared" si="85"/>
        <v>N/A</v>
      </c>
    </row>
    <row r="2693" spans="12:13">
      <c r="L2693" s="20" t="str">
        <f t="shared" si="84"/>
        <v>N/A</v>
      </c>
      <c r="M2693" s="20" t="str">
        <f t="shared" si="85"/>
        <v>N/A</v>
      </c>
    </row>
    <row r="2694" spans="12:13">
      <c r="L2694" s="20" t="str">
        <f t="shared" si="84"/>
        <v>N/A</v>
      </c>
      <c r="M2694" s="20" t="str">
        <f t="shared" si="85"/>
        <v>N/A</v>
      </c>
    </row>
    <row r="2695" spans="12:13">
      <c r="L2695" s="20" t="str">
        <f t="shared" si="84"/>
        <v>N/A</v>
      </c>
      <c r="M2695" s="20" t="str">
        <f t="shared" si="85"/>
        <v>N/A</v>
      </c>
    </row>
    <row r="2696" spans="12:13">
      <c r="L2696" s="20" t="str">
        <f t="shared" si="84"/>
        <v>N/A</v>
      </c>
      <c r="M2696" s="20" t="str">
        <f t="shared" si="85"/>
        <v>N/A</v>
      </c>
    </row>
    <row r="2697" spans="12:13">
      <c r="L2697" s="20" t="str">
        <f t="shared" si="84"/>
        <v>N/A</v>
      </c>
      <c r="M2697" s="20" t="str">
        <f t="shared" si="85"/>
        <v>N/A</v>
      </c>
    </row>
    <row r="2698" spans="12:13">
      <c r="L2698" s="20" t="str">
        <f t="shared" si="84"/>
        <v>N/A</v>
      </c>
      <c r="M2698" s="20" t="str">
        <f t="shared" si="85"/>
        <v>N/A</v>
      </c>
    </row>
    <row r="2699" spans="12:13">
      <c r="L2699" s="20" t="str">
        <f t="shared" si="84"/>
        <v>N/A</v>
      </c>
      <c r="M2699" s="20" t="str">
        <f t="shared" si="85"/>
        <v>N/A</v>
      </c>
    </row>
    <row r="2700" spans="12:13">
      <c r="L2700" s="20" t="str">
        <f t="shared" si="84"/>
        <v>N/A</v>
      </c>
      <c r="M2700" s="20" t="str">
        <f t="shared" si="85"/>
        <v>N/A</v>
      </c>
    </row>
    <row r="2701" spans="12:13">
      <c r="L2701" s="20" t="str">
        <f t="shared" si="84"/>
        <v>N/A</v>
      </c>
      <c r="M2701" s="20" t="str">
        <f t="shared" si="85"/>
        <v>N/A</v>
      </c>
    </row>
    <row r="2702" spans="12:13">
      <c r="L2702" s="20" t="str">
        <f t="shared" si="84"/>
        <v>N/A</v>
      </c>
      <c r="M2702" s="20" t="str">
        <f t="shared" si="85"/>
        <v>N/A</v>
      </c>
    </row>
    <row r="2703" spans="12:13">
      <c r="L2703" s="20" t="str">
        <f t="shared" si="84"/>
        <v>N/A</v>
      </c>
      <c r="M2703" s="20" t="str">
        <f t="shared" si="85"/>
        <v>N/A</v>
      </c>
    </row>
    <row r="2704" spans="12:13">
      <c r="L2704" s="20" t="str">
        <f t="shared" si="84"/>
        <v>N/A</v>
      </c>
      <c r="M2704" s="20" t="str">
        <f t="shared" si="85"/>
        <v>N/A</v>
      </c>
    </row>
    <row r="2705" spans="12:13">
      <c r="L2705" s="20" t="str">
        <f t="shared" si="84"/>
        <v>N/A</v>
      </c>
      <c r="M2705" s="20" t="str">
        <f t="shared" si="85"/>
        <v>N/A</v>
      </c>
    </row>
    <row r="2706" spans="12:13">
      <c r="L2706" s="20" t="str">
        <f t="shared" si="84"/>
        <v>N/A</v>
      </c>
      <c r="M2706" s="20" t="str">
        <f t="shared" si="85"/>
        <v>N/A</v>
      </c>
    </row>
    <row r="2707" spans="12:13">
      <c r="L2707" s="20" t="str">
        <f t="shared" si="84"/>
        <v>N/A</v>
      </c>
      <c r="M2707" s="20" t="str">
        <f t="shared" si="85"/>
        <v>N/A</v>
      </c>
    </row>
    <row r="2708" spans="12:13">
      <c r="L2708" s="20" t="str">
        <f t="shared" si="84"/>
        <v>N/A</v>
      </c>
      <c r="M2708" s="20" t="str">
        <f t="shared" si="85"/>
        <v>N/A</v>
      </c>
    </row>
    <row r="2709" spans="12:13">
      <c r="L2709" s="20" t="str">
        <f t="shared" si="84"/>
        <v>N/A</v>
      </c>
      <c r="M2709" s="20" t="str">
        <f t="shared" si="85"/>
        <v>N/A</v>
      </c>
    </row>
    <row r="2710" spans="12:13">
      <c r="L2710" s="20" t="str">
        <f t="shared" si="84"/>
        <v>N/A</v>
      </c>
      <c r="M2710" s="20" t="str">
        <f t="shared" si="85"/>
        <v>N/A</v>
      </c>
    </row>
    <row r="2711" spans="12:13">
      <c r="L2711" s="20" t="str">
        <f t="shared" si="84"/>
        <v>N/A</v>
      </c>
      <c r="M2711" s="20" t="str">
        <f t="shared" si="85"/>
        <v>N/A</v>
      </c>
    </row>
    <row r="2712" spans="12:13">
      <c r="L2712" s="20" t="str">
        <f t="shared" si="84"/>
        <v>N/A</v>
      </c>
      <c r="M2712" s="20" t="str">
        <f t="shared" si="85"/>
        <v>N/A</v>
      </c>
    </row>
    <row r="2713" spans="12:13">
      <c r="L2713" s="20" t="str">
        <f t="shared" si="84"/>
        <v>N/A</v>
      </c>
      <c r="M2713" s="20" t="str">
        <f t="shared" si="85"/>
        <v>N/A</v>
      </c>
    </row>
    <row r="2714" spans="12:13">
      <c r="L2714" s="20" t="str">
        <f t="shared" si="84"/>
        <v>N/A</v>
      </c>
      <c r="M2714" s="20" t="str">
        <f t="shared" si="85"/>
        <v>N/A</v>
      </c>
    </row>
    <row r="2715" spans="12:13">
      <c r="L2715" s="20" t="str">
        <f t="shared" si="84"/>
        <v>N/A</v>
      </c>
      <c r="M2715" s="20" t="str">
        <f t="shared" si="85"/>
        <v>N/A</v>
      </c>
    </row>
    <row r="2716" spans="12:13">
      <c r="L2716" s="20" t="str">
        <f t="shared" si="84"/>
        <v>N/A</v>
      </c>
      <c r="M2716" s="20" t="str">
        <f t="shared" si="85"/>
        <v>N/A</v>
      </c>
    </row>
    <row r="2717" spans="12:13">
      <c r="L2717" s="20" t="str">
        <f t="shared" si="84"/>
        <v>N/A</v>
      </c>
      <c r="M2717" s="20" t="str">
        <f t="shared" si="85"/>
        <v>N/A</v>
      </c>
    </row>
    <row r="2718" spans="12:13">
      <c r="L2718" s="20" t="str">
        <f t="shared" si="84"/>
        <v>N/A</v>
      </c>
      <c r="M2718" s="20" t="str">
        <f t="shared" si="85"/>
        <v>N/A</v>
      </c>
    </row>
    <row r="2719" spans="12:13">
      <c r="L2719" s="20" t="str">
        <f t="shared" si="84"/>
        <v>N/A</v>
      </c>
      <c r="M2719" s="20" t="str">
        <f t="shared" si="85"/>
        <v>N/A</v>
      </c>
    </row>
    <row r="2720" spans="12:13">
      <c r="L2720" s="20" t="str">
        <f t="shared" si="84"/>
        <v>N/A</v>
      </c>
      <c r="M2720" s="20" t="str">
        <f t="shared" si="85"/>
        <v>N/A</v>
      </c>
    </row>
    <row r="2721" spans="12:13">
      <c r="L2721" s="20" t="str">
        <f t="shared" si="84"/>
        <v>N/A</v>
      </c>
      <c r="M2721" s="20" t="str">
        <f t="shared" si="85"/>
        <v>N/A</v>
      </c>
    </row>
    <row r="2722" spans="12:13">
      <c r="L2722" s="20" t="str">
        <f t="shared" si="84"/>
        <v>N/A</v>
      </c>
      <c r="M2722" s="20" t="str">
        <f t="shared" si="85"/>
        <v>N/A</v>
      </c>
    </row>
    <row r="2723" spans="12:13">
      <c r="L2723" s="20" t="str">
        <f t="shared" si="84"/>
        <v>N/A</v>
      </c>
      <c r="M2723" s="20" t="str">
        <f t="shared" si="85"/>
        <v>N/A</v>
      </c>
    </row>
    <row r="2724" spans="12:13">
      <c r="L2724" s="20" t="str">
        <f t="shared" si="84"/>
        <v>N/A</v>
      </c>
      <c r="M2724" s="20" t="str">
        <f t="shared" si="85"/>
        <v>N/A</v>
      </c>
    </row>
    <row r="2725" spans="12:13">
      <c r="L2725" s="20" t="str">
        <f t="shared" si="84"/>
        <v>N/A</v>
      </c>
      <c r="M2725" s="20" t="str">
        <f t="shared" si="85"/>
        <v>N/A</v>
      </c>
    </row>
    <row r="2726" spans="12:13">
      <c r="L2726" s="20" t="str">
        <f t="shared" si="84"/>
        <v>N/A</v>
      </c>
      <c r="M2726" s="20" t="str">
        <f t="shared" si="85"/>
        <v>N/A</v>
      </c>
    </row>
    <row r="2727" spans="12:13">
      <c r="L2727" s="20" t="str">
        <f t="shared" si="84"/>
        <v>N/A</v>
      </c>
      <c r="M2727" s="20" t="str">
        <f t="shared" si="85"/>
        <v>N/A</v>
      </c>
    </row>
    <row r="2728" spans="12:13">
      <c r="L2728" s="20" t="str">
        <f t="shared" si="84"/>
        <v>N/A</v>
      </c>
      <c r="M2728" s="20" t="str">
        <f t="shared" si="85"/>
        <v>N/A</v>
      </c>
    </row>
    <row r="2729" spans="12:13">
      <c r="L2729" s="20" t="str">
        <f t="shared" si="84"/>
        <v>N/A</v>
      </c>
      <c r="M2729" s="20" t="str">
        <f t="shared" si="85"/>
        <v>N/A</v>
      </c>
    </row>
    <row r="2730" spans="12:13">
      <c r="L2730" s="20" t="str">
        <f t="shared" si="84"/>
        <v>N/A</v>
      </c>
      <c r="M2730" s="20" t="str">
        <f t="shared" si="85"/>
        <v>N/A</v>
      </c>
    </row>
    <row r="2731" spans="12:13">
      <c r="L2731" s="20" t="str">
        <f t="shared" si="84"/>
        <v>N/A</v>
      </c>
      <c r="M2731" s="20" t="str">
        <f t="shared" si="85"/>
        <v>N/A</v>
      </c>
    </row>
    <row r="2732" spans="12:13">
      <c r="L2732" s="20" t="str">
        <f t="shared" si="84"/>
        <v>N/A</v>
      </c>
      <c r="M2732" s="20" t="str">
        <f t="shared" si="85"/>
        <v>N/A</v>
      </c>
    </row>
    <row r="2733" spans="12:13">
      <c r="L2733" s="20" t="str">
        <f t="shared" si="84"/>
        <v>N/A</v>
      </c>
      <c r="M2733" s="20" t="str">
        <f t="shared" si="85"/>
        <v>N/A</v>
      </c>
    </row>
    <row r="2734" spans="12:13">
      <c r="L2734" s="20" t="str">
        <f t="shared" si="84"/>
        <v>N/A</v>
      </c>
      <c r="M2734" s="20" t="str">
        <f t="shared" si="85"/>
        <v>N/A</v>
      </c>
    </row>
    <row r="2735" spans="12:13">
      <c r="L2735" s="20" t="str">
        <f t="shared" si="84"/>
        <v>N/A</v>
      </c>
      <c r="M2735" s="20" t="str">
        <f t="shared" si="85"/>
        <v>N/A</v>
      </c>
    </row>
    <row r="2736" spans="12:13">
      <c r="L2736" s="20" t="str">
        <f t="shared" si="84"/>
        <v>N/A</v>
      </c>
      <c r="M2736" s="20" t="str">
        <f t="shared" si="85"/>
        <v>N/A</v>
      </c>
    </row>
    <row r="2737" spans="12:13">
      <c r="L2737" s="20" t="str">
        <f t="shared" si="84"/>
        <v>N/A</v>
      </c>
      <c r="M2737" s="20" t="str">
        <f t="shared" si="85"/>
        <v>N/A</v>
      </c>
    </row>
    <row r="2738" spans="12:13">
      <c r="L2738" s="20" t="str">
        <f t="shared" si="84"/>
        <v>N/A</v>
      </c>
      <c r="M2738" s="20" t="str">
        <f t="shared" si="85"/>
        <v>N/A</v>
      </c>
    </row>
    <row r="2739" spans="12:13">
      <c r="L2739" s="20" t="str">
        <f t="shared" si="84"/>
        <v>N/A</v>
      </c>
      <c r="M2739" s="20" t="str">
        <f t="shared" si="85"/>
        <v>N/A</v>
      </c>
    </row>
    <row r="2740" spans="12:13">
      <c r="L2740" s="20" t="str">
        <f t="shared" si="84"/>
        <v>N/A</v>
      </c>
      <c r="M2740" s="20" t="str">
        <f t="shared" si="85"/>
        <v>N/A</v>
      </c>
    </row>
    <row r="2741" spans="12:13">
      <c r="L2741" s="20" t="str">
        <f t="shared" si="84"/>
        <v>N/A</v>
      </c>
      <c r="M2741" s="20" t="str">
        <f t="shared" si="85"/>
        <v>N/A</v>
      </c>
    </row>
    <row r="2742" spans="12:13">
      <c r="L2742" s="20" t="str">
        <f t="shared" si="84"/>
        <v>N/A</v>
      </c>
      <c r="M2742" s="20" t="str">
        <f t="shared" si="85"/>
        <v>N/A</v>
      </c>
    </row>
    <row r="2743" spans="12:13">
      <c r="L2743" s="20" t="str">
        <f t="shared" si="84"/>
        <v>N/A</v>
      </c>
      <c r="M2743" s="20" t="str">
        <f t="shared" si="85"/>
        <v>N/A</v>
      </c>
    </row>
    <row r="2744" spans="12:13">
      <c r="L2744" s="20" t="str">
        <f t="shared" si="84"/>
        <v>N/A</v>
      </c>
      <c r="M2744" s="20" t="str">
        <f t="shared" si="85"/>
        <v>N/A</v>
      </c>
    </row>
    <row r="2745" spans="12:13">
      <c r="L2745" s="20" t="str">
        <f t="shared" si="84"/>
        <v>N/A</v>
      </c>
      <c r="M2745" s="20" t="str">
        <f t="shared" si="85"/>
        <v>N/A</v>
      </c>
    </row>
    <row r="2746" spans="12:13">
      <c r="L2746" s="20" t="str">
        <f t="shared" si="84"/>
        <v>N/A</v>
      </c>
      <c r="M2746" s="20" t="str">
        <f t="shared" si="85"/>
        <v>N/A</v>
      </c>
    </row>
    <row r="2747" spans="12:13">
      <c r="L2747" s="20" t="str">
        <f t="shared" si="84"/>
        <v>N/A</v>
      </c>
      <c r="M2747" s="20" t="str">
        <f t="shared" si="85"/>
        <v>N/A</v>
      </c>
    </row>
    <row r="2748" spans="12:13">
      <c r="L2748" s="20" t="str">
        <f t="shared" si="84"/>
        <v>N/A</v>
      </c>
      <c r="M2748" s="20" t="str">
        <f t="shared" si="85"/>
        <v>N/A</v>
      </c>
    </row>
    <row r="2749" spans="12:13">
      <c r="L2749" s="20" t="str">
        <f t="shared" si="84"/>
        <v>N/A</v>
      </c>
      <c r="M2749" s="20" t="str">
        <f t="shared" si="85"/>
        <v>N/A</v>
      </c>
    </row>
    <row r="2750" spans="12:13">
      <c r="L2750" s="20" t="str">
        <f t="shared" si="84"/>
        <v>N/A</v>
      </c>
      <c r="M2750" s="20" t="str">
        <f t="shared" si="85"/>
        <v>N/A</v>
      </c>
    </row>
    <row r="2751" spans="12:13">
      <c r="L2751" s="20" t="str">
        <f t="shared" si="84"/>
        <v>N/A</v>
      </c>
      <c r="M2751" s="20" t="str">
        <f t="shared" si="85"/>
        <v>N/A</v>
      </c>
    </row>
    <row r="2752" spans="12:13">
      <c r="L2752" s="20" t="str">
        <f t="shared" si="84"/>
        <v>N/A</v>
      </c>
      <c r="M2752" s="20" t="str">
        <f t="shared" si="85"/>
        <v>N/A</v>
      </c>
    </row>
    <row r="2753" spans="12:13">
      <c r="L2753" s="20" t="str">
        <f t="shared" si="84"/>
        <v>N/A</v>
      </c>
      <c r="M2753" s="20" t="str">
        <f t="shared" si="85"/>
        <v>N/A</v>
      </c>
    </row>
    <row r="2754" spans="12:13">
      <c r="L2754" s="20" t="str">
        <f t="shared" si="84"/>
        <v>N/A</v>
      </c>
      <c r="M2754" s="20" t="str">
        <f t="shared" si="85"/>
        <v>N/A</v>
      </c>
    </row>
    <row r="2755" spans="12:13">
      <c r="L2755" s="20" t="str">
        <f t="shared" ref="L2755:L2818" si="86">+IF(LEFT(D2755,1)="1","Asset","N/A")</f>
        <v>N/A</v>
      </c>
      <c r="M2755" s="20" t="str">
        <f t="shared" ref="M2755:M2818" si="87">+IF(L2755="asset",IF(H2755&lt;0,"Provide Comment","okay"),"N/A")</f>
        <v>N/A</v>
      </c>
    </row>
    <row r="2756" spans="12:13">
      <c r="L2756" s="20" t="str">
        <f t="shared" si="86"/>
        <v>N/A</v>
      </c>
      <c r="M2756" s="20" t="str">
        <f t="shared" si="87"/>
        <v>N/A</v>
      </c>
    </row>
    <row r="2757" spans="12:13">
      <c r="L2757" s="20" t="str">
        <f t="shared" si="86"/>
        <v>N/A</v>
      </c>
      <c r="M2757" s="20" t="str">
        <f t="shared" si="87"/>
        <v>N/A</v>
      </c>
    </row>
    <row r="2758" spans="12:13">
      <c r="L2758" s="20" t="str">
        <f t="shared" si="86"/>
        <v>N/A</v>
      </c>
      <c r="M2758" s="20" t="str">
        <f t="shared" si="87"/>
        <v>N/A</v>
      </c>
    </row>
    <row r="2759" spans="12:13">
      <c r="L2759" s="20" t="str">
        <f t="shared" si="86"/>
        <v>N/A</v>
      </c>
      <c r="M2759" s="20" t="str">
        <f t="shared" si="87"/>
        <v>N/A</v>
      </c>
    </row>
    <row r="2760" spans="12:13">
      <c r="L2760" s="20" t="str">
        <f t="shared" si="86"/>
        <v>N/A</v>
      </c>
      <c r="M2760" s="20" t="str">
        <f t="shared" si="87"/>
        <v>N/A</v>
      </c>
    </row>
    <row r="2761" spans="12:13">
      <c r="L2761" s="20" t="str">
        <f t="shared" si="86"/>
        <v>N/A</v>
      </c>
      <c r="M2761" s="20" t="str">
        <f t="shared" si="87"/>
        <v>N/A</v>
      </c>
    </row>
    <row r="2762" spans="12:13">
      <c r="L2762" s="20" t="str">
        <f t="shared" si="86"/>
        <v>N/A</v>
      </c>
      <c r="M2762" s="20" t="str">
        <f t="shared" si="87"/>
        <v>N/A</v>
      </c>
    </row>
    <row r="2763" spans="12:13">
      <c r="L2763" s="20" t="str">
        <f t="shared" si="86"/>
        <v>N/A</v>
      </c>
      <c r="M2763" s="20" t="str">
        <f t="shared" si="87"/>
        <v>N/A</v>
      </c>
    </row>
    <row r="2764" spans="12:13">
      <c r="L2764" s="20" t="str">
        <f t="shared" si="86"/>
        <v>N/A</v>
      </c>
      <c r="M2764" s="20" t="str">
        <f t="shared" si="87"/>
        <v>N/A</v>
      </c>
    </row>
    <row r="2765" spans="12:13">
      <c r="L2765" s="20" t="str">
        <f t="shared" si="86"/>
        <v>N/A</v>
      </c>
      <c r="M2765" s="20" t="str">
        <f t="shared" si="87"/>
        <v>N/A</v>
      </c>
    </row>
    <row r="2766" spans="12:13">
      <c r="L2766" s="20" t="str">
        <f t="shared" si="86"/>
        <v>N/A</v>
      </c>
      <c r="M2766" s="20" t="str">
        <f t="shared" si="87"/>
        <v>N/A</v>
      </c>
    </row>
    <row r="2767" spans="12:13">
      <c r="L2767" s="20" t="str">
        <f t="shared" si="86"/>
        <v>N/A</v>
      </c>
      <c r="M2767" s="20" t="str">
        <f t="shared" si="87"/>
        <v>N/A</v>
      </c>
    </row>
    <row r="2768" spans="12:13">
      <c r="L2768" s="20" t="str">
        <f t="shared" si="86"/>
        <v>N/A</v>
      </c>
      <c r="M2768" s="20" t="str">
        <f t="shared" si="87"/>
        <v>N/A</v>
      </c>
    </row>
    <row r="2769" spans="12:13">
      <c r="L2769" s="20" t="str">
        <f t="shared" si="86"/>
        <v>N/A</v>
      </c>
      <c r="M2769" s="20" t="str">
        <f t="shared" si="87"/>
        <v>N/A</v>
      </c>
    </row>
    <row r="2770" spans="12:13">
      <c r="L2770" s="20" t="str">
        <f t="shared" si="86"/>
        <v>N/A</v>
      </c>
      <c r="M2770" s="20" t="str">
        <f t="shared" si="87"/>
        <v>N/A</v>
      </c>
    </row>
    <row r="2771" spans="12:13">
      <c r="L2771" s="20" t="str">
        <f t="shared" si="86"/>
        <v>N/A</v>
      </c>
      <c r="M2771" s="20" t="str">
        <f t="shared" si="87"/>
        <v>N/A</v>
      </c>
    </row>
    <row r="2772" spans="12:13">
      <c r="L2772" s="20" t="str">
        <f t="shared" si="86"/>
        <v>N/A</v>
      </c>
      <c r="M2772" s="20" t="str">
        <f t="shared" si="87"/>
        <v>N/A</v>
      </c>
    </row>
    <row r="2773" spans="12:13">
      <c r="L2773" s="20" t="str">
        <f t="shared" si="86"/>
        <v>N/A</v>
      </c>
      <c r="M2773" s="20" t="str">
        <f t="shared" si="87"/>
        <v>N/A</v>
      </c>
    </row>
    <row r="2774" spans="12:13">
      <c r="L2774" s="20" t="str">
        <f t="shared" si="86"/>
        <v>N/A</v>
      </c>
      <c r="M2774" s="20" t="str">
        <f t="shared" si="87"/>
        <v>N/A</v>
      </c>
    </row>
    <row r="2775" spans="12:13">
      <c r="L2775" s="20" t="str">
        <f t="shared" si="86"/>
        <v>N/A</v>
      </c>
      <c r="M2775" s="20" t="str">
        <f t="shared" si="87"/>
        <v>N/A</v>
      </c>
    </row>
    <row r="2776" spans="12:13">
      <c r="L2776" s="20" t="str">
        <f t="shared" si="86"/>
        <v>N/A</v>
      </c>
      <c r="M2776" s="20" t="str">
        <f t="shared" si="87"/>
        <v>N/A</v>
      </c>
    </row>
    <row r="2777" spans="12:13">
      <c r="L2777" s="20" t="str">
        <f t="shared" si="86"/>
        <v>N/A</v>
      </c>
      <c r="M2777" s="20" t="str">
        <f t="shared" si="87"/>
        <v>N/A</v>
      </c>
    </row>
    <row r="2778" spans="12:13">
      <c r="L2778" s="20" t="str">
        <f t="shared" si="86"/>
        <v>N/A</v>
      </c>
      <c r="M2778" s="20" t="str">
        <f t="shared" si="87"/>
        <v>N/A</v>
      </c>
    </row>
    <row r="2779" spans="12:13">
      <c r="L2779" s="20" t="str">
        <f t="shared" si="86"/>
        <v>N/A</v>
      </c>
      <c r="M2779" s="20" t="str">
        <f t="shared" si="87"/>
        <v>N/A</v>
      </c>
    </row>
    <row r="2780" spans="12:13">
      <c r="L2780" s="20" t="str">
        <f t="shared" si="86"/>
        <v>N/A</v>
      </c>
      <c r="M2780" s="20" t="str">
        <f t="shared" si="87"/>
        <v>N/A</v>
      </c>
    </row>
    <row r="2781" spans="12:13">
      <c r="L2781" s="20" t="str">
        <f t="shared" si="86"/>
        <v>N/A</v>
      </c>
      <c r="M2781" s="20" t="str">
        <f t="shared" si="87"/>
        <v>N/A</v>
      </c>
    </row>
    <row r="2782" spans="12:13">
      <c r="L2782" s="20" t="str">
        <f t="shared" si="86"/>
        <v>N/A</v>
      </c>
      <c r="M2782" s="20" t="str">
        <f t="shared" si="87"/>
        <v>N/A</v>
      </c>
    </row>
    <row r="2783" spans="12:13">
      <c r="L2783" s="20" t="str">
        <f t="shared" si="86"/>
        <v>N/A</v>
      </c>
      <c r="M2783" s="20" t="str">
        <f t="shared" si="87"/>
        <v>N/A</v>
      </c>
    </row>
    <row r="2784" spans="12:13">
      <c r="L2784" s="20" t="str">
        <f t="shared" si="86"/>
        <v>N/A</v>
      </c>
      <c r="M2784" s="20" t="str">
        <f t="shared" si="87"/>
        <v>N/A</v>
      </c>
    </row>
    <row r="2785" spans="12:13">
      <c r="L2785" s="20" t="str">
        <f t="shared" si="86"/>
        <v>N/A</v>
      </c>
      <c r="M2785" s="20" t="str">
        <f t="shared" si="87"/>
        <v>N/A</v>
      </c>
    </row>
    <row r="2786" spans="12:13">
      <c r="L2786" s="20" t="str">
        <f t="shared" si="86"/>
        <v>N/A</v>
      </c>
      <c r="M2786" s="20" t="str">
        <f t="shared" si="87"/>
        <v>N/A</v>
      </c>
    </row>
    <row r="2787" spans="12:13">
      <c r="L2787" s="20" t="str">
        <f t="shared" si="86"/>
        <v>N/A</v>
      </c>
      <c r="M2787" s="20" t="str">
        <f t="shared" si="87"/>
        <v>N/A</v>
      </c>
    </row>
    <row r="2788" spans="12:13">
      <c r="L2788" s="20" t="str">
        <f t="shared" si="86"/>
        <v>N/A</v>
      </c>
      <c r="M2788" s="20" t="str">
        <f t="shared" si="87"/>
        <v>N/A</v>
      </c>
    </row>
    <row r="2789" spans="12:13">
      <c r="L2789" s="20" t="str">
        <f t="shared" si="86"/>
        <v>N/A</v>
      </c>
      <c r="M2789" s="20" t="str">
        <f t="shared" si="87"/>
        <v>N/A</v>
      </c>
    </row>
    <row r="2790" spans="12:13">
      <c r="L2790" s="20" t="str">
        <f t="shared" si="86"/>
        <v>N/A</v>
      </c>
      <c r="M2790" s="20" t="str">
        <f t="shared" si="87"/>
        <v>N/A</v>
      </c>
    </row>
    <row r="2791" spans="12:13">
      <c r="L2791" s="20" t="str">
        <f t="shared" si="86"/>
        <v>N/A</v>
      </c>
      <c r="M2791" s="20" t="str">
        <f t="shared" si="87"/>
        <v>N/A</v>
      </c>
    </row>
    <row r="2792" spans="12:13">
      <c r="L2792" s="20" t="str">
        <f t="shared" si="86"/>
        <v>N/A</v>
      </c>
      <c r="M2792" s="20" t="str">
        <f t="shared" si="87"/>
        <v>N/A</v>
      </c>
    </row>
    <row r="2793" spans="12:13">
      <c r="L2793" s="20" t="str">
        <f t="shared" si="86"/>
        <v>N/A</v>
      </c>
      <c r="M2793" s="20" t="str">
        <f t="shared" si="87"/>
        <v>N/A</v>
      </c>
    </row>
    <row r="2794" spans="12:13">
      <c r="L2794" s="20" t="str">
        <f t="shared" si="86"/>
        <v>N/A</v>
      </c>
      <c r="M2794" s="20" t="str">
        <f t="shared" si="87"/>
        <v>N/A</v>
      </c>
    </row>
    <row r="2795" spans="12:13">
      <c r="L2795" s="20" t="str">
        <f t="shared" si="86"/>
        <v>N/A</v>
      </c>
      <c r="M2795" s="20" t="str">
        <f t="shared" si="87"/>
        <v>N/A</v>
      </c>
    </row>
    <row r="2796" spans="12:13">
      <c r="L2796" s="20" t="str">
        <f t="shared" si="86"/>
        <v>N/A</v>
      </c>
      <c r="M2796" s="20" t="str">
        <f t="shared" si="87"/>
        <v>N/A</v>
      </c>
    </row>
    <row r="2797" spans="12:13">
      <c r="L2797" s="20" t="str">
        <f t="shared" si="86"/>
        <v>N/A</v>
      </c>
      <c r="M2797" s="20" t="str">
        <f t="shared" si="87"/>
        <v>N/A</v>
      </c>
    </row>
    <row r="2798" spans="12:13">
      <c r="L2798" s="20" t="str">
        <f t="shared" si="86"/>
        <v>N/A</v>
      </c>
      <c r="M2798" s="20" t="str">
        <f t="shared" si="87"/>
        <v>N/A</v>
      </c>
    </row>
    <row r="2799" spans="12:13">
      <c r="L2799" s="20" t="str">
        <f t="shared" si="86"/>
        <v>N/A</v>
      </c>
      <c r="M2799" s="20" t="str">
        <f t="shared" si="87"/>
        <v>N/A</v>
      </c>
    </row>
    <row r="2800" spans="12:13">
      <c r="L2800" s="20" t="str">
        <f t="shared" si="86"/>
        <v>N/A</v>
      </c>
      <c r="M2800" s="20" t="str">
        <f t="shared" si="87"/>
        <v>N/A</v>
      </c>
    </row>
    <row r="2801" spans="12:13">
      <c r="L2801" s="20" t="str">
        <f t="shared" si="86"/>
        <v>N/A</v>
      </c>
      <c r="M2801" s="20" t="str">
        <f t="shared" si="87"/>
        <v>N/A</v>
      </c>
    </row>
    <row r="2802" spans="12:13">
      <c r="L2802" s="20" t="str">
        <f t="shared" si="86"/>
        <v>N/A</v>
      </c>
      <c r="M2802" s="20" t="str">
        <f t="shared" si="87"/>
        <v>N/A</v>
      </c>
    </row>
    <row r="2803" spans="12:13">
      <c r="L2803" s="20" t="str">
        <f t="shared" si="86"/>
        <v>N/A</v>
      </c>
      <c r="M2803" s="20" t="str">
        <f t="shared" si="87"/>
        <v>N/A</v>
      </c>
    </row>
    <row r="2804" spans="12:13">
      <c r="L2804" s="20" t="str">
        <f t="shared" si="86"/>
        <v>N/A</v>
      </c>
      <c r="M2804" s="20" t="str">
        <f t="shared" si="87"/>
        <v>N/A</v>
      </c>
    </row>
    <row r="2805" spans="12:13">
      <c r="L2805" s="20" t="str">
        <f t="shared" si="86"/>
        <v>N/A</v>
      </c>
      <c r="M2805" s="20" t="str">
        <f t="shared" si="87"/>
        <v>N/A</v>
      </c>
    </row>
    <row r="2806" spans="12:13">
      <c r="L2806" s="20" t="str">
        <f t="shared" si="86"/>
        <v>N/A</v>
      </c>
      <c r="M2806" s="20" t="str">
        <f t="shared" si="87"/>
        <v>N/A</v>
      </c>
    </row>
    <row r="2807" spans="12:13">
      <c r="L2807" s="20" t="str">
        <f t="shared" si="86"/>
        <v>N/A</v>
      </c>
      <c r="M2807" s="20" t="str">
        <f t="shared" si="87"/>
        <v>N/A</v>
      </c>
    </row>
    <row r="2808" spans="12:13">
      <c r="L2808" s="20" t="str">
        <f t="shared" si="86"/>
        <v>N/A</v>
      </c>
      <c r="M2808" s="20" t="str">
        <f t="shared" si="87"/>
        <v>N/A</v>
      </c>
    </row>
    <row r="2809" spans="12:13">
      <c r="L2809" s="20" t="str">
        <f t="shared" si="86"/>
        <v>N/A</v>
      </c>
      <c r="M2809" s="20" t="str">
        <f t="shared" si="87"/>
        <v>N/A</v>
      </c>
    </row>
    <row r="2810" spans="12:13">
      <c r="L2810" s="20" t="str">
        <f t="shared" si="86"/>
        <v>N/A</v>
      </c>
      <c r="M2810" s="20" t="str">
        <f t="shared" si="87"/>
        <v>N/A</v>
      </c>
    </row>
    <row r="2811" spans="12:13">
      <c r="L2811" s="20" t="str">
        <f t="shared" si="86"/>
        <v>N/A</v>
      </c>
      <c r="M2811" s="20" t="str">
        <f t="shared" si="87"/>
        <v>N/A</v>
      </c>
    </row>
    <row r="2812" spans="12:13">
      <c r="L2812" s="20" t="str">
        <f t="shared" si="86"/>
        <v>N/A</v>
      </c>
      <c r="M2812" s="20" t="str">
        <f t="shared" si="87"/>
        <v>N/A</v>
      </c>
    </row>
    <row r="2813" spans="12:13">
      <c r="L2813" s="20" t="str">
        <f t="shared" si="86"/>
        <v>N/A</v>
      </c>
      <c r="M2813" s="20" t="str">
        <f t="shared" si="87"/>
        <v>N/A</v>
      </c>
    </row>
    <row r="2814" spans="12:13">
      <c r="L2814" s="20" t="str">
        <f t="shared" si="86"/>
        <v>N/A</v>
      </c>
      <c r="M2814" s="20" t="str">
        <f t="shared" si="87"/>
        <v>N/A</v>
      </c>
    </row>
    <row r="2815" spans="12:13">
      <c r="L2815" s="20" t="str">
        <f t="shared" si="86"/>
        <v>N/A</v>
      </c>
      <c r="M2815" s="20" t="str">
        <f t="shared" si="87"/>
        <v>N/A</v>
      </c>
    </row>
    <row r="2816" spans="12:13">
      <c r="L2816" s="20" t="str">
        <f t="shared" si="86"/>
        <v>N/A</v>
      </c>
      <c r="M2816" s="20" t="str">
        <f t="shared" si="87"/>
        <v>N/A</v>
      </c>
    </row>
    <row r="2817" spans="12:13">
      <c r="L2817" s="20" t="str">
        <f t="shared" si="86"/>
        <v>N/A</v>
      </c>
      <c r="M2817" s="20" t="str">
        <f t="shared" si="87"/>
        <v>N/A</v>
      </c>
    </row>
    <row r="2818" spans="12:13">
      <c r="L2818" s="20" t="str">
        <f t="shared" si="86"/>
        <v>N/A</v>
      </c>
      <c r="M2818" s="20" t="str">
        <f t="shared" si="87"/>
        <v>N/A</v>
      </c>
    </row>
    <row r="2819" spans="12:13">
      <c r="L2819" s="20" t="str">
        <f t="shared" ref="L2819:L2882" si="88">+IF(LEFT(D2819,1)="1","Asset","N/A")</f>
        <v>N/A</v>
      </c>
      <c r="M2819" s="20" t="str">
        <f t="shared" ref="M2819:M2882" si="89">+IF(L2819="asset",IF(H2819&lt;0,"Provide Comment","okay"),"N/A")</f>
        <v>N/A</v>
      </c>
    </row>
    <row r="2820" spans="12:13">
      <c r="L2820" s="20" t="str">
        <f t="shared" si="88"/>
        <v>N/A</v>
      </c>
      <c r="M2820" s="20" t="str">
        <f t="shared" si="89"/>
        <v>N/A</v>
      </c>
    </row>
    <row r="2821" spans="12:13">
      <c r="L2821" s="20" t="str">
        <f t="shared" si="88"/>
        <v>N/A</v>
      </c>
      <c r="M2821" s="20" t="str">
        <f t="shared" si="89"/>
        <v>N/A</v>
      </c>
    </row>
    <row r="2822" spans="12:13">
      <c r="L2822" s="20" t="str">
        <f t="shared" si="88"/>
        <v>N/A</v>
      </c>
      <c r="M2822" s="20" t="str">
        <f t="shared" si="89"/>
        <v>N/A</v>
      </c>
    </row>
    <row r="2823" spans="12:13">
      <c r="L2823" s="20" t="str">
        <f t="shared" si="88"/>
        <v>N/A</v>
      </c>
      <c r="M2823" s="20" t="str">
        <f t="shared" si="89"/>
        <v>N/A</v>
      </c>
    </row>
    <row r="2824" spans="12:13">
      <c r="L2824" s="20" t="str">
        <f t="shared" si="88"/>
        <v>N/A</v>
      </c>
      <c r="M2824" s="20" t="str">
        <f t="shared" si="89"/>
        <v>N/A</v>
      </c>
    </row>
    <row r="2825" spans="12:13">
      <c r="L2825" s="20" t="str">
        <f t="shared" si="88"/>
        <v>N/A</v>
      </c>
      <c r="M2825" s="20" t="str">
        <f t="shared" si="89"/>
        <v>N/A</v>
      </c>
    </row>
    <row r="2826" spans="12:13">
      <c r="L2826" s="20" t="str">
        <f t="shared" si="88"/>
        <v>N/A</v>
      </c>
      <c r="M2826" s="20" t="str">
        <f t="shared" si="89"/>
        <v>N/A</v>
      </c>
    </row>
    <row r="2827" spans="12:13">
      <c r="L2827" s="20" t="str">
        <f t="shared" si="88"/>
        <v>N/A</v>
      </c>
      <c r="M2827" s="20" t="str">
        <f t="shared" si="89"/>
        <v>N/A</v>
      </c>
    </row>
    <row r="2828" spans="12:13">
      <c r="L2828" s="20" t="str">
        <f t="shared" si="88"/>
        <v>N/A</v>
      </c>
      <c r="M2828" s="20" t="str">
        <f t="shared" si="89"/>
        <v>N/A</v>
      </c>
    </row>
    <row r="2829" spans="12:13">
      <c r="L2829" s="20" t="str">
        <f t="shared" si="88"/>
        <v>N/A</v>
      </c>
      <c r="M2829" s="20" t="str">
        <f t="shared" si="89"/>
        <v>N/A</v>
      </c>
    </row>
    <row r="2830" spans="12:13">
      <c r="L2830" s="20" t="str">
        <f t="shared" si="88"/>
        <v>N/A</v>
      </c>
      <c r="M2830" s="20" t="str">
        <f t="shared" si="89"/>
        <v>N/A</v>
      </c>
    </row>
    <row r="2831" spans="12:13">
      <c r="L2831" s="20" t="str">
        <f t="shared" si="88"/>
        <v>N/A</v>
      </c>
      <c r="M2831" s="20" t="str">
        <f t="shared" si="89"/>
        <v>N/A</v>
      </c>
    </row>
    <row r="2832" spans="12:13">
      <c r="L2832" s="20" t="str">
        <f t="shared" si="88"/>
        <v>N/A</v>
      </c>
      <c r="M2832" s="20" t="str">
        <f t="shared" si="89"/>
        <v>N/A</v>
      </c>
    </row>
    <row r="2833" spans="12:13">
      <c r="L2833" s="20" t="str">
        <f t="shared" si="88"/>
        <v>N/A</v>
      </c>
      <c r="M2833" s="20" t="str">
        <f t="shared" si="89"/>
        <v>N/A</v>
      </c>
    </row>
    <row r="2834" spans="12:13">
      <c r="L2834" s="20" t="str">
        <f t="shared" si="88"/>
        <v>N/A</v>
      </c>
      <c r="M2834" s="20" t="str">
        <f t="shared" si="89"/>
        <v>N/A</v>
      </c>
    </row>
    <row r="2835" spans="12:13">
      <c r="L2835" s="20" t="str">
        <f t="shared" si="88"/>
        <v>N/A</v>
      </c>
      <c r="M2835" s="20" t="str">
        <f t="shared" si="89"/>
        <v>N/A</v>
      </c>
    </row>
    <row r="2836" spans="12:13">
      <c r="L2836" s="20" t="str">
        <f t="shared" si="88"/>
        <v>N/A</v>
      </c>
      <c r="M2836" s="20" t="str">
        <f t="shared" si="89"/>
        <v>N/A</v>
      </c>
    </row>
    <row r="2837" spans="12:13">
      <c r="L2837" s="20" t="str">
        <f t="shared" si="88"/>
        <v>N/A</v>
      </c>
      <c r="M2837" s="20" t="str">
        <f t="shared" si="89"/>
        <v>N/A</v>
      </c>
    </row>
    <row r="2838" spans="12:13">
      <c r="L2838" s="20" t="str">
        <f t="shared" si="88"/>
        <v>N/A</v>
      </c>
      <c r="M2838" s="20" t="str">
        <f t="shared" si="89"/>
        <v>N/A</v>
      </c>
    </row>
    <row r="2839" spans="12:13">
      <c r="L2839" s="20" t="str">
        <f t="shared" si="88"/>
        <v>N/A</v>
      </c>
      <c r="M2839" s="20" t="str">
        <f t="shared" si="89"/>
        <v>N/A</v>
      </c>
    </row>
    <row r="2840" spans="12:13">
      <c r="L2840" s="20" t="str">
        <f t="shared" si="88"/>
        <v>N/A</v>
      </c>
      <c r="M2840" s="20" t="str">
        <f t="shared" si="89"/>
        <v>N/A</v>
      </c>
    </row>
    <row r="2841" spans="12:13">
      <c r="L2841" s="20" t="str">
        <f t="shared" si="88"/>
        <v>N/A</v>
      </c>
      <c r="M2841" s="20" t="str">
        <f t="shared" si="89"/>
        <v>N/A</v>
      </c>
    </row>
    <row r="2842" spans="12:13">
      <c r="L2842" s="20" t="str">
        <f t="shared" si="88"/>
        <v>N/A</v>
      </c>
      <c r="M2842" s="20" t="str">
        <f t="shared" si="89"/>
        <v>N/A</v>
      </c>
    </row>
    <row r="2843" spans="12:13">
      <c r="L2843" s="20" t="str">
        <f t="shared" si="88"/>
        <v>N/A</v>
      </c>
      <c r="M2843" s="20" t="str">
        <f t="shared" si="89"/>
        <v>N/A</v>
      </c>
    </row>
    <row r="2844" spans="12:13">
      <c r="L2844" s="20" t="str">
        <f t="shared" si="88"/>
        <v>N/A</v>
      </c>
      <c r="M2844" s="20" t="str">
        <f t="shared" si="89"/>
        <v>N/A</v>
      </c>
    </row>
    <row r="2845" spans="12:13">
      <c r="L2845" s="20" t="str">
        <f t="shared" si="88"/>
        <v>N/A</v>
      </c>
      <c r="M2845" s="20" t="str">
        <f t="shared" si="89"/>
        <v>N/A</v>
      </c>
    </row>
    <row r="2846" spans="12:13">
      <c r="L2846" s="20" t="str">
        <f t="shared" si="88"/>
        <v>N/A</v>
      </c>
      <c r="M2846" s="20" t="str">
        <f t="shared" si="89"/>
        <v>N/A</v>
      </c>
    </row>
    <row r="2847" spans="12:13">
      <c r="L2847" s="20" t="str">
        <f t="shared" si="88"/>
        <v>N/A</v>
      </c>
      <c r="M2847" s="20" t="str">
        <f t="shared" si="89"/>
        <v>N/A</v>
      </c>
    </row>
    <row r="2848" spans="12:13">
      <c r="L2848" s="20" t="str">
        <f t="shared" si="88"/>
        <v>N/A</v>
      </c>
      <c r="M2848" s="20" t="str">
        <f t="shared" si="89"/>
        <v>N/A</v>
      </c>
    </row>
    <row r="2849" spans="12:13">
      <c r="L2849" s="20" t="str">
        <f t="shared" si="88"/>
        <v>N/A</v>
      </c>
      <c r="M2849" s="20" t="str">
        <f t="shared" si="89"/>
        <v>N/A</v>
      </c>
    </row>
    <row r="2850" spans="12:13">
      <c r="L2850" s="20" t="str">
        <f t="shared" si="88"/>
        <v>N/A</v>
      </c>
      <c r="M2850" s="20" t="str">
        <f t="shared" si="89"/>
        <v>N/A</v>
      </c>
    </row>
    <row r="2851" spans="12:13">
      <c r="L2851" s="20" t="str">
        <f t="shared" si="88"/>
        <v>N/A</v>
      </c>
      <c r="M2851" s="20" t="str">
        <f t="shared" si="89"/>
        <v>N/A</v>
      </c>
    </row>
    <row r="2852" spans="12:13">
      <c r="L2852" s="20" t="str">
        <f t="shared" si="88"/>
        <v>N/A</v>
      </c>
      <c r="M2852" s="20" t="str">
        <f t="shared" si="89"/>
        <v>N/A</v>
      </c>
    </row>
    <row r="2853" spans="12:13">
      <c r="L2853" s="20" t="str">
        <f t="shared" si="88"/>
        <v>N/A</v>
      </c>
      <c r="M2853" s="20" t="str">
        <f t="shared" si="89"/>
        <v>N/A</v>
      </c>
    </row>
    <row r="2854" spans="12:13">
      <c r="L2854" s="20" t="str">
        <f t="shared" si="88"/>
        <v>N/A</v>
      </c>
      <c r="M2854" s="20" t="str">
        <f t="shared" si="89"/>
        <v>N/A</v>
      </c>
    </row>
    <row r="2855" spans="12:13">
      <c r="L2855" s="20" t="str">
        <f t="shared" si="88"/>
        <v>N/A</v>
      </c>
      <c r="M2855" s="20" t="str">
        <f t="shared" si="89"/>
        <v>N/A</v>
      </c>
    </row>
    <row r="2856" spans="12:13">
      <c r="L2856" s="20" t="str">
        <f t="shared" si="88"/>
        <v>N/A</v>
      </c>
      <c r="M2856" s="20" t="str">
        <f t="shared" si="89"/>
        <v>N/A</v>
      </c>
    </row>
    <row r="2857" spans="12:13">
      <c r="L2857" s="20" t="str">
        <f t="shared" si="88"/>
        <v>N/A</v>
      </c>
      <c r="M2857" s="20" t="str">
        <f t="shared" si="89"/>
        <v>N/A</v>
      </c>
    </row>
    <row r="2858" spans="12:13">
      <c r="L2858" s="20" t="str">
        <f t="shared" si="88"/>
        <v>N/A</v>
      </c>
      <c r="M2858" s="20" t="str">
        <f t="shared" si="89"/>
        <v>N/A</v>
      </c>
    </row>
    <row r="2859" spans="12:13">
      <c r="L2859" s="20" t="str">
        <f t="shared" si="88"/>
        <v>N/A</v>
      </c>
      <c r="M2859" s="20" t="str">
        <f t="shared" si="89"/>
        <v>N/A</v>
      </c>
    </row>
    <row r="2860" spans="12:13">
      <c r="L2860" s="20" t="str">
        <f t="shared" si="88"/>
        <v>N/A</v>
      </c>
      <c r="M2860" s="20" t="str">
        <f t="shared" si="89"/>
        <v>N/A</v>
      </c>
    </row>
    <row r="2861" spans="12:13">
      <c r="L2861" s="20" t="str">
        <f t="shared" si="88"/>
        <v>N/A</v>
      </c>
      <c r="M2861" s="20" t="str">
        <f t="shared" si="89"/>
        <v>N/A</v>
      </c>
    </row>
    <row r="2862" spans="12:13">
      <c r="L2862" s="20" t="str">
        <f t="shared" si="88"/>
        <v>N/A</v>
      </c>
      <c r="M2862" s="20" t="str">
        <f t="shared" si="89"/>
        <v>N/A</v>
      </c>
    </row>
    <row r="2863" spans="12:13">
      <c r="L2863" s="20" t="str">
        <f t="shared" si="88"/>
        <v>N/A</v>
      </c>
      <c r="M2863" s="20" t="str">
        <f t="shared" si="89"/>
        <v>N/A</v>
      </c>
    </row>
    <row r="2864" spans="12:13">
      <c r="L2864" s="20" t="str">
        <f t="shared" si="88"/>
        <v>N/A</v>
      </c>
      <c r="M2864" s="20" t="str">
        <f t="shared" si="89"/>
        <v>N/A</v>
      </c>
    </row>
    <row r="2865" spans="12:13">
      <c r="L2865" s="20" t="str">
        <f t="shared" si="88"/>
        <v>N/A</v>
      </c>
      <c r="M2865" s="20" t="str">
        <f t="shared" si="89"/>
        <v>N/A</v>
      </c>
    </row>
    <row r="2866" spans="12:13">
      <c r="L2866" s="20" t="str">
        <f t="shared" si="88"/>
        <v>N/A</v>
      </c>
      <c r="M2866" s="20" t="str">
        <f t="shared" si="89"/>
        <v>N/A</v>
      </c>
    </row>
    <row r="2867" spans="12:13">
      <c r="L2867" s="20" t="str">
        <f t="shared" si="88"/>
        <v>N/A</v>
      </c>
      <c r="M2867" s="20" t="str">
        <f t="shared" si="89"/>
        <v>N/A</v>
      </c>
    </row>
    <row r="2868" spans="12:13">
      <c r="L2868" s="20" t="str">
        <f t="shared" si="88"/>
        <v>N/A</v>
      </c>
      <c r="M2868" s="20" t="str">
        <f t="shared" si="89"/>
        <v>N/A</v>
      </c>
    </row>
    <row r="2869" spans="12:13">
      <c r="L2869" s="20" t="str">
        <f t="shared" si="88"/>
        <v>N/A</v>
      </c>
      <c r="M2869" s="20" t="str">
        <f t="shared" si="89"/>
        <v>N/A</v>
      </c>
    </row>
    <row r="2870" spans="12:13">
      <c r="L2870" s="20" t="str">
        <f t="shared" si="88"/>
        <v>N/A</v>
      </c>
      <c r="M2870" s="20" t="str">
        <f t="shared" si="89"/>
        <v>N/A</v>
      </c>
    </row>
    <row r="2871" spans="12:13">
      <c r="L2871" s="20" t="str">
        <f t="shared" si="88"/>
        <v>N/A</v>
      </c>
      <c r="M2871" s="20" t="str">
        <f t="shared" si="89"/>
        <v>N/A</v>
      </c>
    </row>
    <row r="2872" spans="12:13">
      <c r="L2872" s="20" t="str">
        <f t="shared" si="88"/>
        <v>N/A</v>
      </c>
      <c r="M2872" s="20" t="str">
        <f t="shared" si="89"/>
        <v>N/A</v>
      </c>
    </row>
    <row r="2873" spans="12:13">
      <c r="L2873" s="20" t="str">
        <f t="shared" si="88"/>
        <v>N/A</v>
      </c>
      <c r="M2873" s="20" t="str">
        <f t="shared" si="89"/>
        <v>N/A</v>
      </c>
    </row>
    <row r="2874" spans="12:13">
      <c r="L2874" s="20" t="str">
        <f t="shared" si="88"/>
        <v>N/A</v>
      </c>
      <c r="M2874" s="20" t="str">
        <f t="shared" si="89"/>
        <v>N/A</v>
      </c>
    </row>
    <row r="2875" spans="12:13">
      <c r="L2875" s="20" t="str">
        <f t="shared" si="88"/>
        <v>N/A</v>
      </c>
      <c r="M2875" s="20" t="str">
        <f t="shared" si="89"/>
        <v>N/A</v>
      </c>
    </row>
    <row r="2876" spans="12:13">
      <c r="L2876" s="20" t="str">
        <f t="shared" si="88"/>
        <v>N/A</v>
      </c>
      <c r="M2876" s="20" t="str">
        <f t="shared" si="89"/>
        <v>N/A</v>
      </c>
    </row>
    <row r="2877" spans="12:13">
      <c r="L2877" s="20" t="str">
        <f t="shared" si="88"/>
        <v>N/A</v>
      </c>
      <c r="M2877" s="20" t="str">
        <f t="shared" si="89"/>
        <v>N/A</v>
      </c>
    </row>
    <row r="2878" spans="12:13">
      <c r="L2878" s="20" t="str">
        <f t="shared" si="88"/>
        <v>N/A</v>
      </c>
      <c r="M2878" s="20" t="str">
        <f t="shared" si="89"/>
        <v>N/A</v>
      </c>
    </row>
    <row r="2879" spans="12:13">
      <c r="L2879" s="20" t="str">
        <f t="shared" si="88"/>
        <v>N/A</v>
      </c>
      <c r="M2879" s="20" t="str">
        <f t="shared" si="89"/>
        <v>N/A</v>
      </c>
    </row>
    <row r="2880" spans="12:13">
      <c r="L2880" s="20" t="str">
        <f t="shared" si="88"/>
        <v>N/A</v>
      </c>
      <c r="M2880" s="20" t="str">
        <f t="shared" si="89"/>
        <v>N/A</v>
      </c>
    </row>
    <row r="2881" spans="12:13">
      <c r="L2881" s="20" t="str">
        <f t="shared" si="88"/>
        <v>N/A</v>
      </c>
      <c r="M2881" s="20" t="str">
        <f t="shared" si="89"/>
        <v>N/A</v>
      </c>
    </row>
    <row r="2882" spans="12:13">
      <c r="L2882" s="20" t="str">
        <f t="shared" si="88"/>
        <v>N/A</v>
      </c>
      <c r="M2882" s="20" t="str">
        <f t="shared" si="89"/>
        <v>N/A</v>
      </c>
    </row>
    <row r="2883" spans="12:13">
      <c r="L2883" s="20" t="str">
        <f t="shared" ref="L2883:L2946" si="90">+IF(LEFT(D2883,1)="1","Asset","N/A")</f>
        <v>N/A</v>
      </c>
      <c r="M2883" s="20" t="str">
        <f t="shared" ref="M2883:M2946" si="91">+IF(L2883="asset",IF(H2883&lt;0,"Provide Comment","okay"),"N/A")</f>
        <v>N/A</v>
      </c>
    </row>
    <row r="2884" spans="12:13">
      <c r="L2884" s="20" t="str">
        <f t="shared" si="90"/>
        <v>N/A</v>
      </c>
      <c r="M2884" s="20" t="str">
        <f t="shared" si="91"/>
        <v>N/A</v>
      </c>
    </row>
    <row r="2885" spans="12:13">
      <c r="L2885" s="20" t="str">
        <f t="shared" si="90"/>
        <v>N/A</v>
      </c>
      <c r="M2885" s="20" t="str">
        <f t="shared" si="91"/>
        <v>N/A</v>
      </c>
    </row>
    <row r="2886" spans="12:13">
      <c r="L2886" s="20" t="str">
        <f t="shared" si="90"/>
        <v>N/A</v>
      </c>
      <c r="M2886" s="20" t="str">
        <f t="shared" si="91"/>
        <v>N/A</v>
      </c>
    </row>
    <row r="2887" spans="12:13">
      <c r="L2887" s="20" t="str">
        <f t="shared" si="90"/>
        <v>N/A</v>
      </c>
      <c r="M2887" s="20" t="str">
        <f t="shared" si="91"/>
        <v>N/A</v>
      </c>
    </row>
    <row r="2888" spans="12:13">
      <c r="L2888" s="20" t="str">
        <f t="shared" si="90"/>
        <v>N/A</v>
      </c>
      <c r="M2888" s="20" t="str">
        <f t="shared" si="91"/>
        <v>N/A</v>
      </c>
    </row>
    <row r="2889" spans="12:13">
      <c r="L2889" s="20" t="str">
        <f t="shared" si="90"/>
        <v>N/A</v>
      </c>
      <c r="M2889" s="20" t="str">
        <f t="shared" si="91"/>
        <v>N/A</v>
      </c>
    </row>
    <row r="2890" spans="12:13">
      <c r="L2890" s="20" t="str">
        <f t="shared" si="90"/>
        <v>N/A</v>
      </c>
      <c r="M2890" s="20" t="str">
        <f t="shared" si="91"/>
        <v>N/A</v>
      </c>
    </row>
    <row r="2891" spans="12:13">
      <c r="L2891" s="20" t="str">
        <f t="shared" si="90"/>
        <v>N/A</v>
      </c>
      <c r="M2891" s="20" t="str">
        <f t="shared" si="91"/>
        <v>N/A</v>
      </c>
    </row>
    <row r="2892" spans="12:13">
      <c r="L2892" s="20" t="str">
        <f t="shared" si="90"/>
        <v>N/A</v>
      </c>
      <c r="M2892" s="20" t="str">
        <f t="shared" si="91"/>
        <v>N/A</v>
      </c>
    </row>
    <row r="2893" spans="12:13">
      <c r="L2893" s="20" t="str">
        <f t="shared" si="90"/>
        <v>N/A</v>
      </c>
      <c r="M2893" s="20" t="str">
        <f t="shared" si="91"/>
        <v>N/A</v>
      </c>
    </row>
    <row r="2894" spans="12:13">
      <c r="L2894" s="20" t="str">
        <f t="shared" si="90"/>
        <v>N/A</v>
      </c>
      <c r="M2894" s="20" t="str">
        <f t="shared" si="91"/>
        <v>N/A</v>
      </c>
    </row>
    <row r="2895" spans="12:13">
      <c r="L2895" s="20" t="str">
        <f t="shared" si="90"/>
        <v>N/A</v>
      </c>
      <c r="M2895" s="20" t="str">
        <f t="shared" si="91"/>
        <v>N/A</v>
      </c>
    </row>
    <row r="2896" spans="12:13">
      <c r="L2896" s="20" t="str">
        <f t="shared" si="90"/>
        <v>N/A</v>
      </c>
      <c r="M2896" s="20" t="str">
        <f t="shared" si="91"/>
        <v>N/A</v>
      </c>
    </row>
    <row r="2897" spans="12:13">
      <c r="L2897" s="20" t="str">
        <f t="shared" si="90"/>
        <v>N/A</v>
      </c>
      <c r="M2897" s="20" t="str">
        <f t="shared" si="91"/>
        <v>N/A</v>
      </c>
    </row>
    <row r="2898" spans="12:13">
      <c r="L2898" s="20" t="str">
        <f t="shared" si="90"/>
        <v>N/A</v>
      </c>
      <c r="M2898" s="20" t="str">
        <f t="shared" si="91"/>
        <v>N/A</v>
      </c>
    </row>
    <row r="2899" spans="12:13">
      <c r="L2899" s="20" t="str">
        <f t="shared" si="90"/>
        <v>N/A</v>
      </c>
      <c r="M2899" s="20" t="str">
        <f t="shared" si="91"/>
        <v>N/A</v>
      </c>
    </row>
    <row r="2900" spans="12:13">
      <c r="L2900" s="20" t="str">
        <f t="shared" si="90"/>
        <v>N/A</v>
      </c>
      <c r="M2900" s="20" t="str">
        <f t="shared" si="91"/>
        <v>N/A</v>
      </c>
    </row>
    <row r="2901" spans="12:13">
      <c r="L2901" s="20" t="str">
        <f t="shared" si="90"/>
        <v>N/A</v>
      </c>
      <c r="M2901" s="20" t="str">
        <f t="shared" si="91"/>
        <v>N/A</v>
      </c>
    </row>
    <row r="2902" spans="12:13">
      <c r="L2902" s="20" t="str">
        <f t="shared" si="90"/>
        <v>N/A</v>
      </c>
      <c r="M2902" s="20" t="str">
        <f t="shared" si="91"/>
        <v>N/A</v>
      </c>
    </row>
    <row r="2903" spans="12:13">
      <c r="L2903" s="20" t="str">
        <f t="shared" si="90"/>
        <v>N/A</v>
      </c>
      <c r="M2903" s="20" t="str">
        <f t="shared" si="91"/>
        <v>N/A</v>
      </c>
    </row>
    <row r="2904" spans="12:13">
      <c r="L2904" s="20" t="str">
        <f t="shared" si="90"/>
        <v>N/A</v>
      </c>
      <c r="M2904" s="20" t="str">
        <f t="shared" si="91"/>
        <v>N/A</v>
      </c>
    </row>
    <row r="2905" spans="12:13">
      <c r="L2905" s="20" t="str">
        <f t="shared" si="90"/>
        <v>N/A</v>
      </c>
      <c r="M2905" s="20" t="str">
        <f t="shared" si="91"/>
        <v>N/A</v>
      </c>
    </row>
    <row r="2906" spans="12:13">
      <c r="L2906" s="20" t="str">
        <f t="shared" si="90"/>
        <v>N/A</v>
      </c>
      <c r="M2906" s="20" t="str">
        <f t="shared" si="91"/>
        <v>N/A</v>
      </c>
    </row>
    <row r="2907" spans="12:13">
      <c r="L2907" s="20" t="str">
        <f t="shared" si="90"/>
        <v>N/A</v>
      </c>
      <c r="M2907" s="20" t="str">
        <f t="shared" si="91"/>
        <v>N/A</v>
      </c>
    </row>
    <row r="2908" spans="12:13">
      <c r="L2908" s="20" t="str">
        <f t="shared" si="90"/>
        <v>N/A</v>
      </c>
      <c r="M2908" s="20" t="str">
        <f t="shared" si="91"/>
        <v>N/A</v>
      </c>
    </row>
    <row r="2909" spans="12:13">
      <c r="L2909" s="20" t="str">
        <f t="shared" si="90"/>
        <v>N/A</v>
      </c>
      <c r="M2909" s="20" t="str">
        <f t="shared" si="91"/>
        <v>N/A</v>
      </c>
    </row>
    <row r="2910" spans="12:13">
      <c r="L2910" s="20" t="str">
        <f t="shared" si="90"/>
        <v>N/A</v>
      </c>
      <c r="M2910" s="20" t="str">
        <f t="shared" si="91"/>
        <v>N/A</v>
      </c>
    </row>
    <row r="2911" spans="12:13">
      <c r="L2911" s="20" t="str">
        <f t="shared" si="90"/>
        <v>N/A</v>
      </c>
      <c r="M2911" s="20" t="str">
        <f t="shared" si="91"/>
        <v>N/A</v>
      </c>
    </row>
    <row r="2912" spans="12:13">
      <c r="L2912" s="20" t="str">
        <f t="shared" si="90"/>
        <v>N/A</v>
      </c>
      <c r="M2912" s="20" t="str">
        <f t="shared" si="91"/>
        <v>N/A</v>
      </c>
    </row>
    <row r="2913" spans="12:13">
      <c r="L2913" s="20" t="str">
        <f t="shared" si="90"/>
        <v>N/A</v>
      </c>
      <c r="M2913" s="20" t="str">
        <f t="shared" si="91"/>
        <v>N/A</v>
      </c>
    </row>
    <row r="2914" spans="12:13">
      <c r="L2914" s="20" t="str">
        <f t="shared" si="90"/>
        <v>N/A</v>
      </c>
      <c r="M2914" s="20" t="str">
        <f t="shared" si="91"/>
        <v>N/A</v>
      </c>
    </row>
    <row r="2915" spans="12:13">
      <c r="L2915" s="20" t="str">
        <f t="shared" si="90"/>
        <v>N/A</v>
      </c>
      <c r="M2915" s="20" t="str">
        <f t="shared" si="91"/>
        <v>N/A</v>
      </c>
    </row>
    <row r="2916" spans="12:13">
      <c r="L2916" s="20" t="str">
        <f t="shared" si="90"/>
        <v>N/A</v>
      </c>
      <c r="M2916" s="20" t="str">
        <f t="shared" si="91"/>
        <v>N/A</v>
      </c>
    </row>
    <row r="2917" spans="12:13">
      <c r="L2917" s="20" t="str">
        <f t="shared" si="90"/>
        <v>N/A</v>
      </c>
      <c r="M2917" s="20" t="str">
        <f t="shared" si="91"/>
        <v>N/A</v>
      </c>
    </row>
    <row r="2918" spans="12:13">
      <c r="L2918" s="20" t="str">
        <f t="shared" si="90"/>
        <v>N/A</v>
      </c>
      <c r="M2918" s="20" t="str">
        <f t="shared" si="91"/>
        <v>N/A</v>
      </c>
    </row>
    <row r="2919" spans="12:13">
      <c r="L2919" s="20" t="str">
        <f t="shared" si="90"/>
        <v>N/A</v>
      </c>
      <c r="M2919" s="20" t="str">
        <f t="shared" si="91"/>
        <v>N/A</v>
      </c>
    </row>
    <row r="2920" spans="12:13">
      <c r="L2920" s="20" t="str">
        <f t="shared" si="90"/>
        <v>N/A</v>
      </c>
      <c r="M2920" s="20" t="str">
        <f t="shared" si="91"/>
        <v>N/A</v>
      </c>
    </row>
    <row r="2921" spans="12:13">
      <c r="L2921" s="20" t="str">
        <f t="shared" si="90"/>
        <v>N/A</v>
      </c>
      <c r="M2921" s="20" t="str">
        <f t="shared" si="91"/>
        <v>N/A</v>
      </c>
    </row>
    <row r="2922" spans="12:13">
      <c r="L2922" s="20" t="str">
        <f t="shared" si="90"/>
        <v>N/A</v>
      </c>
      <c r="M2922" s="20" t="str">
        <f t="shared" si="91"/>
        <v>N/A</v>
      </c>
    </row>
    <row r="2923" spans="12:13">
      <c r="L2923" s="20" t="str">
        <f t="shared" si="90"/>
        <v>N/A</v>
      </c>
      <c r="M2923" s="20" t="str">
        <f t="shared" si="91"/>
        <v>N/A</v>
      </c>
    </row>
    <row r="2924" spans="12:13">
      <c r="L2924" s="20" t="str">
        <f t="shared" si="90"/>
        <v>N/A</v>
      </c>
      <c r="M2924" s="20" t="str">
        <f t="shared" si="91"/>
        <v>N/A</v>
      </c>
    </row>
    <row r="2925" spans="12:13">
      <c r="L2925" s="20" t="str">
        <f t="shared" si="90"/>
        <v>N/A</v>
      </c>
      <c r="M2925" s="20" t="str">
        <f t="shared" si="91"/>
        <v>N/A</v>
      </c>
    </row>
    <row r="2926" spans="12:13">
      <c r="L2926" s="20" t="str">
        <f t="shared" si="90"/>
        <v>N/A</v>
      </c>
      <c r="M2926" s="20" t="str">
        <f t="shared" si="91"/>
        <v>N/A</v>
      </c>
    </row>
    <row r="2927" spans="12:13">
      <c r="L2927" s="20" t="str">
        <f t="shared" si="90"/>
        <v>N/A</v>
      </c>
      <c r="M2927" s="20" t="str">
        <f t="shared" si="91"/>
        <v>N/A</v>
      </c>
    </row>
    <row r="2928" spans="12:13">
      <c r="L2928" s="20" t="str">
        <f t="shared" si="90"/>
        <v>N/A</v>
      </c>
      <c r="M2928" s="20" t="str">
        <f t="shared" si="91"/>
        <v>N/A</v>
      </c>
    </row>
    <row r="2929" spans="12:13">
      <c r="L2929" s="20" t="str">
        <f t="shared" si="90"/>
        <v>N/A</v>
      </c>
      <c r="M2929" s="20" t="str">
        <f t="shared" si="91"/>
        <v>N/A</v>
      </c>
    </row>
    <row r="2930" spans="12:13">
      <c r="L2930" s="20" t="str">
        <f t="shared" si="90"/>
        <v>N/A</v>
      </c>
      <c r="M2930" s="20" t="str">
        <f t="shared" si="91"/>
        <v>N/A</v>
      </c>
    </row>
    <row r="2931" spans="12:13">
      <c r="L2931" s="20" t="str">
        <f t="shared" si="90"/>
        <v>N/A</v>
      </c>
      <c r="M2931" s="20" t="str">
        <f t="shared" si="91"/>
        <v>N/A</v>
      </c>
    </row>
    <row r="2932" spans="12:13">
      <c r="L2932" s="20" t="str">
        <f t="shared" si="90"/>
        <v>N/A</v>
      </c>
      <c r="M2932" s="20" t="str">
        <f t="shared" si="91"/>
        <v>N/A</v>
      </c>
    </row>
    <row r="2933" spans="12:13">
      <c r="L2933" s="20" t="str">
        <f t="shared" si="90"/>
        <v>N/A</v>
      </c>
      <c r="M2933" s="20" t="str">
        <f t="shared" si="91"/>
        <v>N/A</v>
      </c>
    </row>
    <row r="2934" spans="12:13">
      <c r="L2934" s="20" t="str">
        <f t="shared" si="90"/>
        <v>N/A</v>
      </c>
      <c r="M2934" s="20" t="str">
        <f t="shared" si="91"/>
        <v>N/A</v>
      </c>
    </row>
    <row r="2935" spans="12:13">
      <c r="L2935" s="20" t="str">
        <f t="shared" si="90"/>
        <v>N/A</v>
      </c>
      <c r="M2935" s="20" t="str">
        <f t="shared" si="91"/>
        <v>N/A</v>
      </c>
    </row>
    <row r="2936" spans="12:13">
      <c r="L2936" s="20" t="str">
        <f t="shared" si="90"/>
        <v>N/A</v>
      </c>
      <c r="M2936" s="20" t="str">
        <f t="shared" si="91"/>
        <v>N/A</v>
      </c>
    </row>
    <row r="2937" spans="12:13">
      <c r="L2937" s="20" t="str">
        <f t="shared" si="90"/>
        <v>N/A</v>
      </c>
      <c r="M2937" s="20" t="str">
        <f t="shared" si="91"/>
        <v>N/A</v>
      </c>
    </row>
    <row r="2938" spans="12:13">
      <c r="L2938" s="20" t="str">
        <f t="shared" si="90"/>
        <v>N/A</v>
      </c>
      <c r="M2938" s="20" t="str">
        <f t="shared" si="91"/>
        <v>N/A</v>
      </c>
    </row>
    <row r="2939" spans="12:13">
      <c r="L2939" s="20" t="str">
        <f t="shared" si="90"/>
        <v>N/A</v>
      </c>
      <c r="M2939" s="20" t="str">
        <f t="shared" si="91"/>
        <v>N/A</v>
      </c>
    </row>
    <row r="2940" spans="12:13">
      <c r="L2940" s="20" t="str">
        <f t="shared" si="90"/>
        <v>N/A</v>
      </c>
      <c r="M2940" s="20" t="str">
        <f t="shared" si="91"/>
        <v>N/A</v>
      </c>
    </row>
    <row r="2941" spans="12:13">
      <c r="L2941" s="20" t="str">
        <f t="shared" si="90"/>
        <v>N/A</v>
      </c>
      <c r="M2941" s="20" t="str">
        <f t="shared" si="91"/>
        <v>N/A</v>
      </c>
    </row>
    <row r="2942" spans="12:13">
      <c r="L2942" s="20" t="str">
        <f t="shared" si="90"/>
        <v>N/A</v>
      </c>
      <c r="M2942" s="20" t="str">
        <f t="shared" si="91"/>
        <v>N/A</v>
      </c>
    </row>
    <row r="2943" spans="12:13">
      <c r="L2943" s="20" t="str">
        <f t="shared" si="90"/>
        <v>N/A</v>
      </c>
      <c r="M2943" s="20" t="str">
        <f t="shared" si="91"/>
        <v>N/A</v>
      </c>
    </row>
    <row r="2944" spans="12:13">
      <c r="L2944" s="20" t="str">
        <f t="shared" si="90"/>
        <v>N/A</v>
      </c>
      <c r="M2944" s="20" t="str">
        <f t="shared" si="91"/>
        <v>N/A</v>
      </c>
    </row>
    <row r="2945" spans="12:13">
      <c r="L2945" s="20" t="str">
        <f t="shared" si="90"/>
        <v>N/A</v>
      </c>
      <c r="M2945" s="20" t="str">
        <f t="shared" si="91"/>
        <v>N/A</v>
      </c>
    </row>
    <row r="2946" spans="12:13">
      <c r="L2946" s="20" t="str">
        <f t="shared" si="90"/>
        <v>N/A</v>
      </c>
      <c r="M2946" s="20" t="str">
        <f t="shared" si="91"/>
        <v>N/A</v>
      </c>
    </row>
    <row r="2947" spans="12:13">
      <c r="L2947" s="20" t="str">
        <f t="shared" ref="L2947:L3010" si="92">+IF(LEFT(D2947,1)="1","Asset","N/A")</f>
        <v>N/A</v>
      </c>
      <c r="M2947" s="20" t="str">
        <f t="shared" ref="M2947:M3010" si="93">+IF(L2947="asset",IF(H2947&lt;0,"Provide Comment","okay"),"N/A")</f>
        <v>N/A</v>
      </c>
    </row>
    <row r="2948" spans="12:13">
      <c r="L2948" s="20" t="str">
        <f t="shared" si="92"/>
        <v>N/A</v>
      </c>
      <c r="M2948" s="20" t="str">
        <f t="shared" si="93"/>
        <v>N/A</v>
      </c>
    </row>
    <row r="2949" spans="12:13">
      <c r="L2949" s="20" t="str">
        <f t="shared" si="92"/>
        <v>N/A</v>
      </c>
      <c r="M2949" s="20" t="str">
        <f t="shared" si="93"/>
        <v>N/A</v>
      </c>
    </row>
    <row r="2950" spans="12:13">
      <c r="L2950" s="20" t="str">
        <f t="shared" si="92"/>
        <v>N/A</v>
      </c>
      <c r="M2950" s="20" t="str">
        <f t="shared" si="93"/>
        <v>N/A</v>
      </c>
    </row>
    <row r="2951" spans="12:13">
      <c r="L2951" s="20" t="str">
        <f t="shared" si="92"/>
        <v>N/A</v>
      </c>
      <c r="M2951" s="20" t="str">
        <f t="shared" si="93"/>
        <v>N/A</v>
      </c>
    </row>
    <row r="2952" spans="12:13">
      <c r="L2952" s="20" t="str">
        <f t="shared" si="92"/>
        <v>N/A</v>
      </c>
      <c r="M2952" s="20" t="str">
        <f t="shared" si="93"/>
        <v>N/A</v>
      </c>
    </row>
    <row r="2953" spans="12:13">
      <c r="L2953" s="20" t="str">
        <f t="shared" si="92"/>
        <v>N/A</v>
      </c>
      <c r="M2953" s="20" t="str">
        <f t="shared" si="93"/>
        <v>N/A</v>
      </c>
    </row>
    <row r="2954" spans="12:13">
      <c r="L2954" s="20" t="str">
        <f t="shared" si="92"/>
        <v>N/A</v>
      </c>
      <c r="M2954" s="20" t="str">
        <f t="shared" si="93"/>
        <v>N/A</v>
      </c>
    </row>
    <row r="2955" spans="12:13">
      <c r="L2955" s="20" t="str">
        <f t="shared" si="92"/>
        <v>N/A</v>
      </c>
      <c r="M2955" s="20" t="str">
        <f t="shared" si="93"/>
        <v>N/A</v>
      </c>
    </row>
    <row r="2956" spans="12:13">
      <c r="L2956" s="20" t="str">
        <f t="shared" si="92"/>
        <v>N/A</v>
      </c>
      <c r="M2956" s="20" t="str">
        <f t="shared" si="93"/>
        <v>N/A</v>
      </c>
    </row>
    <row r="2957" spans="12:13">
      <c r="L2957" s="20" t="str">
        <f t="shared" si="92"/>
        <v>N/A</v>
      </c>
      <c r="M2957" s="20" t="str">
        <f t="shared" si="93"/>
        <v>N/A</v>
      </c>
    </row>
    <row r="2958" spans="12:13">
      <c r="L2958" s="20" t="str">
        <f t="shared" si="92"/>
        <v>N/A</v>
      </c>
      <c r="M2958" s="20" t="str">
        <f t="shared" si="93"/>
        <v>N/A</v>
      </c>
    </row>
    <row r="2959" spans="12:13">
      <c r="L2959" s="20" t="str">
        <f t="shared" si="92"/>
        <v>N/A</v>
      </c>
      <c r="M2959" s="20" t="str">
        <f t="shared" si="93"/>
        <v>N/A</v>
      </c>
    </row>
    <row r="2960" spans="12:13">
      <c r="L2960" s="20" t="str">
        <f t="shared" si="92"/>
        <v>N/A</v>
      </c>
      <c r="M2960" s="20" t="str">
        <f t="shared" si="93"/>
        <v>N/A</v>
      </c>
    </row>
    <row r="2961" spans="12:13">
      <c r="L2961" s="20" t="str">
        <f t="shared" si="92"/>
        <v>N/A</v>
      </c>
      <c r="M2961" s="20" t="str">
        <f t="shared" si="93"/>
        <v>N/A</v>
      </c>
    </row>
    <row r="2962" spans="12:13">
      <c r="L2962" s="20" t="str">
        <f t="shared" si="92"/>
        <v>N/A</v>
      </c>
      <c r="M2962" s="20" t="str">
        <f t="shared" si="93"/>
        <v>N/A</v>
      </c>
    </row>
    <row r="2963" spans="12:13">
      <c r="L2963" s="20" t="str">
        <f t="shared" si="92"/>
        <v>N/A</v>
      </c>
      <c r="M2963" s="20" t="str">
        <f t="shared" si="93"/>
        <v>N/A</v>
      </c>
    </row>
    <row r="2964" spans="12:13">
      <c r="L2964" s="20" t="str">
        <f t="shared" si="92"/>
        <v>N/A</v>
      </c>
      <c r="M2964" s="20" t="str">
        <f t="shared" si="93"/>
        <v>N/A</v>
      </c>
    </row>
    <row r="2965" spans="12:13">
      <c r="L2965" s="20" t="str">
        <f t="shared" si="92"/>
        <v>N/A</v>
      </c>
      <c r="M2965" s="20" t="str">
        <f t="shared" si="93"/>
        <v>N/A</v>
      </c>
    </row>
    <row r="2966" spans="12:13">
      <c r="L2966" s="20" t="str">
        <f t="shared" si="92"/>
        <v>N/A</v>
      </c>
      <c r="M2966" s="20" t="str">
        <f t="shared" si="93"/>
        <v>N/A</v>
      </c>
    </row>
    <row r="2967" spans="12:13">
      <c r="L2967" s="20" t="str">
        <f t="shared" si="92"/>
        <v>N/A</v>
      </c>
      <c r="M2967" s="20" t="str">
        <f t="shared" si="93"/>
        <v>N/A</v>
      </c>
    </row>
    <row r="2968" spans="12:13">
      <c r="L2968" s="20" t="str">
        <f t="shared" si="92"/>
        <v>N/A</v>
      </c>
      <c r="M2968" s="20" t="str">
        <f t="shared" si="93"/>
        <v>N/A</v>
      </c>
    </row>
    <row r="2969" spans="12:13">
      <c r="L2969" s="20" t="str">
        <f t="shared" si="92"/>
        <v>N/A</v>
      </c>
      <c r="M2969" s="20" t="str">
        <f t="shared" si="93"/>
        <v>N/A</v>
      </c>
    </row>
    <row r="2970" spans="12:13">
      <c r="L2970" s="20" t="str">
        <f t="shared" si="92"/>
        <v>N/A</v>
      </c>
      <c r="M2970" s="20" t="str">
        <f t="shared" si="93"/>
        <v>N/A</v>
      </c>
    </row>
    <row r="2971" spans="12:13">
      <c r="L2971" s="20" t="str">
        <f t="shared" si="92"/>
        <v>N/A</v>
      </c>
      <c r="M2971" s="20" t="str">
        <f t="shared" si="93"/>
        <v>N/A</v>
      </c>
    </row>
    <row r="2972" spans="12:13">
      <c r="L2972" s="20" t="str">
        <f t="shared" si="92"/>
        <v>N/A</v>
      </c>
      <c r="M2972" s="20" t="str">
        <f t="shared" si="93"/>
        <v>N/A</v>
      </c>
    </row>
    <row r="2973" spans="12:13">
      <c r="L2973" s="20" t="str">
        <f t="shared" si="92"/>
        <v>N/A</v>
      </c>
      <c r="M2973" s="20" t="str">
        <f t="shared" si="93"/>
        <v>N/A</v>
      </c>
    </row>
    <row r="2974" spans="12:13">
      <c r="L2974" s="20" t="str">
        <f t="shared" si="92"/>
        <v>N/A</v>
      </c>
      <c r="M2974" s="20" t="str">
        <f t="shared" si="93"/>
        <v>N/A</v>
      </c>
    </row>
    <row r="2975" spans="12:13">
      <c r="L2975" s="20" t="str">
        <f t="shared" si="92"/>
        <v>N/A</v>
      </c>
      <c r="M2975" s="20" t="str">
        <f t="shared" si="93"/>
        <v>N/A</v>
      </c>
    </row>
    <row r="2976" spans="12:13">
      <c r="L2976" s="20" t="str">
        <f t="shared" si="92"/>
        <v>N/A</v>
      </c>
      <c r="M2976" s="20" t="str">
        <f t="shared" si="93"/>
        <v>N/A</v>
      </c>
    </row>
    <row r="2977" spans="12:13">
      <c r="L2977" s="20" t="str">
        <f t="shared" si="92"/>
        <v>N/A</v>
      </c>
      <c r="M2977" s="20" t="str">
        <f t="shared" si="93"/>
        <v>N/A</v>
      </c>
    </row>
    <row r="2978" spans="12:13">
      <c r="L2978" s="20" t="str">
        <f t="shared" si="92"/>
        <v>N/A</v>
      </c>
      <c r="M2978" s="20" t="str">
        <f t="shared" si="93"/>
        <v>N/A</v>
      </c>
    </row>
    <row r="2979" spans="12:13">
      <c r="L2979" s="20" t="str">
        <f t="shared" si="92"/>
        <v>N/A</v>
      </c>
      <c r="M2979" s="20" t="str">
        <f t="shared" si="93"/>
        <v>N/A</v>
      </c>
    </row>
    <row r="2980" spans="12:13">
      <c r="L2980" s="20" t="str">
        <f t="shared" si="92"/>
        <v>N/A</v>
      </c>
      <c r="M2980" s="20" t="str">
        <f t="shared" si="93"/>
        <v>N/A</v>
      </c>
    </row>
    <row r="2981" spans="12:13">
      <c r="L2981" s="20" t="str">
        <f t="shared" si="92"/>
        <v>N/A</v>
      </c>
      <c r="M2981" s="20" t="str">
        <f t="shared" si="93"/>
        <v>N/A</v>
      </c>
    </row>
    <row r="2982" spans="12:13">
      <c r="L2982" s="20" t="str">
        <f t="shared" si="92"/>
        <v>N/A</v>
      </c>
      <c r="M2982" s="20" t="str">
        <f t="shared" si="93"/>
        <v>N/A</v>
      </c>
    </row>
    <row r="2983" spans="12:13">
      <c r="L2983" s="20" t="str">
        <f t="shared" si="92"/>
        <v>N/A</v>
      </c>
      <c r="M2983" s="20" t="str">
        <f t="shared" si="93"/>
        <v>N/A</v>
      </c>
    </row>
    <row r="2984" spans="12:13">
      <c r="L2984" s="20" t="str">
        <f t="shared" si="92"/>
        <v>N/A</v>
      </c>
      <c r="M2984" s="20" t="str">
        <f t="shared" si="93"/>
        <v>N/A</v>
      </c>
    </row>
    <row r="2985" spans="12:13">
      <c r="L2985" s="20" t="str">
        <f t="shared" si="92"/>
        <v>N/A</v>
      </c>
      <c r="M2985" s="20" t="str">
        <f t="shared" si="93"/>
        <v>N/A</v>
      </c>
    </row>
    <row r="2986" spans="12:13">
      <c r="L2986" s="20" t="str">
        <f t="shared" si="92"/>
        <v>N/A</v>
      </c>
      <c r="M2986" s="20" t="str">
        <f t="shared" si="93"/>
        <v>N/A</v>
      </c>
    </row>
    <row r="2987" spans="12:13">
      <c r="L2987" s="20" t="str">
        <f t="shared" si="92"/>
        <v>N/A</v>
      </c>
      <c r="M2987" s="20" t="str">
        <f t="shared" si="93"/>
        <v>N/A</v>
      </c>
    </row>
    <row r="2988" spans="12:13">
      <c r="L2988" s="20" t="str">
        <f t="shared" si="92"/>
        <v>N/A</v>
      </c>
      <c r="M2988" s="20" t="str">
        <f t="shared" si="93"/>
        <v>N/A</v>
      </c>
    </row>
    <row r="2989" spans="12:13">
      <c r="L2989" s="20" t="str">
        <f t="shared" si="92"/>
        <v>N/A</v>
      </c>
      <c r="M2989" s="20" t="str">
        <f t="shared" si="93"/>
        <v>N/A</v>
      </c>
    </row>
    <row r="2990" spans="12:13">
      <c r="L2990" s="20" t="str">
        <f t="shared" si="92"/>
        <v>N/A</v>
      </c>
      <c r="M2990" s="20" t="str">
        <f t="shared" si="93"/>
        <v>N/A</v>
      </c>
    </row>
    <row r="2991" spans="12:13">
      <c r="L2991" s="20" t="str">
        <f t="shared" si="92"/>
        <v>N/A</v>
      </c>
      <c r="M2991" s="20" t="str">
        <f t="shared" si="93"/>
        <v>N/A</v>
      </c>
    </row>
    <row r="2992" spans="12:13">
      <c r="L2992" s="20" t="str">
        <f t="shared" si="92"/>
        <v>N/A</v>
      </c>
      <c r="M2992" s="20" t="str">
        <f t="shared" si="93"/>
        <v>N/A</v>
      </c>
    </row>
    <row r="2993" spans="12:13">
      <c r="L2993" s="20" t="str">
        <f t="shared" si="92"/>
        <v>N/A</v>
      </c>
      <c r="M2993" s="20" t="str">
        <f t="shared" si="93"/>
        <v>N/A</v>
      </c>
    </row>
    <row r="2994" spans="12:13">
      <c r="L2994" s="20" t="str">
        <f t="shared" si="92"/>
        <v>N/A</v>
      </c>
      <c r="M2994" s="20" t="str">
        <f t="shared" si="93"/>
        <v>N/A</v>
      </c>
    </row>
    <row r="2995" spans="12:13">
      <c r="L2995" s="20" t="str">
        <f t="shared" si="92"/>
        <v>N/A</v>
      </c>
      <c r="M2995" s="20" t="str">
        <f t="shared" si="93"/>
        <v>N/A</v>
      </c>
    </row>
    <row r="2996" spans="12:13">
      <c r="L2996" s="20" t="str">
        <f t="shared" si="92"/>
        <v>N/A</v>
      </c>
      <c r="M2996" s="20" t="str">
        <f t="shared" si="93"/>
        <v>N/A</v>
      </c>
    </row>
    <row r="2997" spans="12:13">
      <c r="L2997" s="20" t="str">
        <f t="shared" si="92"/>
        <v>N/A</v>
      </c>
      <c r="M2997" s="20" t="str">
        <f t="shared" si="93"/>
        <v>N/A</v>
      </c>
    </row>
    <row r="2998" spans="12:13">
      <c r="L2998" s="20" t="str">
        <f t="shared" si="92"/>
        <v>N/A</v>
      </c>
      <c r="M2998" s="20" t="str">
        <f t="shared" si="93"/>
        <v>N/A</v>
      </c>
    </row>
    <row r="2999" spans="12:13">
      <c r="L2999" s="20" t="str">
        <f t="shared" si="92"/>
        <v>N/A</v>
      </c>
      <c r="M2999" s="20" t="str">
        <f t="shared" si="93"/>
        <v>N/A</v>
      </c>
    </row>
    <row r="3000" spans="12:13">
      <c r="L3000" s="20" t="str">
        <f t="shared" si="92"/>
        <v>N/A</v>
      </c>
      <c r="M3000" s="20" t="str">
        <f t="shared" si="93"/>
        <v>N/A</v>
      </c>
    </row>
    <row r="3001" spans="12:13">
      <c r="L3001" s="20" t="str">
        <f t="shared" si="92"/>
        <v>N/A</v>
      </c>
      <c r="M3001" s="20" t="str">
        <f t="shared" si="93"/>
        <v>N/A</v>
      </c>
    </row>
    <row r="3002" spans="12:13">
      <c r="L3002" s="20" t="str">
        <f t="shared" si="92"/>
        <v>N/A</v>
      </c>
      <c r="M3002" s="20" t="str">
        <f t="shared" si="93"/>
        <v>N/A</v>
      </c>
    </row>
    <row r="3003" spans="12:13">
      <c r="L3003" s="20" t="str">
        <f t="shared" si="92"/>
        <v>N/A</v>
      </c>
      <c r="M3003" s="20" t="str">
        <f t="shared" si="93"/>
        <v>N/A</v>
      </c>
    </row>
    <row r="3004" spans="12:13">
      <c r="L3004" s="20" t="str">
        <f t="shared" si="92"/>
        <v>N/A</v>
      </c>
      <c r="M3004" s="20" t="str">
        <f t="shared" si="93"/>
        <v>N/A</v>
      </c>
    </row>
    <row r="3005" spans="12:13">
      <c r="L3005" s="20" t="str">
        <f t="shared" si="92"/>
        <v>N/A</v>
      </c>
      <c r="M3005" s="20" t="str">
        <f t="shared" si="93"/>
        <v>N/A</v>
      </c>
    </row>
    <row r="3006" spans="12:13">
      <c r="L3006" s="20" t="str">
        <f t="shared" si="92"/>
        <v>N/A</v>
      </c>
      <c r="M3006" s="20" t="str">
        <f t="shared" si="93"/>
        <v>N/A</v>
      </c>
    </row>
    <row r="3007" spans="12:13">
      <c r="L3007" s="20" t="str">
        <f t="shared" si="92"/>
        <v>N/A</v>
      </c>
      <c r="M3007" s="20" t="str">
        <f t="shared" si="93"/>
        <v>N/A</v>
      </c>
    </row>
    <row r="3008" spans="12:13">
      <c r="L3008" s="20" t="str">
        <f t="shared" si="92"/>
        <v>N/A</v>
      </c>
      <c r="M3008" s="20" t="str">
        <f t="shared" si="93"/>
        <v>N/A</v>
      </c>
    </row>
    <row r="3009" spans="12:13">
      <c r="L3009" s="20" t="str">
        <f t="shared" si="92"/>
        <v>N/A</v>
      </c>
      <c r="M3009" s="20" t="str">
        <f t="shared" si="93"/>
        <v>N/A</v>
      </c>
    </row>
    <row r="3010" spans="12:13">
      <c r="L3010" s="20" t="str">
        <f t="shared" si="92"/>
        <v>N/A</v>
      </c>
      <c r="M3010" s="20" t="str">
        <f t="shared" si="93"/>
        <v>N/A</v>
      </c>
    </row>
    <row r="3011" spans="12:13">
      <c r="L3011" s="20" t="str">
        <f t="shared" ref="L3011:L3074" si="94">+IF(LEFT(D3011,1)="1","Asset","N/A")</f>
        <v>N/A</v>
      </c>
      <c r="M3011" s="20" t="str">
        <f t="shared" ref="M3011:M3074" si="95">+IF(L3011="asset",IF(H3011&lt;0,"Provide Comment","okay"),"N/A")</f>
        <v>N/A</v>
      </c>
    </row>
    <row r="3012" spans="12:13">
      <c r="L3012" s="20" t="str">
        <f t="shared" si="94"/>
        <v>N/A</v>
      </c>
      <c r="M3012" s="20" t="str">
        <f t="shared" si="95"/>
        <v>N/A</v>
      </c>
    </row>
    <row r="3013" spans="12:13">
      <c r="L3013" s="20" t="str">
        <f t="shared" si="94"/>
        <v>N/A</v>
      </c>
      <c r="M3013" s="20" t="str">
        <f t="shared" si="95"/>
        <v>N/A</v>
      </c>
    </row>
    <row r="3014" spans="12:13">
      <c r="L3014" s="20" t="str">
        <f t="shared" si="94"/>
        <v>N/A</v>
      </c>
      <c r="M3014" s="20" t="str">
        <f t="shared" si="95"/>
        <v>N/A</v>
      </c>
    </row>
    <row r="3015" spans="12:13">
      <c r="L3015" s="20" t="str">
        <f t="shared" si="94"/>
        <v>N/A</v>
      </c>
      <c r="M3015" s="20" t="str">
        <f t="shared" si="95"/>
        <v>N/A</v>
      </c>
    </row>
    <row r="3016" spans="12:13">
      <c r="L3016" s="20" t="str">
        <f t="shared" si="94"/>
        <v>N/A</v>
      </c>
      <c r="M3016" s="20" t="str">
        <f t="shared" si="95"/>
        <v>N/A</v>
      </c>
    </row>
    <row r="3017" spans="12:13">
      <c r="L3017" s="20" t="str">
        <f t="shared" si="94"/>
        <v>N/A</v>
      </c>
      <c r="M3017" s="20" t="str">
        <f t="shared" si="95"/>
        <v>N/A</v>
      </c>
    </row>
    <row r="3018" spans="12:13">
      <c r="L3018" s="20" t="str">
        <f t="shared" si="94"/>
        <v>N/A</v>
      </c>
      <c r="M3018" s="20" t="str">
        <f t="shared" si="95"/>
        <v>N/A</v>
      </c>
    </row>
    <row r="3019" spans="12:13">
      <c r="L3019" s="20" t="str">
        <f t="shared" si="94"/>
        <v>N/A</v>
      </c>
      <c r="M3019" s="20" t="str">
        <f t="shared" si="95"/>
        <v>N/A</v>
      </c>
    </row>
    <row r="3020" spans="12:13">
      <c r="L3020" s="20" t="str">
        <f t="shared" si="94"/>
        <v>N/A</v>
      </c>
      <c r="M3020" s="20" t="str">
        <f t="shared" si="95"/>
        <v>N/A</v>
      </c>
    </row>
    <row r="3021" spans="12:13">
      <c r="L3021" s="20" t="str">
        <f t="shared" si="94"/>
        <v>N/A</v>
      </c>
      <c r="M3021" s="20" t="str">
        <f t="shared" si="95"/>
        <v>N/A</v>
      </c>
    </row>
    <row r="3022" spans="12:13">
      <c r="L3022" s="20" t="str">
        <f t="shared" si="94"/>
        <v>N/A</v>
      </c>
      <c r="M3022" s="20" t="str">
        <f t="shared" si="95"/>
        <v>N/A</v>
      </c>
    </row>
    <row r="3023" spans="12:13">
      <c r="L3023" s="20" t="str">
        <f t="shared" si="94"/>
        <v>N/A</v>
      </c>
      <c r="M3023" s="20" t="str">
        <f t="shared" si="95"/>
        <v>N/A</v>
      </c>
    </row>
    <row r="3024" spans="12:13">
      <c r="L3024" s="20" t="str">
        <f t="shared" si="94"/>
        <v>N/A</v>
      </c>
      <c r="M3024" s="20" t="str">
        <f t="shared" si="95"/>
        <v>N/A</v>
      </c>
    </row>
    <row r="3025" spans="12:13">
      <c r="L3025" s="20" t="str">
        <f t="shared" si="94"/>
        <v>N/A</v>
      </c>
      <c r="M3025" s="20" t="str">
        <f t="shared" si="95"/>
        <v>N/A</v>
      </c>
    </row>
    <row r="3026" spans="12:13">
      <c r="L3026" s="20" t="str">
        <f t="shared" si="94"/>
        <v>N/A</v>
      </c>
      <c r="M3026" s="20" t="str">
        <f t="shared" si="95"/>
        <v>N/A</v>
      </c>
    </row>
    <row r="3027" spans="12:13">
      <c r="L3027" s="20" t="str">
        <f t="shared" si="94"/>
        <v>N/A</v>
      </c>
      <c r="M3027" s="20" t="str">
        <f t="shared" si="95"/>
        <v>N/A</v>
      </c>
    </row>
    <row r="3028" spans="12:13">
      <c r="L3028" s="20" t="str">
        <f t="shared" si="94"/>
        <v>N/A</v>
      </c>
      <c r="M3028" s="20" t="str">
        <f t="shared" si="95"/>
        <v>N/A</v>
      </c>
    </row>
    <row r="3029" spans="12:13">
      <c r="L3029" s="20" t="str">
        <f t="shared" si="94"/>
        <v>N/A</v>
      </c>
      <c r="M3029" s="20" t="str">
        <f t="shared" si="95"/>
        <v>N/A</v>
      </c>
    </row>
    <row r="3030" spans="12:13">
      <c r="L3030" s="20" t="str">
        <f t="shared" si="94"/>
        <v>N/A</v>
      </c>
      <c r="M3030" s="20" t="str">
        <f t="shared" si="95"/>
        <v>N/A</v>
      </c>
    </row>
    <row r="3031" spans="12:13">
      <c r="L3031" s="20" t="str">
        <f t="shared" si="94"/>
        <v>N/A</v>
      </c>
      <c r="M3031" s="20" t="str">
        <f t="shared" si="95"/>
        <v>N/A</v>
      </c>
    </row>
    <row r="3032" spans="12:13">
      <c r="L3032" s="20" t="str">
        <f t="shared" si="94"/>
        <v>N/A</v>
      </c>
      <c r="M3032" s="20" t="str">
        <f t="shared" si="95"/>
        <v>N/A</v>
      </c>
    </row>
    <row r="3033" spans="12:13">
      <c r="L3033" s="20" t="str">
        <f t="shared" si="94"/>
        <v>N/A</v>
      </c>
      <c r="M3033" s="20" t="str">
        <f t="shared" si="95"/>
        <v>N/A</v>
      </c>
    </row>
    <row r="3034" spans="12:13">
      <c r="L3034" s="20" t="str">
        <f t="shared" si="94"/>
        <v>N/A</v>
      </c>
      <c r="M3034" s="20" t="str">
        <f t="shared" si="95"/>
        <v>N/A</v>
      </c>
    </row>
    <row r="3035" spans="12:13">
      <c r="L3035" s="20" t="str">
        <f t="shared" si="94"/>
        <v>N/A</v>
      </c>
      <c r="M3035" s="20" t="str">
        <f t="shared" si="95"/>
        <v>N/A</v>
      </c>
    </row>
    <row r="3036" spans="12:13">
      <c r="L3036" s="20" t="str">
        <f t="shared" si="94"/>
        <v>N/A</v>
      </c>
      <c r="M3036" s="20" t="str">
        <f t="shared" si="95"/>
        <v>N/A</v>
      </c>
    </row>
    <row r="3037" spans="12:13">
      <c r="L3037" s="20" t="str">
        <f t="shared" si="94"/>
        <v>N/A</v>
      </c>
      <c r="M3037" s="20" t="str">
        <f t="shared" si="95"/>
        <v>N/A</v>
      </c>
    </row>
    <row r="3038" spans="12:13">
      <c r="L3038" s="20" t="str">
        <f t="shared" si="94"/>
        <v>N/A</v>
      </c>
      <c r="M3038" s="20" t="str">
        <f t="shared" si="95"/>
        <v>N/A</v>
      </c>
    </row>
    <row r="3039" spans="12:13">
      <c r="L3039" s="20" t="str">
        <f t="shared" si="94"/>
        <v>N/A</v>
      </c>
      <c r="M3039" s="20" t="str">
        <f t="shared" si="95"/>
        <v>N/A</v>
      </c>
    </row>
    <row r="3040" spans="12:13">
      <c r="L3040" s="20" t="str">
        <f t="shared" si="94"/>
        <v>N/A</v>
      </c>
      <c r="M3040" s="20" t="str">
        <f t="shared" si="95"/>
        <v>N/A</v>
      </c>
    </row>
    <row r="3041" spans="12:13">
      <c r="L3041" s="20" t="str">
        <f t="shared" si="94"/>
        <v>N/A</v>
      </c>
      <c r="M3041" s="20" t="str">
        <f t="shared" si="95"/>
        <v>N/A</v>
      </c>
    </row>
    <row r="3042" spans="12:13">
      <c r="L3042" s="20" t="str">
        <f t="shared" si="94"/>
        <v>N/A</v>
      </c>
      <c r="M3042" s="20" t="str">
        <f t="shared" si="95"/>
        <v>N/A</v>
      </c>
    </row>
    <row r="3043" spans="12:13">
      <c r="L3043" s="20" t="str">
        <f t="shared" si="94"/>
        <v>N/A</v>
      </c>
      <c r="M3043" s="20" t="str">
        <f t="shared" si="95"/>
        <v>N/A</v>
      </c>
    </row>
    <row r="3044" spans="12:13">
      <c r="L3044" s="20" t="str">
        <f t="shared" si="94"/>
        <v>N/A</v>
      </c>
      <c r="M3044" s="20" t="str">
        <f t="shared" si="95"/>
        <v>N/A</v>
      </c>
    </row>
    <row r="3045" spans="12:13">
      <c r="L3045" s="20" t="str">
        <f t="shared" si="94"/>
        <v>N/A</v>
      </c>
      <c r="M3045" s="20" t="str">
        <f t="shared" si="95"/>
        <v>N/A</v>
      </c>
    </row>
    <row r="3046" spans="12:13">
      <c r="L3046" s="20" t="str">
        <f t="shared" si="94"/>
        <v>N/A</v>
      </c>
      <c r="M3046" s="20" t="str">
        <f t="shared" si="95"/>
        <v>N/A</v>
      </c>
    </row>
    <row r="3047" spans="12:13">
      <c r="L3047" s="20" t="str">
        <f t="shared" si="94"/>
        <v>N/A</v>
      </c>
      <c r="M3047" s="20" t="str">
        <f t="shared" si="95"/>
        <v>N/A</v>
      </c>
    </row>
    <row r="3048" spans="12:13">
      <c r="L3048" s="20" t="str">
        <f t="shared" si="94"/>
        <v>N/A</v>
      </c>
      <c r="M3048" s="20" t="str">
        <f t="shared" si="95"/>
        <v>N/A</v>
      </c>
    </row>
    <row r="3049" spans="12:13">
      <c r="L3049" s="20" t="str">
        <f t="shared" si="94"/>
        <v>N/A</v>
      </c>
      <c r="M3049" s="20" t="str">
        <f t="shared" si="95"/>
        <v>N/A</v>
      </c>
    </row>
    <row r="3050" spans="12:13">
      <c r="L3050" s="20" t="str">
        <f t="shared" si="94"/>
        <v>N/A</v>
      </c>
      <c r="M3050" s="20" t="str">
        <f t="shared" si="95"/>
        <v>N/A</v>
      </c>
    </row>
    <row r="3051" spans="12:13">
      <c r="L3051" s="20" t="str">
        <f t="shared" si="94"/>
        <v>N/A</v>
      </c>
      <c r="M3051" s="20" t="str">
        <f t="shared" si="95"/>
        <v>N/A</v>
      </c>
    </row>
    <row r="3052" spans="12:13">
      <c r="L3052" s="20" t="str">
        <f t="shared" si="94"/>
        <v>N/A</v>
      </c>
      <c r="M3052" s="20" t="str">
        <f t="shared" si="95"/>
        <v>N/A</v>
      </c>
    </row>
    <row r="3053" spans="12:13">
      <c r="L3053" s="20" t="str">
        <f t="shared" si="94"/>
        <v>N/A</v>
      </c>
      <c r="M3053" s="20" t="str">
        <f t="shared" si="95"/>
        <v>N/A</v>
      </c>
    </row>
    <row r="3054" spans="12:13">
      <c r="L3054" s="20" t="str">
        <f t="shared" si="94"/>
        <v>N/A</v>
      </c>
      <c r="M3054" s="20" t="str">
        <f t="shared" si="95"/>
        <v>N/A</v>
      </c>
    </row>
    <row r="3055" spans="12:13">
      <c r="L3055" s="20" t="str">
        <f t="shared" si="94"/>
        <v>N/A</v>
      </c>
      <c r="M3055" s="20" t="str">
        <f t="shared" si="95"/>
        <v>N/A</v>
      </c>
    </row>
    <row r="3056" spans="12:13">
      <c r="L3056" s="20" t="str">
        <f t="shared" si="94"/>
        <v>N/A</v>
      </c>
      <c r="M3056" s="20" t="str">
        <f t="shared" si="95"/>
        <v>N/A</v>
      </c>
    </row>
    <row r="3057" spans="12:13">
      <c r="L3057" s="20" t="str">
        <f t="shared" si="94"/>
        <v>N/A</v>
      </c>
      <c r="M3057" s="20" t="str">
        <f t="shared" si="95"/>
        <v>N/A</v>
      </c>
    </row>
    <row r="3058" spans="12:13">
      <c r="L3058" s="20" t="str">
        <f t="shared" si="94"/>
        <v>N/A</v>
      </c>
      <c r="M3058" s="20" t="str">
        <f t="shared" si="95"/>
        <v>N/A</v>
      </c>
    </row>
    <row r="3059" spans="12:13">
      <c r="L3059" s="20" t="str">
        <f t="shared" si="94"/>
        <v>N/A</v>
      </c>
      <c r="M3059" s="20" t="str">
        <f t="shared" si="95"/>
        <v>N/A</v>
      </c>
    </row>
    <row r="3060" spans="12:13">
      <c r="L3060" s="20" t="str">
        <f t="shared" si="94"/>
        <v>N/A</v>
      </c>
      <c r="M3060" s="20" t="str">
        <f t="shared" si="95"/>
        <v>N/A</v>
      </c>
    </row>
    <row r="3061" spans="12:13">
      <c r="L3061" s="20" t="str">
        <f t="shared" si="94"/>
        <v>N/A</v>
      </c>
      <c r="M3061" s="20" t="str">
        <f t="shared" si="95"/>
        <v>N/A</v>
      </c>
    </row>
    <row r="3062" spans="12:13">
      <c r="L3062" s="20" t="str">
        <f t="shared" si="94"/>
        <v>N/A</v>
      </c>
      <c r="M3062" s="20" t="str">
        <f t="shared" si="95"/>
        <v>N/A</v>
      </c>
    </row>
    <row r="3063" spans="12:13">
      <c r="L3063" s="20" t="str">
        <f t="shared" si="94"/>
        <v>N/A</v>
      </c>
      <c r="M3063" s="20" t="str">
        <f t="shared" si="95"/>
        <v>N/A</v>
      </c>
    </row>
    <row r="3064" spans="12:13">
      <c r="L3064" s="20" t="str">
        <f t="shared" si="94"/>
        <v>N/A</v>
      </c>
      <c r="M3064" s="20" t="str">
        <f t="shared" si="95"/>
        <v>N/A</v>
      </c>
    </row>
    <row r="3065" spans="12:13">
      <c r="L3065" s="20" t="str">
        <f t="shared" si="94"/>
        <v>N/A</v>
      </c>
      <c r="M3065" s="20" t="str">
        <f t="shared" si="95"/>
        <v>N/A</v>
      </c>
    </row>
    <row r="3066" spans="12:13">
      <c r="L3066" s="20" t="str">
        <f t="shared" si="94"/>
        <v>N/A</v>
      </c>
      <c r="M3066" s="20" t="str">
        <f t="shared" si="95"/>
        <v>N/A</v>
      </c>
    </row>
    <row r="3067" spans="12:13">
      <c r="L3067" s="20" t="str">
        <f t="shared" si="94"/>
        <v>N/A</v>
      </c>
      <c r="M3067" s="20" t="str">
        <f t="shared" si="95"/>
        <v>N/A</v>
      </c>
    </row>
    <row r="3068" spans="12:13">
      <c r="L3068" s="20" t="str">
        <f t="shared" si="94"/>
        <v>N/A</v>
      </c>
      <c r="M3068" s="20" t="str">
        <f t="shared" si="95"/>
        <v>N/A</v>
      </c>
    </row>
    <row r="3069" spans="12:13">
      <c r="L3069" s="20" t="str">
        <f t="shared" si="94"/>
        <v>N/A</v>
      </c>
      <c r="M3069" s="20" t="str">
        <f t="shared" si="95"/>
        <v>N/A</v>
      </c>
    </row>
    <row r="3070" spans="12:13">
      <c r="L3070" s="20" t="str">
        <f t="shared" si="94"/>
        <v>N/A</v>
      </c>
      <c r="M3070" s="20" t="str">
        <f t="shared" si="95"/>
        <v>N/A</v>
      </c>
    </row>
    <row r="3071" spans="12:13">
      <c r="L3071" s="20" t="str">
        <f t="shared" si="94"/>
        <v>N/A</v>
      </c>
      <c r="M3071" s="20" t="str">
        <f t="shared" si="95"/>
        <v>N/A</v>
      </c>
    </row>
    <row r="3072" spans="12:13">
      <c r="L3072" s="20" t="str">
        <f t="shared" si="94"/>
        <v>N/A</v>
      </c>
      <c r="M3072" s="20" t="str">
        <f t="shared" si="95"/>
        <v>N/A</v>
      </c>
    </row>
    <row r="3073" spans="12:13">
      <c r="L3073" s="20" t="str">
        <f t="shared" si="94"/>
        <v>N/A</v>
      </c>
      <c r="M3073" s="20" t="str">
        <f t="shared" si="95"/>
        <v>N/A</v>
      </c>
    </row>
    <row r="3074" spans="12:13">
      <c r="L3074" s="20" t="str">
        <f t="shared" si="94"/>
        <v>N/A</v>
      </c>
      <c r="M3074" s="20" t="str">
        <f t="shared" si="95"/>
        <v>N/A</v>
      </c>
    </row>
    <row r="3075" spans="12:13">
      <c r="L3075" s="20" t="str">
        <f t="shared" ref="L3075:L3138" si="96">+IF(LEFT(D3075,1)="1","Asset","N/A")</f>
        <v>N/A</v>
      </c>
      <c r="M3075" s="20" t="str">
        <f t="shared" ref="M3075:M3138" si="97">+IF(L3075="asset",IF(H3075&lt;0,"Provide Comment","okay"),"N/A")</f>
        <v>N/A</v>
      </c>
    </row>
    <row r="3076" spans="12:13">
      <c r="L3076" s="20" t="str">
        <f t="shared" si="96"/>
        <v>N/A</v>
      </c>
      <c r="M3076" s="20" t="str">
        <f t="shared" si="97"/>
        <v>N/A</v>
      </c>
    </row>
    <row r="3077" spans="12:13">
      <c r="L3077" s="20" t="str">
        <f t="shared" si="96"/>
        <v>N/A</v>
      </c>
      <c r="M3077" s="20" t="str">
        <f t="shared" si="97"/>
        <v>N/A</v>
      </c>
    </row>
    <row r="3078" spans="12:13">
      <c r="L3078" s="20" t="str">
        <f t="shared" si="96"/>
        <v>N/A</v>
      </c>
      <c r="M3078" s="20" t="str">
        <f t="shared" si="97"/>
        <v>N/A</v>
      </c>
    </row>
    <row r="3079" spans="12:13">
      <c r="L3079" s="20" t="str">
        <f t="shared" si="96"/>
        <v>N/A</v>
      </c>
      <c r="M3079" s="20" t="str">
        <f t="shared" si="97"/>
        <v>N/A</v>
      </c>
    </row>
    <row r="3080" spans="12:13">
      <c r="L3080" s="20" t="str">
        <f t="shared" si="96"/>
        <v>N/A</v>
      </c>
      <c r="M3080" s="20" t="str">
        <f t="shared" si="97"/>
        <v>N/A</v>
      </c>
    </row>
    <row r="3081" spans="12:13">
      <c r="L3081" s="20" t="str">
        <f t="shared" si="96"/>
        <v>N/A</v>
      </c>
      <c r="M3081" s="20" t="str">
        <f t="shared" si="97"/>
        <v>N/A</v>
      </c>
    </row>
    <row r="3082" spans="12:13">
      <c r="L3082" s="20" t="str">
        <f t="shared" si="96"/>
        <v>N/A</v>
      </c>
      <c r="M3082" s="20" t="str">
        <f t="shared" si="97"/>
        <v>N/A</v>
      </c>
    </row>
    <row r="3083" spans="12:13">
      <c r="L3083" s="20" t="str">
        <f t="shared" si="96"/>
        <v>N/A</v>
      </c>
      <c r="M3083" s="20" t="str">
        <f t="shared" si="97"/>
        <v>N/A</v>
      </c>
    </row>
    <row r="3084" spans="12:13">
      <c r="L3084" s="20" t="str">
        <f t="shared" si="96"/>
        <v>N/A</v>
      </c>
      <c r="M3084" s="20" t="str">
        <f t="shared" si="97"/>
        <v>N/A</v>
      </c>
    </row>
    <row r="3085" spans="12:13">
      <c r="L3085" s="20" t="str">
        <f t="shared" si="96"/>
        <v>N/A</v>
      </c>
      <c r="M3085" s="20" t="str">
        <f t="shared" si="97"/>
        <v>N/A</v>
      </c>
    </row>
    <row r="3086" spans="12:13">
      <c r="L3086" s="20" t="str">
        <f t="shared" si="96"/>
        <v>N/A</v>
      </c>
      <c r="M3086" s="20" t="str">
        <f t="shared" si="97"/>
        <v>N/A</v>
      </c>
    </row>
    <row r="3087" spans="12:13">
      <c r="L3087" s="20" t="str">
        <f t="shared" si="96"/>
        <v>N/A</v>
      </c>
      <c r="M3087" s="20" t="str">
        <f t="shared" si="97"/>
        <v>N/A</v>
      </c>
    </row>
    <row r="3088" spans="12:13">
      <c r="L3088" s="20" t="str">
        <f t="shared" si="96"/>
        <v>N/A</v>
      </c>
      <c r="M3088" s="20" t="str">
        <f t="shared" si="97"/>
        <v>N/A</v>
      </c>
    </row>
    <row r="3089" spans="12:13">
      <c r="L3089" s="20" t="str">
        <f t="shared" si="96"/>
        <v>N/A</v>
      </c>
      <c r="M3089" s="20" t="str">
        <f t="shared" si="97"/>
        <v>N/A</v>
      </c>
    </row>
    <row r="3090" spans="12:13">
      <c r="L3090" s="20" t="str">
        <f t="shared" si="96"/>
        <v>N/A</v>
      </c>
      <c r="M3090" s="20" t="str">
        <f t="shared" si="97"/>
        <v>N/A</v>
      </c>
    </row>
    <row r="3091" spans="12:13">
      <c r="L3091" s="20" t="str">
        <f t="shared" si="96"/>
        <v>N/A</v>
      </c>
      <c r="M3091" s="20" t="str">
        <f t="shared" si="97"/>
        <v>N/A</v>
      </c>
    </row>
    <row r="3092" spans="12:13">
      <c r="L3092" s="20" t="str">
        <f t="shared" si="96"/>
        <v>N/A</v>
      </c>
      <c r="M3092" s="20" t="str">
        <f t="shared" si="97"/>
        <v>N/A</v>
      </c>
    </row>
    <row r="3093" spans="12:13">
      <c r="L3093" s="20" t="str">
        <f t="shared" si="96"/>
        <v>N/A</v>
      </c>
      <c r="M3093" s="20" t="str">
        <f t="shared" si="97"/>
        <v>N/A</v>
      </c>
    </row>
    <row r="3094" spans="12:13">
      <c r="L3094" s="20" t="str">
        <f t="shared" si="96"/>
        <v>N/A</v>
      </c>
      <c r="M3094" s="20" t="str">
        <f t="shared" si="97"/>
        <v>N/A</v>
      </c>
    </row>
    <row r="3095" spans="12:13">
      <c r="L3095" s="20" t="str">
        <f t="shared" si="96"/>
        <v>N/A</v>
      </c>
      <c r="M3095" s="20" t="str">
        <f t="shared" si="97"/>
        <v>N/A</v>
      </c>
    </row>
    <row r="3096" spans="12:13">
      <c r="L3096" s="20" t="str">
        <f t="shared" si="96"/>
        <v>N/A</v>
      </c>
      <c r="M3096" s="20" t="str">
        <f t="shared" si="97"/>
        <v>N/A</v>
      </c>
    </row>
    <row r="3097" spans="12:13">
      <c r="L3097" s="20" t="str">
        <f t="shared" si="96"/>
        <v>N/A</v>
      </c>
      <c r="M3097" s="20" t="str">
        <f t="shared" si="97"/>
        <v>N/A</v>
      </c>
    </row>
    <row r="3098" spans="12:13">
      <c r="L3098" s="20" t="str">
        <f t="shared" si="96"/>
        <v>N/A</v>
      </c>
      <c r="M3098" s="20" t="str">
        <f t="shared" si="97"/>
        <v>N/A</v>
      </c>
    </row>
    <row r="3099" spans="12:13">
      <c r="L3099" s="20" t="str">
        <f t="shared" si="96"/>
        <v>N/A</v>
      </c>
      <c r="M3099" s="20" t="str">
        <f t="shared" si="97"/>
        <v>N/A</v>
      </c>
    </row>
    <row r="3100" spans="12:13">
      <c r="L3100" s="20" t="str">
        <f t="shared" si="96"/>
        <v>N/A</v>
      </c>
      <c r="M3100" s="20" t="str">
        <f t="shared" si="97"/>
        <v>N/A</v>
      </c>
    </row>
    <row r="3101" spans="12:13">
      <c r="L3101" s="20" t="str">
        <f t="shared" si="96"/>
        <v>N/A</v>
      </c>
      <c r="M3101" s="20" t="str">
        <f t="shared" si="97"/>
        <v>N/A</v>
      </c>
    </row>
    <row r="3102" spans="12:13">
      <c r="L3102" s="20" t="str">
        <f t="shared" si="96"/>
        <v>N/A</v>
      </c>
      <c r="M3102" s="20" t="str">
        <f t="shared" si="97"/>
        <v>N/A</v>
      </c>
    </row>
    <row r="3103" spans="12:13">
      <c r="L3103" s="20" t="str">
        <f t="shared" si="96"/>
        <v>N/A</v>
      </c>
      <c r="M3103" s="20" t="str">
        <f t="shared" si="97"/>
        <v>N/A</v>
      </c>
    </row>
    <row r="3104" spans="12:13">
      <c r="L3104" s="20" t="str">
        <f t="shared" si="96"/>
        <v>N/A</v>
      </c>
      <c r="M3104" s="20" t="str">
        <f t="shared" si="97"/>
        <v>N/A</v>
      </c>
    </row>
    <row r="3105" spans="12:13">
      <c r="L3105" s="20" t="str">
        <f t="shared" si="96"/>
        <v>N/A</v>
      </c>
      <c r="M3105" s="20" t="str">
        <f t="shared" si="97"/>
        <v>N/A</v>
      </c>
    </row>
    <row r="3106" spans="12:13">
      <c r="L3106" s="20" t="str">
        <f t="shared" si="96"/>
        <v>N/A</v>
      </c>
      <c r="M3106" s="20" t="str">
        <f t="shared" si="97"/>
        <v>N/A</v>
      </c>
    </row>
    <row r="3107" spans="12:13">
      <c r="L3107" s="20" t="str">
        <f t="shared" si="96"/>
        <v>N/A</v>
      </c>
      <c r="M3107" s="20" t="str">
        <f t="shared" si="97"/>
        <v>N/A</v>
      </c>
    </row>
    <row r="3108" spans="12:13">
      <c r="L3108" s="20" t="str">
        <f t="shared" si="96"/>
        <v>N/A</v>
      </c>
      <c r="M3108" s="20" t="str">
        <f t="shared" si="97"/>
        <v>N/A</v>
      </c>
    </row>
    <row r="3109" spans="12:13">
      <c r="L3109" s="20" t="str">
        <f t="shared" si="96"/>
        <v>N/A</v>
      </c>
      <c r="M3109" s="20" t="str">
        <f t="shared" si="97"/>
        <v>N/A</v>
      </c>
    </row>
    <row r="3110" spans="12:13">
      <c r="L3110" s="20" t="str">
        <f t="shared" si="96"/>
        <v>N/A</v>
      </c>
      <c r="M3110" s="20" t="str">
        <f t="shared" si="97"/>
        <v>N/A</v>
      </c>
    </row>
    <row r="3111" spans="12:13">
      <c r="L3111" s="20" t="str">
        <f t="shared" si="96"/>
        <v>N/A</v>
      </c>
      <c r="M3111" s="20" t="str">
        <f t="shared" si="97"/>
        <v>N/A</v>
      </c>
    </row>
    <row r="3112" spans="12:13">
      <c r="L3112" s="20" t="str">
        <f t="shared" si="96"/>
        <v>N/A</v>
      </c>
      <c r="M3112" s="20" t="str">
        <f t="shared" si="97"/>
        <v>N/A</v>
      </c>
    </row>
    <row r="3113" spans="12:13">
      <c r="L3113" s="20" t="str">
        <f t="shared" si="96"/>
        <v>N/A</v>
      </c>
      <c r="M3113" s="20" t="str">
        <f t="shared" si="97"/>
        <v>N/A</v>
      </c>
    </row>
    <row r="3114" spans="12:13">
      <c r="L3114" s="20" t="str">
        <f t="shared" si="96"/>
        <v>N/A</v>
      </c>
      <c r="M3114" s="20" t="str">
        <f t="shared" si="97"/>
        <v>N/A</v>
      </c>
    </row>
    <row r="3115" spans="12:13">
      <c r="L3115" s="20" t="str">
        <f t="shared" si="96"/>
        <v>N/A</v>
      </c>
      <c r="M3115" s="20" t="str">
        <f t="shared" si="97"/>
        <v>N/A</v>
      </c>
    </row>
    <row r="3116" spans="12:13">
      <c r="L3116" s="20" t="str">
        <f t="shared" si="96"/>
        <v>N/A</v>
      </c>
      <c r="M3116" s="20" t="str">
        <f t="shared" si="97"/>
        <v>N/A</v>
      </c>
    </row>
    <row r="3117" spans="12:13">
      <c r="L3117" s="20" t="str">
        <f t="shared" si="96"/>
        <v>N/A</v>
      </c>
      <c r="M3117" s="20" t="str">
        <f t="shared" si="97"/>
        <v>N/A</v>
      </c>
    </row>
    <row r="3118" spans="12:13">
      <c r="L3118" s="20" t="str">
        <f t="shared" si="96"/>
        <v>N/A</v>
      </c>
      <c r="M3118" s="20" t="str">
        <f t="shared" si="97"/>
        <v>N/A</v>
      </c>
    </row>
    <row r="3119" spans="12:13">
      <c r="L3119" s="20" t="str">
        <f t="shared" si="96"/>
        <v>N/A</v>
      </c>
      <c r="M3119" s="20" t="str">
        <f t="shared" si="97"/>
        <v>N/A</v>
      </c>
    </row>
    <row r="3120" spans="12:13">
      <c r="L3120" s="20" t="str">
        <f t="shared" si="96"/>
        <v>N/A</v>
      </c>
      <c r="M3120" s="20" t="str">
        <f t="shared" si="97"/>
        <v>N/A</v>
      </c>
    </row>
    <row r="3121" spans="12:13">
      <c r="L3121" s="20" t="str">
        <f t="shared" si="96"/>
        <v>N/A</v>
      </c>
      <c r="M3121" s="20" t="str">
        <f t="shared" si="97"/>
        <v>N/A</v>
      </c>
    </row>
    <row r="3122" spans="12:13">
      <c r="L3122" s="20" t="str">
        <f t="shared" si="96"/>
        <v>N/A</v>
      </c>
      <c r="M3122" s="20" t="str">
        <f t="shared" si="97"/>
        <v>N/A</v>
      </c>
    </row>
    <row r="3123" spans="12:13">
      <c r="L3123" s="20" t="str">
        <f t="shared" si="96"/>
        <v>N/A</v>
      </c>
      <c r="M3123" s="20" t="str">
        <f t="shared" si="97"/>
        <v>N/A</v>
      </c>
    </row>
    <row r="3124" spans="12:13">
      <c r="L3124" s="20" t="str">
        <f t="shared" si="96"/>
        <v>N/A</v>
      </c>
      <c r="M3124" s="20" t="str">
        <f t="shared" si="97"/>
        <v>N/A</v>
      </c>
    </row>
    <row r="3125" spans="12:13">
      <c r="L3125" s="20" t="str">
        <f t="shared" si="96"/>
        <v>N/A</v>
      </c>
      <c r="M3125" s="20" t="str">
        <f t="shared" si="97"/>
        <v>N/A</v>
      </c>
    </row>
    <row r="3126" spans="12:13">
      <c r="L3126" s="20" t="str">
        <f t="shared" si="96"/>
        <v>N/A</v>
      </c>
      <c r="M3126" s="20" t="str">
        <f t="shared" si="97"/>
        <v>N/A</v>
      </c>
    </row>
    <row r="3127" spans="12:13">
      <c r="L3127" s="20" t="str">
        <f t="shared" si="96"/>
        <v>N/A</v>
      </c>
      <c r="M3127" s="20" t="str">
        <f t="shared" si="97"/>
        <v>N/A</v>
      </c>
    </row>
    <row r="3128" spans="12:13">
      <c r="L3128" s="20" t="str">
        <f t="shared" si="96"/>
        <v>N/A</v>
      </c>
      <c r="M3128" s="20" t="str">
        <f t="shared" si="97"/>
        <v>N/A</v>
      </c>
    </row>
    <row r="3129" spans="12:13">
      <c r="L3129" s="20" t="str">
        <f t="shared" si="96"/>
        <v>N/A</v>
      </c>
      <c r="M3129" s="20" t="str">
        <f t="shared" si="97"/>
        <v>N/A</v>
      </c>
    </row>
    <row r="3130" spans="12:13">
      <c r="L3130" s="20" t="str">
        <f t="shared" si="96"/>
        <v>N/A</v>
      </c>
      <c r="M3130" s="20" t="str">
        <f t="shared" si="97"/>
        <v>N/A</v>
      </c>
    </row>
    <row r="3131" spans="12:13">
      <c r="L3131" s="20" t="str">
        <f t="shared" si="96"/>
        <v>N/A</v>
      </c>
      <c r="M3131" s="20" t="str">
        <f t="shared" si="97"/>
        <v>N/A</v>
      </c>
    </row>
    <row r="3132" spans="12:13">
      <c r="L3132" s="20" t="str">
        <f t="shared" si="96"/>
        <v>N/A</v>
      </c>
      <c r="M3132" s="20" t="str">
        <f t="shared" si="97"/>
        <v>N/A</v>
      </c>
    </row>
    <row r="3133" spans="12:13">
      <c r="L3133" s="20" t="str">
        <f t="shared" si="96"/>
        <v>N/A</v>
      </c>
      <c r="M3133" s="20" t="str">
        <f t="shared" si="97"/>
        <v>N/A</v>
      </c>
    </row>
    <row r="3134" spans="12:13">
      <c r="L3134" s="20" t="str">
        <f t="shared" si="96"/>
        <v>N/A</v>
      </c>
      <c r="M3134" s="20" t="str">
        <f t="shared" si="97"/>
        <v>N/A</v>
      </c>
    </row>
    <row r="3135" spans="12:13">
      <c r="L3135" s="20" t="str">
        <f t="shared" si="96"/>
        <v>N/A</v>
      </c>
      <c r="M3135" s="20" t="str">
        <f t="shared" si="97"/>
        <v>N/A</v>
      </c>
    </row>
    <row r="3136" spans="12:13">
      <c r="L3136" s="20" t="str">
        <f t="shared" si="96"/>
        <v>N/A</v>
      </c>
      <c r="M3136" s="20" t="str">
        <f t="shared" si="97"/>
        <v>N/A</v>
      </c>
    </row>
    <row r="3137" spans="12:13">
      <c r="L3137" s="20" t="str">
        <f t="shared" si="96"/>
        <v>N/A</v>
      </c>
      <c r="M3137" s="20" t="str">
        <f t="shared" si="97"/>
        <v>N/A</v>
      </c>
    </row>
    <row r="3138" spans="12:13">
      <c r="L3138" s="20" t="str">
        <f t="shared" si="96"/>
        <v>N/A</v>
      </c>
      <c r="M3138" s="20" t="str">
        <f t="shared" si="97"/>
        <v>N/A</v>
      </c>
    </row>
    <row r="3139" spans="12:13">
      <c r="L3139" s="20" t="str">
        <f t="shared" ref="L3139:L3202" si="98">+IF(LEFT(D3139,1)="1","Asset","N/A")</f>
        <v>N/A</v>
      </c>
      <c r="M3139" s="20" t="str">
        <f t="shared" ref="M3139:M3202" si="99">+IF(L3139="asset",IF(H3139&lt;0,"Provide Comment","okay"),"N/A")</f>
        <v>N/A</v>
      </c>
    </row>
    <row r="3140" spans="12:13">
      <c r="L3140" s="20" t="str">
        <f t="shared" si="98"/>
        <v>N/A</v>
      </c>
      <c r="M3140" s="20" t="str">
        <f t="shared" si="99"/>
        <v>N/A</v>
      </c>
    </row>
    <row r="3141" spans="12:13">
      <c r="L3141" s="20" t="str">
        <f t="shared" si="98"/>
        <v>N/A</v>
      </c>
      <c r="M3141" s="20" t="str">
        <f t="shared" si="99"/>
        <v>N/A</v>
      </c>
    </row>
    <row r="3142" spans="12:13">
      <c r="L3142" s="20" t="str">
        <f t="shared" si="98"/>
        <v>N/A</v>
      </c>
      <c r="M3142" s="20" t="str">
        <f t="shared" si="99"/>
        <v>N/A</v>
      </c>
    </row>
    <row r="3143" spans="12:13">
      <c r="L3143" s="20" t="str">
        <f t="shared" si="98"/>
        <v>N/A</v>
      </c>
      <c r="M3143" s="20" t="str">
        <f t="shared" si="99"/>
        <v>N/A</v>
      </c>
    </row>
    <row r="3144" spans="12:13">
      <c r="L3144" s="20" t="str">
        <f t="shared" si="98"/>
        <v>N/A</v>
      </c>
      <c r="M3144" s="20" t="str">
        <f t="shared" si="99"/>
        <v>N/A</v>
      </c>
    </row>
    <row r="3145" spans="12:13">
      <c r="L3145" s="20" t="str">
        <f t="shared" si="98"/>
        <v>N/A</v>
      </c>
      <c r="M3145" s="20" t="str">
        <f t="shared" si="99"/>
        <v>N/A</v>
      </c>
    </row>
    <row r="3146" spans="12:13">
      <c r="L3146" s="20" t="str">
        <f t="shared" si="98"/>
        <v>N/A</v>
      </c>
      <c r="M3146" s="20" t="str">
        <f t="shared" si="99"/>
        <v>N/A</v>
      </c>
    </row>
    <row r="3147" spans="12:13">
      <c r="L3147" s="20" t="str">
        <f t="shared" si="98"/>
        <v>N/A</v>
      </c>
      <c r="M3147" s="20" t="str">
        <f t="shared" si="99"/>
        <v>N/A</v>
      </c>
    </row>
    <row r="3148" spans="12:13">
      <c r="L3148" s="20" t="str">
        <f t="shared" si="98"/>
        <v>N/A</v>
      </c>
      <c r="M3148" s="20" t="str">
        <f t="shared" si="99"/>
        <v>N/A</v>
      </c>
    </row>
    <row r="3149" spans="12:13">
      <c r="L3149" s="20" t="str">
        <f t="shared" si="98"/>
        <v>N/A</v>
      </c>
      <c r="M3149" s="20" t="str">
        <f t="shared" si="99"/>
        <v>N/A</v>
      </c>
    </row>
    <row r="3150" spans="12:13">
      <c r="L3150" s="20" t="str">
        <f t="shared" si="98"/>
        <v>N/A</v>
      </c>
      <c r="M3150" s="20" t="str">
        <f t="shared" si="99"/>
        <v>N/A</v>
      </c>
    </row>
    <row r="3151" spans="12:13">
      <c r="L3151" s="20" t="str">
        <f t="shared" si="98"/>
        <v>N/A</v>
      </c>
      <c r="M3151" s="20" t="str">
        <f t="shared" si="99"/>
        <v>N/A</v>
      </c>
    </row>
    <row r="3152" spans="12:13">
      <c r="L3152" s="20" t="str">
        <f t="shared" si="98"/>
        <v>N/A</v>
      </c>
      <c r="M3152" s="20" t="str">
        <f t="shared" si="99"/>
        <v>N/A</v>
      </c>
    </row>
    <row r="3153" spans="12:13">
      <c r="L3153" s="20" t="str">
        <f t="shared" si="98"/>
        <v>N/A</v>
      </c>
      <c r="M3153" s="20" t="str">
        <f t="shared" si="99"/>
        <v>N/A</v>
      </c>
    </row>
    <row r="3154" spans="12:13">
      <c r="L3154" s="20" t="str">
        <f t="shared" si="98"/>
        <v>N/A</v>
      </c>
      <c r="M3154" s="20" t="str">
        <f t="shared" si="99"/>
        <v>N/A</v>
      </c>
    </row>
    <row r="3155" spans="12:13">
      <c r="L3155" s="20" t="str">
        <f t="shared" si="98"/>
        <v>N/A</v>
      </c>
      <c r="M3155" s="20" t="str">
        <f t="shared" si="99"/>
        <v>N/A</v>
      </c>
    </row>
    <row r="3156" spans="12:13">
      <c r="L3156" s="20" t="str">
        <f t="shared" si="98"/>
        <v>N/A</v>
      </c>
      <c r="M3156" s="20" t="str">
        <f t="shared" si="99"/>
        <v>N/A</v>
      </c>
    </row>
    <row r="3157" spans="12:13">
      <c r="L3157" s="20" t="str">
        <f t="shared" si="98"/>
        <v>N/A</v>
      </c>
      <c r="M3157" s="20" t="str">
        <f t="shared" si="99"/>
        <v>N/A</v>
      </c>
    </row>
    <row r="3158" spans="12:13">
      <c r="L3158" s="20" t="str">
        <f t="shared" si="98"/>
        <v>N/A</v>
      </c>
      <c r="M3158" s="20" t="str">
        <f t="shared" si="99"/>
        <v>N/A</v>
      </c>
    </row>
    <row r="3159" spans="12:13">
      <c r="L3159" s="20" t="str">
        <f t="shared" si="98"/>
        <v>N/A</v>
      </c>
      <c r="M3159" s="20" t="str">
        <f t="shared" si="99"/>
        <v>N/A</v>
      </c>
    </row>
    <row r="3160" spans="12:13">
      <c r="L3160" s="20" t="str">
        <f t="shared" si="98"/>
        <v>N/A</v>
      </c>
      <c r="M3160" s="20" t="str">
        <f t="shared" si="99"/>
        <v>N/A</v>
      </c>
    </row>
    <row r="3161" spans="12:13">
      <c r="L3161" s="20" t="str">
        <f t="shared" si="98"/>
        <v>N/A</v>
      </c>
      <c r="M3161" s="20" t="str">
        <f t="shared" si="99"/>
        <v>N/A</v>
      </c>
    </row>
    <row r="3162" spans="12:13">
      <c r="L3162" s="20" t="str">
        <f t="shared" si="98"/>
        <v>N/A</v>
      </c>
      <c r="M3162" s="20" t="str">
        <f t="shared" si="99"/>
        <v>N/A</v>
      </c>
    </row>
    <row r="3163" spans="12:13">
      <c r="L3163" s="20" t="str">
        <f t="shared" si="98"/>
        <v>N/A</v>
      </c>
      <c r="M3163" s="20" t="str">
        <f t="shared" si="99"/>
        <v>N/A</v>
      </c>
    </row>
    <row r="3164" spans="12:13">
      <c r="L3164" s="20" t="str">
        <f t="shared" si="98"/>
        <v>N/A</v>
      </c>
      <c r="M3164" s="20" t="str">
        <f t="shared" si="99"/>
        <v>N/A</v>
      </c>
    </row>
    <row r="3165" spans="12:13">
      <c r="L3165" s="20" t="str">
        <f t="shared" si="98"/>
        <v>N/A</v>
      </c>
      <c r="M3165" s="20" t="str">
        <f t="shared" si="99"/>
        <v>N/A</v>
      </c>
    </row>
    <row r="3166" spans="12:13">
      <c r="L3166" s="20" t="str">
        <f t="shared" si="98"/>
        <v>N/A</v>
      </c>
      <c r="M3166" s="20" t="str">
        <f t="shared" si="99"/>
        <v>N/A</v>
      </c>
    </row>
    <row r="3167" spans="12:13">
      <c r="L3167" s="20" t="str">
        <f t="shared" si="98"/>
        <v>N/A</v>
      </c>
      <c r="M3167" s="20" t="str">
        <f t="shared" si="99"/>
        <v>N/A</v>
      </c>
    </row>
    <row r="3168" spans="12:13">
      <c r="L3168" s="20" t="str">
        <f t="shared" si="98"/>
        <v>N/A</v>
      </c>
      <c r="M3168" s="20" t="str">
        <f t="shared" si="99"/>
        <v>N/A</v>
      </c>
    </row>
    <row r="3169" spans="12:13">
      <c r="L3169" s="20" t="str">
        <f t="shared" si="98"/>
        <v>N/A</v>
      </c>
      <c r="M3169" s="20" t="str">
        <f t="shared" si="99"/>
        <v>N/A</v>
      </c>
    </row>
    <row r="3170" spans="12:13">
      <c r="L3170" s="20" t="str">
        <f t="shared" si="98"/>
        <v>N/A</v>
      </c>
      <c r="M3170" s="20" t="str">
        <f t="shared" si="99"/>
        <v>N/A</v>
      </c>
    </row>
    <row r="3171" spans="12:13">
      <c r="L3171" s="20" t="str">
        <f t="shared" si="98"/>
        <v>N/A</v>
      </c>
      <c r="M3171" s="20" t="str">
        <f t="shared" si="99"/>
        <v>N/A</v>
      </c>
    </row>
    <row r="3172" spans="12:13">
      <c r="L3172" s="20" t="str">
        <f t="shared" si="98"/>
        <v>N/A</v>
      </c>
      <c r="M3172" s="20" t="str">
        <f t="shared" si="99"/>
        <v>N/A</v>
      </c>
    </row>
    <row r="3173" spans="12:13">
      <c r="L3173" s="20" t="str">
        <f t="shared" si="98"/>
        <v>N/A</v>
      </c>
      <c r="M3173" s="20" t="str">
        <f t="shared" si="99"/>
        <v>N/A</v>
      </c>
    </row>
    <row r="3174" spans="12:13">
      <c r="L3174" s="20" t="str">
        <f t="shared" si="98"/>
        <v>N/A</v>
      </c>
      <c r="M3174" s="20" t="str">
        <f t="shared" si="99"/>
        <v>N/A</v>
      </c>
    </row>
    <row r="3175" spans="12:13">
      <c r="L3175" s="20" t="str">
        <f t="shared" si="98"/>
        <v>N/A</v>
      </c>
      <c r="M3175" s="20" t="str">
        <f t="shared" si="99"/>
        <v>N/A</v>
      </c>
    </row>
    <row r="3176" spans="12:13">
      <c r="L3176" s="20" t="str">
        <f t="shared" si="98"/>
        <v>N/A</v>
      </c>
      <c r="M3176" s="20" t="str">
        <f t="shared" si="99"/>
        <v>N/A</v>
      </c>
    </row>
    <row r="3177" spans="12:13">
      <c r="L3177" s="20" t="str">
        <f t="shared" si="98"/>
        <v>N/A</v>
      </c>
      <c r="M3177" s="20" t="str">
        <f t="shared" si="99"/>
        <v>N/A</v>
      </c>
    </row>
    <row r="3178" spans="12:13">
      <c r="L3178" s="20" t="str">
        <f t="shared" si="98"/>
        <v>N/A</v>
      </c>
      <c r="M3178" s="20" t="str">
        <f t="shared" si="99"/>
        <v>N/A</v>
      </c>
    </row>
    <row r="3179" spans="12:13">
      <c r="L3179" s="20" t="str">
        <f t="shared" si="98"/>
        <v>N/A</v>
      </c>
      <c r="M3179" s="20" t="str">
        <f t="shared" si="99"/>
        <v>N/A</v>
      </c>
    </row>
    <row r="3180" spans="12:13">
      <c r="L3180" s="20" t="str">
        <f t="shared" si="98"/>
        <v>N/A</v>
      </c>
      <c r="M3180" s="20" t="str">
        <f t="shared" si="99"/>
        <v>N/A</v>
      </c>
    </row>
    <row r="3181" spans="12:13">
      <c r="L3181" s="20" t="str">
        <f t="shared" si="98"/>
        <v>N/A</v>
      </c>
      <c r="M3181" s="20" t="str">
        <f t="shared" si="99"/>
        <v>N/A</v>
      </c>
    </row>
    <row r="3182" spans="12:13">
      <c r="L3182" s="20" t="str">
        <f t="shared" si="98"/>
        <v>N/A</v>
      </c>
      <c r="M3182" s="20" t="str">
        <f t="shared" si="99"/>
        <v>N/A</v>
      </c>
    </row>
    <row r="3183" spans="12:13">
      <c r="L3183" s="20" t="str">
        <f t="shared" si="98"/>
        <v>N/A</v>
      </c>
      <c r="M3183" s="20" t="str">
        <f t="shared" si="99"/>
        <v>N/A</v>
      </c>
    </row>
    <row r="3184" spans="12:13">
      <c r="L3184" s="20" t="str">
        <f t="shared" si="98"/>
        <v>N/A</v>
      </c>
      <c r="M3184" s="20" t="str">
        <f t="shared" si="99"/>
        <v>N/A</v>
      </c>
    </row>
    <row r="3185" spans="12:13">
      <c r="L3185" s="20" t="str">
        <f t="shared" si="98"/>
        <v>N/A</v>
      </c>
      <c r="M3185" s="20" t="str">
        <f t="shared" si="99"/>
        <v>N/A</v>
      </c>
    </row>
    <row r="3186" spans="12:13">
      <c r="L3186" s="20" t="str">
        <f t="shared" si="98"/>
        <v>N/A</v>
      </c>
      <c r="M3186" s="20" t="str">
        <f t="shared" si="99"/>
        <v>N/A</v>
      </c>
    </row>
    <row r="3187" spans="12:13">
      <c r="L3187" s="20" t="str">
        <f t="shared" si="98"/>
        <v>N/A</v>
      </c>
      <c r="M3187" s="20" t="str">
        <f t="shared" si="99"/>
        <v>N/A</v>
      </c>
    </row>
    <row r="3188" spans="12:13">
      <c r="L3188" s="20" t="str">
        <f t="shared" si="98"/>
        <v>N/A</v>
      </c>
      <c r="M3188" s="20" t="str">
        <f t="shared" si="99"/>
        <v>N/A</v>
      </c>
    </row>
    <row r="3189" spans="12:13">
      <c r="L3189" s="20" t="str">
        <f t="shared" si="98"/>
        <v>N/A</v>
      </c>
      <c r="M3189" s="20" t="str">
        <f t="shared" si="99"/>
        <v>N/A</v>
      </c>
    </row>
    <row r="3190" spans="12:13">
      <c r="L3190" s="20" t="str">
        <f t="shared" si="98"/>
        <v>N/A</v>
      </c>
      <c r="M3190" s="20" t="str">
        <f t="shared" si="99"/>
        <v>N/A</v>
      </c>
    </row>
    <row r="3191" spans="12:13">
      <c r="L3191" s="20" t="str">
        <f t="shared" si="98"/>
        <v>N/A</v>
      </c>
      <c r="M3191" s="20" t="str">
        <f t="shared" si="99"/>
        <v>N/A</v>
      </c>
    </row>
    <row r="3192" spans="12:13">
      <c r="L3192" s="20" t="str">
        <f t="shared" si="98"/>
        <v>N/A</v>
      </c>
      <c r="M3192" s="20" t="str">
        <f t="shared" si="99"/>
        <v>N/A</v>
      </c>
    </row>
    <row r="3193" spans="12:13">
      <c r="L3193" s="20" t="str">
        <f t="shared" si="98"/>
        <v>N/A</v>
      </c>
      <c r="M3193" s="20" t="str">
        <f t="shared" si="99"/>
        <v>N/A</v>
      </c>
    </row>
    <row r="3194" spans="12:13">
      <c r="L3194" s="20" t="str">
        <f t="shared" si="98"/>
        <v>N/A</v>
      </c>
      <c r="M3194" s="20" t="str">
        <f t="shared" si="99"/>
        <v>N/A</v>
      </c>
    </row>
    <row r="3195" spans="12:13">
      <c r="L3195" s="20" t="str">
        <f t="shared" si="98"/>
        <v>N/A</v>
      </c>
      <c r="M3195" s="20" t="str">
        <f t="shared" si="99"/>
        <v>N/A</v>
      </c>
    </row>
    <row r="3196" spans="12:13">
      <c r="L3196" s="20" t="str">
        <f t="shared" si="98"/>
        <v>N/A</v>
      </c>
      <c r="M3196" s="20" t="str">
        <f t="shared" si="99"/>
        <v>N/A</v>
      </c>
    </row>
    <row r="3197" spans="12:13">
      <c r="L3197" s="20" t="str">
        <f t="shared" si="98"/>
        <v>N/A</v>
      </c>
      <c r="M3197" s="20" t="str">
        <f t="shared" si="99"/>
        <v>N/A</v>
      </c>
    </row>
    <row r="3198" spans="12:13">
      <c r="L3198" s="20" t="str">
        <f t="shared" si="98"/>
        <v>N/A</v>
      </c>
      <c r="M3198" s="20" t="str">
        <f t="shared" si="99"/>
        <v>N/A</v>
      </c>
    </row>
    <row r="3199" spans="12:13">
      <c r="L3199" s="20" t="str">
        <f t="shared" si="98"/>
        <v>N/A</v>
      </c>
      <c r="M3199" s="20" t="str">
        <f t="shared" si="99"/>
        <v>N/A</v>
      </c>
    </row>
    <row r="3200" spans="12:13">
      <c r="L3200" s="20" t="str">
        <f t="shared" si="98"/>
        <v>N/A</v>
      </c>
      <c r="M3200" s="20" t="str">
        <f t="shared" si="99"/>
        <v>N/A</v>
      </c>
    </row>
    <row r="3201" spans="12:13">
      <c r="L3201" s="20" t="str">
        <f t="shared" si="98"/>
        <v>N/A</v>
      </c>
      <c r="M3201" s="20" t="str">
        <f t="shared" si="99"/>
        <v>N/A</v>
      </c>
    </row>
    <row r="3202" spans="12:13">
      <c r="L3202" s="20" t="str">
        <f t="shared" si="98"/>
        <v>N/A</v>
      </c>
      <c r="M3202" s="20" t="str">
        <f t="shared" si="99"/>
        <v>N/A</v>
      </c>
    </row>
    <row r="3203" spans="12:13">
      <c r="L3203" s="20" t="str">
        <f t="shared" ref="L3203:L3266" si="100">+IF(LEFT(D3203,1)="1","Asset","N/A")</f>
        <v>N/A</v>
      </c>
      <c r="M3203" s="20" t="str">
        <f t="shared" ref="M3203:M3266" si="101">+IF(L3203="asset",IF(H3203&lt;0,"Provide Comment","okay"),"N/A")</f>
        <v>N/A</v>
      </c>
    </row>
    <row r="3204" spans="12:13">
      <c r="L3204" s="20" t="str">
        <f t="shared" si="100"/>
        <v>N/A</v>
      </c>
      <c r="M3204" s="20" t="str">
        <f t="shared" si="101"/>
        <v>N/A</v>
      </c>
    </row>
    <row r="3205" spans="12:13">
      <c r="L3205" s="20" t="str">
        <f t="shared" si="100"/>
        <v>N/A</v>
      </c>
      <c r="M3205" s="20" t="str">
        <f t="shared" si="101"/>
        <v>N/A</v>
      </c>
    </row>
    <row r="3206" spans="12:13">
      <c r="L3206" s="20" t="str">
        <f t="shared" si="100"/>
        <v>N/A</v>
      </c>
      <c r="M3206" s="20" t="str">
        <f t="shared" si="101"/>
        <v>N/A</v>
      </c>
    </row>
    <row r="3207" spans="12:13">
      <c r="L3207" s="20" t="str">
        <f t="shared" si="100"/>
        <v>N/A</v>
      </c>
      <c r="M3207" s="20" t="str">
        <f t="shared" si="101"/>
        <v>N/A</v>
      </c>
    </row>
    <row r="3208" spans="12:13">
      <c r="L3208" s="20" t="str">
        <f t="shared" si="100"/>
        <v>N/A</v>
      </c>
      <c r="M3208" s="20" t="str">
        <f t="shared" si="101"/>
        <v>N/A</v>
      </c>
    </row>
    <row r="3209" spans="12:13">
      <c r="L3209" s="20" t="str">
        <f t="shared" si="100"/>
        <v>N/A</v>
      </c>
      <c r="M3209" s="20" t="str">
        <f t="shared" si="101"/>
        <v>N/A</v>
      </c>
    </row>
    <row r="3210" spans="12:13">
      <c r="L3210" s="20" t="str">
        <f t="shared" si="100"/>
        <v>N/A</v>
      </c>
      <c r="M3210" s="20" t="str">
        <f t="shared" si="101"/>
        <v>N/A</v>
      </c>
    </row>
    <row r="3211" spans="12:13">
      <c r="L3211" s="20" t="str">
        <f t="shared" si="100"/>
        <v>N/A</v>
      </c>
      <c r="M3211" s="20" t="str">
        <f t="shared" si="101"/>
        <v>N/A</v>
      </c>
    </row>
    <row r="3212" spans="12:13">
      <c r="L3212" s="20" t="str">
        <f t="shared" si="100"/>
        <v>N/A</v>
      </c>
      <c r="M3212" s="20" t="str">
        <f t="shared" si="101"/>
        <v>N/A</v>
      </c>
    </row>
    <row r="3213" spans="12:13">
      <c r="L3213" s="20" t="str">
        <f t="shared" si="100"/>
        <v>N/A</v>
      </c>
      <c r="M3213" s="20" t="str">
        <f t="shared" si="101"/>
        <v>N/A</v>
      </c>
    </row>
    <row r="3214" spans="12:13">
      <c r="L3214" s="20" t="str">
        <f t="shared" si="100"/>
        <v>N/A</v>
      </c>
      <c r="M3214" s="20" t="str">
        <f t="shared" si="101"/>
        <v>N/A</v>
      </c>
    </row>
    <row r="3215" spans="12:13">
      <c r="L3215" s="20" t="str">
        <f t="shared" si="100"/>
        <v>N/A</v>
      </c>
      <c r="M3215" s="20" t="str">
        <f t="shared" si="101"/>
        <v>N/A</v>
      </c>
    </row>
    <row r="3216" spans="12:13">
      <c r="L3216" s="20" t="str">
        <f t="shared" si="100"/>
        <v>N/A</v>
      </c>
      <c r="M3216" s="20" t="str">
        <f t="shared" si="101"/>
        <v>N/A</v>
      </c>
    </row>
    <row r="3217" spans="12:13">
      <c r="L3217" s="20" t="str">
        <f t="shared" si="100"/>
        <v>N/A</v>
      </c>
      <c r="M3217" s="20" t="str">
        <f t="shared" si="101"/>
        <v>N/A</v>
      </c>
    </row>
    <row r="3218" spans="12:13">
      <c r="L3218" s="20" t="str">
        <f t="shared" si="100"/>
        <v>N/A</v>
      </c>
      <c r="M3218" s="20" t="str">
        <f t="shared" si="101"/>
        <v>N/A</v>
      </c>
    </row>
    <row r="3219" spans="12:13">
      <c r="L3219" s="20" t="str">
        <f t="shared" si="100"/>
        <v>N/A</v>
      </c>
      <c r="M3219" s="20" t="str">
        <f t="shared" si="101"/>
        <v>N/A</v>
      </c>
    </row>
    <row r="3220" spans="12:13">
      <c r="L3220" s="20" t="str">
        <f t="shared" si="100"/>
        <v>N/A</v>
      </c>
      <c r="M3220" s="20" t="str">
        <f t="shared" si="101"/>
        <v>N/A</v>
      </c>
    </row>
    <row r="3221" spans="12:13">
      <c r="L3221" s="20" t="str">
        <f t="shared" si="100"/>
        <v>N/A</v>
      </c>
      <c r="M3221" s="20" t="str">
        <f t="shared" si="101"/>
        <v>N/A</v>
      </c>
    </row>
    <row r="3222" spans="12:13">
      <c r="L3222" s="20" t="str">
        <f t="shared" si="100"/>
        <v>N/A</v>
      </c>
      <c r="M3222" s="20" t="str">
        <f t="shared" si="101"/>
        <v>N/A</v>
      </c>
    </row>
    <row r="3223" spans="12:13">
      <c r="L3223" s="20" t="str">
        <f t="shared" si="100"/>
        <v>N/A</v>
      </c>
      <c r="M3223" s="20" t="str">
        <f t="shared" si="101"/>
        <v>N/A</v>
      </c>
    </row>
    <row r="3224" spans="12:13">
      <c r="L3224" s="20" t="str">
        <f t="shared" si="100"/>
        <v>N/A</v>
      </c>
      <c r="M3224" s="20" t="str">
        <f t="shared" si="101"/>
        <v>N/A</v>
      </c>
    </row>
    <row r="3225" spans="12:13">
      <c r="L3225" s="20" t="str">
        <f t="shared" si="100"/>
        <v>N/A</v>
      </c>
      <c r="M3225" s="20" t="str">
        <f t="shared" si="101"/>
        <v>N/A</v>
      </c>
    </row>
    <row r="3226" spans="12:13">
      <c r="L3226" s="20" t="str">
        <f t="shared" si="100"/>
        <v>N/A</v>
      </c>
      <c r="M3226" s="20" t="str">
        <f t="shared" si="101"/>
        <v>N/A</v>
      </c>
    </row>
    <row r="3227" spans="12:13">
      <c r="L3227" s="20" t="str">
        <f t="shared" si="100"/>
        <v>N/A</v>
      </c>
      <c r="M3227" s="20" t="str">
        <f t="shared" si="101"/>
        <v>N/A</v>
      </c>
    </row>
    <row r="3228" spans="12:13">
      <c r="L3228" s="20" t="str">
        <f t="shared" si="100"/>
        <v>N/A</v>
      </c>
      <c r="M3228" s="20" t="str">
        <f t="shared" si="101"/>
        <v>N/A</v>
      </c>
    </row>
    <row r="3229" spans="12:13">
      <c r="L3229" s="20" t="str">
        <f t="shared" si="100"/>
        <v>N/A</v>
      </c>
      <c r="M3229" s="20" t="str">
        <f t="shared" si="101"/>
        <v>N/A</v>
      </c>
    </row>
    <row r="3230" spans="12:13">
      <c r="L3230" s="20" t="str">
        <f t="shared" si="100"/>
        <v>N/A</v>
      </c>
      <c r="M3230" s="20" t="str">
        <f t="shared" si="101"/>
        <v>N/A</v>
      </c>
    </row>
    <row r="3231" spans="12:13">
      <c r="L3231" s="20" t="str">
        <f t="shared" si="100"/>
        <v>N/A</v>
      </c>
      <c r="M3231" s="20" t="str">
        <f t="shared" si="101"/>
        <v>N/A</v>
      </c>
    </row>
    <row r="3232" spans="12:13">
      <c r="L3232" s="20" t="str">
        <f t="shared" si="100"/>
        <v>N/A</v>
      </c>
      <c r="M3232" s="20" t="str">
        <f t="shared" si="101"/>
        <v>N/A</v>
      </c>
    </row>
    <row r="3233" spans="12:13">
      <c r="L3233" s="20" t="str">
        <f t="shared" si="100"/>
        <v>N/A</v>
      </c>
      <c r="M3233" s="20" t="str">
        <f t="shared" si="101"/>
        <v>N/A</v>
      </c>
    </row>
    <row r="3234" spans="12:13">
      <c r="L3234" s="20" t="str">
        <f t="shared" si="100"/>
        <v>N/A</v>
      </c>
      <c r="M3234" s="20" t="str">
        <f t="shared" si="101"/>
        <v>N/A</v>
      </c>
    </row>
    <row r="3235" spans="12:13">
      <c r="L3235" s="20" t="str">
        <f t="shared" si="100"/>
        <v>N/A</v>
      </c>
      <c r="M3235" s="20" t="str">
        <f t="shared" si="101"/>
        <v>N/A</v>
      </c>
    </row>
    <row r="3236" spans="12:13">
      <c r="L3236" s="20" t="str">
        <f t="shared" si="100"/>
        <v>N/A</v>
      </c>
      <c r="M3236" s="20" t="str">
        <f t="shared" si="101"/>
        <v>N/A</v>
      </c>
    </row>
    <row r="3237" spans="12:13">
      <c r="L3237" s="20" t="str">
        <f t="shared" si="100"/>
        <v>N/A</v>
      </c>
      <c r="M3237" s="20" t="str">
        <f t="shared" si="101"/>
        <v>N/A</v>
      </c>
    </row>
    <row r="3238" spans="12:13">
      <c r="L3238" s="20" t="str">
        <f t="shared" si="100"/>
        <v>N/A</v>
      </c>
      <c r="M3238" s="20" t="str">
        <f t="shared" si="101"/>
        <v>N/A</v>
      </c>
    </row>
    <row r="3239" spans="12:13">
      <c r="L3239" s="20" t="str">
        <f t="shared" si="100"/>
        <v>N/A</v>
      </c>
      <c r="M3239" s="20" t="str">
        <f t="shared" si="101"/>
        <v>N/A</v>
      </c>
    </row>
    <row r="3240" spans="12:13">
      <c r="L3240" s="20" t="str">
        <f t="shared" si="100"/>
        <v>N/A</v>
      </c>
      <c r="M3240" s="20" t="str">
        <f t="shared" si="101"/>
        <v>N/A</v>
      </c>
    </row>
    <row r="3241" spans="12:13">
      <c r="L3241" s="20" t="str">
        <f t="shared" si="100"/>
        <v>N/A</v>
      </c>
      <c r="M3241" s="20" t="str">
        <f t="shared" si="101"/>
        <v>N/A</v>
      </c>
    </row>
    <row r="3242" spans="12:13">
      <c r="L3242" s="20" t="str">
        <f t="shared" si="100"/>
        <v>N/A</v>
      </c>
      <c r="M3242" s="20" t="str">
        <f t="shared" si="101"/>
        <v>N/A</v>
      </c>
    </row>
    <row r="3243" spans="12:13">
      <c r="L3243" s="20" t="str">
        <f t="shared" si="100"/>
        <v>N/A</v>
      </c>
      <c r="M3243" s="20" t="str">
        <f t="shared" si="101"/>
        <v>N/A</v>
      </c>
    </row>
    <row r="3244" spans="12:13">
      <c r="L3244" s="20" t="str">
        <f t="shared" si="100"/>
        <v>N/A</v>
      </c>
      <c r="M3244" s="20" t="str">
        <f t="shared" si="101"/>
        <v>N/A</v>
      </c>
    </row>
    <row r="3245" spans="12:13">
      <c r="L3245" s="20" t="str">
        <f t="shared" si="100"/>
        <v>N/A</v>
      </c>
      <c r="M3245" s="20" t="str">
        <f t="shared" si="101"/>
        <v>N/A</v>
      </c>
    </row>
    <row r="3246" spans="12:13">
      <c r="L3246" s="20" t="str">
        <f t="shared" si="100"/>
        <v>N/A</v>
      </c>
      <c r="M3246" s="20" t="str">
        <f t="shared" si="101"/>
        <v>N/A</v>
      </c>
    </row>
    <row r="3247" spans="12:13">
      <c r="L3247" s="20" t="str">
        <f t="shared" si="100"/>
        <v>N/A</v>
      </c>
      <c r="M3247" s="20" t="str">
        <f t="shared" si="101"/>
        <v>N/A</v>
      </c>
    </row>
    <row r="3248" spans="12:13">
      <c r="L3248" s="20" t="str">
        <f t="shared" si="100"/>
        <v>N/A</v>
      </c>
      <c r="M3248" s="20" t="str">
        <f t="shared" si="101"/>
        <v>N/A</v>
      </c>
    </row>
    <row r="3249" spans="12:13">
      <c r="L3249" s="20" t="str">
        <f t="shared" si="100"/>
        <v>N/A</v>
      </c>
      <c r="M3249" s="20" t="str">
        <f t="shared" si="101"/>
        <v>N/A</v>
      </c>
    </row>
    <row r="3250" spans="12:13">
      <c r="L3250" s="20" t="str">
        <f t="shared" si="100"/>
        <v>N/A</v>
      </c>
      <c r="M3250" s="20" t="str">
        <f t="shared" si="101"/>
        <v>N/A</v>
      </c>
    </row>
    <row r="3251" spans="12:13">
      <c r="L3251" s="20" t="str">
        <f t="shared" si="100"/>
        <v>N/A</v>
      </c>
      <c r="M3251" s="20" t="str">
        <f t="shared" si="101"/>
        <v>N/A</v>
      </c>
    </row>
    <row r="3252" spans="12:13">
      <c r="L3252" s="20" t="str">
        <f t="shared" si="100"/>
        <v>N/A</v>
      </c>
      <c r="M3252" s="20" t="str">
        <f t="shared" si="101"/>
        <v>N/A</v>
      </c>
    </row>
    <row r="3253" spans="12:13">
      <c r="L3253" s="20" t="str">
        <f t="shared" si="100"/>
        <v>N/A</v>
      </c>
      <c r="M3253" s="20" t="str">
        <f t="shared" si="101"/>
        <v>N/A</v>
      </c>
    </row>
    <row r="3254" spans="12:13">
      <c r="L3254" s="20" t="str">
        <f t="shared" si="100"/>
        <v>N/A</v>
      </c>
      <c r="M3254" s="20" t="str">
        <f t="shared" si="101"/>
        <v>N/A</v>
      </c>
    </row>
    <row r="3255" spans="12:13">
      <c r="L3255" s="20" t="str">
        <f t="shared" si="100"/>
        <v>N/A</v>
      </c>
      <c r="M3255" s="20" t="str">
        <f t="shared" si="101"/>
        <v>N/A</v>
      </c>
    </row>
    <row r="3256" spans="12:13">
      <c r="L3256" s="20" t="str">
        <f t="shared" si="100"/>
        <v>N/A</v>
      </c>
      <c r="M3256" s="20" t="str">
        <f t="shared" si="101"/>
        <v>N/A</v>
      </c>
    </row>
    <row r="3257" spans="12:13">
      <c r="L3257" s="20" t="str">
        <f t="shared" si="100"/>
        <v>N/A</v>
      </c>
      <c r="M3257" s="20" t="str">
        <f t="shared" si="101"/>
        <v>N/A</v>
      </c>
    </row>
    <row r="3258" spans="12:13">
      <c r="L3258" s="20" t="str">
        <f t="shared" si="100"/>
        <v>N/A</v>
      </c>
      <c r="M3258" s="20" t="str">
        <f t="shared" si="101"/>
        <v>N/A</v>
      </c>
    </row>
    <row r="3259" spans="12:13">
      <c r="L3259" s="20" t="str">
        <f t="shared" si="100"/>
        <v>N/A</v>
      </c>
      <c r="M3259" s="20" t="str">
        <f t="shared" si="101"/>
        <v>N/A</v>
      </c>
    </row>
    <row r="3260" spans="12:13">
      <c r="L3260" s="20" t="str">
        <f t="shared" si="100"/>
        <v>N/A</v>
      </c>
      <c r="M3260" s="20" t="str">
        <f t="shared" si="101"/>
        <v>N/A</v>
      </c>
    </row>
    <row r="3261" spans="12:13">
      <c r="L3261" s="20" t="str">
        <f t="shared" si="100"/>
        <v>N/A</v>
      </c>
      <c r="M3261" s="20" t="str">
        <f t="shared" si="101"/>
        <v>N/A</v>
      </c>
    </row>
    <row r="3262" spans="12:13">
      <c r="L3262" s="20" t="str">
        <f t="shared" si="100"/>
        <v>N/A</v>
      </c>
      <c r="M3262" s="20" t="str">
        <f t="shared" si="101"/>
        <v>N/A</v>
      </c>
    </row>
    <row r="3263" spans="12:13">
      <c r="L3263" s="20" t="str">
        <f t="shared" si="100"/>
        <v>N/A</v>
      </c>
      <c r="M3263" s="20" t="str">
        <f t="shared" si="101"/>
        <v>N/A</v>
      </c>
    </row>
    <row r="3264" spans="12:13">
      <c r="L3264" s="20" t="str">
        <f t="shared" si="100"/>
        <v>N/A</v>
      </c>
      <c r="M3264" s="20" t="str">
        <f t="shared" si="101"/>
        <v>N/A</v>
      </c>
    </row>
    <row r="3265" spans="12:13">
      <c r="L3265" s="20" t="str">
        <f t="shared" si="100"/>
        <v>N/A</v>
      </c>
      <c r="M3265" s="20" t="str">
        <f t="shared" si="101"/>
        <v>N/A</v>
      </c>
    </row>
    <row r="3266" spans="12:13">
      <c r="L3266" s="20" t="str">
        <f t="shared" si="100"/>
        <v>N/A</v>
      </c>
      <c r="M3266" s="20" t="str">
        <f t="shared" si="101"/>
        <v>N/A</v>
      </c>
    </row>
    <row r="3267" spans="12:13">
      <c r="L3267" s="20" t="str">
        <f t="shared" ref="L3267:L3330" si="102">+IF(LEFT(D3267,1)="1","Asset","N/A")</f>
        <v>N/A</v>
      </c>
      <c r="M3267" s="20" t="str">
        <f t="shared" ref="M3267:M3330" si="103">+IF(L3267="asset",IF(H3267&lt;0,"Provide Comment","okay"),"N/A")</f>
        <v>N/A</v>
      </c>
    </row>
    <row r="3268" spans="12:13">
      <c r="L3268" s="20" t="str">
        <f t="shared" si="102"/>
        <v>N/A</v>
      </c>
      <c r="M3268" s="20" t="str">
        <f t="shared" si="103"/>
        <v>N/A</v>
      </c>
    </row>
    <row r="3269" spans="12:13">
      <c r="L3269" s="20" t="str">
        <f t="shared" si="102"/>
        <v>N/A</v>
      </c>
      <c r="M3269" s="20" t="str">
        <f t="shared" si="103"/>
        <v>N/A</v>
      </c>
    </row>
    <row r="3270" spans="12:13">
      <c r="L3270" s="20" t="str">
        <f t="shared" si="102"/>
        <v>N/A</v>
      </c>
      <c r="M3270" s="20" t="str">
        <f t="shared" si="103"/>
        <v>N/A</v>
      </c>
    </row>
    <row r="3271" spans="12:13">
      <c r="L3271" s="20" t="str">
        <f t="shared" si="102"/>
        <v>N/A</v>
      </c>
      <c r="M3271" s="20" t="str">
        <f t="shared" si="103"/>
        <v>N/A</v>
      </c>
    </row>
    <row r="3272" spans="12:13">
      <c r="L3272" s="20" t="str">
        <f t="shared" si="102"/>
        <v>N/A</v>
      </c>
      <c r="M3272" s="20" t="str">
        <f t="shared" si="103"/>
        <v>N/A</v>
      </c>
    </row>
    <row r="3273" spans="12:13">
      <c r="L3273" s="20" t="str">
        <f t="shared" si="102"/>
        <v>N/A</v>
      </c>
      <c r="M3273" s="20" t="str">
        <f t="shared" si="103"/>
        <v>N/A</v>
      </c>
    </row>
    <row r="3274" spans="12:13">
      <c r="L3274" s="20" t="str">
        <f t="shared" si="102"/>
        <v>N/A</v>
      </c>
      <c r="M3274" s="20" t="str">
        <f t="shared" si="103"/>
        <v>N/A</v>
      </c>
    </row>
    <row r="3275" spans="12:13">
      <c r="L3275" s="20" t="str">
        <f t="shared" si="102"/>
        <v>N/A</v>
      </c>
      <c r="M3275" s="20" t="str">
        <f t="shared" si="103"/>
        <v>N/A</v>
      </c>
    </row>
    <row r="3276" spans="12:13">
      <c r="L3276" s="20" t="str">
        <f t="shared" si="102"/>
        <v>N/A</v>
      </c>
      <c r="M3276" s="20" t="str">
        <f t="shared" si="103"/>
        <v>N/A</v>
      </c>
    </row>
    <row r="3277" spans="12:13">
      <c r="L3277" s="20" t="str">
        <f t="shared" si="102"/>
        <v>N/A</v>
      </c>
      <c r="M3277" s="20" t="str">
        <f t="shared" si="103"/>
        <v>N/A</v>
      </c>
    </row>
    <row r="3278" spans="12:13">
      <c r="L3278" s="20" t="str">
        <f t="shared" si="102"/>
        <v>N/A</v>
      </c>
      <c r="M3278" s="20" t="str">
        <f t="shared" si="103"/>
        <v>N/A</v>
      </c>
    </row>
    <row r="3279" spans="12:13">
      <c r="L3279" s="20" t="str">
        <f t="shared" si="102"/>
        <v>N/A</v>
      </c>
      <c r="M3279" s="20" t="str">
        <f t="shared" si="103"/>
        <v>N/A</v>
      </c>
    </row>
    <row r="3280" spans="12:13">
      <c r="L3280" s="20" t="str">
        <f t="shared" si="102"/>
        <v>N/A</v>
      </c>
      <c r="M3280" s="20" t="str">
        <f t="shared" si="103"/>
        <v>N/A</v>
      </c>
    </row>
    <row r="3281" spans="12:13">
      <c r="L3281" s="20" t="str">
        <f t="shared" si="102"/>
        <v>N/A</v>
      </c>
      <c r="M3281" s="20" t="str">
        <f t="shared" si="103"/>
        <v>N/A</v>
      </c>
    </row>
    <row r="3282" spans="12:13">
      <c r="L3282" s="20" t="str">
        <f t="shared" si="102"/>
        <v>N/A</v>
      </c>
      <c r="M3282" s="20" t="str">
        <f t="shared" si="103"/>
        <v>N/A</v>
      </c>
    </row>
    <row r="3283" spans="12:13">
      <c r="L3283" s="20" t="str">
        <f t="shared" si="102"/>
        <v>N/A</v>
      </c>
      <c r="M3283" s="20" t="str">
        <f t="shared" si="103"/>
        <v>N/A</v>
      </c>
    </row>
    <row r="3284" spans="12:13">
      <c r="L3284" s="20" t="str">
        <f t="shared" si="102"/>
        <v>N/A</v>
      </c>
      <c r="M3284" s="20" t="str">
        <f t="shared" si="103"/>
        <v>N/A</v>
      </c>
    </row>
    <row r="3285" spans="12:13">
      <c r="L3285" s="20" t="str">
        <f t="shared" si="102"/>
        <v>N/A</v>
      </c>
      <c r="M3285" s="20" t="str">
        <f t="shared" si="103"/>
        <v>N/A</v>
      </c>
    </row>
    <row r="3286" spans="12:13">
      <c r="L3286" s="20" t="str">
        <f t="shared" si="102"/>
        <v>N/A</v>
      </c>
      <c r="M3286" s="20" t="str">
        <f t="shared" si="103"/>
        <v>N/A</v>
      </c>
    </row>
    <row r="3287" spans="12:13">
      <c r="L3287" s="20" t="str">
        <f t="shared" si="102"/>
        <v>N/A</v>
      </c>
      <c r="M3287" s="20" t="str">
        <f t="shared" si="103"/>
        <v>N/A</v>
      </c>
    </row>
    <row r="3288" spans="12:13">
      <c r="L3288" s="20" t="str">
        <f t="shared" si="102"/>
        <v>N/A</v>
      </c>
      <c r="M3288" s="20" t="str">
        <f t="shared" si="103"/>
        <v>N/A</v>
      </c>
    </row>
    <row r="3289" spans="12:13">
      <c r="L3289" s="20" t="str">
        <f t="shared" si="102"/>
        <v>N/A</v>
      </c>
      <c r="M3289" s="20" t="str">
        <f t="shared" si="103"/>
        <v>N/A</v>
      </c>
    </row>
    <row r="3290" spans="12:13">
      <c r="L3290" s="20" t="str">
        <f t="shared" si="102"/>
        <v>N/A</v>
      </c>
      <c r="M3290" s="20" t="str">
        <f t="shared" si="103"/>
        <v>N/A</v>
      </c>
    </row>
    <row r="3291" spans="12:13">
      <c r="L3291" s="20" t="str">
        <f t="shared" si="102"/>
        <v>N/A</v>
      </c>
      <c r="M3291" s="20" t="str">
        <f t="shared" si="103"/>
        <v>N/A</v>
      </c>
    </row>
    <row r="3292" spans="12:13">
      <c r="L3292" s="20" t="str">
        <f t="shared" si="102"/>
        <v>N/A</v>
      </c>
      <c r="M3292" s="20" t="str">
        <f t="shared" si="103"/>
        <v>N/A</v>
      </c>
    </row>
    <row r="3293" spans="12:13">
      <c r="L3293" s="20" t="str">
        <f t="shared" si="102"/>
        <v>N/A</v>
      </c>
      <c r="M3293" s="20" t="str">
        <f t="shared" si="103"/>
        <v>N/A</v>
      </c>
    </row>
    <row r="3294" spans="12:13">
      <c r="L3294" s="20" t="str">
        <f t="shared" si="102"/>
        <v>N/A</v>
      </c>
      <c r="M3294" s="20" t="str">
        <f t="shared" si="103"/>
        <v>N/A</v>
      </c>
    </row>
    <row r="3295" spans="12:13">
      <c r="L3295" s="20" t="str">
        <f t="shared" si="102"/>
        <v>N/A</v>
      </c>
      <c r="M3295" s="20" t="str">
        <f t="shared" si="103"/>
        <v>N/A</v>
      </c>
    </row>
    <row r="3296" spans="12:13">
      <c r="L3296" s="20" t="str">
        <f t="shared" si="102"/>
        <v>N/A</v>
      </c>
      <c r="M3296" s="20" t="str">
        <f t="shared" si="103"/>
        <v>N/A</v>
      </c>
    </row>
    <row r="3297" spans="12:13">
      <c r="L3297" s="20" t="str">
        <f t="shared" si="102"/>
        <v>N/A</v>
      </c>
      <c r="M3297" s="20" t="str">
        <f t="shared" si="103"/>
        <v>N/A</v>
      </c>
    </row>
    <row r="3298" spans="12:13">
      <c r="L3298" s="20" t="str">
        <f t="shared" si="102"/>
        <v>N/A</v>
      </c>
      <c r="M3298" s="20" t="str">
        <f t="shared" si="103"/>
        <v>N/A</v>
      </c>
    </row>
    <row r="3299" spans="12:13">
      <c r="L3299" s="20" t="str">
        <f t="shared" si="102"/>
        <v>N/A</v>
      </c>
      <c r="M3299" s="20" t="str">
        <f t="shared" si="103"/>
        <v>N/A</v>
      </c>
    </row>
    <row r="3300" spans="12:13">
      <c r="L3300" s="20" t="str">
        <f t="shared" si="102"/>
        <v>N/A</v>
      </c>
      <c r="M3300" s="20" t="str">
        <f t="shared" si="103"/>
        <v>N/A</v>
      </c>
    </row>
    <row r="3301" spans="12:13">
      <c r="L3301" s="20" t="str">
        <f t="shared" si="102"/>
        <v>N/A</v>
      </c>
      <c r="M3301" s="20" t="str">
        <f t="shared" si="103"/>
        <v>N/A</v>
      </c>
    </row>
    <row r="3302" spans="12:13">
      <c r="L3302" s="20" t="str">
        <f t="shared" si="102"/>
        <v>N/A</v>
      </c>
      <c r="M3302" s="20" t="str">
        <f t="shared" si="103"/>
        <v>N/A</v>
      </c>
    </row>
    <row r="3303" spans="12:13">
      <c r="L3303" s="20" t="str">
        <f t="shared" si="102"/>
        <v>N/A</v>
      </c>
      <c r="M3303" s="20" t="str">
        <f t="shared" si="103"/>
        <v>N/A</v>
      </c>
    </row>
    <row r="3304" spans="12:13">
      <c r="L3304" s="20" t="str">
        <f t="shared" si="102"/>
        <v>N/A</v>
      </c>
      <c r="M3304" s="20" t="str">
        <f t="shared" si="103"/>
        <v>N/A</v>
      </c>
    </row>
    <row r="3305" spans="12:13">
      <c r="L3305" s="20" t="str">
        <f t="shared" si="102"/>
        <v>N/A</v>
      </c>
      <c r="M3305" s="20" t="str">
        <f t="shared" si="103"/>
        <v>N/A</v>
      </c>
    </row>
    <row r="3306" spans="12:13">
      <c r="L3306" s="20" t="str">
        <f t="shared" si="102"/>
        <v>N/A</v>
      </c>
      <c r="M3306" s="20" t="str">
        <f t="shared" si="103"/>
        <v>N/A</v>
      </c>
    </row>
    <row r="3307" spans="12:13">
      <c r="L3307" s="20" t="str">
        <f t="shared" si="102"/>
        <v>N/A</v>
      </c>
      <c r="M3307" s="20" t="str">
        <f t="shared" si="103"/>
        <v>N/A</v>
      </c>
    </row>
    <row r="3308" spans="12:13">
      <c r="L3308" s="20" t="str">
        <f t="shared" si="102"/>
        <v>N/A</v>
      </c>
      <c r="M3308" s="20" t="str">
        <f t="shared" si="103"/>
        <v>N/A</v>
      </c>
    </row>
    <row r="3309" spans="12:13">
      <c r="L3309" s="20" t="str">
        <f t="shared" si="102"/>
        <v>N/A</v>
      </c>
      <c r="M3309" s="20" t="str">
        <f t="shared" si="103"/>
        <v>N/A</v>
      </c>
    </row>
    <row r="3310" spans="12:13">
      <c r="L3310" s="20" t="str">
        <f t="shared" si="102"/>
        <v>N/A</v>
      </c>
      <c r="M3310" s="20" t="str">
        <f t="shared" si="103"/>
        <v>N/A</v>
      </c>
    </row>
    <row r="3311" spans="12:13">
      <c r="L3311" s="20" t="str">
        <f t="shared" si="102"/>
        <v>N/A</v>
      </c>
      <c r="M3311" s="20" t="str">
        <f t="shared" si="103"/>
        <v>N/A</v>
      </c>
    </row>
    <row r="3312" spans="12:13">
      <c r="L3312" s="20" t="str">
        <f t="shared" si="102"/>
        <v>N/A</v>
      </c>
      <c r="M3312" s="20" t="str">
        <f t="shared" si="103"/>
        <v>N/A</v>
      </c>
    </row>
    <row r="3313" spans="12:13">
      <c r="L3313" s="20" t="str">
        <f t="shared" si="102"/>
        <v>N/A</v>
      </c>
      <c r="M3313" s="20" t="str">
        <f t="shared" si="103"/>
        <v>N/A</v>
      </c>
    </row>
    <row r="3314" spans="12:13">
      <c r="L3314" s="20" t="str">
        <f t="shared" si="102"/>
        <v>N/A</v>
      </c>
      <c r="M3314" s="20" t="str">
        <f t="shared" si="103"/>
        <v>N/A</v>
      </c>
    </row>
    <row r="3315" spans="12:13">
      <c r="L3315" s="20" t="str">
        <f t="shared" si="102"/>
        <v>N/A</v>
      </c>
      <c r="M3315" s="20" t="str">
        <f t="shared" si="103"/>
        <v>N/A</v>
      </c>
    </row>
    <row r="3316" spans="12:13">
      <c r="L3316" s="20" t="str">
        <f t="shared" si="102"/>
        <v>N/A</v>
      </c>
      <c r="M3316" s="20" t="str">
        <f t="shared" si="103"/>
        <v>N/A</v>
      </c>
    </row>
    <row r="3317" spans="12:13">
      <c r="L3317" s="20" t="str">
        <f t="shared" si="102"/>
        <v>N/A</v>
      </c>
      <c r="M3317" s="20" t="str">
        <f t="shared" si="103"/>
        <v>N/A</v>
      </c>
    </row>
    <row r="3318" spans="12:13">
      <c r="L3318" s="20" t="str">
        <f t="shared" si="102"/>
        <v>N/A</v>
      </c>
      <c r="M3318" s="20" t="str">
        <f t="shared" si="103"/>
        <v>N/A</v>
      </c>
    </row>
    <row r="3319" spans="12:13">
      <c r="L3319" s="20" t="str">
        <f t="shared" si="102"/>
        <v>N/A</v>
      </c>
      <c r="M3319" s="20" t="str">
        <f t="shared" si="103"/>
        <v>N/A</v>
      </c>
    </row>
    <row r="3320" spans="12:13">
      <c r="L3320" s="20" t="str">
        <f t="shared" si="102"/>
        <v>N/A</v>
      </c>
      <c r="M3320" s="20" t="str">
        <f t="shared" si="103"/>
        <v>N/A</v>
      </c>
    </row>
    <row r="3321" spans="12:13">
      <c r="L3321" s="20" t="str">
        <f t="shared" si="102"/>
        <v>N/A</v>
      </c>
      <c r="M3321" s="20" t="str">
        <f t="shared" si="103"/>
        <v>N/A</v>
      </c>
    </row>
    <row r="3322" spans="12:13">
      <c r="L3322" s="20" t="str">
        <f t="shared" si="102"/>
        <v>N/A</v>
      </c>
      <c r="M3322" s="20" t="str">
        <f t="shared" si="103"/>
        <v>N/A</v>
      </c>
    </row>
    <row r="3323" spans="12:13">
      <c r="L3323" s="20" t="str">
        <f t="shared" si="102"/>
        <v>N/A</v>
      </c>
      <c r="M3323" s="20" t="str">
        <f t="shared" si="103"/>
        <v>N/A</v>
      </c>
    </row>
    <row r="3324" spans="12:13">
      <c r="L3324" s="20" t="str">
        <f t="shared" si="102"/>
        <v>N/A</v>
      </c>
      <c r="M3324" s="20" t="str">
        <f t="shared" si="103"/>
        <v>N/A</v>
      </c>
    </row>
    <row r="3325" spans="12:13">
      <c r="L3325" s="20" t="str">
        <f t="shared" si="102"/>
        <v>N/A</v>
      </c>
      <c r="M3325" s="20" t="str">
        <f t="shared" si="103"/>
        <v>N/A</v>
      </c>
    </row>
    <row r="3326" spans="12:13">
      <c r="L3326" s="20" t="str">
        <f t="shared" si="102"/>
        <v>N/A</v>
      </c>
      <c r="M3326" s="20" t="str">
        <f t="shared" si="103"/>
        <v>N/A</v>
      </c>
    </row>
    <row r="3327" spans="12:13">
      <c r="L3327" s="20" t="str">
        <f t="shared" si="102"/>
        <v>N/A</v>
      </c>
      <c r="M3327" s="20" t="str">
        <f t="shared" si="103"/>
        <v>N/A</v>
      </c>
    </row>
    <row r="3328" spans="12:13">
      <c r="L3328" s="20" t="str">
        <f t="shared" si="102"/>
        <v>N/A</v>
      </c>
      <c r="M3328" s="20" t="str">
        <f t="shared" si="103"/>
        <v>N/A</v>
      </c>
    </row>
    <row r="3329" spans="12:13">
      <c r="L3329" s="20" t="str">
        <f t="shared" si="102"/>
        <v>N/A</v>
      </c>
      <c r="M3329" s="20" t="str">
        <f t="shared" si="103"/>
        <v>N/A</v>
      </c>
    </row>
    <row r="3330" spans="12:13">
      <c r="L3330" s="20" t="str">
        <f t="shared" si="102"/>
        <v>N/A</v>
      </c>
      <c r="M3330" s="20" t="str">
        <f t="shared" si="103"/>
        <v>N/A</v>
      </c>
    </row>
    <row r="3331" spans="12:13">
      <c r="L3331" s="20" t="str">
        <f t="shared" ref="L3331:L3394" si="104">+IF(LEFT(D3331,1)="1","Asset","N/A")</f>
        <v>N/A</v>
      </c>
      <c r="M3331" s="20" t="str">
        <f t="shared" ref="M3331:M3394" si="105">+IF(L3331="asset",IF(H3331&lt;0,"Provide Comment","okay"),"N/A")</f>
        <v>N/A</v>
      </c>
    </row>
    <row r="3332" spans="12:13">
      <c r="L3332" s="20" t="str">
        <f t="shared" si="104"/>
        <v>N/A</v>
      </c>
      <c r="M3332" s="20" t="str">
        <f t="shared" si="105"/>
        <v>N/A</v>
      </c>
    </row>
    <row r="3333" spans="12:13">
      <c r="L3333" s="20" t="str">
        <f t="shared" si="104"/>
        <v>N/A</v>
      </c>
      <c r="M3333" s="20" t="str">
        <f t="shared" si="105"/>
        <v>N/A</v>
      </c>
    </row>
    <row r="3334" spans="12:13">
      <c r="L3334" s="20" t="str">
        <f t="shared" si="104"/>
        <v>N/A</v>
      </c>
      <c r="M3334" s="20" t="str">
        <f t="shared" si="105"/>
        <v>N/A</v>
      </c>
    </row>
    <row r="3335" spans="12:13">
      <c r="L3335" s="20" t="str">
        <f t="shared" si="104"/>
        <v>N/A</v>
      </c>
      <c r="M3335" s="20" t="str">
        <f t="shared" si="105"/>
        <v>N/A</v>
      </c>
    </row>
    <row r="3336" spans="12:13">
      <c r="L3336" s="20" t="str">
        <f t="shared" si="104"/>
        <v>N/A</v>
      </c>
      <c r="M3336" s="20" t="str">
        <f t="shared" si="105"/>
        <v>N/A</v>
      </c>
    </row>
    <row r="3337" spans="12:13">
      <c r="L3337" s="20" t="str">
        <f t="shared" si="104"/>
        <v>N/A</v>
      </c>
      <c r="M3337" s="20" t="str">
        <f t="shared" si="105"/>
        <v>N/A</v>
      </c>
    </row>
    <row r="3338" spans="12:13">
      <c r="L3338" s="20" t="str">
        <f t="shared" si="104"/>
        <v>N/A</v>
      </c>
      <c r="M3338" s="20" t="str">
        <f t="shared" si="105"/>
        <v>N/A</v>
      </c>
    </row>
    <row r="3339" spans="12:13">
      <c r="L3339" s="20" t="str">
        <f t="shared" si="104"/>
        <v>N/A</v>
      </c>
      <c r="M3339" s="20" t="str">
        <f t="shared" si="105"/>
        <v>N/A</v>
      </c>
    </row>
    <row r="3340" spans="12:13">
      <c r="L3340" s="20" t="str">
        <f t="shared" si="104"/>
        <v>N/A</v>
      </c>
      <c r="M3340" s="20" t="str">
        <f t="shared" si="105"/>
        <v>N/A</v>
      </c>
    </row>
    <row r="3341" spans="12:13">
      <c r="L3341" s="20" t="str">
        <f t="shared" si="104"/>
        <v>N/A</v>
      </c>
      <c r="M3341" s="20" t="str">
        <f t="shared" si="105"/>
        <v>N/A</v>
      </c>
    </row>
    <row r="3342" spans="12:13">
      <c r="L3342" s="20" t="str">
        <f t="shared" si="104"/>
        <v>N/A</v>
      </c>
      <c r="M3342" s="20" t="str">
        <f t="shared" si="105"/>
        <v>N/A</v>
      </c>
    </row>
    <row r="3343" spans="12:13">
      <c r="L3343" s="20" t="str">
        <f t="shared" si="104"/>
        <v>N/A</v>
      </c>
      <c r="M3343" s="20" t="str">
        <f t="shared" si="105"/>
        <v>N/A</v>
      </c>
    </row>
    <row r="3344" spans="12:13">
      <c r="L3344" s="20" t="str">
        <f t="shared" si="104"/>
        <v>N/A</v>
      </c>
      <c r="M3344" s="20" t="str">
        <f t="shared" si="105"/>
        <v>N/A</v>
      </c>
    </row>
    <row r="3345" spans="12:13">
      <c r="L3345" s="20" t="str">
        <f t="shared" si="104"/>
        <v>N/A</v>
      </c>
      <c r="M3345" s="20" t="str">
        <f t="shared" si="105"/>
        <v>N/A</v>
      </c>
    </row>
    <row r="3346" spans="12:13">
      <c r="L3346" s="20" t="str">
        <f t="shared" si="104"/>
        <v>N/A</v>
      </c>
      <c r="M3346" s="20" t="str">
        <f t="shared" si="105"/>
        <v>N/A</v>
      </c>
    </row>
    <row r="3347" spans="12:13">
      <c r="L3347" s="20" t="str">
        <f t="shared" si="104"/>
        <v>N/A</v>
      </c>
      <c r="M3347" s="20" t="str">
        <f t="shared" si="105"/>
        <v>N/A</v>
      </c>
    </row>
    <row r="3348" spans="12:13">
      <c r="L3348" s="20" t="str">
        <f t="shared" si="104"/>
        <v>N/A</v>
      </c>
      <c r="M3348" s="20" t="str">
        <f t="shared" si="105"/>
        <v>N/A</v>
      </c>
    </row>
    <row r="3349" spans="12:13">
      <c r="L3349" s="20" t="str">
        <f t="shared" si="104"/>
        <v>N/A</v>
      </c>
      <c r="M3349" s="20" t="str">
        <f t="shared" si="105"/>
        <v>N/A</v>
      </c>
    </row>
    <row r="3350" spans="12:13">
      <c r="L3350" s="20" t="str">
        <f t="shared" si="104"/>
        <v>N/A</v>
      </c>
      <c r="M3350" s="20" t="str">
        <f t="shared" si="105"/>
        <v>N/A</v>
      </c>
    </row>
    <row r="3351" spans="12:13">
      <c r="L3351" s="20" t="str">
        <f t="shared" si="104"/>
        <v>N/A</v>
      </c>
      <c r="M3351" s="20" t="str">
        <f t="shared" si="105"/>
        <v>N/A</v>
      </c>
    </row>
    <row r="3352" spans="12:13">
      <c r="L3352" s="20" t="str">
        <f t="shared" si="104"/>
        <v>N/A</v>
      </c>
      <c r="M3352" s="20" t="str">
        <f t="shared" si="105"/>
        <v>N/A</v>
      </c>
    </row>
    <row r="3353" spans="12:13">
      <c r="L3353" s="20" t="str">
        <f t="shared" si="104"/>
        <v>N/A</v>
      </c>
      <c r="M3353" s="20" t="str">
        <f t="shared" si="105"/>
        <v>N/A</v>
      </c>
    </row>
    <row r="3354" spans="12:13">
      <c r="L3354" s="20" t="str">
        <f t="shared" si="104"/>
        <v>N/A</v>
      </c>
      <c r="M3354" s="20" t="str">
        <f t="shared" si="105"/>
        <v>N/A</v>
      </c>
    </row>
    <row r="3355" spans="12:13">
      <c r="L3355" s="20" t="str">
        <f t="shared" si="104"/>
        <v>N/A</v>
      </c>
      <c r="M3355" s="20" t="str">
        <f t="shared" si="105"/>
        <v>N/A</v>
      </c>
    </row>
    <row r="3356" spans="12:13">
      <c r="L3356" s="20" t="str">
        <f t="shared" si="104"/>
        <v>N/A</v>
      </c>
      <c r="M3356" s="20" t="str">
        <f t="shared" si="105"/>
        <v>N/A</v>
      </c>
    </row>
    <row r="3357" spans="12:13">
      <c r="L3357" s="20" t="str">
        <f t="shared" si="104"/>
        <v>N/A</v>
      </c>
      <c r="M3357" s="20" t="str">
        <f t="shared" si="105"/>
        <v>N/A</v>
      </c>
    </row>
    <row r="3358" spans="12:13">
      <c r="L3358" s="20" t="str">
        <f t="shared" si="104"/>
        <v>N/A</v>
      </c>
      <c r="M3358" s="20" t="str">
        <f t="shared" si="105"/>
        <v>N/A</v>
      </c>
    </row>
    <row r="3359" spans="12:13">
      <c r="L3359" s="20" t="str">
        <f t="shared" si="104"/>
        <v>N/A</v>
      </c>
      <c r="M3359" s="20" t="str">
        <f t="shared" si="105"/>
        <v>N/A</v>
      </c>
    </row>
    <row r="3360" spans="12:13">
      <c r="L3360" s="20" t="str">
        <f t="shared" si="104"/>
        <v>N/A</v>
      </c>
      <c r="M3360" s="20" t="str">
        <f t="shared" si="105"/>
        <v>N/A</v>
      </c>
    </row>
    <row r="3361" spans="12:13">
      <c r="L3361" s="20" t="str">
        <f t="shared" si="104"/>
        <v>N/A</v>
      </c>
      <c r="M3361" s="20" t="str">
        <f t="shared" si="105"/>
        <v>N/A</v>
      </c>
    </row>
    <row r="3362" spans="12:13">
      <c r="L3362" s="20" t="str">
        <f t="shared" si="104"/>
        <v>N/A</v>
      </c>
      <c r="M3362" s="20" t="str">
        <f t="shared" si="105"/>
        <v>N/A</v>
      </c>
    </row>
    <row r="3363" spans="12:13">
      <c r="L3363" s="20" t="str">
        <f t="shared" si="104"/>
        <v>N/A</v>
      </c>
      <c r="M3363" s="20" t="str">
        <f t="shared" si="105"/>
        <v>N/A</v>
      </c>
    </row>
    <row r="3364" spans="12:13">
      <c r="L3364" s="20" t="str">
        <f t="shared" si="104"/>
        <v>N/A</v>
      </c>
      <c r="M3364" s="20" t="str">
        <f t="shared" si="105"/>
        <v>N/A</v>
      </c>
    </row>
    <row r="3365" spans="12:13">
      <c r="L3365" s="20" t="str">
        <f t="shared" si="104"/>
        <v>N/A</v>
      </c>
      <c r="M3365" s="20" t="str">
        <f t="shared" si="105"/>
        <v>N/A</v>
      </c>
    </row>
    <row r="3366" spans="12:13">
      <c r="L3366" s="20" t="str">
        <f t="shared" si="104"/>
        <v>N/A</v>
      </c>
      <c r="M3366" s="20" t="str">
        <f t="shared" si="105"/>
        <v>N/A</v>
      </c>
    </row>
    <row r="3367" spans="12:13">
      <c r="L3367" s="20" t="str">
        <f t="shared" si="104"/>
        <v>N/A</v>
      </c>
      <c r="M3367" s="20" t="str">
        <f t="shared" si="105"/>
        <v>N/A</v>
      </c>
    </row>
    <row r="3368" spans="12:13">
      <c r="L3368" s="20" t="str">
        <f t="shared" si="104"/>
        <v>N/A</v>
      </c>
      <c r="M3368" s="20" t="str">
        <f t="shared" si="105"/>
        <v>N/A</v>
      </c>
    </row>
    <row r="3369" spans="12:13">
      <c r="L3369" s="20" t="str">
        <f t="shared" si="104"/>
        <v>N/A</v>
      </c>
      <c r="M3369" s="20" t="str">
        <f t="shared" si="105"/>
        <v>N/A</v>
      </c>
    </row>
    <row r="3370" spans="12:13">
      <c r="L3370" s="20" t="str">
        <f t="shared" si="104"/>
        <v>N/A</v>
      </c>
      <c r="M3370" s="20" t="str">
        <f t="shared" si="105"/>
        <v>N/A</v>
      </c>
    </row>
    <row r="3371" spans="12:13">
      <c r="L3371" s="20" t="str">
        <f t="shared" si="104"/>
        <v>N/A</v>
      </c>
      <c r="M3371" s="20" t="str">
        <f t="shared" si="105"/>
        <v>N/A</v>
      </c>
    </row>
    <row r="3372" spans="12:13">
      <c r="L3372" s="20" t="str">
        <f t="shared" si="104"/>
        <v>N/A</v>
      </c>
      <c r="M3372" s="20" t="str">
        <f t="shared" si="105"/>
        <v>N/A</v>
      </c>
    </row>
    <row r="3373" spans="12:13">
      <c r="L3373" s="20" t="str">
        <f t="shared" si="104"/>
        <v>N/A</v>
      </c>
      <c r="M3373" s="20" t="str">
        <f t="shared" si="105"/>
        <v>N/A</v>
      </c>
    </row>
    <row r="3374" spans="12:13">
      <c r="L3374" s="20" t="str">
        <f t="shared" si="104"/>
        <v>N/A</v>
      </c>
      <c r="M3374" s="20" t="str">
        <f t="shared" si="105"/>
        <v>N/A</v>
      </c>
    </row>
    <row r="3375" spans="12:13">
      <c r="L3375" s="20" t="str">
        <f t="shared" si="104"/>
        <v>N/A</v>
      </c>
      <c r="M3375" s="20" t="str">
        <f t="shared" si="105"/>
        <v>N/A</v>
      </c>
    </row>
    <row r="3376" spans="12:13">
      <c r="L3376" s="20" t="str">
        <f t="shared" si="104"/>
        <v>N/A</v>
      </c>
      <c r="M3376" s="20" t="str">
        <f t="shared" si="105"/>
        <v>N/A</v>
      </c>
    </row>
    <row r="3377" spans="12:13">
      <c r="L3377" s="20" t="str">
        <f t="shared" si="104"/>
        <v>N/A</v>
      </c>
      <c r="M3377" s="20" t="str">
        <f t="shared" si="105"/>
        <v>N/A</v>
      </c>
    </row>
    <row r="3378" spans="12:13">
      <c r="L3378" s="20" t="str">
        <f t="shared" si="104"/>
        <v>N/A</v>
      </c>
      <c r="M3378" s="20" t="str">
        <f t="shared" si="105"/>
        <v>N/A</v>
      </c>
    </row>
    <row r="3379" spans="12:13">
      <c r="L3379" s="20" t="str">
        <f t="shared" si="104"/>
        <v>N/A</v>
      </c>
      <c r="M3379" s="20" t="str">
        <f t="shared" si="105"/>
        <v>N/A</v>
      </c>
    </row>
    <row r="3380" spans="12:13">
      <c r="L3380" s="20" t="str">
        <f t="shared" si="104"/>
        <v>N/A</v>
      </c>
      <c r="M3380" s="20" t="str">
        <f t="shared" si="105"/>
        <v>N/A</v>
      </c>
    </row>
    <row r="3381" spans="12:13">
      <c r="L3381" s="20" t="str">
        <f t="shared" si="104"/>
        <v>N/A</v>
      </c>
      <c r="M3381" s="20" t="str">
        <f t="shared" si="105"/>
        <v>N/A</v>
      </c>
    </row>
    <row r="3382" spans="12:13">
      <c r="L3382" s="20" t="str">
        <f t="shared" si="104"/>
        <v>N/A</v>
      </c>
      <c r="M3382" s="20" t="str">
        <f t="shared" si="105"/>
        <v>N/A</v>
      </c>
    </row>
    <row r="3383" spans="12:13">
      <c r="L3383" s="20" t="str">
        <f t="shared" si="104"/>
        <v>N/A</v>
      </c>
      <c r="M3383" s="20" t="str">
        <f t="shared" si="105"/>
        <v>N/A</v>
      </c>
    </row>
    <row r="3384" spans="12:13">
      <c r="L3384" s="20" t="str">
        <f t="shared" si="104"/>
        <v>N/A</v>
      </c>
      <c r="M3384" s="20" t="str">
        <f t="shared" si="105"/>
        <v>N/A</v>
      </c>
    </row>
    <row r="3385" spans="12:13">
      <c r="L3385" s="20" t="str">
        <f t="shared" si="104"/>
        <v>N/A</v>
      </c>
      <c r="M3385" s="20" t="str">
        <f t="shared" si="105"/>
        <v>N/A</v>
      </c>
    </row>
    <row r="3386" spans="12:13">
      <c r="L3386" s="20" t="str">
        <f t="shared" si="104"/>
        <v>N/A</v>
      </c>
      <c r="M3386" s="20" t="str">
        <f t="shared" si="105"/>
        <v>N/A</v>
      </c>
    </row>
    <row r="3387" spans="12:13">
      <c r="L3387" s="20" t="str">
        <f t="shared" si="104"/>
        <v>N/A</v>
      </c>
      <c r="M3387" s="20" t="str">
        <f t="shared" si="105"/>
        <v>N/A</v>
      </c>
    </row>
    <row r="3388" spans="12:13">
      <c r="L3388" s="20" t="str">
        <f t="shared" si="104"/>
        <v>N/A</v>
      </c>
      <c r="M3388" s="20" t="str">
        <f t="shared" si="105"/>
        <v>N/A</v>
      </c>
    </row>
    <row r="3389" spans="12:13">
      <c r="L3389" s="20" t="str">
        <f t="shared" si="104"/>
        <v>N/A</v>
      </c>
      <c r="M3389" s="20" t="str">
        <f t="shared" si="105"/>
        <v>N/A</v>
      </c>
    </row>
    <row r="3390" spans="12:13">
      <c r="L3390" s="20" t="str">
        <f t="shared" si="104"/>
        <v>N/A</v>
      </c>
      <c r="M3390" s="20" t="str">
        <f t="shared" si="105"/>
        <v>N/A</v>
      </c>
    </row>
    <row r="3391" spans="12:13">
      <c r="L3391" s="20" t="str">
        <f t="shared" si="104"/>
        <v>N/A</v>
      </c>
      <c r="M3391" s="20" t="str">
        <f t="shared" si="105"/>
        <v>N/A</v>
      </c>
    </row>
    <row r="3392" spans="12:13">
      <c r="L3392" s="20" t="str">
        <f t="shared" si="104"/>
        <v>N/A</v>
      </c>
      <c r="M3392" s="20" t="str">
        <f t="shared" si="105"/>
        <v>N/A</v>
      </c>
    </row>
    <row r="3393" spans="12:13">
      <c r="L3393" s="20" t="str">
        <f t="shared" si="104"/>
        <v>N/A</v>
      </c>
      <c r="M3393" s="20" t="str">
        <f t="shared" si="105"/>
        <v>N/A</v>
      </c>
    </row>
    <row r="3394" spans="12:13">
      <c r="L3394" s="20" t="str">
        <f t="shared" si="104"/>
        <v>N/A</v>
      </c>
      <c r="M3394" s="20" t="str">
        <f t="shared" si="105"/>
        <v>N/A</v>
      </c>
    </row>
    <row r="3395" spans="12:13">
      <c r="L3395" s="20" t="str">
        <f t="shared" ref="L3395:L3458" si="106">+IF(LEFT(D3395,1)="1","Asset","N/A")</f>
        <v>N/A</v>
      </c>
      <c r="M3395" s="20" t="str">
        <f t="shared" ref="M3395:M3458" si="107">+IF(L3395="asset",IF(H3395&lt;0,"Provide Comment","okay"),"N/A")</f>
        <v>N/A</v>
      </c>
    </row>
    <row r="3396" spans="12:13">
      <c r="L3396" s="20" t="str">
        <f t="shared" si="106"/>
        <v>N/A</v>
      </c>
      <c r="M3396" s="20" t="str">
        <f t="shared" si="107"/>
        <v>N/A</v>
      </c>
    </row>
    <row r="3397" spans="12:13">
      <c r="L3397" s="20" t="str">
        <f t="shared" si="106"/>
        <v>N/A</v>
      </c>
      <c r="M3397" s="20" t="str">
        <f t="shared" si="107"/>
        <v>N/A</v>
      </c>
    </row>
    <row r="3398" spans="12:13">
      <c r="L3398" s="20" t="str">
        <f t="shared" si="106"/>
        <v>N/A</v>
      </c>
      <c r="M3398" s="20" t="str">
        <f t="shared" si="107"/>
        <v>N/A</v>
      </c>
    </row>
    <row r="3399" spans="12:13">
      <c r="L3399" s="20" t="str">
        <f t="shared" si="106"/>
        <v>N/A</v>
      </c>
      <c r="M3399" s="20" t="str">
        <f t="shared" si="107"/>
        <v>N/A</v>
      </c>
    </row>
    <row r="3400" spans="12:13">
      <c r="L3400" s="20" t="str">
        <f t="shared" si="106"/>
        <v>N/A</v>
      </c>
      <c r="M3400" s="20" t="str">
        <f t="shared" si="107"/>
        <v>N/A</v>
      </c>
    </row>
    <row r="3401" spans="12:13">
      <c r="L3401" s="20" t="str">
        <f t="shared" si="106"/>
        <v>N/A</v>
      </c>
      <c r="M3401" s="20" t="str">
        <f t="shared" si="107"/>
        <v>N/A</v>
      </c>
    </row>
    <row r="3402" spans="12:13">
      <c r="L3402" s="20" t="str">
        <f t="shared" si="106"/>
        <v>N/A</v>
      </c>
      <c r="M3402" s="20" t="str">
        <f t="shared" si="107"/>
        <v>N/A</v>
      </c>
    </row>
    <row r="3403" spans="12:13">
      <c r="L3403" s="20" t="str">
        <f t="shared" si="106"/>
        <v>N/A</v>
      </c>
      <c r="M3403" s="20" t="str">
        <f t="shared" si="107"/>
        <v>N/A</v>
      </c>
    </row>
    <row r="3404" spans="12:13">
      <c r="L3404" s="20" t="str">
        <f t="shared" si="106"/>
        <v>N/A</v>
      </c>
      <c r="M3404" s="20" t="str">
        <f t="shared" si="107"/>
        <v>N/A</v>
      </c>
    </row>
    <row r="3405" spans="12:13">
      <c r="L3405" s="20" t="str">
        <f t="shared" si="106"/>
        <v>N/A</v>
      </c>
      <c r="M3405" s="20" t="str">
        <f t="shared" si="107"/>
        <v>N/A</v>
      </c>
    </row>
    <row r="3406" spans="12:13">
      <c r="L3406" s="20" t="str">
        <f t="shared" si="106"/>
        <v>N/A</v>
      </c>
      <c r="M3406" s="20" t="str">
        <f t="shared" si="107"/>
        <v>N/A</v>
      </c>
    </row>
    <row r="3407" spans="12:13">
      <c r="L3407" s="20" t="str">
        <f t="shared" si="106"/>
        <v>N/A</v>
      </c>
      <c r="M3407" s="20" t="str">
        <f t="shared" si="107"/>
        <v>N/A</v>
      </c>
    </row>
    <row r="3408" spans="12:13">
      <c r="L3408" s="20" t="str">
        <f t="shared" si="106"/>
        <v>N/A</v>
      </c>
      <c r="M3408" s="20" t="str">
        <f t="shared" si="107"/>
        <v>N/A</v>
      </c>
    </row>
    <row r="3409" spans="12:13">
      <c r="L3409" s="20" t="str">
        <f t="shared" si="106"/>
        <v>N/A</v>
      </c>
      <c r="M3409" s="20" t="str">
        <f t="shared" si="107"/>
        <v>N/A</v>
      </c>
    </row>
    <row r="3410" spans="12:13">
      <c r="L3410" s="20" t="str">
        <f t="shared" si="106"/>
        <v>N/A</v>
      </c>
      <c r="M3410" s="20" t="str">
        <f t="shared" si="107"/>
        <v>N/A</v>
      </c>
    </row>
    <row r="3411" spans="12:13">
      <c r="L3411" s="20" t="str">
        <f t="shared" si="106"/>
        <v>N/A</v>
      </c>
      <c r="M3411" s="20" t="str">
        <f t="shared" si="107"/>
        <v>N/A</v>
      </c>
    </row>
    <row r="3412" spans="12:13">
      <c r="L3412" s="20" t="str">
        <f t="shared" si="106"/>
        <v>N/A</v>
      </c>
      <c r="M3412" s="20" t="str">
        <f t="shared" si="107"/>
        <v>N/A</v>
      </c>
    </row>
    <row r="3413" spans="12:13">
      <c r="L3413" s="20" t="str">
        <f t="shared" si="106"/>
        <v>N/A</v>
      </c>
      <c r="M3413" s="20" t="str">
        <f t="shared" si="107"/>
        <v>N/A</v>
      </c>
    </row>
    <row r="3414" spans="12:13">
      <c r="L3414" s="20" t="str">
        <f t="shared" si="106"/>
        <v>N/A</v>
      </c>
      <c r="M3414" s="20" t="str">
        <f t="shared" si="107"/>
        <v>N/A</v>
      </c>
    </row>
    <row r="3415" spans="12:13">
      <c r="L3415" s="20" t="str">
        <f t="shared" si="106"/>
        <v>N/A</v>
      </c>
      <c r="M3415" s="20" t="str">
        <f t="shared" si="107"/>
        <v>N/A</v>
      </c>
    </row>
    <row r="3416" spans="12:13">
      <c r="L3416" s="20" t="str">
        <f t="shared" si="106"/>
        <v>N/A</v>
      </c>
      <c r="M3416" s="20" t="str">
        <f t="shared" si="107"/>
        <v>N/A</v>
      </c>
    </row>
    <row r="3417" spans="12:13">
      <c r="L3417" s="20" t="str">
        <f t="shared" si="106"/>
        <v>N/A</v>
      </c>
      <c r="M3417" s="20" t="str">
        <f t="shared" si="107"/>
        <v>N/A</v>
      </c>
    </row>
    <row r="3418" spans="12:13">
      <c r="L3418" s="20" t="str">
        <f t="shared" si="106"/>
        <v>N/A</v>
      </c>
      <c r="M3418" s="20" t="str">
        <f t="shared" si="107"/>
        <v>N/A</v>
      </c>
    </row>
    <row r="3419" spans="12:13">
      <c r="L3419" s="20" t="str">
        <f t="shared" si="106"/>
        <v>N/A</v>
      </c>
      <c r="M3419" s="20" t="str">
        <f t="shared" si="107"/>
        <v>N/A</v>
      </c>
    </row>
    <row r="3420" spans="12:13">
      <c r="L3420" s="20" t="str">
        <f t="shared" si="106"/>
        <v>N/A</v>
      </c>
      <c r="M3420" s="20" t="str">
        <f t="shared" si="107"/>
        <v>N/A</v>
      </c>
    </row>
    <row r="3421" spans="12:13">
      <c r="L3421" s="20" t="str">
        <f t="shared" si="106"/>
        <v>N/A</v>
      </c>
      <c r="M3421" s="20" t="str">
        <f t="shared" si="107"/>
        <v>N/A</v>
      </c>
    </row>
    <row r="3422" spans="12:13">
      <c r="L3422" s="20" t="str">
        <f t="shared" si="106"/>
        <v>N/A</v>
      </c>
      <c r="M3422" s="20" t="str">
        <f t="shared" si="107"/>
        <v>N/A</v>
      </c>
    </row>
    <row r="3423" spans="12:13">
      <c r="L3423" s="20" t="str">
        <f t="shared" si="106"/>
        <v>N/A</v>
      </c>
      <c r="M3423" s="20" t="str">
        <f t="shared" si="107"/>
        <v>N/A</v>
      </c>
    </row>
    <row r="3424" spans="12:13">
      <c r="L3424" s="20" t="str">
        <f t="shared" si="106"/>
        <v>N/A</v>
      </c>
      <c r="M3424" s="20" t="str">
        <f t="shared" si="107"/>
        <v>N/A</v>
      </c>
    </row>
    <row r="3425" spans="12:13">
      <c r="L3425" s="20" t="str">
        <f t="shared" si="106"/>
        <v>N/A</v>
      </c>
      <c r="M3425" s="20" t="str">
        <f t="shared" si="107"/>
        <v>N/A</v>
      </c>
    </row>
    <row r="3426" spans="12:13">
      <c r="L3426" s="20" t="str">
        <f t="shared" si="106"/>
        <v>N/A</v>
      </c>
      <c r="M3426" s="20" t="str">
        <f t="shared" si="107"/>
        <v>N/A</v>
      </c>
    </row>
    <row r="3427" spans="12:13">
      <c r="L3427" s="20" t="str">
        <f t="shared" si="106"/>
        <v>N/A</v>
      </c>
      <c r="M3427" s="20" t="str">
        <f t="shared" si="107"/>
        <v>N/A</v>
      </c>
    </row>
    <row r="3428" spans="12:13">
      <c r="L3428" s="20" t="str">
        <f t="shared" si="106"/>
        <v>N/A</v>
      </c>
      <c r="M3428" s="20" t="str">
        <f t="shared" si="107"/>
        <v>N/A</v>
      </c>
    </row>
    <row r="3429" spans="12:13">
      <c r="L3429" s="20" t="str">
        <f t="shared" si="106"/>
        <v>N/A</v>
      </c>
      <c r="M3429" s="20" t="str">
        <f t="shared" si="107"/>
        <v>N/A</v>
      </c>
    </row>
    <row r="3430" spans="12:13">
      <c r="L3430" s="20" t="str">
        <f t="shared" si="106"/>
        <v>N/A</v>
      </c>
      <c r="M3430" s="20" t="str">
        <f t="shared" si="107"/>
        <v>N/A</v>
      </c>
    </row>
    <row r="3431" spans="12:13">
      <c r="L3431" s="20" t="str">
        <f t="shared" si="106"/>
        <v>N/A</v>
      </c>
      <c r="M3431" s="20" t="str">
        <f t="shared" si="107"/>
        <v>N/A</v>
      </c>
    </row>
    <row r="3432" spans="12:13">
      <c r="L3432" s="20" t="str">
        <f t="shared" si="106"/>
        <v>N/A</v>
      </c>
      <c r="M3432" s="20" t="str">
        <f t="shared" si="107"/>
        <v>N/A</v>
      </c>
    </row>
    <row r="3433" spans="12:13">
      <c r="L3433" s="20" t="str">
        <f t="shared" si="106"/>
        <v>N/A</v>
      </c>
      <c r="M3433" s="20" t="str">
        <f t="shared" si="107"/>
        <v>N/A</v>
      </c>
    </row>
    <row r="3434" spans="12:13">
      <c r="L3434" s="20" t="str">
        <f t="shared" si="106"/>
        <v>N/A</v>
      </c>
      <c r="M3434" s="20" t="str">
        <f t="shared" si="107"/>
        <v>N/A</v>
      </c>
    </row>
    <row r="3435" spans="12:13">
      <c r="L3435" s="20" t="str">
        <f t="shared" si="106"/>
        <v>N/A</v>
      </c>
      <c r="M3435" s="20" t="str">
        <f t="shared" si="107"/>
        <v>N/A</v>
      </c>
    </row>
    <row r="3436" spans="12:13">
      <c r="L3436" s="20" t="str">
        <f t="shared" si="106"/>
        <v>N/A</v>
      </c>
      <c r="M3436" s="20" t="str">
        <f t="shared" si="107"/>
        <v>N/A</v>
      </c>
    </row>
    <row r="3437" spans="12:13">
      <c r="L3437" s="20" t="str">
        <f t="shared" si="106"/>
        <v>N/A</v>
      </c>
      <c r="M3437" s="20" t="str">
        <f t="shared" si="107"/>
        <v>N/A</v>
      </c>
    </row>
    <row r="3438" spans="12:13">
      <c r="L3438" s="20" t="str">
        <f t="shared" si="106"/>
        <v>N/A</v>
      </c>
      <c r="M3438" s="20" t="str">
        <f t="shared" si="107"/>
        <v>N/A</v>
      </c>
    </row>
    <row r="3439" spans="12:13">
      <c r="L3439" s="20" t="str">
        <f t="shared" si="106"/>
        <v>N/A</v>
      </c>
      <c r="M3439" s="20" t="str">
        <f t="shared" si="107"/>
        <v>N/A</v>
      </c>
    </row>
    <row r="3440" spans="12:13">
      <c r="L3440" s="20" t="str">
        <f t="shared" si="106"/>
        <v>N/A</v>
      </c>
      <c r="M3440" s="20" t="str">
        <f t="shared" si="107"/>
        <v>N/A</v>
      </c>
    </row>
    <row r="3441" spans="12:13">
      <c r="L3441" s="20" t="str">
        <f t="shared" si="106"/>
        <v>N/A</v>
      </c>
      <c r="M3441" s="20" t="str">
        <f t="shared" si="107"/>
        <v>N/A</v>
      </c>
    </row>
    <row r="3442" spans="12:13">
      <c r="L3442" s="20" t="str">
        <f t="shared" si="106"/>
        <v>N/A</v>
      </c>
      <c r="M3442" s="20" t="str">
        <f t="shared" si="107"/>
        <v>N/A</v>
      </c>
    </row>
    <row r="3443" spans="12:13">
      <c r="L3443" s="20" t="str">
        <f t="shared" si="106"/>
        <v>N/A</v>
      </c>
      <c r="M3443" s="20" t="str">
        <f t="shared" si="107"/>
        <v>N/A</v>
      </c>
    </row>
    <row r="3444" spans="12:13">
      <c r="L3444" s="20" t="str">
        <f t="shared" si="106"/>
        <v>N/A</v>
      </c>
      <c r="M3444" s="20" t="str">
        <f t="shared" si="107"/>
        <v>N/A</v>
      </c>
    </row>
    <row r="3445" spans="12:13">
      <c r="L3445" s="20" t="str">
        <f t="shared" si="106"/>
        <v>N/A</v>
      </c>
      <c r="M3445" s="20" t="str">
        <f t="shared" si="107"/>
        <v>N/A</v>
      </c>
    </row>
    <row r="3446" spans="12:13">
      <c r="L3446" s="20" t="str">
        <f t="shared" si="106"/>
        <v>N/A</v>
      </c>
      <c r="M3446" s="20" t="str">
        <f t="shared" si="107"/>
        <v>N/A</v>
      </c>
    </row>
    <row r="3447" spans="12:13">
      <c r="L3447" s="20" t="str">
        <f t="shared" si="106"/>
        <v>N/A</v>
      </c>
      <c r="M3447" s="20" t="str">
        <f t="shared" si="107"/>
        <v>N/A</v>
      </c>
    </row>
    <row r="3448" spans="12:13">
      <c r="L3448" s="20" t="str">
        <f t="shared" si="106"/>
        <v>N/A</v>
      </c>
      <c r="M3448" s="20" t="str">
        <f t="shared" si="107"/>
        <v>N/A</v>
      </c>
    </row>
    <row r="3449" spans="12:13">
      <c r="L3449" s="20" t="str">
        <f t="shared" si="106"/>
        <v>N/A</v>
      </c>
      <c r="M3449" s="20" t="str">
        <f t="shared" si="107"/>
        <v>N/A</v>
      </c>
    </row>
    <row r="3450" spans="12:13">
      <c r="L3450" s="20" t="str">
        <f t="shared" si="106"/>
        <v>N/A</v>
      </c>
      <c r="M3450" s="20" t="str">
        <f t="shared" si="107"/>
        <v>N/A</v>
      </c>
    </row>
    <row r="3451" spans="12:13">
      <c r="L3451" s="20" t="str">
        <f t="shared" si="106"/>
        <v>N/A</v>
      </c>
      <c r="M3451" s="20" t="str">
        <f t="shared" si="107"/>
        <v>N/A</v>
      </c>
    </row>
    <row r="3452" spans="12:13">
      <c r="L3452" s="20" t="str">
        <f t="shared" si="106"/>
        <v>N/A</v>
      </c>
      <c r="M3452" s="20" t="str">
        <f t="shared" si="107"/>
        <v>N/A</v>
      </c>
    </row>
    <row r="3453" spans="12:13">
      <c r="L3453" s="20" t="str">
        <f t="shared" si="106"/>
        <v>N/A</v>
      </c>
      <c r="M3453" s="20" t="str">
        <f t="shared" si="107"/>
        <v>N/A</v>
      </c>
    </row>
    <row r="3454" spans="12:13">
      <c r="L3454" s="20" t="str">
        <f t="shared" si="106"/>
        <v>N/A</v>
      </c>
      <c r="M3454" s="20" t="str">
        <f t="shared" si="107"/>
        <v>N/A</v>
      </c>
    </row>
    <row r="3455" spans="12:13">
      <c r="L3455" s="20" t="str">
        <f t="shared" si="106"/>
        <v>N/A</v>
      </c>
      <c r="M3455" s="20" t="str">
        <f t="shared" si="107"/>
        <v>N/A</v>
      </c>
    </row>
    <row r="3456" spans="12:13">
      <c r="L3456" s="20" t="str">
        <f t="shared" si="106"/>
        <v>N/A</v>
      </c>
      <c r="M3456" s="20" t="str">
        <f t="shared" si="107"/>
        <v>N/A</v>
      </c>
    </row>
    <row r="3457" spans="12:13">
      <c r="L3457" s="20" t="str">
        <f t="shared" si="106"/>
        <v>N/A</v>
      </c>
      <c r="M3457" s="20" t="str">
        <f t="shared" si="107"/>
        <v>N/A</v>
      </c>
    </row>
    <row r="3458" spans="12:13">
      <c r="L3458" s="20" t="str">
        <f t="shared" si="106"/>
        <v>N/A</v>
      </c>
      <c r="M3458" s="20" t="str">
        <f t="shared" si="107"/>
        <v>N/A</v>
      </c>
    </row>
    <row r="3459" spans="12:13">
      <c r="L3459" s="20" t="str">
        <f t="shared" ref="L3459:L3522" si="108">+IF(LEFT(D3459,1)="1","Asset","N/A")</f>
        <v>N/A</v>
      </c>
      <c r="M3459" s="20" t="str">
        <f t="shared" ref="M3459:M3522" si="109">+IF(L3459="asset",IF(H3459&lt;0,"Provide Comment","okay"),"N/A")</f>
        <v>N/A</v>
      </c>
    </row>
    <row r="3460" spans="12:13">
      <c r="L3460" s="20" t="str">
        <f t="shared" si="108"/>
        <v>N/A</v>
      </c>
      <c r="M3460" s="20" t="str">
        <f t="shared" si="109"/>
        <v>N/A</v>
      </c>
    </row>
    <row r="3461" spans="12:13">
      <c r="L3461" s="20" t="str">
        <f t="shared" si="108"/>
        <v>N/A</v>
      </c>
      <c r="M3461" s="20" t="str">
        <f t="shared" si="109"/>
        <v>N/A</v>
      </c>
    </row>
    <row r="3462" spans="12:13">
      <c r="L3462" s="20" t="str">
        <f t="shared" si="108"/>
        <v>N/A</v>
      </c>
      <c r="M3462" s="20" t="str">
        <f t="shared" si="109"/>
        <v>N/A</v>
      </c>
    </row>
    <row r="3463" spans="12:13">
      <c r="L3463" s="20" t="str">
        <f t="shared" si="108"/>
        <v>N/A</v>
      </c>
      <c r="M3463" s="20" t="str">
        <f t="shared" si="109"/>
        <v>N/A</v>
      </c>
    </row>
    <row r="3464" spans="12:13">
      <c r="L3464" s="20" t="str">
        <f t="shared" si="108"/>
        <v>N/A</v>
      </c>
      <c r="M3464" s="20" t="str">
        <f t="shared" si="109"/>
        <v>N/A</v>
      </c>
    </row>
    <row r="3465" spans="12:13">
      <c r="L3465" s="20" t="str">
        <f t="shared" si="108"/>
        <v>N/A</v>
      </c>
      <c r="M3465" s="20" t="str">
        <f t="shared" si="109"/>
        <v>N/A</v>
      </c>
    </row>
    <row r="3466" spans="12:13">
      <c r="L3466" s="20" t="str">
        <f t="shared" si="108"/>
        <v>N/A</v>
      </c>
      <c r="M3466" s="20" t="str">
        <f t="shared" si="109"/>
        <v>N/A</v>
      </c>
    </row>
    <row r="3467" spans="12:13">
      <c r="L3467" s="20" t="str">
        <f t="shared" si="108"/>
        <v>N/A</v>
      </c>
      <c r="M3467" s="20" t="str">
        <f t="shared" si="109"/>
        <v>N/A</v>
      </c>
    </row>
    <row r="3468" spans="12:13">
      <c r="L3468" s="20" t="str">
        <f t="shared" si="108"/>
        <v>N/A</v>
      </c>
      <c r="M3468" s="20" t="str">
        <f t="shared" si="109"/>
        <v>N/A</v>
      </c>
    </row>
    <row r="3469" spans="12:13">
      <c r="L3469" s="20" t="str">
        <f t="shared" si="108"/>
        <v>N/A</v>
      </c>
      <c r="M3469" s="20" t="str">
        <f t="shared" si="109"/>
        <v>N/A</v>
      </c>
    </row>
    <row r="3470" spans="12:13">
      <c r="L3470" s="20" t="str">
        <f t="shared" si="108"/>
        <v>N/A</v>
      </c>
      <c r="M3470" s="20" t="str">
        <f t="shared" si="109"/>
        <v>N/A</v>
      </c>
    </row>
    <row r="3471" spans="12:13">
      <c r="L3471" s="20" t="str">
        <f t="shared" si="108"/>
        <v>N/A</v>
      </c>
      <c r="M3471" s="20" t="str">
        <f t="shared" si="109"/>
        <v>N/A</v>
      </c>
    </row>
    <row r="3472" spans="12:13">
      <c r="L3472" s="20" t="str">
        <f t="shared" si="108"/>
        <v>N/A</v>
      </c>
      <c r="M3472" s="20" t="str">
        <f t="shared" si="109"/>
        <v>N/A</v>
      </c>
    </row>
    <row r="3473" spans="12:13">
      <c r="L3473" s="20" t="str">
        <f t="shared" si="108"/>
        <v>N/A</v>
      </c>
      <c r="M3473" s="20" t="str">
        <f t="shared" si="109"/>
        <v>N/A</v>
      </c>
    </row>
    <row r="3474" spans="12:13">
      <c r="L3474" s="20" t="str">
        <f t="shared" si="108"/>
        <v>N/A</v>
      </c>
      <c r="M3474" s="20" t="str">
        <f t="shared" si="109"/>
        <v>N/A</v>
      </c>
    </row>
    <row r="3475" spans="12:13">
      <c r="L3475" s="20" t="str">
        <f t="shared" si="108"/>
        <v>N/A</v>
      </c>
      <c r="M3475" s="20" t="str">
        <f t="shared" si="109"/>
        <v>N/A</v>
      </c>
    </row>
    <row r="3476" spans="12:13">
      <c r="L3476" s="20" t="str">
        <f t="shared" si="108"/>
        <v>N/A</v>
      </c>
      <c r="M3476" s="20" t="str">
        <f t="shared" si="109"/>
        <v>N/A</v>
      </c>
    </row>
    <row r="3477" spans="12:13">
      <c r="L3477" s="20" t="str">
        <f t="shared" si="108"/>
        <v>N/A</v>
      </c>
      <c r="M3477" s="20" t="str">
        <f t="shared" si="109"/>
        <v>N/A</v>
      </c>
    </row>
    <row r="3478" spans="12:13">
      <c r="L3478" s="20" t="str">
        <f t="shared" si="108"/>
        <v>N/A</v>
      </c>
      <c r="M3478" s="20" t="str">
        <f t="shared" si="109"/>
        <v>N/A</v>
      </c>
    </row>
    <row r="3479" spans="12:13">
      <c r="L3479" s="20" t="str">
        <f t="shared" si="108"/>
        <v>N/A</v>
      </c>
      <c r="M3479" s="20" t="str">
        <f t="shared" si="109"/>
        <v>N/A</v>
      </c>
    </row>
    <row r="3480" spans="12:13">
      <c r="L3480" s="20" t="str">
        <f t="shared" si="108"/>
        <v>N/A</v>
      </c>
      <c r="M3480" s="20" t="str">
        <f t="shared" si="109"/>
        <v>N/A</v>
      </c>
    </row>
    <row r="3481" spans="12:13">
      <c r="L3481" s="20" t="str">
        <f t="shared" si="108"/>
        <v>N/A</v>
      </c>
      <c r="M3481" s="20" t="str">
        <f t="shared" si="109"/>
        <v>N/A</v>
      </c>
    </row>
    <row r="3482" spans="12:13">
      <c r="L3482" s="20" t="str">
        <f t="shared" si="108"/>
        <v>N/A</v>
      </c>
      <c r="M3482" s="20" t="str">
        <f t="shared" si="109"/>
        <v>N/A</v>
      </c>
    </row>
    <row r="3483" spans="12:13">
      <c r="L3483" s="20" t="str">
        <f t="shared" si="108"/>
        <v>N/A</v>
      </c>
      <c r="M3483" s="20" t="str">
        <f t="shared" si="109"/>
        <v>N/A</v>
      </c>
    </row>
    <row r="3484" spans="12:13">
      <c r="L3484" s="20" t="str">
        <f t="shared" si="108"/>
        <v>N/A</v>
      </c>
      <c r="M3484" s="20" t="str">
        <f t="shared" si="109"/>
        <v>N/A</v>
      </c>
    </row>
    <row r="3485" spans="12:13">
      <c r="L3485" s="20" t="str">
        <f t="shared" si="108"/>
        <v>N/A</v>
      </c>
      <c r="M3485" s="20" t="str">
        <f t="shared" si="109"/>
        <v>N/A</v>
      </c>
    </row>
    <row r="3486" spans="12:13">
      <c r="L3486" s="20" t="str">
        <f t="shared" si="108"/>
        <v>N/A</v>
      </c>
      <c r="M3486" s="20" t="str">
        <f t="shared" si="109"/>
        <v>N/A</v>
      </c>
    </row>
    <row r="3487" spans="12:13">
      <c r="L3487" s="20" t="str">
        <f t="shared" si="108"/>
        <v>N/A</v>
      </c>
      <c r="M3487" s="20" t="str">
        <f t="shared" si="109"/>
        <v>N/A</v>
      </c>
    </row>
    <row r="3488" spans="12:13">
      <c r="L3488" s="20" t="str">
        <f t="shared" si="108"/>
        <v>N/A</v>
      </c>
      <c r="M3488" s="20" t="str">
        <f t="shared" si="109"/>
        <v>N/A</v>
      </c>
    </row>
    <row r="3489" spans="12:13">
      <c r="L3489" s="20" t="str">
        <f t="shared" si="108"/>
        <v>N/A</v>
      </c>
      <c r="M3489" s="20" t="str">
        <f t="shared" si="109"/>
        <v>N/A</v>
      </c>
    </row>
    <row r="3490" spans="12:13">
      <c r="L3490" s="20" t="str">
        <f t="shared" si="108"/>
        <v>N/A</v>
      </c>
      <c r="M3490" s="20" t="str">
        <f t="shared" si="109"/>
        <v>N/A</v>
      </c>
    </row>
    <row r="3491" spans="12:13">
      <c r="L3491" s="20" t="str">
        <f t="shared" si="108"/>
        <v>N/A</v>
      </c>
      <c r="M3491" s="20" t="str">
        <f t="shared" si="109"/>
        <v>N/A</v>
      </c>
    </row>
    <row r="3492" spans="12:13">
      <c r="L3492" s="20" t="str">
        <f t="shared" si="108"/>
        <v>N/A</v>
      </c>
      <c r="M3492" s="20" t="str">
        <f t="shared" si="109"/>
        <v>N/A</v>
      </c>
    </row>
    <row r="3493" spans="12:13">
      <c r="L3493" s="20" t="str">
        <f t="shared" si="108"/>
        <v>N/A</v>
      </c>
      <c r="M3493" s="20" t="str">
        <f t="shared" si="109"/>
        <v>N/A</v>
      </c>
    </row>
    <row r="3494" spans="12:13">
      <c r="L3494" s="20" t="str">
        <f t="shared" si="108"/>
        <v>N/A</v>
      </c>
      <c r="M3494" s="20" t="str">
        <f t="shared" si="109"/>
        <v>N/A</v>
      </c>
    </row>
    <row r="3495" spans="12:13">
      <c r="L3495" s="20" t="str">
        <f t="shared" si="108"/>
        <v>N/A</v>
      </c>
      <c r="M3495" s="20" t="str">
        <f t="shared" si="109"/>
        <v>N/A</v>
      </c>
    </row>
    <row r="3496" spans="12:13">
      <c r="L3496" s="20" t="str">
        <f t="shared" si="108"/>
        <v>N/A</v>
      </c>
      <c r="M3496" s="20" t="str">
        <f t="shared" si="109"/>
        <v>N/A</v>
      </c>
    </row>
    <row r="3497" spans="12:13">
      <c r="L3497" s="20" t="str">
        <f t="shared" si="108"/>
        <v>N/A</v>
      </c>
      <c r="M3497" s="20" t="str">
        <f t="shared" si="109"/>
        <v>N/A</v>
      </c>
    </row>
    <row r="3498" spans="12:13">
      <c r="L3498" s="20" t="str">
        <f t="shared" si="108"/>
        <v>N/A</v>
      </c>
      <c r="M3498" s="20" t="str">
        <f t="shared" si="109"/>
        <v>N/A</v>
      </c>
    </row>
    <row r="3499" spans="12:13">
      <c r="L3499" s="20" t="str">
        <f t="shared" si="108"/>
        <v>N/A</v>
      </c>
      <c r="M3499" s="20" t="str">
        <f t="shared" si="109"/>
        <v>N/A</v>
      </c>
    </row>
    <row r="3500" spans="12:13">
      <c r="L3500" s="20" t="str">
        <f t="shared" si="108"/>
        <v>N/A</v>
      </c>
      <c r="M3500" s="20" t="str">
        <f t="shared" si="109"/>
        <v>N/A</v>
      </c>
    </row>
    <row r="3501" spans="12:13">
      <c r="L3501" s="20" t="str">
        <f t="shared" si="108"/>
        <v>N/A</v>
      </c>
      <c r="M3501" s="20" t="str">
        <f t="shared" si="109"/>
        <v>N/A</v>
      </c>
    </row>
    <row r="3502" spans="12:13">
      <c r="L3502" s="20" t="str">
        <f t="shared" si="108"/>
        <v>N/A</v>
      </c>
      <c r="M3502" s="20" t="str">
        <f t="shared" si="109"/>
        <v>N/A</v>
      </c>
    </row>
    <row r="3503" spans="12:13">
      <c r="L3503" s="20" t="str">
        <f t="shared" si="108"/>
        <v>N/A</v>
      </c>
      <c r="M3503" s="20" t="str">
        <f t="shared" si="109"/>
        <v>N/A</v>
      </c>
    </row>
    <row r="3504" spans="12:13">
      <c r="L3504" s="20" t="str">
        <f t="shared" si="108"/>
        <v>N/A</v>
      </c>
      <c r="M3504" s="20" t="str">
        <f t="shared" si="109"/>
        <v>N/A</v>
      </c>
    </row>
    <row r="3505" spans="12:13">
      <c r="L3505" s="20" t="str">
        <f t="shared" si="108"/>
        <v>N/A</v>
      </c>
      <c r="M3505" s="20" t="str">
        <f t="shared" si="109"/>
        <v>N/A</v>
      </c>
    </row>
    <row r="3506" spans="12:13">
      <c r="L3506" s="20" t="str">
        <f t="shared" si="108"/>
        <v>N/A</v>
      </c>
      <c r="M3506" s="20" t="str">
        <f t="shared" si="109"/>
        <v>N/A</v>
      </c>
    </row>
    <row r="3507" spans="12:13">
      <c r="L3507" s="20" t="str">
        <f t="shared" si="108"/>
        <v>N/A</v>
      </c>
      <c r="M3507" s="20" t="str">
        <f t="shared" si="109"/>
        <v>N/A</v>
      </c>
    </row>
    <row r="3508" spans="12:13">
      <c r="L3508" s="20" t="str">
        <f t="shared" si="108"/>
        <v>N/A</v>
      </c>
      <c r="M3508" s="20" t="str">
        <f t="shared" si="109"/>
        <v>N/A</v>
      </c>
    </row>
    <row r="3509" spans="12:13">
      <c r="L3509" s="20" t="str">
        <f t="shared" si="108"/>
        <v>N/A</v>
      </c>
      <c r="M3509" s="20" t="str">
        <f t="shared" si="109"/>
        <v>N/A</v>
      </c>
    </row>
    <row r="3510" spans="12:13">
      <c r="L3510" s="20" t="str">
        <f t="shared" si="108"/>
        <v>N/A</v>
      </c>
      <c r="M3510" s="20" t="str">
        <f t="shared" si="109"/>
        <v>N/A</v>
      </c>
    </row>
    <row r="3511" spans="12:13">
      <c r="L3511" s="20" t="str">
        <f t="shared" si="108"/>
        <v>N/A</v>
      </c>
      <c r="M3511" s="20" t="str">
        <f t="shared" si="109"/>
        <v>N/A</v>
      </c>
    </row>
    <row r="3512" spans="12:13">
      <c r="L3512" s="20" t="str">
        <f t="shared" si="108"/>
        <v>N/A</v>
      </c>
      <c r="M3512" s="20" t="str">
        <f t="shared" si="109"/>
        <v>N/A</v>
      </c>
    </row>
    <row r="3513" spans="12:13">
      <c r="L3513" s="20" t="str">
        <f t="shared" si="108"/>
        <v>N/A</v>
      </c>
      <c r="M3513" s="20" t="str">
        <f t="shared" si="109"/>
        <v>N/A</v>
      </c>
    </row>
    <row r="3514" spans="12:13">
      <c r="L3514" s="20" t="str">
        <f t="shared" si="108"/>
        <v>N/A</v>
      </c>
      <c r="M3514" s="20" t="str">
        <f t="shared" si="109"/>
        <v>N/A</v>
      </c>
    </row>
    <row r="3515" spans="12:13">
      <c r="L3515" s="20" t="str">
        <f t="shared" si="108"/>
        <v>N/A</v>
      </c>
      <c r="M3515" s="20" t="str">
        <f t="shared" si="109"/>
        <v>N/A</v>
      </c>
    </row>
    <row r="3516" spans="12:13">
      <c r="L3516" s="20" t="str">
        <f t="shared" si="108"/>
        <v>N/A</v>
      </c>
      <c r="M3516" s="20" t="str">
        <f t="shared" si="109"/>
        <v>N/A</v>
      </c>
    </row>
    <row r="3517" spans="12:13">
      <c r="L3517" s="20" t="str">
        <f t="shared" si="108"/>
        <v>N/A</v>
      </c>
      <c r="M3517" s="20" t="str">
        <f t="shared" si="109"/>
        <v>N/A</v>
      </c>
    </row>
    <row r="3518" spans="12:13">
      <c r="L3518" s="20" t="str">
        <f t="shared" si="108"/>
        <v>N/A</v>
      </c>
      <c r="M3518" s="20" t="str">
        <f t="shared" si="109"/>
        <v>N/A</v>
      </c>
    </row>
    <row r="3519" spans="12:13">
      <c r="L3519" s="20" t="str">
        <f t="shared" si="108"/>
        <v>N/A</v>
      </c>
      <c r="M3519" s="20" t="str">
        <f t="shared" si="109"/>
        <v>N/A</v>
      </c>
    </row>
    <row r="3520" spans="12:13">
      <c r="L3520" s="20" t="str">
        <f t="shared" si="108"/>
        <v>N/A</v>
      </c>
      <c r="M3520" s="20" t="str">
        <f t="shared" si="109"/>
        <v>N/A</v>
      </c>
    </row>
    <row r="3521" spans="12:13">
      <c r="L3521" s="20" t="str">
        <f t="shared" si="108"/>
        <v>N/A</v>
      </c>
      <c r="M3521" s="20" t="str">
        <f t="shared" si="109"/>
        <v>N/A</v>
      </c>
    </row>
    <row r="3522" spans="12:13">
      <c r="L3522" s="20" t="str">
        <f t="shared" si="108"/>
        <v>N/A</v>
      </c>
      <c r="M3522" s="20" t="str">
        <f t="shared" si="109"/>
        <v>N/A</v>
      </c>
    </row>
    <row r="3523" spans="12:13">
      <c r="L3523" s="20" t="str">
        <f t="shared" ref="L3523:L3586" si="110">+IF(LEFT(D3523,1)="1","Asset","N/A")</f>
        <v>N/A</v>
      </c>
      <c r="M3523" s="20" t="str">
        <f t="shared" ref="M3523:M3586" si="111">+IF(L3523="asset",IF(H3523&lt;0,"Provide Comment","okay"),"N/A")</f>
        <v>N/A</v>
      </c>
    </row>
    <row r="3524" spans="12:13">
      <c r="L3524" s="20" t="str">
        <f t="shared" si="110"/>
        <v>N/A</v>
      </c>
      <c r="M3524" s="20" t="str">
        <f t="shared" si="111"/>
        <v>N/A</v>
      </c>
    </row>
    <row r="3525" spans="12:13">
      <c r="L3525" s="20" t="str">
        <f t="shared" si="110"/>
        <v>N/A</v>
      </c>
      <c r="M3525" s="20" t="str">
        <f t="shared" si="111"/>
        <v>N/A</v>
      </c>
    </row>
    <row r="3526" spans="12:13">
      <c r="L3526" s="20" t="str">
        <f t="shared" si="110"/>
        <v>N/A</v>
      </c>
      <c r="M3526" s="20" t="str">
        <f t="shared" si="111"/>
        <v>N/A</v>
      </c>
    </row>
    <row r="3527" spans="12:13">
      <c r="L3527" s="20" t="str">
        <f t="shared" si="110"/>
        <v>N/A</v>
      </c>
      <c r="M3527" s="20" t="str">
        <f t="shared" si="111"/>
        <v>N/A</v>
      </c>
    </row>
    <row r="3528" spans="12:13">
      <c r="L3528" s="20" t="str">
        <f t="shared" si="110"/>
        <v>N/A</v>
      </c>
      <c r="M3528" s="20" t="str">
        <f t="shared" si="111"/>
        <v>N/A</v>
      </c>
    </row>
    <row r="3529" spans="12:13">
      <c r="L3529" s="20" t="str">
        <f t="shared" si="110"/>
        <v>N/A</v>
      </c>
      <c r="M3529" s="20" t="str">
        <f t="shared" si="111"/>
        <v>N/A</v>
      </c>
    </row>
    <row r="3530" spans="12:13">
      <c r="L3530" s="20" t="str">
        <f t="shared" si="110"/>
        <v>N/A</v>
      </c>
      <c r="M3530" s="20" t="str">
        <f t="shared" si="111"/>
        <v>N/A</v>
      </c>
    </row>
    <row r="3531" spans="12:13">
      <c r="L3531" s="20" t="str">
        <f t="shared" si="110"/>
        <v>N/A</v>
      </c>
      <c r="M3531" s="20" t="str">
        <f t="shared" si="111"/>
        <v>N/A</v>
      </c>
    </row>
    <row r="3532" spans="12:13">
      <c r="L3532" s="20" t="str">
        <f t="shared" si="110"/>
        <v>N/A</v>
      </c>
      <c r="M3532" s="20" t="str">
        <f t="shared" si="111"/>
        <v>N/A</v>
      </c>
    </row>
    <row r="3533" spans="12:13">
      <c r="L3533" s="20" t="str">
        <f t="shared" si="110"/>
        <v>N/A</v>
      </c>
      <c r="M3533" s="20" t="str">
        <f t="shared" si="111"/>
        <v>N/A</v>
      </c>
    </row>
    <row r="3534" spans="12:13">
      <c r="L3534" s="20" t="str">
        <f t="shared" si="110"/>
        <v>N/A</v>
      </c>
      <c r="M3534" s="20" t="str">
        <f t="shared" si="111"/>
        <v>N/A</v>
      </c>
    </row>
    <row r="3535" spans="12:13">
      <c r="L3535" s="20" t="str">
        <f t="shared" si="110"/>
        <v>N/A</v>
      </c>
      <c r="M3535" s="20" t="str">
        <f t="shared" si="111"/>
        <v>N/A</v>
      </c>
    </row>
    <row r="3536" spans="12:13">
      <c r="L3536" s="20" t="str">
        <f t="shared" si="110"/>
        <v>N/A</v>
      </c>
      <c r="M3536" s="20" t="str">
        <f t="shared" si="111"/>
        <v>N/A</v>
      </c>
    </row>
    <row r="3537" spans="12:13">
      <c r="L3537" s="20" t="str">
        <f t="shared" si="110"/>
        <v>N/A</v>
      </c>
      <c r="M3537" s="20" t="str">
        <f t="shared" si="111"/>
        <v>N/A</v>
      </c>
    </row>
    <row r="3538" spans="12:13">
      <c r="L3538" s="20" t="str">
        <f t="shared" si="110"/>
        <v>N/A</v>
      </c>
      <c r="M3538" s="20" t="str">
        <f t="shared" si="111"/>
        <v>N/A</v>
      </c>
    </row>
    <row r="3539" spans="12:13">
      <c r="L3539" s="20" t="str">
        <f t="shared" si="110"/>
        <v>N/A</v>
      </c>
      <c r="M3539" s="20" t="str">
        <f t="shared" si="111"/>
        <v>N/A</v>
      </c>
    </row>
    <row r="3540" spans="12:13">
      <c r="L3540" s="20" t="str">
        <f t="shared" si="110"/>
        <v>N/A</v>
      </c>
      <c r="M3540" s="20" t="str">
        <f t="shared" si="111"/>
        <v>N/A</v>
      </c>
    </row>
    <row r="3541" spans="12:13">
      <c r="L3541" s="20" t="str">
        <f t="shared" si="110"/>
        <v>N/A</v>
      </c>
      <c r="M3541" s="20" t="str">
        <f t="shared" si="111"/>
        <v>N/A</v>
      </c>
    </row>
    <row r="3542" spans="12:13">
      <c r="L3542" s="20" t="str">
        <f t="shared" si="110"/>
        <v>N/A</v>
      </c>
      <c r="M3542" s="20" t="str">
        <f t="shared" si="111"/>
        <v>N/A</v>
      </c>
    </row>
    <row r="3543" spans="12:13">
      <c r="L3543" s="20" t="str">
        <f t="shared" si="110"/>
        <v>N/A</v>
      </c>
      <c r="M3543" s="20" t="str">
        <f t="shared" si="111"/>
        <v>N/A</v>
      </c>
    </row>
    <row r="3544" spans="12:13">
      <c r="L3544" s="20" t="str">
        <f t="shared" si="110"/>
        <v>N/A</v>
      </c>
      <c r="M3544" s="20" t="str">
        <f t="shared" si="111"/>
        <v>N/A</v>
      </c>
    </row>
    <row r="3545" spans="12:13">
      <c r="L3545" s="20" t="str">
        <f t="shared" si="110"/>
        <v>N/A</v>
      </c>
      <c r="M3545" s="20" t="str">
        <f t="shared" si="111"/>
        <v>N/A</v>
      </c>
    </row>
    <row r="3546" spans="12:13">
      <c r="L3546" s="20" t="str">
        <f t="shared" si="110"/>
        <v>N/A</v>
      </c>
      <c r="M3546" s="20" t="str">
        <f t="shared" si="111"/>
        <v>N/A</v>
      </c>
    </row>
    <row r="3547" spans="12:13">
      <c r="L3547" s="20" t="str">
        <f t="shared" si="110"/>
        <v>N/A</v>
      </c>
      <c r="M3547" s="20" t="str">
        <f t="shared" si="111"/>
        <v>N/A</v>
      </c>
    </row>
    <row r="3548" spans="12:13">
      <c r="L3548" s="20" t="str">
        <f t="shared" si="110"/>
        <v>N/A</v>
      </c>
      <c r="M3548" s="20" t="str">
        <f t="shared" si="111"/>
        <v>N/A</v>
      </c>
    </row>
    <row r="3549" spans="12:13">
      <c r="L3549" s="20" t="str">
        <f t="shared" si="110"/>
        <v>N/A</v>
      </c>
      <c r="M3549" s="20" t="str">
        <f t="shared" si="111"/>
        <v>N/A</v>
      </c>
    </row>
    <row r="3550" spans="12:13">
      <c r="L3550" s="20" t="str">
        <f t="shared" si="110"/>
        <v>N/A</v>
      </c>
      <c r="M3550" s="20" t="str">
        <f t="shared" si="111"/>
        <v>N/A</v>
      </c>
    </row>
    <row r="3551" spans="12:13">
      <c r="L3551" s="20" t="str">
        <f t="shared" si="110"/>
        <v>N/A</v>
      </c>
      <c r="M3551" s="20" t="str">
        <f t="shared" si="111"/>
        <v>N/A</v>
      </c>
    </row>
    <row r="3552" spans="12:13">
      <c r="L3552" s="20" t="str">
        <f t="shared" si="110"/>
        <v>N/A</v>
      </c>
      <c r="M3552" s="20" t="str">
        <f t="shared" si="111"/>
        <v>N/A</v>
      </c>
    </row>
    <row r="3553" spans="12:13">
      <c r="L3553" s="20" t="str">
        <f t="shared" si="110"/>
        <v>N/A</v>
      </c>
      <c r="M3553" s="20" t="str">
        <f t="shared" si="111"/>
        <v>N/A</v>
      </c>
    </row>
    <row r="3554" spans="12:13">
      <c r="L3554" s="20" t="str">
        <f t="shared" si="110"/>
        <v>N/A</v>
      </c>
      <c r="M3554" s="20" t="str">
        <f t="shared" si="111"/>
        <v>N/A</v>
      </c>
    </row>
    <row r="3555" spans="12:13">
      <c r="L3555" s="20" t="str">
        <f t="shared" si="110"/>
        <v>N/A</v>
      </c>
      <c r="M3555" s="20" t="str">
        <f t="shared" si="111"/>
        <v>N/A</v>
      </c>
    </row>
    <row r="3556" spans="12:13">
      <c r="L3556" s="20" t="str">
        <f t="shared" si="110"/>
        <v>N/A</v>
      </c>
      <c r="M3556" s="20" t="str">
        <f t="shared" si="111"/>
        <v>N/A</v>
      </c>
    </row>
    <row r="3557" spans="12:13">
      <c r="L3557" s="20" t="str">
        <f t="shared" si="110"/>
        <v>N/A</v>
      </c>
      <c r="M3557" s="20" t="str">
        <f t="shared" si="111"/>
        <v>N/A</v>
      </c>
    </row>
    <row r="3558" spans="12:13">
      <c r="L3558" s="20" t="str">
        <f t="shared" si="110"/>
        <v>N/A</v>
      </c>
      <c r="M3558" s="20" t="str">
        <f t="shared" si="111"/>
        <v>N/A</v>
      </c>
    </row>
    <row r="3559" spans="12:13">
      <c r="L3559" s="20" t="str">
        <f t="shared" si="110"/>
        <v>N/A</v>
      </c>
      <c r="M3559" s="20" t="str">
        <f t="shared" si="111"/>
        <v>N/A</v>
      </c>
    </row>
    <row r="3560" spans="12:13">
      <c r="L3560" s="20" t="str">
        <f t="shared" si="110"/>
        <v>N/A</v>
      </c>
      <c r="M3560" s="20" t="str">
        <f t="shared" si="111"/>
        <v>N/A</v>
      </c>
    </row>
    <row r="3561" spans="12:13">
      <c r="L3561" s="20" t="str">
        <f t="shared" si="110"/>
        <v>N/A</v>
      </c>
      <c r="M3561" s="20" t="str">
        <f t="shared" si="111"/>
        <v>N/A</v>
      </c>
    </row>
    <row r="3562" spans="12:13">
      <c r="L3562" s="20" t="str">
        <f t="shared" si="110"/>
        <v>N/A</v>
      </c>
      <c r="M3562" s="20" t="str">
        <f t="shared" si="111"/>
        <v>N/A</v>
      </c>
    </row>
    <row r="3563" spans="12:13">
      <c r="L3563" s="20" t="str">
        <f t="shared" si="110"/>
        <v>N/A</v>
      </c>
      <c r="M3563" s="20" t="str">
        <f t="shared" si="111"/>
        <v>N/A</v>
      </c>
    </row>
    <row r="3564" spans="12:13">
      <c r="L3564" s="20" t="str">
        <f t="shared" si="110"/>
        <v>N/A</v>
      </c>
      <c r="M3564" s="20" t="str">
        <f t="shared" si="111"/>
        <v>N/A</v>
      </c>
    </row>
    <row r="3565" spans="12:13">
      <c r="L3565" s="20" t="str">
        <f t="shared" si="110"/>
        <v>N/A</v>
      </c>
      <c r="M3565" s="20" t="str">
        <f t="shared" si="111"/>
        <v>N/A</v>
      </c>
    </row>
    <row r="3566" spans="12:13">
      <c r="L3566" s="20" t="str">
        <f t="shared" si="110"/>
        <v>N/A</v>
      </c>
      <c r="M3566" s="20" t="str">
        <f t="shared" si="111"/>
        <v>N/A</v>
      </c>
    </row>
    <row r="3567" spans="12:13">
      <c r="L3567" s="20" t="str">
        <f t="shared" si="110"/>
        <v>N/A</v>
      </c>
      <c r="M3567" s="20" t="str">
        <f t="shared" si="111"/>
        <v>N/A</v>
      </c>
    </row>
    <row r="3568" spans="12:13">
      <c r="L3568" s="20" t="str">
        <f t="shared" si="110"/>
        <v>N/A</v>
      </c>
      <c r="M3568" s="20" t="str">
        <f t="shared" si="111"/>
        <v>N/A</v>
      </c>
    </row>
    <row r="3569" spans="12:13">
      <c r="L3569" s="20" t="str">
        <f t="shared" si="110"/>
        <v>N/A</v>
      </c>
      <c r="M3569" s="20" t="str">
        <f t="shared" si="111"/>
        <v>N/A</v>
      </c>
    </row>
    <row r="3570" spans="12:13">
      <c r="L3570" s="20" t="str">
        <f t="shared" si="110"/>
        <v>N/A</v>
      </c>
      <c r="M3570" s="20" t="str">
        <f t="shared" si="111"/>
        <v>N/A</v>
      </c>
    </row>
    <row r="3571" spans="12:13">
      <c r="L3571" s="20" t="str">
        <f t="shared" si="110"/>
        <v>N/A</v>
      </c>
      <c r="M3571" s="20" t="str">
        <f t="shared" si="111"/>
        <v>N/A</v>
      </c>
    </row>
    <row r="3572" spans="12:13">
      <c r="L3572" s="20" t="str">
        <f t="shared" si="110"/>
        <v>N/A</v>
      </c>
      <c r="M3572" s="20" t="str">
        <f t="shared" si="111"/>
        <v>N/A</v>
      </c>
    </row>
    <row r="3573" spans="12:13">
      <c r="L3573" s="20" t="str">
        <f t="shared" si="110"/>
        <v>N/A</v>
      </c>
      <c r="M3573" s="20" t="str">
        <f t="shared" si="111"/>
        <v>N/A</v>
      </c>
    </row>
    <row r="3574" spans="12:13">
      <c r="L3574" s="20" t="str">
        <f t="shared" si="110"/>
        <v>N/A</v>
      </c>
      <c r="M3574" s="20" t="str">
        <f t="shared" si="111"/>
        <v>N/A</v>
      </c>
    </row>
    <row r="3575" spans="12:13">
      <c r="L3575" s="20" t="str">
        <f t="shared" si="110"/>
        <v>N/A</v>
      </c>
      <c r="M3575" s="20" t="str">
        <f t="shared" si="111"/>
        <v>N/A</v>
      </c>
    </row>
    <row r="3576" spans="12:13">
      <c r="L3576" s="20" t="str">
        <f t="shared" si="110"/>
        <v>N/A</v>
      </c>
      <c r="M3576" s="20" t="str">
        <f t="shared" si="111"/>
        <v>N/A</v>
      </c>
    </row>
    <row r="3577" spans="12:13">
      <c r="L3577" s="20" t="str">
        <f t="shared" si="110"/>
        <v>N/A</v>
      </c>
      <c r="M3577" s="20" t="str">
        <f t="shared" si="111"/>
        <v>N/A</v>
      </c>
    </row>
    <row r="3578" spans="12:13">
      <c r="L3578" s="20" t="str">
        <f t="shared" si="110"/>
        <v>N/A</v>
      </c>
      <c r="M3578" s="20" t="str">
        <f t="shared" si="111"/>
        <v>N/A</v>
      </c>
    </row>
    <row r="3579" spans="12:13">
      <c r="L3579" s="20" t="str">
        <f t="shared" si="110"/>
        <v>N/A</v>
      </c>
      <c r="M3579" s="20" t="str">
        <f t="shared" si="111"/>
        <v>N/A</v>
      </c>
    </row>
    <row r="3580" spans="12:13">
      <c r="L3580" s="20" t="str">
        <f t="shared" si="110"/>
        <v>N/A</v>
      </c>
      <c r="M3580" s="20" t="str">
        <f t="shared" si="111"/>
        <v>N/A</v>
      </c>
    </row>
    <row r="3581" spans="12:13">
      <c r="L3581" s="20" t="str">
        <f t="shared" si="110"/>
        <v>N/A</v>
      </c>
      <c r="M3581" s="20" t="str">
        <f t="shared" si="111"/>
        <v>N/A</v>
      </c>
    </row>
    <row r="3582" spans="12:13">
      <c r="L3582" s="20" t="str">
        <f t="shared" si="110"/>
        <v>N/A</v>
      </c>
      <c r="M3582" s="20" t="str">
        <f t="shared" si="111"/>
        <v>N/A</v>
      </c>
    </row>
    <row r="3583" spans="12:13">
      <c r="L3583" s="20" t="str">
        <f t="shared" si="110"/>
        <v>N/A</v>
      </c>
      <c r="M3583" s="20" t="str">
        <f t="shared" si="111"/>
        <v>N/A</v>
      </c>
    </row>
    <row r="3584" spans="12:13">
      <c r="L3584" s="20" t="str">
        <f t="shared" si="110"/>
        <v>N/A</v>
      </c>
      <c r="M3584" s="20" t="str">
        <f t="shared" si="111"/>
        <v>N/A</v>
      </c>
    </row>
    <row r="3585" spans="12:13">
      <c r="L3585" s="20" t="str">
        <f t="shared" si="110"/>
        <v>N/A</v>
      </c>
      <c r="M3585" s="20" t="str">
        <f t="shared" si="111"/>
        <v>N/A</v>
      </c>
    </row>
    <row r="3586" spans="12:13">
      <c r="L3586" s="20" t="str">
        <f t="shared" si="110"/>
        <v>N/A</v>
      </c>
      <c r="M3586" s="20" t="str">
        <f t="shared" si="111"/>
        <v>N/A</v>
      </c>
    </row>
    <row r="3587" spans="12:13">
      <c r="L3587" s="20" t="str">
        <f t="shared" ref="L3587:L3650" si="112">+IF(LEFT(D3587,1)="1","Asset","N/A")</f>
        <v>N/A</v>
      </c>
      <c r="M3587" s="20" t="str">
        <f t="shared" ref="M3587:M3650" si="113">+IF(L3587="asset",IF(H3587&lt;0,"Provide Comment","okay"),"N/A")</f>
        <v>N/A</v>
      </c>
    </row>
    <row r="3588" spans="12:13">
      <c r="L3588" s="20" t="str">
        <f t="shared" si="112"/>
        <v>N/A</v>
      </c>
      <c r="M3588" s="20" t="str">
        <f t="shared" si="113"/>
        <v>N/A</v>
      </c>
    </row>
    <row r="3589" spans="12:13">
      <c r="L3589" s="20" t="str">
        <f t="shared" si="112"/>
        <v>N/A</v>
      </c>
      <c r="M3589" s="20" t="str">
        <f t="shared" si="113"/>
        <v>N/A</v>
      </c>
    </row>
    <row r="3590" spans="12:13">
      <c r="L3590" s="20" t="str">
        <f t="shared" si="112"/>
        <v>N/A</v>
      </c>
      <c r="M3590" s="20" t="str">
        <f t="shared" si="113"/>
        <v>N/A</v>
      </c>
    </row>
    <row r="3591" spans="12:13">
      <c r="L3591" s="20" t="str">
        <f t="shared" si="112"/>
        <v>N/A</v>
      </c>
      <c r="M3591" s="20" t="str">
        <f t="shared" si="113"/>
        <v>N/A</v>
      </c>
    </row>
    <row r="3592" spans="12:13">
      <c r="L3592" s="20" t="str">
        <f t="shared" si="112"/>
        <v>N/A</v>
      </c>
      <c r="M3592" s="20" t="str">
        <f t="shared" si="113"/>
        <v>N/A</v>
      </c>
    </row>
    <row r="3593" spans="12:13">
      <c r="L3593" s="20" t="str">
        <f t="shared" si="112"/>
        <v>N/A</v>
      </c>
      <c r="M3593" s="20" t="str">
        <f t="shared" si="113"/>
        <v>N/A</v>
      </c>
    </row>
    <row r="3594" spans="12:13">
      <c r="L3594" s="20" t="str">
        <f t="shared" si="112"/>
        <v>N/A</v>
      </c>
      <c r="M3594" s="20" t="str">
        <f t="shared" si="113"/>
        <v>N/A</v>
      </c>
    </row>
    <row r="3595" spans="12:13">
      <c r="L3595" s="20" t="str">
        <f t="shared" si="112"/>
        <v>N/A</v>
      </c>
      <c r="M3595" s="20" t="str">
        <f t="shared" si="113"/>
        <v>N/A</v>
      </c>
    </row>
    <row r="3596" spans="12:13">
      <c r="L3596" s="20" t="str">
        <f t="shared" si="112"/>
        <v>N/A</v>
      </c>
      <c r="M3596" s="20" t="str">
        <f t="shared" si="113"/>
        <v>N/A</v>
      </c>
    </row>
    <row r="3597" spans="12:13">
      <c r="L3597" s="20" t="str">
        <f t="shared" si="112"/>
        <v>N/A</v>
      </c>
      <c r="M3597" s="20" t="str">
        <f t="shared" si="113"/>
        <v>N/A</v>
      </c>
    </row>
    <row r="3598" spans="12:13">
      <c r="L3598" s="20" t="str">
        <f t="shared" si="112"/>
        <v>N/A</v>
      </c>
      <c r="M3598" s="20" t="str">
        <f t="shared" si="113"/>
        <v>N/A</v>
      </c>
    </row>
    <row r="3599" spans="12:13">
      <c r="L3599" s="20" t="str">
        <f t="shared" si="112"/>
        <v>N/A</v>
      </c>
      <c r="M3599" s="20" t="str">
        <f t="shared" si="113"/>
        <v>N/A</v>
      </c>
    </row>
    <row r="3600" spans="12:13">
      <c r="L3600" s="20" t="str">
        <f t="shared" si="112"/>
        <v>N/A</v>
      </c>
      <c r="M3600" s="20" t="str">
        <f t="shared" si="113"/>
        <v>N/A</v>
      </c>
    </row>
    <row r="3601" spans="12:13">
      <c r="L3601" s="20" t="str">
        <f t="shared" si="112"/>
        <v>N/A</v>
      </c>
      <c r="M3601" s="20" t="str">
        <f t="shared" si="113"/>
        <v>N/A</v>
      </c>
    </row>
    <row r="3602" spans="12:13">
      <c r="L3602" s="20" t="str">
        <f t="shared" si="112"/>
        <v>N/A</v>
      </c>
      <c r="M3602" s="20" t="str">
        <f t="shared" si="113"/>
        <v>N/A</v>
      </c>
    </row>
    <row r="3603" spans="12:13">
      <c r="L3603" s="20" t="str">
        <f t="shared" si="112"/>
        <v>N/A</v>
      </c>
      <c r="M3603" s="20" t="str">
        <f t="shared" si="113"/>
        <v>N/A</v>
      </c>
    </row>
    <row r="3604" spans="12:13">
      <c r="L3604" s="20" t="str">
        <f t="shared" si="112"/>
        <v>N/A</v>
      </c>
      <c r="M3604" s="20" t="str">
        <f t="shared" si="113"/>
        <v>N/A</v>
      </c>
    </row>
    <row r="3605" spans="12:13">
      <c r="L3605" s="20" t="str">
        <f t="shared" si="112"/>
        <v>N/A</v>
      </c>
      <c r="M3605" s="20" t="str">
        <f t="shared" si="113"/>
        <v>N/A</v>
      </c>
    </row>
    <row r="3606" spans="12:13">
      <c r="L3606" s="20" t="str">
        <f t="shared" si="112"/>
        <v>N/A</v>
      </c>
      <c r="M3606" s="20" t="str">
        <f t="shared" si="113"/>
        <v>N/A</v>
      </c>
    </row>
    <row r="3607" spans="12:13">
      <c r="L3607" s="20" t="str">
        <f t="shared" si="112"/>
        <v>N/A</v>
      </c>
      <c r="M3607" s="20" t="str">
        <f t="shared" si="113"/>
        <v>N/A</v>
      </c>
    </row>
    <row r="3608" spans="12:13">
      <c r="L3608" s="20" t="str">
        <f t="shared" si="112"/>
        <v>N/A</v>
      </c>
      <c r="M3608" s="20" t="str">
        <f t="shared" si="113"/>
        <v>N/A</v>
      </c>
    </row>
    <row r="3609" spans="12:13">
      <c r="L3609" s="20" t="str">
        <f t="shared" si="112"/>
        <v>N/A</v>
      </c>
      <c r="M3609" s="20" t="str">
        <f t="shared" si="113"/>
        <v>N/A</v>
      </c>
    </row>
    <row r="3610" spans="12:13">
      <c r="L3610" s="20" t="str">
        <f t="shared" si="112"/>
        <v>N/A</v>
      </c>
      <c r="M3610" s="20" t="str">
        <f t="shared" si="113"/>
        <v>N/A</v>
      </c>
    </row>
    <row r="3611" spans="12:13">
      <c r="L3611" s="20" t="str">
        <f t="shared" si="112"/>
        <v>N/A</v>
      </c>
      <c r="M3611" s="20" t="str">
        <f t="shared" si="113"/>
        <v>N/A</v>
      </c>
    </row>
    <row r="3612" spans="12:13">
      <c r="L3612" s="20" t="str">
        <f t="shared" si="112"/>
        <v>N/A</v>
      </c>
      <c r="M3612" s="20" t="str">
        <f t="shared" si="113"/>
        <v>N/A</v>
      </c>
    </row>
    <row r="3613" spans="12:13">
      <c r="L3613" s="20" t="str">
        <f t="shared" si="112"/>
        <v>N/A</v>
      </c>
      <c r="M3613" s="20" t="str">
        <f t="shared" si="113"/>
        <v>N/A</v>
      </c>
    </row>
    <row r="3614" spans="12:13">
      <c r="L3614" s="20" t="str">
        <f t="shared" si="112"/>
        <v>N/A</v>
      </c>
      <c r="M3614" s="20" t="str">
        <f t="shared" si="113"/>
        <v>N/A</v>
      </c>
    </row>
    <row r="3615" spans="12:13">
      <c r="L3615" s="20" t="str">
        <f t="shared" si="112"/>
        <v>N/A</v>
      </c>
      <c r="M3615" s="20" t="str">
        <f t="shared" si="113"/>
        <v>N/A</v>
      </c>
    </row>
    <row r="3616" spans="12:13">
      <c r="L3616" s="20" t="str">
        <f t="shared" si="112"/>
        <v>N/A</v>
      </c>
      <c r="M3616" s="20" t="str">
        <f t="shared" si="113"/>
        <v>N/A</v>
      </c>
    </row>
    <row r="3617" spans="12:13">
      <c r="L3617" s="20" t="str">
        <f t="shared" si="112"/>
        <v>N/A</v>
      </c>
      <c r="M3617" s="20" t="str">
        <f t="shared" si="113"/>
        <v>N/A</v>
      </c>
    </row>
    <row r="3618" spans="12:13">
      <c r="L3618" s="20" t="str">
        <f t="shared" si="112"/>
        <v>N/A</v>
      </c>
      <c r="M3618" s="20" t="str">
        <f t="shared" si="113"/>
        <v>N/A</v>
      </c>
    </row>
    <row r="3619" spans="12:13">
      <c r="L3619" s="20" t="str">
        <f t="shared" si="112"/>
        <v>N/A</v>
      </c>
      <c r="M3619" s="20" t="str">
        <f t="shared" si="113"/>
        <v>N/A</v>
      </c>
    </row>
    <row r="3620" spans="12:13">
      <c r="L3620" s="20" t="str">
        <f t="shared" si="112"/>
        <v>N/A</v>
      </c>
      <c r="M3620" s="20" t="str">
        <f t="shared" si="113"/>
        <v>N/A</v>
      </c>
    </row>
    <row r="3621" spans="12:13">
      <c r="L3621" s="20" t="str">
        <f t="shared" si="112"/>
        <v>N/A</v>
      </c>
      <c r="M3621" s="20" t="str">
        <f t="shared" si="113"/>
        <v>N/A</v>
      </c>
    </row>
    <row r="3622" spans="12:13">
      <c r="L3622" s="20" t="str">
        <f t="shared" si="112"/>
        <v>N/A</v>
      </c>
      <c r="M3622" s="20" t="str">
        <f t="shared" si="113"/>
        <v>N/A</v>
      </c>
    </row>
    <row r="3623" spans="12:13">
      <c r="L3623" s="20" t="str">
        <f t="shared" si="112"/>
        <v>N/A</v>
      </c>
      <c r="M3623" s="20" t="str">
        <f t="shared" si="113"/>
        <v>N/A</v>
      </c>
    </row>
    <row r="3624" spans="12:13">
      <c r="L3624" s="20" t="str">
        <f t="shared" si="112"/>
        <v>N/A</v>
      </c>
      <c r="M3624" s="20" t="str">
        <f t="shared" si="113"/>
        <v>N/A</v>
      </c>
    </row>
    <row r="3625" spans="12:13">
      <c r="L3625" s="20" t="str">
        <f t="shared" si="112"/>
        <v>N/A</v>
      </c>
      <c r="M3625" s="20" t="str">
        <f t="shared" si="113"/>
        <v>N/A</v>
      </c>
    </row>
    <row r="3626" spans="12:13">
      <c r="L3626" s="20" t="str">
        <f t="shared" si="112"/>
        <v>N/A</v>
      </c>
      <c r="M3626" s="20" t="str">
        <f t="shared" si="113"/>
        <v>N/A</v>
      </c>
    </row>
    <row r="3627" spans="12:13">
      <c r="L3627" s="20" t="str">
        <f t="shared" si="112"/>
        <v>N/A</v>
      </c>
      <c r="M3627" s="20" t="str">
        <f t="shared" si="113"/>
        <v>N/A</v>
      </c>
    </row>
    <row r="3628" spans="12:13">
      <c r="L3628" s="20" t="str">
        <f t="shared" si="112"/>
        <v>N/A</v>
      </c>
      <c r="M3628" s="20" t="str">
        <f t="shared" si="113"/>
        <v>N/A</v>
      </c>
    </row>
    <row r="3629" spans="12:13">
      <c r="L3629" s="20" t="str">
        <f t="shared" si="112"/>
        <v>N/A</v>
      </c>
      <c r="M3629" s="20" t="str">
        <f t="shared" si="113"/>
        <v>N/A</v>
      </c>
    </row>
    <row r="3630" spans="12:13">
      <c r="L3630" s="20" t="str">
        <f t="shared" si="112"/>
        <v>N/A</v>
      </c>
      <c r="M3630" s="20" t="str">
        <f t="shared" si="113"/>
        <v>N/A</v>
      </c>
    </row>
    <row r="3631" spans="12:13">
      <c r="L3631" s="20" t="str">
        <f t="shared" si="112"/>
        <v>N/A</v>
      </c>
      <c r="M3631" s="20" t="str">
        <f t="shared" si="113"/>
        <v>N/A</v>
      </c>
    </row>
    <row r="3632" spans="12:13">
      <c r="L3632" s="20" t="str">
        <f t="shared" si="112"/>
        <v>N/A</v>
      </c>
      <c r="M3632" s="20" t="str">
        <f t="shared" si="113"/>
        <v>N/A</v>
      </c>
    </row>
    <row r="3633" spans="12:13">
      <c r="L3633" s="20" t="str">
        <f t="shared" si="112"/>
        <v>N/A</v>
      </c>
      <c r="M3633" s="20" t="str">
        <f t="shared" si="113"/>
        <v>N/A</v>
      </c>
    </row>
    <row r="3634" spans="12:13">
      <c r="L3634" s="20" t="str">
        <f t="shared" si="112"/>
        <v>N/A</v>
      </c>
      <c r="M3634" s="20" t="str">
        <f t="shared" si="113"/>
        <v>N/A</v>
      </c>
    </row>
    <row r="3635" spans="12:13">
      <c r="L3635" s="20" t="str">
        <f t="shared" si="112"/>
        <v>N/A</v>
      </c>
      <c r="M3635" s="20" t="str">
        <f t="shared" si="113"/>
        <v>N/A</v>
      </c>
    </row>
    <row r="3636" spans="12:13">
      <c r="L3636" s="20" t="str">
        <f t="shared" si="112"/>
        <v>N/A</v>
      </c>
      <c r="M3636" s="20" t="str">
        <f t="shared" si="113"/>
        <v>N/A</v>
      </c>
    </row>
    <row r="3637" spans="12:13">
      <c r="L3637" s="20" t="str">
        <f t="shared" si="112"/>
        <v>N/A</v>
      </c>
      <c r="M3637" s="20" t="str">
        <f t="shared" si="113"/>
        <v>N/A</v>
      </c>
    </row>
    <row r="3638" spans="12:13">
      <c r="L3638" s="20" t="str">
        <f t="shared" si="112"/>
        <v>N/A</v>
      </c>
      <c r="M3638" s="20" t="str">
        <f t="shared" si="113"/>
        <v>N/A</v>
      </c>
    </row>
    <row r="3639" spans="12:13">
      <c r="L3639" s="20" t="str">
        <f t="shared" si="112"/>
        <v>N/A</v>
      </c>
      <c r="M3639" s="20" t="str">
        <f t="shared" si="113"/>
        <v>N/A</v>
      </c>
    </row>
    <row r="3640" spans="12:13">
      <c r="L3640" s="20" t="str">
        <f t="shared" si="112"/>
        <v>N/A</v>
      </c>
      <c r="M3640" s="20" t="str">
        <f t="shared" si="113"/>
        <v>N/A</v>
      </c>
    </row>
    <row r="3641" spans="12:13">
      <c r="L3641" s="20" t="str">
        <f t="shared" si="112"/>
        <v>N/A</v>
      </c>
      <c r="M3641" s="20" t="str">
        <f t="shared" si="113"/>
        <v>N/A</v>
      </c>
    </row>
    <row r="3642" spans="12:13">
      <c r="L3642" s="20" t="str">
        <f t="shared" si="112"/>
        <v>N/A</v>
      </c>
      <c r="M3642" s="20" t="str">
        <f t="shared" si="113"/>
        <v>N/A</v>
      </c>
    </row>
    <row r="3643" spans="12:13">
      <c r="L3643" s="20" t="str">
        <f t="shared" si="112"/>
        <v>N/A</v>
      </c>
      <c r="M3643" s="20" t="str">
        <f t="shared" si="113"/>
        <v>N/A</v>
      </c>
    </row>
    <row r="3644" spans="12:13">
      <c r="L3644" s="20" t="str">
        <f t="shared" si="112"/>
        <v>N/A</v>
      </c>
      <c r="M3644" s="20" t="str">
        <f t="shared" si="113"/>
        <v>N/A</v>
      </c>
    </row>
    <row r="3645" spans="12:13">
      <c r="L3645" s="20" t="str">
        <f t="shared" si="112"/>
        <v>N/A</v>
      </c>
      <c r="M3645" s="20" t="str">
        <f t="shared" si="113"/>
        <v>N/A</v>
      </c>
    </row>
    <row r="3646" spans="12:13">
      <c r="L3646" s="20" t="str">
        <f t="shared" si="112"/>
        <v>N/A</v>
      </c>
      <c r="M3646" s="20" t="str">
        <f t="shared" si="113"/>
        <v>N/A</v>
      </c>
    </row>
    <row r="3647" spans="12:13">
      <c r="L3647" s="20" t="str">
        <f t="shared" si="112"/>
        <v>N/A</v>
      </c>
      <c r="M3647" s="20" t="str">
        <f t="shared" si="113"/>
        <v>N/A</v>
      </c>
    </row>
    <row r="3648" spans="12:13">
      <c r="L3648" s="20" t="str">
        <f t="shared" si="112"/>
        <v>N/A</v>
      </c>
      <c r="M3648" s="20" t="str">
        <f t="shared" si="113"/>
        <v>N/A</v>
      </c>
    </row>
    <row r="3649" spans="12:13">
      <c r="L3649" s="20" t="str">
        <f t="shared" si="112"/>
        <v>N/A</v>
      </c>
      <c r="M3649" s="20" t="str">
        <f t="shared" si="113"/>
        <v>N/A</v>
      </c>
    </row>
    <row r="3650" spans="12:13">
      <c r="L3650" s="20" t="str">
        <f t="shared" si="112"/>
        <v>N/A</v>
      </c>
      <c r="M3650" s="20" t="str">
        <f t="shared" si="113"/>
        <v>N/A</v>
      </c>
    </row>
    <row r="3651" spans="12:13">
      <c r="L3651" s="20" t="str">
        <f t="shared" ref="L3651:L3714" si="114">+IF(LEFT(D3651,1)="1","Asset","N/A")</f>
        <v>N/A</v>
      </c>
      <c r="M3651" s="20" t="str">
        <f t="shared" ref="M3651:M3714" si="115">+IF(L3651="asset",IF(H3651&lt;0,"Provide Comment","okay"),"N/A")</f>
        <v>N/A</v>
      </c>
    </row>
    <row r="3652" spans="12:13">
      <c r="L3652" s="20" t="str">
        <f t="shared" si="114"/>
        <v>N/A</v>
      </c>
      <c r="M3652" s="20" t="str">
        <f t="shared" si="115"/>
        <v>N/A</v>
      </c>
    </row>
    <row r="3653" spans="12:13">
      <c r="L3653" s="20" t="str">
        <f t="shared" si="114"/>
        <v>N/A</v>
      </c>
      <c r="M3653" s="20" t="str">
        <f t="shared" si="115"/>
        <v>N/A</v>
      </c>
    </row>
    <row r="3654" spans="12:13">
      <c r="L3654" s="20" t="str">
        <f t="shared" si="114"/>
        <v>N/A</v>
      </c>
      <c r="M3654" s="20" t="str">
        <f t="shared" si="115"/>
        <v>N/A</v>
      </c>
    </row>
    <row r="3655" spans="12:13">
      <c r="L3655" s="20" t="str">
        <f t="shared" si="114"/>
        <v>N/A</v>
      </c>
      <c r="M3655" s="20" t="str">
        <f t="shared" si="115"/>
        <v>N/A</v>
      </c>
    </row>
    <row r="3656" spans="12:13">
      <c r="L3656" s="20" t="str">
        <f t="shared" si="114"/>
        <v>N/A</v>
      </c>
      <c r="M3656" s="20" t="str">
        <f t="shared" si="115"/>
        <v>N/A</v>
      </c>
    </row>
    <row r="3657" spans="12:13">
      <c r="L3657" s="20" t="str">
        <f t="shared" si="114"/>
        <v>N/A</v>
      </c>
      <c r="M3657" s="20" t="str">
        <f t="shared" si="115"/>
        <v>N/A</v>
      </c>
    </row>
    <row r="3658" spans="12:13">
      <c r="L3658" s="20" t="str">
        <f t="shared" si="114"/>
        <v>N/A</v>
      </c>
      <c r="M3658" s="20" t="str">
        <f t="shared" si="115"/>
        <v>N/A</v>
      </c>
    </row>
    <row r="3659" spans="12:13">
      <c r="L3659" s="20" t="str">
        <f t="shared" si="114"/>
        <v>N/A</v>
      </c>
      <c r="M3659" s="20" t="str">
        <f t="shared" si="115"/>
        <v>N/A</v>
      </c>
    </row>
    <row r="3660" spans="12:13">
      <c r="L3660" s="20" t="str">
        <f t="shared" si="114"/>
        <v>N/A</v>
      </c>
      <c r="M3660" s="20" t="str">
        <f t="shared" si="115"/>
        <v>N/A</v>
      </c>
    </row>
    <row r="3661" spans="12:13">
      <c r="L3661" s="20" t="str">
        <f t="shared" si="114"/>
        <v>N/A</v>
      </c>
      <c r="M3661" s="20" t="str">
        <f t="shared" si="115"/>
        <v>N/A</v>
      </c>
    </row>
    <row r="3662" spans="12:13">
      <c r="L3662" s="20" t="str">
        <f t="shared" si="114"/>
        <v>N/A</v>
      </c>
      <c r="M3662" s="20" t="str">
        <f t="shared" si="115"/>
        <v>N/A</v>
      </c>
    </row>
    <row r="3663" spans="12:13">
      <c r="L3663" s="20" t="str">
        <f t="shared" si="114"/>
        <v>N/A</v>
      </c>
      <c r="M3663" s="20" t="str">
        <f t="shared" si="115"/>
        <v>N/A</v>
      </c>
    </row>
    <row r="3664" spans="12:13">
      <c r="L3664" s="20" t="str">
        <f t="shared" si="114"/>
        <v>N/A</v>
      </c>
      <c r="M3664" s="20" t="str">
        <f t="shared" si="115"/>
        <v>N/A</v>
      </c>
    </row>
    <row r="3665" spans="12:13">
      <c r="L3665" s="20" t="str">
        <f t="shared" si="114"/>
        <v>N/A</v>
      </c>
      <c r="M3665" s="20" t="str">
        <f t="shared" si="115"/>
        <v>N/A</v>
      </c>
    </row>
    <row r="3666" spans="12:13">
      <c r="L3666" s="20" t="str">
        <f t="shared" si="114"/>
        <v>N/A</v>
      </c>
      <c r="M3666" s="20" t="str">
        <f t="shared" si="115"/>
        <v>N/A</v>
      </c>
    </row>
    <row r="3667" spans="12:13">
      <c r="L3667" s="20" t="str">
        <f t="shared" si="114"/>
        <v>N/A</v>
      </c>
      <c r="M3667" s="20" t="str">
        <f t="shared" si="115"/>
        <v>N/A</v>
      </c>
    </row>
    <row r="3668" spans="12:13">
      <c r="L3668" s="20" t="str">
        <f t="shared" si="114"/>
        <v>N/A</v>
      </c>
      <c r="M3668" s="20" t="str">
        <f t="shared" si="115"/>
        <v>N/A</v>
      </c>
    </row>
    <row r="3669" spans="12:13">
      <c r="L3669" s="20" t="str">
        <f t="shared" si="114"/>
        <v>N/A</v>
      </c>
      <c r="M3669" s="20" t="str">
        <f t="shared" si="115"/>
        <v>N/A</v>
      </c>
    </row>
    <row r="3670" spans="12:13">
      <c r="L3670" s="20" t="str">
        <f t="shared" si="114"/>
        <v>N/A</v>
      </c>
      <c r="M3670" s="20" t="str">
        <f t="shared" si="115"/>
        <v>N/A</v>
      </c>
    </row>
    <row r="3671" spans="12:13">
      <c r="L3671" s="20" t="str">
        <f t="shared" si="114"/>
        <v>N/A</v>
      </c>
      <c r="M3671" s="20" t="str">
        <f t="shared" si="115"/>
        <v>N/A</v>
      </c>
    </row>
    <row r="3672" spans="12:13">
      <c r="L3672" s="20" t="str">
        <f t="shared" si="114"/>
        <v>N/A</v>
      </c>
      <c r="M3672" s="20" t="str">
        <f t="shared" si="115"/>
        <v>N/A</v>
      </c>
    </row>
    <row r="3673" spans="12:13">
      <c r="L3673" s="20" t="str">
        <f t="shared" si="114"/>
        <v>N/A</v>
      </c>
      <c r="M3673" s="20" t="str">
        <f t="shared" si="115"/>
        <v>N/A</v>
      </c>
    </row>
    <row r="3674" spans="12:13">
      <c r="L3674" s="20" t="str">
        <f t="shared" si="114"/>
        <v>N/A</v>
      </c>
      <c r="M3674" s="20" t="str">
        <f t="shared" si="115"/>
        <v>N/A</v>
      </c>
    </row>
    <row r="3675" spans="12:13">
      <c r="L3675" s="20" t="str">
        <f t="shared" si="114"/>
        <v>N/A</v>
      </c>
      <c r="M3675" s="20" t="str">
        <f t="shared" si="115"/>
        <v>N/A</v>
      </c>
    </row>
    <row r="3676" spans="12:13">
      <c r="L3676" s="20" t="str">
        <f t="shared" si="114"/>
        <v>N/A</v>
      </c>
      <c r="M3676" s="20" t="str">
        <f t="shared" si="115"/>
        <v>N/A</v>
      </c>
    </row>
    <row r="3677" spans="12:13">
      <c r="L3677" s="20" t="str">
        <f t="shared" si="114"/>
        <v>N/A</v>
      </c>
      <c r="M3677" s="20" t="str">
        <f t="shared" si="115"/>
        <v>N/A</v>
      </c>
    </row>
    <row r="3678" spans="12:13">
      <c r="L3678" s="20" t="str">
        <f t="shared" si="114"/>
        <v>N/A</v>
      </c>
      <c r="M3678" s="20" t="str">
        <f t="shared" si="115"/>
        <v>N/A</v>
      </c>
    </row>
    <row r="3679" spans="12:13">
      <c r="L3679" s="20" t="str">
        <f t="shared" si="114"/>
        <v>N/A</v>
      </c>
      <c r="M3679" s="20" t="str">
        <f t="shared" si="115"/>
        <v>N/A</v>
      </c>
    </row>
    <row r="3680" spans="12:13">
      <c r="L3680" s="20" t="str">
        <f t="shared" si="114"/>
        <v>N/A</v>
      </c>
      <c r="M3680" s="20" t="str">
        <f t="shared" si="115"/>
        <v>N/A</v>
      </c>
    </row>
    <row r="3681" spans="12:13">
      <c r="L3681" s="20" t="str">
        <f t="shared" si="114"/>
        <v>N/A</v>
      </c>
      <c r="M3681" s="20" t="str">
        <f t="shared" si="115"/>
        <v>N/A</v>
      </c>
    </row>
    <row r="3682" spans="12:13">
      <c r="L3682" s="20" t="str">
        <f t="shared" si="114"/>
        <v>N/A</v>
      </c>
      <c r="M3682" s="20" t="str">
        <f t="shared" si="115"/>
        <v>N/A</v>
      </c>
    </row>
    <row r="3683" spans="12:13">
      <c r="L3683" s="20" t="str">
        <f t="shared" si="114"/>
        <v>N/A</v>
      </c>
      <c r="M3683" s="20" t="str">
        <f t="shared" si="115"/>
        <v>N/A</v>
      </c>
    </row>
    <row r="3684" spans="12:13">
      <c r="L3684" s="20" t="str">
        <f t="shared" si="114"/>
        <v>N/A</v>
      </c>
      <c r="M3684" s="20" t="str">
        <f t="shared" si="115"/>
        <v>N/A</v>
      </c>
    </row>
    <row r="3685" spans="12:13">
      <c r="L3685" s="20" t="str">
        <f t="shared" si="114"/>
        <v>N/A</v>
      </c>
      <c r="M3685" s="20" t="str">
        <f t="shared" si="115"/>
        <v>N/A</v>
      </c>
    </row>
    <row r="3686" spans="12:13">
      <c r="L3686" s="20" t="str">
        <f t="shared" si="114"/>
        <v>N/A</v>
      </c>
      <c r="M3686" s="20" t="str">
        <f t="shared" si="115"/>
        <v>N/A</v>
      </c>
    </row>
    <row r="3687" spans="12:13">
      <c r="L3687" s="20" t="str">
        <f t="shared" si="114"/>
        <v>N/A</v>
      </c>
      <c r="M3687" s="20" t="str">
        <f t="shared" si="115"/>
        <v>N/A</v>
      </c>
    </row>
    <row r="3688" spans="12:13">
      <c r="L3688" s="20" t="str">
        <f t="shared" si="114"/>
        <v>N/A</v>
      </c>
      <c r="M3688" s="20" t="str">
        <f t="shared" si="115"/>
        <v>N/A</v>
      </c>
    </row>
    <row r="3689" spans="12:13">
      <c r="L3689" s="20" t="str">
        <f t="shared" si="114"/>
        <v>N/A</v>
      </c>
      <c r="M3689" s="20" t="str">
        <f t="shared" si="115"/>
        <v>N/A</v>
      </c>
    </row>
    <row r="3690" spans="12:13">
      <c r="L3690" s="20" t="str">
        <f t="shared" si="114"/>
        <v>N/A</v>
      </c>
      <c r="M3690" s="20" t="str">
        <f t="shared" si="115"/>
        <v>N/A</v>
      </c>
    </row>
    <row r="3691" spans="12:13">
      <c r="L3691" s="20" t="str">
        <f t="shared" si="114"/>
        <v>N/A</v>
      </c>
      <c r="M3691" s="20" t="str">
        <f t="shared" si="115"/>
        <v>N/A</v>
      </c>
    </row>
    <row r="3692" spans="12:13">
      <c r="L3692" s="20" t="str">
        <f t="shared" si="114"/>
        <v>N/A</v>
      </c>
      <c r="M3692" s="20" t="str">
        <f t="shared" si="115"/>
        <v>N/A</v>
      </c>
    </row>
    <row r="3693" spans="12:13">
      <c r="L3693" s="20" t="str">
        <f t="shared" si="114"/>
        <v>N/A</v>
      </c>
      <c r="M3693" s="20" t="str">
        <f t="shared" si="115"/>
        <v>N/A</v>
      </c>
    </row>
    <row r="3694" spans="12:13">
      <c r="L3694" s="20" t="str">
        <f t="shared" si="114"/>
        <v>N/A</v>
      </c>
      <c r="M3694" s="20" t="str">
        <f t="shared" si="115"/>
        <v>N/A</v>
      </c>
    </row>
    <row r="3695" spans="12:13">
      <c r="L3695" s="20" t="str">
        <f t="shared" si="114"/>
        <v>N/A</v>
      </c>
      <c r="M3695" s="20" t="str">
        <f t="shared" si="115"/>
        <v>N/A</v>
      </c>
    </row>
    <row r="3696" spans="12:13">
      <c r="L3696" s="20" t="str">
        <f t="shared" si="114"/>
        <v>N/A</v>
      </c>
      <c r="M3696" s="20" t="str">
        <f t="shared" si="115"/>
        <v>N/A</v>
      </c>
    </row>
    <row r="3697" spans="12:13">
      <c r="L3697" s="20" t="str">
        <f t="shared" si="114"/>
        <v>N/A</v>
      </c>
      <c r="M3697" s="20" t="str">
        <f t="shared" si="115"/>
        <v>N/A</v>
      </c>
    </row>
    <row r="3698" spans="12:13">
      <c r="L3698" s="20" t="str">
        <f t="shared" si="114"/>
        <v>N/A</v>
      </c>
      <c r="M3698" s="20" t="str">
        <f t="shared" si="115"/>
        <v>N/A</v>
      </c>
    </row>
    <row r="3699" spans="12:13">
      <c r="L3699" s="20" t="str">
        <f t="shared" si="114"/>
        <v>N/A</v>
      </c>
      <c r="M3699" s="20" t="str">
        <f t="shared" si="115"/>
        <v>N/A</v>
      </c>
    </row>
    <row r="3700" spans="12:13">
      <c r="L3700" s="20" t="str">
        <f t="shared" si="114"/>
        <v>N/A</v>
      </c>
      <c r="M3700" s="20" t="str">
        <f t="shared" si="115"/>
        <v>N/A</v>
      </c>
    </row>
    <row r="3701" spans="12:13">
      <c r="L3701" s="20" t="str">
        <f t="shared" si="114"/>
        <v>N/A</v>
      </c>
      <c r="M3701" s="20" t="str">
        <f t="shared" si="115"/>
        <v>N/A</v>
      </c>
    </row>
    <row r="3702" spans="12:13">
      <c r="L3702" s="20" t="str">
        <f t="shared" si="114"/>
        <v>N/A</v>
      </c>
      <c r="M3702" s="20" t="str">
        <f t="shared" si="115"/>
        <v>N/A</v>
      </c>
    </row>
    <row r="3703" spans="12:13">
      <c r="L3703" s="20" t="str">
        <f t="shared" si="114"/>
        <v>N/A</v>
      </c>
      <c r="M3703" s="20" t="str">
        <f t="shared" si="115"/>
        <v>N/A</v>
      </c>
    </row>
    <row r="3704" spans="12:13">
      <c r="L3704" s="20" t="str">
        <f t="shared" si="114"/>
        <v>N/A</v>
      </c>
      <c r="M3704" s="20" t="str">
        <f t="shared" si="115"/>
        <v>N/A</v>
      </c>
    </row>
    <row r="3705" spans="12:13">
      <c r="L3705" s="20" t="str">
        <f t="shared" si="114"/>
        <v>N/A</v>
      </c>
      <c r="M3705" s="20" t="str">
        <f t="shared" si="115"/>
        <v>N/A</v>
      </c>
    </row>
    <row r="3706" spans="12:13">
      <c r="L3706" s="20" t="str">
        <f t="shared" si="114"/>
        <v>N/A</v>
      </c>
      <c r="M3706" s="20" t="str">
        <f t="shared" si="115"/>
        <v>N/A</v>
      </c>
    </row>
    <row r="3707" spans="12:13">
      <c r="L3707" s="20" t="str">
        <f t="shared" si="114"/>
        <v>N/A</v>
      </c>
      <c r="M3707" s="20" t="str">
        <f t="shared" si="115"/>
        <v>N/A</v>
      </c>
    </row>
    <row r="3708" spans="12:13">
      <c r="L3708" s="20" t="str">
        <f t="shared" si="114"/>
        <v>N/A</v>
      </c>
      <c r="M3708" s="20" t="str">
        <f t="shared" si="115"/>
        <v>N/A</v>
      </c>
    </row>
    <row r="3709" spans="12:13">
      <c r="L3709" s="20" t="str">
        <f t="shared" si="114"/>
        <v>N/A</v>
      </c>
      <c r="M3709" s="20" t="str">
        <f t="shared" si="115"/>
        <v>N/A</v>
      </c>
    </row>
    <row r="3710" spans="12:13">
      <c r="L3710" s="20" t="str">
        <f t="shared" si="114"/>
        <v>N/A</v>
      </c>
      <c r="M3710" s="20" t="str">
        <f t="shared" si="115"/>
        <v>N/A</v>
      </c>
    </row>
    <row r="3711" spans="12:13">
      <c r="L3711" s="20" t="str">
        <f t="shared" si="114"/>
        <v>N/A</v>
      </c>
      <c r="M3711" s="20" t="str">
        <f t="shared" si="115"/>
        <v>N/A</v>
      </c>
    </row>
    <row r="3712" spans="12:13">
      <c r="L3712" s="20" t="str">
        <f t="shared" si="114"/>
        <v>N/A</v>
      </c>
      <c r="M3712" s="20" t="str">
        <f t="shared" si="115"/>
        <v>N/A</v>
      </c>
    </row>
    <row r="3713" spans="12:13">
      <c r="L3713" s="20" t="str">
        <f t="shared" si="114"/>
        <v>N/A</v>
      </c>
      <c r="M3713" s="20" t="str">
        <f t="shared" si="115"/>
        <v>N/A</v>
      </c>
    </row>
    <row r="3714" spans="12:13">
      <c r="L3714" s="20" t="str">
        <f t="shared" si="114"/>
        <v>N/A</v>
      </c>
      <c r="M3714" s="20" t="str">
        <f t="shared" si="115"/>
        <v>N/A</v>
      </c>
    </row>
    <row r="3715" spans="12:13">
      <c r="L3715" s="20" t="str">
        <f t="shared" ref="L3715:L3778" si="116">+IF(LEFT(D3715,1)="1","Asset","N/A")</f>
        <v>N/A</v>
      </c>
      <c r="M3715" s="20" t="str">
        <f t="shared" ref="M3715:M3778" si="117">+IF(L3715="asset",IF(H3715&lt;0,"Provide Comment","okay"),"N/A")</f>
        <v>N/A</v>
      </c>
    </row>
    <row r="3716" spans="12:13">
      <c r="L3716" s="20" t="str">
        <f t="shared" si="116"/>
        <v>N/A</v>
      </c>
      <c r="M3716" s="20" t="str">
        <f t="shared" si="117"/>
        <v>N/A</v>
      </c>
    </row>
    <row r="3717" spans="12:13">
      <c r="L3717" s="20" t="str">
        <f t="shared" si="116"/>
        <v>N/A</v>
      </c>
      <c r="M3717" s="20" t="str">
        <f t="shared" si="117"/>
        <v>N/A</v>
      </c>
    </row>
    <row r="3718" spans="12:13">
      <c r="L3718" s="20" t="str">
        <f t="shared" si="116"/>
        <v>N/A</v>
      </c>
      <c r="M3718" s="20" t="str">
        <f t="shared" si="117"/>
        <v>N/A</v>
      </c>
    </row>
    <row r="3719" spans="12:13">
      <c r="L3719" s="20" t="str">
        <f t="shared" si="116"/>
        <v>N/A</v>
      </c>
      <c r="M3719" s="20" t="str">
        <f t="shared" si="117"/>
        <v>N/A</v>
      </c>
    </row>
    <row r="3720" spans="12:13">
      <c r="L3720" s="20" t="str">
        <f t="shared" si="116"/>
        <v>N/A</v>
      </c>
      <c r="M3720" s="20" t="str">
        <f t="shared" si="117"/>
        <v>N/A</v>
      </c>
    </row>
    <row r="3721" spans="12:13">
      <c r="L3721" s="20" t="str">
        <f t="shared" si="116"/>
        <v>N/A</v>
      </c>
      <c r="M3721" s="20" t="str">
        <f t="shared" si="117"/>
        <v>N/A</v>
      </c>
    </row>
    <row r="3722" spans="12:13">
      <c r="L3722" s="20" t="str">
        <f t="shared" si="116"/>
        <v>N/A</v>
      </c>
      <c r="M3722" s="20" t="str">
        <f t="shared" si="117"/>
        <v>N/A</v>
      </c>
    </row>
    <row r="3723" spans="12:13">
      <c r="L3723" s="20" t="str">
        <f t="shared" si="116"/>
        <v>N/A</v>
      </c>
      <c r="M3723" s="20" t="str">
        <f t="shared" si="117"/>
        <v>N/A</v>
      </c>
    </row>
    <row r="3724" spans="12:13">
      <c r="L3724" s="20" t="str">
        <f t="shared" si="116"/>
        <v>N/A</v>
      </c>
      <c r="M3724" s="20" t="str">
        <f t="shared" si="117"/>
        <v>N/A</v>
      </c>
    </row>
    <row r="3725" spans="12:13">
      <c r="L3725" s="20" t="str">
        <f t="shared" si="116"/>
        <v>N/A</v>
      </c>
      <c r="M3725" s="20" t="str">
        <f t="shared" si="117"/>
        <v>N/A</v>
      </c>
    </row>
    <row r="3726" spans="12:13">
      <c r="L3726" s="20" t="str">
        <f t="shared" si="116"/>
        <v>N/A</v>
      </c>
      <c r="M3726" s="20" t="str">
        <f t="shared" si="117"/>
        <v>N/A</v>
      </c>
    </row>
    <row r="3727" spans="12:13">
      <c r="L3727" s="20" t="str">
        <f t="shared" si="116"/>
        <v>N/A</v>
      </c>
      <c r="M3727" s="20" t="str">
        <f t="shared" si="117"/>
        <v>N/A</v>
      </c>
    </row>
    <row r="3728" spans="12:13">
      <c r="L3728" s="20" t="str">
        <f t="shared" si="116"/>
        <v>N/A</v>
      </c>
      <c r="M3728" s="20" t="str">
        <f t="shared" si="117"/>
        <v>N/A</v>
      </c>
    </row>
    <row r="3729" spans="12:13">
      <c r="L3729" s="20" t="str">
        <f t="shared" si="116"/>
        <v>N/A</v>
      </c>
      <c r="M3729" s="20" t="str">
        <f t="shared" si="117"/>
        <v>N/A</v>
      </c>
    </row>
    <row r="3730" spans="12:13">
      <c r="L3730" s="20" t="str">
        <f t="shared" si="116"/>
        <v>N/A</v>
      </c>
      <c r="M3730" s="20" t="str">
        <f t="shared" si="117"/>
        <v>N/A</v>
      </c>
    </row>
    <row r="3731" spans="12:13">
      <c r="L3731" s="20" t="str">
        <f t="shared" si="116"/>
        <v>N/A</v>
      </c>
      <c r="M3731" s="20" t="str">
        <f t="shared" si="117"/>
        <v>N/A</v>
      </c>
    </row>
    <row r="3732" spans="12:13">
      <c r="L3732" s="20" t="str">
        <f t="shared" si="116"/>
        <v>N/A</v>
      </c>
      <c r="M3732" s="20" t="str">
        <f t="shared" si="117"/>
        <v>N/A</v>
      </c>
    </row>
    <row r="3733" spans="12:13">
      <c r="L3733" s="20" t="str">
        <f t="shared" si="116"/>
        <v>N/A</v>
      </c>
      <c r="M3733" s="20" t="str">
        <f t="shared" si="117"/>
        <v>N/A</v>
      </c>
    </row>
    <row r="3734" spans="12:13">
      <c r="L3734" s="20" t="str">
        <f t="shared" si="116"/>
        <v>N/A</v>
      </c>
      <c r="M3734" s="20" t="str">
        <f t="shared" si="117"/>
        <v>N/A</v>
      </c>
    </row>
    <row r="3735" spans="12:13">
      <c r="L3735" s="20" t="str">
        <f t="shared" si="116"/>
        <v>N/A</v>
      </c>
      <c r="M3735" s="20" t="str">
        <f t="shared" si="117"/>
        <v>N/A</v>
      </c>
    </row>
    <row r="3736" spans="12:13">
      <c r="L3736" s="20" t="str">
        <f t="shared" si="116"/>
        <v>N/A</v>
      </c>
      <c r="M3736" s="20" t="str">
        <f t="shared" si="117"/>
        <v>N/A</v>
      </c>
    </row>
    <row r="3737" spans="12:13">
      <c r="L3737" s="20" t="str">
        <f t="shared" si="116"/>
        <v>N/A</v>
      </c>
      <c r="M3737" s="20" t="str">
        <f t="shared" si="117"/>
        <v>N/A</v>
      </c>
    </row>
    <row r="3738" spans="12:13">
      <c r="L3738" s="20" t="str">
        <f t="shared" si="116"/>
        <v>N/A</v>
      </c>
      <c r="M3738" s="20" t="str">
        <f t="shared" si="117"/>
        <v>N/A</v>
      </c>
    </row>
    <row r="3739" spans="12:13">
      <c r="L3739" s="20" t="str">
        <f t="shared" si="116"/>
        <v>N/A</v>
      </c>
      <c r="M3739" s="20" t="str">
        <f t="shared" si="117"/>
        <v>N/A</v>
      </c>
    </row>
    <row r="3740" spans="12:13">
      <c r="L3740" s="20" t="str">
        <f t="shared" si="116"/>
        <v>N/A</v>
      </c>
      <c r="M3740" s="20" t="str">
        <f t="shared" si="117"/>
        <v>N/A</v>
      </c>
    </row>
    <row r="3741" spans="12:13">
      <c r="L3741" s="20" t="str">
        <f t="shared" si="116"/>
        <v>N/A</v>
      </c>
      <c r="M3741" s="20" t="str">
        <f t="shared" si="117"/>
        <v>N/A</v>
      </c>
    </row>
    <row r="3742" spans="12:13">
      <c r="L3742" s="20" t="str">
        <f t="shared" si="116"/>
        <v>N/A</v>
      </c>
      <c r="M3742" s="20" t="str">
        <f t="shared" si="117"/>
        <v>N/A</v>
      </c>
    </row>
    <row r="3743" spans="12:13">
      <c r="L3743" s="20" t="str">
        <f t="shared" si="116"/>
        <v>N/A</v>
      </c>
      <c r="M3743" s="20" t="str">
        <f t="shared" si="117"/>
        <v>N/A</v>
      </c>
    </row>
    <row r="3744" spans="12:13">
      <c r="L3744" s="20" t="str">
        <f t="shared" si="116"/>
        <v>N/A</v>
      </c>
      <c r="M3744" s="20" t="str">
        <f t="shared" si="117"/>
        <v>N/A</v>
      </c>
    </row>
    <row r="3745" spans="12:13">
      <c r="L3745" s="20" t="str">
        <f t="shared" si="116"/>
        <v>N/A</v>
      </c>
      <c r="M3745" s="20" t="str">
        <f t="shared" si="117"/>
        <v>N/A</v>
      </c>
    </row>
    <row r="3746" spans="12:13">
      <c r="L3746" s="20" t="str">
        <f t="shared" si="116"/>
        <v>N/A</v>
      </c>
      <c r="M3746" s="20" t="str">
        <f t="shared" si="117"/>
        <v>N/A</v>
      </c>
    </row>
    <row r="3747" spans="12:13">
      <c r="L3747" s="20" t="str">
        <f t="shared" si="116"/>
        <v>N/A</v>
      </c>
      <c r="M3747" s="20" t="str">
        <f t="shared" si="117"/>
        <v>N/A</v>
      </c>
    </row>
    <row r="3748" spans="12:13">
      <c r="L3748" s="20" t="str">
        <f t="shared" si="116"/>
        <v>N/A</v>
      </c>
      <c r="M3748" s="20" t="str">
        <f t="shared" si="117"/>
        <v>N/A</v>
      </c>
    </row>
    <row r="3749" spans="12:13">
      <c r="L3749" s="20" t="str">
        <f t="shared" si="116"/>
        <v>N/A</v>
      </c>
      <c r="M3749" s="20" t="str">
        <f t="shared" si="117"/>
        <v>N/A</v>
      </c>
    </row>
    <row r="3750" spans="12:13">
      <c r="L3750" s="20" t="str">
        <f t="shared" si="116"/>
        <v>N/A</v>
      </c>
      <c r="M3750" s="20" t="str">
        <f t="shared" si="117"/>
        <v>N/A</v>
      </c>
    </row>
    <row r="3751" spans="12:13">
      <c r="L3751" s="20" t="str">
        <f t="shared" si="116"/>
        <v>N/A</v>
      </c>
      <c r="M3751" s="20" t="str">
        <f t="shared" si="117"/>
        <v>N/A</v>
      </c>
    </row>
    <row r="3752" spans="12:13">
      <c r="L3752" s="20" t="str">
        <f t="shared" si="116"/>
        <v>N/A</v>
      </c>
      <c r="M3752" s="20" t="str">
        <f t="shared" si="117"/>
        <v>N/A</v>
      </c>
    </row>
    <row r="3753" spans="12:13">
      <c r="L3753" s="20" t="str">
        <f t="shared" si="116"/>
        <v>N/A</v>
      </c>
      <c r="M3753" s="20" t="str">
        <f t="shared" si="117"/>
        <v>N/A</v>
      </c>
    </row>
    <row r="3754" spans="12:13">
      <c r="L3754" s="20" t="str">
        <f t="shared" si="116"/>
        <v>N/A</v>
      </c>
      <c r="M3754" s="20" t="str">
        <f t="shared" si="117"/>
        <v>N/A</v>
      </c>
    </row>
    <row r="3755" spans="12:13">
      <c r="L3755" s="20" t="str">
        <f t="shared" si="116"/>
        <v>N/A</v>
      </c>
      <c r="M3755" s="20" t="str">
        <f t="shared" si="117"/>
        <v>N/A</v>
      </c>
    </row>
    <row r="3756" spans="12:13">
      <c r="L3756" s="20" t="str">
        <f t="shared" si="116"/>
        <v>N/A</v>
      </c>
      <c r="M3756" s="20" t="str">
        <f t="shared" si="117"/>
        <v>N/A</v>
      </c>
    </row>
    <row r="3757" spans="12:13">
      <c r="L3757" s="20" t="str">
        <f t="shared" si="116"/>
        <v>N/A</v>
      </c>
      <c r="M3757" s="20" t="str">
        <f t="shared" si="117"/>
        <v>N/A</v>
      </c>
    </row>
    <row r="3758" spans="12:13">
      <c r="L3758" s="20" t="str">
        <f t="shared" si="116"/>
        <v>N/A</v>
      </c>
      <c r="M3758" s="20" t="str">
        <f t="shared" si="117"/>
        <v>N/A</v>
      </c>
    </row>
    <row r="3759" spans="12:13">
      <c r="L3759" s="20" t="str">
        <f t="shared" si="116"/>
        <v>N/A</v>
      </c>
      <c r="M3759" s="20" t="str">
        <f t="shared" si="117"/>
        <v>N/A</v>
      </c>
    </row>
    <row r="3760" spans="12:13">
      <c r="L3760" s="20" t="str">
        <f t="shared" si="116"/>
        <v>N/A</v>
      </c>
      <c r="M3760" s="20" t="str">
        <f t="shared" si="117"/>
        <v>N/A</v>
      </c>
    </row>
    <row r="3761" spans="12:13">
      <c r="L3761" s="20" t="str">
        <f t="shared" si="116"/>
        <v>N/A</v>
      </c>
      <c r="M3761" s="20" t="str">
        <f t="shared" si="117"/>
        <v>N/A</v>
      </c>
    </row>
    <row r="3762" spans="12:13">
      <c r="L3762" s="20" t="str">
        <f t="shared" si="116"/>
        <v>N/A</v>
      </c>
      <c r="M3762" s="20" t="str">
        <f t="shared" si="117"/>
        <v>N/A</v>
      </c>
    </row>
    <row r="3763" spans="12:13">
      <c r="L3763" s="20" t="str">
        <f t="shared" si="116"/>
        <v>N/A</v>
      </c>
      <c r="M3763" s="20" t="str">
        <f t="shared" si="117"/>
        <v>N/A</v>
      </c>
    </row>
    <row r="3764" spans="12:13">
      <c r="L3764" s="20" t="str">
        <f t="shared" si="116"/>
        <v>N/A</v>
      </c>
      <c r="M3764" s="20" t="str">
        <f t="shared" si="117"/>
        <v>N/A</v>
      </c>
    </row>
    <row r="3765" spans="12:13">
      <c r="L3765" s="20" t="str">
        <f t="shared" si="116"/>
        <v>N/A</v>
      </c>
      <c r="M3765" s="20" t="str">
        <f t="shared" si="117"/>
        <v>N/A</v>
      </c>
    </row>
    <row r="3766" spans="12:13">
      <c r="L3766" s="20" t="str">
        <f t="shared" si="116"/>
        <v>N/A</v>
      </c>
      <c r="M3766" s="20" t="str">
        <f t="shared" si="117"/>
        <v>N/A</v>
      </c>
    </row>
    <row r="3767" spans="12:13">
      <c r="L3767" s="20" t="str">
        <f t="shared" si="116"/>
        <v>N/A</v>
      </c>
      <c r="M3767" s="20" t="str">
        <f t="shared" si="117"/>
        <v>N/A</v>
      </c>
    </row>
    <row r="3768" spans="12:13">
      <c r="L3768" s="20" t="str">
        <f t="shared" si="116"/>
        <v>N/A</v>
      </c>
      <c r="M3768" s="20" t="str">
        <f t="shared" si="117"/>
        <v>N/A</v>
      </c>
    </row>
    <row r="3769" spans="12:13">
      <c r="L3769" s="20" t="str">
        <f t="shared" si="116"/>
        <v>N/A</v>
      </c>
      <c r="M3769" s="20" t="str">
        <f t="shared" si="117"/>
        <v>N/A</v>
      </c>
    </row>
    <row r="3770" spans="12:13">
      <c r="L3770" s="20" t="str">
        <f t="shared" si="116"/>
        <v>N/A</v>
      </c>
      <c r="M3770" s="20" t="str">
        <f t="shared" si="117"/>
        <v>N/A</v>
      </c>
    </row>
    <row r="3771" spans="12:13">
      <c r="L3771" s="20" t="str">
        <f t="shared" si="116"/>
        <v>N/A</v>
      </c>
      <c r="M3771" s="20" t="str">
        <f t="shared" si="117"/>
        <v>N/A</v>
      </c>
    </row>
    <row r="3772" spans="12:13">
      <c r="L3772" s="20" t="str">
        <f t="shared" si="116"/>
        <v>N/A</v>
      </c>
      <c r="M3772" s="20" t="str">
        <f t="shared" si="117"/>
        <v>N/A</v>
      </c>
    </row>
    <row r="3773" spans="12:13">
      <c r="L3773" s="20" t="str">
        <f t="shared" si="116"/>
        <v>N/A</v>
      </c>
      <c r="M3773" s="20" t="str">
        <f t="shared" si="117"/>
        <v>N/A</v>
      </c>
    </row>
    <row r="3774" spans="12:13">
      <c r="L3774" s="20" t="str">
        <f t="shared" si="116"/>
        <v>N/A</v>
      </c>
      <c r="M3774" s="20" t="str">
        <f t="shared" si="117"/>
        <v>N/A</v>
      </c>
    </row>
    <row r="3775" spans="12:13">
      <c r="L3775" s="20" t="str">
        <f t="shared" si="116"/>
        <v>N/A</v>
      </c>
      <c r="M3775" s="20" t="str">
        <f t="shared" si="117"/>
        <v>N/A</v>
      </c>
    </row>
    <row r="3776" spans="12:13">
      <c r="L3776" s="20" t="str">
        <f t="shared" si="116"/>
        <v>N/A</v>
      </c>
      <c r="M3776" s="20" t="str">
        <f t="shared" si="117"/>
        <v>N/A</v>
      </c>
    </row>
    <row r="3777" spans="12:13">
      <c r="L3777" s="20" t="str">
        <f t="shared" si="116"/>
        <v>N/A</v>
      </c>
      <c r="M3777" s="20" t="str">
        <f t="shared" si="117"/>
        <v>N/A</v>
      </c>
    </row>
    <row r="3778" spans="12:13">
      <c r="L3778" s="20" t="str">
        <f t="shared" si="116"/>
        <v>N/A</v>
      </c>
      <c r="M3778" s="20" t="str">
        <f t="shared" si="117"/>
        <v>N/A</v>
      </c>
    </row>
    <row r="3779" spans="12:13">
      <c r="L3779" s="20" t="str">
        <f t="shared" ref="L3779:L3842" si="118">+IF(LEFT(D3779,1)="1","Asset","N/A")</f>
        <v>N/A</v>
      </c>
      <c r="M3779" s="20" t="str">
        <f t="shared" ref="M3779:M3842" si="119">+IF(L3779="asset",IF(H3779&lt;0,"Provide Comment","okay"),"N/A")</f>
        <v>N/A</v>
      </c>
    </row>
    <row r="3780" spans="12:13">
      <c r="L3780" s="20" t="str">
        <f t="shared" si="118"/>
        <v>N/A</v>
      </c>
      <c r="M3780" s="20" t="str">
        <f t="shared" si="119"/>
        <v>N/A</v>
      </c>
    </row>
    <row r="3781" spans="12:13">
      <c r="L3781" s="20" t="str">
        <f t="shared" si="118"/>
        <v>N/A</v>
      </c>
      <c r="M3781" s="20" t="str">
        <f t="shared" si="119"/>
        <v>N/A</v>
      </c>
    </row>
    <row r="3782" spans="12:13">
      <c r="L3782" s="20" t="str">
        <f t="shared" si="118"/>
        <v>N/A</v>
      </c>
      <c r="M3782" s="20" t="str">
        <f t="shared" si="119"/>
        <v>N/A</v>
      </c>
    </row>
    <row r="3783" spans="12:13">
      <c r="L3783" s="20" t="str">
        <f t="shared" si="118"/>
        <v>N/A</v>
      </c>
      <c r="M3783" s="20" t="str">
        <f t="shared" si="119"/>
        <v>N/A</v>
      </c>
    </row>
    <row r="3784" spans="12:13">
      <c r="L3784" s="20" t="str">
        <f t="shared" si="118"/>
        <v>N/A</v>
      </c>
      <c r="M3784" s="20" t="str">
        <f t="shared" si="119"/>
        <v>N/A</v>
      </c>
    </row>
    <row r="3785" spans="12:13">
      <c r="L3785" s="20" t="str">
        <f t="shared" si="118"/>
        <v>N/A</v>
      </c>
      <c r="M3785" s="20" t="str">
        <f t="shared" si="119"/>
        <v>N/A</v>
      </c>
    </row>
    <row r="3786" spans="12:13">
      <c r="L3786" s="20" t="str">
        <f t="shared" si="118"/>
        <v>N/A</v>
      </c>
      <c r="M3786" s="20" t="str">
        <f t="shared" si="119"/>
        <v>N/A</v>
      </c>
    </row>
    <row r="3787" spans="12:13">
      <c r="L3787" s="20" t="str">
        <f t="shared" si="118"/>
        <v>N/A</v>
      </c>
      <c r="M3787" s="20" t="str">
        <f t="shared" si="119"/>
        <v>N/A</v>
      </c>
    </row>
    <row r="3788" spans="12:13">
      <c r="L3788" s="20" t="str">
        <f t="shared" si="118"/>
        <v>N/A</v>
      </c>
      <c r="M3788" s="20" t="str">
        <f t="shared" si="119"/>
        <v>N/A</v>
      </c>
    </row>
    <row r="3789" spans="12:13">
      <c r="L3789" s="20" t="str">
        <f t="shared" si="118"/>
        <v>N/A</v>
      </c>
      <c r="M3789" s="20" t="str">
        <f t="shared" si="119"/>
        <v>N/A</v>
      </c>
    </row>
    <row r="3790" spans="12:13">
      <c r="L3790" s="20" t="str">
        <f t="shared" si="118"/>
        <v>N/A</v>
      </c>
      <c r="M3790" s="20" t="str">
        <f t="shared" si="119"/>
        <v>N/A</v>
      </c>
    </row>
    <row r="3791" spans="12:13">
      <c r="L3791" s="20" t="str">
        <f t="shared" si="118"/>
        <v>N/A</v>
      </c>
      <c r="M3791" s="20" t="str">
        <f t="shared" si="119"/>
        <v>N/A</v>
      </c>
    </row>
    <row r="3792" spans="12:13">
      <c r="L3792" s="20" t="str">
        <f t="shared" si="118"/>
        <v>N/A</v>
      </c>
      <c r="M3792" s="20" t="str">
        <f t="shared" si="119"/>
        <v>N/A</v>
      </c>
    </row>
    <row r="3793" spans="12:13">
      <c r="L3793" s="20" t="str">
        <f t="shared" si="118"/>
        <v>N/A</v>
      </c>
      <c r="M3793" s="20" t="str">
        <f t="shared" si="119"/>
        <v>N/A</v>
      </c>
    </row>
    <row r="3794" spans="12:13">
      <c r="L3794" s="20" t="str">
        <f t="shared" si="118"/>
        <v>N/A</v>
      </c>
      <c r="M3794" s="20" t="str">
        <f t="shared" si="119"/>
        <v>N/A</v>
      </c>
    </row>
    <row r="3795" spans="12:13">
      <c r="L3795" s="20" t="str">
        <f t="shared" si="118"/>
        <v>N/A</v>
      </c>
      <c r="M3795" s="20" t="str">
        <f t="shared" si="119"/>
        <v>N/A</v>
      </c>
    </row>
    <row r="3796" spans="12:13">
      <c r="L3796" s="20" t="str">
        <f t="shared" si="118"/>
        <v>N/A</v>
      </c>
      <c r="M3796" s="20" t="str">
        <f t="shared" si="119"/>
        <v>N/A</v>
      </c>
    </row>
    <row r="3797" spans="12:13">
      <c r="L3797" s="20" t="str">
        <f t="shared" si="118"/>
        <v>N/A</v>
      </c>
      <c r="M3797" s="20" t="str">
        <f t="shared" si="119"/>
        <v>N/A</v>
      </c>
    </row>
    <row r="3798" spans="12:13">
      <c r="L3798" s="20" t="str">
        <f t="shared" si="118"/>
        <v>N/A</v>
      </c>
      <c r="M3798" s="20" t="str">
        <f t="shared" si="119"/>
        <v>N/A</v>
      </c>
    </row>
    <row r="3799" spans="12:13">
      <c r="L3799" s="20" t="str">
        <f t="shared" si="118"/>
        <v>N/A</v>
      </c>
      <c r="M3799" s="20" t="str">
        <f t="shared" si="119"/>
        <v>N/A</v>
      </c>
    </row>
    <row r="3800" spans="12:13">
      <c r="L3800" s="20" t="str">
        <f t="shared" si="118"/>
        <v>N/A</v>
      </c>
      <c r="M3800" s="20" t="str">
        <f t="shared" si="119"/>
        <v>N/A</v>
      </c>
    </row>
    <row r="3801" spans="12:13">
      <c r="L3801" s="20" t="str">
        <f t="shared" si="118"/>
        <v>N/A</v>
      </c>
      <c r="M3801" s="20" t="str">
        <f t="shared" si="119"/>
        <v>N/A</v>
      </c>
    </row>
    <row r="3802" spans="12:13">
      <c r="L3802" s="20" t="str">
        <f t="shared" si="118"/>
        <v>N/A</v>
      </c>
      <c r="M3802" s="20" t="str">
        <f t="shared" si="119"/>
        <v>N/A</v>
      </c>
    </row>
    <row r="3803" spans="12:13">
      <c r="L3803" s="20" t="str">
        <f t="shared" si="118"/>
        <v>N/A</v>
      </c>
      <c r="M3803" s="20" t="str">
        <f t="shared" si="119"/>
        <v>N/A</v>
      </c>
    </row>
    <row r="3804" spans="12:13">
      <c r="L3804" s="20" t="str">
        <f t="shared" si="118"/>
        <v>N/A</v>
      </c>
      <c r="M3804" s="20" t="str">
        <f t="shared" si="119"/>
        <v>N/A</v>
      </c>
    </row>
    <row r="3805" spans="12:13">
      <c r="L3805" s="20" t="str">
        <f t="shared" si="118"/>
        <v>N/A</v>
      </c>
      <c r="M3805" s="20" t="str">
        <f t="shared" si="119"/>
        <v>N/A</v>
      </c>
    </row>
    <row r="3806" spans="12:13">
      <c r="L3806" s="20" t="str">
        <f t="shared" si="118"/>
        <v>N/A</v>
      </c>
      <c r="M3806" s="20" t="str">
        <f t="shared" si="119"/>
        <v>N/A</v>
      </c>
    </row>
    <row r="3807" spans="12:13">
      <c r="L3807" s="20" t="str">
        <f t="shared" si="118"/>
        <v>N/A</v>
      </c>
      <c r="M3807" s="20" t="str">
        <f t="shared" si="119"/>
        <v>N/A</v>
      </c>
    </row>
    <row r="3808" spans="12:13">
      <c r="L3808" s="20" t="str">
        <f t="shared" si="118"/>
        <v>N/A</v>
      </c>
      <c r="M3808" s="20" t="str">
        <f t="shared" si="119"/>
        <v>N/A</v>
      </c>
    </row>
    <row r="3809" spans="12:13">
      <c r="L3809" s="20" t="str">
        <f t="shared" si="118"/>
        <v>N/A</v>
      </c>
      <c r="M3809" s="20" t="str">
        <f t="shared" si="119"/>
        <v>N/A</v>
      </c>
    </row>
    <row r="3810" spans="12:13">
      <c r="L3810" s="20" t="str">
        <f t="shared" si="118"/>
        <v>N/A</v>
      </c>
      <c r="M3810" s="20" t="str">
        <f t="shared" si="119"/>
        <v>N/A</v>
      </c>
    </row>
    <row r="3811" spans="12:13">
      <c r="L3811" s="20" t="str">
        <f t="shared" si="118"/>
        <v>N/A</v>
      </c>
      <c r="M3811" s="20" t="str">
        <f t="shared" si="119"/>
        <v>N/A</v>
      </c>
    </row>
    <row r="3812" spans="12:13">
      <c r="L3812" s="20" t="str">
        <f t="shared" si="118"/>
        <v>N/A</v>
      </c>
      <c r="M3812" s="20" t="str">
        <f t="shared" si="119"/>
        <v>N/A</v>
      </c>
    </row>
    <row r="3813" spans="12:13">
      <c r="L3813" s="20" t="str">
        <f t="shared" si="118"/>
        <v>N/A</v>
      </c>
      <c r="M3813" s="20" t="str">
        <f t="shared" si="119"/>
        <v>N/A</v>
      </c>
    </row>
    <row r="3814" spans="12:13">
      <c r="L3814" s="20" t="str">
        <f t="shared" si="118"/>
        <v>N/A</v>
      </c>
      <c r="M3814" s="20" t="str">
        <f t="shared" si="119"/>
        <v>N/A</v>
      </c>
    </row>
    <row r="3815" spans="12:13">
      <c r="L3815" s="20" t="str">
        <f t="shared" si="118"/>
        <v>N/A</v>
      </c>
      <c r="M3815" s="20" t="str">
        <f t="shared" si="119"/>
        <v>N/A</v>
      </c>
    </row>
    <row r="3816" spans="12:13">
      <c r="L3816" s="20" t="str">
        <f t="shared" si="118"/>
        <v>N/A</v>
      </c>
      <c r="M3816" s="20" t="str">
        <f t="shared" si="119"/>
        <v>N/A</v>
      </c>
    </row>
    <row r="3817" spans="12:13">
      <c r="L3817" s="20" t="str">
        <f t="shared" si="118"/>
        <v>N/A</v>
      </c>
      <c r="M3817" s="20" t="str">
        <f t="shared" si="119"/>
        <v>N/A</v>
      </c>
    </row>
    <row r="3818" spans="12:13">
      <c r="L3818" s="20" t="str">
        <f t="shared" si="118"/>
        <v>N/A</v>
      </c>
      <c r="M3818" s="20" t="str">
        <f t="shared" si="119"/>
        <v>N/A</v>
      </c>
    </row>
    <row r="3819" spans="12:13">
      <c r="L3819" s="20" t="str">
        <f t="shared" si="118"/>
        <v>N/A</v>
      </c>
      <c r="M3819" s="20" t="str">
        <f t="shared" si="119"/>
        <v>N/A</v>
      </c>
    </row>
    <row r="3820" spans="12:13">
      <c r="L3820" s="20" t="str">
        <f t="shared" si="118"/>
        <v>N/A</v>
      </c>
      <c r="M3820" s="20" t="str">
        <f t="shared" si="119"/>
        <v>N/A</v>
      </c>
    </row>
    <row r="3821" spans="12:13">
      <c r="L3821" s="20" t="str">
        <f t="shared" si="118"/>
        <v>N/A</v>
      </c>
      <c r="M3821" s="20" t="str">
        <f t="shared" si="119"/>
        <v>N/A</v>
      </c>
    </row>
    <row r="3822" spans="12:13">
      <c r="L3822" s="20" t="str">
        <f t="shared" si="118"/>
        <v>N/A</v>
      </c>
      <c r="M3822" s="20" t="str">
        <f t="shared" si="119"/>
        <v>N/A</v>
      </c>
    </row>
    <row r="3823" spans="12:13">
      <c r="L3823" s="20" t="str">
        <f t="shared" si="118"/>
        <v>N/A</v>
      </c>
      <c r="M3823" s="20" t="str">
        <f t="shared" si="119"/>
        <v>N/A</v>
      </c>
    </row>
    <row r="3824" spans="12:13">
      <c r="L3824" s="20" t="str">
        <f t="shared" si="118"/>
        <v>N/A</v>
      </c>
      <c r="M3824" s="20" t="str">
        <f t="shared" si="119"/>
        <v>N/A</v>
      </c>
    </row>
    <row r="3825" spans="12:13">
      <c r="L3825" s="20" t="str">
        <f t="shared" si="118"/>
        <v>N/A</v>
      </c>
      <c r="M3825" s="20" t="str">
        <f t="shared" si="119"/>
        <v>N/A</v>
      </c>
    </row>
    <row r="3826" spans="12:13">
      <c r="L3826" s="20" t="str">
        <f t="shared" si="118"/>
        <v>N/A</v>
      </c>
      <c r="M3826" s="20" t="str">
        <f t="shared" si="119"/>
        <v>N/A</v>
      </c>
    </row>
    <row r="3827" spans="12:13">
      <c r="L3827" s="20" t="str">
        <f t="shared" si="118"/>
        <v>N/A</v>
      </c>
      <c r="M3827" s="20" t="str">
        <f t="shared" si="119"/>
        <v>N/A</v>
      </c>
    </row>
    <row r="3828" spans="12:13">
      <c r="L3828" s="20" t="str">
        <f t="shared" si="118"/>
        <v>N/A</v>
      </c>
      <c r="M3828" s="20" t="str">
        <f t="shared" si="119"/>
        <v>N/A</v>
      </c>
    </row>
    <row r="3829" spans="12:13">
      <c r="L3829" s="20" t="str">
        <f t="shared" si="118"/>
        <v>N/A</v>
      </c>
      <c r="M3829" s="20" t="str">
        <f t="shared" si="119"/>
        <v>N/A</v>
      </c>
    </row>
    <row r="3830" spans="12:13">
      <c r="L3830" s="20" t="str">
        <f t="shared" si="118"/>
        <v>N/A</v>
      </c>
      <c r="M3830" s="20" t="str">
        <f t="shared" si="119"/>
        <v>N/A</v>
      </c>
    </row>
    <row r="3831" spans="12:13">
      <c r="L3831" s="20" t="str">
        <f t="shared" si="118"/>
        <v>N/A</v>
      </c>
      <c r="M3831" s="20" t="str">
        <f t="shared" si="119"/>
        <v>N/A</v>
      </c>
    </row>
    <row r="3832" spans="12:13">
      <c r="L3832" s="20" t="str">
        <f t="shared" si="118"/>
        <v>N/A</v>
      </c>
      <c r="M3832" s="20" t="str">
        <f t="shared" si="119"/>
        <v>N/A</v>
      </c>
    </row>
    <row r="3833" spans="12:13">
      <c r="L3833" s="20" t="str">
        <f t="shared" si="118"/>
        <v>N/A</v>
      </c>
      <c r="M3833" s="20" t="str">
        <f t="shared" si="119"/>
        <v>N/A</v>
      </c>
    </row>
    <row r="3834" spans="12:13">
      <c r="L3834" s="20" t="str">
        <f t="shared" si="118"/>
        <v>N/A</v>
      </c>
      <c r="M3834" s="20" t="str">
        <f t="shared" si="119"/>
        <v>N/A</v>
      </c>
    </row>
    <row r="3835" spans="12:13">
      <c r="L3835" s="20" t="str">
        <f t="shared" si="118"/>
        <v>N/A</v>
      </c>
      <c r="M3835" s="20" t="str">
        <f t="shared" si="119"/>
        <v>N/A</v>
      </c>
    </row>
    <row r="3836" spans="12:13">
      <c r="L3836" s="20" t="str">
        <f t="shared" si="118"/>
        <v>N/A</v>
      </c>
      <c r="M3836" s="20" t="str">
        <f t="shared" si="119"/>
        <v>N/A</v>
      </c>
    </row>
    <row r="3837" spans="12:13">
      <c r="L3837" s="20" t="str">
        <f t="shared" si="118"/>
        <v>N/A</v>
      </c>
      <c r="M3837" s="20" t="str">
        <f t="shared" si="119"/>
        <v>N/A</v>
      </c>
    </row>
    <row r="3838" spans="12:13">
      <c r="L3838" s="20" t="str">
        <f t="shared" si="118"/>
        <v>N/A</v>
      </c>
      <c r="M3838" s="20" t="str">
        <f t="shared" si="119"/>
        <v>N/A</v>
      </c>
    </row>
    <row r="3839" spans="12:13">
      <c r="L3839" s="20" t="str">
        <f t="shared" si="118"/>
        <v>N/A</v>
      </c>
      <c r="M3839" s="20" t="str">
        <f t="shared" si="119"/>
        <v>N/A</v>
      </c>
    </row>
    <row r="3840" spans="12:13">
      <c r="L3840" s="20" t="str">
        <f t="shared" si="118"/>
        <v>N/A</v>
      </c>
      <c r="M3840" s="20" t="str">
        <f t="shared" si="119"/>
        <v>N/A</v>
      </c>
    </row>
    <row r="3841" spans="12:13">
      <c r="L3841" s="20" t="str">
        <f t="shared" si="118"/>
        <v>N/A</v>
      </c>
      <c r="M3841" s="20" t="str">
        <f t="shared" si="119"/>
        <v>N/A</v>
      </c>
    </row>
    <row r="3842" spans="12:13">
      <c r="L3842" s="20" t="str">
        <f t="shared" si="118"/>
        <v>N/A</v>
      </c>
      <c r="M3842" s="20" t="str">
        <f t="shared" si="119"/>
        <v>N/A</v>
      </c>
    </row>
    <row r="3843" spans="12:13">
      <c r="L3843" s="20" t="str">
        <f t="shared" ref="L3843:L3906" si="120">+IF(LEFT(D3843,1)="1","Asset","N/A")</f>
        <v>N/A</v>
      </c>
      <c r="M3843" s="20" t="str">
        <f t="shared" ref="M3843:M3906" si="121">+IF(L3843="asset",IF(H3843&lt;0,"Provide Comment","okay"),"N/A")</f>
        <v>N/A</v>
      </c>
    </row>
    <row r="3844" spans="12:13">
      <c r="L3844" s="20" t="str">
        <f t="shared" si="120"/>
        <v>N/A</v>
      </c>
      <c r="M3844" s="20" t="str">
        <f t="shared" si="121"/>
        <v>N/A</v>
      </c>
    </row>
    <row r="3845" spans="12:13">
      <c r="L3845" s="20" t="str">
        <f t="shared" si="120"/>
        <v>N/A</v>
      </c>
      <c r="M3845" s="20" t="str">
        <f t="shared" si="121"/>
        <v>N/A</v>
      </c>
    </row>
    <row r="3846" spans="12:13">
      <c r="L3846" s="20" t="str">
        <f t="shared" si="120"/>
        <v>N/A</v>
      </c>
      <c r="M3846" s="20" t="str">
        <f t="shared" si="121"/>
        <v>N/A</v>
      </c>
    </row>
    <row r="3847" spans="12:13">
      <c r="L3847" s="20" t="str">
        <f t="shared" si="120"/>
        <v>N/A</v>
      </c>
      <c r="M3847" s="20" t="str">
        <f t="shared" si="121"/>
        <v>N/A</v>
      </c>
    </row>
    <row r="3848" spans="12:13">
      <c r="L3848" s="20" t="str">
        <f t="shared" si="120"/>
        <v>N/A</v>
      </c>
      <c r="M3848" s="20" t="str">
        <f t="shared" si="121"/>
        <v>N/A</v>
      </c>
    </row>
    <row r="3849" spans="12:13">
      <c r="L3849" s="20" t="str">
        <f t="shared" si="120"/>
        <v>N/A</v>
      </c>
      <c r="M3849" s="20" t="str">
        <f t="shared" si="121"/>
        <v>N/A</v>
      </c>
    </row>
    <row r="3850" spans="12:13">
      <c r="L3850" s="20" t="str">
        <f t="shared" si="120"/>
        <v>N/A</v>
      </c>
      <c r="M3850" s="20" t="str">
        <f t="shared" si="121"/>
        <v>N/A</v>
      </c>
    </row>
    <row r="3851" spans="12:13">
      <c r="L3851" s="20" t="str">
        <f t="shared" si="120"/>
        <v>N/A</v>
      </c>
      <c r="M3851" s="20" t="str">
        <f t="shared" si="121"/>
        <v>N/A</v>
      </c>
    </row>
    <row r="3852" spans="12:13">
      <c r="L3852" s="20" t="str">
        <f t="shared" si="120"/>
        <v>N/A</v>
      </c>
      <c r="M3852" s="20" t="str">
        <f t="shared" si="121"/>
        <v>N/A</v>
      </c>
    </row>
    <row r="3853" spans="12:13">
      <c r="L3853" s="20" t="str">
        <f t="shared" si="120"/>
        <v>N/A</v>
      </c>
      <c r="M3853" s="20" t="str">
        <f t="shared" si="121"/>
        <v>N/A</v>
      </c>
    </row>
    <row r="3854" spans="12:13">
      <c r="L3854" s="20" t="str">
        <f t="shared" si="120"/>
        <v>N/A</v>
      </c>
      <c r="M3854" s="20" t="str">
        <f t="shared" si="121"/>
        <v>N/A</v>
      </c>
    </row>
    <row r="3855" spans="12:13">
      <c r="L3855" s="20" t="str">
        <f t="shared" si="120"/>
        <v>N/A</v>
      </c>
      <c r="M3855" s="20" t="str">
        <f t="shared" si="121"/>
        <v>N/A</v>
      </c>
    </row>
    <row r="3856" spans="12:13">
      <c r="L3856" s="20" t="str">
        <f t="shared" si="120"/>
        <v>N/A</v>
      </c>
      <c r="M3856" s="20" t="str">
        <f t="shared" si="121"/>
        <v>N/A</v>
      </c>
    </row>
    <row r="3857" spans="12:13">
      <c r="L3857" s="20" t="str">
        <f t="shared" si="120"/>
        <v>N/A</v>
      </c>
      <c r="M3857" s="20" t="str">
        <f t="shared" si="121"/>
        <v>N/A</v>
      </c>
    </row>
    <row r="3858" spans="12:13">
      <c r="L3858" s="20" t="str">
        <f t="shared" si="120"/>
        <v>N/A</v>
      </c>
      <c r="M3858" s="20" t="str">
        <f t="shared" si="121"/>
        <v>N/A</v>
      </c>
    </row>
    <row r="3859" spans="12:13">
      <c r="L3859" s="20" t="str">
        <f t="shared" si="120"/>
        <v>N/A</v>
      </c>
      <c r="M3859" s="20" t="str">
        <f t="shared" si="121"/>
        <v>N/A</v>
      </c>
    </row>
    <row r="3860" spans="12:13">
      <c r="L3860" s="20" t="str">
        <f t="shared" si="120"/>
        <v>N/A</v>
      </c>
      <c r="M3860" s="20" t="str">
        <f t="shared" si="121"/>
        <v>N/A</v>
      </c>
    </row>
    <row r="3861" spans="12:13">
      <c r="L3861" s="20" t="str">
        <f t="shared" si="120"/>
        <v>N/A</v>
      </c>
      <c r="M3861" s="20" t="str">
        <f t="shared" si="121"/>
        <v>N/A</v>
      </c>
    </row>
    <row r="3862" spans="12:13">
      <c r="L3862" s="20" t="str">
        <f t="shared" si="120"/>
        <v>N/A</v>
      </c>
      <c r="M3862" s="20" t="str">
        <f t="shared" si="121"/>
        <v>N/A</v>
      </c>
    </row>
    <row r="3863" spans="12:13">
      <c r="L3863" s="20" t="str">
        <f t="shared" si="120"/>
        <v>N/A</v>
      </c>
      <c r="M3863" s="20" t="str">
        <f t="shared" si="121"/>
        <v>N/A</v>
      </c>
    </row>
    <row r="3864" spans="12:13">
      <c r="L3864" s="20" t="str">
        <f t="shared" si="120"/>
        <v>N/A</v>
      </c>
      <c r="M3864" s="20" t="str">
        <f t="shared" si="121"/>
        <v>N/A</v>
      </c>
    </row>
    <row r="3865" spans="12:13">
      <c r="L3865" s="20" t="str">
        <f t="shared" si="120"/>
        <v>N/A</v>
      </c>
      <c r="M3865" s="20" t="str">
        <f t="shared" si="121"/>
        <v>N/A</v>
      </c>
    </row>
    <row r="3866" spans="12:13">
      <c r="L3866" s="20" t="str">
        <f t="shared" si="120"/>
        <v>N/A</v>
      </c>
      <c r="M3866" s="20" t="str">
        <f t="shared" si="121"/>
        <v>N/A</v>
      </c>
    </row>
    <row r="3867" spans="12:13">
      <c r="L3867" s="20" t="str">
        <f t="shared" si="120"/>
        <v>N/A</v>
      </c>
      <c r="M3867" s="20" t="str">
        <f t="shared" si="121"/>
        <v>N/A</v>
      </c>
    </row>
    <row r="3868" spans="12:13">
      <c r="L3868" s="20" t="str">
        <f t="shared" si="120"/>
        <v>N/A</v>
      </c>
      <c r="M3868" s="20" t="str">
        <f t="shared" si="121"/>
        <v>N/A</v>
      </c>
    </row>
    <row r="3869" spans="12:13">
      <c r="L3869" s="20" t="str">
        <f t="shared" si="120"/>
        <v>N/A</v>
      </c>
      <c r="M3869" s="20" t="str">
        <f t="shared" si="121"/>
        <v>N/A</v>
      </c>
    </row>
    <row r="3870" spans="12:13">
      <c r="L3870" s="20" t="str">
        <f t="shared" si="120"/>
        <v>N/A</v>
      </c>
      <c r="M3870" s="20" t="str">
        <f t="shared" si="121"/>
        <v>N/A</v>
      </c>
    </row>
    <row r="3871" spans="12:13">
      <c r="L3871" s="20" t="str">
        <f t="shared" si="120"/>
        <v>N/A</v>
      </c>
      <c r="M3871" s="20" t="str">
        <f t="shared" si="121"/>
        <v>N/A</v>
      </c>
    </row>
    <row r="3872" spans="12:13">
      <c r="L3872" s="20" t="str">
        <f t="shared" si="120"/>
        <v>N/A</v>
      </c>
      <c r="M3872" s="20" t="str">
        <f t="shared" si="121"/>
        <v>N/A</v>
      </c>
    </row>
    <row r="3873" spans="12:13">
      <c r="L3873" s="20" t="str">
        <f t="shared" si="120"/>
        <v>N/A</v>
      </c>
      <c r="M3873" s="20" t="str">
        <f t="shared" si="121"/>
        <v>N/A</v>
      </c>
    </row>
    <row r="3874" spans="12:13">
      <c r="L3874" s="20" t="str">
        <f t="shared" si="120"/>
        <v>N/A</v>
      </c>
      <c r="M3874" s="20" t="str">
        <f t="shared" si="121"/>
        <v>N/A</v>
      </c>
    </row>
    <row r="3875" spans="12:13">
      <c r="L3875" s="20" t="str">
        <f t="shared" si="120"/>
        <v>N/A</v>
      </c>
      <c r="M3875" s="20" t="str">
        <f t="shared" si="121"/>
        <v>N/A</v>
      </c>
    </row>
    <row r="3876" spans="12:13">
      <c r="L3876" s="20" t="str">
        <f t="shared" si="120"/>
        <v>N/A</v>
      </c>
      <c r="M3876" s="20" t="str">
        <f t="shared" si="121"/>
        <v>N/A</v>
      </c>
    </row>
    <row r="3877" spans="12:13">
      <c r="L3877" s="20" t="str">
        <f t="shared" si="120"/>
        <v>N/A</v>
      </c>
      <c r="M3877" s="20" t="str">
        <f t="shared" si="121"/>
        <v>N/A</v>
      </c>
    </row>
    <row r="3878" spans="12:13">
      <c r="L3878" s="20" t="str">
        <f t="shared" si="120"/>
        <v>N/A</v>
      </c>
      <c r="M3878" s="20" t="str">
        <f t="shared" si="121"/>
        <v>N/A</v>
      </c>
    </row>
    <row r="3879" spans="12:13">
      <c r="L3879" s="20" t="str">
        <f t="shared" si="120"/>
        <v>N/A</v>
      </c>
      <c r="M3879" s="20" t="str">
        <f t="shared" si="121"/>
        <v>N/A</v>
      </c>
    </row>
    <row r="3880" spans="12:13">
      <c r="L3880" s="20" t="str">
        <f t="shared" si="120"/>
        <v>N/A</v>
      </c>
      <c r="M3880" s="20" t="str">
        <f t="shared" si="121"/>
        <v>N/A</v>
      </c>
    </row>
    <row r="3881" spans="12:13">
      <c r="L3881" s="20" t="str">
        <f t="shared" si="120"/>
        <v>N/A</v>
      </c>
      <c r="M3881" s="20" t="str">
        <f t="shared" si="121"/>
        <v>N/A</v>
      </c>
    </row>
    <row r="3882" spans="12:13">
      <c r="L3882" s="20" t="str">
        <f t="shared" si="120"/>
        <v>N/A</v>
      </c>
      <c r="M3882" s="20" t="str">
        <f t="shared" si="121"/>
        <v>N/A</v>
      </c>
    </row>
    <row r="3883" spans="12:13">
      <c r="L3883" s="20" t="str">
        <f t="shared" si="120"/>
        <v>N/A</v>
      </c>
      <c r="M3883" s="20" t="str">
        <f t="shared" si="121"/>
        <v>N/A</v>
      </c>
    </row>
    <row r="3884" spans="12:13">
      <c r="L3884" s="20" t="str">
        <f t="shared" si="120"/>
        <v>N/A</v>
      </c>
      <c r="M3884" s="20" t="str">
        <f t="shared" si="121"/>
        <v>N/A</v>
      </c>
    </row>
    <row r="3885" spans="12:13">
      <c r="L3885" s="20" t="str">
        <f t="shared" si="120"/>
        <v>N/A</v>
      </c>
      <c r="M3885" s="20" t="str">
        <f t="shared" si="121"/>
        <v>N/A</v>
      </c>
    </row>
    <row r="3886" spans="12:13">
      <c r="L3886" s="20" t="str">
        <f t="shared" si="120"/>
        <v>N/A</v>
      </c>
      <c r="M3886" s="20" t="str">
        <f t="shared" si="121"/>
        <v>N/A</v>
      </c>
    </row>
    <row r="3887" spans="12:13">
      <c r="L3887" s="20" t="str">
        <f t="shared" si="120"/>
        <v>N/A</v>
      </c>
      <c r="M3887" s="20" t="str">
        <f t="shared" si="121"/>
        <v>N/A</v>
      </c>
    </row>
    <row r="3888" spans="12:13">
      <c r="L3888" s="20" t="str">
        <f t="shared" si="120"/>
        <v>N/A</v>
      </c>
      <c r="M3888" s="20" t="str">
        <f t="shared" si="121"/>
        <v>N/A</v>
      </c>
    </row>
    <row r="3889" spans="12:13">
      <c r="L3889" s="20" t="str">
        <f t="shared" si="120"/>
        <v>N/A</v>
      </c>
      <c r="M3889" s="20" t="str">
        <f t="shared" si="121"/>
        <v>N/A</v>
      </c>
    </row>
    <row r="3890" spans="12:13">
      <c r="L3890" s="20" t="str">
        <f t="shared" si="120"/>
        <v>N/A</v>
      </c>
      <c r="M3890" s="20" t="str">
        <f t="shared" si="121"/>
        <v>N/A</v>
      </c>
    </row>
    <row r="3891" spans="12:13">
      <c r="L3891" s="20" t="str">
        <f t="shared" si="120"/>
        <v>N/A</v>
      </c>
      <c r="M3891" s="20" t="str">
        <f t="shared" si="121"/>
        <v>N/A</v>
      </c>
    </row>
    <row r="3892" spans="12:13">
      <c r="L3892" s="20" t="str">
        <f t="shared" si="120"/>
        <v>N/A</v>
      </c>
      <c r="M3892" s="20" t="str">
        <f t="shared" si="121"/>
        <v>N/A</v>
      </c>
    </row>
    <row r="3893" spans="12:13">
      <c r="L3893" s="20" t="str">
        <f t="shared" si="120"/>
        <v>N/A</v>
      </c>
      <c r="M3893" s="20" t="str">
        <f t="shared" si="121"/>
        <v>N/A</v>
      </c>
    </row>
    <row r="3894" spans="12:13">
      <c r="L3894" s="20" t="str">
        <f t="shared" si="120"/>
        <v>N/A</v>
      </c>
      <c r="M3894" s="20" t="str">
        <f t="shared" si="121"/>
        <v>N/A</v>
      </c>
    </row>
    <row r="3895" spans="12:13">
      <c r="L3895" s="20" t="str">
        <f t="shared" si="120"/>
        <v>N/A</v>
      </c>
      <c r="M3895" s="20" t="str">
        <f t="shared" si="121"/>
        <v>N/A</v>
      </c>
    </row>
    <row r="3896" spans="12:13">
      <c r="L3896" s="20" t="str">
        <f t="shared" si="120"/>
        <v>N/A</v>
      </c>
      <c r="M3896" s="20" t="str">
        <f t="shared" si="121"/>
        <v>N/A</v>
      </c>
    </row>
    <row r="3897" spans="12:13">
      <c r="L3897" s="20" t="str">
        <f t="shared" si="120"/>
        <v>N/A</v>
      </c>
      <c r="M3897" s="20" t="str">
        <f t="shared" si="121"/>
        <v>N/A</v>
      </c>
    </row>
    <row r="3898" spans="12:13">
      <c r="L3898" s="20" t="str">
        <f t="shared" si="120"/>
        <v>N/A</v>
      </c>
      <c r="M3898" s="20" t="str">
        <f t="shared" si="121"/>
        <v>N/A</v>
      </c>
    </row>
    <row r="3899" spans="12:13">
      <c r="L3899" s="20" t="str">
        <f t="shared" si="120"/>
        <v>N/A</v>
      </c>
      <c r="M3899" s="20" t="str">
        <f t="shared" si="121"/>
        <v>N/A</v>
      </c>
    </row>
    <row r="3900" spans="12:13">
      <c r="L3900" s="20" t="str">
        <f t="shared" si="120"/>
        <v>N/A</v>
      </c>
      <c r="M3900" s="20" t="str">
        <f t="shared" si="121"/>
        <v>N/A</v>
      </c>
    </row>
    <row r="3901" spans="12:13">
      <c r="L3901" s="20" t="str">
        <f t="shared" si="120"/>
        <v>N/A</v>
      </c>
      <c r="M3901" s="20" t="str">
        <f t="shared" si="121"/>
        <v>N/A</v>
      </c>
    </row>
    <row r="3902" spans="12:13">
      <c r="L3902" s="20" t="str">
        <f t="shared" si="120"/>
        <v>N/A</v>
      </c>
      <c r="M3902" s="20" t="str">
        <f t="shared" si="121"/>
        <v>N/A</v>
      </c>
    </row>
    <row r="3903" spans="12:13">
      <c r="L3903" s="20" t="str">
        <f t="shared" si="120"/>
        <v>N/A</v>
      </c>
      <c r="M3903" s="20" t="str">
        <f t="shared" si="121"/>
        <v>N/A</v>
      </c>
    </row>
    <row r="3904" spans="12:13">
      <c r="L3904" s="20" t="str">
        <f t="shared" si="120"/>
        <v>N/A</v>
      </c>
      <c r="M3904" s="20" t="str">
        <f t="shared" si="121"/>
        <v>N/A</v>
      </c>
    </row>
    <row r="3905" spans="12:13">
      <c r="L3905" s="20" t="str">
        <f t="shared" si="120"/>
        <v>N/A</v>
      </c>
      <c r="M3905" s="20" t="str">
        <f t="shared" si="121"/>
        <v>N/A</v>
      </c>
    </row>
    <row r="3906" spans="12:13">
      <c r="L3906" s="20" t="str">
        <f t="shared" si="120"/>
        <v>N/A</v>
      </c>
      <c r="M3906" s="20" t="str">
        <f t="shared" si="121"/>
        <v>N/A</v>
      </c>
    </row>
    <row r="3907" spans="12:13">
      <c r="L3907" s="20" t="str">
        <f t="shared" ref="L3907:L3970" si="122">+IF(LEFT(D3907,1)="1","Asset","N/A")</f>
        <v>N/A</v>
      </c>
      <c r="M3907" s="20" t="str">
        <f t="shared" ref="M3907:M3970" si="123">+IF(L3907="asset",IF(H3907&lt;0,"Provide Comment","okay"),"N/A")</f>
        <v>N/A</v>
      </c>
    </row>
    <row r="3908" spans="12:13">
      <c r="L3908" s="20" t="str">
        <f t="shared" si="122"/>
        <v>N/A</v>
      </c>
      <c r="M3908" s="20" t="str">
        <f t="shared" si="123"/>
        <v>N/A</v>
      </c>
    </row>
    <row r="3909" spans="12:13">
      <c r="L3909" s="20" t="str">
        <f t="shared" si="122"/>
        <v>N/A</v>
      </c>
      <c r="M3909" s="20" t="str">
        <f t="shared" si="123"/>
        <v>N/A</v>
      </c>
    </row>
    <row r="3910" spans="12:13">
      <c r="L3910" s="20" t="str">
        <f t="shared" si="122"/>
        <v>N/A</v>
      </c>
      <c r="M3910" s="20" t="str">
        <f t="shared" si="123"/>
        <v>N/A</v>
      </c>
    </row>
    <row r="3911" spans="12:13">
      <c r="L3911" s="20" t="str">
        <f t="shared" si="122"/>
        <v>N/A</v>
      </c>
      <c r="M3911" s="20" t="str">
        <f t="shared" si="123"/>
        <v>N/A</v>
      </c>
    </row>
    <row r="3912" spans="12:13">
      <c r="L3912" s="20" t="str">
        <f t="shared" si="122"/>
        <v>N/A</v>
      </c>
      <c r="M3912" s="20" t="str">
        <f t="shared" si="123"/>
        <v>N/A</v>
      </c>
    </row>
    <row r="3913" spans="12:13">
      <c r="L3913" s="20" t="str">
        <f t="shared" si="122"/>
        <v>N/A</v>
      </c>
      <c r="M3913" s="20" t="str">
        <f t="shared" si="123"/>
        <v>N/A</v>
      </c>
    </row>
    <row r="3914" spans="12:13">
      <c r="L3914" s="20" t="str">
        <f t="shared" si="122"/>
        <v>N/A</v>
      </c>
      <c r="M3914" s="20" t="str">
        <f t="shared" si="123"/>
        <v>N/A</v>
      </c>
    </row>
    <row r="3915" spans="12:13">
      <c r="L3915" s="20" t="str">
        <f t="shared" si="122"/>
        <v>N/A</v>
      </c>
      <c r="M3915" s="20" t="str">
        <f t="shared" si="123"/>
        <v>N/A</v>
      </c>
    </row>
    <row r="3916" spans="12:13">
      <c r="L3916" s="20" t="str">
        <f t="shared" si="122"/>
        <v>N/A</v>
      </c>
      <c r="M3916" s="20" t="str">
        <f t="shared" si="123"/>
        <v>N/A</v>
      </c>
    </row>
    <row r="3917" spans="12:13">
      <c r="L3917" s="20" t="str">
        <f t="shared" si="122"/>
        <v>N/A</v>
      </c>
      <c r="M3917" s="20" t="str">
        <f t="shared" si="123"/>
        <v>N/A</v>
      </c>
    </row>
    <row r="3918" spans="12:13">
      <c r="L3918" s="20" t="str">
        <f t="shared" si="122"/>
        <v>N/A</v>
      </c>
      <c r="M3918" s="20" t="str">
        <f t="shared" si="123"/>
        <v>N/A</v>
      </c>
    </row>
    <row r="3919" spans="12:13">
      <c r="L3919" s="20" t="str">
        <f t="shared" si="122"/>
        <v>N/A</v>
      </c>
      <c r="M3919" s="20" t="str">
        <f t="shared" si="123"/>
        <v>N/A</v>
      </c>
    </row>
    <row r="3920" spans="12:13">
      <c r="L3920" s="20" t="str">
        <f t="shared" si="122"/>
        <v>N/A</v>
      </c>
      <c r="M3920" s="20" t="str">
        <f t="shared" si="123"/>
        <v>N/A</v>
      </c>
    </row>
    <row r="3921" spans="12:13">
      <c r="L3921" s="20" t="str">
        <f t="shared" si="122"/>
        <v>N/A</v>
      </c>
      <c r="M3921" s="20" t="str">
        <f t="shared" si="123"/>
        <v>N/A</v>
      </c>
    </row>
    <row r="3922" spans="12:13">
      <c r="L3922" s="20" t="str">
        <f t="shared" si="122"/>
        <v>N/A</v>
      </c>
      <c r="M3922" s="20" t="str">
        <f t="shared" si="123"/>
        <v>N/A</v>
      </c>
    </row>
    <row r="3923" spans="12:13">
      <c r="L3923" s="20" t="str">
        <f t="shared" si="122"/>
        <v>N/A</v>
      </c>
      <c r="M3923" s="20" t="str">
        <f t="shared" si="123"/>
        <v>N/A</v>
      </c>
    </row>
    <row r="3924" spans="12:13">
      <c r="L3924" s="20" t="str">
        <f t="shared" si="122"/>
        <v>N/A</v>
      </c>
      <c r="M3924" s="20" t="str">
        <f t="shared" si="123"/>
        <v>N/A</v>
      </c>
    </row>
    <row r="3925" spans="12:13">
      <c r="L3925" s="20" t="str">
        <f t="shared" si="122"/>
        <v>N/A</v>
      </c>
      <c r="M3925" s="20" t="str">
        <f t="shared" si="123"/>
        <v>N/A</v>
      </c>
    </row>
    <row r="3926" spans="12:13">
      <c r="L3926" s="20" t="str">
        <f t="shared" si="122"/>
        <v>N/A</v>
      </c>
      <c r="M3926" s="20" t="str">
        <f t="shared" si="123"/>
        <v>N/A</v>
      </c>
    </row>
    <row r="3927" spans="12:13">
      <c r="L3927" s="20" t="str">
        <f t="shared" si="122"/>
        <v>N/A</v>
      </c>
      <c r="M3927" s="20" t="str">
        <f t="shared" si="123"/>
        <v>N/A</v>
      </c>
    </row>
    <row r="3928" spans="12:13">
      <c r="L3928" s="20" t="str">
        <f t="shared" si="122"/>
        <v>N/A</v>
      </c>
      <c r="M3928" s="20" t="str">
        <f t="shared" si="123"/>
        <v>N/A</v>
      </c>
    </row>
    <row r="3929" spans="12:13">
      <c r="L3929" s="20" t="str">
        <f t="shared" si="122"/>
        <v>N/A</v>
      </c>
      <c r="M3929" s="20" t="str">
        <f t="shared" si="123"/>
        <v>N/A</v>
      </c>
    </row>
    <row r="3930" spans="12:13">
      <c r="L3930" s="20" t="str">
        <f t="shared" si="122"/>
        <v>N/A</v>
      </c>
      <c r="M3930" s="20" t="str">
        <f t="shared" si="123"/>
        <v>N/A</v>
      </c>
    </row>
    <row r="3931" spans="12:13">
      <c r="L3931" s="20" t="str">
        <f t="shared" si="122"/>
        <v>N/A</v>
      </c>
      <c r="M3931" s="20" t="str">
        <f t="shared" si="123"/>
        <v>N/A</v>
      </c>
    </row>
    <row r="3932" spans="12:13">
      <c r="L3932" s="20" t="str">
        <f t="shared" si="122"/>
        <v>N/A</v>
      </c>
      <c r="M3932" s="20" t="str">
        <f t="shared" si="123"/>
        <v>N/A</v>
      </c>
    </row>
    <row r="3933" spans="12:13">
      <c r="L3933" s="20" t="str">
        <f t="shared" si="122"/>
        <v>N/A</v>
      </c>
      <c r="M3933" s="20" t="str">
        <f t="shared" si="123"/>
        <v>N/A</v>
      </c>
    </row>
    <row r="3934" spans="12:13">
      <c r="L3934" s="20" t="str">
        <f t="shared" si="122"/>
        <v>N/A</v>
      </c>
      <c r="M3934" s="20" t="str">
        <f t="shared" si="123"/>
        <v>N/A</v>
      </c>
    </row>
    <row r="3935" spans="12:13">
      <c r="L3935" s="20" t="str">
        <f t="shared" si="122"/>
        <v>N/A</v>
      </c>
      <c r="M3935" s="20" t="str">
        <f t="shared" si="123"/>
        <v>N/A</v>
      </c>
    </row>
    <row r="3936" spans="12:13">
      <c r="L3936" s="20" t="str">
        <f t="shared" si="122"/>
        <v>N/A</v>
      </c>
      <c r="M3936" s="20" t="str">
        <f t="shared" si="123"/>
        <v>N/A</v>
      </c>
    </row>
    <row r="3937" spans="12:13">
      <c r="L3937" s="20" t="str">
        <f t="shared" si="122"/>
        <v>N/A</v>
      </c>
      <c r="M3937" s="20" t="str">
        <f t="shared" si="123"/>
        <v>N/A</v>
      </c>
    </row>
    <row r="3938" spans="12:13">
      <c r="L3938" s="20" t="str">
        <f t="shared" si="122"/>
        <v>N/A</v>
      </c>
      <c r="M3938" s="20" t="str">
        <f t="shared" si="123"/>
        <v>N/A</v>
      </c>
    </row>
    <row r="3939" spans="12:13">
      <c r="L3939" s="20" t="str">
        <f t="shared" si="122"/>
        <v>N/A</v>
      </c>
      <c r="M3939" s="20" t="str">
        <f t="shared" si="123"/>
        <v>N/A</v>
      </c>
    </row>
    <row r="3940" spans="12:13">
      <c r="L3940" s="20" t="str">
        <f t="shared" si="122"/>
        <v>N/A</v>
      </c>
      <c r="M3940" s="20" t="str">
        <f t="shared" si="123"/>
        <v>N/A</v>
      </c>
    </row>
    <row r="3941" spans="12:13">
      <c r="L3941" s="20" t="str">
        <f t="shared" si="122"/>
        <v>N/A</v>
      </c>
      <c r="M3941" s="20" t="str">
        <f t="shared" si="123"/>
        <v>N/A</v>
      </c>
    </row>
    <row r="3942" spans="12:13">
      <c r="L3942" s="20" t="str">
        <f t="shared" si="122"/>
        <v>N/A</v>
      </c>
      <c r="M3942" s="20" t="str">
        <f t="shared" si="123"/>
        <v>N/A</v>
      </c>
    </row>
    <row r="3943" spans="12:13">
      <c r="L3943" s="20" t="str">
        <f t="shared" si="122"/>
        <v>N/A</v>
      </c>
      <c r="M3943" s="20" t="str">
        <f t="shared" si="123"/>
        <v>N/A</v>
      </c>
    </row>
    <row r="3944" spans="12:13">
      <c r="L3944" s="20" t="str">
        <f t="shared" si="122"/>
        <v>N/A</v>
      </c>
      <c r="M3944" s="20" t="str">
        <f t="shared" si="123"/>
        <v>N/A</v>
      </c>
    </row>
    <row r="3945" spans="12:13">
      <c r="L3945" s="20" t="str">
        <f t="shared" si="122"/>
        <v>N/A</v>
      </c>
      <c r="M3945" s="20" t="str">
        <f t="shared" si="123"/>
        <v>N/A</v>
      </c>
    </row>
    <row r="3946" spans="12:13">
      <c r="L3946" s="20" t="str">
        <f t="shared" si="122"/>
        <v>N/A</v>
      </c>
      <c r="M3946" s="20" t="str">
        <f t="shared" si="123"/>
        <v>N/A</v>
      </c>
    </row>
    <row r="3947" spans="12:13">
      <c r="L3947" s="20" t="str">
        <f t="shared" si="122"/>
        <v>N/A</v>
      </c>
      <c r="M3947" s="20" t="str">
        <f t="shared" si="123"/>
        <v>N/A</v>
      </c>
    </row>
    <row r="3948" spans="12:13">
      <c r="L3948" s="20" t="str">
        <f t="shared" si="122"/>
        <v>N/A</v>
      </c>
      <c r="M3948" s="20" t="str">
        <f t="shared" si="123"/>
        <v>N/A</v>
      </c>
    </row>
    <row r="3949" spans="12:13">
      <c r="L3949" s="20" t="str">
        <f t="shared" si="122"/>
        <v>N/A</v>
      </c>
      <c r="M3949" s="20" t="str">
        <f t="shared" si="123"/>
        <v>N/A</v>
      </c>
    </row>
    <row r="3950" spans="12:13">
      <c r="L3950" s="20" t="str">
        <f t="shared" si="122"/>
        <v>N/A</v>
      </c>
      <c r="M3950" s="20" t="str">
        <f t="shared" si="123"/>
        <v>N/A</v>
      </c>
    </row>
    <row r="3951" spans="12:13">
      <c r="L3951" s="20" t="str">
        <f t="shared" si="122"/>
        <v>N/A</v>
      </c>
      <c r="M3951" s="20" t="str">
        <f t="shared" si="123"/>
        <v>N/A</v>
      </c>
    </row>
    <row r="3952" spans="12:13">
      <c r="L3952" s="20" t="str">
        <f t="shared" si="122"/>
        <v>N/A</v>
      </c>
      <c r="M3952" s="20" t="str">
        <f t="shared" si="123"/>
        <v>N/A</v>
      </c>
    </row>
    <row r="3953" spans="12:13">
      <c r="L3953" s="20" t="str">
        <f t="shared" si="122"/>
        <v>N/A</v>
      </c>
      <c r="M3953" s="20" t="str">
        <f t="shared" si="123"/>
        <v>N/A</v>
      </c>
    </row>
    <row r="3954" spans="12:13">
      <c r="L3954" s="20" t="str">
        <f t="shared" si="122"/>
        <v>N/A</v>
      </c>
      <c r="M3954" s="20" t="str">
        <f t="shared" si="123"/>
        <v>N/A</v>
      </c>
    </row>
    <row r="3955" spans="12:13">
      <c r="L3955" s="20" t="str">
        <f t="shared" si="122"/>
        <v>N/A</v>
      </c>
      <c r="M3955" s="20" t="str">
        <f t="shared" si="123"/>
        <v>N/A</v>
      </c>
    </row>
    <row r="3956" spans="12:13">
      <c r="L3956" s="20" t="str">
        <f t="shared" si="122"/>
        <v>N/A</v>
      </c>
      <c r="M3956" s="20" t="str">
        <f t="shared" si="123"/>
        <v>N/A</v>
      </c>
    </row>
    <row r="3957" spans="12:13">
      <c r="L3957" s="20" t="str">
        <f t="shared" si="122"/>
        <v>N/A</v>
      </c>
      <c r="M3957" s="20" t="str">
        <f t="shared" si="123"/>
        <v>N/A</v>
      </c>
    </row>
    <row r="3958" spans="12:13">
      <c r="L3958" s="20" t="str">
        <f t="shared" si="122"/>
        <v>N/A</v>
      </c>
      <c r="M3958" s="20" t="str">
        <f t="shared" si="123"/>
        <v>N/A</v>
      </c>
    </row>
    <row r="3959" spans="12:13">
      <c r="L3959" s="20" t="str">
        <f t="shared" si="122"/>
        <v>N/A</v>
      </c>
      <c r="M3959" s="20" t="str">
        <f t="shared" si="123"/>
        <v>N/A</v>
      </c>
    </row>
    <row r="3960" spans="12:13">
      <c r="L3960" s="20" t="str">
        <f t="shared" si="122"/>
        <v>N/A</v>
      </c>
      <c r="M3960" s="20" t="str">
        <f t="shared" si="123"/>
        <v>N/A</v>
      </c>
    </row>
    <row r="3961" spans="12:13">
      <c r="L3961" s="20" t="str">
        <f t="shared" si="122"/>
        <v>N/A</v>
      </c>
      <c r="M3961" s="20" t="str">
        <f t="shared" si="123"/>
        <v>N/A</v>
      </c>
    </row>
    <row r="3962" spans="12:13">
      <c r="L3962" s="20" t="str">
        <f t="shared" si="122"/>
        <v>N/A</v>
      </c>
      <c r="M3962" s="20" t="str">
        <f t="shared" si="123"/>
        <v>N/A</v>
      </c>
    </row>
    <row r="3963" spans="12:13">
      <c r="L3963" s="20" t="str">
        <f t="shared" si="122"/>
        <v>N/A</v>
      </c>
      <c r="M3963" s="20" t="str">
        <f t="shared" si="123"/>
        <v>N/A</v>
      </c>
    </row>
    <row r="3964" spans="12:13">
      <c r="L3964" s="20" t="str">
        <f t="shared" si="122"/>
        <v>N/A</v>
      </c>
      <c r="M3964" s="20" t="str">
        <f t="shared" si="123"/>
        <v>N/A</v>
      </c>
    </row>
    <row r="3965" spans="12:13">
      <c r="L3965" s="20" t="str">
        <f t="shared" si="122"/>
        <v>N/A</v>
      </c>
      <c r="M3965" s="20" t="str">
        <f t="shared" si="123"/>
        <v>N/A</v>
      </c>
    </row>
    <row r="3966" spans="12:13">
      <c r="L3966" s="20" t="str">
        <f t="shared" si="122"/>
        <v>N/A</v>
      </c>
      <c r="M3966" s="20" t="str">
        <f t="shared" si="123"/>
        <v>N/A</v>
      </c>
    </row>
    <row r="3967" spans="12:13">
      <c r="L3967" s="20" t="str">
        <f t="shared" si="122"/>
        <v>N/A</v>
      </c>
      <c r="M3967" s="20" t="str">
        <f t="shared" si="123"/>
        <v>N/A</v>
      </c>
    </row>
    <row r="3968" spans="12:13">
      <c r="L3968" s="20" t="str">
        <f t="shared" si="122"/>
        <v>N/A</v>
      </c>
      <c r="M3968" s="20" t="str">
        <f t="shared" si="123"/>
        <v>N/A</v>
      </c>
    </row>
    <row r="3969" spans="12:13">
      <c r="L3969" s="20" t="str">
        <f t="shared" si="122"/>
        <v>N/A</v>
      </c>
      <c r="M3969" s="20" t="str">
        <f t="shared" si="123"/>
        <v>N/A</v>
      </c>
    </row>
    <row r="3970" spans="12:13">
      <c r="L3970" s="20" t="str">
        <f t="shared" si="122"/>
        <v>N/A</v>
      </c>
      <c r="M3970" s="20" t="str">
        <f t="shared" si="123"/>
        <v>N/A</v>
      </c>
    </row>
    <row r="3971" spans="12:13">
      <c r="L3971" s="20" t="str">
        <f t="shared" ref="L3971:L4034" si="124">+IF(LEFT(D3971,1)="1","Asset","N/A")</f>
        <v>N/A</v>
      </c>
      <c r="M3971" s="20" t="str">
        <f t="shared" ref="M3971:M4034" si="125">+IF(L3971="asset",IF(H3971&lt;0,"Provide Comment","okay"),"N/A")</f>
        <v>N/A</v>
      </c>
    </row>
    <row r="3972" spans="12:13">
      <c r="L3972" s="20" t="str">
        <f t="shared" si="124"/>
        <v>N/A</v>
      </c>
      <c r="M3972" s="20" t="str">
        <f t="shared" si="125"/>
        <v>N/A</v>
      </c>
    </row>
    <row r="3973" spans="12:13">
      <c r="L3973" s="20" t="str">
        <f t="shared" si="124"/>
        <v>N/A</v>
      </c>
      <c r="M3973" s="20" t="str">
        <f t="shared" si="125"/>
        <v>N/A</v>
      </c>
    </row>
    <row r="3974" spans="12:13">
      <c r="L3974" s="20" t="str">
        <f t="shared" si="124"/>
        <v>N/A</v>
      </c>
      <c r="M3974" s="20" t="str">
        <f t="shared" si="125"/>
        <v>N/A</v>
      </c>
    </row>
    <row r="3975" spans="12:13">
      <c r="L3975" s="20" t="str">
        <f t="shared" si="124"/>
        <v>N/A</v>
      </c>
      <c r="M3975" s="20" t="str">
        <f t="shared" si="125"/>
        <v>N/A</v>
      </c>
    </row>
    <row r="3976" spans="12:13">
      <c r="L3976" s="20" t="str">
        <f t="shared" si="124"/>
        <v>N/A</v>
      </c>
      <c r="M3976" s="20" t="str">
        <f t="shared" si="125"/>
        <v>N/A</v>
      </c>
    </row>
    <row r="3977" spans="12:13">
      <c r="L3977" s="20" t="str">
        <f t="shared" si="124"/>
        <v>N/A</v>
      </c>
      <c r="M3977" s="20" t="str">
        <f t="shared" si="125"/>
        <v>N/A</v>
      </c>
    </row>
    <row r="3978" spans="12:13">
      <c r="L3978" s="20" t="str">
        <f t="shared" si="124"/>
        <v>N/A</v>
      </c>
      <c r="M3978" s="20" t="str">
        <f t="shared" si="125"/>
        <v>N/A</v>
      </c>
    </row>
    <row r="3979" spans="12:13">
      <c r="L3979" s="20" t="str">
        <f t="shared" si="124"/>
        <v>N/A</v>
      </c>
      <c r="M3979" s="20" t="str">
        <f t="shared" si="125"/>
        <v>N/A</v>
      </c>
    </row>
    <row r="3980" spans="12:13">
      <c r="L3980" s="20" t="str">
        <f t="shared" si="124"/>
        <v>N/A</v>
      </c>
      <c r="M3980" s="20" t="str">
        <f t="shared" si="125"/>
        <v>N/A</v>
      </c>
    </row>
    <row r="3981" spans="12:13">
      <c r="L3981" s="20" t="str">
        <f t="shared" si="124"/>
        <v>N/A</v>
      </c>
      <c r="M3981" s="20" t="str">
        <f t="shared" si="125"/>
        <v>N/A</v>
      </c>
    </row>
    <row r="3982" spans="12:13">
      <c r="L3982" s="20" t="str">
        <f t="shared" si="124"/>
        <v>N/A</v>
      </c>
      <c r="M3982" s="20" t="str">
        <f t="shared" si="125"/>
        <v>N/A</v>
      </c>
    </row>
    <row r="3983" spans="12:13">
      <c r="L3983" s="20" t="str">
        <f t="shared" si="124"/>
        <v>N/A</v>
      </c>
      <c r="M3983" s="20" t="str">
        <f t="shared" si="125"/>
        <v>N/A</v>
      </c>
    </row>
    <row r="3984" spans="12:13">
      <c r="L3984" s="20" t="str">
        <f t="shared" si="124"/>
        <v>N/A</v>
      </c>
      <c r="M3984" s="20" t="str">
        <f t="shared" si="125"/>
        <v>N/A</v>
      </c>
    </row>
    <row r="3985" spans="12:13">
      <c r="L3985" s="20" t="str">
        <f t="shared" si="124"/>
        <v>N/A</v>
      </c>
      <c r="M3985" s="20" t="str">
        <f t="shared" si="125"/>
        <v>N/A</v>
      </c>
    </row>
    <row r="3986" spans="12:13">
      <c r="L3986" s="20" t="str">
        <f t="shared" si="124"/>
        <v>N/A</v>
      </c>
      <c r="M3986" s="20" t="str">
        <f t="shared" si="125"/>
        <v>N/A</v>
      </c>
    </row>
    <row r="3987" spans="12:13">
      <c r="L3987" s="20" t="str">
        <f t="shared" si="124"/>
        <v>N/A</v>
      </c>
      <c r="M3987" s="20" t="str">
        <f t="shared" si="125"/>
        <v>N/A</v>
      </c>
    </row>
    <row r="3988" spans="12:13">
      <c r="L3988" s="20" t="str">
        <f t="shared" si="124"/>
        <v>N/A</v>
      </c>
      <c r="M3988" s="20" t="str">
        <f t="shared" si="125"/>
        <v>N/A</v>
      </c>
    </row>
    <row r="3989" spans="12:13">
      <c r="L3989" s="20" t="str">
        <f t="shared" si="124"/>
        <v>N/A</v>
      </c>
      <c r="M3989" s="20" t="str">
        <f t="shared" si="125"/>
        <v>N/A</v>
      </c>
    </row>
    <row r="3990" spans="12:13">
      <c r="L3990" s="20" t="str">
        <f t="shared" si="124"/>
        <v>N/A</v>
      </c>
      <c r="M3990" s="20" t="str">
        <f t="shared" si="125"/>
        <v>N/A</v>
      </c>
    </row>
    <row r="3991" spans="12:13">
      <c r="L3991" s="20" t="str">
        <f t="shared" si="124"/>
        <v>N/A</v>
      </c>
      <c r="M3991" s="20" t="str">
        <f t="shared" si="125"/>
        <v>N/A</v>
      </c>
    </row>
    <row r="3992" spans="12:13">
      <c r="L3992" s="20" t="str">
        <f t="shared" si="124"/>
        <v>N/A</v>
      </c>
      <c r="M3992" s="20" t="str">
        <f t="shared" si="125"/>
        <v>N/A</v>
      </c>
    </row>
    <row r="3993" spans="12:13">
      <c r="L3993" s="20" t="str">
        <f t="shared" si="124"/>
        <v>N/A</v>
      </c>
      <c r="M3993" s="20" t="str">
        <f t="shared" si="125"/>
        <v>N/A</v>
      </c>
    </row>
    <row r="3994" spans="12:13">
      <c r="L3994" s="20" t="str">
        <f t="shared" si="124"/>
        <v>N/A</v>
      </c>
      <c r="M3994" s="20" t="str">
        <f t="shared" si="125"/>
        <v>N/A</v>
      </c>
    </row>
    <row r="3995" spans="12:13">
      <c r="L3995" s="20" t="str">
        <f t="shared" si="124"/>
        <v>N/A</v>
      </c>
      <c r="M3995" s="20" t="str">
        <f t="shared" si="125"/>
        <v>N/A</v>
      </c>
    </row>
    <row r="3996" spans="12:13">
      <c r="L3996" s="20" t="str">
        <f t="shared" si="124"/>
        <v>N/A</v>
      </c>
      <c r="M3996" s="20" t="str">
        <f t="shared" si="125"/>
        <v>N/A</v>
      </c>
    </row>
    <row r="3997" spans="12:13">
      <c r="L3997" s="20" t="str">
        <f t="shared" si="124"/>
        <v>N/A</v>
      </c>
      <c r="M3997" s="20" t="str">
        <f t="shared" si="125"/>
        <v>N/A</v>
      </c>
    </row>
    <row r="3998" spans="12:13">
      <c r="L3998" s="20" t="str">
        <f t="shared" si="124"/>
        <v>N/A</v>
      </c>
      <c r="M3998" s="20" t="str">
        <f t="shared" si="125"/>
        <v>N/A</v>
      </c>
    </row>
    <row r="3999" spans="12:13">
      <c r="L3999" s="20" t="str">
        <f t="shared" si="124"/>
        <v>N/A</v>
      </c>
      <c r="M3999" s="20" t="str">
        <f t="shared" si="125"/>
        <v>N/A</v>
      </c>
    </row>
    <row r="4000" spans="12:13">
      <c r="L4000" s="20" t="str">
        <f t="shared" si="124"/>
        <v>N/A</v>
      </c>
      <c r="M4000" s="20" t="str">
        <f t="shared" si="125"/>
        <v>N/A</v>
      </c>
    </row>
    <row r="4001" spans="12:13">
      <c r="L4001" s="20" t="str">
        <f t="shared" si="124"/>
        <v>N/A</v>
      </c>
      <c r="M4001" s="20" t="str">
        <f t="shared" si="125"/>
        <v>N/A</v>
      </c>
    </row>
    <row r="4002" spans="12:13">
      <c r="L4002" s="20" t="str">
        <f t="shared" si="124"/>
        <v>N/A</v>
      </c>
      <c r="M4002" s="20" t="str">
        <f t="shared" si="125"/>
        <v>N/A</v>
      </c>
    </row>
    <row r="4003" spans="12:13">
      <c r="L4003" s="20" t="str">
        <f t="shared" si="124"/>
        <v>N/A</v>
      </c>
      <c r="M4003" s="20" t="str">
        <f t="shared" si="125"/>
        <v>N/A</v>
      </c>
    </row>
    <row r="4004" spans="12:13">
      <c r="L4004" s="20" t="str">
        <f t="shared" si="124"/>
        <v>N/A</v>
      </c>
      <c r="M4004" s="20" t="str">
        <f t="shared" si="125"/>
        <v>N/A</v>
      </c>
    </row>
    <row r="4005" spans="12:13">
      <c r="L4005" s="20" t="str">
        <f t="shared" si="124"/>
        <v>N/A</v>
      </c>
      <c r="M4005" s="20" t="str">
        <f t="shared" si="125"/>
        <v>N/A</v>
      </c>
    </row>
    <row r="4006" spans="12:13">
      <c r="L4006" s="20" t="str">
        <f t="shared" si="124"/>
        <v>N/A</v>
      </c>
      <c r="M4006" s="20" t="str">
        <f t="shared" si="125"/>
        <v>N/A</v>
      </c>
    </row>
    <row r="4007" spans="12:13">
      <c r="L4007" s="20" t="str">
        <f t="shared" si="124"/>
        <v>N/A</v>
      </c>
      <c r="M4007" s="20" t="str">
        <f t="shared" si="125"/>
        <v>N/A</v>
      </c>
    </row>
    <row r="4008" spans="12:13">
      <c r="L4008" s="20" t="str">
        <f t="shared" si="124"/>
        <v>N/A</v>
      </c>
      <c r="M4008" s="20" t="str">
        <f t="shared" si="125"/>
        <v>N/A</v>
      </c>
    </row>
    <row r="4009" spans="12:13">
      <c r="L4009" s="20" t="str">
        <f t="shared" si="124"/>
        <v>N/A</v>
      </c>
      <c r="M4009" s="20" t="str">
        <f t="shared" si="125"/>
        <v>N/A</v>
      </c>
    </row>
    <row r="4010" spans="12:13">
      <c r="L4010" s="20" t="str">
        <f t="shared" si="124"/>
        <v>N/A</v>
      </c>
      <c r="M4010" s="20" t="str">
        <f t="shared" si="125"/>
        <v>N/A</v>
      </c>
    </row>
    <row r="4011" spans="12:13">
      <c r="L4011" s="20" t="str">
        <f t="shared" si="124"/>
        <v>N/A</v>
      </c>
      <c r="M4011" s="20" t="str">
        <f t="shared" si="125"/>
        <v>N/A</v>
      </c>
    </row>
    <row r="4012" spans="12:13">
      <c r="L4012" s="20" t="str">
        <f t="shared" si="124"/>
        <v>N/A</v>
      </c>
      <c r="M4012" s="20" t="str">
        <f t="shared" si="125"/>
        <v>N/A</v>
      </c>
    </row>
    <row r="4013" spans="12:13">
      <c r="L4013" s="20" t="str">
        <f t="shared" si="124"/>
        <v>N/A</v>
      </c>
      <c r="M4013" s="20" t="str">
        <f t="shared" si="125"/>
        <v>N/A</v>
      </c>
    </row>
    <row r="4014" spans="12:13">
      <c r="L4014" s="20" t="str">
        <f t="shared" si="124"/>
        <v>N/A</v>
      </c>
      <c r="M4014" s="20" t="str">
        <f t="shared" si="125"/>
        <v>N/A</v>
      </c>
    </row>
    <row r="4015" spans="12:13">
      <c r="L4015" s="20" t="str">
        <f t="shared" si="124"/>
        <v>N/A</v>
      </c>
      <c r="M4015" s="20" t="str">
        <f t="shared" si="125"/>
        <v>N/A</v>
      </c>
    </row>
    <row r="4016" spans="12:13">
      <c r="L4016" s="20" t="str">
        <f t="shared" si="124"/>
        <v>N/A</v>
      </c>
      <c r="M4016" s="20" t="str">
        <f t="shared" si="125"/>
        <v>N/A</v>
      </c>
    </row>
    <row r="4017" spans="12:13">
      <c r="L4017" s="20" t="str">
        <f t="shared" si="124"/>
        <v>N/A</v>
      </c>
      <c r="M4017" s="20" t="str">
        <f t="shared" si="125"/>
        <v>N/A</v>
      </c>
    </row>
    <row r="4018" spans="12:13">
      <c r="L4018" s="20" t="str">
        <f t="shared" si="124"/>
        <v>N/A</v>
      </c>
      <c r="M4018" s="20" t="str">
        <f t="shared" si="125"/>
        <v>N/A</v>
      </c>
    </row>
    <row r="4019" spans="12:13">
      <c r="L4019" s="20" t="str">
        <f t="shared" si="124"/>
        <v>N/A</v>
      </c>
      <c r="M4019" s="20" t="str">
        <f t="shared" si="125"/>
        <v>N/A</v>
      </c>
    </row>
    <row r="4020" spans="12:13">
      <c r="L4020" s="20" t="str">
        <f t="shared" si="124"/>
        <v>N/A</v>
      </c>
      <c r="M4020" s="20" t="str">
        <f t="shared" si="125"/>
        <v>N/A</v>
      </c>
    </row>
    <row r="4021" spans="12:13">
      <c r="L4021" s="20" t="str">
        <f t="shared" si="124"/>
        <v>N/A</v>
      </c>
      <c r="M4021" s="20" t="str">
        <f t="shared" si="125"/>
        <v>N/A</v>
      </c>
    </row>
    <row r="4022" spans="12:13">
      <c r="L4022" s="20" t="str">
        <f t="shared" si="124"/>
        <v>N/A</v>
      </c>
      <c r="M4022" s="20" t="str">
        <f t="shared" si="125"/>
        <v>N/A</v>
      </c>
    </row>
    <row r="4023" spans="12:13">
      <c r="L4023" s="20" t="str">
        <f t="shared" si="124"/>
        <v>N/A</v>
      </c>
      <c r="M4023" s="20" t="str">
        <f t="shared" si="125"/>
        <v>N/A</v>
      </c>
    </row>
    <row r="4024" spans="12:13">
      <c r="L4024" s="20" t="str">
        <f t="shared" si="124"/>
        <v>N/A</v>
      </c>
      <c r="M4024" s="20" t="str">
        <f t="shared" si="125"/>
        <v>N/A</v>
      </c>
    </row>
    <row r="4025" spans="12:13">
      <c r="L4025" s="20" t="str">
        <f t="shared" si="124"/>
        <v>N/A</v>
      </c>
      <c r="M4025" s="20" t="str">
        <f t="shared" si="125"/>
        <v>N/A</v>
      </c>
    </row>
    <row r="4026" spans="12:13">
      <c r="L4026" s="20" t="str">
        <f t="shared" si="124"/>
        <v>N/A</v>
      </c>
      <c r="M4026" s="20" t="str">
        <f t="shared" si="125"/>
        <v>N/A</v>
      </c>
    </row>
    <row r="4027" spans="12:13">
      <c r="L4027" s="20" t="str">
        <f t="shared" si="124"/>
        <v>N/A</v>
      </c>
      <c r="M4027" s="20" t="str">
        <f t="shared" si="125"/>
        <v>N/A</v>
      </c>
    </row>
    <row r="4028" spans="12:13">
      <c r="L4028" s="20" t="str">
        <f t="shared" si="124"/>
        <v>N/A</v>
      </c>
      <c r="M4028" s="20" t="str">
        <f t="shared" si="125"/>
        <v>N/A</v>
      </c>
    </row>
    <row r="4029" spans="12:13">
      <c r="L4029" s="20" t="str">
        <f t="shared" si="124"/>
        <v>N/A</v>
      </c>
      <c r="M4029" s="20" t="str">
        <f t="shared" si="125"/>
        <v>N/A</v>
      </c>
    </row>
    <row r="4030" spans="12:13">
      <c r="L4030" s="20" t="str">
        <f t="shared" si="124"/>
        <v>N/A</v>
      </c>
      <c r="M4030" s="20" t="str">
        <f t="shared" si="125"/>
        <v>N/A</v>
      </c>
    </row>
    <row r="4031" spans="12:13">
      <c r="L4031" s="20" t="str">
        <f t="shared" si="124"/>
        <v>N/A</v>
      </c>
      <c r="M4031" s="20" t="str">
        <f t="shared" si="125"/>
        <v>N/A</v>
      </c>
    </row>
    <row r="4032" spans="12:13">
      <c r="L4032" s="20" t="str">
        <f t="shared" si="124"/>
        <v>N/A</v>
      </c>
      <c r="M4032" s="20" t="str">
        <f t="shared" si="125"/>
        <v>N/A</v>
      </c>
    </row>
    <row r="4033" spans="12:13">
      <c r="L4033" s="20" t="str">
        <f t="shared" si="124"/>
        <v>N/A</v>
      </c>
      <c r="M4033" s="20" t="str">
        <f t="shared" si="125"/>
        <v>N/A</v>
      </c>
    </row>
    <row r="4034" spans="12:13">
      <c r="L4034" s="20" t="str">
        <f t="shared" si="124"/>
        <v>N/A</v>
      </c>
      <c r="M4034" s="20" t="str">
        <f t="shared" si="125"/>
        <v>N/A</v>
      </c>
    </row>
    <row r="4035" spans="12:13">
      <c r="L4035" s="20" t="str">
        <f t="shared" ref="L4035:L4098" si="126">+IF(LEFT(D4035,1)="1","Asset","N/A")</f>
        <v>N/A</v>
      </c>
      <c r="M4035" s="20" t="str">
        <f t="shared" ref="M4035:M4098" si="127">+IF(L4035="asset",IF(H4035&lt;0,"Provide Comment","okay"),"N/A")</f>
        <v>N/A</v>
      </c>
    </row>
    <row r="4036" spans="12:13">
      <c r="L4036" s="20" t="str">
        <f t="shared" si="126"/>
        <v>N/A</v>
      </c>
      <c r="M4036" s="20" t="str">
        <f t="shared" si="127"/>
        <v>N/A</v>
      </c>
    </row>
    <row r="4037" spans="12:13">
      <c r="L4037" s="20" t="str">
        <f t="shared" si="126"/>
        <v>N/A</v>
      </c>
      <c r="M4037" s="20" t="str">
        <f t="shared" si="127"/>
        <v>N/A</v>
      </c>
    </row>
    <row r="4038" spans="12:13">
      <c r="L4038" s="20" t="str">
        <f t="shared" si="126"/>
        <v>N/A</v>
      </c>
      <c r="M4038" s="20" t="str">
        <f t="shared" si="127"/>
        <v>N/A</v>
      </c>
    </row>
    <row r="4039" spans="12:13">
      <c r="L4039" s="20" t="str">
        <f t="shared" si="126"/>
        <v>N/A</v>
      </c>
      <c r="M4039" s="20" t="str">
        <f t="shared" si="127"/>
        <v>N/A</v>
      </c>
    </row>
    <row r="4040" spans="12:13">
      <c r="L4040" s="20" t="str">
        <f t="shared" si="126"/>
        <v>N/A</v>
      </c>
      <c r="M4040" s="20" t="str">
        <f t="shared" si="127"/>
        <v>N/A</v>
      </c>
    </row>
    <row r="4041" spans="12:13">
      <c r="L4041" s="20" t="str">
        <f t="shared" si="126"/>
        <v>N/A</v>
      </c>
      <c r="M4041" s="20" t="str">
        <f t="shared" si="127"/>
        <v>N/A</v>
      </c>
    </row>
    <row r="4042" spans="12:13">
      <c r="L4042" s="20" t="str">
        <f t="shared" si="126"/>
        <v>N/A</v>
      </c>
      <c r="M4042" s="20" t="str">
        <f t="shared" si="127"/>
        <v>N/A</v>
      </c>
    </row>
    <row r="4043" spans="12:13">
      <c r="L4043" s="20" t="str">
        <f t="shared" si="126"/>
        <v>N/A</v>
      </c>
      <c r="M4043" s="20" t="str">
        <f t="shared" si="127"/>
        <v>N/A</v>
      </c>
    </row>
    <row r="4044" spans="12:13">
      <c r="L4044" s="20" t="str">
        <f t="shared" si="126"/>
        <v>N/A</v>
      </c>
      <c r="M4044" s="20" t="str">
        <f t="shared" si="127"/>
        <v>N/A</v>
      </c>
    </row>
    <row r="4045" spans="12:13">
      <c r="L4045" s="20" t="str">
        <f t="shared" si="126"/>
        <v>N/A</v>
      </c>
      <c r="M4045" s="20" t="str">
        <f t="shared" si="127"/>
        <v>N/A</v>
      </c>
    </row>
    <row r="4046" spans="12:13">
      <c r="L4046" s="20" t="str">
        <f t="shared" si="126"/>
        <v>N/A</v>
      </c>
      <c r="M4046" s="20" t="str">
        <f t="shared" si="127"/>
        <v>N/A</v>
      </c>
    </row>
    <row r="4047" spans="12:13">
      <c r="L4047" s="20" t="str">
        <f t="shared" si="126"/>
        <v>N/A</v>
      </c>
      <c r="M4047" s="20" t="str">
        <f t="shared" si="127"/>
        <v>N/A</v>
      </c>
    </row>
    <row r="4048" spans="12:13">
      <c r="L4048" s="20" t="str">
        <f t="shared" si="126"/>
        <v>N/A</v>
      </c>
      <c r="M4048" s="20" t="str">
        <f t="shared" si="127"/>
        <v>N/A</v>
      </c>
    </row>
    <row r="4049" spans="12:13">
      <c r="L4049" s="20" t="str">
        <f t="shared" si="126"/>
        <v>N/A</v>
      </c>
      <c r="M4049" s="20" t="str">
        <f t="shared" si="127"/>
        <v>N/A</v>
      </c>
    </row>
    <row r="4050" spans="12:13">
      <c r="L4050" s="20" t="str">
        <f t="shared" si="126"/>
        <v>N/A</v>
      </c>
      <c r="M4050" s="20" t="str">
        <f t="shared" si="127"/>
        <v>N/A</v>
      </c>
    </row>
    <row r="4051" spans="12:13">
      <c r="L4051" s="20" t="str">
        <f t="shared" si="126"/>
        <v>N/A</v>
      </c>
      <c r="M4051" s="20" t="str">
        <f t="shared" si="127"/>
        <v>N/A</v>
      </c>
    </row>
    <row r="4052" spans="12:13">
      <c r="L4052" s="20" t="str">
        <f t="shared" si="126"/>
        <v>N/A</v>
      </c>
      <c r="M4052" s="20" t="str">
        <f t="shared" si="127"/>
        <v>N/A</v>
      </c>
    </row>
    <row r="4053" spans="12:13">
      <c r="L4053" s="20" t="str">
        <f t="shared" si="126"/>
        <v>N/A</v>
      </c>
      <c r="M4053" s="20" t="str">
        <f t="shared" si="127"/>
        <v>N/A</v>
      </c>
    </row>
    <row r="4054" spans="12:13">
      <c r="L4054" s="20" t="str">
        <f t="shared" si="126"/>
        <v>N/A</v>
      </c>
      <c r="M4054" s="20" t="str">
        <f t="shared" si="127"/>
        <v>N/A</v>
      </c>
    </row>
    <row r="4055" spans="12:13">
      <c r="L4055" s="20" t="str">
        <f t="shared" si="126"/>
        <v>N/A</v>
      </c>
      <c r="M4055" s="20" t="str">
        <f t="shared" si="127"/>
        <v>N/A</v>
      </c>
    </row>
    <row r="4056" spans="12:13">
      <c r="L4056" s="20" t="str">
        <f t="shared" si="126"/>
        <v>N/A</v>
      </c>
      <c r="M4056" s="20" t="str">
        <f t="shared" si="127"/>
        <v>N/A</v>
      </c>
    </row>
    <row r="4057" spans="12:13">
      <c r="L4057" s="20" t="str">
        <f t="shared" si="126"/>
        <v>N/A</v>
      </c>
      <c r="M4057" s="20" t="str">
        <f t="shared" si="127"/>
        <v>N/A</v>
      </c>
    </row>
    <row r="4058" spans="12:13">
      <c r="L4058" s="20" t="str">
        <f t="shared" si="126"/>
        <v>N/A</v>
      </c>
      <c r="M4058" s="20" t="str">
        <f t="shared" si="127"/>
        <v>N/A</v>
      </c>
    </row>
    <row r="4059" spans="12:13">
      <c r="L4059" s="20" t="str">
        <f t="shared" si="126"/>
        <v>N/A</v>
      </c>
      <c r="M4059" s="20" t="str">
        <f t="shared" si="127"/>
        <v>N/A</v>
      </c>
    </row>
    <row r="4060" spans="12:13">
      <c r="L4060" s="20" t="str">
        <f t="shared" si="126"/>
        <v>N/A</v>
      </c>
      <c r="M4060" s="20" t="str">
        <f t="shared" si="127"/>
        <v>N/A</v>
      </c>
    </row>
    <row r="4061" spans="12:13">
      <c r="L4061" s="20" t="str">
        <f t="shared" si="126"/>
        <v>N/A</v>
      </c>
      <c r="M4061" s="20" t="str">
        <f t="shared" si="127"/>
        <v>N/A</v>
      </c>
    </row>
    <row r="4062" spans="12:13">
      <c r="L4062" s="20" t="str">
        <f t="shared" si="126"/>
        <v>N/A</v>
      </c>
      <c r="M4062" s="20" t="str">
        <f t="shared" si="127"/>
        <v>N/A</v>
      </c>
    </row>
    <row r="4063" spans="12:13">
      <c r="L4063" s="20" t="str">
        <f t="shared" si="126"/>
        <v>N/A</v>
      </c>
      <c r="M4063" s="20" t="str">
        <f t="shared" si="127"/>
        <v>N/A</v>
      </c>
    </row>
    <row r="4064" spans="12:13">
      <c r="L4064" s="20" t="str">
        <f t="shared" si="126"/>
        <v>N/A</v>
      </c>
      <c r="M4064" s="20" t="str">
        <f t="shared" si="127"/>
        <v>N/A</v>
      </c>
    </row>
    <row r="4065" spans="12:13">
      <c r="L4065" s="20" t="str">
        <f t="shared" si="126"/>
        <v>N/A</v>
      </c>
      <c r="M4065" s="20" t="str">
        <f t="shared" si="127"/>
        <v>N/A</v>
      </c>
    </row>
    <row r="4066" spans="12:13">
      <c r="L4066" s="20" t="str">
        <f t="shared" si="126"/>
        <v>N/A</v>
      </c>
      <c r="M4066" s="20" t="str">
        <f t="shared" si="127"/>
        <v>N/A</v>
      </c>
    </row>
    <row r="4067" spans="12:13">
      <c r="L4067" s="20" t="str">
        <f t="shared" si="126"/>
        <v>N/A</v>
      </c>
      <c r="M4067" s="20" t="str">
        <f t="shared" si="127"/>
        <v>N/A</v>
      </c>
    </row>
    <row r="4068" spans="12:13">
      <c r="L4068" s="20" t="str">
        <f t="shared" si="126"/>
        <v>N/A</v>
      </c>
      <c r="M4068" s="20" t="str">
        <f t="shared" si="127"/>
        <v>N/A</v>
      </c>
    </row>
    <row r="4069" spans="12:13">
      <c r="L4069" s="20" t="str">
        <f t="shared" si="126"/>
        <v>N/A</v>
      </c>
      <c r="M4069" s="20" t="str">
        <f t="shared" si="127"/>
        <v>N/A</v>
      </c>
    </row>
    <row r="4070" spans="12:13">
      <c r="L4070" s="20" t="str">
        <f t="shared" si="126"/>
        <v>N/A</v>
      </c>
      <c r="M4070" s="20" t="str">
        <f t="shared" si="127"/>
        <v>N/A</v>
      </c>
    </row>
    <row r="4071" spans="12:13">
      <c r="L4071" s="20" t="str">
        <f t="shared" si="126"/>
        <v>N/A</v>
      </c>
      <c r="M4071" s="20" t="str">
        <f t="shared" si="127"/>
        <v>N/A</v>
      </c>
    </row>
    <row r="4072" spans="12:13">
      <c r="L4072" s="20" t="str">
        <f t="shared" si="126"/>
        <v>N/A</v>
      </c>
      <c r="M4072" s="20" t="str">
        <f t="shared" si="127"/>
        <v>N/A</v>
      </c>
    </row>
    <row r="4073" spans="12:13">
      <c r="L4073" s="20" t="str">
        <f t="shared" si="126"/>
        <v>N/A</v>
      </c>
      <c r="M4073" s="20" t="str">
        <f t="shared" si="127"/>
        <v>N/A</v>
      </c>
    </row>
    <row r="4074" spans="12:13">
      <c r="L4074" s="20" t="str">
        <f t="shared" si="126"/>
        <v>N/A</v>
      </c>
      <c r="M4074" s="20" t="str">
        <f t="shared" si="127"/>
        <v>N/A</v>
      </c>
    </row>
    <row r="4075" spans="12:13">
      <c r="L4075" s="20" t="str">
        <f t="shared" si="126"/>
        <v>N/A</v>
      </c>
      <c r="M4075" s="20" t="str">
        <f t="shared" si="127"/>
        <v>N/A</v>
      </c>
    </row>
    <row r="4076" spans="12:13">
      <c r="L4076" s="20" t="str">
        <f t="shared" si="126"/>
        <v>N/A</v>
      </c>
      <c r="M4076" s="20" t="str">
        <f t="shared" si="127"/>
        <v>N/A</v>
      </c>
    </row>
    <row r="4077" spans="12:13">
      <c r="L4077" s="20" t="str">
        <f t="shared" si="126"/>
        <v>N/A</v>
      </c>
      <c r="M4077" s="20" t="str">
        <f t="shared" si="127"/>
        <v>N/A</v>
      </c>
    </row>
    <row r="4078" spans="12:13">
      <c r="L4078" s="20" t="str">
        <f t="shared" si="126"/>
        <v>N/A</v>
      </c>
      <c r="M4078" s="20" t="str">
        <f t="shared" si="127"/>
        <v>N/A</v>
      </c>
    </row>
    <row r="4079" spans="12:13">
      <c r="L4079" s="20" t="str">
        <f t="shared" si="126"/>
        <v>N/A</v>
      </c>
      <c r="M4079" s="20" t="str">
        <f t="shared" si="127"/>
        <v>N/A</v>
      </c>
    </row>
    <row r="4080" spans="12:13">
      <c r="L4080" s="20" t="str">
        <f t="shared" si="126"/>
        <v>N/A</v>
      </c>
      <c r="M4080" s="20" t="str">
        <f t="shared" si="127"/>
        <v>N/A</v>
      </c>
    </row>
    <row r="4081" spans="12:13">
      <c r="L4081" s="20" t="str">
        <f t="shared" si="126"/>
        <v>N/A</v>
      </c>
      <c r="M4081" s="20" t="str">
        <f t="shared" si="127"/>
        <v>N/A</v>
      </c>
    </row>
    <row r="4082" spans="12:13">
      <c r="L4082" s="20" t="str">
        <f t="shared" si="126"/>
        <v>N/A</v>
      </c>
      <c r="M4082" s="20" t="str">
        <f t="shared" si="127"/>
        <v>N/A</v>
      </c>
    </row>
    <row r="4083" spans="12:13">
      <c r="L4083" s="20" t="str">
        <f t="shared" si="126"/>
        <v>N/A</v>
      </c>
      <c r="M4083" s="20" t="str">
        <f t="shared" si="127"/>
        <v>N/A</v>
      </c>
    </row>
    <row r="4084" spans="12:13">
      <c r="L4084" s="20" t="str">
        <f t="shared" si="126"/>
        <v>N/A</v>
      </c>
      <c r="M4084" s="20" t="str">
        <f t="shared" si="127"/>
        <v>N/A</v>
      </c>
    </row>
    <row r="4085" spans="12:13">
      <c r="L4085" s="20" t="str">
        <f t="shared" si="126"/>
        <v>N/A</v>
      </c>
      <c r="M4085" s="20" t="str">
        <f t="shared" si="127"/>
        <v>N/A</v>
      </c>
    </row>
    <row r="4086" spans="12:13">
      <c r="L4086" s="20" t="str">
        <f t="shared" si="126"/>
        <v>N/A</v>
      </c>
      <c r="M4086" s="20" t="str">
        <f t="shared" si="127"/>
        <v>N/A</v>
      </c>
    </row>
    <row r="4087" spans="12:13">
      <c r="L4087" s="20" t="str">
        <f t="shared" si="126"/>
        <v>N/A</v>
      </c>
      <c r="M4087" s="20" t="str">
        <f t="shared" si="127"/>
        <v>N/A</v>
      </c>
    </row>
    <row r="4088" spans="12:13">
      <c r="L4088" s="20" t="str">
        <f t="shared" si="126"/>
        <v>N/A</v>
      </c>
      <c r="M4088" s="20" t="str">
        <f t="shared" si="127"/>
        <v>N/A</v>
      </c>
    </row>
    <row r="4089" spans="12:13">
      <c r="L4089" s="20" t="str">
        <f t="shared" si="126"/>
        <v>N/A</v>
      </c>
      <c r="M4089" s="20" t="str">
        <f t="shared" si="127"/>
        <v>N/A</v>
      </c>
    </row>
    <row r="4090" spans="12:13">
      <c r="L4090" s="20" t="str">
        <f t="shared" si="126"/>
        <v>N/A</v>
      </c>
      <c r="M4090" s="20" t="str">
        <f t="shared" si="127"/>
        <v>N/A</v>
      </c>
    </row>
    <row r="4091" spans="12:13">
      <c r="L4091" s="20" t="str">
        <f t="shared" si="126"/>
        <v>N/A</v>
      </c>
      <c r="M4091" s="20" t="str">
        <f t="shared" si="127"/>
        <v>N/A</v>
      </c>
    </row>
    <row r="4092" spans="12:13">
      <c r="L4092" s="20" t="str">
        <f t="shared" si="126"/>
        <v>N/A</v>
      </c>
      <c r="M4092" s="20" t="str">
        <f t="shared" si="127"/>
        <v>N/A</v>
      </c>
    </row>
    <row r="4093" spans="12:13">
      <c r="L4093" s="20" t="str">
        <f t="shared" si="126"/>
        <v>N/A</v>
      </c>
      <c r="M4093" s="20" t="str">
        <f t="shared" si="127"/>
        <v>N/A</v>
      </c>
    </row>
    <row r="4094" spans="12:13">
      <c r="L4094" s="20" t="str">
        <f t="shared" si="126"/>
        <v>N/A</v>
      </c>
      <c r="M4094" s="20" t="str">
        <f t="shared" si="127"/>
        <v>N/A</v>
      </c>
    </row>
    <row r="4095" spans="12:13">
      <c r="L4095" s="20" t="str">
        <f t="shared" si="126"/>
        <v>N/A</v>
      </c>
      <c r="M4095" s="20" t="str">
        <f t="shared" si="127"/>
        <v>N/A</v>
      </c>
    </row>
    <row r="4096" spans="12:13">
      <c r="L4096" s="20" t="str">
        <f t="shared" si="126"/>
        <v>N/A</v>
      </c>
      <c r="M4096" s="20" t="str">
        <f t="shared" si="127"/>
        <v>N/A</v>
      </c>
    </row>
    <row r="4097" spans="12:13">
      <c r="L4097" s="20" t="str">
        <f t="shared" si="126"/>
        <v>N/A</v>
      </c>
      <c r="M4097" s="20" t="str">
        <f t="shared" si="127"/>
        <v>N/A</v>
      </c>
    </row>
    <row r="4098" spans="12:13">
      <c r="L4098" s="20" t="str">
        <f t="shared" si="126"/>
        <v>N/A</v>
      </c>
      <c r="M4098" s="20" t="str">
        <f t="shared" si="127"/>
        <v>N/A</v>
      </c>
    </row>
    <row r="4099" spans="12:13">
      <c r="L4099" s="20" t="str">
        <f t="shared" ref="L4099:L4162" si="128">+IF(LEFT(D4099,1)="1","Asset","N/A")</f>
        <v>N/A</v>
      </c>
      <c r="M4099" s="20" t="str">
        <f t="shared" ref="M4099:M4162" si="129">+IF(L4099="asset",IF(H4099&lt;0,"Provide Comment","okay"),"N/A")</f>
        <v>N/A</v>
      </c>
    </row>
    <row r="4100" spans="12:13">
      <c r="L4100" s="20" t="str">
        <f t="shared" si="128"/>
        <v>N/A</v>
      </c>
      <c r="M4100" s="20" t="str">
        <f t="shared" si="129"/>
        <v>N/A</v>
      </c>
    </row>
    <row r="4101" spans="12:13">
      <c r="L4101" s="20" t="str">
        <f t="shared" si="128"/>
        <v>N/A</v>
      </c>
      <c r="M4101" s="20" t="str">
        <f t="shared" si="129"/>
        <v>N/A</v>
      </c>
    </row>
    <row r="4102" spans="12:13">
      <c r="L4102" s="20" t="str">
        <f t="shared" si="128"/>
        <v>N/A</v>
      </c>
      <c r="M4102" s="20" t="str">
        <f t="shared" si="129"/>
        <v>N/A</v>
      </c>
    </row>
    <row r="4103" spans="12:13">
      <c r="L4103" s="20" t="str">
        <f t="shared" si="128"/>
        <v>N/A</v>
      </c>
      <c r="M4103" s="20" t="str">
        <f t="shared" si="129"/>
        <v>N/A</v>
      </c>
    </row>
    <row r="4104" spans="12:13">
      <c r="L4104" s="20" t="str">
        <f t="shared" si="128"/>
        <v>N/A</v>
      </c>
      <c r="M4104" s="20" t="str">
        <f t="shared" si="129"/>
        <v>N/A</v>
      </c>
    </row>
    <row r="4105" spans="12:13">
      <c r="L4105" s="20" t="str">
        <f t="shared" si="128"/>
        <v>N/A</v>
      </c>
      <c r="M4105" s="20" t="str">
        <f t="shared" si="129"/>
        <v>N/A</v>
      </c>
    </row>
    <row r="4106" spans="12:13">
      <c r="L4106" s="20" t="str">
        <f t="shared" si="128"/>
        <v>N/A</v>
      </c>
      <c r="M4106" s="20" t="str">
        <f t="shared" si="129"/>
        <v>N/A</v>
      </c>
    </row>
    <row r="4107" spans="12:13">
      <c r="L4107" s="20" t="str">
        <f t="shared" si="128"/>
        <v>N/A</v>
      </c>
      <c r="M4107" s="20" t="str">
        <f t="shared" si="129"/>
        <v>N/A</v>
      </c>
    </row>
    <row r="4108" spans="12:13">
      <c r="L4108" s="20" t="str">
        <f t="shared" si="128"/>
        <v>N/A</v>
      </c>
      <c r="M4108" s="20" t="str">
        <f t="shared" si="129"/>
        <v>N/A</v>
      </c>
    </row>
    <row r="4109" spans="12:13">
      <c r="L4109" s="20" t="str">
        <f t="shared" si="128"/>
        <v>N/A</v>
      </c>
      <c r="M4109" s="20" t="str">
        <f t="shared" si="129"/>
        <v>N/A</v>
      </c>
    </row>
    <row r="4110" spans="12:13">
      <c r="L4110" s="20" t="str">
        <f t="shared" si="128"/>
        <v>N/A</v>
      </c>
      <c r="M4110" s="20" t="str">
        <f t="shared" si="129"/>
        <v>N/A</v>
      </c>
    </row>
    <row r="4111" spans="12:13">
      <c r="L4111" s="20" t="str">
        <f t="shared" si="128"/>
        <v>N/A</v>
      </c>
      <c r="M4111" s="20" t="str">
        <f t="shared" si="129"/>
        <v>N/A</v>
      </c>
    </row>
    <row r="4112" spans="12:13">
      <c r="L4112" s="20" t="str">
        <f t="shared" si="128"/>
        <v>N/A</v>
      </c>
      <c r="M4112" s="20" t="str">
        <f t="shared" si="129"/>
        <v>N/A</v>
      </c>
    </row>
    <row r="4113" spans="12:13">
      <c r="L4113" s="20" t="str">
        <f t="shared" si="128"/>
        <v>N/A</v>
      </c>
      <c r="M4113" s="20" t="str">
        <f t="shared" si="129"/>
        <v>N/A</v>
      </c>
    </row>
    <row r="4114" spans="12:13">
      <c r="L4114" s="20" t="str">
        <f t="shared" si="128"/>
        <v>N/A</v>
      </c>
      <c r="M4114" s="20" t="str">
        <f t="shared" si="129"/>
        <v>N/A</v>
      </c>
    </row>
    <row r="4115" spans="12:13">
      <c r="L4115" s="20" t="str">
        <f t="shared" si="128"/>
        <v>N/A</v>
      </c>
      <c r="M4115" s="20" t="str">
        <f t="shared" si="129"/>
        <v>N/A</v>
      </c>
    </row>
    <row r="4116" spans="12:13">
      <c r="L4116" s="20" t="str">
        <f t="shared" si="128"/>
        <v>N/A</v>
      </c>
      <c r="M4116" s="20" t="str">
        <f t="shared" si="129"/>
        <v>N/A</v>
      </c>
    </row>
    <row r="4117" spans="12:13">
      <c r="L4117" s="20" t="str">
        <f t="shared" si="128"/>
        <v>N/A</v>
      </c>
      <c r="M4117" s="20" t="str">
        <f t="shared" si="129"/>
        <v>N/A</v>
      </c>
    </row>
    <row r="4118" spans="12:13">
      <c r="L4118" s="20" t="str">
        <f t="shared" si="128"/>
        <v>N/A</v>
      </c>
      <c r="M4118" s="20" t="str">
        <f t="shared" si="129"/>
        <v>N/A</v>
      </c>
    </row>
    <row r="4119" spans="12:13">
      <c r="L4119" s="20" t="str">
        <f t="shared" si="128"/>
        <v>N/A</v>
      </c>
      <c r="M4119" s="20" t="str">
        <f t="shared" si="129"/>
        <v>N/A</v>
      </c>
    </row>
    <row r="4120" spans="12:13">
      <c r="L4120" s="20" t="str">
        <f t="shared" si="128"/>
        <v>N/A</v>
      </c>
      <c r="M4120" s="20" t="str">
        <f t="shared" si="129"/>
        <v>N/A</v>
      </c>
    </row>
    <row r="4121" spans="12:13">
      <c r="L4121" s="20" t="str">
        <f t="shared" si="128"/>
        <v>N/A</v>
      </c>
      <c r="M4121" s="20" t="str">
        <f t="shared" si="129"/>
        <v>N/A</v>
      </c>
    </row>
    <row r="4122" spans="12:13">
      <c r="L4122" s="20" t="str">
        <f t="shared" si="128"/>
        <v>N/A</v>
      </c>
      <c r="M4122" s="20" t="str">
        <f t="shared" si="129"/>
        <v>N/A</v>
      </c>
    </row>
    <row r="4123" spans="12:13">
      <c r="L4123" s="20" t="str">
        <f t="shared" si="128"/>
        <v>N/A</v>
      </c>
      <c r="M4123" s="20" t="str">
        <f t="shared" si="129"/>
        <v>N/A</v>
      </c>
    </row>
    <row r="4124" spans="12:13">
      <c r="L4124" s="20" t="str">
        <f t="shared" si="128"/>
        <v>N/A</v>
      </c>
      <c r="M4124" s="20" t="str">
        <f t="shared" si="129"/>
        <v>N/A</v>
      </c>
    </row>
    <row r="4125" spans="12:13">
      <c r="L4125" s="20" t="str">
        <f t="shared" si="128"/>
        <v>N/A</v>
      </c>
      <c r="M4125" s="20" t="str">
        <f t="shared" si="129"/>
        <v>N/A</v>
      </c>
    </row>
    <row r="4126" spans="12:13">
      <c r="L4126" s="20" t="str">
        <f t="shared" si="128"/>
        <v>N/A</v>
      </c>
      <c r="M4126" s="20" t="str">
        <f t="shared" si="129"/>
        <v>N/A</v>
      </c>
    </row>
    <row r="4127" spans="12:13">
      <c r="L4127" s="20" t="str">
        <f t="shared" si="128"/>
        <v>N/A</v>
      </c>
      <c r="M4127" s="20" t="str">
        <f t="shared" si="129"/>
        <v>N/A</v>
      </c>
    </row>
    <row r="4128" spans="12:13">
      <c r="L4128" s="20" t="str">
        <f t="shared" si="128"/>
        <v>N/A</v>
      </c>
      <c r="M4128" s="20" t="str">
        <f t="shared" si="129"/>
        <v>N/A</v>
      </c>
    </row>
    <row r="4129" spans="12:13">
      <c r="L4129" s="20" t="str">
        <f t="shared" si="128"/>
        <v>N/A</v>
      </c>
      <c r="M4129" s="20" t="str">
        <f t="shared" si="129"/>
        <v>N/A</v>
      </c>
    </row>
    <row r="4130" spans="12:13">
      <c r="L4130" s="20" t="str">
        <f t="shared" si="128"/>
        <v>N/A</v>
      </c>
      <c r="M4130" s="20" t="str">
        <f t="shared" si="129"/>
        <v>N/A</v>
      </c>
    </row>
    <row r="4131" spans="12:13">
      <c r="L4131" s="20" t="str">
        <f t="shared" si="128"/>
        <v>N/A</v>
      </c>
      <c r="M4131" s="20" t="str">
        <f t="shared" si="129"/>
        <v>N/A</v>
      </c>
    </row>
    <row r="4132" spans="12:13">
      <c r="L4132" s="20" t="str">
        <f t="shared" si="128"/>
        <v>N/A</v>
      </c>
      <c r="M4132" s="20" t="str">
        <f t="shared" si="129"/>
        <v>N/A</v>
      </c>
    </row>
    <row r="4133" spans="12:13">
      <c r="L4133" s="20" t="str">
        <f t="shared" si="128"/>
        <v>N/A</v>
      </c>
      <c r="M4133" s="20" t="str">
        <f t="shared" si="129"/>
        <v>N/A</v>
      </c>
    </row>
    <row r="4134" spans="12:13">
      <c r="L4134" s="20" t="str">
        <f t="shared" si="128"/>
        <v>N/A</v>
      </c>
      <c r="M4134" s="20" t="str">
        <f t="shared" si="129"/>
        <v>N/A</v>
      </c>
    </row>
    <row r="4135" spans="12:13">
      <c r="L4135" s="20" t="str">
        <f t="shared" si="128"/>
        <v>N/A</v>
      </c>
      <c r="M4135" s="20" t="str">
        <f t="shared" si="129"/>
        <v>N/A</v>
      </c>
    </row>
    <row r="4136" spans="12:13">
      <c r="L4136" s="20" t="str">
        <f t="shared" si="128"/>
        <v>N/A</v>
      </c>
      <c r="M4136" s="20" t="str">
        <f t="shared" si="129"/>
        <v>N/A</v>
      </c>
    </row>
    <row r="4137" spans="12:13">
      <c r="L4137" s="20" t="str">
        <f t="shared" si="128"/>
        <v>N/A</v>
      </c>
      <c r="M4137" s="20" t="str">
        <f t="shared" si="129"/>
        <v>N/A</v>
      </c>
    </row>
    <row r="4138" spans="12:13">
      <c r="L4138" s="20" t="str">
        <f t="shared" si="128"/>
        <v>N/A</v>
      </c>
      <c r="M4138" s="20" t="str">
        <f t="shared" si="129"/>
        <v>N/A</v>
      </c>
    </row>
    <row r="4139" spans="12:13">
      <c r="L4139" s="20" t="str">
        <f t="shared" si="128"/>
        <v>N/A</v>
      </c>
      <c r="M4139" s="20" t="str">
        <f t="shared" si="129"/>
        <v>N/A</v>
      </c>
    </row>
    <row r="4140" spans="12:13">
      <c r="L4140" s="20" t="str">
        <f t="shared" si="128"/>
        <v>N/A</v>
      </c>
      <c r="M4140" s="20" t="str">
        <f t="shared" si="129"/>
        <v>N/A</v>
      </c>
    </row>
    <row r="4141" spans="12:13">
      <c r="L4141" s="20" t="str">
        <f t="shared" si="128"/>
        <v>N/A</v>
      </c>
      <c r="M4141" s="20" t="str">
        <f t="shared" si="129"/>
        <v>N/A</v>
      </c>
    </row>
    <row r="4142" spans="12:13">
      <c r="L4142" s="20" t="str">
        <f t="shared" si="128"/>
        <v>N/A</v>
      </c>
      <c r="M4142" s="20" t="str">
        <f t="shared" si="129"/>
        <v>N/A</v>
      </c>
    </row>
    <row r="4143" spans="12:13">
      <c r="L4143" s="20" t="str">
        <f t="shared" si="128"/>
        <v>N/A</v>
      </c>
      <c r="M4143" s="20" t="str">
        <f t="shared" si="129"/>
        <v>N/A</v>
      </c>
    </row>
    <row r="4144" spans="12:13">
      <c r="L4144" s="20" t="str">
        <f t="shared" si="128"/>
        <v>N/A</v>
      </c>
      <c r="M4144" s="20" t="str">
        <f t="shared" si="129"/>
        <v>N/A</v>
      </c>
    </row>
    <row r="4145" spans="12:13">
      <c r="L4145" s="20" t="str">
        <f t="shared" si="128"/>
        <v>N/A</v>
      </c>
      <c r="M4145" s="20" t="str">
        <f t="shared" si="129"/>
        <v>N/A</v>
      </c>
    </row>
    <row r="4146" spans="12:13">
      <c r="L4146" s="20" t="str">
        <f t="shared" si="128"/>
        <v>N/A</v>
      </c>
      <c r="M4146" s="20" t="str">
        <f t="shared" si="129"/>
        <v>N/A</v>
      </c>
    </row>
    <row r="4147" spans="12:13">
      <c r="L4147" s="20" t="str">
        <f t="shared" si="128"/>
        <v>N/A</v>
      </c>
      <c r="M4147" s="20" t="str">
        <f t="shared" si="129"/>
        <v>N/A</v>
      </c>
    </row>
    <row r="4148" spans="12:13">
      <c r="L4148" s="20" t="str">
        <f t="shared" si="128"/>
        <v>N/A</v>
      </c>
      <c r="M4148" s="20" t="str">
        <f t="shared" si="129"/>
        <v>N/A</v>
      </c>
    </row>
    <row r="4149" spans="12:13">
      <c r="L4149" s="20" t="str">
        <f t="shared" si="128"/>
        <v>N/A</v>
      </c>
      <c r="M4149" s="20" t="str">
        <f t="shared" si="129"/>
        <v>N/A</v>
      </c>
    </row>
    <row r="4150" spans="12:13">
      <c r="L4150" s="20" t="str">
        <f t="shared" si="128"/>
        <v>N/A</v>
      </c>
      <c r="M4150" s="20" t="str">
        <f t="shared" si="129"/>
        <v>N/A</v>
      </c>
    </row>
    <row r="4151" spans="12:13">
      <c r="L4151" s="20" t="str">
        <f t="shared" si="128"/>
        <v>N/A</v>
      </c>
      <c r="M4151" s="20" t="str">
        <f t="shared" si="129"/>
        <v>N/A</v>
      </c>
    </row>
    <row r="4152" spans="12:13">
      <c r="L4152" s="20" t="str">
        <f t="shared" si="128"/>
        <v>N/A</v>
      </c>
      <c r="M4152" s="20" t="str">
        <f t="shared" si="129"/>
        <v>N/A</v>
      </c>
    </row>
    <row r="4153" spans="12:13">
      <c r="L4153" s="20" t="str">
        <f t="shared" si="128"/>
        <v>N/A</v>
      </c>
      <c r="M4153" s="20" t="str">
        <f t="shared" si="129"/>
        <v>N/A</v>
      </c>
    </row>
    <row r="4154" spans="12:13">
      <c r="L4154" s="20" t="str">
        <f t="shared" si="128"/>
        <v>N/A</v>
      </c>
      <c r="M4154" s="20" t="str">
        <f t="shared" si="129"/>
        <v>N/A</v>
      </c>
    </row>
    <row r="4155" spans="12:13">
      <c r="L4155" s="20" t="str">
        <f t="shared" si="128"/>
        <v>N/A</v>
      </c>
      <c r="M4155" s="20" t="str">
        <f t="shared" si="129"/>
        <v>N/A</v>
      </c>
    </row>
    <row r="4156" spans="12:13">
      <c r="L4156" s="20" t="str">
        <f t="shared" si="128"/>
        <v>N/A</v>
      </c>
      <c r="M4156" s="20" t="str">
        <f t="shared" si="129"/>
        <v>N/A</v>
      </c>
    </row>
    <row r="4157" spans="12:13">
      <c r="L4157" s="20" t="str">
        <f t="shared" si="128"/>
        <v>N/A</v>
      </c>
      <c r="M4157" s="20" t="str">
        <f t="shared" si="129"/>
        <v>N/A</v>
      </c>
    </row>
    <row r="4158" spans="12:13">
      <c r="L4158" s="20" t="str">
        <f t="shared" si="128"/>
        <v>N/A</v>
      </c>
      <c r="M4158" s="20" t="str">
        <f t="shared" si="129"/>
        <v>N/A</v>
      </c>
    </row>
    <row r="4159" spans="12:13">
      <c r="L4159" s="20" t="str">
        <f t="shared" si="128"/>
        <v>N/A</v>
      </c>
      <c r="M4159" s="20" t="str">
        <f t="shared" si="129"/>
        <v>N/A</v>
      </c>
    </row>
    <row r="4160" spans="12:13">
      <c r="L4160" s="20" t="str">
        <f t="shared" si="128"/>
        <v>N/A</v>
      </c>
      <c r="M4160" s="20" t="str">
        <f t="shared" si="129"/>
        <v>N/A</v>
      </c>
    </row>
    <row r="4161" spans="12:13">
      <c r="L4161" s="20" t="str">
        <f t="shared" si="128"/>
        <v>N/A</v>
      </c>
      <c r="M4161" s="20" t="str">
        <f t="shared" si="129"/>
        <v>N/A</v>
      </c>
    </row>
    <row r="4162" spans="12:13">
      <c r="L4162" s="20" t="str">
        <f t="shared" si="128"/>
        <v>N/A</v>
      </c>
      <c r="M4162" s="20" t="str">
        <f t="shared" si="129"/>
        <v>N/A</v>
      </c>
    </row>
    <row r="4163" spans="12:13">
      <c r="L4163" s="20" t="str">
        <f t="shared" ref="L4163:L4226" si="130">+IF(LEFT(D4163,1)="1","Asset","N/A")</f>
        <v>N/A</v>
      </c>
      <c r="M4163" s="20" t="str">
        <f t="shared" ref="M4163:M4226" si="131">+IF(L4163="asset",IF(H4163&lt;0,"Provide Comment","okay"),"N/A")</f>
        <v>N/A</v>
      </c>
    </row>
    <row r="4164" spans="12:13">
      <c r="L4164" s="20" t="str">
        <f t="shared" si="130"/>
        <v>N/A</v>
      </c>
      <c r="M4164" s="20" t="str">
        <f t="shared" si="131"/>
        <v>N/A</v>
      </c>
    </row>
    <row r="4165" spans="12:13">
      <c r="L4165" s="20" t="str">
        <f t="shared" si="130"/>
        <v>N/A</v>
      </c>
      <c r="M4165" s="20" t="str">
        <f t="shared" si="131"/>
        <v>N/A</v>
      </c>
    </row>
    <row r="4166" spans="12:13">
      <c r="L4166" s="20" t="str">
        <f t="shared" si="130"/>
        <v>N/A</v>
      </c>
      <c r="M4166" s="20" t="str">
        <f t="shared" si="131"/>
        <v>N/A</v>
      </c>
    </row>
    <row r="4167" spans="12:13">
      <c r="L4167" s="20" t="str">
        <f t="shared" si="130"/>
        <v>N/A</v>
      </c>
      <c r="M4167" s="20" t="str">
        <f t="shared" si="131"/>
        <v>N/A</v>
      </c>
    </row>
    <row r="4168" spans="12:13">
      <c r="L4168" s="20" t="str">
        <f t="shared" si="130"/>
        <v>N/A</v>
      </c>
      <c r="M4168" s="20" t="str">
        <f t="shared" si="131"/>
        <v>N/A</v>
      </c>
    </row>
    <row r="4169" spans="12:13">
      <c r="L4169" s="20" t="str">
        <f t="shared" si="130"/>
        <v>N/A</v>
      </c>
      <c r="M4169" s="20" t="str">
        <f t="shared" si="131"/>
        <v>N/A</v>
      </c>
    </row>
    <row r="4170" spans="12:13">
      <c r="L4170" s="20" t="str">
        <f t="shared" si="130"/>
        <v>N/A</v>
      </c>
      <c r="M4170" s="20" t="str">
        <f t="shared" si="131"/>
        <v>N/A</v>
      </c>
    </row>
    <row r="4171" spans="12:13">
      <c r="L4171" s="20" t="str">
        <f t="shared" si="130"/>
        <v>N/A</v>
      </c>
      <c r="M4171" s="20" t="str">
        <f t="shared" si="131"/>
        <v>N/A</v>
      </c>
    </row>
    <row r="4172" spans="12:13">
      <c r="L4172" s="20" t="str">
        <f t="shared" si="130"/>
        <v>N/A</v>
      </c>
      <c r="M4172" s="20" t="str">
        <f t="shared" si="131"/>
        <v>N/A</v>
      </c>
    </row>
    <row r="4173" spans="12:13">
      <c r="L4173" s="20" t="str">
        <f t="shared" si="130"/>
        <v>N/A</v>
      </c>
      <c r="M4173" s="20" t="str">
        <f t="shared" si="131"/>
        <v>N/A</v>
      </c>
    </row>
    <row r="4174" spans="12:13">
      <c r="L4174" s="20" t="str">
        <f t="shared" si="130"/>
        <v>N/A</v>
      </c>
      <c r="M4174" s="20" t="str">
        <f t="shared" si="131"/>
        <v>N/A</v>
      </c>
    </row>
    <row r="4175" spans="12:13">
      <c r="L4175" s="20" t="str">
        <f t="shared" si="130"/>
        <v>N/A</v>
      </c>
      <c r="M4175" s="20" t="str">
        <f t="shared" si="131"/>
        <v>N/A</v>
      </c>
    </row>
    <row r="4176" spans="12:13">
      <c r="L4176" s="20" t="str">
        <f t="shared" si="130"/>
        <v>N/A</v>
      </c>
      <c r="M4176" s="20" t="str">
        <f t="shared" si="131"/>
        <v>N/A</v>
      </c>
    </row>
    <row r="4177" spans="12:13">
      <c r="L4177" s="20" t="str">
        <f t="shared" si="130"/>
        <v>N/A</v>
      </c>
      <c r="M4177" s="20" t="str">
        <f t="shared" si="131"/>
        <v>N/A</v>
      </c>
    </row>
    <row r="4178" spans="12:13">
      <c r="L4178" s="20" t="str">
        <f t="shared" si="130"/>
        <v>N/A</v>
      </c>
      <c r="M4178" s="20" t="str">
        <f t="shared" si="131"/>
        <v>N/A</v>
      </c>
    </row>
    <row r="4179" spans="12:13">
      <c r="L4179" s="20" t="str">
        <f t="shared" si="130"/>
        <v>N/A</v>
      </c>
      <c r="M4179" s="20" t="str">
        <f t="shared" si="131"/>
        <v>N/A</v>
      </c>
    </row>
    <row r="4180" spans="12:13">
      <c r="L4180" s="20" t="str">
        <f t="shared" si="130"/>
        <v>N/A</v>
      </c>
      <c r="M4180" s="20" t="str">
        <f t="shared" si="131"/>
        <v>N/A</v>
      </c>
    </row>
    <row r="4181" spans="12:13">
      <c r="L4181" s="20" t="str">
        <f t="shared" si="130"/>
        <v>N/A</v>
      </c>
      <c r="M4181" s="20" t="str">
        <f t="shared" si="131"/>
        <v>N/A</v>
      </c>
    </row>
    <row r="4182" spans="12:13">
      <c r="L4182" s="20" t="str">
        <f t="shared" si="130"/>
        <v>N/A</v>
      </c>
      <c r="M4182" s="20" t="str">
        <f t="shared" si="131"/>
        <v>N/A</v>
      </c>
    </row>
    <row r="4183" spans="12:13">
      <c r="L4183" s="20" t="str">
        <f t="shared" si="130"/>
        <v>N/A</v>
      </c>
      <c r="M4183" s="20" t="str">
        <f t="shared" si="131"/>
        <v>N/A</v>
      </c>
    </row>
    <row r="4184" spans="12:13">
      <c r="L4184" s="20" t="str">
        <f t="shared" si="130"/>
        <v>N/A</v>
      </c>
      <c r="M4184" s="20" t="str">
        <f t="shared" si="131"/>
        <v>N/A</v>
      </c>
    </row>
    <row r="4185" spans="12:13">
      <c r="L4185" s="20" t="str">
        <f t="shared" si="130"/>
        <v>N/A</v>
      </c>
      <c r="M4185" s="20" t="str">
        <f t="shared" si="131"/>
        <v>N/A</v>
      </c>
    </row>
    <row r="4186" spans="12:13">
      <c r="L4186" s="20" t="str">
        <f t="shared" si="130"/>
        <v>N/A</v>
      </c>
      <c r="M4186" s="20" t="str">
        <f t="shared" si="131"/>
        <v>N/A</v>
      </c>
    </row>
    <row r="4187" spans="12:13">
      <c r="L4187" s="20" t="str">
        <f t="shared" si="130"/>
        <v>N/A</v>
      </c>
      <c r="M4187" s="20" t="str">
        <f t="shared" si="131"/>
        <v>N/A</v>
      </c>
    </row>
    <row r="4188" spans="12:13">
      <c r="L4188" s="20" t="str">
        <f t="shared" si="130"/>
        <v>N/A</v>
      </c>
      <c r="M4188" s="20" t="str">
        <f t="shared" si="131"/>
        <v>N/A</v>
      </c>
    </row>
    <row r="4189" spans="12:13">
      <c r="L4189" s="20" t="str">
        <f t="shared" si="130"/>
        <v>N/A</v>
      </c>
      <c r="M4189" s="20" t="str">
        <f t="shared" si="131"/>
        <v>N/A</v>
      </c>
    </row>
    <row r="4190" spans="12:13">
      <c r="L4190" s="20" t="str">
        <f t="shared" si="130"/>
        <v>N/A</v>
      </c>
      <c r="M4190" s="20" t="str">
        <f t="shared" si="131"/>
        <v>N/A</v>
      </c>
    </row>
    <row r="4191" spans="12:13">
      <c r="L4191" s="20" t="str">
        <f t="shared" si="130"/>
        <v>N/A</v>
      </c>
      <c r="M4191" s="20" t="str">
        <f t="shared" si="131"/>
        <v>N/A</v>
      </c>
    </row>
    <row r="4192" spans="12:13">
      <c r="L4192" s="20" t="str">
        <f t="shared" si="130"/>
        <v>N/A</v>
      </c>
      <c r="M4192" s="20" t="str">
        <f t="shared" si="131"/>
        <v>N/A</v>
      </c>
    </row>
    <row r="4193" spans="12:13">
      <c r="L4193" s="20" t="str">
        <f t="shared" si="130"/>
        <v>N/A</v>
      </c>
      <c r="M4193" s="20" t="str">
        <f t="shared" si="131"/>
        <v>N/A</v>
      </c>
    </row>
    <row r="4194" spans="12:13">
      <c r="L4194" s="20" t="str">
        <f t="shared" si="130"/>
        <v>N/A</v>
      </c>
      <c r="M4194" s="20" t="str">
        <f t="shared" si="131"/>
        <v>N/A</v>
      </c>
    </row>
    <row r="4195" spans="12:13">
      <c r="L4195" s="20" t="str">
        <f t="shared" si="130"/>
        <v>N/A</v>
      </c>
      <c r="M4195" s="20" t="str">
        <f t="shared" si="131"/>
        <v>N/A</v>
      </c>
    </row>
    <row r="4196" spans="12:13">
      <c r="L4196" s="20" t="str">
        <f t="shared" si="130"/>
        <v>N/A</v>
      </c>
      <c r="M4196" s="20" t="str">
        <f t="shared" si="131"/>
        <v>N/A</v>
      </c>
    </row>
    <row r="4197" spans="12:13">
      <c r="L4197" s="20" t="str">
        <f t="shared" si="130"/>
        <v>N/A</v>
      </c>
      <c r="M4197" s="20" t="str">
        <f t="shared" si="131"/>
        <v>N/A</v>
      </c>
    </row>
    <row r="4198" spans="12:13">
      <c r="L4198" s="20" t="str">
        <f t="shared" si="130"/>
        <v>N/A</v>
      </c>
      <c r="M4198" s="20" t="str">
        <f t="shared" si="131"/>
        <v>N/A</v>
      </c>
    </row>
    <row r="4199" spans="12:13">
      <c r="L4199" s="20" t="str">
        <f t="shared" si="130"/>
        <v>N/A</v>
      </c>
      <c r="M4199" s="20" t="str">
        <f t="shared" si="131"/>
        <v>N/A</v>
      </c>
    </row>
    <row r="4200" spans="12:13">
      <c r="L4200" s="20" t="str">
        <f t="shared" si="130"/>
        <v>N/A</v>
      </c>
      <c r="M4200" s="20" t="str">
        <f t="shared" si="131"/>
        <v>N/A</v>
      </c>
    </row>
    <row r="4201" spans="12:13">
      <c r="L4201" s="20" t="str">
        <f t="shared" si="130"/>
        <v>N/A</v>
      </c>
      <c r="M4201" s="20" t="str">
        <f t="shared" si="131"/>
        <v>N/A</v>
      </c>
    </row>
    <row r="4202" spans="12:13">
      <c r="L4202" s="20" t="str">
        <f t="shared" si="130"/>
        <v>N/A</v>
      </c>
      <c r="M4202" s="20" t="str">
        <f t="shared" si="131"/>
        <v>N/A</v>
      </c>
    </row>
    <row r="4203" spans="12:13">
      <c r="L4203" s="20" t="str">
        <f t="shared" si="130"/>
        <v>N/A</v>
      </c>
      <c r="M4203" s="20" t="str">
        <f t="shared" si="131"/>
        <v>N/A</v>
      </c>
    </row>
    <row r="4204" spans="12:13">
      <c r="L4204" s="20" t="str">
        <f t="shared" si="130"/>
        <v>N/A</v>
      </c>
      <c r="M4204" s="20" t="str">
        <f t="shared" si="131"/>
        <v>N/A</v>
      </c>
    </row>
    <row r="4205" spans="12:13">
      <c r="L4205" s="20" t="str">
        <f t="shared" si="130"/>
        <v>N/A</v>
      </c>
      <c r="M4205" s="20" t="str">
        <f t="shared" si="131"/>
        <v>N/A</v>
      </c>
    </row>
    <row r="4206" spans="12:13">
      <c r="L4206" s="20" t="str">
        <f t="shared" si="130"/>
        <v>N/A</v>
      </c>
      <c r="M4206" s="20" t="str">
        <f t="shared" si="131"/>
        <v>N/A</v>
      </c>
    </row>
    <row r="4207" spans="12:13">
      <c r="L4207" s="20" t="str">
        <f t="shared" si="130"/>
        <v>N/A</v>
      </c>
      <c r="M4207" s="20" t="str">
        <f t="shared" si="131"/>
        <v>N/A</v>
      </c>
    </row>
    <row r="4208" spans="12:13">
      <c r="L4208" s="20" t="str">
        <f t="shared" si="130"/>
        <v>N/A</v>
      </c>
      <c r="M4208" s="20" t="str">
        <f t="shared" si="131"/>
        <v>N/A</v>
      </c>
    </row>
    <row r="4209" spans="12:13">
      <c r="L4209" s="20" t="str">
        <f t="shared" si="130"/>
        <v>N/A</v>
      </c>
      <c r="M4209" s="20" t="str">
        <f t="shared" si="131"/>
        <v>N/A</v>
      </c>
    </row>
    <row r="4210" spans="12:13">
      <c r="L4210" s="20" t="str">
        <f t="shared" si="130"/>
        <v>N/A</v>
      </c>
      <c r="M4210" s="20" t="str">
        <f t="shared" si="131"/>
        <v>N/A</v>
      </c>
    </row>
    <row r="4211" spans="12:13">
      <c r="L4211" s="20" t="str">
        <f t="shared" si="130"/>
        <v>N/A</v>
      </c>
      <c r="M4211" s="20" t="str">
        <f t="shared" si="131"/>
        <v>N/A</v>
      </c>
    </row>
    <row r="4212" spans="12:13">
      <c r="L4212" s="20" t="str">
        <f t="shared" si="130"/>
        <v>N/A</v>
      </c>
      <c r="M4212" s="20" t="str">
        <f t="shared" si="131"/>
        <v>N/A</v>
      </c>
    </row>
    <row r="4213" spans="12:13">
      <c r="L4213" s="20" t="str">
        <f t="shared" si="130"/>
        <v>N/A</v>
      </c>
      <c r="M4213" s="20" t="str">
        <f t="shared" si="131"/>
        <v>N/A</v>
      </c>
    </row>
    <row r="4214" spans="12:13">
      <c r="L4214" s="20" t="str">
        <f t="shared" si="130"/>
        <v>N/A</v>
      </c>
      <c r="M4214" s="20" t="str">
        <f t="shared" si="131"/>
        <v>N/A</v>
      </c>
    </row>
    <row r="4215" spans="12:13">
      <c r="L4215" s="20" t="str">
        <f t="shared" si="130"/>
        <v>N/A</v>
      </c>
      <c r="M4215" s="20" t="str">
        <f t="shared" si="131"/>
        <v>N/A</v>
      </c>
    </row>
    <row r="4216" spans="12:13">
      <c r="L4216" s="20" t="str">
        <f t="shared" si="130"/>
        <v>N/A</v>
      </c>
      <c r="M4216" s="20" t="str">
        <f t="shared" si="131"/>
        <v>N/A</v>
      </c>
    </row>
    <row r="4217" spans="12:13">
      <c r="L4217" s="20" t="str">
        <f t="shared" si="130"/>
        <v>N/A</v>
      </c>
      <c r="M4217" s="20" t="str">
        <f t="shared" si="131"/>
        <v>N/A</v>
      </c>
    </row>
    <row r="4218" spans="12:13">
      <c r="L4218" s="20" t="str">
        <f t="shared" si="130"/>
        <v>N/A</v>
      </c>
      <c r="M4218" s="20" t="str">
        <f t="shared" si="131"/>
        <v>N/A</v>
      </c>
    </row>
    <row r="4219" spans="12:13">
      <c r="L4219" s="20" t="str">
        <f t="shared" si="130"/>
        <v>N/A</v>
      </c>
      <c r="M4219" s="20" t="str">
        <f t="shared" si="131"/>
        <v>N/A</v>
      </c>
    </row>
    <row r="4220" spans="12:13">
      <c r="L4220" s="20" t="str">
        <f t="shared" si="130"/>
        <v>N/A</v>
      </c>
      <c r="M4220" s="20" t="str">
        <f t="shared" si="131"/>
        <v>N/A</v>
      </c>
    </row>
    <row r="4221" spans="12:13">
      <c r="L4221" s="20" t="str">
        <f t="shared" si="130"/>
        <v>N/A</v>
      </c>
      <c r="M4221" s="20" t="str">
        <f t="shared" si="131"/>
        <v>N/A</v>
      </c>
    </row>
    <row r="4222" spans="12:13">
      <c r="L4222" s="20" t="str">
        <f t="shared" si="130"/>
        <v>N/A</v>
      </c>
      <c r="M4222" s="20" t="str">
        <f t="shared" si="131"/>
        <v>N/A</v>
      </c>
    </row>
    <row r="4223" spans="12:13">
      <c r="L4223" s="20" t="str">
        <f t="shared" si="130"/>
        <v>N/A</v>
      </c>
      <c r="M4223" s="20" t="str">
        <f t="shared" si="131"/>
        <v>N/A</v>
      </c>
    </row>
    <row r="4224" spans="12:13">
      <c r="L4224" s="20" t="str">
        <f t="shared" si="130"/>
        <v>N/A</v>
      </c>
      <c r="M4224" s="20" t="str">
        <f t="shared" si="131"/>
        <v>N/A</v>
      </c>
    </row>
    <row r="4225" spans="12:13">
      <c r="L4225" s="20" t="str">
        <f t="shared" si="130"/>
        <v>N/A</v>
      </c>
      <c r="M4225" s="20" t="str">
        <f t="shared" si="131"/>
        <v>N/A</v>
      </c>
    </row>
    <row r="4226" spans="12:13">
      <c r="L4226" s="20" t="str">
        <f t="shared" si="130"/>
        <v>N/A</v>
      </c>
      <c r="M4226" s="20" t="str">
        <f t="shared" si="131"/>
        <v>N/A</v>
      </c>
    </row>
    <row r="4227" spans="12:13">
      <c r="L4227" s="20" t="str">
        <f t="shared" ref="L4227:L4290" si="132">+IF(LEFT(D4227,1)="1","Asset","N/A")</f>
        <v>N/A</v>
      </c>
      <c r="M4227" s="20" t="str">
        <f t="shared" ref="M4227:M4290" si="133">+IF(L4227="asset",IF(H4227&lt;0,"Provide Comment","okay"),"N/A")</f>
        <v>N/A</v>
      </c>
    </row>
    <row r="4228" spans="12:13">
      <c r="L4228" s="20" t="str">
        <f t="shared" si="132"/>
        <v>N/A</v>
      </c>
      <c r="M4228" s="20" t="str">
        <f t="shared" si="133"/>
        <v>N/A</v>
      </c>
    </row>
    <row r="4229" spans="12:13">
      <c r="L4229" s="20" t="str">
        <f t="shared" si="132"/>
        <v>N/A</v>
      </c>
      <c r="M4229" s="20" t="str">
        <f t="shared" si="133"/>
        <v>N/A</v>
      </c>
    </row>
    <row r="4230" spans="12:13">
      <c r="L4230" s="20" t="str">
        <f t="shared" si="132"/>
        <v>N/A</v>
      </c>
      <c r="M4230" s="20" t="str">
        <f t="shared" si="133"/>
        <v>N/A</v>
      </c>
    </row>
    <row r="4231" spans="12:13">
      <c r="L4231" s="20" t="str">
        <f t="shared" si="132"/>
        <v>N/A</v>
      </c>
      <c r="M4231" s="20" t="str">
        <f t="shared" si="133"/>
        <v>N/A</v>
      </c>
    </row>
    <row r="4232" spans="12:13">
      <c r="L4232" s="20" t="str">
        <f t="shared" si="132"/>
        <v>N/A</v>
      </c>
      <c r="M4232" s="20" t="str">
        <f t="shared" si="133"/>
        <v>N/A</v>
      </c>
    </row>
    <row r="4233" spans="12:13">
      <c r="L4233" s="20" t="str">
        <f t="shared" si="132"/>
        <v>N/A</v>
      </c>
      <c r="M4233" s="20" t="str">
        <f t="shared" si="133"/>
        <v>N/A</v>
      </c>
    </row>
    <row r="4234" spans="12:13">
      <c r="L4234" s="20" t="str">
        <f t="shared" si="132"/>
        <v>N/A</v>
      </c>
      <c r="M4234" s="20" t="str">
        <f t="shared" si="133"/>
        <v>N/A</v>
      </c>
    </row>
    <row r="4235" spans="12:13">
      <c r="L4235" s="20" t="str">
        <f t="shared" si="132"/>
        <v>N/A</v>
      </c>
      <c r="M4235" s="20" t="str">
        <f t="shared" si="133"/>
        <v>N/A</v>
      </c>
    </row>
    <row r="4236" spans="12:13">
      <c r="L4236" s="20" t="str">
        <f t="shared" si="132"/>
        <v>N/A</v>
      </c>
      <c r="M4236" s="20" t="str">
        <f t="shared" si="133"/>
        <v>N/A</v>
      </c>
    </row>
    <row r="4237" spans="12:13">
      <c r="L4237" s="20" t="str">
        <f t="shared" si="132"/>
        <v>N/A</v>
      </c>
      <c r="M4237" s="20" t="str">
        <f t="shared" si="133"/>
        <v>N/A</v>
      </c>
    </row>
    <row r="4238" spans="12:13">
      <c r="L4238" s="20" t="str">
        <f t="shared" si="132"/>
        <v>N/A</v>
      </c>
      <c r="M4238" s="20" t="str">
        <f t="shared" si="133"/>
        <v>N/A</v>
      </c>
    </row>
    <row r="4239" spans="12:13">
      <c r="L4239" s="20" t="str">
        <f t="shared" si="132"/>
        <v>N/A</v>
      </c>
      <c r="M4239" s="20" t="str">
        <f t="shared" si="133"/>
        <v>N/A</v>
      </c>
    </row>
    <row r="4240" spans="12:13">
      <c r="L4240" s="20" t="str">
        <f t="shared" si="132"/>
        <v>N/A</v>
      </c>
      <c r="M4240" s="20" t="str">
        <f t="shared" si="133"/>
        <v>N/A</v>
      </c>
    </row>
    <row r="4241" spans="12:13">
      <c r="L4241" s="20" t="str">
        <f t="shared" si="132"/>
        <v>N/A</v>
      </c>
      <c r="M4241" s="20" t="str">
        <f t="shared" si="133"/>
        <v>N/A</v>
      </c>
    </row>
    <row r="4242" spans="12:13">
      <c r="L4242" s="20" t="str">
        <f t="shared" si="132"/>
        <v>N/A</v>
      </c>
      <c r="M4242" s="20" t="str">
        <f t="shared" si="133"/>
        <v>N/A</v>
      </c>
    </row>
    <row r="4243" spans="12:13">
      <c r="L4243" s="20" t="str">
        <f t="shared" si="132"/>
        <v>N/A</v>
      </c>
      <c r="M4243" s="20" t="str">
        <f t="shared" si="133"/>
        <v>N/A</v>
      </c>
    </row>
    <row r="4244" spans="12:13">
      <c r="L4244" s="20" t="str">
        <f t="shared" si="132"/>
        <v>N/A</v>
      </c>
      <c r="M4244" s="20" t="str">
        <f t="shared" si="133"/>
        <v>N/A</v>
      </c>
    </row>
    <row r="4245" spans="12:13">
      <c r="L4245" s="20" t="str">
        <f t="shared" si="132"/>
        <v>N/A</v>
      </c>
      <c r="M4245" s="20" t="str">
        <f t="shared" si="133"/>
        <v>N/A</v>
      </c>
    </row>
    <row r="4246" spans="12:13">
      <c r="L4246" s="20" t="str">
        <f t="shared" si="132"/>
        <v>N/A</v>
      </c>
      <c r="M4246" s="20" t="str">
        <f t="shared" si="133"/>
        <v>N/A</v>
      </c>
    </row>
    <row r="4247" spans="12:13">
      <c r="L4247" s="20" t="str">
        <f t="shared" si="132"/>
        <v>N/A</v>
      </c>
      <c r="M4247" s="20" t="str">
        <f t="shared" si="133"/>
        <v>N/A</v>
      </c>
    </row>
    <row r="4248" spans="12:13">
      <c r="L4248" s="20" t="str">
        <f t="shared" si="132"/>
        <v>N/A</v>
      </c>
      <c r="M4248" s="20" t="str">
        <f t="shared" si="133"/>
        <v>N/A</v>
      </c>
    </row>
    <row r="4249" spans="12:13">
      <c r="L4249" s="20" t="str">
        <f t="shared" si="132"/>
        <v>N/A</v>
      </c>
      <c r="M4249" s="20" t="str">
        <f t="shared" si="133"/>
        <v>N/A</v>
      </c>
    </row>
    <row r="4250" spans="12:13">
      <c r="L4250" s="20" t="str">
        <f t="shared" si="132"/>
        <v>N/A</v>
      </c>
      <c r="M4250" s="20" t="str">
        <f t="shared" si="133"/>
        <v>N/A</v>
      </c>
    </row>
    <row r="4251" spans="12:13">
      <c r="L4251" s="20" t="str">
        <f t="shared" si="132"/>
        <v>N/A</v>
      </c>
      <c r="M4251" s="20" t="str">
        <f t="shared" si="133"/>
        <v>N/A</v>
      </c>
    </row>
    <row r="4252" spans="12:13">
      <c r="L4252" s="20" t="str">
        <f t="shared" si="132"/>
        <v>N/A</v>
      </c>
      <c r="M4252" s="20" t="str">
        <f t="shared" si="133"/>
        <v>N/A</v>
      </c>
    </row>
    <row r="4253" spans="12:13">
      <c r="L4253" s="20" t="str">
        <f t="shared" si="132"/>
        <v>N/A</v>
      </c>
      <c r="M4253" s="20" t="str">
        <f t="shared" si="133"/>
        <v>N/A</v>
      </c>
    </row>
    <row r="4254" spans="12:13">
      <c r="L4254" s="20" t="str">
        <f t="shared" si="132"/>
        <v>N/A</v>
      </c>
      <c r="M4254" s="20" t="str">
        <f t="shared" si="133"/>
        <v>N/A</v>
      </c>
    </row>
    <row r="4255" spans="12:13">
      <c r="L4255" s="20" t="str">
        <f t="shared" si="132"/>
        <v>N/A</v>
      </c>
      <c r="M4255" s="20" t="str">
        <f t="shared" si="133"/>
        <v>N/A</v>
      </c>
    </row>
    <row r="4256" spans="12:13">
      <c r="L4256" s="20" t="str">
        <f t="shared" si="132"/>
        <v>N/A</v>
      </c>
      <c r="M4256" s="20" t="str">
        <f t="shared" si="133"/>
        <v>N/A</v>
      </c>
    </row>
    <row r="4257" spans="12:13">
      <c r="L4257" s="20" t="str">
        <f t="shared" si="132"/>
        <v>N/A</v>
      </c>
      <c r="M4257" s="20" t="str">
        <f t="shared" si="133"/>
        <v>N/A</v>
      </c>
    </row>
    <row r="4258" spans="12:13">
      <c r="L4258" s="20" t="str">
        <f t="shared" si="132"/>
        <v>N/A</v>
      </c>
      <c r="M4258" s="20" t="str">
        <f t="shared" si="133"/>
        <v>N/A</v>
      </c>
    </row>
    <row r="4259" spans="12:13">
      <c r="L4259" s="20" t="str">
        <f t="shared" si="132"/>
        <v>N/A</v>
      </c>
      <c r="M4259" s="20" t="str">
        <f t="shared" si="133"/>
        <v>N/A</v>
      </c>
    </row>
    <row r="4260" spans="12:13">
      <c r="L4260" s="20" t="str">
        <f t="shared" si="132"/>
        <v>N/A</v>
      </c>
      <c r="M4260" s="20" t="str">
        <f t="shared" si="133"/>
        <v>N/A</v>
      </c>
    </row>
    <row r="4261" spans="12:13">
      <c r="L4261" s="20" t="str">
        <f t="shared" si="132"/>
        <v>N/A</v>
      </c>
      <c r="M4261" s="20" t="str">
        <f t="shared" si="133"/>
        <v>N/A</v>
      </c>
    </row>
    <row r="4262" spans="12:13">
      <c r="L4262" s="20" t="str">
        <f t="shared" si="132"/>
        <v>N/A</v>
      </c>
      <c r="M4262" s="20" t="str">
        <f t="shared" si="133"/>
        <v>N/A</v>
      </c>
    </row>
    <row r="4263" spans="12:13">
      <c r="L4263" s="20" t="str">
        <f t="shared" si="132"/>
        <v>N/A</v>
      </c>
      <c r="M4263" s="20" t="str">
        <f t="shared" si="133"/>
        <v>N/A</v>
      </c>
    </row>
    <row r="4264" spans="12:13">
      <c r="L4264" s="20" t="str">
        <f t="shared" si="132"/>
        <v>N/A</v>
      </c>
      <c r="M4264" s="20" t="str">
        <f t="shared" si="133"/>
        <v>N/A</v>
      </c>
    </row>
    <row r="4265" spans="12:13">
      <c r="L4265" s="20" t="str">
        <f t="shared" si="132"/>
        <v>N/A</v>
      </c>
      <c r="M4265" s="20" t="str">
        <f t="shared" si="133"/>
        <v>N/A</v>
      </c>
    </row>
    <row r="4266" spans="12:13">
      <c r="L4266" s="20" t="str">
        <f t="shared" si="132"/>
        <v>N/A</v>
      </c>
      <c r="M4266" s="20" t="str">
        <f t="shared" si="133"/>
        <v>N/A</v>
      </c>
    </row>
    <row r="4267" spans="12:13">
      <c r="L4267" s="20" t="str">
        <f t="shared" si="132"/>
        <v>N/A</v>
      </c>
      <c r="M4267" s="20" t="str">
        <f t="shared" si="133"/>
        <v>N/A</v>
      </c>
    </row>
    <row r="4268" spans="12:13">
      <c r="L4268" s="20" t="str">
        <f t="shared" si="132"/>
        <v>N/A</v>
      </c>
      <c r="M4268" s="20" t="str">
        <f t="shared" si="133"/>
        <v>N/A</v>
      </c>
    </row>
    <row r="4269" spans="12:13">
      <c r="L4269" s="20" t="str">
        <f t="shared" si="132"/>
        <v>N/A</v>
      </c>
      <c r="M4269" s="20" t="str">
        <f t="shared" si="133"/>
        <v>N/A</v>
      </c>
    </row>
    <row r="4270" spans="12:13">
      <c r="L4270" s="20" t="str">
        <f t="shared" si="132"/>
        <v>N/A</v>
      </c>
      <c r="M4270" s="20" t="str">
        <f t="shared" si="133"/>
        <v>N/A</v>
      </c>
    </row>
    <row r="4271" spans="12:13">
      <c r="L4271" s="20" t="str">
        <f t="shared" si="132"/>
        <v>N/A</v>
      </c>
      <c r="M4271" s="20" t="str">
        <f t="shared" si="133"/>
        <v>N/A</v>
      </c>
    </row>
    <row r="4272" spans="12:13">
      <c r="L4272" s="20" t="str">
        <f t="shared" si="132"/>
        <v>N/A</v>
      </c>
      <c r="M4272" s="20" t="str">
        <f t="shared" si="133"/>
        <v>N/A</v>
      </c>
    </row>
    <row r="4273" spans="12:13">
      <c r="L4273" s="20" t="str">
        <f t="shared" si="132"/>
        <v>N/A</v>
      </c>
      <c r="M4273" s="20" t="str">
        <f t="shared" si="133"/>
        <v>N/A</v>
      </c>
    </row>
    <row r="4274" spans="12:13">
      <c r="L4274" s="20" t="str">
        <f t="shared" si="132"/>
        <v>N/A</v>
      </c>
      <c r="M4274" s="20" t="str">
        <f t="shared" si="133"/>
        <v>N/A</v>
      </c>
    </row>
    <row r="4275" spans="12:13">
      <c r="L4275" s="20" t="str">
        <f t="shared" si="132"/>
        <v>N/A</v>
      </c>
      <c r="M4275" s="20" t="str">
        <f t="shared" si="133"/>
        <v>N/A</v>
      </c>
    </row>
    <row r="4276" spans="12:13">
      <c r="L4276" s="20" t="str">
        <f t="shared" si="132"/>
        <v>N/A</v>
      </c>
      <c r="M4276" s="20" t="str">
        <f t="shared" si="133"/>
        <v>N/A</v>
      </c>
    </row>
    <row r="4277" spans="12:13">
      <c r="L4277" s="20" t="str">
        <f t="shared" si="132"/>
        <v>N/A</v>
      </c>
      <c r="M4277" s="20" t="str">
        <f t="shared" si="133"/>
        <v>N/A</v>
      </c>
    </row>
    <row r="4278" spans="12:13">
      <c r="L4278" s="20" t="str">
        <f t="shared" si="132"/>
        <v>N/A</v>
      </c>
      <c r="M4278" s="20" t="str">
        <f t="shared" si="133"/>
        <v>N/A</v>
      </c>
    </row>
    <row r="4279" spans="12:13">
      <c r="L4279" s="20" t="str">
        <f t="shared" si="132"/>
        <v>N/A</v>
      </c>
      <c r="M4279" s="20" t="str">
        <f t="shared" si="133"/>
        <v>N/A</v>
      </c>
    </row>
    <row r="4280" spans="12:13">
      <c r="L4280" s="20" t="str">
        <f t="shared" si="132"/>
        <v>N/A</v>
      </c>
      <c r="M4280" s="20" t="str">
        <f t="shared" si="133"/>
        <v>N/A</v>
      </c>
    </row>
    <row r="4281" spans="12:13">
      <c r="L4281" s="20" t="str">
        <f t="shared" si="132"/>
        <v>N/A</v>
      </c>
      <c r="M4281" s="20" t="str">
        <f t="shared" si="133"/>
        <v>N/A</v>
      </c>
    </row>
    <row r="4282" spans="12:13">
      <c r="L4282" s="20" t="str">
        <f t="shared" si="132"/>
        <v>N/A</v>
      </c>
      <c r="M4282" s="20" t="str">
        <f t="shared" si="133"/>
        <v>N/A</v>
      </c>
    </row>
    <row r="4283" spans="12:13">
      <c r="L4283" s="20" t="str">
        <f t="shared" si="132"/>
        <v>N/A</v>
      </c>
      <c r="M4283" s="20" t="str">
        <f t="shared" si="133"/>
        <v>N/A</v>
      </c>
    </row>
    <row r="4284" spans="12:13">
      <c r="L4284" s="20" t="str">
        <f t="shared" si="132"/>
        <v>N/A</v>
      </c>
      <c r="M4284" s="20" t="str">
        <f t="shared" si="133"/>
        <v>N/A</v>
      </c>
    </row>
    <row r="4285" spans="12:13">
      <c r="L4285" s="20" t="str">
        <f t="shared" si="132"/>
        <v>N/A</v>
      </c>
      <c r="M4285" s="20" t="str">
        <f t="shared" si="133"/>
        <v>N/A</v>
      </c>
    </row>
    <row r="4286" spans="12:13">
      <c r="L4286" s="20" t="str">
        <f t="shared" si="132"/>
        <v>N/A</v>
      </c>
      <c r="M4286" s="20" t="str">
        <f t="shared" si="133"/>
        <v>N/A</v>
      </c>
    </row>
    <row r="4287" spans="12:13">
      <c r="L4287" s="20" t="str">
        <f t="shared" si="132"/>
        <v>N/A</v>
      </c>
      <c r="M4287" s="20" t="str">
        <f t="shared" si="133"/>
        <v>N/A</v>
      </c>
    </row>
    <row r="4288" spans="12:13">
      <c r="L4288" s="20" t="str">
        <f t="shared" si="132"/>
        <v>N/A</v>
      </c>
      <c r="M4288" s="20" t="str">
        <f t="shared" si="133"/>
        <v>N/A</v>
      </c>
    </row>
    <row r="4289" spans="12:13">
      <c r="L4289" s="20" t="str">
        <f t="shared" si="132"/>
        <v>N/A</v>
      </c>
      <c r="M4289" s="20" t="str">
        <f t="shared" si="133"/>
        <v>N/A</v>
      </c>
    </row>
    <row r="4290" spans="12:13">
      <c r="L4290" s="20" t="str">
        <f t="shared" si="132"/>
        <v>N/A</v>
      </c>
      <c r="M4290" s="20" t="str">
        <f t="shared" si="133"/>
        <v>N/A</v>
      </c>
    </row>
    <row r="4291" spans="12:13">
      <c r="L4291" s="20" t="str">
        <f t="shared" ref="L4291:L4354" si="134">+IF(LEFT(D4291,1)="1","Asset","N/A")</f>
        <v>N/A</v>
      </c>
      <c r="M4291" s="20" t="str">
        <f t="shared" ref="M4291:M4354" si="135">+IF(L4291="asset",IF(H4291&lt;0,"Provide Comment","okay"),"N/A")</f>
        <v>N/A</v>
      </c>
    </row>
    <row r="4292" spans="12:13">
      <c r="L4292" s="20" t="str">
        <f t="shared" si="134"/>
        <v>N/A</v>
      </c>
      <c r="M4292" s="20" t="str">
        <f t="shared" si="135"/>
        <v>N/A</v>
      </c>
    </row>
    <row r="4293" spans="12:13">
      <c r="L4293" s="20" t="str">
        <f t="shared" si="134"/>
        <v>N/A</v>
      </c>
      <c r="M4293" s="20" t="str">
        <f t="shared" si="135"/>
        <v>N/A</v>
      </c>
    </row>
    <row r="4294" spans="12:13">
      <c r="L4294" s="20" t="str">
        <f t="shared" si="134"/>
        <v>N/A</v>
      </c>
      <c r="M4294" s="20" t="str">
        <f t="shared" si="135"/>
        <v>N/A</v>
      </c>
    </row>
    <row r="4295" spans="12:13">
      <c r="L4295" s="20" t="str">
        <f t="shared" si="134"/>
        <v>N/A</v>
      </c>
      <c r="M4295" s="20" t="str">
        <f t="shared" si="135"/>
        <v>N/A</v>
      </c>
    </row>
    <row r="4296" spans="12:13">
      <c r="L4296" s="20" t="str">
        <f t="shared" si="134"/>
        <v>N/A</v>
      </c>
      <c r="M4296" s="20" t="str">
        <f t="shared" si="135"/>
        <v>N/A</v>
      </c>
    </row>
    <row r="4297" spans="12:13">
      <c r="L4297" s="20" t="str">
        <f t="shared" si="134"/>
        <v>N/A</v>
      </c>
      <c r="M4297" s="20" t="str">
        <f t="shared" si="135"/>
        <v>N/A</v>
      </c>
    </row>
    <row r="4298" spans="12:13">
      <c r="L4298" s="20" t="str">
        <f t="shared" si="134"/>
        <v>N/A</v>
      </c>
      <c r="M4298" s="20" t="str">
        <f t="shared" si="135"/>
        <v>N/A</v>
      </c>
    </row>
    <row r="4299" spans="12:13">
      <c r="L4299" s="20" t="str">
        <f t="shared" si="134"/>
        <v>N/A</v>
      </c>
      <c r="M4299" s="20" t="str">
        <f t="shared" si="135"/>
        <v>N/A</v>
      </c>
    </row>
    <row r="4300" spans="12:13">
      <c r="L4300" s="20" t="str">
        <f t="shared" si="134"/>
        <v>N/A</v>
      </c>
      <c r="M4300" s="20" t="str">
        <f t="shared" si="135"/>
        <v>N/A</v>
      </c>
    </row>
    <row r="4301" spans="12:13">
      <c r="L4301" s="20" t="str">
        <f t="shared" si="134"/>
        <v>N/A</v>
      </c>
      <c r="M4301" s="20" t="str">
        <f t="shared" si="135"/>
        <v>N/A</v>
      </c>
    </row>
    <row r="4302" spans="12:13">
      <c r="L4302" s="20" t="str">
        <f t="shared" si="134"/>
        <v>N/A</v>
      </c>
      <c r="M4302" s="20" t="str">
        <f t="shared" si="135"/>
        <v>N/A</v>
      </c>
    </row>
    <row r="4303" spans="12:13">
      <c r="L4303" s="20" t="str">
        <f t="shared" si="134"/>
        <v>N/A</v>
      </c>
      <c r="M4303" s="20" t="str">
        <f t="shared" si="135"/>
        <v>N/A</v>
      </c>
    </row>
    <row r="4304" spans="12:13">
      <c r="L4304" s="20" t="str">
        <f t="shared" si="134"/>
        <v>N/A</v>
      </c>
      <c r="M4304" s="20" t="str">
        <f t="shared" si="135"/>
        <v>N/A</v>
      </c>
    </row>
    <row r="4305" spans="12:13">
      <c r="L4305" s="20" t="str">
        <f t="shared" si="134"/>
        <v>N/A</v>
      </c>
      <c r="M4305" s="20" t="str">
        <f t="shared" si="135"/>
        <v>N/A</v>
      </c>
    </row>
    <row r="4306" spans="12:13">
      <c r="L4306" s="20" t="str">
        <f t="shared" si="134"/>
        <v>N/A</v>
      </c>
      <c r="M4306" s="20" t="str">
        <f t="shared" si="135"/>
        <v>N/A</v>
      </c>
    </row>
    <row r="4307" spans="12:13">
      <c r="L4307" s="20" t="str">
        <f t="shared" si="134"/>
        <v>N/A</v>
      </c>
      <c r="M4307" s="20" t="str">
        <f t="shared" si="135"/>
        <v>N/A</v>
      </c>
    </row>
    <row r="4308" spans="12:13">
      <c r="L4308" s="20" t="str">
        <f t="shared" si="134"/>
        <v>N/A</v>
      </c>
      <c r="M4308" s="20" t="str">
        <f t="shared" si="135"/>
        <v>N/A</v>
      </c>
    </row>
    <row r="4309" spans="12:13">
      <c r="L4309" s="20" t="str">
        <f t="shared" si="134"/>
        <v>N/A</v>
      </c>
      <c r="M4309" s="20" t="str">
        <f t="shared" si="135"/>
        <v>N/A</v>
      </c>
    </row>
    <row r="4310" spans="12:13">
      <c r="L4310" s="20" t="str">
        <f t="shared" si="134"/>
        <v>N/A</v>
      </c>
      <c r="M4310" s="20" t="str">
        <f t="shared" si="135"/>
        <v>N/A</v>
      </c>
    </row>
    <row r="4311" spans="12:13">
      <c r="L4311" s="20" t="str">
        <f t="shared" si="134"/>
        <v>N/A</v>
      </c>
      <c r="M4311" s="20" t="str">
        <f t="shared" si="135"/>
        <v>N/A</v>
      </c>
    </row>
    <row r="4312" spans="12:13">
      <c r="L4312" s="20" t="str">
        <f t="shared" si="134"/>
        <v>N/A</v>
      </c>
      <c r="M4312" s="20" t="str">
        <f t="shared" si="135"/>
        <v>N/A</v>
      </c>
    </row>
    <row r="4313" spans="12:13">
      <c r="L4313" s="20" t="str">
        <f t="shared" si="134"/>
        <v>N/A</v>
      </c>
      <c r="M4313" s="20" t="str">
        <f t="shared" si="135"/>
        <v>N/A</v>
      </c>
    </row>
    <row r="4314" spans="12:13">
      <c r="L4314" s="20" t="str">
        <f t="shared" si="134"/>
        <v>N/A</v>
      </c>
      <c r="M4314" s="20" t="str">
        <f t="shared" si="135"/>
        <v>N/A</v>
      </c>
    </row>
    <row r="4315" spans="12:13">
      <c r="L4315" s="20" t="str">
        <f t="shared" si="134"/>
        <v>N/A</v>
      </c>
      <c r="M4315" s="20" t="str">
        <f t="shared" si="135"/>
        <v>N/A</v>
      </c>
    </row>
    <row r="4316" spans="12:13">
      <c r="L4316" s="20" t="str">
        <f t="shared" si="134"/>
        <v>N/A</v>
      </c>
      <c r="M4316" s="20" t="str">
        <f t="shared" si="135"/>
        <v>N/A</v>
      </c>
    </row>
    <row r="4317" spans="12:13">
      <c r="L4317" s="20" t="str">
        <f t="shared" si="134"/>
        <v>N/A</v>
      </c>
      <c r="M4317" s="20" t="str">
        <f t="shared" si="135"/>
        <v>N/A</v>
      </c>
    </row>
    <row r="4318" spans="12:13">
      <c r="L4318" s="20" t="str">
        <f t="shared" si="134"/>
        <v>N/A</v>
      </c>
      <c r="M4318" s="20" t="str">
        <f t="shared" si="135"/>
        <v>N/A</v>
      </c>
    </row>
    <row r="4319" spans="12:13">
      <c r="L4319" s="20" t="str">
        <f t="shared" si="134"/>
        <v>N/A</v>
      </c>
      <c r="M4319" s="20" t="str">
        <f t="shared" si="135"/>
        <v>N/A</v>
      </c>
    </row>
    <row r="4320" spans="12:13">
      <c r="L4320" s="20" t="str">
        <f t="shared" si="134"/>
        <v>N/A</v>
      </c>
      <c r="M4320" s="20" t="str">
        <f t="shared" si="135"/>
        <v>N/A</v>
      </c>
    </row>
    <row r="4321" spans="12:13">
      <c r="L4321" s="20" t="str">
        <f t="shared" si="134"/>
        <v>N/A</v>
      </c>
      <c r="M4321" s="20" t="str">
        <f t="shared" si="135"/>
        <v>N/A</v>
      </c>
    </row>
    <row r="4322" spans="12:13">
      <c r="L4322" s="20" t="str">
        <f t="shared" si="134"/>
        <v>N/A</v>
      </c>
      <c r="M4322" s="20" t="str">
        <f t="shared" si="135"/>
        <v>N/A</v>
      </c>
    </row>
    <row r="4323" spans="12:13">
      <c r="L4323" s="20" t="str">
        <f t="shared" si="134"/>
        <v>N/A</v>
      </c>
      <c r="M4323" s="20" t="str">
        <f t="shared" si="135"/>
        <v>N/A</v>
      </c>
    </row>
    <row r="4324" spans="12:13">
      <c r="L4324" s="20" t="str">
        <f t="shared" si="134"/>
        <v>N/A</v>
      </c>
      <c r="M4324" s="20" t="str">
        <f t="shared" si="135"/>
        <v>N/A</v>
      </c>
    </row>
    <row r="4325" spans="12:13">
      <c r="L4325" s="20" t="str">
        <f t="shared" si="134"/>
        <v>N/A</v>
      </c>
      <c r="M4325" s="20" t="str">
        <f t="shared" si="135"/>
        <v>N/A</v>
      </c>
    </row>
    <row r="4326" spans="12:13">
      <c r="L4326" s="20" t="str">
        <f t="shared" si="134"/>
        <v>N/A</v>
      </c>
      <c r="M4326" s="20" t="str">
        <f t="shared" si="135"/>
        <v>N/A</v>
      </c>
    </row>
    <row r="4327" spans="12:13">
      <c r="L4327" s="20" t="str">
        <f t="shared" si="134"/>
        <v>N/A</v>
      </c>
      <c r="M4327" s="20" t="str">
        <f t="shared" si="135"/>
        <v>N/A</v>
      </c>
    </row>
    <row r="4328" spans="12:13">
      <c r="L4328" s="20" t="str">
        <f t="shared" si="134"/>
        <v>N/A</v>
      </c>
      <c r="M4328" s="20" t="str">
        <f t="shared" si="135"/>
        <v>N/A</v>
      </c>
    </row>
    <row r="4329" spans="12:13">
      <c r="L4329" s="20" t="str">
        <f t="shared" si="134"/>
        <v>N/A</v>
      </c>
      <c r="M4329" s="20" t="str">
        <f t="shared" si="135"/>
        <v>N/A</v>
      </c>
    </row>
    <row r="4330" spans="12:13">
      <c r="L4330" s="20" t="str">
        <f t="shared" si="134"/>
        <v>N/A</v>
      </c>
      <c r="M4330" s="20" t="str">
        <f t="shared" si="135"/>
        <v>N/A</v>
      </c>
    </row>
    <row r="4331" spans="12:13">
      <c r="L4331" s="20" t="str">
        <f t="shared" si="134"/>
        <v>N/A</v>
      </c>
      <c r="M4331" s="20" t="str">
        <f t="shared" si="135"/>
        <v>N/A</v>
      </c>
    </row>
    <row r="4332" spans="12:13">
      <c r="L4332" s="20" t="str">
        <f t="shared" si="134"/>
        <v>N/A</v>
      </c>
      <c r="M4332" s="20" t="str">
        <f t="shared" si="135"/>
        <v>N/A</v>
      </c>
    </row>
    <row r="4333" spans="12:13">
      <c r="L4333" s="20" t="str">
        <f t="shared" si="134"/>
        <v>N/A</v>
      </c>
      <c r="M4333" s="20" t="str">
        <f t="shared" si="135"/>
        <v>N/A</v>
      </c>
    </row>
    <row r="4334" spans="12:13">
      <c r="L4334" s="20" t="str">
        <f t="shared" si="134"/>
        <v>N/A</v>
      </c>
      <c r="M4334" s="20" t="str">
        <f t="shared" si="135"/>
        <v>N/A</v>
      </c>
    </row>
    <row r="4335" spans="12:13">
      <c r="L4335" s="20" t="str">
        <f t="shared" si="134"/>
        <v>N/A</v>
      </c>
      <c r="M4335" s="20" t="str">
        <f t="shared" si="135"/>
        <v>N/A</v>
      </c>
    </row>
    <row r="4336" spans="12:13">
      <c r="L4336" s="20" t="str">
        <f t="shared" si="134"/>
        <v>N/A</v>
      </c>
      <c r="M4336" s="20" t="str">
        <f t="shared" si="135"/>
        <v>N/A</v>
      </c>
    </row>
    <row r="4337" spans="12:13">
      <c r="L4337" s="20" t="str">
        <f t="shared" si="134"/>
        <v>N/A</v>
      </c>
      <c r="M4337" s="20" t="str">
        <f t="shared" si="135"/>
        <v>N/A</v>
      </c>
    </row>
    <row r="4338" spans="12:13">
      <c r="L4338" s="20" t="str">
        <f t="shared" si="134"/>
        <v>N/A</v>
      </c>
      <c r="M4338" s="20" t="str">
        <f t="shared" si="135"/>
        <v>N/A</v>
      </c>
    </row>
    <row r="4339" spans="12:13">
      <c r="L4339" s="20" t="str">
        <f t="shared" si="134"/>
        <v>N/A</v>
      </c>
      <c r="M4339" s="20" t="str">
        <f t="shared" si="135"/>
        <v>N/A</v>
      </c>
    </row>
    <row r="4340" spans="12:13">
      <c r="L4340" s="20" t="str">
        <f t="shared" si="134"/>
        <v>N/A</v>
      </c>
      <c r="M4340" s="20" t="str">
        <f t="shared" si="135"/>
        <v>N/A</v>
      </c>
    </row>
    <row r="4341" spans="12:13">
      <c r="L4341" s="20" t="str">
        <f t="shared" si="134"/>
        <v>N/A</v>
      </c>
      <c r="M4341" s="20" t="str">
        <f t="shared" si="135"/>
        <v>N/A</v>
      </c>
    </row>
    <row r="4342" spans="12:13">
      <c r="L4342" s="20" t="str">
        <f t="shared" si="134"/>
        <v>N/A</v>
      </c>
      <c r="M4342" s="20" t="str">
        <f t="shared" si="135"/>
        <v>N/A</v>
      </c>
    </row>
    <row r="4343" spans="12:13">
      <c r="L4343" s="20" t="str">
        <f t="shared" si="134"/>
        <v>N/A</v>
      </c>
      <c r="M4343" s="20" t="str">
        <f t="shared" si="135"/>
        <v>N/A</v>
      </c>
    </row>
    <row r="4344" spans="12:13">
      <c r="L4344" s="20" t="str">
        <f t="shared" si="134"/>
        <v>N/A</v>
      </c>
      <c r="M4344" s="20" t="str">
        <f t="shared" si="135"/>
        <v>N/A</v>
      </c>
    </row>
    <row r="4345" spans="12:13">
      <c r="L4345" s="20" t="str">
        <f t="shared" si="134"/>
        <v>N/A</v>
      </c>
      <c r="M4345" s="20" t="str">
        <f t="shared" si="135"/>
        <v>N/A</v>
      </c>
    </row>
    <row r="4346" spans="12:13">
      <c r="L4346" s="20" t="str">
        <f t="shared" si="134"/>
        <v>N/A</v>
      </c>
      <c r="M4346" s="20" t="str">
        <f t="shared" si="135"/>
        <v>N/A</v>
      </c>
    </row>
    <row r="4347" spans="12:13">
      <c r="L4347" s="20" t="str">
        <f t="shared" si="134"/>
        <v>N/A</v>
      </c>
      <c r="M4347" s="20" t="str">
        <f t="shared" si="135"/>
        <v>N/A</v>
      </c>
    </row>
    <row r="4348" spans="12:13">
      <c r="L4348" s="20" t="str">
        <f t="shared" si="134"/>
        <v>N/A</v>
      </c>
      <c r="M4348" s="20" t="str">
        <f t="shared" si="135"/>
        <v>N/A</v>
      </c>
    </row>
    <row r="4349" spans="12:13">
      <c r="L4349" s="20" t="str">
        <f t="shared" si="134"/>
        <v>N/A</v>
      </c>
      <c r="M4349" s="20" t="str">
        <f t="shared" si="135"/>
        <v>N/A</v>
      </c>
    </row>
    <row r="4350" spans="12:13">
      <c r="L4350" s="20" t="str">
        <f t="shared" si="134"/>
        <v>N/A</v>
      </c>
      <c r="M4350" s="20" t="str">
        <f t="shared" si="135"/>
        <v>N/A</v>
      </c>
    </row>
    <row r="4351" spans="12:13">
      <c r="L4351" s="20" t="str">
        <f t="shared" si="134"/>
        <v>N/A</v>
      </c>
      <c r="M4351" s="20" t="str">
        <f t="shared" si="135"/>
        <v>N/A</v>
      </c>
    </row>
    <row r="4352" spans="12:13">
      <c r="L4352" s="20" t="str">
        <f t="shared" si="134"/>
        <v>N/A</v>
      </c>
      <c r="M4352" s="20" t="str">
        <f t="shared" si="135"/>
        <v>N/A</v>
      </c>
    </row>
    <row r="4353" spans="12:13">
      <c r="L4353" s="20" t="str">
        <f t="shared" si="134"/>
        <v>N/A</v>
      </c>
      <c r="M4353" s="20" t="str">
        <f t="shared" si="135"/>
        <v>N/A</v>
      </c>
    </row>
    <row r="4354" spans="12:13">
      <c r="L4354" s="20" t="str">
        <f t="shared" si="134"/>
        <v>N/A</v>
      </c>
      <c r="M4354" s="20" t="str">
        <f t="shared" si="135"/>
        <v>N/A</v>
      </c>
    </row>
    <row r="4355" spans="12:13">
      <c r="L4355" s="20" t="str">
        <f t="shared" ref="L4355:L4418" si="136">+IF(LEFT(D4355,1)="1","Asset","N/A")</f>
        <v>N/A</v>
      </c>
      <c r="M4355" s="20" t="str">
        <f t="shared" ref="M4355:M4418" si="137">+IF(L4355="asset",IF(H4355&lt;0,"Provide Comment","okay"),"N/A")</f>
        <v>N/A</v>
      </c>
    </row>
    <row r="4356" spans="12:13">
      <c r="L4356" s="20" t="str">
        <f t="shared" si="136"/>
        <v>N/A</v>
      </c>
      <c r="M4356" s="20" t="str">
        <f t="shared" si="137"/>
        <v>N/A</v>
      </c>
    </row>
    <row r="4357" spans="12:13">
      <c r="L4357" s="20" t="str">
        <f t="shared" si="136"/>
        <v>N/A</v>
      </c>
      <c r="M4357" s="20" t="str">
        <f t="shared" si="137"/>
        <v>N/A</v>
      </c>
    </row>
    <row r="4358" spans="12:13">
      <c r="L4358" s="20" t="str">
        <f t="shared" si="136"/>
        <v>N/A</v>
      </c>
      <c r="M4358" s="20" t="str">
        <f t="shared" si="137"/>
        <v>N/A</v>
      </c>
    </row>
    <row r="4359" spans="12:13">
      <c r="L4359" s="20" t="str">
        <f t="shared" si="136"/>
        <v>N/A</v>
      </c>
      <c r="M4359" s="20" t="str">
        <f t="shared" si="137"/>
        <v>N/A</v>
      </c>
    </row>
    <row r="4360" spans="12:13">
      <c r="L4360" s="20" t="str">
        <f t="shared" si="136"/>
        <v>N/A</v>
      </c>
      <c r="M4360" s="20" t="str">
        <f t="shared" si="137"/>
        <v>N/A</v>
      </c>
    </row>
    <row r="4361" spans="12:13">
      <c r="L4361" s="20" t="str">
        <f t="shared" si="136"/>
        <v>N/A</v>
      </c>
      <c r="M4361" s="20" t="str">
        <f t="shared" si="137"/>
        <v>N/A</v>
      </c>
    </row>
    <row r="4362" spans="12:13">
      <c r="L4362" s="20" t="str">
        <f t="shared" si="136"/>
        <v>N/A</v>
      </c>
      <c r="M4362" s="20" t="str">
        <f t="shared" si="137"/>
        <v>N/A</v>
      </c>
    </row>
    <row r="4363" spans="12:13">
      <c r="L4363" s="20" t="str">
        <f t="shared" si="136"/>
        <v>N/A</v>
      </c>
      <c r="M4363" s="20" t="str">
        <f t="shared" si="137"/>
        <v>N/A</v>
      </c>
    </row>
    <row r="4364" spans="12:13">
      <c r="L4364" s="20" t="str">
        <f t="shared" si="136"/>
        <v>N/A</v>
      </c>
      <c r="M4364" s="20" t="str">
        <f t="shared" si="137"/>
        <v>N/A</v>
      </c>
    </row>
    <row r="4365" spans="12:13">
      <c r="L4365" s="20" t="str">
        <f t="shared" si="136"/>
        <v>N/A</v>
      </c>
      <c r="M4365" s="20" t="str">
        <f t="shared" si="137"/>
        <v>N/A</v>
      </c>
    </row>
    <row r="4366" spans="12:13">
      <c r="L4366" s="20" t="str">
        <f t="shared" si="136"/>
        <v>N/A</v>
      </c>
      <c r="M4366" s="20" t="str">
        <f t="shared" si="137"/>
        <v>N/A</v>
      </c>
    </row>
    <row r="4367" spans="12:13">
      <c r="L4367" s="20" t="str">
        <f t="shared" si="136"/>
        <v>N/A</v>
      </c>
      <c r="M4367" s="20" t="str">
        <f t="shared" si="137"/>
        <v>N/A</v>
      </c>
    </row>
    <row r="4368" spans="12:13">
      <c r="L4368" s="20" t="str">
        <f t="shared" si="136"/>
        <v>N/A</v>
      </c>
      <c r="M4368" s="20" t="str">
        <f t="shared" si="137"/>
        <v>N/A</v>
      </c>
    </row>
    <row r="4369" spans="12:13">
      <c r="L4369" s="20" t="str">
        <f t="shared" si="136"/>
        <v>N/A</v>
      </c>
      <c r="M4369" s="20" t="str">
        <f t="shared" si="137"/>
        <v>N/A</v>
      </c>
    </row>
    <row r="4370" spans="12:13">
      <c r="L4370" s="20" t="str">
        <f t="shared" si="136"/>
        <v>N/A</v>
      </c>
      <c r="M4370" s="20" t="str">
        <f t="shared" si="137"/>
        <v>N/A</v>
      </c>
    </row>
    <row r="4371" spans="12:13">
      <c r="L4371" s="20" t="str">
        <f t="shared" si="136"/>
        <v>N/A</v>
      </c>
      <c r="M4371" s="20" t="str">
        <f t="shared" si="137"/>
        <v>N/A</v>
      </c>
    </row>
    <row r="4372" spans="12:13">
      <c r="L4372" s="20" t="str">
        <f t="shared" si="136"/>
        <v>N/A</v>
      </c>
      <c r="M4372" s="20" t="str">
        <f t="shared" si="137"/>
        <v>N/A</v>
      </c>
    </row>
    <row r="4373" spans="12:13">
      <c r="L4373" s="20" t="str">
        <f t="shared" si="136"/>
        <v>N/A</v>
      </c>
      <c r="M4373" s="20" t="str">
        <f t="shared" si="137"/>
        <v>N/A</v>
      </c>
    </row>
    <row r="4374" spans="12:13">
      <c r="L4374" s="20" t="str">
        <f t="shared" si="136"/>
        <v>N/A</v>
      </c>
      <c r="M4374" s="20" t="str">
        <f t="shared" si="137"/>
        <v>N/A</v>
      </c>
    </row>
    <row r="4375" spans="12:13">
      <c r="L4375" s="20" t="str">
        <f t="shared" si="136"/>
        <v>N/A</v>
      </c>
      <c r="M4375" s="20" t="str">
        <f t="shared" si="137"/>
        <v>N/A</v>
      </c>
    </row>
    <row r="4376" spans="12:13">
      <c r="L4376" s="20" t="str">
        <f t="shared" si="136"/>
        <v>N/A</v>
      </c>
      <c r="M4376" s="20" t="str">
        <f t="shared" si="137"/>
        <v>N/A</v>
      </c>
    </row>
    <row r="4377" spans="12:13">
      <c r="L4377" s="20" t="str">
        <f t="shared" si="136"/>
        <v>N/A</v>
      </c>
      <c r="M4377" s="20" t="str">
        <f t="shared" si="137"/>
        <v>N/A</v>
      </c>
    </row>
    <row r="4378" spans="12:13">
      <c r="L4378" s="20" t="str">
        <f t="shared" si="136"/>
        <v>N/A</v>
      </c>
      <c r="M4378" s="20" t="str">
        <f t="shared" si="137"/>
        <v>N/A</v>
      </c>
    </row>
    <row r="4379" spans="12:13">
      <c r="L4379" s="20" t="str">
        <f t="shared" si="136"/>
        <v>N/A</v>
      </c>
      <c r="M4379" s="20" t="str">
        <f t="shared" si="137"/>
        <v>N/A</v>
      </c>
    </row>
    <row r="4380" spans="12:13">
      <c r="L4380" s="20" t="str">
        <f t="shared" si="136"/>
        <v>N/A</v>
      </c>
      <c r="M4380" s="20" t="str">
        <f t="shared" si="137"/>
        <v>N/A</v>
      </c>
    </row>
    <row r="4381" spans="12:13">
      <c r="L4381" s="20" t="str">
        <f t="shared" si="136"/>
        <v>N/A</v>
      </c>
      <c r="M4381" s="20" t="str">
        <f t="shared" si="137"/>
        <v>N/A</v>
      </c>
    </row>
    <row r="4382" spans="12:13">
      <c r="L4382" s="20" t="str">
        <f t="shared" si="136"/>
        <v>N/A</v>
      </c>
      <c r="M4382" s="20" t="str">
        <f t="shared" si="137"/>
        <v>N/A</v>
      </c>
    </row>
    <row r="4383" spans="12:13">
      <c r="L4383" s="20" t="str">
        <f t="shared" si="136"/>
        <v>N/A</v>
      </c>
      <c r="M4383" s="20" t="str">
        <f t="shared" si="137"/>
        <v>N/A</v>
      </c>
    </row>
    <row r="4384" spans="12:13">
      <c r="L4384" s="20" t="str">
        <f t="shared" si="136"/>
        <v>N/A</v>
      </c>
      <c r="M4384" s="20" t="str">
        <f t="shared" si="137"/>
        <v>N/A</v>
      </c>
    </row>
    <row r="4385" spans="12:13">
      <c r="L4385" s="20" t="str">
        <f t="shared" si="136"/>
        <v>N/A</v>
      </c>
      <c r="M4385" s="20" t="str">
        <f t="shared" si="137"/>
        <v>N/A</v>
      </c>
    </row>
    <row r="4386" spans="12:13">
      <c r="L4386" s="20" t="str">
        <f t="shared" si="136"/>
        <v>N/A</v>
      </c>
      <c r="M4386" s="20" t="str">
        <f t="shared" si="137"/>
        <v>N/A</v>
      </c>
    </row>
    <row r="4387" spans="12:13">
      <c r="L4387" s="20" t="str">
        <f t="shared" si="136"/>
        <v>N/A</v>
      </c>
      <c r="M4387" s="20" t="str">
        <f t="shared" si="137"/>
        <v>N/A</v>
      </c>
    </row>
    <row r="4388" spans="12:13">
      <c r="L4388" s="20" t="str">
        <f t="shared" si="136"/>
        <v>N/A</v>
      </c>
      <c r="M4388" s="20" t="str">
        <f t="shared" si="137"/>
        <v>N/A</v>
      </c>
    </row>
    <row r="4389" spans="12:13">
      <c r="L4389" s="20" t="str">
        <f t="shared" si="136"/>
        <v>N/A</v>
      </c>
      <c r="M4389" s="20" t="str">
        <f t="shared" si="137"/>
        <v>N/A</v>
      </c>
    </row>
    <row r="4390" spans="12:13">
      <c r="L4390" s="20" t="str">
        <f t="shared" si="136"/>
        <v>N/A</v>
      </c>
      <c r="M4390" s="20" t="str">
        <f t="shared" si="137"/>
        <v>N/A</v>
      </c>
    </row>
    <row r="4391" spans="12:13">
      <c r="L4391" s="20" t="str">
        <f t="shared" si="136"/>
        <v>N/A</v>
      </c>
      <c r="M4391" s="20" t="str">
        <f t="shared" si="137"/>
        <v>N/A</v>
      </c>
    </row>
    <row r="4392" spans="12:13">
      <c r="L4392" s="20" t="str">
        <f t="shared" si="136"/>
        <v>N/A</v>
      </c>
      <c r="M4392" s="20" t="str">
        <f t="shared" si="137"/>
        <v>N/A</v>
      </c>
    </row>
    <row r="4393" spans="12:13">
      <c r="L4393" s="20" t="str">
        <f t="shared" si="136"/>
        <v>N/A</v>
      </c>
      <c r="M4393" s="20" t="str">
        <f t="shared" si="137"/>
        <v>N/A</v>
      </c>
    </row>
    <row r="4394" spans="12:13">
      <c r="L4394" s="20" t="str">
        <f t="shared" si="136"/>
        <v>N/A</v>
      </c>
      <c r="M4394" s="20" t="str">
        <f t="shared" si="137"/>
        <v>N/A</v>
      </c>
    </row>
    <row r="4395" spans="12:13">
      <c r="L4395" s="20" t="str">
        <f t="shared" si="136"/>
        <v>N/A</v>
      </c>
      <c r="M4395" s="20" t="str">
        <f t="shared" si="137"/>
        <v>N/A</v>
      </c>
    </row>
    <row r="4396" spans="12:13">
      <c r="L4396" s="20" t="str">
        <f t="shared" si="136"/>
        <v>N/A</v>
      </c>
      <c r="M4396" s="20" t="str">
        <f t="shared" si="137"/>
        <v>N/A</v>
      </c>
    </row>
    <row r="4397" spans="12:13">
      <c r="L4397" s="20" t="str">
        <f t="shared" si="136"/>
        <v>N/A</v>
      </c>
      <c r="M4397" s="20" t="str">
        <f t="shared" si="137"/>
        <v>N/A</v>
      </c>
    </row>
    <row r="4398" spans="12:13">
      <c r="L4398" s="20" t="str">
        <f t="shared" si="136"/>
        <v>N/A</v>
      </c>
      <c r="M4398" s="20" t="str">
        <f t="shared" si="137"/>
        <v>N/A</v>
      </c>
    </row>
    <row r="4399" spans="12:13">
      <c r="L4399" s="20" t="str">
        <f t="shared" si="136"/>
        <v>N/A</v>
      </c>
      <c r="M4399" s="20" t="str">
        <f t="shared" si="137"/>
        <v>N/A</v>
      </c>
    </row>
    <row r="4400" spans="12:13">
      <c r="L4400" s="20" t="str">
        <f t="shared" si="136"/>
        <v>N/A</v>
      </c>
      <c r="M4400" s="20" t="str">
        <f t="shared" si="137"/>
        <v>N/A</v>
      </c>
    </row>
    <row r="4401" spans="12:13">
      <c r="L4401" s="20" t="str">
        <f t="shared" si="136"/>
        <v>N/A</v>
      </c>
      <c r="M4401" s="20" t="str">
        <f t="shared" si="137"/>
        <v>N/A</v>
      </c>
    </row>
    <row r="4402" spans="12:13">
      <c r="L4402" s="20" t="str">
        <f t="shared" si="136"/>
        <v>N/A</v>
      </c>
      <c r="M4402" s="20" t="str">
        <f t="shared" si="137"/>
        <v>N/A</v>
      </c>
    </row>
    <row r="4403" spans="12:13">
      <c r="L4403" s="20" t="str">
        <f t="shared" si="136"/>
        <v>N/A</v>
      </c>
      <c r="M4403" s="20" t="str">
        <f t="shared" si="137"/>
        <v>N/A</v>
      </c>
    </row>
    <row r="4404" spans="12:13">
      <c r="L4404" s="20" t="str">
        <f t="shared" si="136"/>
        <v>N/A</v>
      </c>
      <c r="M4404" s="20" t="str">
        <f t="shared" si="137"/>
        <v>N/A</v>
      </c>
    </row>
    <row r="4405" spans="12:13">
      <c r="L4405" s="20" t="str">
        <f t="shared" si="136"/>
        <v>N/A</v>
      </c>
      <c r="M4405" s="20" t="str">
        <f t="shared" si="137"/>
        <v>N/A</v>
      </c>
    </row>
    <row r="4406" spans="12:13">
      <c r="L4406" s="20" t="str">
        <f t="shared" si="136"/>
        <v>N/A</v>
      </c>
      <c r="M4406" s="20" t="str">
        <f t="shared" si="137"/>
        <v>N/A</v>
      </c>
    </row>
    <row r="4407" spans="12:13">
      <c r="L4407" s="20" t="str">
        <f t="shared" si="136"/>
        <v>N/A</v>
      </c>
      <c r="M4407" s="20" t="str">
        <f t="shared" si="137"/>
        <v>N/A</v>
      </c>
    </row>
    <row r="4408" spans="12:13">
      <c r="L4408" s="20" t="str">
        <f t="shared" si="136"/>
        <v>N/A</v>
      </c>
      <c r="M4408" s="20" t="str">
        <f t="shared" si="137"/>
        <v>N/A</v>
      </c>
    </row>
    <row r="4409" spans="12:13">
      <c r="L4409" s="20" t="str">
        <f t="shared" si="136"/>
        <v>N/A</v>
      </c>
      <c r="M4409" s="20" t="str">
        <f t="shared" si="137"/>
        <v>N/A</v>
      </c>
    </row>
    <row r="4410" spans="12:13">
      <c r="L4410" s="20" t="str">
        <f t="shared" si="136"/>
        <v>N/A</v>
      </c>
      <c r="M4410" s="20" t="str">
        <f t="shared" si="137"/>
        <v>N/A</v>
      </c>
    </row>
    <row r="4411" spans="12:13">
      <c r="L4411" s="20" t="str">
        <f t="shared" si="136"/>
        <v>N/A</v>
      </c>
      <c r="M4411" s="20" t="str">
        <f t="shared" si="137"/>
        <v>N/A</v>
      </c>
    </row>
    <row r="4412" spans="12:13">
      <c r="L4412" s="20" t="str">
        <f t="shared" si="136"/>
        <v>N/A</v>
      </c>
      <c r="M4412" s="20" t="str">
        <f t="shared" si="137"/>
        <v>N/A</v>
      </c>
    </row>
    <row r="4413" spans="12:13">
      <c r="L4413" s="20" t="str">
        <f t="shared" si="136"/>
        <v>N/A</v>
      </c>
      <c r="M4413" s="20" t="str">
        <f t="shared" si="137"/>
        <v>N/A</v>
      </c>
    </row>
    <row r="4414" spans="12:13">
      <c r="L4414" s="20" t="str">
        <f t="shared" si="136"/>
        <v>N/A</v>
      </c>
      <c r="M4414" s="20" t="str">
        <f t="shared" si="137"/>
        <v>N/A</v>
      </c>
    </row>
    <row r="4415" spans="12:13">
      <c r="L4415" s="20" t="str">
        <f t="shared" si="136"/>
        <v>N/A</v>
      </c>
      <c r="M4415" s="20" t="str">
        <f t="shared" si="137"/>
        <v>N/A</v>
      </c>
    </row>
    <row r="4416" spans="12:13">
      <c r="L4416" s="20" t="str">
        <f t="shared" si="136"/>
        <v>N/A</v>
      </c>
      <c r="M4416" s="20" t="str">
        <f t="shared" si="137"/>
        <v>N/A</v>
      </c>
    </row>
    <row r="4417" spans="12:13">
      <c r="L4417" s="20" t="str">
        <f t="shared" si="136"/>
        <v>N/A</v>
      </c>
      <c r="M4417" s="20" t="str">
        <f t="shared" si="137"/>
        <v>N/A</v>
      </c>
    </row>
    <row r="4418" spans="12:13">
      <c r="L4418" s="20" t="str">
        <f t="shared" si="136"/>
        <v>N/A</v>
      </c>
      <c r="M4418" s="20" t="str">
        <f t="shared" si="137"/>
        <v>N/A</v>
      </c>
    </row>
    <row r="4419" spans="12:13">
      <c r="L4419" s="20" t="str">
        <f t="shared" ref="L4419:L4482" si="138">+IF(LEFT(D4419,1)="1","Asset","N/A")</f>
        <v>N/A</v>
      </c>
      <c r="M4419" s="20" t="str">
        <f t="shared" ref="M4419:M4482" si="139">+IF(L4419="asset",IF(H4419&lt;0,"Provide Comment","okay"),"N/A")</f>
        <v>N/A</v>
      </c>
    </row>
    <row r="4420" spans="12:13">
      <c r="L4420" s="20" t="str">
        <f t="shared" si="138"/>
        <v>N/A</v>
      </c>
      <c r="M4420" s="20" t="str">
        <f t="shared" si="139"/>
        <v>N/A</v>
      </c>
    </row>
    <row r="4421" spans="12:13">
      <c r="L4421" s="20" t="str">
        <f t="shared" si="138"/>
        <v>N/A</v>
      </c>
      <c r="M4421" s="20" t="str">
        <f t="shared" si="139"/>
        <v>N/A</v>
      </c>
    </row>
    <row r="4422" spans="12:13">
      <c r="L4422" s="20" t="str">
        <f t="shared" si="138"/>
        <v>N/A</v>
      </c>
      <c r="M4422" s="20" t="str">
        <f t="shared" si="139"/>
        <v>N/A</v>
      </c>
    </row>
    <row r="4423" spans="12:13">
      <c r="L4423" s="20" t="str">
        <f t="shared" si="138"/>
        <v>N/A</v>
      </c>
      <c r="M4423" s="20" t="str">
        <f t="shared" si="139"/>
        <v>N/A</v>
      </c>
    </row>
    <row r="4424" spans="12:13">
      <c r="L4424" s="20" t="str">
        <f t="shared" si="138"/>
        <v>N/A</v>
      </c>
      <c r="M4424" s="20" t="str">
        <f t="shared" si="139"/>
        <v>N/A</v>
      </c>
    </row>
    <row r="4425" spans="12:13">
      <c r="L4425" s="20" t="str">
        <f t="shared" si="138"/>
        <v>N/A</v>
      </c>
      <c r="M4425" s="20" t="str">
        <f t="shared" si="139"/>
        <v>N/A</v>
      </c>
    </row>
    <row r="4426" spans="12:13">
      <c r="L4426" s="20" t="str">
        <f t="shared" si="138"/>
        <v>N/A</v>
      </c>
      <c r="M4426" s="20" t="str">
        <f t="shared" si="139"/>
        <v>N/A</v>
      </c>
    </row>
    <row r="4427" spans="12:13">
      <c r="L4427" s="20" t="str">
        <f t="shared" si="138"/>
        <v>N/A</v>
      </c>
      <c r="M4427" s="20" t="str">
        <f t="shared" si="139"/>
        <v>N/A</v>
      </c>
    </row>
    <row r="4428" spans="12:13">
      <c r="L4428" s="20" t="str">
        <f t="shared" si="138"/>
        <v>N/A</v>
      </c>
      <c r="M4428" s="20" t="str">
        <f t="shared" si="139"/>
        <v>N/A</v>
      </c>
    </row>
    <row r="4429" spans="12:13">
      <c r="L4429" s="20" t="str">
        <f t="shared" si="138"/>
        <v>N/A</v>
      </c>
      <c r="M4429" s="20" t="str">
        <f t="shared" si="139"/>
        <v>N/A</v>
      </c>
    </row>
    <row r="4430" spans="12:13">
      <c r="L4430" s="20" t="str">
        <f t="shared" si="138"/>
        <v>N/A</v>
      </c>
      <c r="M4430" s="20" t="str">
        <f t="shared" si="139"/>
        <v>N/A</v>
      </c>
    </row>
    <row r="4431" spans="12:13">
      <c r="L4431" s="20" t="str">
        <f t="shared" si="138"/>
        <v>N/A</v>
      </c>
      <c r="M4431" s="20" t="str">
        <f t="shared" si="139"/>
        <v>N/A</v>
      </c>
    </row>
    <row r="4432" spans="12:13">
      <c r="L4432" s="20" t="str">
        <f t="shared" si="138"/>
        <v>N/A</v>
      </c>
      <c r="M4432" s="20" t="str">
        <f t="shared" si="139"/>
        <v>N/A</v>
      </c>
    </row>
    <row r="4433" spans="12:13">
      <c r="L4433" s="20" t="str">
        <f t="shared" si="138"/>
        <v>N/A</v>
      </c>
      <c r="M4433" s="20" t="str">
        <f t="shared" si="139"/>
        <v>N/A</v>
      </c>
    </row>
    <row r="4434" spans="12:13">
      <c r="L4434" s="20" t="str">
        <f t="shared" si="138"/>
        <v>N/A</v>
      </c>
      <c r="M4434" s="20" t="str">
        <f t="shared" si="139"/>
        <v>N/A</v>
      </c>
    </row>
    <row r="4435" spans="12:13">
      <c r="L4435" s="20" t="str">
        <f t="shared" si="138"/>
        <v>N/A</v>
      </c>
      <c r="M4435" s="20" t="str">
        <f t="shared" si="139"/>
        <v>N/A</v>
      </c>
    </row>
    <row r="4436" spans="12:13">
      <c r="L4436" s="20" t="str">
        <f t="shared" si="138"/>
        <v>N/A</v>
      </c>
      <c r="M4436" s="20" t="str">
        <f t="shared" si="139"/>
        <v>N/A</v>
      </c>
    </row>
    <row r="4437" spans="12:13">
      <c r="L4437" s="20" t="str">
        <f t="shared" si="138"/>
        <v>N/A</v>
      </c>
      <c r="M4437" s="20" t="str">
        <f t="shared" si="139"/>
        <v>N/A</v>
      </c>
    </row>
    <row r="4438" spans="12:13">
      <c r="L4438" s="20" t="str">
        <f t="shared" si="138"/>
        <v>N/A</v>
      </c>
      <c r="M4438" s="20" t="str">
        <f t="shared" si="139"/>
        <v>N/A</v>
      </c>
    </row>
    <row r="4439" spans="12:13">
      <c r="L4439" s="20" t="str">
        <f t="shared" si="138"/>
        <v>N/A</v>
      </c>
      <c r="M4439" s="20" t="str">
        <f t="shared" si="139"/>
        <v>N/A</v>
      </c>
    </row>
    <row r="4440" spans="12:13">
      <c r="L4440" s="20" t="str">
        <f t="shared" si="138"/>
        <v>N/A</v>
      </c>
      <c r="M4440" s="20" t="str">
        <f t="shared" si="139"/>
        <v>N/A</v>
      </c>
    </row>
    <row r="4441" spans="12:13">
      <c r="L4441" s="20" t="str">
        <f t="shared" si="138"/>
        <v>N/A</v>
      </c>
      <c r="M4441" s="20" t="str">
        <f t="shared" si="139"/>
        <v>N/A</v>
      </c>
    </row>
    <row r="4442" spans="12:13">
      <c r="L4442" s="20" t="str">
        <f t="shared" si="138"/>
        <v>N/A</v>
      </c>
      <c r="M4442" s="20" t="str">
        <f t="shared" si="139"/>
        <v>N/A</v>
      </c>
    </row>
    <row r="4443" spans="12:13">
      <c r="L4443" s="20" t="str">
        <f t="shared" si="138"/>
        <v>N/A</v>
      </c>
      <c r="M4443" s="20" t="str">
        <f t="shared" si="139"/>
        <v>N/A</v>
      </c>
    </row>
    <row r="4444" spans="12:13">
      <c r="L4444" s="20" t="str">
        <f t="shared" si="138"/>
        <v>N/A</v>
      </c>
      <c r="M4444" s="20" t="str">
        <f t="shared" si="139"/>
        <v>N/A</v>
      </c>
    </row>
    <row r="4445" spans="12:13">
      <c r="L4445" s="20" t="str">
        <f t="shared" si="138"/>
        <v>N/A</v>
      </c>
      <c r="M4445" s="20" t="str">
        <f t="shared" si="139"/>
        <v>N/A</v>
      </c>
    </row>
    <row r="4446" spans="12:13">
      <c r="L4446" s="20" t="str">
        <f t="shared" si="138"/>
        <v>N/A</v>
      </c>
      <c r="M4446" s="20" t="str">
        <f t="shared" si="139"/>
        <v>N/A</v>
      </c>
    </row>
    <row r="4447" spans="12:13">
      <c r="L4447" s="20" t="str">
        <f t="shared" si="138"/>
        <v>N/A</v>
      </c>
      <c r="M4447" s="20" t="str">
        <f t="shared" si="139"/>
        <v>N/A</v>
      </c>
    </row>
    <row r="4448" spans="12:13">
      <c r="L4448" s="20" t="str">
        <f t="shared" si="138"/>
        <v>N/A</v>
      </c>
      <c r="M4448" s="20" t="str">
        <f t="shared" si="139"/>
        <v>N/A</v>
      </c>
    </row>
    <row r="4449" spans="12:13">
      <c r="L4449" s="20" t="str">
        <f t="shared" si="138"/>
        <v>N/A</v>
      </c>
      <c r="M4449" s="20" t="str">
        <f t="shared" si="139"/>
        <v>N/A</v>
      </c>
    </row>
    <row r="4450" spans="12:13">
      <c r="L4450" s="20" t="str">
        <f t="shared" si="138"/>
        <v>N/A</v>
      </c>
      <c r="M4450" s="20" t="str">
        <f t="shared" si="139"/>
        <v>N/A</v>
      </c>
    </row>
    <row r="4451" spans="12:13">
      <c r="L4451" s="20" t="str">
        <f t="shared" si="138"/>
        <v>N/A</v>
      </c>
      <c r="M4451" s="20" t="str">
        <f t="shared" si="139"/>
        <v>N/A</v>
      </c>
    </row>
    <row r="4452" spans="12:13">
      <c r="L4452" s="20" t="str">
        <f t="shared" si="138"/>
        <v>N/A</v>
      </c>
      <c r="M4452" s="20" t="str">
        <f t="shared" si="139"/>
        <v>N/A</v>
      </c>
    </row>
    <row r="4453" spans="12:13">
      <c r="L4453" s="20" t="str">
        <f t="shared" si="138"/>
        <v>N/A</v>
      </c>
      <c r="M4453" s="20" t="str">
        <f t="shared" si="139"/>
        <v>N/A</v>
      </c>
    </row>
    <row r="4454" spans="12:13">
      <c r="L4454" s="20" t="str">
        <f t="shared" si="138"/>
        <v>N/A</v>
      </c>
      <c r="M4454" s="20" t="str">
        <f t="shared" si="139"/>
        <v>N/A</v>
      </c>
    </row>
    <row r="4455" spans="12:13">
      <c r="L4455" s="20" t="str">
        <f t="shared" si="138"/>
        <v>N/A</v>
      </c>
      <c r="M4455" s="20" t="str">
        <f t="shared" si="139"/>
        <v>N/A</v>
      </c>
    </row>
    <row r="4456" spans="12:13">
      <c r="L4456" s="20" t="str">
        <f t="shared" si="138"/>
        <v>N/A</v>
      </c>
      <c r="M4456" s="20" t="str">
        <f t="shared" si="139"/>
        <v>N/A</v>
      </c>
    </row>
    <row r="4457" spans="12:13">
      <c r="L4457" s="20" t="str">
        <f t="shared" si="138"/>
        <v>N/A</v>
      </c>
      <c r="M4457" s="20" t="str">
        <f t="shared" si="139"/>
        <v>N/A</v>
      </c>
    </row>
    <row r="4458" spans="12:13">
      <c r="L4458" s="20" t="str">
        <f t="shared" si="138"/>
        <v>N/A</v>
      </c>
      <c r="M4458" s="20" t="str">
        <f t="shared" si="139"/>
        <v>N/A</v>
      </c>
    </row>
    <row r="4459" spans="12:13">
      <c r="L4459" s="20" t="str">
        <f t="shared" si="138"/>
        <v>N/A</v>
      </c>
      <c r="M4459" s="20" t="str">
        <f t="shared" si="139"/>
        <v>N/A</v>
      </c>
    </row>
    <row r="4460" spans="12:13">
      <c r="L4460" s="20" t="str">
        <f t="shared" si="138"/>
        <v>N/A</v>
      </c>
      <c r="M4460" s="20" t="str">
        <f t="shared" si="139"/>
        <v>N/A</v>
      </c>
    </row>
    <row r="4461" spans="12:13">
      <c r="L4461" s="20" t="str">
        <f t="shared" si="138"/>
        <v>N/A</v>
      </c>
      <c r="M4461" s="20" t="str">
        <f t="shared" si="139"/>
        <v>N/A</v>
      </c>
    </row>
    <row r="4462" spans="12:13">
      <c r="L4462" s="20" t="str">
        <f t="shared" si="138"/>
        <v>N/A</v>
      </c>
      <c r="M4462" s="20" t="str">
        <f t="shared" si="139"/>
        <v>N/A</v>
      </c>
    </row>
    <row r="4463" spans="12:13">
      <c r="L4463" s="20" t="str">
        <f t="shared" si="138"/>
        <v>N/A</v>
      </c>
      <c r="M4463" s="20" t="str">
        <f t="shared" si="139"/>
        <v>N/A</v>
      </c>
    </row>
    <row r="4464" spans="12:13">
      <c r="L4464" s="20" t="str">
        <f t="shared" si="138"/>
        <v>N/A</v>
      </c>
      <c r="M4464" s="20" t="str">
        <f t="shared" si="139"/>
        <v>N/A</v>
      </c>
    </row>
    <row r="4465" spans="12:13">
      <c r="L4465" s="20" t="str">
        <f t="shared" si="138"/>
        <v>N/A</v>
      </c>
      <c r="M4465" s="20" t="str">
        <f t="shared" si="139"/>
        <v>N/A</v>
      </c>
    </row>
    <row r="4466" spans="12:13">
      <c r="L4466" s="20" t="str">
        <f t="shared" si="138"/>
        <v>N/A</v>
      </c>
      <c r="M4466" s="20" t="str">
        <f t="shared" si="139"/>
        <v>N/A</v>
      </c>
    </row>
    <row r="4467" spans="12:13">
      <c r="L4467" s="20" t="str">
        <f t="shared" si="138"/>
        <v>N/A</v>
      </c>
      <c r="M4467" s="20" t="str">
        <f t="shared" si="139"/>
        <v>N/A</v>
      </c>
    </row>
    <row r="4468" spans="12:13">
      <c r="L4468" s="20" t="str">
        <f t="shared" si="138"/>
        <v>N/A</v>
      </c>
      <c r="M4468" s="20" t="str">
        <f t="shared" si="139"/>
        <v>N/A</v>
      </c>
    </row>
    <row r="4469" spans="12:13">
      <c r="L4469" s="20" t="str">
        <f t="shared" si="138"/>
        <v>N/A</v>
      </c>
      <c r="M4469" s="20" t="str">
        <f t="shared" si="139"/>
        <v>N/A</v>
      </c>
    </row>
    <row r="4470" spans="12:13">
      <c r="L4470" s="20" t="str">
        <f t="shared" si="138"/>
        <v>N/A</v>
      </c>
      <c r="M4470" s="20" t="str">
        <f t="shared" si="139"/>
        <v>N/A</v>
      </c>
    </row>
    <row r="4471" spans="12:13">
      <c r="L4471" s="20" t="str">
        <f t="shared" si="138"/>
        <v>N/A</v>
      </c>
      <c r="M4471" s="20" t="str">
        <f t="shared" si="139"/>
        <v>N/A</v>
      </c>
    </row>
    <row r="4472" spans="12:13">
      <c r="L4472" s="20" t="str">
        <f t="shared" si="138"/>
        <v>N/A</v>
      </c>
      <c r="M4472" s="20" t="str">
        <f t="shared" si="139"/>
        <v>N/A</v>
      </c>
    </row>
    <row r="4473" spans="12:13">
      <c r="L4473" s="20" t="str">
        <f t="shared" si="138"/>
        <v>N/A</v>
      </c>
      <c r="M4473" s="20" t="str">
        <f t="shared" si="139"/>
        <v>N/A</v>
      </c>
    </row>
    <row r="4474" spans="12:13">
      <c r="L4474" s="20" t="str">
        <f t="shared" si="138"/>
        <v>N/A</v>
      </c>
      <c r="M4474" s="20" t="str">
        <f t="shared" si="139"/>
        <v>N/A</v>
      </c>
    </row>
    <row r="4475" spans="12:13">
      <c r="L4475" s="20" t="str">
        <f t="shared" si="138"/>
        <v>N/A</v>
      </c>
      <c r="M4475" s="20" t="str">
        <f t="shared" si="139"/>
        <v>N/A</v>
      </c>
    </row>
    <row r="4476" spans="12:13">
      <c r="L4476" s="20" t="str">
        <f t="shared" si="138"/>
        <v>N/A</v>
      </c>
      <c r="M4476" s="20" t="str">
        <f t="shared" si="139"/>
        <v>N/A</v>
      </c>
    </row>
    <row r="4477" spans="12:13">
      <c r="L4477" s="20" t="str">
        <f t="shared" si="138"/>
        <v>N/A</v>
      </c>
      <c r="M4477" s="20" t="str">
        <f t="shared" si="139"/>
        <v>N/A</v>
      </c>
    </row>
    <row r="4478" spans="12:13">
      <c r="L4478" s="20" t="str">
        <f t="shared" si="138"/>
        <v>N/A</v>
      </c>
      <c r="M4478" s="20" t="str">
        <f t="shared" si="139"/>
        <v>N/A</v>
      </c>
    </row>
    <row r="4479" spans="12:13">
      <c r="L4479" s="20" t="str">
        <f t="shared" si="138"/>
        <v>N/A</v>
      </c>
      <c r="M4479" s="20" t="str">
        <f t="shared" si="139"/>
        <v>N/A</v>
      </c>
    </row>
    <row r="4480" spans="12:13">
      <c r="L4480" s="20" t="str">
        <f t="shared" si="138"/>
        <v>N/A</v>
      </c>
      <c r="M4480" s="20" t="str">
        <f t="shared" si="139"/>
        <v>N/A</v>
      </c>
    </row>
    <row r="4481" spans="12:13">
      <c r="L4481" s="20" t="str">
        <f t="shared" si="138"/>
        <v>N/A</v>
      </c>
      <c r="M4481" s="20" t="str">
        <f t="shared" si="139"/>
        <v>N/A</v>
      </c>
    </row>
    <row r="4482" spans="12:13">
      <c r="L4482" s="20" t="str">
        <f t="shared" si="138"/>
        <v>N/A</v>
      </c>
      <c r="M4482" s="20" t="str">
        <f t="shared" si="139"/>
        <v>N/A</v>
      </c>
    </row>
    <row r="4483" spans="12:13">
      <c r="L4483" s="20" t="str">
        <f t="shared" ref="L4483:L4546" si="140">+IF(LEFT(D4483,1)="1","Asset","N/A")</f>
        <v>N/A</v>
      </c>
      <c r="M4483" s="20" t="str">
        <f t="shared" ref="M4483:M4546" si="141">+IF(L4483="asset",IF(H4483&lt;0,"Provide Comment","okay"),"N/A")</f>
        <v>N/A</v>
      </c>
    </row>
    <row r="4484" spans="12:13">
      <c r="L4484" s="20" t="str">
        <f t="shared" si="140"/>
        <v>N/A</v>
      </c>
      <c r="M4484" s="20" t="str">
        <f t="shared" si="141"/>
        <v>N/A</v>
      </c>
    </row>
    <row r="4485" spans="12:13">
      <c r="L4485" s="20" t="str">
        <f t="shared" si="140"/>
        <v>N/A</v>
      </c>
      <c r="M4485" s="20" t="str">
        <f t="shared" si="141"/>
        <v>N/A</v>
      </c>
    </row>
    <row r="4486" spans="12:13">
      <c r="L4486" s="20" t="str">
        <f t="shared" si="140"/>
        <v>N/A</v>
      </c>
      <c r="M4486" s="20" t="str">
        <f t="shared" si="141"/>
        <v>N/A</v>
      </c>
    </row>
    <row r="4487" spans="12:13">
      <c r="L4487" s="20" t="str">
        <f t="shared" si="140"/>
        <v>N/A</v>
      </c>
      <c r="M4487" s="20" t="str">
        <f t="shared" si="141"/>
        <v>N/A</v>
      </c>
    </row>
    <row r="4488" spans="12:13">
      <c r="L4488" s="20" t="str">
        <f t="shared" si="140"/>
        <v>N/A</v>
      </c>
      <c r="M4488" s="20" t="str">
        <f t="shared" si="141"/>
        <v>N/A</v>
      </c>
    </row>
    <row r="4489" spans="12:13">
      <c r="L4489" s="20" t="str">
        <f t="shared" si="140"/>
        <v>N/A</v>
      </c>
      <c r="M4489" s="20" t="str">
        <f t="shared" si="141"/>
        <v>N/A</v>
      </c>
    </row>
    <row r="4490" spans="12:13">
      <c r="L4490" s="20" t="str">
        <f t="shared" si="140"/>
        <v>N/A</v>
      </c>
      <c r="M4490" s="20" t="str">
        <f t="shared" si="141"/>
        <v>N/A</v>
      </c>
    </row>
    <row r="4491" spans="12:13">
      <c r="L4491" s="20" t="str">
        <f t="shared" si="140"/>
        <v>N/A</v>
      </c>
      <c r="M4491" s="20" t="str">
        <f t="shared" si="141"/>
        <v>N/A</v>
      </c>
    </row>
    <row r="4492" spans="12:13">
      <c r="L4492" s="20" t="str">
        <f t="shared" si="140"/>
        <v>N/A</v>
      </c>
      <c r="M4492" s="20" t="str">
        <f t="shared" si="141"/>
        <v>N/A</v>
      </c>
    </row>
    <row r="4493" spans="12:13">
      <c r="L4493" s="20" t="str">
        <f t="shared" si="140"/>
        <v>N/A</v>
      </c>
      <c r="M4493" s="20" t="str">
        <f t="shared" si="141"/>
        <v>N/A</v>
      </c>
    </row>
    <row r="4494" spans="12:13">
      <c r="L4494" s="20" t="str">
        <f t="shared" si="140"/>
        <v>N/A</v>
      </c>
      <c r="M4494" s="20" t="str">
        <f t="shared" si="141"/>
        <v>N/A</v>
      </c>
    </row>
    <row r="4495" spans="12:13">
      <c r="L4495" s="20" t="str">
        <f t="shared" si="140"/>
        <v>N/A</v>
      </c>
      <c r="M4495" s="20" t="str">
        <f t="shared" si="141"/>
        <v>N/A</v>
      </c>
    </row>
    <row r="4496" spans="12:13">
      <c r="L4496" s="20" t="str">
        <f t="shared" si="140"/>
        <v>N/A</v>
      </c>
      <c r="M4496" s="20" t="str">
        <f t="shared" si="141"/>
        <v>N/A</v>
      </c>
    </row>
    <row r="4497" spans="12:13">
      <c r="L4497" s="20" t="str">
        <f t="shared" si="140"/>
        <v>N/A</v>
      </c>
      <c r="M4497" s="20" t="str">
        <f t="shared" si="141"/>
        <v>N/A</v>
      </c>
    </row>
    <row r="4498" spans="12:13">
      <c r="L4498" s="20" t="str">
        <f t="shared" si="140"/>
        <v>N/A</v>
      </c>
      <c r="M4498" s="20" t="str">
        <f t="shared" si="141"/>
        <v>N/A</v>
      </c>
    </row>
    <row r="4499" spans="12:13">
      <c r="L4499" s="20" t="str">
        <f t="shared" si="140"/>
        <v>N/A</v>
      </c>
      <c r="M4499" s="20" t="str">
        <f t="shared" si="141"/>
        <v>N/A</v>
      </c>
    </row>
    <row r="4500" spans="12:13">
      <c r="L4500" s="20" t="str">
        <f t="shared" si="140"/>
        <v>N/A</v>
      </c>
      <c r="M4500" s="20" t="str">
        <f t="shared" si="141"/>
        <v>N/A</v>
      </c>
    </row>
    <row r="4501" spans="12:13">
      <c r="L4501" s="20" t="str">
        <f t="shared" si="140"/>
        <v>N/A</v>
      </c>
      <c r="M4501" s="20" t="str">
        <f t="shared" si="141"/>
        <v>N/A</v>
      </c>
    </row>
    <row r="4502" spans="12:13">
      <c r="L4502" s="20" t="str">
        <f t="shared" si="140"/>
        <v>N/A</v>
      </c>
      <c r="M4502" s="20" t="str">
        <f t="shared" si="141"/>
        <v>N/A</v>
      </c>
    </row>
    <row r="4503" spans="12:13">
      <c r="L4503" s="20" t="str">
        <f t="shared" si="140"/>
        <v>N/A</v>
      </c>
      <c r="M4503" s="20" t="str">
        <f t="shared" si="141"/>
        <v>N/A</v>
      </c>
    </row>
    <row r="4504" spans="12:13">
      <c r="L4504" s="20" t="str">
        <f t="shared" si="140"/>
        <v>N/A</v>
      </c>
      <c r="M4504" s="20" t="str">
        <f t="shared" si="141"/>
        <v>N/A</v>
      </c>
    </row>
    <row r="4505" spans="12:13">
      <c r="L4505" s="20" t="str">
        <f t="shared" si="140"/>
        <v>N/A</v>
      </c>
      <c r="M4505" s="20" t="str">
        <f t="shared" si="141"/>
        <v>N/A</v>
      </c>
    </row>
    <row r="4506" spans="12:13">
      <c r="L4506" s="20" t="str">
        <f t="shared" si="140"/>
        <v>N/A</v>
      </c>
      <c r="M4506" s="20" t="str">
        <f t="shared" si="141"/>
        <v>N/A</v>
      </c>
    </row>
    <row r="4507" spans="12:13">
      <c r="L4507" s="20" t="str">
        <f t="shared" si="140"/>
        <v>N/A</v>
      </c>
      <c r="M4507" s="20" t="str">
        <f t="shared" si="141"/>
        <v>N/A</v>
      </c>
    </row>
    <row r="4508" spans="12:13">
      <c r="L4508" s="20" t="str">
        <f t="shared" si="140"/>
        <v>N/A</v>
      </c>
      <c r="M4508" s="20" t="str">
        <f t="shared" si="141"/>
        <v>N/A</v>
      </c>
    </row>
    <row r="4509" spans="12:13">
      <c r="L4509" s="20" t="str">
        <f t="shared" si="140"/>
        <v>N/A</v>
      </c>
      <c r="M4509" s="20" t="str">
        <f t="shared" si="141"/>
        <v>N/A</v>
      </c>
    </row>
    <row r="4510" spans="12:13">
      <c r="L4510" s="20" t="str">
        <f t="shared" si="140"/>
        <v>N/A</v>
      </c>
      <c r="M4510" s="20" t="str">
        <f t="shared" si="141"/>
        <v>N/A</v>
      </c>
    </row>
    <row r="4511" spans="12:13">
      <c r="L4511" s="20" t="str">
        <f t="shared" si="140"/>
        <v>N/A</v>
      </c>
      <c r="M4511" s="20" t="str">
        <f t="shared" si="141"/>
        <v>N/A</v>
      </c>
    </row>
    <row r="4512" spans="12:13">
      <c r="L4512" s="20" t="str">
        <f t="shared" si="140"/>
        <v>N/A</v>
      </c>
      <c r="M4512" s="20" t="str">
        <f t="shared" si="141"/>
        <v>N/A</v>
      </c>
    </row>
    <row r="4513" spans="12:13">
      <c r="L4513" s="20" t="str">
        <f t="shared" si="140"/>
        <v>N/A</v>
      </c>
      <c r="M4513" s="20" t="str">
        <f t="shared" si="141"/>
        <v>N/A</v>
      </c>
    </row>
    <row r="4514" spans="12:13">
      <c r="L4514" s="20" t="str">
        <f t="shared" si="140"/>
        <v>N/A</v>
      </c>
      <c r="M4514" s="20" t="str">
        <f t="shared" si="141"/>
        <v>N/A</v>
      </c>
    </row>
    <row r="4515" spans="12:13">
      <c r="L4515" s="20" t="str">
        <f t="shared" si="140"/>
        <v>N/A</v>
      </c>
      <c r="M4515" s="20" t="str">
        <f t="shared" si="141"/>
        <v>N/A</v>
      </c>
    </row>
    <row r="4516" spans="12:13">
      <c r="L4516" s="20" t="str">
        <f t="shared" si="140"/>
        <v>N/A</v>
      </c>
      <c r="M4516" s="20" t="str">
        <f t="shared" si="141"/>
        <v>N/A</v>
      </c>
    </row>
    <row r="4517" spans="12:13">
      <c r="L4517" s="20" t="str">
        <f t="shared" si="140"/>
        <v>N/A</v>
      </c>
      <c r="M4517" s="20" t="str">
        <f t="shared" si="141"/>
        <v>N/A</v>
      </c>
    </row>
    <row r="4518" spans="12:13">
      <c r="L4518" s="20" t="str">
        <f t="shared" si="140"/>
        <v>N/A</v>
      </c>
      <c r="M4518" s="20" t="str">
        <f t="shared" si="141"/>
        <v>N/A</v>
      </c>
    </row>
    <row r="4519" spans="12:13">
      <c r="L4519" s="20" t="str">
        <f t="shared" si="140"/>
        <v>N/A</v>
      </c>
      <c r="M4519" s="20" t="str">
        <f t="shared" si="141"/>
        <v>N/A</v>
      </c>
    </row>
    <row r="4520" spans="12:13">
      <c r="L4520" s="20" t="str">
        <f t="shared" si="140"/>
        <v>N/A</v>
      </c>
      <c r="M4520" s="20" t="str">
        <f t="shared" si="141"/>
        <v>N/A</v>
      </c>
    </row>
    <row r="4521" spans="12:13">
      <c r="L4521" s="20" t="str">
        <f t="shared" si="140"/>
        <v>N/A</v>
      </c>
      <c r="M4521" s="20" t="str">
        <f t="shared" si="141"/>
        <v>N/A</v>
      </c>
    </row>
    <row r="4522" spans="12:13">
      <c r="L4522" s="20" t="str">
        <f t="shared" si="140"/>
        <v>N/A</v>
      </c>
      <c r="M4522" s="20" t="str">
        <f t="shared" si="141"/>
        <v>N/A</v>
      </c>
    </row>
    <row r="4523" spans="12:13">
      <c r="L4523" s="20" t="str">
        <f t="shared" si="140"/>
        <v>N/A</v>
      </c>
      <c r="M4523" s="20" t="str">
        <f t="shared" si="141"/>
        <v>N/A</v>
      </c>
    </row>
    <row r="4524" spans="12:13">
      <c r="L4524" s="20" t="str">
        <f t="shared" si="140"/>
        <v>N/A</v>
      </c>
      <c r="M4524" s="20" t="str">
        <f t="shared" si="141"/>
        <v>N/A</v>
      </c>
    </row>
    <row r="4525" spans="12:13">
      <c r="L4525" s="20" t="str">
        <f t="shared" si="140"/>
        <v>N/A</v>
      </c>
      <c r="M4525" s="20" t="str">
        <f t="shared" si="141"/>
        <v>N/A</v>
      </c>
    </row>
    <row r="4526" spans="12:13">
      <c r="L4526" s="20" t="str">
        <f t="shared" si="140"/>
        <v>N/A</v>
      </c>
      <c r="M4526" s="20" t="str">
        <f t="shared" si="141"/>
        <v>N/A</v>
      </c>
    </row>
    <row r="4527" spans="12:13">
      <c r="L4527" s="20" t="str">
        <f t="shared" si="140"/>
        <v>N/A</v>
      </c>
      <c r="M4527" s="20" t="str">
        <f t="shared" si="141"/>
        <v>N/A</v>
      </c>
    </row>
    <row r="4528" spans="12:13">
      <c r="L4528" s="20" t="str">
        <f t="shared" si="140"/>
        <v>N/A</v>
      </c>
      <c r="M4528" s="20" t="str">
        <f t="shared" si="141"/>
        <v>N/A</v>
      </c>
    </row>
    <row r="4529" spans="12:13">
      <c r="L4529" s="20" t="str">
        <f t="shared" si="140"/>
        <v>N/A</v>
      </c>
      <c r="M4529" s="20" t="str">
        <f t="shared" si="141"/>
        <v>N/A</v>
      </c>
    </row>
    <row r="4530" spans="12:13">
      <c r="L4530" s="20" t="str">
        <f t="shared" si="140"/>
        <v>N/A</v>
      </c>
      <c r="M4530" s="20" t="str">
        <f t="shared" si="141"/>
        <v>N/A</v>
      </c>
    </row>
    <row r="4531" spans="12:13">
      <c r="L4531" s="20" t="str">
        <f t="shared" si="140"/>
        <v>N/A</v>
      </c>
      <c r="M4531" s="20" t="str">
        <f t="shared" si="141"/>
        <v>N/A</v>
      </c>
    </row>
    <row r="4532" spans="12:13">
      <c r="L4532" s="20" t="str">
        <f t="shared" si="140"/>
        <v>N/A</v>
      </c>
      <c r="M4532" s="20" t="str">
        <f t="shared" si="141"/>
        <v>N/A</v>
      </c>
    </row>
    <row r="4533" spans="12:13">
      <c r="L4533" s="20" t="str">
        <f t="shared" si="140"/>
        <v>N/A</v>
      </c>
      <c r="M4533" s="20" t="str">
        <f t="shared" si="141"/>
        <v>N/A</v>
      </c>
    </row>
    <row r="4534" spans="12:13">
      <c r="L4534" s="20" t="str">
        <f t="shared" si="140"/>
        <v>N/A</v>
      </c>
      <c r="M4534" s="20" t="str">
        <f t="shared" si="141"/>
        <v>N/A</v>
      </c>
    </row>
    <row r="4535" spans="12:13">
      <c r="L4535" s="20" t="str">
        <f t="shared" si="140"/>
        <v>N/A</v>
      </c>
      <c r="M4535" s="20" t="str">
        <f t="shared" si="141"/>
        <v>N/A</v>
      </c>
    </row>
    <row r="4536" spans="12:13">
      <c r="L4536" s="20" t="str">
        <f t="shared" si="140"/>
        <v>N/A</v>
      </c>
      <c r="M4536" s="20" t="str">
        <f t="shared" si="141"/>
        <v>N/A</v>
      </c>
    </row>
    <row r="4537" spans="12:13">
      <c r="L4537" s="20" t="str">
        <f t="shared" si="140"/>
        <v>N/A</v>
      </c>
      <c r="M4537" s="20" t="str">
        <f t="shared" si="141"/>
        <v>N/A</v>
      </c>
    </row>
    <row r="4538" spans="12:13">
      <c r="L4538" s="20" t="str">
        <f t="shared" si="140"/>
        <v>N/A</v>
      </c>
      <c r="M4538" s="20" t="str">
        <f t="shared" si="141"/>
        <v>N/A</v>
      </c>
    </row>
    <row r="4539" spans="12:13">
      <c r="L4539" s="20" t="str">
        <f t="shared" si="140"/>
        <v>N/A</v>
      </c>
      <c r="M4539" s="20" t="str">
        <f t="shared" si="141"/>
        <v>N/A</v>
      </c>
    </row>
    <row r="4540" spans="12:13">
      <c r="L4540" s="20" t="str">
        <f t="shared" si="140"/>
        <v>N/A</v>
      </c>
      <c r="M4540" s="20" t="str">
        <f t="shared" si="141"/>
        <v>N/A</v>
      </c>
    </row>
    <row r="4541" spans="12:13">
      <c r="L4541" s="20" t="str">
        <f t="shared" si="140"/>
        <v>N/A</v>
      </c>
      <c r="M4541" s="20" t="str">
        <f t="shared" si="141"/>
        <v>N/A</v>
      </c>
    </row>
    <row r="4542" spans="12:13">
      <c r="L4542" s="20" t="str">
        <f t="shared" si="140"/>
        <v>N/A</v>
      </c>
      <c r="M4542" s="20" t="str">
        <f t="shared" si="141"/>
        <v>N/A</v>
      </c>
    </row>
    <row r="4543" spans="12:13">
      <c r="L4543" s="20" t="str">
        <f t="shared" si="140"/>
        <v>N/A</v>
      </c>
      <c r="M4543" s="20" t="str">
        <f t="shared" si="141"/>
        <v>N/A</v>
      </c>
    </row>
    <row r="4544" spans="12:13">
      <c r="L4544" s="20" t="str">
        <f t="shared" si="140"/>
        <v>N/A</v>
      </c>
      <c r="M4544" s="20" t="str">
        <f t="shared" si="141"/>
        <v>N/A</v>
      </c>
    </row>
    <row r="4545" spans="12:13">
      <c r="L4545" s="20" t="str">
        <f t="shared" si="140"/>
        <v>N/A</v>
      </c>
      <c r="M4545" s="20" t="str">
        <f t="shared" si="141"/>
        <v>N/A</v>
      </c>
    </row>
    <row r="4546" spans="12:13">
      <c r="L4546" s="20" t="str">
        <f t="shared" si="140"/>
        <v>N/A</v>
      </c>
      <c r="M4546" s="20" t="str">
        <f t="shared" si="141"/>
        <v>N/A</v>
      </c>
    </row>
    <row r="4547" spans="12:13">
      <c r="L4547" s="20" t="str">
        <f t="shared" ref="L4547:L4610" si="142">+IF(LEFT(D4547,1)="1","Asset","N/A")</f>
        <v>N/A</v>
      </c>
      <c r="M4547" s="20" t="str">
        <f t="shared" ref="M4547:M4610" si="143">+IF(L4547="asset",IF(H4547&lt;0,"Provide Comment","okay"),"N/A")</f>
        <v>N/A</v>
      </c>
    </row>
    <row r="4548" spans="12:13">
      <c r="L4548" s="20" t="str">
        <f t="shared" si="142"/>
        <v>N/A</v>
      </c>
      <c r="M4548" s="20" t="str">
        <f t="shared" si="143"/>
        <v>N/A</v>
      </c>
    </row>
    <row r="4549" spans="12:13">
      <c r="L4549" s="20" t="str">
        <f t="shared" si="142"/>
        <v>N/A</v>
      </c>
      <c r="M4549" s="20" t="str">
        <f t="shared" si="143"/>
        <v>N/A</v>
      </c>
    </row>
    <row r="4550" spans="12:13">
      <c r="L4550" s="20" t="str">
        <f t="shared" si="142"/>
        <v>N/A</v>
      </c>
      <c r="M4550" s="20" t="str">
        <f t="shared" si="143"/>
        <v>N/A</v>
      </c>
    </row>
    <row r="4551" spans="12:13">
      <c r="L4551" s="20" t="str">
        <f t="shared" si="142"/>
        <v>N/A</v>
      </c>
      <c r="M4551" s="20" t="str">
        <f t="shared" si="143"/>
        <v>N/A</v>
      </c>
    </row>
    <row r="4552" spans="12:13">
      <c r="L4552" s="20" t="str">
        <f t="shared" si="142"/>
        <v>N/A</v>
      </c>
      <c r="M4552" s="20" t="str">
        <f t="shared" si="143"/>
        <v>N/A</v>
      </c>
    </row>
    <row r="4553" spans="12:13">
      <c r="L4553" s="20" t="str">
        <f t="shared" si="142"/>
        <v>N/A</v>
      </c>
      <c r="M4553" s="20" t="str">
        <f t="shared" si="143"/>
        <v>N/A</v>
      </c>
    </row>
    <row r="4554" spans="12:13">
      <c r="L4554" s="20" t="str">
        <f t="shared" si="142"/>
        <v>N/A</v>
      </c>
      <c r="M4554" s="20" t="str">
        <f t="shared" si="143"/>
        <v>N/A</v>
      </c>
    </row>
    <row r="4555" spans="12:13">
      <c r="L4555" s="20" t="str">
        <f t="shared" si="142"/>
        <v>N/A</v>
      </c>
      <c r="M4555" s="20" t="str">
        <f t="shared" si="143"/>
        <v>N/A</v>
      </c>
    </row>
    <row r="4556" spans="12:13">
      <c r="L4556" s="20" t="str">
        <f t="shared" si="142"/>
        <v>N/A</v>
      </c>
      <c r="M4556" s="20" t="str">
        <f t="shared" si="143"/>
        <v>N/A</v>
      </c>
    </row>
    <row r="4557" spans="12:13">
      <c r="L4557" s="20" t="str">
        <f t="shared" si="142"/>
        <v>N/A</v>
      </c>
      <c r="M4557" s="20" t="str">
        <f t="shared" si="143"/>
        <v>N/A</v>
      </c>
    </row>
    <row r="4558" spans="12:13">
      <c r="L4558" s="20" t="str">
        <f t="shared" si="142"/>
        <v>N/A</v>
      </c>
      <c r="M4558" s="20" t="str">
        <f t="shared" si="143"/>
        <v>N/A</v>
      </c>
    </row>
    <row r="4559" spans="12:13">
      <c r="L4559" s="20" t="str">
        <f t="shared" si="142"/>
        <v>N/A</v>
      </c>
      <c r="M4559" s="20" t="str">
        <f t="shared" si="143"/>
        <v>N/A</v>
      </c>
    </row>
    <row r="4560" spans="12:13">
      <c r="L4560" s="20" t="str">
        <f t="shared" si="142"/>
        <v>N/A</v>
      </c>
      <c r="M4560" s="20" t="str">
        <f t="shared" si="143"/>
        <v>N/A</v>
      </c>
    </row>
    <row r="4561" spans="12:13">
      <c r="L4561" s="20" t="str">
        <f t="shared" si="142"/>
        <v>N/A</v>
      </c>
      <c r="M4561" s="20" t="str">
        <f t="shared" si="143"/>
        <v>N/A</v>
      </c>
    </row>
    <row r="4562" spans="12:13">
      <c r="L4562" s="20" t="str">
        <f t="shared" si="142"/>
        <v>N/A</v>
      </c>
      <c r="M4562" s="20" t="str">
        <f t="shared" si="143"/>
        <v>N/A</v>
      </c>
    </row>
    <row r="4563" spans="12:13">
      <c r="L4563" s="20" t="str">
        <f t="shared" si="142"/>
        <v>N/A</v>
      </c>
      <c r="M4563" s="20" t="str">
        <f t="shared" si="143"/>
        <v>N/A</v>
      </c>
    </row>
    <row r="4564" spans="12:13">
      <c r="L4564" s="20" t="str">
        <f t="shared" si="142"/>
        <v>N/A</v>
      </c>
      <c r="M4564" s="20" t="str">
        <f t="shared" si="143"/>
        <v>N/A</v>
      </c>
    </row>
    <row r="4565" spans="12:13">
      <c r="L4565" s="20" t="str">
        <f t="shared" si="142"/>
        <v>N/A</v>
      </c>
      <c r="M4565" s="20" t="str">
        <f t="shared" si="143"/>
        <v>N/A</v>
      </c>
    </row>
    <row r="4566" spans="12:13">
      <c r="L4566" s="20" t="str">
        <f t="shared" si="142"/>
        <v>N/A</v>
      </c>
      <c r="M4566" s="20" t="str">
        <f t="shared" si="143"/>
        <v>N/A</v>
      </c>
    </row>
    <row r="4567" spans="12:13">
      <c r="L4567" s="20" t="str">
        <f t="shared" si="142"/>
        <v>N/A</v>
      </c>
      <c r="M4567" s="20" t="str">
        <f t="shared" si="143"/>
        <v>N/A</v>
      </c>
    </row>
    <row r="4568" spans="12:13">
      <c r="L4568" s="20" t="str">
        <f t="shared" si="142"/>
        <v>N/A</v>
      </c>
      <c r="M4568" s="20" t="str">
        <f t="shared" si="143"/>
        <v>N/A</v>
      </c>
    </row>
    <row r="4569" spans="12:13">
      <c r="L4569" s="20" t="str">
        <f t="shared" si="142"/>
        <v>N/A</v>
      </c>
      <c r="M4569" s="20" t="str">
        <f t="shared" si="143"/>
        <v>N/A</v>
      </c>
    </row>
    <row r="4570" spans="12:13">
      <c r="L4570" s="20" t="str">
        <f t="shared" si="142"/>
        <v>N/A</v>
      </c>
      <c r="M4570" s="20" t="str">
        <f t="shared" si="143"/>
        <v>N/A</v>
      </c>
    </row>
    <row r="4571" spans="12:13">
      <c r="L4571" s="20" t="str">
        <f t="shared" si="142"/>
        <v>N/A</v>
      </c>
      <c r="M4571" s="20" t="str">
        <f t="shared" si="143"/>
        <v>N/A</v>
      </c>
    </row>
    <row r="4572" spans="12:13">
      <c r="L4572" s="20" t="str">
        <f t="shared" si="142"/>
        <v>N/A</v>
      </c>
      <c r="M4572" s="20" t="str">
        <f t="shared" si="143"/>
        <v>N/A</v>
      </c>
    </row>
    <row r="4573" spans="12:13">
      <c r="L4573" s="20" t="str">
        <f t="shared" si="142"/>
        <v>N/A</v>
      </c>
      <c r="M4573" s="20" t="str">
        <f t="shared" si="143"/>
        <v>N/A</v>
      </c>
    </row>
    <row r="4574" spans="12:13">
      <c r="L4574" s="20" t="str">
        <f t="shared" si="142"/>
        <v>N/A</v>
      </c>
      <c r="M4574" s="20" t="str">
        <f t="shared" si="143"/>
        <v>N/A</v>
      </c>
    </row>
    <row r="4575" spans="12:13">
      <c r="L4575" s="20" t="str">
        <f t="shared" si="142"/>
        <v>N/A</v>
      </c>
      <c r="M4575" s="20" t="str">
        <f t="shared" si="143"/>
        <v>N/A</v>
      </c>
    </row>
    <row r="4576" spans="12:13">
      <c r="L4576" s="20" t="str">
        <f t="shared" si="142"/>
        <v>N/A</v>
      </c>
      <c r="M4576" s="20" t="str">
        <f t="shared" si="143"/>
        <v>N/A</v>
      </c>
    </row>
    <row r="4577" spans="12:13">
      <c r="L4577" s="20" t="str">
        <f t="shared" si="142"/>
        <v>N/A</v>
      </c>
      <c r="M4577" s="20" t="str">
        <f t="shared" si="143"/>
        <v>N/A</v>
      </c>
    </row>
    <row r="4578" spans="12:13">
      <c r="L4578" s="20" t="str">
        <f t="shared" si="142"/>
        <v>N/A</v>
      </c>
      <c r="M4578" s="20" t="str">
        <f t="shared" si="143"/>
        <v>N/A</v>
      </c>
    </row>
    <row r="4579" spans="12:13">
      <c r="L4579" s="20" t="str">
        <f t="shared" si="142"/>
        <v>N/A</v>
      </c>
      <c r="M4579" s="20" t="str">
        <f t="shared" si="143"/>
        <v>N/A</v>
      </c>
    </row>
    <row r="4580" spans="12:13">
      <c r="L4580" s="20" t="str">
        <f t="shared" si="142"/>
        <v>N/A</v>
      </c>
      <c r="M4580" s="20" t="str">
        <f t="shared" si="143"/>
        <v>N/A</v>
      </c>
    </row>
    <row r="4581" spans="12:13">
      <c r="L4581" s="20" t="str">
        <f t="shared" si="142"/>
        <v>N/A</v>
      </c>
      <c r="M4581" s="20" t="str">
        <f t="shared" si="143"/>
        <v>N/A</v>
      </c>
    </row>
    <row r="4582" spans="12:13">
      <c r="L4582" s="20" t="str">
        <f t="shared" si="142"/>
        <v>N/A</v>
      </c>
      <c r="M4582" s="20" t="str">
        <f t="shared" si="143"/>
        <v>N/A</v>
      </c>
    </row>
    <row r="4583" spans="12:13">
      <c r="L4583" s="20" t="str">
        <f t="shared" si="142"/>
        <v>N/A</v>
      </c>
      <c r="M4583" s="20" t="str">
        <f t="shared" si="143"/>
        <v>N/A</v>
      </c>
    </row>
    <row r="4584" spans="12:13">
      <c r="L4584" s="20" t="str">
        <f t="shared" si="142"/>
        <v>N/A</v>
      </c>
      <c r="M4584" s="20" t="str">
        <f t="shared" si="143"/>
        <v>N/A</v>
      </c>
    </row>
    <row r="4585" spans="12:13">
      <c r="L4585" s="20" t="str">
        <f t="shared" si="142"/>
        <v>N/A</v>
      </c>
      <c r="M4585" s="20" t="str">
        <f t="shared" si="143"/>
        <v>N/A</v>
      </c>
    </row>
    <row r="4586" spans="12:13">
      <c r="L4586" s="20" t="str">
        <f t="shared" si="142"/>
        <v>N/A</v>
      </c>
      <c r="M4586" s="20" t="str">
        <f t="shared" si="143"/>
        <v>N/A</v>
      </c>
    </row>
    <row r="4587" spans="12:13">
      <c r="L4587" s="20" t="str">
        <f t="shared" si="142"/>
        <v>N/A</v>
      </c>
      <c r="M4587" s="20" t="str">
        <f t="shared" si="143"/>
        <v>N/A</v>
      </c>
    </row>
    <row r="4588" spans="12:13">
      <c r="L4588" s="20" t="str">
        <f t="shared" si="142"/>
        <v>N/A</v>
      </c>
      <c r="M4588" s="20" t="str">
        <f t="shared" si="143"/>
        <v>N/A</v>
      </c>
    </row>
    <row r="4589" spans="12:13">
      <c r="L4589" s="20" t="str">
        <f t="shared" si="142"/>
        <v>N/A</v>
      </c>
      <c r="M4589" s="20" t="str">
        <f t="shared" si="143"/>
        <v>N/A</v>
      </c>
    </row>
    <row r="4590" spans="12:13">
      <c r="L4590" s="20" t="str">
        <f t="shared" si="142"/>
        <v>N/A</v>
      </c>
      <c r="M4590" s="20" t="str">
        <f t="shared" si="143"/>
        <v>N/A</v>
      </c>
    </row>
    <row r="4591" spans="12:13">
      <c r="L4591" s="20" t="str">
        <f t="shared" si="142"/>
        <v>N/A</v>
      </c>
      <c r="M4591" s="20" t="str">
        <f t="shared" si="143"/>
        <v>N/A</v>
      </c>
    </row>
    <row r="4592" spans="12:13">
      <c r="L4592" s="20" t="str">
        <f t="shared" si="142"/>
        <v>N/A</v>
      </c>
      <c r="M4592" s="20" t="str">
        <f t="shared" si="143"/>
        <v>N/A</v>
      </c>
    </row>
    <row r="4593" spans="12:13">
      <c r="L4593" s="20" t="str">
        <f t="shared" si="142"/>
        <v>N/A</v>
      </c>
      <c r="M4593" s="20" t="str">
        <f t="shared" si="143"/>
        <v>N/A</v>
      </c>
    </row>
    <row r="4594" spans="12:13">
      <c r="L4594" s="20" t="str">
        <f t="shared" si="142"/>
        <v>N/A</v>
      </c>
      <c r="M4594" s="20" t="str">
        <f t="shared" si="143"/>
        <v>N/A</v>
      </c>
    </row>
    <row r="4595" spans="12:13">
      <c r="L4595" s="20" t="str">
        <f t="shared" si="142"/>
        <v>N/A</v>
      </c>
      <c r="M4595" s="20" t="str">
        <f t="shared" si="143"/>
        <v>N/A</v>
      </c>
    </row>
    <row r="4596" spans="12:13">
      <c r="L4596" s="20" t="str">
        <f t="shared" si="142"/>
        <v>N/A</v>
      </c>
      <c r="M4596" s="20" t="str">
        <f t="shared" si="143"/>
        <v>N/A</v>
      </c>
    </row>
    <row r="4597" spans="12:13">
      <c r="L4597" s="20" t="str">
        <f t="shared" si="142"/>
        <v>N/A</v>
      </c>
      <c r="M4597" s="20" t="str">
        <f t="shared" si="143"/>
        <v>N/A</v>
      </c>
    </row>
    <row r="4598" spans="12:13">
      <c r="L4598" s="20" t="str">
        <f t="shared" si="142"/>
        <v>N/A</v>
      </c>
      <c r="M4598" s="20" t="str">
        <f t="shared" si="143"/>
        <v>N/A</v>
      </c>
    </row>
    <row r="4599" spans="12:13">
      <c r="L4599" s="20" t="str">
        <f t="shared" si="142"/>
        <v>N/A</v>
      </c>
      <c r="M4599" s="20" t="str">
        <f t="shared" si="143"/>
        <v>N/A</v>
      </c>
    </row>
    <row r="4600" spans="12:13">
      <c r="L4600" s="20" t="str">
        <f t="shared" si="142"/>
        <v>N/A</v>
      </c>
      <c r="M4600" s="20" t="str">
        <f t="shared" si="143"/>
        <v>N/A</v>
      </c>
    </row>
    <row r="4601" spans="12:13">
      <c r="L4601" s="20" t="str">
        <f t="shared" si="142"/>
        <v>N/A</v>
      </c>
      <c r="M4601" s="20" t="str">
        <f t="shared" si="143"/>
        <v>N/A</v>
      </c>
    </row>
    <row r="4602" spans="12:13">
      <c r="L4602" s="20" t="str">
        <f t="shared" si="142"/>
        <v>N/A</v>
      </c>
      <c r="M4602" s="20" t="str">
        <f t="shared" si="143"/>
        <v>N/A</v>
      </c>
    </row>
    <row r="4603" spans="12:13">
      <c r="L4603" s="20" t="str">
        <f t="shared" si="142"/>
        <v>N/A</v>
      </c>
      <c r="M4603" s="20" t="str">
        <f t="shared" si="143"/>
        <v>N/A</v>
      </c>
    </row>
    <row r="4604" spans="12:13">
      <c r="L4604" s="20" t="str">
        <f t="shared" si="142"/>
        <v>N/A</v>
      </c>
      <c r="M4604" s="20" t="str">
        <f t="shared" si="143"/>
        <v>N/A</v>
      </c>
    </row>
    <row r="4605" spans="12:13">
      <c r="L4605" s="20" t="str">
        <f t="shared" si="142"/>
        <v>N/A</v>
      </c>
      <c r="M4605" s="20" t="str">
        <f t="shared" si="143"/>
        <v>N/A</v>
      </c>
    </row>
    <row r="4606" spans="12:13">
      <c r="L4606" s="20" t="str">
        <f t="shared" si="142"/>
        <v>N/A</v>
      </c>
      <c r="M4606" s="20" t="str">
        <f t="shared" si="143"/>
        <v>N/A</v>
      </c>
    </row>
    <row r="4607" spans="12:13">
      <c r="L4607" s="20" t="str">
        <f t="shared" si="142"/>
        <v>N/A</v>
      </c>
      <c r="M4607" s="20" t="str">
        <f t="shared" si="143"/>
        <v>N/A</v>
      </c>
    </row>
    <row r="4608" spans="12:13">
      <c r="L4608" s="20" t="str">
        <f t="shared" si="142"/>
        <v>N/A</v>
      </c>
      <c r="M4608" s="20" t="str">
        <f t="shared" si="143"/>
        <v>N/A</v>
      </c>
    </row>
    <row r="4609" spans="12:13">
      <c r="L4609" s="20" t="str">
        <f t="shared" si="142"/>
        <v>N/A</v>
      </c>
      <c r="M4609" s="20" t="str">
        <f t="shared" si="143"/>
        <v>N/A</v>
      </c>
    </row>
    <row r="4610" spans="12:13">
      <c r="L4610" s="20" t="str">
        <f t="shared" si="142"/>
        <v>N/A</v>
      </c>
      <c r="M4610" s="20" t="str">
        <f t="shared" si="143"/>
        <v>N/A</v>
      </c>
    </row>
    <row r="4611" spans="12:13">
      <c r="L4611" s="20" t="str">
        <f t="shared" ref="L4611:L4674" si="144">+IF(LEFT(D4611,1)="1","Asset","N/A")</f>
        <v>N/A</v>
      </c>
      <c r="M4611" s="20" t="str">
        <f t="shared" ref="M4611:M4674" si="145">+IF(L4611="asset",IF(H4611&lt;0,"Provide Comment","okay"),"N/A")</f>
        <v>N/A</v>
      </c>
    </row>
    <row r="4612" spans="12:13">
      <c r="L4612" s="20" t="str">
        <f t="shared" si="144"/>
        <v>N/A</v>
      </c>
      <c r="M4612" s="20" t="str">
        <f t="shared" si="145"/>
        <v>N/A</v>
      </c>
    </row>
    <row r="4613" spans="12:13">
      <c r="L4613" s="20" t="str">
        <f t="shared" si="144"/>
        <v>N/A</v>
      </c>
      <c r="M4613" s="20" t="str">
        <f t="shared" si="145"/>
        <v>N/A</v>
      </c>
    </row>
    <row r="4614" spans="12:13">
      <c r="L4614" s="20" t="str">
        <f t="shared" si="144"/>
        <v>N/A</v>
      </c>
      <c r="M4614" s="20" t="str">
        <f t="shared" si="145"/>
        <v>N/A</v>
      </c>
    </row>
    <row r="4615" spans="12:13">
      <c r="L4615" s="20" t="str">
        <f t="shared" si="144"/>
        <v>N/A</v>
      </c>
      <c r="M4615" s="20" t="str">
        <f t="shared" si="145"/>
        <v>N/A</v>
      </c>
    </row>
    <row r="4616" spans="12:13">
      <c r="L4616" s="20" t="str">
        <f t="shared" si="144"/>
        <v>N/A</v>
      </c>
      <c r="M4616" s="20" t="str">
        <f t="shared" si="145"/>
        <v>N/A</v>
      </c>
    </row>
    <row r="4617" spans="12:13">
      <c r="L4617" s="20" t="str">
        <f t="shared" si="144"/>
        <v>N/A</v>
      </c>
      <c r="M4617" s="20" t="str">
        <f t="shared" si="145"/>
        <v>N/A</v>
      </c>
    </row>
    <row r="4618" spans="12:13">
      <c r="L4618" s="20" t="str">
        <f t="shared" si="144"/>
        <v>N/A</v>
      </c>
      <c r="M4618" s="20" t="str">
        <f t="shared" si="145"/>
        <v>N/A</v>
      </c>
    </row>
    <row r="4619" spans="12:13">
      <c r="L4619" s="20" t="str">
        <f t="shared" si="144"/>
        <v>N/A</v>
      </c>
      <c r="M4619" s="20" t="str">
        <f t="shared" si="145"/>
        <v>N/A</v>
      </c>
    </row>
    <row r="4620" spans="12:13">
      <c r="L4620" s="20" t="str">
        <f t="shared" si="144"/>
        <v>N/A</v>
      </c>
      <c r="M4620" s="20" t="str">
        <f t="shared" si="145"/>
        <v>N/A</v>
      </c>
    </row>
    <row r="4621" spans="12:13">
      <c r="L4621" s="20" t="str">
        <f t="shared" si="144"/>
        <v>N/A</v>
      </c>
      <c r="M4621" s="20" t="str">
        <f t="shared" si="145"/>
        <v>N/A</v>
      </c>
    </row>
    <row r="4622" spans="12:13">
      <c r="L4622" s="20" t="str">
        <f t="shared" si="144"/>
        <v>N/A</v>
      </c>
      <c r="M4622" s="20" t="str">
        <f t="shared" si="145"/>
        <v>N/A</v>
      </c>
    </row>
    <row r="4623" spans="12:13">
      <c r="L4623" s="20" t="str">
        <f t="shared" si="144"/>
        <v>N/A</v>
      </c>
      <c r="M4623" s="20" t="str">
        <f t="shared" si="145"/>
        <v>N/A</v>
      </c>
    </row>
    <row r="4624" spans="12:13">
      <c r="L4624" s="20" t="str">
        <f t="shared" si="144"/>
        <v>N/A</v>
      </c>
      <c r="M4624" s="20" t="str">
        <f t="shared" si="145"/>
        <v>N/A</v>
      </c>
    </row>
    <row r="4625" spans="12:13">
      <c r="L4625" s="20" t="str">
        <f t="shared" si="144"/>
        <v>N/A</v>
      </c>
      <c r="M4625" s="20" t="str">
        <f t="shared" si="145"/>
        <v>N/A</v>
      </c>
    </row>
    <row r="4626" spans="12:13">
      <c r="L4626" s="20" t="str">
        <f t="shared" si="144"/>
        <v>N/A</v>
      </c>
      <c r="M4626" s="20" t="str">
        <f t="shared" si="145"/>
        <v>N/A</v>
      </c>
    </row>
    <row r="4627" spans="12:13">
      <c r="L4627" s="20" t="str">
        <f t="shared" si="144"/>
        <v>N/A</v>
      </c>
      <c r="M4627" s="20" t="str">
        <f t="shared" si="145"/>
        <v>N/A</v>
      </c>
    </row>
    <row r="4628" spans="12:13">
      <c r="L4628" s="20" t="str">
        <f t="shared" si="144"/>
        <v>N/A</v>
      </c>
      <c r="M4628" s="20" t="str">
        <f t="shared" si="145"/>
        <v>N/A</v>
      </c>
    </row>
    <row r="4629" spans="12:13">
      <c r="L4629" s="20" t="str">
        <f t="shared" si="144"/>
        <v>N/A</v>
      </c>
      <c r="M4629" s="20" t="str">
        <f t="shared" si="145"/>
        <v>N/A</v>
      </c>
    </row>
    <row r="4630" spans="12:13">
      <c r="L4630" s="20" t="str">
        <f t="shared" si="144"/>
        <v>N/A</v>
      </c>
      <c r="M4630" s="20" t="str">
        <f t="shared" si="145"/>
        <v>N/A</v>
      </c>
    </row>
    <row r="4631" spans="12:13">
      <c r="L4631" s="20" t="str">
        <f t="shared" si="144"/>
        <v>N/A</v>
      </c>
      <c r="M4631" s="20" t="str">
        <f t="shared" si="145"/>
        <v>N/A</v>
      </c>
    </row>
    <row r="4632" spans="12:13">
      <c r="L4632" s="20" t="str">
        <f t="shared" si="144"/>
        <v>N/A</v>
      </c>
      <c r="M4632" s="20" t="str">
        <f t="shared" si="145"/>
        <v>N/A</v>
      </c>
    </row>
    <row r="4633" spans="12:13">
      <c r="L4633" s="20" t="str">
        <f t="shared" si="144"/>
        <v>N/A</v>
      </c>
      <c r="M4633" s="20" t="str">
        <f t="shared" si="145"/>
        <v>N/A</v>
      </c>
    </row>
    <row r="4634" spans="12:13">
      <c r="L4634" s="20" t="str">
        <f t="shared" si="144"/>
        <v>N/A</v>
      </c>
      <c r="M4634" s="20" t="str">
        <f t="shared" si="145"/>
        <v>N/A</v>
      </c>
    </row>
    <row r="4635" spans="12:13">
      <c r="L4635" s="20" t="str">
        <f t="shared" si="144"/>
        <v>N/A</v>
      </c>
      <c r="M4635" s="20" t="str">
        <f t="shared" si="145"/>
        <v>N/A</v>
      </c>
    </row>
    <row r="4636" spans="12:13">
      <c r="L4636" s="20" t="str">
        <f t="shared" si="144"/>
        <v>N/A</v>
      </c>
      <c r="M4636" s="20" t="str">
        <f t="shared" si="145"/>
        <v>N/A</v>
      </c>
    </row>
    <row r="4637" spans="12:13">
      <c r="L4637" s="20" t="str">
        <f t="shared" si="144"/>
        <v>N/A</v>
      </c>
      <c r="M4637" s="20" t="str">
        <f t="shared" si="145"/>
        <v>N/A</v>
      </c>
    </row>
    <row r="4638" spans="12:13">
      <c r="L4638" s="20" t="str">
        <f t="shared" si="144"/>
        <v>N/A</v>
      </c>
      <c r="M4638" s="20" t="str">
        <f t="shared" si="145"/>
        <v>N/A</v>
      </c>
    </row>
    <row r="4639" spans="12:13">
      <c r="L4639" s="20" t="str">
        <f t="shared" si="144"/>
        <v>N/A</v>
      </c>
      <c r="M4639" s="20" t="str">
        <f t="shared" si="145"/>
        <v>N/A</v>
      </c>
    </row>
    <row r="4640" spans="12:13">
      <c r="L4640" s="20" t="str">
        <f t="shared" si="144"/>
        <v>N/A</v>
      </c>
      <c r="M4640" s="20" t="str">
        <f t="shared" si="145"/>
        <v>N/A</v>
      </c>
    </row>
    <row r="4641" spans="12:13">
      <c r="L4641" s="20" t="str">
        <f t="shared" si="144"/>
        <v>N/A</v>
      </c>
      <c r="M4641" s="20" t="str">
        <f t="shared" si="145"/>
        <v>N/A</v>
      </c>
    </row>
    <row r="4642" spans="12:13">
      <c r="L4642" s="20" t="str">
        <f t="shared" si="144"/>
        <v>N/A</v>
      </c>
      <c r="M4642" s="20" t="str">
        <f t="shared" si="145"/>
        <v>N/A</v>
      </c>
    </row>
    <row r="4643" spans="12:13">
      <c r="L4643" s="20" t="str">
        <f t="shared" si="144"/>
        <v>N/A</v>
      </c>
      <c r="M4643" s="20" t="str">
        <f t="shared" si="145"/>
        <v>N/A</v>
      </c>
    </row>
    <row r="4644" spans="12:13">
      <c r="L4644" s="20" t="str">
        <f t="shared" si="144"/>
        <v>N/A</v>
      </c>
      <c r="M4644" s="20" t="str">
        <f t="shared" si="145"/>
        <v>N/A</v>
      </c>
    </row>
    <row r="4645" spans="12:13">
      <c r="L4645" s="20" t="str">
        <f t="shared" si="144"/>
        <v>N/A</v>
      </c>
      <c r="M4645" s="20" t="str">
        <f t="shared" si="145"/>
        <v>N/A</v>
      </c>
    </row>
    <row r="4646" spans="12:13">
      <c r="L4646" s="20" t="str">
        <f t="shared" si="144"/>
        <v>N/A</v>
      </c>
      <c r="M4646" s="20" t="str">
        <f t="shared" si="145"/>
        <v>N/A</v>
      </c>
    </row>
    <row r="4647" spans="12:13">
      <c r="L4647" s="20" t="str">
        <f t="shared" si="144"/>
        <v>N/A</v>
      </c>
      <c r="M4647" s="20" t="str">
        <f t="shared" si="145"/>
        <v>N/A</v>
      </c>
    </row>
    <row r="4648" spans="12:13">
      <c r="L4648" s="20" t="str">
        <f t="shared" si="144"/>
        <v>N/A</v>
      </c>
      <c r="M4648" s="20" t="str">
        <f t="shared" si="145"/>
        <v>N/A</v>
      </c>
    </row>
    <row r="4649" spans="12:13">
      <c r="L4649" s="20" t="str">
        <f t="shared" si="144"/>
        <v>N/A</v>
      </c>
      <c r="M4649" s="20" t="str">
        <f t="shared" si="145"/>
        <v>N/A</v>
      </c>
    </row>
    <row r="4650" spans="12:13">
      <c r="L4650" s="20" t="str">
        <f t="shared" si="144"/>
        <v>N/A</v>
      </c>
      <c r="M4650" s="20" t="str">
        <f t="shared" si="145"/>
        <v>N/A</v>
      </c>
    </row>
    <row r="4651" spans="12:13">
      <c r="L4651" s="20" t="str">
        <f t="shared" si="144"/>
        <v>N/A</v>
      </c>
      <c r="M4651" s="20" t="str">
        <f t="shared" si="145"/>
        <v>N/A</v>
      </c>
    </row>
    <row r="4652" spans="12:13">
      <c r="L4652" s="20" t="str">
        <f t="shared" si="144"/>
        <v>N/A</v>
      </c>
      <c r="M4652" s="20" t="str">
        <f t="shared" si="145"/>
        <v>N/A</v>
      </c>
    </row>
    <row r="4653" spans="12:13">
      <c r="L4653" s="20" t="str">
        <f t="shared" si="144"/>
        <v>N/A</v>
      </c>
      <c r="M4653" s="20" t="str">
        <f t="shared" si="145"/>
        <v>N/A</v>
      </c>
    </row>
    <row r="4654" spans="12:13">
      <c r="L4654" s="20" t="str">
        <f t="shared" si="144"/>
        <v>N/A</v>
      </c>
      <c r="M4654" s="20" t="str">
        <f t="shared" si="145"/>
        <v>N/A</v>
      </c>
    </row>
    <row r="4655" spans="12:13">
      <c r="L4655" s="20" t="str">
        <f t="shared" si="144"/>
        <v>N/A</v>
      </c>
      <c r="M4655" s="20" t="str">
        <f t="shared" si="145"/>
        <v>N/A</v>
      </c>
    </row>
    <row r="4656" spans="12:13">
      <c r="L4656" s="20" t="str">
        <f t="shared" si="144"/>
        <v>N/A</v>
      </c>
      <c r="M4656" s="20" t="str">
        <f t="shared" si="145"/>
        <v>N/A</v>
      </c>
    </row>
    <row r="4657" spans="12:13">
      <c r="L4657" s="20" t="str">
        <f t="shared" si="144"/>
        <v>N/A</v>
      </c>
      <c r="M4657" s="20" t="str">
        <f t="shared" si="145"/>
        <v>N/A</v>
      </c>
    </row>
    <row r="4658" spans="12:13">
      <c r="L4658" s="20" t="str">
        <f t="shared" si="144"/>
        <v>N/A</v>
      </c>
      <c r="M4658" s="20" t="str">
        <f t="shared" si="145"/>
        <v>N/A</v>
      </c>
    </row>
    <row r="4659" spans="12:13">
      <c r="L4659" s="20" t="str">
        <f t="shared" si="144"/>
        <v>N/A</v>
      </c>
      <c r="M4659" s="20" t="str">
        <f t="shared" si="145"/>
        <v>N/A</v>
      </c>
    </row>
    <row r="4660" spans="12:13">
      <c r="L4660" s="20" t="str">
        <f t="shared" si="144"/>
        <v>N/A</v>
      </c>
      <c r="M4660" s="20" t="str">
        <f t="shared" si="145"/>
        <v>N/A</v>
      </c>
    </row>
    <row r="4661" spans="12:13">
      <c r="L4661" s="20" t="str">
        <f t="shared" si="144"/>
        <v>N/A</v>
      </c>
      <c r="M4661" s="20" t="str">
        <f t="shared" si="145"/>
        <v>N/A</v>
      </c>
    </row>
    <row r="4662" spans="12:13">
      <c r="L4662" s="20" t="str">
        <f t="shared" si="144"/>
        <v>N/A</v>
      </c>
      <c r="M4662" s="20" t="str">
        <f t="shared" si="145"/>
        <v>N/A</v>
      </c>
    </row>
    <row r="4663" spans="12:13">
      <c r="L4663" s="20" t="str">
        <f t="shared" si="144"/>
        <v>N/A</v>
      </c>
      <c r="M4663" s="20" t="str">
        <f t="shared" si="145"/>
        <v>N/A</v>
      </c>
    </row>
    <row r="4664" spans="12:13">
      <c r="L4664" s="20" t="str">
        <f t="shared" si="144"/>
        <v>N/A</v>
      </c>
      <c r="M4664" s="20" t="str">
        <f t="shared" si="145"/>
        <v>N/A</v>
      </c>
    </row>
    <row r="4665" spans="12:13">
      <c r="L4665" s="20" t="str">
        <f t="shared" si="144"/>
        <v>N/A</v>
      </c>
      <c r="M4665" s="20" t="str">
        <f t="shared" si="145"/>
        <v>N/A</v>
      </c>
    </row>
    <row r="4666" spans="12:13">
      <c r="L4666" s="20" t="str">
        <f t="shared" si="144"/>
        <v>N/A</v>
      </c>
      <c r="M4666" s="20" t="str">
        <f t="shared" si="145"/>
        <v>N/A</v>
      </c>
    </row>
    <row r="4667" spans="12:13">
      <c r="L4667" s="20" t="str">
        <f t="shared" si="144"/>
        <v>N/A</v>
      </c>
      <c r="M4667" s="20" t="str">
        <f t="shared" si="145"/>
        <v>N/A</v>
      </c>
    </row>
    <row r="4668" spans="12:13">
      <c r="L4668" s="20" t="str">
        <f t="shared" si="144"/>
        <v>N/A</v>
      </c>
      <c r="M4668" s="20" t="str">
        <f t="shared" si="145"/>
        <v>N/A</v>
      </c>
    </row>
    <row r="4669" spans="12:13">
      <c r="L4669" s="20" t="str">
        <f t="shared" si="144"/>
        <v>N/A</v>
      </c>
      <c r="M4669" s="20" t="str">
        <f t="shared" si="145"/>
        <v>N/A</v>
      </c>
    </row>
    <row r="4670" spans="12:13">
      <c r="L4670" s="20" t="str">
        <f t="shared" si="144"/>
        <v>N/A</v>
      </c>
      <c r="M4670" s="20" t="str">
        <f t="shared" si="145"/>
        <v>N/A</v>
      </c>
    </row>
    <row r="4671" spans="12:13">
      <c r="L4671" s="20" t="str">
        <f t="shared" si="144"/>
        <v>N/A</v>
      </c>
      <c r="M4671" s="20" t="str">
        <f t="shared" si="145"/>
        <v>N/A</v>
      </c>
    </row>
    <row r="4672" spans="12:13">
      <c r="L4672" s="20" t="str">
        <f t="shared" si="144"/>
        <v>N/A</v>
      </c>
      <c r="M4672" s="20" t="str">
        <f t="shared" si="145"/>
        <v>N/A</v>
      </c>
    </row>
    <row r="4673" spans="12:13">
      <c r="L4673" s="20" t="str">
        <f t="shared" si="144"/>
        <v>N/A</v>
      </c>
      <c r="M4673" s="20" t="str">
        <f t="shared" si="145"/>
        <v>N/A</v>
      </c>
    </row>
    <row r="4674" spans="12:13">
      <c r="L4674" s="20" t="str">
        <f t="shared" si="144"/>
        <v>N/A</v>
      </c>
      <c r="M4674" s="20" t="str">
        <f t="shared" si="145"/>
        <v>N/A</v>
      </c>
    </row>
    <row r="4675" spans="12:13">
      <c r="L4675" s="20" t="str">
        <f t="shared" ref="L4675:L4738" si="146">+IF(LEFT(D4675,1)="1","Asset","N/A")</f>
        <v>N/A</v>
      </c>
      <c r="M4675" s="20" t="str">
        <f t="shared" ref="M4675:M4738" si="147">+IF(L4675="asset",IF(H4675&lt;0,"Provide Comment","okay"),"N/A")</f>
        <v>N/A</v>
      </c>
    </row>
    <row r="4676" spans="12:13">
      <c r="L4676" s="20" t="str">
        <f t="shared" si="146"/>
        <v>N/A</v>
      </c>
      <c r="M4676" s="20" t="str">
        <f t="shared" si="147"/>
        <v>N/A</v>
      </c>
    </row>
    <row r="4677" spans="12:13">
      <c r="L4677" s="20" t="str">
        <f t="shared" si="146"/>
        <v>N/A</v>
      </c>
      <c r="M4677" s="20" t="str">
        <f t="shared" si="147"/>
        <v>N/A</v>
      </c>
    </row>
    <row r="4678" spans="12:13">
      <c r="L4678" s="20" t="str">
        <f t="shared" si="146"/>
        <v>N/A</v>
      </c>
      <c r="M4678" s="20" t="str">
        <f t="shared" si="147"/>
        <v>N/A</v>
      </c>
    </row>
    <row r="4679" spans="12:13">
      <c r="L4679" s="20" t="str">
        <f t="shared" si="146"/>
        <v>N/A</v>
      </c>
      <c r="M4679" s="20" t="str">
        <f t="shared" si="147"/>
        <v>N/A</v>
      </c>
    </row>
    <row r="4680" spans="12:13">
      <c r="L4680" s="20" t="str">
        <f t="shared" si="146"/>
        <v>N/A</v>
      </c>
      <c r="M4680" s="20" t="str">
        <f t="shared" si="147"/>
        <v>N/A</v>
      </c>
    </row>
    <row r="4681" spans="12:13">
      <c r="L4681" s="20" t="str">
        <f t="shared" si="146"/>
        <v>N/A</v>
      </c>
      <c r="M4681" s="20" t="str">
        <f t="shared" si="147"/>
        <v>N/A</v>
      </c>
    </row>
    <row r="4682" spans="12:13">
      <c r="L4682" s="20" t="str">
        <f t="shared" si="146"/>
        <v>N/A</v>
      </c>
      <c r="M4682" s="20" t="str">
        <f t="shared" si="147"/>
        <v>N/A</v>
      </c>
    </row>
    <row r="4683" spans="12:13">
      <c r="L4683" s="20" t="str">
        <f t="shared" si="146"/>
        <v>N/A</v>
      </c>
      <c r="M4683" s="20" t="str">
        <f t="shared" si="147"/>
        <v>N/A</v>
      </c>
    </row>
    <row r="4684" spans="12:13">
      <c r="L4684" s="20" t="str">
        <f t="shared" si="146"/>
        <v>N/A</v>
      </c>
      <c r="M4684" s="20" t="str">
        <f t="shared" si="147"/>
        <v>N/A</v>
      </c>
    </row>
    <row r="4685" spans="12:13">
      <c r="L4685" s="20" t="str">
        <f t="shared" si="146"/>
        <v>N/A</v>
      </c>
      <c r="M4685" s="20" t="str">
        <f t="shared" si="147"/>
        <v>N/A</v>
      </c>
    </row>
    <row r="4686" spans="12:13">
      <c r="L4686" s="20" t="str">
        <f t="shared" si="146"/>
        <v>N/A</v>
      </c>
      <c r="M4686" s="20" t="str">
        <f t="shared" si="147"/>
        <v>N/A</v>
      </c>
    </row>
    <row r="4687" spans="12:13">
      <c r="L4687" s="20" t="str">
        <f t="shared" si="146"/>
        <v>N/A</v>
      </c>
      <c r="M4687" s="20" t="str">
        <f t="shared" si="147"/>
        <v>N/A</v>
      </c>
    </row>
    <row r="4688" spans="12:13">
      <c r="L4688" s="20" t="str">
        <f t="shared" si="146"/>
        <v>N/A</v>
      </c>
      <c r="M4688" s="20" t="str">
        <f t="shared" si="147"/>
        <v>N/A</v>
      </c>
    </row>
    <row r="4689" spans="12:13">
      <c r="L4689" s="20" t="str">
        <f t="shared" si="146"/>
        <v>N/A</v>
      </c>
      <c r="M4689" s="20" t="str">
        <f t="shared" si="147"/>
        <v>N/A</v>
      </c>
    </row>
    <row r="4690" spans="12:13">
      <c r="L4690" s="20" t="str">
        <f t="shared" si="146"/>
        <v>N/A</v>
      </c>
      <c r="M4690" s="20" t="str">
        <f t="shared" si="147"/>
        <v>N/A</v>
      </c>
    </row>
    <row r="4691" spans="12:13">
      <c r="L4691" s="20" t="str">
        <f t="shared" si="146"/>
        <v>N/A</v>
      </c>
      <c r="M4691" s="20" t="str">
        <f t="shared" si="147"/>
        <v>N/A</v>
      </c>
    </row>
    <row r="4692" spans="12:13">
      <c r="L4692" s="20" t="str">
        <f t="shared" si="146"/>
        <v>N/A</v>
      </c>
      <c r="M4692" s="20" t="str">
        <f t="shared" si="147"/>
        <v>N/A</v>
      </c>
    </row>
    <row r="4693" spans="12:13">
      <c r="L4693" s="20" t="str">
        <f t="shared" si="146"/>
        <v>N/A</v>
      </c>
      <c r="M4693" s="20" t="str">
        <f t="shared" si="147"/>
        <v>N/A</v>
      </c>
    </row>
    <row r="4694" spans="12:13">
      <c r="L4694" s="20" t="str">
        <f t="shared" si="146"/>
        <v>N/A</v>
      </c>
      <c r="M4694" s="20" t="str">
        <f t="shared" si="147"/>
        <v>N/A</v>
      </c>
    </row>
    <row r="4695" spans="12:13">
      <c r="L4695" s="20" t="str">
        <f t="shared" si="146"/>
        <v>N/A</v>
      </c>
      <c r="M4695" s="20" t="str">
        <f t="shared" si="147"/>
        <v>N/A</v>
      </c>
    </row>
    <row r="4696" spans="12:13">
      <c r="L4696" s="20" t="str">
        <f t="shared" si="146"/>
        <v>N/A</v>
      </c>
      <c r="M4696" s="20" t="str">
        <f t="shared" si="147"/>
        <v>N/A</v>
      </c>
    </row>
    <row r="4697" spans="12:13">
      <c r="L4697" s="20" t="str">
        <f t="shared" si="146"/>
        <v>N/A</v>
      </c>
      <c r="M4697" s="20" t="str">
        <f t="shared" si="147"/>
        <v>N/A</v>
      </c>
    </row>
    <row r="4698" spans="12:13">
      <c r="L4698" s="20" t="str">
        <f t="shared" si="146"/>
        <v>N/A</v>
      </c>
      <c r="M4698" s="20" t="str">
        <f t="shared" si="147"/>
        <v>N/A</v>
      </c>
    </row>
    <row r="4699" spans="12:13">
      <c r="L4699" s="20" t="str">
        <f t="shared" si="146"/>
        <v>N/A</v>
      </c>
      <c r="M4699" s="20" t="str">
        <f t="shared" si="147"/>
        <v>N/A</v>
      </c>
    </row>
    <row r="4700" spans="12:13">
      <c r="L4700" s="20" t="str">
        <f t="shared" si="146"/>
        <v>N/A</v>
      </c>
      <c r="M4700" s="20" t="str">
        <f t="shared" si="147"/>
        <v>N/A</v>
      </c>
    </row>
    <row r="4701" spans="12:13">
      <c r="L4701" s="20" t="str">
        <f t="shared" si="146"/>
        <v>N/A</v>
      </c>
      <c r="M4701" s="20" t="str">
        <f t="shared" si="147"/>
        <v>N/A</v>
      </c>
    </row>
    <row r="4702" spans="12:13">
      <c r="L4702" s="20" t="str">
        <f t="shared" si="146"/>
        <v>N/A</v>
      </c>
      <c r="M4702" s="20" t="str">
        <f t="shared" si="147"/>
        <v>N/A</v>
      </c>
    </row>
    <row r="4703" spans="12:13">
      <c r="L4703" s="20" t="str">
        <f t="shared" si="146"/>
        <v>N/A</v>
      </c>
      <c r="M4703" s="20" t="str">
        <f t="shared" si="147"/>
        <v>N/A</v>
      </c>
    </row>
    <row r="4704" spans="12:13">
      <c r="L4704" s="20" t="str">
        <f t="shared" si="146"/>
        <v>N/A</v>
      </c>
      <c r="M4704" s="20" t="str">
        <f t="shared" si="147"/>
        <v>N/A</v>
      </c>
    </row>
    <row r="4705" spans="12:13">
      <c r="L4705" s="20" t="str">
        <f t="shared" si="146"/>
        <v>N/A</v>
      </c>
      <c r="M4705" s="20" t="str">
        <f t="shared" si="147"/>
        <v>N/A</v>
      </c>
    </row>
    <row r="4706" spans="12:13">
      <c r="L4706" s="20" t="str">
        <f t="shared" si="146"/>
        <v>N/A</v>
      </c>
      <c r="M4706" s="20" t="str">
        <f t="shared" si="147"/>
        <v>N/A</v>
      </c>
    </row>
    <row r="4707" spans="12:13">
      <c r="L4707" s="20" t="str">
        <f t="shared" si="146"/>
        <v>N/A</v>
      </c>
      <c r="M4707" s="20" t="str">
        <f t="shared" si="147"/>
        <v>N/A</v>
      </c>
    </row>
    <row r="4708" spans="12:13">
      <c r="L4708" s="20" t="str">
        <f t="shared" si="146"/>
        <v>N/A</v>
      </c>
      <c r="M4708" s="20" t="str">
        <f t="shared" si="147"/>
        <v>N/A</v>
      </c>
    </row>
    <row r="4709" spans="12:13">
      <c r="L4709" s="20" t="str">
        <f t="shared" si="146"/>
        <v>N/A</v>
      </c>
      <c r="M4709" s="20" t="str">
        <f t="shared" si="147"/>
        <v>N/A</v>
      </c>
    </row>
    <row r="4710" spans="12:13">
      <c r="L4710" s="20" t="str">
        <f t="shared" si="146"/>
        <v>N/A</v>
      </c>
      <c r="M4710" s="20" t="str">
        <f t="shared" si="147"/>
        <v>N/A</v>
      </c>
    </row>
    <row r="4711" spans="12:13">
      <c r="L4711" s="20" t="str">
        <f t="shared" si="146"/>
        <v>N/A</v>
      </c>
      <c r="M4711" s="20" t="str">
        <f t="shared" si="147"/>
        <v>N/A</v>
      </c>
    </row>
    <row r="4712" spans="12:13">
      <c r="L4712" s="20" t="str">
        <f t="shared" si="146"/>
        <v>N/A</v>
      </c>
      <c r="M4712" s="20" t="str">
        <f t="shared" si="147"/>
        <v>N/A</v>
      </c>
    </row>
    <row r="4713" spans="12:13">
      <c r="L4713" s="20" t="str">
        <f t="shared" si="146"/>
        <v>N/A</v>
      </c>
      <c r="M4713" s="20" t="str">
        <f t="shared" si="147"/>
        <v>N/A</v>
      </c>
    </row>
    <row r="4714" spans="12:13">
      <c r="L4714" s="20" t="str">
        <f t="shared" si="146"/>
        <v>N/A</v>
      </c>
      <c r="M4714" s="20" t="str">
        <f t="shared" si="147"/>
        <v>N/A</v>
      </c>
    </row>
    <row r="4715" spans="12:13">
      <c r="L4715" s="20" t="str">
        <f t="shared" si="146"/>
        <v>N/A</v>
      </c>
      <c r="M4715" s="20" t="str">
        <f t="shared" si="147"/>
        <v>N/A</v>
      </c>
    </row>
    <row r="4716" spans="12:13">
      <c r="L4716" s="20" t="str">
        <f t="shared" si="146"/>
        <v>N/A</v>
      </c>
      <c r="M4716" s="20" t="str">
        <f t="shared" si="147"/>
        <v>N/A</v>
      </c>
    </row>
    <row r="4717" spans="12:13">
      <c r="L4717" s="20" t="str">
        <f t="shared" si="146"/>
        <v>N/A</v>
      </c>
      <c r="M4717" s="20" t="str">
        <f t="shared" si="147"/>
        <v>N/A</v>
      </c>
    </row>
    <row r="4718" spans="12:13">
      <c r="L4718" s="20" t="str">
        <f t="shared" si="146"/>
        <v>N/A</v>
      </c>
      <c r="M4718" s="20" t="str">
        <f t="shared" si="147"/>
        <v>N/A</v>
      </c>
    </row>
    <row r="4719" spans="12:13">
      <c r="L4719" s="20" t="str">
        <f t="shared" si="146"/>
        <v>N/A</v>
      </c>
      <c r="M4719" s="20" t="str">
        <f t="shared" si="147"/>
        <v>N/A</v>
      </c>
    </row>
    <row r="4720" spans="12:13">
      <c r="L4720" s="20" t="str">
        <f t="shared" si="146"/>
        <v>N/A</v>
      </c>
      <c r="M4720" s="20" t="str">
        <f t="shared" si="147"/>
        <v>N/A</v>
      </c>
    </row>
    <row r="4721" spans="12:13">
      <c r="L4721" s="20" t="str">
        <f t="shared" si="146"/>
        <v>N/A</v>
      </c>
      <c r="M4721" s="20" t="str">
        <f t="shared" si="147"/>
        <v>N/A</v>
      </c>
    </row>
    <row r="4722" spans="12:13">
      <c r="L4722" s="20" t="str">
        <f t="shared" si="146"/>
        <v>N/A</v>
      </c>
      <c r="M4722" s="20" t="str">
        <f t="shared" si="147"/>
        <v>N/A</v>
      </c>
    </row>
    <row r="4723" spans="12:13">
      <c r="L4723" s="20" t="str">
        <f t="shared" si="146"/>
        <v>N/A</v>
      </c>
      <c r="M4723" s="20" t="str">
        <f t="shared" si="147"/>
        <v>N/A</v>
      </c>
    </row>
    <row r="4724" spans="12:13">
      <c r="L4724" s="20" t="str">
        <f t="shared" si="146"/>
        <v>N/A</v>
      </c>
      <c r="M4724" s="20" t="str">
        <f t="shared" si="147"/>
        <v>N/A</v>
      </c>
    </row>
    <row r="4725" spans="12:13">
      <c r="L4725" s="20" t="str">
        <f t="shared" si="146"/>
        <v>N/A</v>
      </c>
      <c r="M4725" s="20" t="str">
        <f t="shared" si="147"/>
        <v>N/A</v>
      </c>
    </row>
    <row r="4726" spans="12:13">
      <c r="L4726" s="20" t="str">
        <f t="shared" si="146"/>
        <v>N/A</v>
      </c>
      <c r="M4726" s="20" t="str">
        <f t="shared" si="147"/>
        <v>N/A</v>
      </c>
    </row>
    <row r="4727" spans="12:13">
      <c r="L4727" s="20" t="str">
        <f t="shared" si="146"/>
        <v>N/A</v>
      </c>
      <c r="M4727" s="20" t="str">
        <f t="shared" si="147"/>
        <v>N/A</v>
      </c>
    </row>
    <row r="4728" spans="12:13">
      <c r="L4728" s="20" t="str">
        <f t="shared" si="146"/>
        <v>N/A</v>
      </c>
      <c r="M4728" s="20" t="str">
        <f t="shared" si="147"/>
        <v>N/A</v>
      </c>
    </row>
    <row r="4729" spans="12:13">
      <c r="L4729" s="20" t="str">
        <f t="shared" si="146"/>
        <v>N/A</v>
      </c>
      <c r="M4729" s="20" t="str">
        <f t="shared" si="147"/>
        <v>N/A</v>
      </c>
    </row>
    <row r="4730" spans="12:13">
      <c r="L4730" s="20" t="str">
        <f t="shared" si="146"/>
        <v>N/A</v>
      </c>
      <c r="M4730" s="20" t="str">
        <f t="shared" si="147"/>
        <v>N/A</v>
      </c>
    </row>
    <row r="4731" spans="12:13">
      <c r="L4731" s="20" t="str">
        <f t="shared" si="146"/>
        <v>N/A</v>
      </c>
      <c r="M4731" s="20" t="str">
        <f t="shared" si="147"/>
        <v>N/A</v>
      </c>
    </row>
    <row r="4732" spans="12:13">
      <c r="L4732" s="20" t="str">
        <f t="shared" si="146"/>
        <v>N/A</v>
      </c>
      <c r="M4732" s="20" t="str">
        <f t="shared" si="147"/>
        <v>N/A</v>
      </c>
    </row>
    <row r="4733" spans="12:13">
      <c r="L4733" s="20" t="str">
        <f t="shared" si="146"/>
        <v>N/A</v>
      </c>
      <c r="M4733" s="20" t="str">
        <f t="shared" si="147"/>
        <v>N/A</v>
      </c>
    </row>
    <row r="4734" spans="12:13">
      <c r="L4734" s="20" t="str">
        <f t="shared" si="146"/>
        <v>N/A</v>
      </c>
      <c r="M4734" s="20" t="str">
        <f t="shared" si="147"/>
        <v>N/A</v>
      </c>
    </row>
    <row r="4735" spans="12:13">
      <c r="L4735" s="20" t="str">
        <f t="shared" si="146"/>
        <v>N/A</v>
      </c>
      <c r="M4735" s="20" t="str">
        <f t="shared" si="147"/>
        <v>N/A</v>
      </c>
    </row>
    <row r="4736" spans="12:13">
      <c r="L4736" s="20" t="str">
        <f t="shared" si="146"/>
        <v>N/A</v>
      </c>
      <c r="M4736" s="20" t="str">
        <f t="shared" si="147"/>
        <v>N/A</v>
      </c>
    </row>
    <row r="4737" spans="12:13">
      <c r="L4737" s="20" t="str">
        <f t="shared" si="146"/>
        <v>N/A</v>
      </c>
      <c r="M4737" s="20" t="str">
        <f t="shared" si="147"/>
        <v>N/A</v>
      </c>
    </row>
    <row r="4738" spans="12:13">
      <c r="L4738" s="20" t="str">
        <f t="shared" si="146"/>
        <v>N/A</v>
      </c>
      <c r="M4738" s="20" t="str">
        <f t="shared" si="147"/>
        <v>N/A</v>
      </c>
    </row>
    <row r="4739" spans="12:13">
      <c r="L4739" s="20" t="str">
        <f t="shared" ref="L4739:L4802" si="148">+IF(LEFT(D4739,1)="1","Asset","N/A")</f>
        <v>N/A</v>
      </c>
      <c r="M4739" s="20" t="str">
        <f t="shared" ref="M4739:M4802" si="149">+IF(L4739="asset",IF(H4739&lt;0,"Provide Comment","okay"),"N/A")</f>
        <v>N/A</v>
      </c>
    </row>
    <row r="4740" spans="12:13">
      <c r="L4740" s="20" t="str">
        <f t="shared" si="148"/>
        <v>N/A</v>
      </c>
      <c r="M4740" s="20" t="str">
        <f t="shared" si="149"/>
        <v>N/A</v>
      </c>
    </row>
    <row r="4741" spans="12:13">
      <c r="L4741" s="20" t="str">
        <f t="shared" si="148"/>
        <v>N/A</v>
      </c>
      <c r="M4741" s="20" t="str">
        <f t="shared" si="149"/>
        <v>N/A</v>
      </c>
    </row>
    <row r="4742" spans="12:13">
      <c r="L4742" s="20" t="str">
        <f t="shared" si="148"/>
        <v>N/A</v>
      </c>
      <c r="M4742" s="20" t="str">
        <f t="shared" si="149"/>
        <v>N/A</v>
      </c>
    </row>
    <row r="4743" spans="12:13">
      <c r="L4743" s="20" t="str">
        <f t="shared" si="148"/>
        <v>N/A</v>
      </c>
      <c r="M4743" s="20" t="str">
        <f t="shared" si="149"/>
        <v>N/A</v>
      </c>
    </row>
    <row r="4744" spans="12:13">
      <c r="L4744" s="20" t="str">
        <f t="shared" si="148"/>
        <v>N/A</v>
      </c>
      <c r="M4744" s="20" t="str">
        <f t="shared" si="149"/>
        <v>N/A</v>
      </c>
    </row>
    <row r="4745" spans="12:13">
      <c r="L4745" s="20" t="str">
        <f t="shared" si="148"/>
        <v>N/A</v>
      </c>
      <c r="M4745" s="20" t="str">
        <f t="shared" si="149"/>
        <v>N/A</v>
      </c>
    </row>
    <row r="4746" spans="12:13">
      <c r="L4746" s="20" t="str">
        <f t="shared" si="148"/>
        <v>N/A</v>
      </c>
      <c r="M4746" s="20" t="str">
        <f t="shared" si="149"/>
        <v>N/A</v>
      </c>
    </row>
    <row r="4747" spans="12:13">
      <c r="L4747" s="20" t="str">
        <f t="shared" si="148"/>
        <v>N/A</v>
      </c>
      <c r="M4747" s="20" t="str">
        <f t="shared" si="149"/>
        <v>N/A</v>
      </c>
    </row>
    <row r="4748" spans="12:13">
      <c r="L4748" s="20" t="str">
        <f t="shared" si="148"/>
        <v>N/A</v>
      </c>
      <c r="M4748" s="20" t="str">
        <f t="shared" si="149"/>
        <v>N/A</v>
      </c>
    </row>
    <row r="4749" spans="12:13">
      <c r="L4749" s="20" t="str">
        <f t="shared" si="148"/>
        <v>N/A</v>
      </c>
      <c r="M4749" s="20" t="str">
        <f t="shared" si="149"/>
        <v>N/A</v>
      </c>
    </row>
    <row r="4750" spans="12:13">
      <c r="L4750" s="20" t="str">
        <f t="shared" si="148"/>
        <v>N/A</v>
      </c>
      <c r="M4750" s="20" t="str">
        <f t="shared" si="149"/>
        <v>N/A</v>
      </c>
    </row>
    <row r="4751" spans="12:13">
      <c r="L4751" s="20" t="str">
        <f t="shared" si="148"/>
        <v>N/A</v>
      </c>
      <c r="M4751" s="20" t="str">
        <f t="shared" si="149"/>
        <v>N/A</v>
      </c>
    </row>
    <row r="4752" spans="12:13">
      <c r="L4752" s="20" t="str">
        <f t="shared" si="148"/>
        <v>N/A</v>
      </c>
      <c r="M4752" s="20" t="str">
        <f t="shared" si="149"/>
        <v>N/A</v>
      </c>
    </row>
    <row r="4753" spans="12:13">
      <c r="L4753" s="20" t="str">
        <f t="shared" si="148"/>
        <v>N/A</v>
      </c>
      <c r="M4753" s="20" t="str">
        <f t="shared" si="149"/>
        <v>N/A</v>
      </c>
    </row>
    <row r="4754" spans="12:13">
      <c r="L4754" s="20" t="str">
        <f t="shared" si="148"/>
        <v>N/A</v>
      </c>
      <c r="M4754" s="20" t="str">
        <f t="shared" si="149"/>
        <v>N/A</v>
      </c>
    </row>
    <row r="4755" spans="12:13">
      <c r="L4755" s="20" t="str">
        <f t="shared" si="148"/>
        <v>N/A</v>
      </c>
      <c r="M4755" s="20" t="str">
        <f t="shared" si="149"/>
        <v>N/A</v>
      </c>
    </row>
    <row r="4756" spans="12:13">
      <c r="L4756" s="20" t="str">
        <f t="shared" si="148"/>
        <v>N/A</v>
      </c>
      <c r="M4756" s="20" t="str">
        <f t="shared" si="149"/>
        <v>N/A</v>
      </c>
    </row>
    <row r="4757" spans="12:13">
      <c r="L4757" s="20" t="str">
        <f t="shared" si="148"/>
        <v>N/A</v>
      </c>
      <c r="M4757" s="20" t="str">
        <f t="shared" si="149"/>
        <v>N/A</v>
      </c>
    </row>
    <row r="4758" spans="12:13">
      <c r="L4758" s="20" t="str">
        <f t="shared" si="148"/>
        <v>N/A</v>
      </c>
      <c r="M4758" s="20" t="str">
        <f t="shared" si="149"/>
        <v>N/A</v>
      </c>
    </row>
    <row r="4759" spans="12:13">
      <c r="L4759" s="20" t="str">
        <f t="shared" si="148"/>
        <v>N/A</v>
      </c>
      <c r="M4759" s="20" t="str">
        <f t="shared" si="149"/>
        <v>N/A</v>
      </c>
    </row>
    <row r="4760" spans="12:13">
      <c r="L4760" s="20" t="str">
        <f t="shared" si="148"/>
        <v>N/A</v>
      </c>
      <c r="M4760" s="20" t="str">
        <f t="shared" si="149"/>
        <v>N/A</v>
      </c>
    </row>
    <row r="4761" spans="12:13">
      <c r="L4761" s="20" t="str">
        <f t="shared" si="148"/>
        <v>N/A</v>
      </c>
      <c r="M4761" s="20" t="str">
        <f t="shared" si="149"/>
        <v>N/A</v>
      </c>
    </row>
    <row r="4762" spans="12:13">
      <c r="L4762" s="20" t="str">
        <f t="shared" si="148"/>
        <v>N/A</v>
      </c>
      <c r="M4762" s="20" t="str">
        <f t="shared" si="149"/>
        <v>N/A</v>
      </c>
    </row>
    <row r="4763" spans="12:13">
      <c r="L4763" s="20" t="str">
        <f t="shared" si="148"/>
        <v>N/A</v>
      </c>
      <c r="M4763" s="20" t="str">
        <f t="shared" si="149"/>
        <v>N/A</v>
      </c>
    </row>
    <row r="4764" spans="12:13">
      <c r="L4764" s="20" t="str">
        <f t="shared" si="148"/>
        <v>N/A</v>
      </c>
      <c r="M4764" s="20" t="str">
        <f t="shared" si="149"/>
        <v>N/A</v>
      </c>
    </row>
    <row r="4765" spans="12:13">
      <c r="L4765" s="20" t="str">
        <f t="shared" si="148"/>
        <v>N/A</v>
      </c>
      <c r="M4765" s="20" t="str">
        <f t="shared" si="149"/>
        <v>N/A</v>
      </c>
    </row>
    <row r="4766" spans="12:13">
      <c r="L4766" s="20" t="str">
        <f t="shared" si="148"/>
        <v>N/A</v>
      </c>
      <c r="M4766" s="20" t="str">
        <f t="shared" si="149"/>
        <v>N/A</v>
      </c>
    </row>
    <row r="4767" spans="12:13">
      <c r="L4767" s="20" t="str">
        <f t="shared" si="148"/>
        <v>N/A</v>
      </c>
      <c r="M4767" s="20" t="str">
        <f t="shared" si="149"/>
        <v>N/A</v>
      </c>
    </row>
    <row r="4768" spans="12:13">
      <c r="L4768" s="20" t="str">
        <f t="shared" si="148"/>
        <v>N/A</v>
      </c>
      <c r="M4768" s="20" t="str">
        <f t="shared" si="149"/>
        <v>N/A</v>
      </c>
    </row>
    <row r="4769" spans="12:13">
      <c r="L4769" s="20" t="str">
        <f t="shared" si="148"/>
        <v>N/A</v>
      </c>
      <c r="M4769" s="20" t="str">
        <f t="shared" si="149"/>
        <v>N/A</v>
      </c>
    </row>
    <row r="4770" spans="12:13">
      <c r="L4770" s="20" t="str">
        <f t="shared" si="148"/>
        <v>N/A</v>
      </c>
      <c r="M4770" s="20" t="str">
        <f t="shared" si="149"/>
        <v>N/A</v>
      </c>
    </row>
    <row r="4771" spans="12:13">
      <c r="L4771" s="20" t="str">
        <f t="shared" si="148"/>
        <v>N/A</v>
      </c>
      <c r="M4771" s="20" t="str">
        <f t="shared" si="149"/>
        <v>N/A</v>
      </c>
    </row>
    <row r="4772" spans="12:13">
      <c r="L4772" s="20" t="str">
        <f t="shared" si="148"/>
        <v>N/A</v>
      </c>
      <c r="M4772" s="20" t="str">
        <f t="shared" si="149"/>
        <v>N/A</v>
      </c>
    </row>
    <row r="4773" spans="12:13">
      <c r="L4773" s="20" t="str">
        <f t="shared" si="148"/>
        <v>N/A</v>
      </c>
      <c r="M4773" s="20" t="str">
        <f t="shared" si="149"/>
        <v>N/A</v>
      </c>
    </row>
    <row r="4774" spans="12:13">
      <c r="L4774" s="20" t="str">
        <f t="shared" si="148"/>
        <v>N/A</v>
      </c>
      <c r="M4774" s="20" t="str">
        <f t="shared" si="149"/>
        <v>N/A</v>
      </c>
    </row>
    <row r="4775" spans="12:13">
      <c r="L4775" s="20" t="str">
        <f t="shared" si="148"/>
        <v>N/A</v>
      </c>
      <c r="M4775" s="20" t="str">
        <f t="shared" si="149"/>
        <v>N/A</v>
      </c>
    </row>
    <row r="4776" spans="12:13">
      <c r="L4776" s="20" t="str">
        <f t="shared" si="148"/>
        <v>N/A</v>
      </c>
      <c r="M4776" s="20" t="str">
        <f t="shared" si="149"/>
        <v>N/A</v>
      </c>
    </row>
    <row r="4777" spans="12:13">
      <c r="L4777" s="20" t="str">
        <f t="shared" si="148"/>
        <v>N/A</v>
      </c>
      <c r="M4777" s="20" t="str">
        <f t="shared" si="149"/>
        <v>N/A</v>
      </c>
    </row>
    <row r="4778" spans="12:13">
      <c r="L4778" s="20" t="str">
        <f t="shared" si="148"/>
        <v>N/A</v>
      </c>
      <c r="M4778" s="20" t="str">
        <f t="shared" si="149"/>
        <v>N/A</v>
      </c>
    </row>
    <row r="4779" spans="12:13">
      <c r="L4779" s="20" t="str">
        <f t="shared" si="148"/>
        <v>N/A</v>
      </c>
      <c r="M4779" s="20" t="str">
        <f t="shared" si="149"/>
        <v>N/A</v>
      </c>
    </row>
    <row r="4780" spans="12:13">
      <c r="L4780" s="20" t="str">
        <f t="shared" si="148"/>
        <v>N/A</v>
      </c>
      <c r="M4780" s="20" t="str">
        <f t="shared" si="149"/>
        <v>N/A</v>
      </c>
    </row>
    <row r="4781" spans="12:13">
      <c r="L4781" s="20" t="str">
        <f t="shared" si="148"/>
        <v>N/A</v>
      </c>
      <c r="M4781" s="20" t="str">
        <f t="shared" si="149"/>
        <v>N/A</v>
      </c>
    </row>
    <row r="4782" spans="12:13">
      <c r="L4782" s="20" t="str">
        <f t="shared" si="148"/>
        <v>N/A</v>
      </c>
      <c r="M4782" s="20" t="str">
        <f t="shared" si="149"/>
        <v>N/A</v>
      </c>
    </row>
    <row r="4783" spans="12:13">
      <c r="L4783" s="20" t="str">
        <f t="shared" si="148"/>
        <v>N/A</v>
      </c>
      <c r="M4783" s="20" t="str">
        <f t="shared" si="149"/>
        <v>N/A</v>
      </c>
    </row>
    <row r="4784" spans="12:13">
      <c r="L4784" s="20" t="str">
        <f t="shared" si="148"/>
        <v>N/A</v>
      </c>
      <c r="M4784" s="20" t="str">
        <f t="shared" si="149"/>
        <v>N/A</v>
      </c>
    </row>
    <row r="4785" spans="12:13">
      <c r="L4785" s="20" t="str">
        <f t="shared" si="148"/>
        <v>N/A</v>
      </c>
      <c r="M4785" s="20" t="str">
        <f t="shared" si="149"/>
        <v>N/A</v>
      </c>
    </row>
    <row r="4786" spans="12:13">
      <c r="L4786" s="20" t="str">
        <f t="shared" si="148"/>
        <v>N/A</v>
      </c>
      <c r="M4786" s="20" t="str">
        <f t="shared" si="149"/>
        <v>N/A</v>
      </c>
    </row>
    <row r="4787" spans="12:13">
      <c r="L4787" s="20" t="str">
        <f t="shared" si="148"/>
        <v>N/A</v>
      </c>
      <c r="M4787" s="20" t="str">
        <f t="shared" si="149"/>
        <v>N/A</v>
      </c>
    </row>
    <row r="4788" spans="12:13">
      <c r="L4788" s="20" t="str">
        <f t="shared" si="148"/>
        <v>N/A</v>
      </c>
      <c r="M4788" s="20" t="str">
        <f t="shared" si="149"/>
        <v>N/A</v>
      </c>
    </row>
    <row r="4789" spans="12:13">
      <c r="L4789" s="20" t="str">
        <f t="shared" si="148"/>
        <v>N/A</v>
      </c>
      <c r="M4789" s="20" t="str">
        <f t="shared" si="149"/>
        <v>N/A</v>
      </c>
    </row>
    <row r="4790" spans="12:13">
      <c r="L4790" s="20" t="str">
        <f t="shared" si="148"/>
        <v>N/A</v>
      </c>
      <c r="M4790" s="20" t="str">
        <f t="shared" si="149"/>
        <v>N/A</v>
      </c>
    </row>
    <row r="4791" spans="12:13">
      <c r="L4791" s="20" t="str">
        <f t="shared" si="148"/>
        <v>N/A</v>
      </c>
      <c r="M4791" s="20" t="str">
        <f t="shared" si="149"/>
        <v>N/A</v>
      </c>
    </row>
    <row r="4792" spans="12:13">
      <c r="L4792" s="20" t="str">
        <f t="shared" si="148"/>
        <v>N/A</v>
      </c>
      <c r="M4792" s="20" t="str">
        <f t="shared" si="149"/>
        <v>N/A</v>
      </c>
    </row>
    <row r="4793" spans="12:13">
      <c r="L4793" s="20" t="str">
        <f t="shared" si="148"/>
        <v>N/A</v>
      </c>
      <c r="M4793" s="20" t="str">
        <f t="shared" si="149"/>
        <v>N/A</v>
      </c>
    </row>
    <row r="4794" spans="12:13">
      <c r="L4794" s="20" t="str">
        <f t="shared" si="148"/>
        <v>N/A</v>
      </c>
      <c r="M4794" s="20" t="str">
        <f t="shared" si="149"/>
        <v>N/A</v>
      </c>
    </row>
    <row r="4795" spans="12:13">
      <c r="L4795" s="20" t="str">
        <f t="shared" si="148"/>
        <v>N/A</v>
      </c>
      <c r="M4795" s="20" t="str">
        <f t="shared" si="149"/>
        <v>N/A</v>
      </c>
    </row>
    <row r="4796" spans="12:13">
      <c r="L4796" s="20" t="str">
        <f t="shared" si="148"/>
        <v>N/A</v>
      </c>
      <c r="M4796" s="20" t="str">
        <f t="shared" si="149"/>
        <v>N/A</v>
      </c>
    </row>
    <row r="4797" spans="12:13">
      <c r="L4797" s="20" t="str">
        <f t="shared" si="148"/>
        <v>N/A</v>
      </c>
      <c r="M4797" s="20" t="str">
        <f t="shared" si="149"/>
        <v>N/A</v>
      </c>
    </row>
    <row r="4798" spans="12:13">
      <c r="L4798" s="20" t="str">
        <f t="shared" si="148"/>
        <v>N/A</v>
      </c>
      <c r="M4798" s="20" t="str">
        <f t="shared" si="149"/>
        <v>N/A</v>
      </c>
    </row>
    <row r="4799" spans="12:13">
      <c r="L4799" s="20" t="str">
        <f t="shared" si="148"/>
        <v>N/A</v>
      </c>
      <c r="M4799" s="20" t="str">
        <f t="shared" si="149"/>
        <v>N/A</v>
      </c>
    </row>
    <row r="4800" spans="12:13">
      <c r="L4800" s="20" t="str">
        <f t="shared" si="148"/>
        <v>N/A</v>
      </c>
      <c r="M4800" s="20" t="str">
        <f t="shared" si="149"/>
        <v>N/A</v>
      </c>
    </row>
    <row r="4801" spans="12:13">
      <c r="L4801" s="20" t="str">
        <f t="shared" si="148"/>
        <v>N/A</v>
      </c>
      <c r="M4801" s="20" t="str">
        <f t="shared" si="149"/>
        <v>N/A</v>
      </c>
    </row>
    <row r="4802" spans="12:13">
      <c r="L4802" s="20" t="str">
        <f t="shared" si="148"/>
        <v>N/A</v>
      </c>
      <c r="M4802" s="20" t="str">
        <f t="shared" si="149"/>
        <v>N/A</v>
      </c>
    </row>
    <row r="4803" spans="12:13">
      <c r="L4803" s="20" t="str">
        <f t="shared" ref="L4803:L4866" si="150">+IF(LEFT(D4803,1)="1","Asset","N/A")</f>
        <v>N/A</v>
      </c>
      <c r="M4803" s="20" t="str">
        <f t="shared" ref="M4803:M4866" si="151">+IF(L4803="asset",IF(H4803&lt;0,"Provide Comment","okay"),"N/A")</f>
        <v>N/A</v>
      </c>
    </row>
    <row r="4804" spans="12:13">
      <c r="L4804" s="20" t="str">
        <f t="shared" si="150"/>
        <v>N/A</v>
      </c>
      <c r="M4804" s="20" t="str">
        <f t="shared" si="151"/>
        <v>N/A</v>
      </c>
    </row>
    <row r="4805" spans="12:13">
      <c r="L4805" s="20" t="str">
        <f t="shared" si="150"/>
        <v>N/A</v>
      </c>
      <c r="M4805" s="20" t="str">
        <f t="shared" si="151"/>
        <v>N/A</v>
      </c>
    </row>
    <row r="4806" spans="12:13">
      <c r="L4806" s="20" t="str">
        <f t="shared" si="150"/>
        <v>N/A</v>
      </c>
      <c r="M4806" s="20" t="str">
        <f t="shared" si="151"/>
        <v>N/A</v>
      </c>
    </row>
    <row r="4807" spans="12:13">
      <c r="L4807" s="20" t="str">
        <f t="shared" si="150"/>
        <v>N/A</v>
      </c>
      <c r="M4807" s="20" t="str">
        <f t="shared" si="151"/>
        <v>N/A</v>
      </c>
    </row>
    <row r="4808" spans="12:13">
      <c r="L4808" s="20" t="str">
        <f t="shared" si="150"/>
        <v>N/A</v>
      </c>
      <c r="M4808" s="20" t="str">
        <f t="shared" si="151"/>
        <v>N/A</v>
      </c>
    </row>
    <row r="4809" spans="12:13">
      <c r="L4809" s="20" t="str">
        <f t="shared" si="150"/>
        <v>N/A</v>
      </c>
      <c r="M4809" s="20" t="str">
        <f t="shared" si="151"/>
        <v>N/A</v>
      </c>
    </row>
    <row r="4810" spans="12:13">
      <c r="L4810" s="20" t="str">
        <f t="shared" si="150"/>
        <v>N/A</v>
      </c>
      <c r="M4810" s="20" t="str">
        <f t="shared" si="151"/>
        <v>N/A</v>
      </c>
    </row>
    <row r="4811" spans="12:13">
      <c r="L4811" s="20" t="str">
        <f t="shared" si="150"/>
        <v>N/A</v>
      </c>
      <c r="M4811" s="20" t="str">
        <f t="shared" si="151"/>
        <v>N/A</v>
      </c>
    </row>
    <row r="4812" spans="12:13">
      <c r="L4812" s="20" t="str">
        <f t="shared" si="150"/>
        <v>N/A</v>
      </c>
      <c r="M4812" s="20" t="str">
        <f t="shared" si="151"/>
        <v>N/A</v>
      </c>
    </row>
    <row r="4813" spans="12:13">
      <c r="L4813" s="20" t="str">
        <f t="shared" si="150"/>
        <v>N/A</v>
      </c>
      <c r="M4813" s="20" t="str">
        <f t="shared" si="151"/>
        <v>N/A</v>
      </c>
    </row>
    <row r="4814" spans="12:13">
      <c r="L4814" s="20" t="str">
        <f t="shared" si="150"/>
        <v>N/A</v>
      </c>
      <c r="M4814" s="20" t="str">
        <f t="shared" si="151"/>
        <v>N/A</v>
      </c>
    </row>
    <row r="4815" spans="12:13">
      <c r="L4815" s="20" t="str">
        <f t="shared" si="150"/>
        <v>N/A</v>
      </c>
      <c r="M4815" s="20" t="str">
        <f t="shared" si="151"/>
        <v>N/A</v>
      </c>
    </row>
    <row r="4816" spans="12:13">
      <c r="L4816" s="20" t="str">
        <f t="shared" si="150"/>
        <v>N/A</v>
      </c>
      <c r="M4816" s="20" t="str">
        <f t="shared" si="151"/>
        <v>N/A</v>
      </c>
    </row>
    <row r="4817" spans="12:13">
      <c r="L4817" s="20" t="str">
        <f t="shared" si="150"/>
        <v>N/A</v>
      </c>
      <c r="M4817" s="20" t="str">
        <f t="shared" si="151"/>
        <v>N/A</v>
      </c>
    </row>
    <row r="4818" spans="12:13">
      <c r="L4818" s="20" t="str">
        <f t="shared" si="150"/>
        <v>N/A</v>
      </c>
      <c r="M4818" s="20" t="str">
        <f t="shared" si="151"/>
        <v>N/A</v>
      </c>
    </row>
    <row r="4819" spans="12:13">
      <c r="L4819" s="20" t="str">
        <f t="shared" si="150"/>
        <v>N/A</v>
      </c>
      <c r="M4819" s="20" t="str">
        <f t="shared" si="151"/>
        <v>N/A</v>
      </c>
    </row>
    <row r="4820" spans="12:13">
      <c r="L4820" s="20" t="str">
        <f t="shared" si="150"/>
        <v>N/A</v>
      </c>
      <c r="M4820" s="20" t="str">
        <f t="shared" si="151"/>
        <v>N/A</v>
      </c>
    </row>
    <row r="4821" spans="12:13">
      <c r="L4821" s="20" t="str">
        <f t="shared" si="150"/>
        <v>N/A</v>
      </c>
      <c r="M4821" s="20" t="str">
        <f t="shared" si="151"/>
        <v>N/A</v>
      </c>
    </row>
    <row r="4822" spans="12:13">
      <c r="L4822" s="20" t="str">
        <f t="shared" si="150"/>
        <v>N/A</v>
      </c>
      <c r="M4822" s="20" t="str">
        <f t="shared" si="151"/>
        <v>N/A</v>
      </c>
    </row>
    <row r="4823" spans="12:13">
      <c r="L4823" s="20" t="str">
        <f t="shared" si="150"/>
        <v>N/A</v>
      </c>
      <c r="M4823" s="20" t="str">
        <f t="shared" si="151"/>
        <v>N/A</v>
      </c>
    </row>
    <row r="4824" spans="12:13">
      <c r="L4824" s="20" t="str">
        <f t="shared" si="150"/>
        <v>N/A</v>
      </c>
      <c r="M4824" s="20" t="str">
        <f t="shared" si="151"/>
        <v>N/A</v>
      </c>
    </row>
    <row r="4825" spans="12:13">
      <c r="L4825" s="20" t="str">
        <f t="shared" si="150"/>
        <v>N/A</v>
      </c>
      <c r="M4825" s="20" t="str">
        <f t="shared" si="151"/>
        <v>N/A</v>
      </c>
    </row>
    <row r="4826" spans="12:13">
      <c r="L4826" s="20" t="str">
        <f t="shared" si="150"/>
        <v>N/A</v>
      </c>
      <c r="M4826" s="20" t="str">
        <f t="shared" si="151"/>
        <v>N/A</v>
      </c>
    </row>
    <row r="4827" spans="12:13">
      <c r="L4827" s="20" t="str">
        <f t="shared" si="150"/>
        <v>N/A</v>
      </c>
      <c r="M4827" s="20" t="str">
        <f t="shared" si="151"/>
        <v>N/A</v>
      </c>
    </row>
    <row r="4828" spans="12:13">
      <c r="L4828" s="20" t="str">
        <f t="shared" si="150"/>
        <v>N/A</v>
      </c>
      <c r="M4828" s="20" t="str">
        <f t="shared" si="151"/>
        <v>N/A</v>
      </c>
    </row>
    <row r="4829" spans="12:13">
      <c r="L4829" s="20" t="str">
        <f t="shared" si="150"/>
        <v>N/A</v>
      </c>
      <c r="M4829" s="20" t="str">
        <f t="shared" si="151"/>
        <v>N/A</v>
      </c>
    </row>
    <row r="4830" spans="12:13">
      <c r="L4830" s="20" t="str">
        <f t="shared" si="150"/>
        <v>N/A</v>
      </c>
      <c r="M4830" s="20" t="str">
        <f t="shared" si="151"/>
        <v>N/A</v>
      </c>
    </row>
    <row r="4831" spans="12:13">
      <c r="L4831" s="20" t="str">
        <f t="shared" si="150"/>
        <v>N/A</v>
      </c>
      <c r="M4831" s="20" t="str">
        <f t="shared" si="151"/>
        <v>N/A</v>
      </c>
    </row>
    <row r="4832" spans="12:13">
      <c r="L4832" s="20" t="str">
        <f t="shared" si="150"/>
        <v>N/A</v>
      </c>
      <c r="M4832" s="20" t="str">
        <f t="shared" si="151"/>
        <v>N/A</v>
      </c>
    </row>
    <row r="4833" spans="12:13">
      <c r="L4833" s="20" t="str">
        <f t="shared" si="150"/>
        <v>N/A</v>
      </c>
      <c r="M4833" s="20" t="str">
        <f t="shared" si="151"/>
        <v>N/A</v>
      </c>
    </row>
    <row r="4834" spans="12:13">
      <c r="L4834" s="20" t="str">
        <f t="shared" si="150"/>
        <v>N/A</v>
      </c>
      <c r="M4834" s="20" t="str">
        <f t="shared" si="151"/>
        <v>N/A</v>
      </c>
    </row>
    <row r="4835" spans="12:13">
      <c r="L4835" s="20" t="str">
        <f t="shared" si="150"/>
        <v>N/A</v>
      </c>
      <c r="M4835" s="20" t="str">
        <f t="shared" si="151"/>
        <v>N/A</v>
      </c>
    </row>
    <row r="4836" spans="12:13">
      <c r="L4836" s="20" t="str">
        <f t="shared" si="150"/>
        <v>N/A</v>
      </c>
      <c r="M4836" s="20" t="str">
        <f t="shared" si="151"/>
        <v>N/A</v>
      </c>
    </row>
    <row r="4837" spans="12:13">
      <c r="L4837" s="20" t="str">
        <f t="shared" si="150"/>
        <v>N/A</v>
      </c>
      <c r="M4837" s="20" t="str">
        <f t="shared" si="151"/>
        <v>N/A</v>
      </c>
    </row>
    <row r="4838" spans="12:13">
      <c r="L4838" s="20" t="str">
        <f t="shared" si="150"/>
        <v>N/A</v>
      </c>
      <c r="M4838" s="20" t="str">
        <f t="shared" si="151"/>
        <v>N/A</v>
      </c>
    </row>
    <row r="4839" spans="12:13">
      <c r="L4839" s="20" t="str">
        <f t="shared" si="150"/>
        <v>N/A</v>
      </c>
      <c r="M4839" s="20" t="str">
        <f t="shared" si="151"/>
        <v>N/A</v>
      </c>
    </row>
    <row r="4840" spans="12:13">
      <c r="L4840" s="20" t="str">
        <f t="shared" si="150"/>
        <v>N/A</v>
      </c>
      <c r="M4840" s="20" t="str">
        <f t="shared" si="151"/>
        <v>N/A</v>
      </c>
    </row>
    <row r="4841" spans="12:13">
      <c r="L4841" s="20" t="str">
        <f t="shared" si="150"/>
        <v>N/A</v>
      </c>
      <c r="M4841" s="20" t="str">
        <f t="shared" si="151"/>
        <v>N/A</v>
      </c>
    </row>
    <row r="4842" spans="12:13">
      <c r="L4842" s="20" t="str">
        <f t="shared" si="150"/>
        <v>N/A</v>
      </c>
      <c r="M4842" s="20" t="str">
        <f t="shared" si="151"/>
        <v>N/A</v>
      </c>
    </row>
    <row r="4843" spans="12:13">
      <c r="L4843" s="20" t="str">
        <f t="shared" si="150"/>
        <v>N/A</v>
      </c>
      <c r="M4843" s="20" t="str">
        <f t="shared" si="151"/>
        <v>N/A</v>
      </c>
    </row>
    <row r="4844" spans="12:13">
      <c r="L4844" s="20" t="str">
        <f t="shared" si="150"/>
        <v>N/A</v>
      </c>
      <c r="M4844" s="20" t="str">
        <f t="shared" si="151"/>
        <v>N/A</v>
      </c>
    </row>
    <row r="4845" spans="12:13">
      <c r="L4845" s="20" t="str">
        <f t="shared" si="150"/>
        <v>N/A</v>
      </c>
      <c r="M4845" s="20" t="str">
        <f t="shared" si="151"/>
        <v>N/A</v>
      </c>
    </row>
    <row r="4846" spans="12:13">
      <c r="L4846" s="20" t="str">
        <f t="shared" si="150"/>
        <v>N/A</v>
      </c>
      <c r="M4846" s="20" t="str">
        <f t="shared" si="151"/>
        <v>N/A</v>
      </c>
    </row>
    <row r="4847" spans="12:13">
      <c r="L4847" s="20" t="str">
        <f t="shared" si="150"/>
        <v>N/A</v>
      </c>
      <c r="M4847" s="20" t="str">
        <f t="shared" si="151"/>
        <v>N/A</v>
      </c>
    </row>
    <row r="4848" spans="12:13">
      <c r="L4848" s="20" t="str">
        <f t="shared" si="150"/>
        <v>N/A</v>
      </c>
      <c r="M4848" s="20" t="str">
        <f t="shared" si="151"/>
        <v>N/A</v>
      </c>
    </row>
    <row r="4849" spans="12:13">
      <c r="L4849" s="20" t="str">
        <f t="shared" si="150"/>
        <v>N/A</v>
      </c>
      <c r="M4849" s="20" t="str">
        <f t="shared" si="151"/>
        <v>N/A</v>
      </c>
    </row>
    <row r="4850" spans="12:13">
      <c r="L4850" s="20" t="str">
        <f t="shared" si="150"/>
        <v>N/A</v>
      </c>
      <c r="M4850" s="20" t="str">
        <f t="shared" si="151"/>
        <v>N/A</v>
      </c>
    </row>
    <row r="4851" spans="12:13">
      <c r="L4851" s="20" t="str">
        <f t="shared" si="150"/>
        <v>N/A</v>
      </c>
      <c r="M4851" s="20" t="str">
        <f t="shared" si="151"/>
        <v>N/A</v>
      </c>
    </row>
    <row r="4852" spans="12:13">
      <c r="L4852" s="20" t="str">
        <f t="shared" si="150"/>
        <v>N/A</v>
      </c>
      <c r="M4852" s="20" t="str">
        <f t="shared" si="151"/>
        <v>N/A</v>
      </c>
    </row>
    <row r="4853" spans="12:13">
      <c r="L4853" s="20" t="str">
        <f t="shared" si="150"/>
        <v>N/A</v>
      </c>
      <c r="M4853" s="20" t="str">
        <f t="shared" si="151"/>
        <v>N/A</v>
      </c>
    </row>
    <row r="4854" spans="12:13">
      <c r="L4854" s="20" t="str">
        <f t="shared" si="150"/>
        <v>N/A</v>
      </c>
      <c r="M4854" s="20" t="str">
        <f t="shared" si="151"/>
        <v>N/A</v>
      </c>
    </row>
    <row r="4855" spans="12:13">
      <c r="L4855" s="20" t="str">
        <f t="shared" si="150"/>
        <v>N/A</v>
      </c>
      <c r="M4855" s="20" t="str">
        <f t="shared" si="151"/>
        <v>N/A</v>
      </c>
    </row>
    <row r="4856" spans="12:13">
      <c r="L4856" s="20" t="str">
        <f t="shared" si="150"/>
        <v>N/A</v>
      </c>
      <c r="M4856" s="20" t="str">
        <f t="shared" si="151"/>
        <v>N/A</v>
      </c>
    </row>
    <row r="4857" spans="12:13">
      <c r="L4857" s="20" t="str">
        <f t="shared" si="150"/>
        <v>N/A</v>
      </c>
      <c r="M4857" s="20" t="str">
        <f t="shared" si="151"/>
        <v>N/A</v>
      </c>
    </row>
    <row r="4858" spans="12:13">
      <c r="L4858" s="20" t="str">
        <f t="shared" si="150"/>
        <v>N/A</v>
      </c>
      <c r="M4858" s="20" t="str">
        <f t="shared" si="151"/>
        <v>N/A</v>
      </c>
    </row>
    <row r="4859" spans="12:13">
      <c r="L4859" s="20" t="str">
        <f t="shared" si="150"/>
        <v>N/A</v>
      </c>
      <c r="M4859" s="20" t="str">
        <f t="shared" si="151"/>
        <v>N/A</v>
      </c>
    </row>
    <row r="4860" spans="12:13">
      <c r="L4860" s="20" t="str">
        <f t="shared" si="150"/>
        <v>N/A</v>
      </c>
      <c r="M4860" s="20" t="str">
        <f t="shared" si="151"/>
        <v>N/A</v>
      </c>
    </row>
    <row r="4861" spans="12:13">
      <c r="L4861" s="20" t="str">
        <f t="shared" si="150"/>
        <v>N/A</v>
      </c>
      <c r="M4861" s="20" t="str">
        <f t="shared" si="151"/>
        <v>N/A</v>
      </c>
    </row>
    <row r="4862" spans="12:13">
      <c r="L4862" s="20" t="str">
        <f t="shared" si="150"/>
        <v>N/A</v>
      </c>
      <c r="M4862" s="20" t="str">
        <f t="shared" si="151"/>
        <v>N/A</v>
      </c>
    </row>
    <row r="4863" spans="12:13">
      <c r="L4863" s="20" t="str">
        <f t="shared" si="150"/>
        <v>N/A</v>
      </c>
      <c r="M4863" s="20" t="str">
        <f t="shared" si="151"/>
        <v>N/A</v>
      </c>
    </row>
    <row r="4864" spans="12:13">
      <c r="L4864" s="20" t="str">
        <f t="shared" si="150"/>
        <v>N/A</v>
      </c>
      <c r="M4864" s="20" t="str">
        <f t="shared" si="151"/>
        <v>N/A</v>
      </c>
    </row>
    <row r="4865" spans="12:13">
      <c r="L4865" s="20" t="str">
        <f t="shared" si="150"/>
        <v>N/A</v>
      </c>
      <c r="M4865" s="20" t="str">
        <f t="shared" si="151"/>
        <v>N/A</v>
      </c>
    </row>
    <row r="4866" spans="12:13">
      <c r="L4866" s="20" t="str">
        <f t="shared" si="150"/>
        <v>N/A</v>
      </c>
      <c r="M4866" s="20" t="str">
        <f t="shared" si="151"/>
        <v>N/A</v>
      </c>
    </row>
    <row r="4867" spans="12:13">
      <c r="L4867" s="20" t="str">
        <f t="shared" ref="L4867:L4930" si="152">+IF(LEFT(D4867,1)="1","Asset","N/A")</f>
        <v>N/A</v>
      </c>
      <c r="M4867" s="20" t="str">
        <f t="shared" ref="M4867:M4930" si="153">+IF(L4867="asset",IF(H4867&lt;0,"Provide Comment","okay"),"N/A")</f>
        <v>N/A</v>
      </c>
    </row>
    <row r="4868" spans="12:13">
      <c r="L4868" s="20" t="str">
        <f t="shared" si="152"/>
        <v>N/A</v>
      </c>
      <c r="M4868" s="20" t="str">
        <f t="shared" si="153"/>
        <v>N/A</v>
      </c>
    </row>
    <row r="4869" spans="12:13">
      <c r="L4869" s="20" t="str">
        <f t="shared" si="152"/>
        <v>N/A</v>
      </c>
      <c r="M4869" s="20" t="str">
        <f t="shared" si="153"/>
        <v>N/A</v>
      </c>
    </row>
    <row r="4870" spans="12:13">
      <c r="L4870" s="20" t="str">
        <f t="shared" si="152"/>
        <v>N/A</v>
      </c>
      <c r="M4870" s="20" t="str">
        <f t="shared" si="153"/>
        <v>N/A</v>
      </c>
    </row>
    <row r="4871" spans="12:13">
      <c r="L4871" s="20" t="str">
        <f t="shared" si="152"/>
        <v>N/A</v>
      </c>
      <c r="M4871" s="20" t="str">
        <f t="shared" si="153"/>
        <v>N/A</v>
      </c>
    </row>
    <row r="4872" spans="12:13">
      <c r="L4872" s="20" t="str">
        <f t="shared" si="152"/>
        <v>N/A</v>
      </c>
      <c r="M4872" s="20" t="str">
        <f t="shared" si="153"/>
        <v>N/A</v>
      </c>
    </row>
    <row r="4873" spans="12:13">
      <c r="L4873" s="20" t="str">
        <f t="shared" si="152"/>
        <v>N/A</v>
      </c>
      <c r="M4873" s="20" t="str">
        <f t="shared" si="153"/>
        <v>N/A</v>
      </c>
    </row>
    <row r="4874" spans="12:13">
      <c r="L4874" s="20" t="str">
        <f t="shared" si="152"/>
        <v>N/A</v>
      </c>
      <c r="M4874" s="20" t="str">
        <f t="shared" si="153"/>
        <v>N/A</v>
      </c>
    </row>
    <row r="4875" spans="12:13">
      <c r="L4875" s="20" t="str">
        <f t="shared" si="152"/>
        <v>N/A</v>
      </c>
      <c r="M4875" s="20" t="str">
        <f t="shared" si="153"/>
        <v>N/A</v>
      </c>
    </row>
    <row r="4876" spans="12:13">
      <c r="L4876" s="20" t="str">
        <f t="shared" si="152"/>
        <v>N/A</v>
      </c>
      <c r="M4876" s="20" t="str">
        <f t="shared" si="153"/>
        <v>N/A</v>
      </c>
    </row>
    <row r="4877" spans="12:13">
      <c r="L4877" s="20" t="str">
        <f t="shared" si="152"/>
        <v>N/A</v>
      </c>
      <c r="M4877" s="20" t="str">
        <f t="shared" si="153"/>
        <v>N/A</v>
      </c>
    </row>
    <row r="4878" spans="12:13">
      <c r="L4878" s="20" t="str">
        <f t="shared" si="152"/>
        <v>N/A</v>
      </c>
      <c r="M4878" s="20" t="str">
        <f t="shared" si="153"/>
        <v>N/A</v>
      </c>
    </row>
    <row r="4879" spans="12:13">
      <c r="L4879" s="20" t="str">
        <f t="shared" si="152"/>
        <v>N/A</v>
      </c>
      <c r="M4879" s="20" t="str">
        <f t="shared" si="153"/>
        <v>N/A</v>
      </c>
    </row>
    <row r="4880" spans="12:13">
      <c r="L4880" s="20" t="str">
        <f t="shared" si="152"/>
        <v>N/A</v>
      </c>
      <c r="M4880" s="20" t="str">
        <f t="shared" si="153"/>
        <v>N/A</v>
      </c>
    </row>
    <row r="4881" spans="12:13">
      <c r="L4881" s="20" t="str">
        <f t="shared" si="152"/>
        <v>N/A</v>
      </c>
      <c r="M4881" s="20" t="str">
        <f t="shared" si="153"/>
        <v>N/A</v>
      </c>
    </row>
    <row r="4882" spans="12:13">
      <c r="L4882" s="20" t="str">
        <f t="shared" si="152"/>
        <v>N/A</v>
      </c>
      <c r="M4882" s="20" t="str">
        <f t="shared" si="153"/>
        <v>N/A</v>
      </c>
    </row>
    <row r="4883" spans="12:13">
      <c r="L4883" s="20" t="str">
        <f t="shared" si="152"/>
        <v>N/A</v>
      </c>
      <c r="M4883" s="20" t="str">
        <f t="shared" si="153"/>
        <v>N/A</v>
      </c>
    </row>
    <row r="4884" spans="12:13">
      <c r="L4884" s="20" t="str">
        <f t="shared" si="152"/>
        <v>N/A</v>
      </c>
      <c r="M4884" s="20" t="str">
        <f t="shared" si="153"/>
        <v>N/A</v>
      </c>
    </row>
    <row r="4885" spans="12:13">
      <c r="L4885" s="20" t="str">
        <f t="shared" si="152"/>
        <v>N/A</v>
      </c>
      <c r="M4885" s="20" t="str">
        <f t="shared" si="153"/>
        <v>N/A</v>
      </c>
    </row>
    <row r="4886" spans="12:13">
      <c r="L4886" s="20" t="str">
        <f t="shared" si="152"/>
        <v>N/A</v>
      </c>
      <c r="M4886" s="20" t="str">
        <f t="shared" si="153"/>
        <v>N/A</v>
      </c>
    </row>
    <row r="4887" spans="12:13">
      <c r="L4887" s="20" t="str">
        <f t="shared" si="152"/>
        <v>N/A</v>
      </c>
      <c r="M4887" s="20" t="str">
        <f t="shared" si="153"/>
        <v>N/A</v>
      </c>
    </row>
    <row r="4888" spans="12:13">
      <c r="L4888" s="20" t="str">
        <f t="shared" si="152"/>
        <v>N/A</v>
      </c>
      <c r="M4888" s="20" t="str">
        <f t="shared" si="153"/>
        <v>N/A</v>
      </c>
    </row>
    <row r="4889" spans="12:13">
      <c r="L4889" s="20" t="str">
        <f t="shared" si="152"/>
        <v>N/A</v>
      </c>
      <c r="M4889" s="20" t="str">
        <f t="shared" si="153"/>
        <v>N/A</v>
      </c>
    </row>
    <row r="4890" spans="12:13">
      <c r="L4890" s="20" t="str">
        <f t="shared" si="152"/>
        <v>N/A</v>
      </c>
      <c r="M4890" s="20" t="str">
        <f t="shared" si="153"/>
        <v>N/A</v>
      </c>
    </row>
    <row r="4891" spans="12:13">
      <c r="L4891" s="20" t="str">
        <f t="shared" si="152"/>
        <v>N/A</v>
      </c>
      <c r="M4891" s="20" t="str">
        <f t="shared" si="153"/>
        <v>N/A</v>
      </c>
    </row>
    <row r="4892" spans="12:13">
      <c r="L4892" s="20" t="str">
        <f t="shared" si="152"/>
        <v>N/A</v>
      </c>
      <c r="M4892" s="20" t="str">
        <f t="shared" si="153"/>
        <v>N/A</v>
      </c>
    </row>
    <row r="4893" spans="12:13">
      <c r="L4893" s="20" t="str">
        <f t="shared" si="152"/>
        <v>N/A</v>
      </c>
      <c r="M4893" s="20" t="str">
        <f t="shared" si="153"/>
        <v>N/A</v>
      </c>
    </row>
    <row r="4894" spans="12:13">
      <c r="L4894" s="20" t="str">
        <f t="shared" si="152"/>
        <v>N/A</v>
      </c>
      <c r="M4894" s="20" t="str">
        <f t="shared" si="153"/>
        <v>N/A</v>
      </c>
    </row>
    <row r="4895" spans="12:13">
      <c r="L4895" s="20" t="str">
        <f t="shared" si="152"/>
        <v>N/A</v>
      </c>
      <c r="M4895" s="20" t="str">
        <f t="shared" si="153"/>
        <v>N/A</v>
      </c>
    </row>
    <row r="4896" spans="12:13">
      <c r="L4896" s="20" t="str">
        <f t="shared" si="152"/>
        <v>N/A</v>
      </c>
      <c r="M4896" s="20" t="str">
        <f t="shared" si="153"/>
        <v>N/A</v>
      </c>
    </row>
    <row r="4897" spans="12:13">
      <c r="L4897" s="20" t="str">
        <f t="shared" si="152"/>
        <v>N/A</v>
      </c>
      <c r="M4897" s="20" t="str">
        <f t="shared" si="153"/>
        <v>N/A</v>
      </c>
    </row>
    <row r="4898" spans="12:13">
      <c r="L4898" s="20" t="str">
        <f t="shared" si="152"/>
        <v>N/A</v>
      </c>
      <c r="M4898" s="20" t="str">
        <f t="shared" si="153"/>
        <v>N/A</v>
      </c>
    </row>
    <row r="4899" spans="12:13">
      <c r="L4899" s="20" t="str">
        <f t="shared" si="152"/>
        <v>N/A</v>
      </c>
      <c r="M4899" s="20" t="str">
        <f t="shared" si="153"/>
        <v>N/A</v>
      </c>
    </row>
    <row r="4900" spans="12:13">
      <c r="L4900" s="20" t="str">
        <f t="shared" si="152"/>
        <v>N/A</v>
      </c>
      <c r="M4900" s="20" t="str">
        <f t="shared" si="153"/>
        <v>N/A</v>
      </c>
    </row>
    <row r="4901" spans="12:13">
      <c r="L4901" s="20" t="str">
        <f t="shared" si="152"/>
        <v>N/A</v>
      </c>
      <c r="M4901" s="20" t="str">
        <f t="shared" si="153"/>
        <v>N/A</v>
      </c>
    </row>
    <row r="4902" spans="12:13">
      <c r="L4902" s="20" t="str">
        <f t="shared" si="152"/>
        <v>N/A</v>
      </c>
      <c r="M4902" s="20" t="str">
        <f t="shared" si="153"/>
        <v>N/A</v>
      </c>
    </row>
    <row r="4903" spans="12:13">
      <c r="L4903" s="20" t="str">
        <f t="shared" si="152"/>
        <v>N/A</v>
      </c>
      <c r="M4903" s="20" t="str">
        <f t="shared" si="153"/>
        <v>N/A</v>
      </c>
    </row>
    <row r="4904" spans="12:13">
      <c r="L4904" s="20" t="str">
        <f t="shared" si="152"/>
        <v>N/A</v>
      </c>
      <c r="M4904" s="20" t="str">
        <f t="shared" si="153"/>
        <v>N/A</v>
      </c>
    </row>
    <row r="4905" spans="12:13">
      <c r="L4905" s="20" t="str">
        <f t="shared" si="152"/>
        <v>N/A</v>
      </c>
      <c r="M4905" s="20" t="str">
        <f t="shared" si="153"/>
        <v>N/A</v>
      </c>
    </row>
    <row r="4906" spans="12:13">
      <c r="L4906" s="20" t="str">
        <f t="shared" si="152"/>
        <v>N/A</v>
      </c>
      <c r="M4906" s="20" t="str">
        <f t="shared" si="153"/>
        <v>N/A</v>
      </c>
    </row>
    <row r="4907" spans="12:13">
      <c r="L4907" s="20" t="str">
        <f t="shared" si="152"/>
        <v>N/A</v>
      </c>
      <c r="M4907" s="20" t="str">
        <f t="shared" si="153"/>
        <v>N/A</v>
      </c>
    </row>
    <row r="4908" spans="12:13">
      <c r="L4908" s="20" t="str">
        <f t="shared" si="152"/>
        <v>N/A</v>
      </c>
      <c r="M4908" s="20" t="str">
        <f t="shared" si="153"/>
        <v>N/A</v>
      </c>
    </row>
    <row r="4909" spans="12:13">
      <c r="L4909" s="20" t="str">
        <f t="shared" si="152"/>
        <v>N/A</v>
      </c>
      <c r="M4909" s="20" t="str">
        <f t="shared" si="153"/>
        <v>N/A</v>
      </c>
    </row>
    <row r="4910" spans="12:13">
      <c r="L4910" s="20" t="str">
        <f t="shared" si="152"/>
        <v>N/A</v>
      </c>
      <c r="M4910" s="20" t="str">
        <f t="shared" si="153"/>
        <v>N/A</v>
      </c>
    </row>
    <row r="4911" spans="12:13">
      <c r="L4911" s="20" t="str">
        <f t="shared" si="152"/>
        <v>N/A</v>
      </c>
      <c r="M4911" s="20" t="str">
        <f t="shared" si="153"/>
        <v>N/A</v>
      </c>
    </row>
    <row r="4912" spans="12:13">
      <c r="L4912" s="20" t="str">
        <f t="shared" si="152"/>
        <v>N/A</v>
      </c>
      <c r="M4912" s="20" t="str">
        <f t="shared" si="153"/>
        <v>N/A</v>
      </c>
    </row>
    <row r="4913" spans="12:13">
      <c r="L4913" s="20" t="str">
        <f t="shared" si="152"/>
        <v>N/A</v>
      </c>
      <c r="M4913" s="20" t="str">
        <f t="shared" si="153"/>
        <v>N/A</v>
      </c>
    </row>
    <row r="4914" spans="12:13">
      <c r="L4914" s="20" t="str">
        <f t="shared" si="152"/>
        <v>N/A</v>
      </c>
      <c r="M4914" s="20" t="str">
        <f t="shared" si="153"/>
        <v>N/A</v>
      </c>
    </row>
    <row r="4915" spans="12:13">
      <c r="L4915" s="20" t="str">
        <f t="shared" si="152"/>
        <v>N/A</v>
      </c>
      <c r="M4915" s="20" t="str">
        <f t="shared" si="153"/>
        <v>N/A</v>
      </c>
    </row>
    <row r="4916" spans="12:13">
      <c r="L4916" s="20" t="str">
        <f t="shared" si="152"/>
        <v>N/A</v>
      </c>
      <c r="M4916" s="20" t="str">
        <f t="shared" si="153"/>
        <v>N/A</v>
      </c>
    </row>
    <row r="4917" spans="12:13">
      <c r="L4917" s="20" t="str">
        <f t="shared" si="152"/>
        <v>N/A</v>
      </c>
      <c r="M4917" s="20" t="str">
        <f t="shared" si="153"/>
        <v>N/A</v>
      </c>
    </row>
    <row r="4918" spans="12:13">
      <c r="L4918" s="20" t="str">
        <f t="shared" si="152"/>
        <v>N/A</v>
      </c>
      <c r="M4918" s="20" t="str">
        <f t="shared" si="153"/>
        <v>N/A</v>
      </c>
    </row>
    <row r="4919" spans="12:13">
      <c r="L4919" s="20" t="str">
        <f t="shared" si="152"/>
        <v>N/A</v>
      </c>
      <c r="M4919" s="20" t="str">
        <f t="shared" si="153"/>
        <v>N/A</v>
      </c>
    </row>
    <row r="4920" spans="12:13">
      <c r="L4920" s="20" t="str">
        <f t="shared" si="152"/>
        <v>N/A</v>
      </c>
      <c r="M4920" s="20" t="str">
        <f t="shared" si="153"/>
        <v>N/A</v>
      </c>
    </row>
    <row r="4921" spans="12:13">
      <c r="L4921" s="20" t="str">
        <f t="shared" si="152"/>
        <v>N/A</v>
      </c>
      <c r="M4921" s="20" t="str">
        <f t="shared" si="153"/>
        <v>N/A</v>
      </c>
    </row>
    <row r="4922" spans="12:13">
      <c r="L4922" s="20" t="str">
        <f t="shared" si="152"/>
        <v>N/A</v>
      </c>
      <c r="M4922" s="20" t="str">
        <f t="shared" si="153"/>
        <v>N/A</v>
      </c>
    </row>
    <row r="4923" spans="12:13">
      <c r="L4923" s="20" t="str">
        <f t="shared" si="152"/>
        <v>N/A</v>
      </c>
      <c r="M4923" s="20" t="str">
        <f t="shared" si="153"/>
        <v>N/A</v>
      </c>
    </row>
    <row r="4924" spans="12:13">
      <c r="L4924" s="20" t="str">
        <f t="shared" si="152"/>
        <v>N/A</v>
      </c>
      <c r="M4924" s="20" t="str">
        <f t="shared" si="153"/>
        <v>N/A</v>
      </c>
    </row>
    <row r="4925" spans="12:13">
      <c r="L4925" s="20" t="str">
        <f t="shared" si="152"/>
        <v>N/A</v>
      </c>
      <c r="M4925" s="20" t="str">
        <f t="shared" si="153"/>
        <v>N/A</v>
      </c>
    </row>
    <row r="4926" spans="12:13">
      <c r="L4926" s="20" t="str">
        <f t="shared" si="152"/>
        <v>N/A</v>
      </c>
      <c r="M4926" s="20" t="str">
        <f t="shared" si="153"/>
        <v>N/A</v>
      </c>
    </row>
    <row r="4927" spans="12:13">
      <c r="L4927" s="20" t="str">
        <f t="shared" si="152"/>
        <v>N/A</v>
      </c>
      <c r="M4927" s="20" t="str">
        <f t="shared" si="153"/>
        <v>N/A</v>
      </c>
    </row>
    <row r="4928" spans="12:13">
      <c r="L4928" s="20" t="str">
        <f t="shared" si="152"/>
        <v>N/A</v>
      </c>
      <c r="M4928" s="20" t="str">
        <f t="shared" si="153"/>
        <v>N/A</v>
      </c>
    </row>
    <row r="4929" spans="12:13">
      <c r="L4929" s="20" t="str">
        <f t="shared" si="152"/>
        <v>N/A</v>
      </c>
      <c r="M4929" s="20" t="str">
        <f t="shared" si="153"/>
        <v>N/A</v>
      </c>
    </row>
    <row r="4930" spans="12:13">
      <c r="L4930" s="20" t="str">
        <f t="shared" si="152"/>
        <v>N/A</v>
      </c>
      <c r="M4930" s="20" t="str">
        <f t="shared" si="153"/>
        <v>N/A</v>
      </c>
    </row>
    <row r="4931" spans="12:13">
      <c r="L4931" s="20" t="str">
        <f t="shared" ref="L4931:L4994" si="154">+IF(LEFT(D4931,1)="1","Asset","N/A")</f>
        <v>N/A</v>
      </c>
      <c r="M4931" s="20" t="str">
        <f t="shared" ref="M4931:M4994" si="155">+IF(L4931="asset",IF(H4931&lt;0,"Provide Comment","okay"),"N/A")</f>
        <v>N/A</v>
      </c>
    </row>
    <row r="4932" spans="12:13">
      <c r="L4932" s="20" t="str">
        <f t="shared" si="154"/>
        <v>N/A</v>
      </c>
      <c r="M4932" s="20" t="str">
        <f t="shared" si="155"/>
        <v>N/A</v>
      </c>
    </row>
    <row r="4933" spans="12:13">
      <c r="L4933" s="20" t="str">
        <f t="shared" si="154"/>
        <v>N/A</v>
      </c>
      <c r="M4933" s="20" t="str">
        <f t="shared" si="155"/>
        <v>N/A</v>
      </c>
    </row>
    <row r="4934" spans="12:13">
      <c r="L4934" s="20" t="str">
        <f t="shared" si="154"/>
        <v>N/A</v>
      </c>
      <c r="M4934" s="20" t="str">
        <f t="shared" si="155"/>
        <v>N/A</v>
      </c>
    </row>
    <row r="4935" spans="12:13">
      <c r="L4935" s="20" t="str">
        <f t="shared" si="154"/>
        <v>N/A</v>
      </c>
      <c r="M4935" s="20" t="str">
        <f t="shared" si="155"/>
        <v>N/A</v>
      </c>
    </row>
    <row r="4936" spans="12:13">
      <c r="L4936" s="20" t="str">
        <f t="shared" si="154"/>
        <v>N/A</v>
      </c>
      <c r="M4936" s="20" t="str">
        <f t="shared" si="155"/>
        <v>N/A</v>
      </c>
    </row>
    <row r="4937" spans="12:13">
      <c r="L4937" s="20" t="str">
        <f t="shared" si="154"/>
        <v>N/A</v>
      </c>
      <c r="M4937" s="20" t="str">
        <f t="shared" si="155"/>
        <v>N/A</v>
      </c>
    </row>
    <row r="4938" spans="12:13">
      <c r="L4938" s="20" t="str">
        <f t="shared" si="154"/>
        <v>N/A</v>
      </c>
      <c r="M4938" s="20" t="str">
        <f t="shared" si="155"/>
        <v>N/A</v>
      </c>
    </row>
    <row r="4939" spans="12:13">
      <c r="L4939" s="20" t="str">
        <f t="shared" si="154"/>
        <v>N/A</v>
      </c>
      <c r="M4939" s="20" t="str">
        <f t="shared" si="155"/>
        <v>N/A</v>
      </c>
    </row>
    <row r="4940" spans="12:13">
      <c r="L4940" s="20" t="str">
        <f t="shared" si="154"/>
        <v>N/A</v>
      </c>
      <c r="M4940" s="20" t="str">
        <f t="shared" si="155"/>
        <v>N/A</v>
      </c>
    </row>
    <row r="4941" spans="12:13">
      <c r="L4941" s="20" t="str">
        <f t="shared" si="154"/>
        <v>N/A</v>
      </c>
      <c r="M4941" s="20" t="str">
        <f t="shared" si="155"/>
        <v>N/A</v>
      </c>
    </row>
    <row r="4942" spans="12:13">
      <c r="L4942" s="20" t="str">
        <f t="shared" si="154"/>
        <v>N/A</v>
      </c>
      <c r="M4942" s="20" t="str">
        <f t="shared" si="155"/>
        <v>N/A</v>
      </c>
    </row>
    <row r="4943" spans="12:13">
      <c r="L4943" s="20" t="str">
        <f t="shared" si="154"/>
        <v>N/A</v>
      </c>
      <c r="M4943" s="20" t="str">
        <f t="shared" si="155"/>
        <v>N/A</v>
      </c>
    </row>
    <row r="4944" spans="12:13">
      <c r="L4944" s="20" t="str">
        <f t="shared" si="154"/>
        <v>N/A</v>
      </c>
      <c r="M4944" s="20" t="str">
        <f t="shared" si="155"/>
        <v>N/A</v>
      </c>
    </row>
    <row r="4945" spans="12:13">
      <c r="L4945" s="20" t="str">
        <f t="shared" si="154"/>
        <v>N/A</v>
      </c>
      <c r="M4945" s="20" t="str">
        <f t="shared" si="155"/>
        <v>N/A</v>
      </c>
    </row>
    <row r="4946" spans="12:13">
      <c r="L4946" s="20" t="str">
        <f t="shared" si="154"/>
        <v>N/A</v>
      </c>
      <c r="M4946" s="20" t="str">
        <f t="shared" si="155"/>
        <v>N/A</v>
      </c>
    </row>
    <row r="4947" spans="12:13">
      <c r="L4947" s="20" t="str">
        <f t="shared" si="154"/>
        <v>N/A</v>
      </c>
      <c r="M4947" s="20" t="str">
        <f t="shared" si="155"/>
        <v>N/A</v>
      </c>
    </row>
    <row r="4948" spans="12:13">
      <c r="L4948" s="20" t="str">
        <f t="shared" si="154"/>
        <v>N/A</v>
      </c>
      <c r="M4948" s="20" t="str">
        <f t="shared" si="155"/>
        <v>N/A</v>
      </c>
    </row>
    <row r="4949" spans="12:13">
      <c r="L4949" s="20" t="str">
        <f t="shared" si="154"/>
        <v>N/A</v>
      </c>
      <c r="M4949" s="20" t="str">
        <f t="shared" si="155"/>
        <v>N/A</v>
      </c>
    </row>
    <row r="4950" spans="12:13">
      <c r="L4950" s="20" t="str">
        <f t="shared" si="154"/>
        <v>N/A</v>
      </c>
      <c r="M4950" s="20" t="str">
        <f t="shared" si="155"/>
        <v>N/A</v>
      </c>
    </row>
    <row r="4951" spans="12:13">
      <c r="L4951" s="20" t="str">
        <f t="shared" si="154"/>
        <v>N/A</v>
      </c>
      <c r="M4951" s="20" t="str">
        <f t="shared" si="155"/>
        <v>N/A</v>
      </c>
    </row>
    <row r="4952" spans="12:13">
      <c r="L4952" s="20" t="str">
        <f t="shared" si="154"/>
        <v>N/A</v>
      </c>
      <c r="M4952" s="20" t="str">
        <f t="shared" si="155"/>
        <v>N/A</v>
      </c>
    </row>
    <row r="4953" spans="12:13">
      <c r="L4953" s="20" t="str">
        <f t="shared" si="154"/>
        <v>N/A</v>
      </c>
      <c r="M4953" s="20" t="str">
        <f t="shared" si="155"/>
        <v>N/A</v>
      </c>
    </row>
    <row r="4954" spans="12:13">
      <c r="L4954" s="20" t="str">
        <f t="shared" si="154"/>
        <v>N/A</v>
      </c>
      <c r="M4954" s="20" t="str">
        <f t="shared" si="155"/>
        <v>N/A</v>
      </c>
    </row>
    <row r="4955" spans="12:13">
      <c r="L4955" s="20" t="str">
        <f t="shared" si="154"/>
        <v>N/A</v>
      </c>
      <c r="M4955" s="20" t="str">
        <f t="shared" si="155"/>
        <v>N/A</v>
      </c>
    </row>
    <row r="4956" spans="12:13">
      <c r="L4956" s="20" t="str">
        <f t="shared" si="154"/>
        <v>N/A</v>
      </c>
      <c r="M4956" s="20" t="str">
        <f t="shared" si="155"/>
        <v>N/A</v>
      </c>
    </row>
    <row r="4957" spans="12:13">
      <c r="L4957" s="20" t="str">
        <f t="shared" si="154"/>
        <v>N/A</v>
      </c>
      <c r="M4957" s="20" t="str">
        <f t="shared" si="155"/>
        <v>N/A</v>
      </c>
    </row>
    <row r="4958" spans="12:13">
      <c r="L4958" s="20" t="str">
        <f t="shared" si="154"/>
        <v>N/A</v>
      </c>
      <c r="M4958" s="20" t="str">
        <f t="shared" si="155"/>
        <v>N/A</v>
      </c>
    </row>
    <row r="4959" spans="12:13">
      <c r="L4959" s="20" t="str">
        <f t="shared" si="154"/>
        <v>N/A</v>
      </c>
      <c r="M4959" s="20" t="str">
        <f t="shared" si="155"/>
        <v>N/A</v>
      </c>
    </row>
    <row r="4960" spans="12:13">
      <c r="L4960" s="20" t="str">
        <f t="shared" si="154"/>
        <v>N/A</v>
      </c>
      <c r="M4960" s="20" t="str">
        <f t="shared" si="155"/>
        <v>N/A</v>
      </c>
    </row>
    <row r="4961" spans="12:13">
      <c r="L4961" s="20" t="str">
        <f t="shared" si="154"/>
        <v>N/A</v>
      </c>
      <c r="M4961" s="20" t="str">
        <f t="shared" si="155"/>
        <v>N/A</v>
      </c>
    </row>
    <row r="4962" spans="12:13">
      <c r="L4962" s="20" t="str">
        <f t="shared" si="154"/>
        <v>N/A</v>
      </c>
      <c r="M4962" s="20" t="str">
        <f t="shared" si="155"/>
        <v>N/A</v>
      </c>
    </row>
    <row r="4963" spans="12:13">
      <c r="L4963" s="20" t="str">
        <f t="shared" si="154"/>
        <v>N/A</v>
      </c>
      <c r="M4963" s="20" t="str">
        <f t="shared" si="155"/>
        <v>N/A</v>
      </c>
    </row>
    <row r="4964" spans="12:13">
      <c r="L4964" s="20" t="str">
        <f t="shared" si="154"/>
        <v>N/A</v>
      </c>
      <c r="M4964" s="20" t="str">
        <f t="shared" si="155"/>
        <v>N/A</v>
      </c>
    </row>
    <row r="4965" spans="12:13">
      <c r="L4965" s="20" t="str">
        <f t="shared" si="154"/>
        <v>N/A</v>
      </c>
      <c r="M4965" s="20" t="str">
        <f t="shared" si="155"/>
        <v>N/A</v>
      </c>
    </row>
    <row r="4966" spans="12:13">
      <c r="L4966" s="20" t="str">
        <f t="shared" si="154"/>
        <v>N/A</v>
      </c>
      <c r="M4966" s="20" t="str">
        <f t="shared" si="155"/>
        <v>N/A</v>
      </c>
    </row>
    <row r="4967" spans="12:13">
      <c r="L4967" s="20" t="str">
        <f t="shared" si="154"/>
        <v>N/A</v>
      </c>
      <c r="M4967" s="20" t="str">
        <f t="shared" si="155"/>
        <v>N/A</v>
      </c>
    </row>
    <row r="4968" spans="12:13">
      <c r="L4968" s="20" t="str">
        <f t="shared" si="154"/>
        <v>N/A</v>
      </c>
      <c r="M4968" s="20" t="str">
        <f t="shared" si="155"/>
        <v>N/A</v>
      </c>
    </row>
    <row r="4969" spans="12:13">
      <c r="L4969" s="20" t="str">
        <f t="shared" si="154"/>
        <v>N/A</v>
      </c>
      <c r="M4969" s="20" t="str">
        <f t="shared" si="155"/>
        <v>N/A</v>
      </c>
    </row>
    <row r="4970" spans="12:13">
      <c r="L4970" s="20" t="str">
        <f t="shared" si="154"/>
        <v>N/A</v>
      </c>
      <c r="M4970" s="20" t="str">
        <f t="shared" si="155"/>
        <v>N/A</v>
      </c>
    </row>
    <row r="4971" spans="12:13">
      <c r="L4971" s="20" t="str">
        <f t="shared" si="154"/>
        <v>N/A</v>
      </c>
      <c r="M4971" s="20" t="str">
        <f t="shared" si="155"/>
        <v>N/A</v>
      </c>
    </row>
    <row r="4972" spans="12:13">
      <c r="L4972" s="20" t="str">
        <f t="shared" si="154"/>
        <v>N/A</v>
      </c>
      <c r="M4972" s="20" t="str">
        <f t="shared" si="155"/>
        <v>N/A</v>
      </c>
    </row>
    <row r="4973" spans="12:13">
      <c r="L4973" s="20" t="str">
        <f t="shared" si="154"/>
        <v>N/A</v>
      </c>
      <c r="M4973" s="20" t="str">
        <f t="shared" si="155"/>
        <v>N/A</v>
      </c>
    </row>
    <row r="4974" spans="12:13">
      <c r="L4974" s="20" t="str">
        <f t="shared" si="154"/>
        <v>N/A</v>
      </c>
      <c r="M4974" s="20" t="str">
        <f t="shared" si="155"/>
        <v>N/A</v>
      </c>
    </row>
    <row r="4975" spans="12:13">
      <c r="L4975" s="20" t="str">
        <f t="shared" si="154"/>
        <v>N/A</v>
      </c>
      <c r="M4975" s="20" t="str">
        <f t="shared" si="155"/>
        <v>N/A</v>
      </c>
    </row>
    <row r="4976" spans="12:13">
      <c r="L4976" s="20" t="str">
        <f t="shared" si="154"/>
        <v>N/A</v>
      </c>
      <c r="M4976" s="20" t="str">
        <f t="shared" si="155"/>
        <v>N/A</v>
      </c>
    </row>
    <row r="4977" spans="12:13">
      <c r="L4977" s="20" t="str">
        <f t="shared" si="154"/>
        <v>N/A</v>
      </c>
      <c r="M4977" s="20" t="str">
        <f t="shared" si="155"/>
        <v>N/A</v>
      </c>
    </row>
    <row r="4978" spans="12:13">
      <c r="L4978" s="20" t="str">
        <f t="shared" si="154"/>
        <v>N/A</v>
      </c>
      <c r="M4978" s="20" t="str">
        <f t="shared" si="155"/>
        <v>N/A</v>
      </c>
    </row>
    <row r="4979" spans="12:13">
      <c r="L4979" s="20" t="str">
        <f t="shared" si="154"/>
        <v>N/A</v>
      </c>
      <c r="M4979" s="20" t="str">
        <f t="shared" si="155"/>
        <v>N/A</v>
      </c>
    </row>
    <row r="4980" spans="12:13">
      <c r="L4980" s="20" t="str">
        <f t="shared" si="154"/>
        <v>N/A</v>
      </c>
      <c r="M4980" s="20" t="str">
        <f t="shared" si="155"/>
        <v>N/A</v>
      </c>
    </row>
    <row r="4981" spans="12:13">
      <c r="L4981" s="20" t="str">
        <f t="shared" si="154"/>
        <v>N/A</v>
      </c>
      <c r="M4981" s="20" t="str">
        <f t="shared" si="155"/>
        <v>N/A</v>
      </c>
    </row>
    <row r="4982" spans="12:13">
      <c r="L4982" s="20" t="str">
        <f t="shared" si="154"/>
        <v>N/A</v>
      </c>
      <c r="M4982" s="20" t="str">
        <f t="shared" si="155"/>
        <v>N/A</v>
      </c>
    </row>
    <row r="4983" spans="12:13">
      <c r="L4983" s="20" t="str">
        <f t="shared" si="154"/>
        <v>N/A</v>
      </c>
      <c r="M4983" s="20" t="str">
        <f t="shared" si="155"/>
        <v>N/A</v>
      </c>
    </row>
    <row r="4984" spans="12:13">
      <c r="L4984" s="20" t="str">
        <f t="shared" si="154"/>
        <v>N/A</v>
      </c>
      <c r="M4984" s="20" t="str">
        <f t="shared" si="155"/>
        <v>N/A</v>
      </c>
    </row>
    <row r="4985" spans="12:13">
      <c r="L4985" s="20" t="str">
        <f t="shared" si="154"/>
        <v>N/A</v>
      </c>
      <c r="M4985" s="20" t="str">
        <f t="shared" si="155"/>
        <v>N/A</v>
      </c>
    </row>
    <row r="4986" spans="12:13">
      <c r="L4986" s="20" t="str">
        <f t="shared" si="154"/>
        <v>N/A</v>
      </c>
      <c r="M4986" s="20" t="str">
        <f t="shared" si="155"/>
        <v>N/A</v>
      </c>
    </row>
    <row r="4987" spans="12:13">
      <c r="L4987" s="20" t="str">
        <f t="shared" si="154"/>
        <v>N/A</v>
      </c>
      <c r="M4987" s="20" t="str">
        <f t="shared" si="155"/>
        <v>N/A</v>
      </c>
    </row>
    <row r="4988" spans="12:13">
      <c r="L4988" s="20" t="str">
        <f t="shared" si="154"/>
        <v>N/A</v>
      </c>
      <c r="M4988" s="20" t="str">
        <f t="shared" si="155"/>
        <v>N/A</v>
      </c>
    </row>
    <row r="4989" spans="12:13">
      <c r="L4989" s="20" t="str">
        <f t="shared" si="154"/>
        <v>N/A</v>
      </c>
      <c r="M4989" s="20" t="str">
        <f t="shared" si="155"/>
        <v>N/A</v>
      </c>
    </row>
    <row r="4990" spans="12:13">
      <c r="L4990" s="20" t="str">
        <f t="shared" si="154"/>
        <v>N/A</v>
      </c>
      <c r="M4990" s="20" t="str">
        <f t="shared" si="155"/>
        <v>N/A</v>
      </c>
    </row>
    <row r="4991" spans="12:13">
      <c r="L4991" s="20" t="str">
        <f t="shared" si="154"/>
        <v>N/A</v>
      </c>
      <c r="M4991" s="20" t="str">
        <f t="shared" si="155"/>
        <v>N/A</v>
      </c>
    </row>
    <row r="4992" spans="12:13">
      <c r="L4992" s="20" t="str">
        <f t="shared" si="154"/>
        <v>N/A</v>
      </c>
      <c r="M4992" s="20" t="str">
        <f t="shared" si="155"/>
        <v>N/A</v>
      </c>
    </row>
    <row r="4993" spans="12:13">
      <c r="L4993" s="20" t="str">
        <f t="shared" si="154"/>
        <v>N/A</v>
      </c>
      <c r="M4993" s="20" t="str">
        <f t="shared" si="155"/>
        <v>N/A</v>
      </c>
    </row>
    <row r="4994" spans="12:13">
      <c r="L4994" s="20" t="str">
        <f t="shared" si="154"/>
        <v>N/A</v>
      </c>
      <c r="M4994" s="20" t="str">
        <f t="shared" si="155"/>
        <v>N/A</v>
      </c>
    </row>
    <row r="4995" spans="12:13">
      <c r="L4995" s="20" t="str">
        <f t="shared" ref="L4995:L5000" si="156">+IF(LEFT(D4995,1)="1","Asset","N/A")</f>
        <v>N/A</v>
      </c>
      <c r="M4995" s="20" t="str">
        <f t="shared" ref="M4995:M5000" si="157">+IF(L4995="asset",IF(H4995&lt;0,"Provide Comment","okay"),"N/A")</f>
        <v>N/A</v>
      </c>
    </row>
    <row r="4996" spans="12:13">
      <c r="L4996" s="20" t="str">
        <f t="shared" si="156"/>
        <v>N/A</v>
      </c>
      <c r="M4996" s="20" t="str">
        <f t="shared" si="157"/>
        <v>N/A</v>
      </c>
    </row>
    <row r="4997" spans="12:13">
      <c r="L4997" s="20" t="str">
        <f t="shared" si="156"/>
        <v>N/A</v>
      </c>
      <c r="M4997" s="20" t="str">
        <f t="shared" si="157"/>
        <v>N/A</v>
      </c>
    </row>
    <row r="4998" spans="12:13">
      <c r="L4998" s="20" t="str">
        <f t="shared" si="156"/>
        <v>N/A</v>
      </c>
      <c r="M4998" s="20" t="str">
        <f t="shared" si="157"/>
        <v>N/A</v>
      </c>
    </row>
    <row r="4999" spans="12:13">
      <c r="L4999" s="20" t="str">
        <f t="shared" si="156"/>
        <v>N/A</v>
      </c>
      <c r="M4999" s="20" t="str">
        <f t="shared" si="157"/>
        <v>N/A</v>
      </c>
    </row>
    <row r="5000" spans="12:13">
      <c r="L5000" s="20" t="str">
        <f t="shared" si="156"/>
        <v>N/A</v>
      </c>
      <c r="M5000" s="20" t="str">
        <f t="shared" si="157"/>
        <v>N/A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35684-27C0-4ED3-9608-C106796193FD}">
  <dimension ref="A1:W52"/>
  <sheetViews>
    <sheetView workbookViewId="0">
      <selection activeCell="N31" sqref="N31"/>
    </sheetView>
  </sheetViews>
  <sheetFormatPr defaultRowHeight="15"/>
  <sheetData>
    <row r="1" spans="1:23">
      <c r="A1" t="s">
        <v>21</v>
      </c>
      <c r="B1" t="s">
        <v>165</v>
      </c>
      <c r="C1" t="s">
        <v>166</v>
      </c>
      <c r="D1" t="s">
        <v>167</v>
      </c>
      <c r="E1">
        <v>5</v>
      </c>
      <c r="F1" t="s">
        <v>366</v>
      </c>
      <c r="G1">
        <v>336</v>
      </c>
      <c r="H1">
        <v>340</v>
      </c>
      <c r="I1">
        <v>338</v>
      </c>
      <c r="J1">
        <v>356</v>
      </c>
      <c r="K1" t="s">
        <v>367</v>
      </c>
      <c r="L1" t="s">
        <v>368</v>
      </c>
      <c r="M1" t="s">
        <v>369</v>
      </c>
      <c r="N1" t="s">
        <v>370</v>
      </c>
      <c r="O1" t="s">
        <v>371</v>
      </c>
      <c r="P1" t="s">
        <v>372</v>
      </c>
      <c r="Q1" t="s">
        <v>373</v>
      </c>
      <c r="R1" t="s">
        <v>374</v>
      </c>
      <c r="S1" t="s">
        <v>375</v>
      </c>
      <c r="T1" t="s">
        <v>376</v>
      </c>
      <c r="U1" t="s">
        <v>377</v>
      </c>
      <c r="V1">
        <v>373</v>
      </c>
      <c r="W1" t="s">
        <v>378</v>
      </c>
    </row>
    <row r="2" spans="1:23">
      <c r="A2" t="s">
        <v>22</v>
      </c>
      <c r="B2" t="s">
        <v>190</v>
      </c>
      <c r="C2" t="s">
        <v>191</v>
      </c>
      <c r="D2" t="s">
        <v>192</v>
      </c>
      <c r="E2">
        <v>7500000</v>
      </c>
      <c r="F2">
        <v>8003407.7000000002</v>
      </c>
      <c r="G2">
        <v>0</v>
      </c>
      <c r="H2">
        <v>0</v>
      </c>
      <c r="I2">
        <v>12456.75</v>
      </c>
      <c r="J2">
        <v>0</v>
      </c>
      <c r="K2">
        <v>12456.75</v>
      </c>
      <c r="L2">
        <v>0</v>
      </c>
      <c r="M2">
        <v>1.89</v>
      </c>
      <c r="N2">
        <v>0</v>
      </c>
      <c r="O2">
        <v>0</v>
      </c>
      <c r="P2">
        <v>0</v>
      </c>
      <c r="Q2">
        <v>-1551.97</v>
      </c>
      <c r="R2">
        <v>-1550.08</v>
      </c>
      <c r="S2">
        <v>0</v>
      </c>
      <c r="T2">
        <v>89166.27</v>
      </c>
      <c r="U2">
        <v>89166.27</v>
      </c>
      <c r="V2">
        <v>0</v>
      </c>
      <c r="W2">
        <v>8103480.6399999997</v>
      </c>
    </row>
    <row r="3" spans="1:23">
      <c r="A3" t="s">
        <v>22</v>
      </c>
      <c r="B3" t="s">
        <v>195</v>
      </c>
      <c r="C3" t="s">
        <v>196</v>
      </c>
      <c r="D3" t="s">
        <v>192</v>
      </c>
      <c r="E3">
        <v>7500000</v>
      </c>
      <c r="F3">
        <v>8003407.7000000002</v>
      </c>
      <c r="G3">
        <v>0</v>
      </c>
      <c r="H3">
        <v>0</v>
      </c>
      <c r="I3">
        <v>12456.75</v>
      </c>
      <c r="J3">
        <v>0</v>
      </c>
      <c r="K3">
        <v>12456.75</v>
      </c>
      <c r="L3">
        <v>0</v>
      </c>
      <c r="M3">
        <v>1.89</v>
      </c>
      <c r="N3">
        <v>0</v>
      </c>
      <c r="O3">
        <v>0</v>
      </c>
      <c r="P3">
        <v>0</v>
      </c>
      <c r="Q3">
        <v>-1551.97</v>
      </c>
      <c r="R3">
        <v>-1550.08</v>
      </c>
      <c r="S3">
        <v>0</v>
      </c>
      <c r="T3">
        <v>89166.27</v>
      </c>
      <c r="U3">
        <v>89166.27</v>
      </c>
      <c r="V3">
        <v>0</v>
      </c>
      <c r="W3">
        <v>8103480.6399999997</v>
      </c>
    </row>
    <row r="4" spans="1:23">
      <c r="A4" t="s">
        <v>22</v>
      </c>
      <c r="B4" t="s">
        <v>197</v>
      </c>
      <c r="C4" t="s">
        <v>198</v>
      </c>
      <c r="D4" t="s">
        <v>192</v>
      </c>
      <c r="E4">
        <v>3750000</v>
      </c>
      <c r="F4">
        <v>4001703.89</v>
      </c>
      <c r="G4">
        <v>0</v>
      </c>
      <c r="H4">
        <v>0</v>
      </c>
      <c r="I4">
        <v>6228.37</v>
      </c>
      <c r="J4">
        <v>0</v>
      </c>
      <c r="K4">
        <v>6228.37</v>
      </c>
      <c r="L4">
        <v>0</v>
      </c>
      <c r="M4">
        <v>0.95</v>
      </c>
      <c r="N4">
        <v>0</v>
      </c>
      <c r="O4">
        <v>0</v>
      </c>
      <c r="P4">
        <v>0</v>
      </c>
      <c r="Q4">
        <v>-775.97</v>
      </c>
      <c r="R4">
        <v>-775.02</v>
      </c>
      <c r="S4">
        <v>0</v>
      </c>
      <c r="T4">
        <v>44583.13</v>
      </c>
      <c r="U4">
        <v>44583.13</v>
      </c>
      <c r="V4">
        <v>0</v>
      </c>
      <c r="W4">
        <v>4051740.37</v>
      </c>
    </row>
    <row r="5" spans="1:23">
      <c r="A5" t="s">
        <v>22</v>
      </c>
      <c r="B5" t="s">
        <v>199</v>
      </c>
      <c r="C5" t="s">
        <v>200</v>
      </c>
      <c r="D5" t="s">
        <v>192</v>
      </c>
      <c r="E5">
        <v>5062500</v>
      </c>
      <c r="F5">
        <v>5402300.1699999999</v>
      </c>
      <c r="G5">
        <v>0</v>
      </c>
      <c r="H5">
        <v>0</v>
      </c>
      <c r="I5">
        <v>8408.2999999999993</v>
      </c>
      <c r="J5">
        <v>0</v>
      </c>
      <c r="K5">
        <v>8408.2999999999993</v>
      </c>
      <c r="L5">
        <v>0</v>
      </c>
      <c r="M5">
        <v>1.28</v>
      </c>
      <c r="N5">
        <v>0</v>
      </c>
      <c r="O5">
        <v>0</v>
      </c>
      <c r="P5">
        <v>0</v>
      </c>
      <c r="Q5">
        <v>-1047.58</v>
      </c>
      <c r="R5">
        <v>-1046.3</v>
      </c>
      <c r="S5">
        <v>0</v>
      </c>
      <c r="T5">
        <v>60187.23</v>
      </c>
      <c r="U5">
        <v>60187.23</v>
      </c>
      <c r="V5">
        <v>0</v>
      </c>
      <c r="W5">
        <v>5469849.4000000004</v>
      </c>
    </row>
    <row r="6" spans="1:23">
      <c r="A6" t="s">
        <v>22</v>
      </c>
      <c r="B6" t="s">
        <v>201</v>
      </c>
      <c r="C6" t="s">
        <v>202</v>
      </c>
      <c r="D6" t="s">
        <v>192</v>
      </c>
      <c r="E6">
        <v>101250000</v>
      </c>
      <c r="F6">
        <v>108046003.59999999</v>
      </c>
      <c r="G6">
        <v>0</v>
      </c>
      <c r="H6">
        <v>0</v>
      </c>
      <c r="I6">
        <v>168166.09</v>
      </c>
      <c r="J6">
        <v>0</v>
      </c>
      <c r="K6">
        <v>168166.09</v>
      </c>
      <c r="L6">
        <v>0</v>
      </c>
      <c r="M6">
        <v>25.51</v>
      </c>
      <c r="N6">
        <v>0</v>
      </c>
      <c r="O6">
        <v>0</v>
      </c>
      <c r="P6">
        <v>0</v>
      </c>
      <c r="Q6">
        <v>-20951.48</v>
      </c>
      <c r="R6">
        <v>-20925.97</v>
      </c>
      <c r="S6">
        <v>0</v>
      </c>
      <c r="T6">
        <v>1203744.6599999999</v>
      </c>
      <c r="U6">
        <v>1203744.6599999999</v>
      </c>
      <c r="V6">
        <v>0</v>
      </c>
      <c r="W6">
        <v>109396988.38</v>
      </c>
    </row>
    <row r="7" spans="1:23">
      <c r="A7" t="s">
        <v>22</v>
      </c>
      <c r="B7" t="s">
        <v>203</v>
      </c>
      <c r="C7" t="s">
        <v>204</v>
      </c>
      <c r="D7" t="s">
        <v>192</v>
      </c>
      <c r="E7">
        <v>25312500</v>
      </c>
      <c r="F7">
        <v>27011500.91</v>
      </c>
      <c r="G7">
        <v>0</v>
      </c>
      <c r="H7">
        <v>0</v>
      </c>
      <c r="I7">
        <v>42041.52</v>
      </c>
      <c r="J7">
        <v>0</v>
      </c>
      <c r="K7">
        <v>42041.52</v>
      </c>
      <c r="L7">
        <v>0</v>
      </c>
      <c r="M7">
        <v>6.38</v>
      </c>
      <c r="N7">
        <v>0</v>
      </c>
      <c r="O7">
        <v>0</v>
      </c>
      <c r="P7">
        <v>0</v>
      </c>
      <c r="Q7">
        <v>-5237.87</v>
      </c>
      <c r="R7">
        <v>-5231.49</v>
      </c>
      <c r="S7">
        <v>0</v>
      </c>
      <c r="T7">
        <v>300936.17</v>
      </c>
      <c r="U7">
        <v>300936.17</v>
      </c>
      <c r="V7">
        <v>0</v>
      </c>
      <c r="W7">
        <v>27349247.109999999</v>
      </c>
    </row>
    <row r="8" spans="1:23">
      <c r="A8" t="s">
        <v>22</v>
      </c>
      <c r="B8" t="s">
        <v>205</v>
      </c>
      <c r="C8" t="s">
        <v>206</v>
      </c>
      <c r="D8" t="s">
        <v>192</v>
      </c>
      <c r="E8">
        <v>1000000</v>
      </c>
      <c r="F8">
        <v>1067120.98</v>
      </c>
      <c r="G8">
        <v>0</v>
      </c>
      <c r="H8">
        <v>0</v>
      </c>
      <c r="I8">
        <v>1660.9</v>
      </c>
      <c r="J8">
        <v>0</v>
      </c>
      <c r="K8">
        <v>1660.9</v>
      </c>
      <c r="L8">
        <v>0</v>
      </c>
      <c r="M8">
        <v>0.25</v>
      </c>
      <c r="N8">
        <v>0</v>
      </c>
      <c r="O8">
        <v>0</v>
      </c>
      <c r="P8">
        <v>0</v>
      </c>
      <c r="Q8">
        <v>-206.94</v>
      </c>
      <c r="R8">
        <v>-206.69</v>
      </c>
      <c r="S8">
        <v>0</v>
      </c>
      <c r="T8">
        <v>11888.83</v>
      </c>
      <c r="U8">
        <v>11888.83</v>
      </c>
      <c r="V8">
        <v>0</v>
      </c>
      <c r="W8">
        <v>1080464.02</v>
      </c>
    </row>
    <row r="9" spans="1:23">
      <c r="A9" t="s">
        <v>22</v>
      </c>
      <c r="B9" t="s">
        <v>207</v>
      </c>
      <c r="C9" t="s">
        <v>208</v>
      </c>
      <c r="D9" t="s">
        <v>192</v>
      </c>
      <c r="E9">
        <v>6500000</v>
      </c>
      <c r="F9">
        <v>6936286.7000000002</v>
      </c>
      <c r="G9">
        <v>0</v>
      </c>
      <c r="H9">
        <v>0</v>
      </c>
      <c r="I9">
        <v>10795.85</v>
      </c>
      <c r="J9">
        <v>0</v>
      </c>
      <c r="K9">
        <v>10795.85</v>
      </c>
      <c r="L9">
        <v>0</v>
      </c>
      <c r="M9">
        <v>1.63</v>
      </c>
      <c r="N9">
        <v>0</v>
      </c>
      <c r="O9">
        <v>0</v>
      </c>
      <c r="P9">
        <v>0</v>
      </c>
      <c r="Q9">
        <v>-1345.05</v>
      </c>
      <c r="R9">
        <v>-1343.42</v>
      </c>
      <c r="S9">
        <v>0</v>
      </c>
      <c r="T9">
        <v>77277.440000000002</v>
      </c>
      <c r="U9">
        <v>77277.440000000002</v>
      </c>
      <c r="V9">
        <v>0</v>
      </c>
      <c r="W9">
        <v>7023016.5700000003</v>
      </c>
    </row>
    <row r="10" spans="1:23">
      <c r="A10" t="s">
        <v>22</v>
      </c>
      <c r="B10" t="s">
        <v>210</v>
      </c>
      <c r="C10" t="s">
        <v>211</v>
      </c>
      <c r="D10" t="s">
        <v>192</v>
      </c>
      <c r="E10">
        <v>35000000</v>
      </c>
      <c r="F10">
        <v>37349235.799999997</v>
      </c>
      <c r="G10">
        <v>0</v>
      </c>
      <c r="H10">
        <v>0</v>
      </c>
      <c r="I10">
        <v>58131.49</v>
      </c>
      <c r="J10">
        <v>0</v>
      </c>
      <c r="K10">
        <v>58131.49</v>
      </c>
      <c r="L10">
        <v>0</v>
      </c>
      <c r="M10">
        <v>8.82</v>
      </c>
      <c r="N10">
        <v>0</v>
      </c>
      <c r="O10">
        <v>0</v>
      </c>
      <c r="P10">
        <v>0</v>
      </c>
      <c r="Q10">
        <v>-7242.5</v>
      </c>
      <c r="R10">
        <v>-7233.68</v>
      </c>
      <c r="S10">
        <v>0</v>
      </c>
      <c r="T10">
        <v>416109.27</v>
      </c>
      <c r="U10">
        <v>416109.27</v>
      </c>
      <c r="V10">
        <v>0</v>
      </c>
      <c r="W10">
        <v>37816242.880000003</v>
      </c>
    </row>
    <row r="11" spans="1:23">
      <c r="A11" t="s">
        <v>22</v>
      </c>
      <c r="B11" t="s">
        <v>212</v>
      </c>
      <c r="D11" t="s">
        <v>213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>
      <c r="A12" t="s">
        <v>22</v>
      </c>
      <c r="B12" t="s">
        <v>215</v>
      </c>
      <c r="C12" t="s">
        <v>216</v>
      </c>
      <c r="D12" t="s">
        <v>192</v>
      </c>
      <c r="E12">
        <v>15718750</v>
      </c>
      <c r="F12">
        <v>16773808.609999999</v>
      </c>
      <c r="G12">
        <v>0</v>
      </c>
      <c r="H12">
        <v>0</v>
      </c>
      <c r="I12">
        <v>26107.27</v>
      </c>
      <c r="J12">
        <v>0</v>
      </c>
      <c r="K12">
        <v>26107.27</v>
      </c>
      <c r="L12">
        <v>0</v>
      </c>
      <c r="M12">
        <v>3.96</v>
      </c>
      <c r="N12">
        <v>0</v>
      </c>
      <c r="O12">
        <v>0</v>
      </c>
      <c r="P12">
        <v>0</v>
      </c>
      <c r="Q12">
        <v>-3252.66</v>
      </c>
      <c r="R12">
        <v>-3248.7</v>
      </c>
      <c r="S12">
        <v>0</v>
      </c>
      <c r="T12">
        <v>186877.64</v>
      </c>
      <c r="U12">
        <v>186877.64</v>
      </c>
      <c r="V12">
        <v>0</v>
      </c>
      <c r="W12">
        <v>16983544.82</v>
      </c>
    </row>
    <row r="13" spans="1:23">
      <c r="A13" t="s">
        <v>22</v>
      </c>
      <c r="B13" t="s">
        <v>217</v>
      </c>
      <c r="C13" t="s">
        <v>218</v>
      </c>
      <c r="D13" t="s">
        <v>192</v>
      </c>
      <c r="E13">
        <v>25312500</v>
      </c>
      <c r="F13">
        <v>27011500.91</v>
      </c>
      <c r="G13">
        <v>0</v>
      </c>
      <c r="H13">
        <v>0</v>
      </c>
      <c r="I13">
        <v>42041.52</v>
      </c>
      <c r="J13">
        <v>0</v>
      </c>
      <c r="K13">
        <v>42041.52</v>
      </c>
      <c r="L13">
        <v>0</v>
      </c>
      <c r="M13">
        <v>6.38</v>
      </c>
      <c r="N13">
        <v>0</v>
      </c>
      <c r="O13">
        <v>0</v>
      </c>
      <c r="P13">
        <v>0</v>
      </c>
      <c r="Q13">
        <v>-5237.87</v>
      </c>
      <c r="R13">
        <v>-5231.49</v>
      </c>
      <c r="S13">
        <v>0</v>
      </c>
      <c r="T13">
        <v>300936.17</v>
      </c>
      <c r="U13">
        <v>300936.17</v>
      </c>
      <c r="V13">
        <v>0</v>
      </c>
      <c r="W13">
        <v>27349247.109999999</v>
      </c>
    </row>
    <row r="14" spans="1:23">
      <c r="A14" t="s">
        <v>22</v>
      </c>
      <c r="B14" t="s">
        <v>219</v>
      </c>
      <c r="C14" t="s">
        <v>220</v>
      </c>
      <c r="D14" t="s">
        <v>192</v>
      </c>
      <c r="E14">
        <v>12000000</v>
      </c>
      <c r="F14">
        <v>12805452.220000001</v>
      </c>
      <c r="G14">
        <v>0</v>
      </c>
      <c r="H14">
        <v>0</v>
      </c>
      <c r="I14">
        <v>19930.8</v>
      </c>
      <c r="J14">
        <v>0</v>
      </c>
      <c r="K14">
        <v>19930.8</v>
      </c>
      <c r="L14">
        <v>0</v>
      </c>
      <c r="M14">
        <v>3.03</v>
      </c>
      <c r="N14">
        <v>0</v>
      </c>
      <c r="O14">
        <v>0</v>
      </c>
      <c r="P14">
        <v>0</v>
      </c>
      <c r="Q14">
        <v>-2483.15</v>
      </c>
      <c r="R14">
        <v>-2480.12</v>
      </c>
      <c r="S14">
        <v>0</v>
      </c>
      <c r="T14">
        <v>142666.03</v>
      </c>
      <c r="U14">
        <v>142666.03</v>
      </c>
      <c r="V14">
        <v>0</v>
      </c>
      <c r="W14">
        <v>12965568.93</v>
      </c>
    </row>
    <row r="15" spans="1:23">
      <c r="A15" t="s">
        <v>22</v>
      </c>
      <c r="B15" t="s">
        <v>221</v>
      </c>
      <c r="C15" t="s">
        <v>222</v>
      </c>
      <c r="D15" t="s">
        <v>192</v>
      </c>
      <c r="E15">
        <v>15187500</v>
      </c>
      <c r="F15">
        <v>16206900.529999999</v>
      </c>
      <c r="G15">
        <v>0</v>
      </c>
      <c r="H15">
        <v>0</v>
      </c>
      <c r="I15">
        <v>25224.91</v>
      </c>
      <c r="J15">
        <v>0</v>
      </c>
      <c r="K15">
        <v>25224.91</v>
      </c>
      <c r="L15">
        <v>0</v>
      </c>
      <c r="M15">
        <v>3.83</v>
      </c>
      <c r="N15">
        <v>0</v>
      </c>
      <c r="O15">
        <v>0</v>
      </c>
      <c r="P15">
        <v>0</v>
      </c>
      <c r="Q15">
        <v>-3142.74</v>
      </c>
      <c r="R15">
        <v>-3138.91</v>
      </c>
      <c r="S15">
        <v>0</v>
      </c>
      <c r="T15">
        <v>180561.7</v>
      </c>
      <c r="U15">
        <v>180561.7</v>
      </c>
      <c r="V15">
        <v>0</v>
      </c>
      <c r="W15">
        <v>16409548.23</v>
      </c>
    </row>
    <row r="16" spans="1:23">
      <c r="A16" t="s">
        <v>22</v>
      </c>
      <c r="B16" t="s">
        <v>223</v>
      </c>
      <c r="C16" t="s">
        <v>224</v>
      </c>
      <c r="D16" t="s">
        <v>192</v>
      </c>
      <c r="E16">
        <v>2500000</v>
      </c>
      <c r="F16">
        <v>2667802.59</v>
      </c>
      <c r="G16">
        <v>0</v>
      </c>
      <c r="H16">
        <v>0</v>
      </c>
      <c r="I16">
        <v>4152.25</v>
      </c>
      <c r="J16">
        <v>0</v>
      </c>
      <c r="K16">
        <v>4152.25</v>
      </c>
      <c r="L16">
        <v>0</v>
      </c>
      <c r="M16">
        <v>0.63</v>
      </c>
      <c r="N16">
        <v>0</v>
      </c>
      <c r="O16">
        <v>0</v>
      </c>
      <c r="P16">
        <v>0</v>
      </c>
      <c r="Q16">
        <v>-517.30999999999995</v>
      </c>
      <c r="R16">
        <v>-516.67999999999995</v>
      </c>
      <c r="S16">
        <v>0</v>
      </c>
      <c r="T16">
        <v>29722.09</v>
      </c>
      <c r="U16">
        <v>29722.09</v>
      </c>
      <c r="V16">
        <v>0</v>
      </c>
      <c r="W16">
        <v>2701160.25</v>
      </c>
    </row>
    <row r="17" spans="1:23">
      <c r="A17" t="s">
        <v>22</v>
      </c>
      <c r="B17" t="s">
        <v>225</v>
      </c>
      <c r="C17" t="s">
        <v>226</v>
      </c>
      <c r="D17" t="s">
        <v>192</v>
      </c>
      <c r="E17">
        <v>50625000</v>
      </c>
      <c r="F17">
        <v>54023001.729999997</v>
      </c>
      <c r="G17">
        <v>0</v>
      </c>
      <c r="H17">
        <v>0</v>
      </c>
      <c r="I17">
        <v>84083.04</v>
      </c>
      <c r="J17">
        <v>0</v>
      </c>
      <c r="K17">
        <v>84083.04</v>
      </c>
      <c r="L17">
        <v>0</v>
      </c>
      <c r="M17">
        <v>12.76</v>
      </c>
      <c r="N17">
        <v>0</v>
      </c>
      <c r="O17">
        <v>0</v>
      </c>
      <c r="P17">
        <v>0</v>
      </c>
      <c r="Q17">
        <v>-10475.73</v>
      </c>
      <c r="R17">
        <v>-10462.969999999999</v>
      </c>
      <c r="S17">
        <v>0</v>
      </c>
      <c r="T17">
        <v>601872.32999999996</v>
      </c>
      <c r="U17">
        <v>601872.32999999996</v>
      </c>
      <c r="V17">
        <v>0</v>
      </c>
      <c r="W17">
        <v>54698494.130000003</v>
      </c>
    </row>
    <row r="18" spans="1:23">
      <c r="A18" t="s">
        <v>22</v>
      </c>
      <c r="B18" t="s">
        <v>227</v>
      </c>
      <c r="C18" t="s">
        <v>228</v>
      </c>
      <c r="D18" t="s">
        <v>192</v>
      </c>
      <c r="E18">
        <v>3000000</v>
      </c>
      <c r="F18">
        <v>3201363.06</v>
      </c>
      <c r="G18">
        <v>0</v>
      </c>
      <c r="H18">
        <v>0</v>
      </c>
      <c r="I18">
        <v>4982.7</v>
      </c>
      <c r="J18">
        <v>0</v>
      </c>
      <c r="K18">
        <v>4982.7</v>
      </c>
      <c r="L18">
        <v>0</v>
      </c>
      <c r="M18">
        <v>0.76</v>
      </c>
      <c r="N18">
        <v>0</v>
      </c>
      <c r="O18">
        <v>0</v>
      </c>
      <c r="P18">
        <v>0</v>
      </c>
      <c r="Q18">
        <v>-620.79999999999995</v>
      </c>
      <c r="R18">
        <v>-620.04</v>
      </c>
      <c r="S18">
        <v>0</v>
      </c>
      <c r="T18">
        <v>35666.51</v>
      </c>
      <c r="U18">
        <v>35666.51</v>
      </c>
      <c r="V18">
        <v>0</v>
      </c>
      <c r="W18">
        <v>3241392.23</v>
      </c>
    </row>
    <row r="19" spans="1:23">
      <c r="A19" t="s">
        <v>22</v>
      </c>
      <c r="B19" t="s">
        <v>229</v>
      </c>
      <c r="C19" t="s">
        <v>230</v>
      </c>
      <c r="D19" t="s">
        <v>192</v>
      </c>
      <c r="E19">
        <v>20000000</v>
      </c>
      <c r="F19">
        <v>21342420.390000001</v>
      </c>
      <c r="G19">
        <v>0</v>
      </c>
      <c r="H19">
        <v>0</v>
      </c>
      <c r="I19">
        <v>33217.99</v>
      </c>
      <c r="J19">
        <v>0</v>
      </c>
      <c r="K19">
        <v>33217.99</v>
      </c>
      <c r="L19">
        <v>0</v>
      </c>
      <c r="M19">
        <v>5.04</v>
      </c>
      <c r="N19">
        <v>0</v>
      </c>
      <c r="O19">
        <v>0</v>
      </c>
      <c r="P19">
        <v>0</v>
      </c>
      <c r="Q19">
        <v>-4138.55</v>
      </c>
      <c r="R19">
        <v>-4133.51</v>
      </c>
      <c r="S19">
        <v>0</v>
      </c>
      <c r="T19">
        <v>237776.73</v>
      </c>
      <c r="U19">
        <v>237776.73</v>
      </c>
      <c r="V19">
        <v>0</v>
      </c>
      <c r="W19">
        <v>21609281.600000001</v>
      </c>
    </row>
    <row r="20" spans="1:23">
      <c r="A20" t="s">
        <v>22</v>
      </c>
      <c r="B20" t="s">
        <v>231</v>
      </c>
      <c r="C20" t="s">
        <v>232</v>
      </c>
      <c r="D20" t="s">
        <v>192</v>
      </c>
      <c r="E20">
        <v>2531250</v>
      </c>
      <c r="F20">
        <v>2701150.15</v>
      </c>
      <c r="G20">
        <v>0</v>
      </c>
      <c r="H20">
        <v>0</v>
      </c>
      <c r="I20">
        <v>4204.1499999999996</v>
      </c>
      <c r="J20">
        <v>0</v>
      </c>
      <c r="K20">
        <v>4204.1499999999996</v>
      </c>
      <c r="L20">
        <v>0</v>
      </c>
      <c r="M20">
        <v>0.64</v>
      </c>
      <c r="N20">
        <v>0</v>
      </c>
      <c r="O20">
        <v>0</v>
      </c>
      <c r="P20">
        <v>0</v>
      </c>
      <c r="Q20">
        <v>-523.79999999999995</v>
      </c>
      <c r="R20">
        <v>-523.16</v>
      </c>
      <c r="S20">
        <v>0</v>
      </c>
      <c r="T20">
        <v>30093.62</v>
      </c>
      <c r="U20">
        <v>30093.62</v>
      </c>
      <c r="V20">
        <v>0</v>
      </c>
      <c r="W20">
        <v>2734924.76</v>
      </c>
    </row>
    <row r="21" spans="1:23">
      <c r="A21" t="s">
        <v>22</v>
      </c>
      <c r="B21" t="s">
        <v>233</v>
      </c>
      <c r="C21" t="s">
        <v>234</v>
      </c>
      <c r="D21" t="s">
        <v>192</v>
      </c>
      <c r="E21">
        <v>4000000</v>
      </c>
      <c r="F21">
        <v>4268484.09</v>
      </c>
      <c r="G21">
        <v>0</v>
      </c>
      <c r="H21">
        <v>0</v>
      </c>
      <c r="I21">
        <v>6643.6</v>
      </c>
      <c r="J21">
        <v>0</v>
      </c>
      <c r="K21">
        <v>6643.6</v>
      </c>
      <c r="L21">
        <v>0</v>
      </c>
      <c r="M21">
        <v>1.01</v>
      </c>
      <c r="N21">
        <v>0</v>
      </c>
      <c r="O21">
        <v>0</v>
      </c>
      <c r="P21">
        <v>0</v>
      </c>
      <c r="Q21">
        <v>-827.71</v>
      </c>
      <c r="R21">
        <v>-826.7</v>
      </c>
      <c r="S21">
        <v>0</v>
      </c>
      <c r="T21">
        <v>47555.34</v>
      </c>
      <c r="U21">
        <v>47555.34</v>
      </c>
      <c r="V21">
        <v>0</v>
      </c>
      <c r="W21">
        <v>4321856.33</v>
      </c>
    </row>
    <row r="22" spans="1:23">
      <c r="A22" t="s">
        <v>22</v>
      </c>
      <c r="B22" t="s">
        <v>235</v>
      </c>
      <c r="C22" t="s">
        <v>236</v>
      </c>
      <c r="D22" t="s">
        <v>192</v>
      </c>
      <c r="E22">
        <v>15000000</v>
      </c>
      <c r="F22">
        <v>16006815.289999999</v>
      </c>
      <c r="G22">
        <v>0</v>
      </c>
      <c r="H22">
        <v>0</v>
      </c>
      <c r="I22">
        <v>24913.49</v>
      </c>
      <c r="J22">
        <v>0</v>
      </c>
      <c r="K22">
        <v>24913.49</v>
      </c>
      <c r="L22">
        <v>0</v>
      </c>
      <c r="M22">
        <v>3.78</v>
      </c>
      <c r="N22">
        <v>0</v>
      </c>
      <c r="O22">
        <v>0</v>
      </c>
      <c r="P22">
        <v>0</v>
      </c>
      <c r="Q22">
        <v>-3103.94</v>
      </c>
      <c r="R22">
        <v>-3100.16</v>
      </c>
      <c r="S22">
        <v>0</v>
      </c>
      <c r="T22">
        <v>178332.54</v>
      </c>
      <c r="U22">
        <v>178332.54</v>
      </c>
      <c r="V22">
        <v>0</v>
      </c>
      <c r="W22">
        <v>16206961.16</v>
      </c>
    </row>
    <row r="23" spans="1:23">
      <c r="A23" t="s">
        <v>22</v>
      </c>
      <c r="B23" t="s">
        <v>237</v>
      </c>
      <c r="C23" t="s">
        <v>238</v>
      </c>
      <c r="D23" t="s">
        <v>192</v>
      </c>
      <c r="E23">
        <v>5062500</v>
      </c>
      <c r="F23">
        <v>5402300.1699999999</v>
      </c>
      <c r="G23">
        <v>0</v>
      </c>
      <c r="H23">
        <v>0</v>
      </c>
      <c r="I23">
        <v>8408.2999999999993</v>
      </c>
      <c r="J23">
        <v>0</v>
      </c>
      <c r="K23">
        <v>8408.2999999999993</v>
      </c>
      <c r="L23">
        <v>0</v>
      </c>
      <c r="M23">
        <v>1.28</v>
      </c>
      <c r="N23">
        <v>0</v>
      </c>
      <c r="O23">
        <v>0</v>
      </c>
      <c r="P23">
        <v>0</v>
      </c>
      <c r="Q23">
        <v>-1047.58</v>
      </c>
      <c r="R23">
        <v>-1046.3</v>
      </c>
      <c r="S23">
        <v>0</v>
      </c>
      <c r="T23">
        <v>60187.23</v>
      </c>
      <c r="U23">
        <v>60187.23</v>
      </c>
      <c r="V23">
        <v>0</v>
      </c>
      <c r="W23">
        <v>5469849.4000000004</v>
      </c>
    </row>
    <row r="24" spans="1:23">
      <c r="A24" t="s">
        <v>22</v>
      </c>
      <c r="B24" t="s">
        <v>239</v>
      </c>
      <c r="C24" t="s">
        <v>240</v>
      </c>
      <c r="D24" t="s">
        <v>192</v>
      </c>
      <c r="E24">
        <v>5062500</v>
      </c>
      <c r="F24">
        <v>5402250.1699999999</v>
      </c>
      <c r="G24">
        <v>0</v>
      </c>
      <c r="H24">
        <v>0</v>
      </c>
      <c r="I24">
        <v>8408.2999999999993</v>
      </c>
      <c r="J24">
        <v>0</v>
      </c>
      <c r="K24">
        <v>8408.2999999999993</v>
      </c>
      <c r="L24">
        <v>0</v>
      </c>
      <c r="M24">
        <v>1.28</v>
      </c>
      <c r="N24">
        <v>0</v>
      </c>
      <c r="O24">
        <v>0</v>
      </c>
      <c r="P24">
        <v>0</v>
      </c>
      <c r="Q24">
        <v>-1047.58</v>
      </c>
      <c r="R24">
        <v>-1046.3</v>
      </c>
      <c r="S24">
        <v>0</v>
      </c>
      <c r="T24">
        <v>60187.23</v>
      </c>
      <c r="U24">
        <v>60187.23</v>
      </c>
      <c r="V24">
        <v>0</v>
      </c>
      <c r="W24">
        <v>5469799.4000000004</v>
      </c>
    </row>
    <row r="25" spans="1:23">
      <c r="A25" t="s">
        <v>22</v>
      </c>
      <c r="B25" t="s">
        <v>241</v>
      </c>
      <c r="C25" t="s">
        <v>242</v>
      </c>
      <c r="D25" t="s">
        <v>192</v>
      </c>
      <c r="E25">
        <v>1500000</v>
      </c>
      <c r="F25">
        <v>1600681.51</v>
      </c>
      <c r="G25">
        <v>0</v>
      </c>
      <c r="H25">
        <v>0</v>
      </c>
      <c r="I25">
        <v>2491.35</v>
      </c>
      <c r="J25">
        <v>0</v>
      </c>
      <c r="K25">
        <v>2491.35</v>
      </c>
      <c r="L25">
        <v>0</v>
      </c>
      <c r="M25">
        <v>0.37</v>
      </c>
      <c r="N25">
        <v>0</v>
      </c>
      <c r="O25">
        <v>0</v>
      </c>
      <c r="P25">
        <v>0</v>
      </c>
      <c r="Q25">
        <v>-310.39999999999998</v>
      </c>
      <c r="R25">
        <v>-310.02999999999997</v>
      </c>
      <c r="S25">
        <v>0</v>
      </c>
      <c r="T25">
        <v>17833.25</v>
      </c>
      <c r="U25">
        <v>17833.25</v>
      </c>
      <c r="V25">
        <v>0</v>
      </c>
      <c r="W25">
        <v>1620696.08</v>
      </c>
    </row>
    <row r="26" spans="1:23">
      <c r="A26" t="s">
        <v>22</v>
      </c>
      <c r="B26" t="s">
        <v>243</v>
      </c>
      <c r="C26" t="s">
        <v>244</v>
      </c>
      <c r="D26" t="s">
        <v>192</v>
      </c>
      <c r="E26">
        <v>5062500</v>
      </c>
      <c r="F26">
        <v>5402300.1699999999</v>
      </c>
      <c r="G26">
        <v>0</v>
      </c>
      <c r="H26">
        <v>0</v>
      </c>
      <c r="I26">
        <v>8408.2999999999993</v>
      </c>
      <c r="J26">
        <v>0</v>
      </c>
      <c r="K26">
        <v>8408.2999999999993</v>
      </c>
      <c r="L26">
        <v>0</v>
      </c>
      <c r="M26">
        <v>1.28</v>
      </c>
      <c r="N26">
        <v>0</v>
      </c>
      <c r="O26">
        <v>0</v>
      </c>
      <c r="P26">
        <v>0</v>
      </c>
      <c r="Q26">
        <v>-1047.58</v>
      </c>
      <c r="R26">
        <v>-1046.3</v>
      </c>
      <c r="S26">
        <v>0</v>
      </c>
      <c r="T26">
        <v>60187.23</v>
      </c>
      <c r="U26">
        <v>60187.23</v>
      </c>
      <c r="V26">
        <v>0</v>
      </c>
      <c r="W26">
        <v>5469849.4000000004</v>
      </c>
    </row>
    <row r="27" spans="1:23">
      <c r="A27" t="s">
        <v>22</v>
      </c>
      <c r="B27" t="s">
        <v>245</v>
      </c>
      <c r="C27" t="s">
        <v>246</v>
      </c>
      <c r="D27" t="s">
        <v>192</v>
      </c>
      <c r="E27">
        <v>55687500</v>
      </c>
      <c r="F27">
        <v>59425301.920000002</v>
      </c>
      <c r="G27">
        <v>0</v>
      </c>
      <c r="H27">
        <v>0</v>
      </c>
      <c r="I27">
        <v>92491.35</v>
      </c>
      <c r="J27">
        <v>0</v>
      </c>
      <c r="K27">
        <v>92491.35</v>
      </c>
      <c r="L27">
        <v>0</v>
      </c>
      <c r="M27">
        <v>14.03</v>
      </c>
      <c r="N27">
        <v>0</v>
      </c>
      <c r="O27">
        <v>0</v>
      </c>
      <c r="P27">
        <v>0</v>
      </c>
      <c r="Q27">
        <v>-11523.31</v>
      </c>
      <c r="R27">
        <v>-11509.28</v>
      </c>
      <c r="S27">
        <v>0</v>
      </c>
      <c r="T27">
        <v>662059.56000000006</v>
      </c>
      <c r="U27">
        <v>662059.56000000006</v>
      </c>
      <c r="V27">
        <v>0</v>
      </c>
      <c r="W27">
        <v>60168343.549999997</v>
      </c>
    </row>
    <row r="28" spans="1:23">
      <c r="A28" t="s">
        <v>22</v>
      </c>
      <c r="B28" t="s">
        <v>247</v>
      </c>
      <c r="C28" t="s">
        <v>248</v>
      </c>
      <c r="D28" t="s">
        <v>192</v>
      </c>
      <c r="E28">
        <v>500000</v>
      </c>
      <c r="F28">
        <v>533560.52</v>
      </c>
      <c r="G28">
        <v>0</v>
      </c>
      <c r="H28">
        <v>0</v>
      </c>
      <c r="I28">
        <v>830.45</v>
      </c>
      <c r="J28">
        <v>0</v>
      </c>
      <c r="K28">
        <v>830.45</v>
      </c>
      <c r="L28">
        <v>0</v>
      </c>
      <c r="M28">
        <v>0.12</v>
      </c>
      <c r="N28">
        <v>0</v>
      </c>
      <c r="O28">
        <v>0</v>
      </c>
      <c r="P28">
        <v>0</v>
      </c>
      <c r="Q28">
        <v>-103.46</v>
      </c>
      <c r="R28">
        <v>-103.34</v>
      </c>
      <c r="S28">
        <v>0</v>
      </c>
      <c r="T28">
        <v>5944.42</v>
      </c>
      <c r="U28">
        <v>5944.42</v>
      </c>
      <c r="V28">
        <v>0</v>
      </c>
      <c r="W28">
        <v>540232.05000000005</v>
      </c>
    </row>
    <row r="29" spans="1:23">
      <c r="A29" t="s">
        <v>22</v>
      </c>
      <c r="B29" t="s">
        <v>249</v>
      </c>
      <c r="C29" t="s">
        <v>250</v>
      </c>
      <c r="D29" t="s">
        <v>192</v>
      </c>
      <c r="E29">
        <v>31350000</v>
      </c>
      <c r="F29">
        <v>33454244.039999999</v>
      </c>
      <c r="G29">
        <v>0</v>
      </c>
      <c r="H29">
        <v>0</v>
      </c>
      <c r="I29">
        <v>52069.2</v>
      </c>
      <c r="J29">
        <v>0</v>
      </c>
      <c r="K29">
        <v>52069.2</v>
      </c>
      <c r="L29">
        <v>0</v>
      </c>
      <c r="M29">
        <v>7.9</v>
      </c>
      <c r="N29">
        <v>0</v>
      </c>
      <c r="O29">
        <v>0</v>
      </c>
      <c r="P29">
        <v>0</v>
      </c>
      <c r="Q29">
        <v>-6487.19</v>
      </c>
      <c r="R29">
        <v>-6479.29</v>
      </c>
      <c r="S29">
        <v>0</v>
      </c>
      <c r="T29">
        <v>372715.01</v>
      </c>
      <c r="U29">
        <v>372715.01</v>
      </c>
      <c r="V29">
        <v>0</v>
      </c>
      <c r="W29">
        <v>33872548.960000001</v>
      </c>
    </row>
    <row r="30" spans="1:23">
      <c r="A30" t="s">
        <v>22</v>
      </c>
      <c r="B30" t="s">
        <v>251</v>
      </c>
      <c r="C30" t="s">
        <v>252</v>
      </c>
      <c r="D30" t="s">
        <v>192</v>
      </c>
      <c r="E30">
        <v>7050000</v>
      </c>
      <c r="F30">
        <v>7523203.21</v>
      </c>
      <c r="G30">
        <v>0</v>
      </c>
      <c r="H30">
        <v>0</v>
      </c>
      <c r="I30">
        <v>11709.34</v>
      </c>
      <c r="J30">
        <v>0</v>
      </c>
      <c r="K30">
        <v>11709.34</v>
      </c>
      <c r="L30">
        <v>0</v>
      </c>
      <c r="M30">
        <v>1.78</v>
      </c>
      <c r="N30">
        <v>0</v>
      </c>
      <c r="O30">
        <v>0</v>
      </c>
      <c r="P30">
        <v>0</v>
      </c>
      <c r="Q30">
        <v>-1458.83</v>
      </c>
      <c r="R30">
        <v>-1457.05</v>
      </c>
      <c r="S30">
        <v>0</v>
      </c>
      <c r="T30">
        <v>83816.3</v>
      </c>
      <c r="U30">
        <v>83816.3</v>
      </c>
      <c r="V30">
        <v>0</v>
      </c>
      <c r="W30">
        <v>7617271.7999999998</v>
      </c>
    </row>
    <row r="31" spans="1:23">
      <c r="A31" t="s">
        <v>22</v>
      </c>
      <c r="B31" t="s">
        <v>253</v>
      </c>
      <c r="C31" t="s">
        <v>254</v>
      </c>
      <c r="D31" t="s">
        <v>192</v>
      </c>
      <c r="E31">
        <v>1000000</v>
      </c>
      <c r="F31">
        <v>1067120.98</v>
      </c>
      <c r="G31">
        <v>0</v>
      </c>
      <c r="H31">
        <v>0</v>
      </c>
      <c r="I31">
        <v>1660.9</v>
      </c>
      <c r="J31">
        <v>0</v>
      </c>
      <c r="K31">
        <v>1660.9</v>
      </c>
      <c r="L31">
        <v>0</v>
      </c>
      <c r="M31">
        <v>0.25</v>
      </c>
      <c r="N31">
        <v>0</v>
      </c>
      <c r="O31">
        <v>0</v>
      </c>
      <c r="P31">
        <v>0</v>
      </c>
      <c r="Q31">
        <v>-206.94</v>
      </c>
      <c r="R31">
        <v>-206.69</v>
      </c>
      <c r="S31">
        <v>0</v>
      </c>
      <c r="T31">
        <v>11888.83</v>
      </c>
      <c r="U31">
        <v>11888.83</v>
      </c>
      <c r="V31">
        <v>0</v>
      </c>
      <c r="W31">
        <v>1080464.02</v>
      </c>
    </row>
    <row r="32" spans="1:23">
      <c r="A32" t="s">
        <v>22</v>
      </c>
      <c r="B32" t="s">
        <v>255</v>
      </c>
      <c r="C32" t="s">
        <v>256</v>
      </c>
      <c r="D32" t="s">
        <v>192</v>
      </c>
      <c r="E32">
        <v>1012500</v>
      </c>
      <c r="F32">
        <v>1080460.07</v>
      </c>
      <c r="G32">
        <v>0</v>
      </c>
      <c r="H32">
        <v>0</v>
      </c>
      <c r="I32">
        <v>1681.66</v>
      </c>
      <c r="J32">
        <v>0</v>
      </c>
      <c r="K32">
        <v>1681.66</v>
      </c>
      <c r="L32">
        <v>0</v>
      </c>
      <c r="M32">
        <v>0.25</v>
      </c>
      <c r="N32">
        <v>0</v>
      </c>
      <c r="O32">
        <v>0</v>
      </c>
      <c r="P32">
        <v>0</v>
      </c>
      <c r="Q32">
        <v>-209.53</v>
      </c>
      <c r="R32">
        <v>-209.28</v>
      </c>
      <c r="S32">
        <v>0</v>
      </c>
      <c r="T32">
        <v>12037.44</v>
      </c>
      <c r="U32">
        <v>12037.44</v>
      </c>
      <c r="V32">
        <v>0</v>
      </c>
      <c r="W32">
        <v>1093969.8899999999</v>
      </c>
    </row>
    <row r="33" spans="1:23">
      <c r="A33" t="s">
        <v>22</v>
      </c>
      <c r="B33" t="s">
        <v>257</v>
      </c>
      <c r="C33" t="s">
        <v>258</v>
      </c>
      <c r="D33" t="s">
        <v>192</v>
      </c>
      <c r="E33">
        <v>2025000</v>
      </c>
      <c r="F33">
        <v>2160920.0099999998</v>
      </c>
      <c r="G33">
        <v>0</v>
      </c>
      <c r="H33">
        <v>0</v>
      </c>
      <c r="I33">
        <v>3363.32</v>
      </c>
      <c r="J33">
        <v>0</v>
      </c>
      <c r="K33">
        <v>3363.32</v>
      </c>
      <c r="L33">
        <v>0</v>
      </c>
      <c r="M33">
        <v>0.51</v>
      </c>
      <c r="N33">
        <v>0</v>
      </c>
      <c r="O33">
        <v>0</v>
      </c>
      <c r="P33">
        <v>0</v>
      </c>
      <c r="Q33">
        <v>-419.04</v>
      </c>
      <c r="R33">
        <v>-418.53</v>
      </c>
      <c r="S33">
        <v>0</v>
      </c>
      <c r="T33">
        <v>24074.89</v>
      </c>
      <c r="U33">
        <v>24074.89</v>
      </c>
      <c r="V33">
        <v>0</v>
      </c>
      <c r="W33">
        <v>2187939.69</v>
      </c>
    </row>
    <row r="34" spans="1:23">
      <c r="A34" t="s">
        <v>22</v>
      </c>
      <c r="B34" t="s">
        <v>259</v>
      </c>
      <c r="C34" t="s">
        <v>260</v>
      </c>
      <c r="D34" t="s">
        <v>192</v>
      </c>
      <c r="E34">
        <v>50000000</v>
      </c>
      <c r="F34">
        <v>53356051.200000003</v>
      </c>
      <c r="G34">
        <v>0</v>
      </c>
      <c r="H34">
        <v>0</v>
      </c>
      <c r="I34">
        <v>83044.98</v>
      </c>
      <c r="J34">
        <v>0</v>
      </c>
      <c r="K34">
        <v>83044.98</v>
      </c>
      <c r="L34">
        <v>0</v>
      </c>
      <c r="M34">
        <v>12.61</v>
      </c>
      <c r="N34">
        <v>0</v>
      </c>
      <c r="O34">
        <v>0</v>
      </c>
      <c r="P34">
        <v>0</v>
      </c>
      <c r="Q34">
        <v>-10346.4</v>
      </c>
      <c r="R34">
        <v>-10333.790000000001</v>
      </c>
      <c r="S34">
        <v>0</v>
      </c>
      <c r="T34">
        <v>594441.81000000006</v>
      </c>
      <c r="U34">
        <v>594441.81000000006</v>
      </c>
      <c r="V34">
        <v>0</v>
      </c>
      <c r="W34">
        <v>54023204.200000003</v>
      </c>
    </row>
    <row r="35" spans="1:23">
      <c r="A35" t="s">
        <v>22</v>
      </c>
      <c r="B35" t="s">
        <v>261</v>
      </c>
      <c r="C35" t="s">
        <v>262</v>
      </c>
      <c r="D35" t="s">
        <v>192</v>
      </c>
      <c r="E35">
        <v>20250000</v>
      </c>
      <c r="F35">
        <v>21609200.73</v>
      </c>
      <c r="G35">
        <v>0</v>
      </c>
      <c r="H35">
        <v>0</v>
      </c>
      <c r="I35">
        <v>33633.22</v>
      </c>
      <c r="J35">
        <v>0</v>
      </c>
      <c r="K35">
        <v>33633.22</v>
      </c>
      <c r="L35">
        <v>0</v>
      </c>
      <c r="M35">
        <v>5.1100000000000003</v>
      </c>
      <c r="N35">
        <v>0</v>
      </c>
      <c r="O35">
        <v>0</v>
      </c>
      <c r="P35">
        <v>0</v>
      </c>
      <c r="Q35">
        <v>-4190.28</v>
      </c>
      <c r="R35">
        <v>-4185.17</v>
      </c>
      <c r="S35">
        <v>0</v>
      </c>
      <c r="T35">
        <v>240748.93</v>
      </c>
      <c r="U35">
        <v>240748.93</v>
      </c>
      <c r="V35">
        <v>0</v>
      </c>
      <c r="W35">
        <v>21879397.710000001</v>
      </c>
    </row>
    <row r="36" spans="1:23">
      <c r="A36" t="s">
        <v>22</v>
      </c>
      <c r="B36" t="s">
        <v>263</v>
      </c>
      <c r="C36" t="s">
        <v>264</v>
      </c>
      <c r="D36" t="s">
        <v>192</v>
      </c>
      <c r="E36">
        <v>10125000</v>
      </c>
      <c r="F36">
        <v>10804600.300000001</v>
      </c>
      <c r="G36">
        <v>0</v>
      </c>
      <c r="H36">
        <v>0</v>
      </c>
      <c r="I36">
        <v>16816.61</v>
      </c>
      <c r="J36">
        <v>0</v>
      </c>
      <c r="K36">
        <v>16816.61</v>
      </c>
      <c r="L36">
        <v>0</v>
      </c>
      <c r="M36">
        <v>2.5499999999999998</v>
      </c>
      <c r="N36">
        <v>0</v>
      </c>
      <c r="O36">
        <v>0</v>
      </c>
      <c r="P36">
        <v>0</v>
      </c>
      <c r="Q36">
        <v>-2095.14</v>
      </c>
      <c r="R36">
        <v>-2092.59</v>
      </c>
      <c r="S36">
        <v>0</v>
      </c>
      <c r="T36">
        <v>120374.46</v>
      </c>
      <c r="U36">
        <v>120374.46</v>
      </c>
      <c r="V36">
        <v>0</v>
      </c>
      <c r="W36">
        <v>10939698.779999999</v>
      </c>
    </row>
    <row r="37" spans="1:23">
      <c r="A37" t="s">
        <v>22</v>
      </c>
      <c r="B37" t="s">
        <v>265</v>
      </c>
      <c r="C37" t="s">
        <v>266</v>
      </c>
      <c r="D37" t="s">
        <v>192</v>
      </c>
      <c r="E37">
        <v>2025000</v>
      </c>
      <c r="F37">
        <v>2160920.0099999998</v>
      </c>
      <c r="G37">
        <v>0</v>
      </c>
      <c r="H37">
        <v>0</v>
      </c>
      <c r="I37">
        <v>3363.32</v>
      </c>
      <c r="J37">
        <v>0</v>
      </c>
      <c r="K37">
        <v>3363.32</v>
      </c>
      <c r="L37">
        <v>0</v>
      </c>
      <c r="M37">
        <v>0.51</v>
      </c>
      <c r="N37">
        <v>0</v>
      </c>
      <c r="O37">
        <v>0</v>
      </c>
      <c r="P37">
        <v>0</v>
      </c>
      <c r="Q37">
        <v>-419.04</v>
      </c>
      <c r="R37">
        <v>-418.53</v>
      </c>
      <c r="S37">
        <v>0</v>
      </c>
      <c r="T37">
        <v>24074.89</v>
      </c>
      <c r="U37">
        <v>24074.89</v>
      </c>
      <c r="V37">
        <v>0</v>
      </c>
      <c r="W37">
        <v>2187939.69</v>
      </c>
    </row>
    <row r="38" spans="1:23">
      <c r="A38" t="s">
        <v>22</v>
      </c>
      <c r="B38" t="s">
        <v>267</v>
      </c>
      <c r="C38" t="s">
        <v>268</v>
      </c>
      <c r="D38" t="s">
        <v>192</v>
      </c>
      <c r="E38">
        <v>5000000</v>
      </c>
      <c r="F38">
        <v>5335605.1100000003</v>
      </c>
      <c r="G38">
        <v>0</v>
      </c>
      <c r="H38">
        <v>0</v>
      </c>
      <c r="I38">
        <v>8304.5</v>
      </c>
      <c r="J38">
        <v>0</v>
      </c>
      <c r="K38">
        <v>8304.5</v>
      </c>
      <c r="L38">
        <v>0</v>
      </c>
      <c r="M38">
        <v>1.26</v>
      </c>
      <c r="N38">
        <v>0</v>
      </c>
      <c r="O38">
        <v>0</v>
      </c>
      <c r="P38">
        <v>0</v>
      </c>
      <c r="Q38">
        <v>-1034.6500000000001</v>
      </c>
      <c r="R38">
        <v>-1033.3900000000001</v>
      </c>
      <c r="S38">
        <v>0</v>
      </c>
      <c r="T38">
        <v>59444.18</v>
      </c>
      <c r="U38">
        <v>59444.18</v>
      </c>
      <c r="V38">
        <v>0</v>
      </c>
      <c r="W38">
        <v>5402320.4000000004</v>
      </c>
    </row>
    <row r="39" spans="1:23">
      <c r="A39" t="s">
        <v>22</v>
      </c>
      <c r="B39" t="s">
        <v>269</v>
      </c>
      <c r="C39" t="s">
        <v>270</v>
      </c>
      <c r="D39" t="s">
        <v>192</v>
      </c>
      <c r="E39">
        <v>101250000</v>
      </c>
      <c r="F39">
        <v>108046003.61</v>
      </c>
      <c r="G39">
        <v>0</v>
      </c>
      <c r="H39">
        <v>0</v>
      </c>
      <c r="I39">
        <v>168166.09</v>
      </c>
      <c r="J39">
        <v>0</v>
      </c>
      <c r="K39">
        <v>168166.09</v>
      </c>
      <c r="L39">
        <v>0</v>
      </c>
      <c r="M39">
        <v>25.51</v>
      </c>
      <c r="N39">
        <v>0</v>
      </c>
      <c r="O39">
        <v>0</v>
      </c>
      <c r="P39">
        <v>0</v>
      </c>
      <c r="Q39">
        <v>-20951.48</v>
      </c>
      <c r="R39">
        <v>-20925.97</v>
      </c>
      <c r="S39">
        <v>0</v>
      </c>
      <c r="T39">
        <v>1203744.6599999999</v>
      </c>
      <c r="U39">
        <v>1203744.6599999999</v>
      </c>
      <c r="V39">
        <v>0</v>
      </c>
      <c r="W39">
        <v>109396988.39</v>
      </c>
    </row>
    <row r="40" spans="1:23">
      <c r="A40" t="s">
        <v>22</v>
      </c>
      <c r="B40" t="s">
        <v>271</v>
      </c>
      <c r="C40" t="s">
        <v>272</v>
      </c>
      <c r="D40" t="s">
        <v>192</v>
      </c>
      <c r="E40">
        <v>151875000</v>
      </c>
      <c r="F40">
        <v>162069005.28</v>
      </c>
      <c r="G40">
        <v>0</v>
      </c>
      <c r="H40">
        <v>0</v>
      </c>
      <c r="I40">
        <v>252249.16</v>
      </c>
      <c r="J40">
        <v>0</v>
      </c>
      <c r="K40">
        <v>252249.16</v>
      </c>
      <c r="L40">
        <v>0</v>
      </c>
      <c r="M40">
        <v>38.28</v>
      </c>
      <c r="N40">
        <v>0</v>
      </c>
      <c r="O40">
        <v>0</v>
      </c>
      <c r="P40">
        <v>0</v>
      </c>
      <c r="Q40">
        <v>-31427.06</v>
      </c>
      <c r="R40">
        <v>-31388.78</v>
      </c>
      <c r="S40">
        <v>0</v>
      </c>
      <c r="T40">
        <v>1805617.09</v>
      </c>
      <c r="U40">
        <v>1805617.09</v>
      </c>
      <c r="V40">
        <v>0</v>
      </c>
      <c r="W40">
        <v>164095482.75</v>
      </c>
    </row>
    <row r="41" spans="1:23">
      <c r="A41" t="s">
        <v>22</v>
      </c>
      <c r="B41" t="s">
        <v>273</v>
      </c>
      <c r="C41" t="s">
        <v>274</v>
      </c>
      <c r="D41" t="s">
        <v>192</v>
      </c>
      <c r="E41">
        <v>40500000</v>
      </c>
      <c r="F41">
        <v>43218401.409999996</v>
      </c>
      <c r="G41">
        <v>0</v>
      </c>
      <c r="H41">
        <v>0</v>
      </c>
      <c r="I41">
        <v>67266.44</v>
      </c>
      <c r="J41">
        <v>0</v>
      </c>
      <c r="K41">
        <v>67266.44</v>
      </c>
      <c r="L41">
        <v>0</v>
      </c>
      <c r="M41">
        <v>10.199999999999999</v>
      </c>
      <c r="N41">
        <v>0</v>
      </c>
      <c r="O41">
        <v>0</v>
      </c>
      <c r="P41">
        <v>0</v>
      </c>
      <c r="Q41">
        <v>-8380.61</v>
      </c>
      <c r="R41">
        <v>-8370.41</v>
      </c>
      <c r="S41">
        <v>0</v>
      </c>
      <c r="T41">
        <v>481497.87</v>
      </c>
      <c r="U41">
        <v>481497.87</v>
      </c>
      <c r="V41">
        <v>0</v>
      </c>
      <c r="W41">
        <v>43758795.310000002</v>
      </c>
    </row>
    <row r="42" spans="1:23">
      <c r="A42" t="s">
        <v>22</v>
      </c>
      <c r="B42" t="s">
        <v>275</v>
      </c>
      <c r="C42" t="s">
        <v>276</v>
      </c>
      <c r="D42" t="s">
        <v>192</v>
      </c>
      <c r="E42">
        <v>2000000</v>
      </c>
      <c r="F42">
        <v>2134241.98</v>
      </c>
      <c r="G42">
        <v>0</v>
      </c>
      <c r="H42">
        <v>0</v>
      </c>
      <c r="I42">
        <v>3321.8</v>
      </c>
      <c r="J42">
        <v>0</v>
      </c>
      <c r="K42">
        <v>3321.8</v>
      </c>
      <c r="L42">
        <v>0</v>
      </c>
      <c r="M42">
        <v>0.5</v>
      </c>
      <c r="N42">
        <v>0</v>
      </c>
      <c r="O42">
        <v>0</v>
      </c>
      <c r="P42">
        <v>0</v>
      </c>
      <c r="Q42">
        <v>-413.86</v>
      </c>
      <c r="R42">
        <v>-413.36</v>
      </c>
      <c r="S42">
        <v>0</v>
      </c>
      <c r="T42">
        <v>23777.68</v>
      </c>
      <c r="U42">
        <v>23777.68</v>
      </c>
      <c r="V42">
        <v>0</v>
      </c>
      <c r="W42">
        <v>2160928.1</v>
      </c>
    </row>
    <row r="43" spans="1:23">
      <c r="A43" t="s">
        <v>22</v>
      </c>
      <c r="B43" t="s">
        <v>277</v>
      </c>
      <c r="C43" t="s">
        <v>278</v>
      </c>
      <c r="D43" t="s">
        <v>192</v>
      </c>
      <c r="E43">
        <v>3037500</v>
      </c>
      <c r="F43">
        <v>3241380.13</v>
      </c>
      <c r="G43">
        <v>0</v>
      </c>
      <c r="H43">
        <v>0</v>
      </c>
      <c r="I43">
        <v>5044.9799999999996</v>
      </c>
      <c r="J43">
        <v>0</v>
      </c>
      <c r="K43">
        <v>5044.9799999999996</v>
      </c>
      <c r="L43">
        <v>0</v>
      </c>
      <c r="M43">
        <v>0.77</v>
      </c>
      <c r="N43">
        <v>0</v>
      </c>
      <c r="O43">
        <v>0</v>
      </c>
      <c r="P43">
        <v>0</v>
      </c>
      <c r="Q43">
        <v>-628.54999999999995</v>
      </c>
      <c r="R43">
        <v>-627.78</v>
      </c>
      <c r="S43">
        <v>0</v>
      </c>
      <c r="T43">
        <v>36112.339999999997</v>
      </c>
      <c r="U43">
        <v>36112.339999999997</v>
      </c>
      <c r="V43">
        <v>0</v>
      </c>
      <c r="W43">
        <v>3281909.67</v>
      </c>
    </row>
    <row r="44" spans="1:23">
      <c r="A44" t="s">
        <v>22</v>
      </c>
      <c r="B44" t="s">
        <v>279</v>
      </c>
      <c r="C44" t="s">
        <v>280</v>
      </c>
      <c r="D44" t="s">
        <v>192</v>
      </c>
      <c r="E44">
        <v>3750000</v>
      </c>
      <c r="F44">
        <v>4001703.89</v>
      </c>
      <c r="G44">
        <v>0</v>
      </c>
      <c r="H44">
        <v>0</v>
      </c>
      <c r="I44">
        <v>6228.37</v>
      </c>
      <c r="J44">
        <v>0</v>
      </c>
      <c r="K44">
        <v>6228.37</v>
      </c>
      <c r="L44">
        <v>0</v>
      </c>
      <c r="M44">
        <v>0.95</v>
      </c>
      <c r="N44">
        <v>0</v>
      </c>
      <c r="O44">
        <v>0</v>
      </c>
      <c r="P44">
        <v>0</v>
      </c>
      <c r="Q44">
        <v>-775.97</v>
      </c>
      <c r="R44">
        <v>-775.02</v>
      </c>
      <c r="S44">
        <v>0</v>
      </c>
      <c r="T44">
        <v>44583.13</v>
      </c>
      <c r="U44">
        <v>44583.13</v>
      </c>
      <c r="V44">
        <v>0</v>
      </c>
      <c r="W44">
        <v>4051740.37</v>
      </c>
    </row>
    <row r="45" spans="1:23">
      <c r="A45" t="s">
        <v>22</v>
      </c>
      <c r="B45" t="s">
        <v>281</v>
      </c>
      <c r="C45" t="s">
        <v>282</v>
      </c>
      <c r="D45" t="s">
        <v>192</v>
      </c>
      <c r="E45">
        <v>500000</v>
      </c>
      <c r="F45">
        <v>533560.52</v>
      </c>
      <c r="G45">
        <v>0</v>
      </c>
      <c r="H45">
        <v>0</v>
      </c>
      <c r="I45">
        <v>830.45</v>
      </c>
      <c r="J45">
        <v>0</v>
      </c>
      <c r="K45">
        <v>830.45</v>
      </c>
      <c r="L45">
        <v>0</v>
      </c>
      <c r="M45">
        <v>0.12</v>
      </c>
      <c r="N45">
        <v>0</v>
      </c>
      <c r="O45">
        <v>0</v>
      </c>
      <c r="P45">
        <v>0</v>
      </c>
      <c r="Q45">
        <v>-103.46</v>
      </c>
      <c r="R45">
        <v>-103.34</v>
      </c>
      <c r="S45">
        <v>0</v>
      </c>
      <c r="T45">
        <v>5944.42</v>
      </c>
      <c r="U45">
        <v>5944.42</v>
      </c>
      <c r="V45">
        <v>0</v>
      </c>
      <c r="W45">
        <v>540232.05000000005</v>
      </c>
    </row>
    <row r="46" spans="1:23">
      <c r="A46" t="s">
        <v>22</v>
      </c>
      <c r="B46" t="s">
        <v>283</v>
      </c>
      <c r="C46" t="s">
        <v>284</v>
      </c>
      <c r="D46" t="s">
        <v>192</v>
      </c>
      <c r="E46">
        <v>1000000</v>
      </c>
      <c r="F46">
        <v>1067120.98</v>
      </c>
      <c r="G46">
        <v>0</v>
      </c>
      <c r="H46">
        <v>0</v>
      </c>
      <c r="I46">
        <v>1660.9</v>
      </c>
      <c r="J46">
        <v>0</v>
      </c>
      <c r="K46">
        <v>1660.9</v>
      </c>
      <c r="L46">
        <v>0</v>
      </c>
      <c r="M46">
        <v>0.25</v>
      </c>
      <c r="N46">
        <v>0</v>
      </c>
      <c r="O46">
        <v>0</v>
      </c>
      <c r="P46">
        <v>0</v>
      </c>
      <c r="Q46">
        <v>-206.94</v>
      </c>
      <c r="R46">
        <v>-206.69</v>
      </c>
      <c r="S46">
        <v>0</v>
      </c>
      <c r="T46">
        <v>11888.83</v>
      </c>
      <c r="U46">
        <v>11888.83</v>
      </c>
      <c r="V46">
        <v>0</v>
      </c>
      <c r="W46">
        <v>1080464.02</v>
      </c>
    </row>
    <row r="47" spans="1:23">
      <c r="A47" t="s">
        <v>22</v>
      </c>
      <c r="B47" t="s">
        <v>285</v>
      </c>
      <c r="C47" t="s">
        <v>286</v>
      </c>
      <c r="D47" t="s">
        <v>192</v>
      </c>
      <c r="E47">
        <v>20250000</v>
      </c>
      <c r="F47">
        <v>21609200.73</v>
      </c>
      <c r="G47">
        <v>0</v>
      </c>
      <c r="H47">
        <v>0</v>
      </c>
      <c r="I47">
        <v>33633.22</v>
      </c>
      <c r="J47">
        <v>0</v>
      </c>
      <c r="K47">
        <v>33633.22</v>
      </c>
      <c r="L47">
        <v>0</v>
      </c>
      <c r="M47">
        <v>5.1100000000000003</v>
      </c>
      <c r="N47">
        <v>0</v>
      </c>
      <c r="O47">
        <v>0</v>
      </c>
      <c r="P47">
        <v>0</v>
      </c>
      <c r="Q47">
        <v>-4190.28</v>
      </c>
      <c r="R47">
        <v>-4185.17</v>
      </c>
      <c r="S47">
        <v>0</v>
      </c>
      <c r="T47">
        <v>240748.93</v>
      </c>
      <c r="U47">
        <v>240748.93</v>
      </c>
      <c r="V47">
        <v>0</v>
      </c>
      <c r="W47">
        <v>21879397.710000001</v>
      </c>
    </row>
    <row r="48" spans="1:23">
      <c r="A48" t="s">
        <v>22</v>
      </c>
      <c r="B48" t="s">
        <v>287</v>
      </c>
      <c r="C48" t="s">
        <v>288</v>
      </c>
      <c r="D48" t="s">
        <v>192</v>
      </c>
      <c r="E48">
        <v>10000000</v>
      </c>
      <c r="F48">
        <v>10671210.26</v>
      </c>
      <c r="G48">
        <v>0</v>
      </c>
      <c r="H48">
        <v>0</v>
      </c>
      <c r="I48">
        <v>16609</v>
      </c>
      <c r="J48">
        <v>0</v>
      </c>
      <c r="K48">
        <v>16609</v>
      </c>
      <c r="L48">
        <v>0</v>
      </c>
      <c r="M48">
        <v>2.52</v>
      </c>
      <c r="N48">
        <v>0</v>
      </c>
      <c r="O48">
        <v>0</v>
      </c>
      <c r="P48">
        <v>0</v>
      </c>
      <c r="Q48">
        <v>-2069.2800000000002</v>
      </c>
      <c r="R48">
        <v>-2066.7600000000002</v>
      </c>
      <c r="S48">
        <v>0</v>
      </c>
      <c r="T48">
        <v>118888.36</v>
      </c>
      <c r="U48">
        <v>118888.36</v>
      </c>
      <c r="V48">
        <v>0</v>
      </c>
      <c r="W48">
        <v>10804640.859999999</v>
      </c>
    </row>
    <row r="49" spans="1:23">
      <c r="A49" t="s">
        <v>22</v>
      </c>
      <c r="B49" t="s">
        <v>289</v>
      </c>
      <c r="C49" t="s">
        <v>290</v>
      </c>
      <c r="D49" t="s">
        <v>213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</row>
    <row r="50" spans="1:23">
      <c r="A50" t="s">
        <v>22</v>
      </c>
      <c r="B50" t="s">
        <v>291</v>
      </c>
      <c r="C50" t="s">
        <v>292</v>
      </c>
      <c r="D50" t="s">
        <v>192</v>
      </c>
      <c r="E50">
        <v>5000000</v>
      </c>
      <c r="F50">
        <v>5335605.1100000003</v>
      </c>
      <c r="G50">
        <v>0</v>
      </c>
      <c r="H50">
        <v>0</v>
      </c>
      <c r="I50">
        <v>8304.5</v>
      </c>
      <c r="J50">
        <v>0</v>
      </c>
      <c r="K50">
        <v>8304.5</v>
      </c>
      <c r="L50">
        <v>0</v>
      </c>
      <c r="M50">
        <v>1.26</v>
      </c>
      <c r="N50">
        <v>0</v>
      </c>
      <c r="O50">
        <v>0</v>
      </c>
      <c r="P50">
        <v>0</v>
      </c>
      <c r="Q50">
        <v>-1034.6500000000001</v>
      </c>
      <c r="R50">
        <v>-1033.3900000000001</v>
      </c>
      <c r="S50">
        <v>0</v>
      </c>
      <c r="T50">
        <v>59444.18</v>
      </c>
      <c r="U50">
        <v>59444.18</v>
      </c>
      <c r="V50">
        <v>0</v>
      </c>
      <c r="W50">
        <v>5402320.4000000004</v>
      </c>
    </row>
    <row r="51" spans="1:23">
      <c r="A51" t="s">
        <v>22</v>
      </c>
      <c r="B51" t="s">
        <v>293</v>
      </c>
      <c r="C51" t="s">
        <v>294</v>
      </c>
      <c r="D51" t="s">
        <v>192</v>
      </c>
      <c r="E51">
        <v>1500000</v>
      </c>
      <c r="F51">
        <v>1600681.51</v>
      </c>
      <c r="G51">
        <v>0</v>
      </c>
      <c r="H51">
        <v>0</v>
      </c>
      <c r="I51">
        <v>2491.35</v>
      </c>
      <c r="J51">
        <v>0</v>
      </c>
      <c r="K51">
        <v>2491.35</v>
      </c>
      <c r="L51">
        <v>0</v>
      </c>
      <c r="M51">
        <v>0.37</v>
      </c>
      <c r="N51">
        <v>0</v>
      </c>
      <c r="O51">
        <v>0</v>
      </c>
      <c r="P51">
        <v>0</v>
      </c>
      <c r="Q51">
        <v>-310.39999999999998</v>
      </c>
      <c r="R51">
        <v>-310.02999999999997</v>
      </c>
      <c r="S51">
        <v>0</v>
      </c>
      <c r="T51">
        <v>17833.25</v>
      </c>
      <c r="U51">
        <v>17833.25</v>
      </c>
      <c r="V51">
        <v>0</v>
      </c>
      <c r="W51">
        <v>1620696.08</v>
      </c>
    </row>
    <row r="52" spans="1:23">
      <c r="A52" t="s">
        <v>22</v>
      </c>
      <c r="B52" t="s">
        <v>295</v>
      </c>
      <c r="C52" t="s">
        <v>296</v>
      </c>
      <c r="D52" t="s">
        <v>192</v>
      </c>
      <c r="E52">
        <v>1000000</v>
      </c>
      <c r="F52">
        <v>1067120.98</v>
      </c>
      <c r="G52">
        <v>0</v>
      </c>
      <c r="H52">
        <v>0</v>
      </c>
      <c r="I52">
        <v>1660.9</v>
      </c>
      <c r="J52">
        <v>0</v>
      </c>
      <c r="K52">
        <v>1660.9</v>
      </c>
      <c r="L52">
        <v>0</v>
      </c>
      <c r="M52">
        <v>0.25</v>
      </c>
      <c r="N52">
        <v>0</v>
      </c>
      <c r="O52">
        <v>0</v>
      </c>
      <c r="P52">
        <v>0</v>
      </c>
      <c r="Q52">
        <v>-206.94</v>
      </c>
      <c r="R52">
        <v>-206.69</v>
      </c>
      <c r="S52">
        <v>0</v>
      </c>
      <c r="T52">
        <v>11888.83</v>
      </c>
      <c r="U52">
        <v>11888.83</v>
      </c>
      <c r="V52">
        <v>0</v>
      </c>
      <c r="W52">
        <v>1080464.02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7B9A8-0163-414C-911D-857E45D6DECE}">
  <dimension ref="A1:H52"/>
  <sheetViews>
    <sheetView workbookViewId="0"/>
  </sheetViews>
  <sheetFormatPr defaultRowHeight="15"/>
  <cols>
    <col min="1" max="1" width="24.7109375" bestFit="1" customWidth="1"/>
    <col min="2" max="2" width="67.28515625" bestFit="1" customWidth="1"/>
    <col min="3" max="3" width="23.7109375" bestFit="1" customWidth="1"/>
    <col min="4" max="4" width="20.7109375" bestFit="1" customWidth="1"/>
    <col min="5" max="5" width="16.85546875" bestFit="1" customWidth="1"/>
    <col min="6" max="6" width="26.140625" bestFit="1" customWidth="1"/>
    <col min="7" max="7" width="30" bestFit="1" customWidth="1"/>
    <col min="8" max="8" width="35.42578125" bestFit="1" customWidth="1"/>
  </cols>
  <sheetData>
    <row r="1" spans="1:8">
      <c r="A1" t="s">
        <v>21</v>
      </c>
      <c r="B1" t="s">
        <v>165</v>
      </c>
      <c r="C1" t="s">
        <v>166</v>
      </c>
      <c r="D1" t="s">
        <v>379</v>
      </c>
      <c r="E1" t="s">
        <v>380</v>
      </c>
      <c r="F1" t="s">
        <v>381</v>
      </c>
      <c r="G1" t="s">
        <v>382</v>
      </c>
      <c r="H1" t="s">
        <v>383</v>
      </c>
    </row>
    <row r="2" spans="1:8">
      <c r="A2" t="s">
        <v>22</v>
      </c>
      <c r="B2" t="s">
        <v>190</v>
      </c>
      <c r="C2" t="s">
        <v>191</v>
      </c>
      <c r="D2">
        <v>7500000</v>
      </c>
      <c r="E2">
        <v>7437581.4800000004</v>
      </c>
      <c r="F2">
        <v>-60882.8</v>
      </c>
      <c r="G2">
        <v>-1408323.69</v>
      </c>
      <c r="H2">
        <v>123301.32</v>
      </c>
    </row>
    <row r="3" spans="1:8">
      <c r="A3" t="s">
        <v>22</v>
      </c>
      <c r="B3" t="s">
        <v>195</v>
      </c>
      <c r="C3" t="s">
        <v>196</v>
      </c>
      <c r="D3">
        <v>7500000</v>
      </c>
      <c r="E3">
        <v>7437581.4800000004</v>
      </c>
      <c r="F3">
        <v>-60882.8</v>
      </c>
      <c r="G3">
        <v>-1408323.69</v>
      </c>
      <c r="H3">
        <v>123301.32</v>
      </c>
    </row>
    <row r="4" spans="1:8">
      <c r="A4" t="s">
        <v>22</v>
      </c>
      <c r="B4" t="s">
        <v>197</v>
      </c>
      <c r="C4" t="s">
        <v>198</v>
      </c>
      <c r="D4">
        <v>3750000</v>
      </c>
      <c r="E4">
        <v>3718790.73</v>
      </c>
      <c r="F4">
        <v>-30441.4</v>
      </c>
      <c r="G4">
        <v>-704161.85</v>
      </c>
      <c r="H4">
        <v>61650.67</v>
      </c>
    </row>
    <row r="5" spans="1:8">
      <c r="A5" t="s">
        <v>22</v>
      </c>
      <c r="B5" t="s">
        <v>199</v>
      </c>
      <c r="C5" t="s">
        <v>200</v>
      </c>
      <c r="D5">
        <v>5062500</v>
      </c>
      <c r="E5">
        <v>5020367.49</v>
      </c>
      <c r="F5">
        <v>-41095.89</v>
      </c>
      <c r="G5">
        <v>-950618.48</v>
      </c>
      <c r="H5">
        <v>83228.399999999994</v>
      </c>
    </row>
    <row r="6" spans="1:8">
      <c r="A6" t="s">
        <v>22</v>
      </c>
      <c r="B6" t="s">
        <v>201</v>
      </c>
      <c r="C6" t="s">
        <v>202</v>
      </c>
      <c r="D6">
        <v>101250000</v>
      </c>
      <c r="E6">
        <v>100407349.93000001</v>
      </c>
      <c r="F6">
        <v>-821917.81</v>
      </c>
      <c r="G6">
        <v>-19012369.760000002</v>
      </c>
      <c r="H6">
        <v>1664567.88</v>
      </c>
    </row>
    <row r="7" spans="1:8">
      <c r="A7" t="s">
        <v>22</v>
      </c>
      <c r="B7" t="s">
        <v>203</v>
      </c>
      <c r="C7" t="s">
        <v>204</v>
      </c>
      <c r="D7">
        <v>25312500</v>
      </c>
      <c r="E7">
        <v>25101837.48</v>
      </c>
      <c r="F7">
        <v>-205479.45</v>
      </c>
      <c r="G7">
        <v>-4753092.4400000004</v>
      </c>
      <c r="H7">
        <v>416141.97</v>
      </c>
    </row>
    <row r="8" spans="1:8">
      <c r="A8" t="s">
        <v>22</v>
      </c>
      <c r="B8" t="s">
        <v>205</v>
      </c>
      <c r="C8" t="s">
        <v>206</v>
      </c>
      <c r="D8">
        <v>1000000</v>
      </c>
      <c r="E8">
        <v>991677.53</v>
      </c>
      <c r="F8">
        <v>-8117.71</v>
      </c>
      <c r="G8">
        <v>-187776.5</v>
      </c>
      <c r="H8">
        <v>16440.18</v>
      </c>
    </row>
    <row r="9" spans="1:8">
      <c r="A9" t="s">
        <v>22</v>
      </c>
      <c r="B9" t="s">
        <v>207</v>
      </c>
      <c r="C9" t="s">
        <v>208</v>
      </c>
      <c r="D9">
        <v>6500000</v>
      </c>
      <c r="E9">
        <v>6445903.9400000004</v>
      </c>
      <c r="F9">
        <v>-52765.09</v>
      </c>
      <c r="G9">
        <v>-1220547.19</v>
      </c>
      <c r="H9">
        <v>106861.15</v>
      </c>
    </row>
    <row r="10" spans="1:8">
      <c r="A10" t="s">
        <v>22</v>
      </c>
      <c r="B10" t="s">
        <v>210</v>
      </c>
      <c r="C10" t="s">
        <v>211</v>
      </c>
      <c r="D10">
        <v>35000000</v>
      </c>
      <c r="E10">
        <v>34708713.549999997</v>
      </c>
      <c r="F10">
        <v>-284119.74</v>
      </c>
      <c r="G10">
        <v>-6572177.2000000002</v>
      </c>
      <c r="H10">
        <v>575406.18999999994</v>
      </c>
    </row>
    <row r="11" spans="1:8">
      <c r="A11" t="s">
        <v>22</v>
      </c>
      <c r="B11" t="s">
        <v>212</v>
      </c>
      <c r="D11">
        <v>0</v>
      </c>
      <c r="E11">
        <v>0</v>
      </c>
      <c r="F11">
        <v>0</v>
      </c>
      <c r="G11">
        <v>0</v>
      </c>
      <c r="H11">
        <v>0</v>
      </c>
    </row>
    <row r="12" spans="1:8">
      <c r="A12" t="s">
        <v>22</v>
      </c>
      <c r="B12" t="s">
        <v>215</v>
      </c>
      <c r="C12" t="s">
        <v>216</v>
      </c>
      <c r="D12">
        <v>15718750</v>
      </c>
      <c r="E12">
        <v>15587931.189999999</v>
      </c>
      <c r="F12">
        <v>-127600.2</v>
      </c>
      <c r="G12">
        <v>-2951611.72</v>
      </c>
      <c r="H12">
        <v>258419.01</v>
      </c>
    </row>
    <row r="13" spans="1:8">
      <c r="A13" t="s">
        <v>22</v>
      </c>
      <c r="B13" t="s">
        <v>217</v>
      </c>
      <c r="C13" t="s">
        <v>218</v>
      </c>
      <c r="D13">
        <v>25312500</v>
      </c>
      <c r="E13">
        <v>25101837.48</v>
      </c>
      <c r="F13">
        <v>-205479.45</v>
      </c>
      <c r="G13">
        <v>-4753092.4400000004</v>
      </c>
      <c r="H13">
        <v>416141.97</v>
      </c>
    </row>
    <row r="14" spans="1:8">
      <c r="A14" t="s">
        <v>22</v>
      </c>
      <c r="B14" t="s">
        <v>219</v>
      </c>
      <c r="C14" t="s">
        <v>220</v>
      </c>
      <c r="D14">
        <v>12000000</v>
      </c>
      <c r="E14">
        <v>11900130.369999999</v>
      </c>
      <c r="F14">
        <v>-97412.479999999996</v>
      </c>
      <c r="G14">
        <v>-2253317.9</v>
      </c>
      <c r="H14">
        <v>197282.11</v>
      </c>
    </row>
    <row r="15" spans="1:8">
      <c r="A15" t="s">
        <v>22</v>
      </c>
      <c r="B15" t="s">
        <v>221</v>
      </c>
      <c r="C15" t="s">
        <v>222</v>
      </c>
      <c r="D15">
        <v>15187500</v>
      </c>
      <c r="E15">
        <v>15061102.48</v>
      </c>
      <c r="F15">
        <v>-123287.67</v>
      </c>
      <c r="G15">
        <v>-2851855.46</v>
      </c>
      <c r="H15">
        <v>249685.19</v>
      </c>
    </row>
    <row r="16" spans="1:8">
      <c r="A16" t="s">
        <v>22</v>
      </c>
      <c r="B16" t="s">
        <v>223</v>
      </c>
      <c r="C16" t="s">
        <v>224</v>
      </c>
      <c r="D16">
        <v>2500000</v>
      </c>
      <c r="E16">
        <v>2479193.8199999998</v>
      </c>
      <c r="F16">
        <v>-20294.27</v>
      </c>
      <c r="G16">
        <v>-469441.23</v>
      </c>
      <c r="H16">
        <v>41100.449999999997</v>
      </c>
    </row>
    <row r="17" spans="1:8">
      <c r="A17" t="s">
        <v>22</v>
      </c>
      <c r="B17" t="s">
        <v>225</v>
      </c>
      <c r="C17" t="s">
        <v>226</v>
      </c>
      <c r="D17">
        <v>50625000</v>
      </c>
      <c r="E17">
        <v>50203674.950000003</v>
      </c>
      <c r="F17">
        <v>-410958.9</v>
      </c>
      <c r="G17">
        <v>-9506184.8800000008</v>
      </c>
      <c r="H17">
        <v>832283.95</v>
      </c>
    </row>
    <row r="18" spans="1:8">
      <c r="A18" t="s">
        <v>22</v>
      </c>
      <c r="B18" t="s">
        <v>227</v>
      </c>
      <c r="C18" t="s">
        <v>228</v>
      </c>
      <c r="D18">
        <v>3000000</v>
      </c>
      <c r="E18">
        <v>2975032.59</v>
      </c>
      <c r="F18">
        <v>-24353.119999999999</v>
      </c>
      <c r="G18">
        <v>-563329.48</v>
      </c>
      <c r="H18">
        <v>49320.53</v>
      </c>
    </row>
    <row r="19" spans="1:8">
      <c r="A19" t="s">
        <v>22</v>
      </c>
      <c r="B19" t="s">
        <v>229</v>
      </c>
      <c r="C19" t="s">
        <v>230</v>
      </c>
      <c r="D19">
        <v>20000000</v>
      </c>
      <c r="E19">
        <v>19833550.600000001</v>
      </c>
      <c r="F19">
        <v>-162354.13</v>
      </c>
      <c r="G19">
        <v>-3755529.84</v>
      </c>
      <c r="H19">
        <v>328803.53000000003</v>
      </c>
    </row>
    <row r="20" spans="1:8">
      <c r="A20" t="s">
        <v>22</v>
      </c>
      <c r="B20" t="s">
        <v>231</v>
      </c>
      <c r="C20" t="s">
        <v>232</v>
      </c>
      <c r="D20">
        <v>2531250</v>
      </c>
      <c r="E20">
        <v>2510183.7400000002</v>
      </c>
      <c r="F20">
        <v>-20547.95</v>
      </c>
      <c r="G20">
        <v>-475309.25</v>
      </c>
      <c r="H20">
        <v>41614.21</v>
      </c>
    </row>
    <row r="21" spans="1:8">
      <c r="A21" t="s">
        <v>22</v>
      </c>
      <c r="B21" t="s">
        <v>233</v>
      </c>
      <c r="C21" t="s">
        <v>234</v>
      </c>
      <c r="D21">
        <v>4000000</v>
      </c>
      <c r="E21">
        <v>3966710.12</v>
      </c>
      <c r="F21">
        <v>-32470.83</v>
      </c>
      <c r="G21">
        <v>-751105.96</v>
      </c>
      <c r="H21">
        <v>65760.710000000006</v>
      </c>
    </row>
    <row r="22" spans="1:8">
      <c r="A22" t="s">
        <v>22</v>
      </c>
      <c r="B22" t="s">
        <v>235</v>
      </c>
      <c r="C22" t="s">
        <v>236</v>
      </c>
      <c r="D22">
        <v>15000000</v>
      </c>
      <c r="E22">
        <v>14875162.949999999</v>
      </c>
      <c r="F22">
        <v>-121765.6</v>
      </c>
      <c r="G22">
        <v>-2816647.36</v>
      </c>
      <c r="H22">
        <v>246602.65</v>
      </c>
    </row>
    <row r="23" spans="1:8">
      <c r="A23" t="s">
        <v>22</v>
      </c>
      <c r="B23" t="s">
        <v>237</v>
      </c>
      <c r="C23" t="s">
        <v>238</v>
      </c>
      <c r="D23">
        <v>5062500</v>
      </c>
      <c r="E23">
        <v>5020367.49</v>
      </c>
      <c r="F23">
        <v>-41095.89</v>
      </c>
      <c r="G23">
        <v>-950618.48</v>
      </c>
      <c r="H23">
        <v>83228.399999999994</v>
      </c>
    </row>
    <row r="24" spans="1:8">
      <c r="A24" t="s">
        <v>22</v>
      </c>
      <c r="B24" t="s">
        <v>239</v>
      </c>
      <c r="C24" t="s">
        <v>240</v>
      </c>
      <c r="D24">
        <v>5062500</v>
      </c>
      <c r="E24">
        <v>5020367.49</v>
      </c>
      <c r="F24">
        <v>-41095.89</v>
      </c>
      <c r="G24">
        <v>-950618.48</v>
      </c>
      <c r="H24">
        <v>83228.399999999994</v>
      </c>
    </row>
    <row r="25" spans="1:8">
      <c r="A25" t="s">
        <v>22</v>
      </c>
      <c r="B25" t="s">
        <v>241</v>
      </c>
      <c r="C25" t="s">
        <v>242</v>
      </c>
      <c r="D25">
        <v>1500000</v>
      </c>
      <c r="E25">
        <v>1487516.29</v>
      </c>
      <c r="F25">
        <v>-12176.56</v>
      </c>
      <c r="G25">
        <v>-281664.74</v>
      </c>
      <c r="H25">
        <v>24660.27</v>
      </c>
    </row>
    <row r="26" spans="1:8">
      <c r="A26" t="s">
        <v>22</v>
      </c>
      <c r="B26" t="s">
        <v>243</v>
      </c>
      <c r="C26" t="s">
        <v>244</v>
      </c>
      <c r="D26">
        <v>5062500</v>
      </c>
      <c r="E26">
        <v>5020367.49</v>
      </c>
      <c r="F26">
        <v>-41095.89</v>
      </c>
      <c r="G26">
        <v>-950618.48</v>
      </c>
      <c r="H26">
        <v>83228.399999999994</v>
      </c>
    </row>
    <row r="27" spans="1:8">
      <c r="A27" t="s">
        <v>22</v>
      </c>
      <c r="B27" t="s">
        <v>245</v>
      </c>
      <c r="C27" t="s">
        <v>246</v>
      </c>
      <c r="D27">
        <v>55687500</v>
      </c>
      <c r="E27">
        <v>55224042.460000001</v>
      </c>
      <c r="F27">
        <v>-452054.79</v>
      </c>
      <c r="G27">
        <v>-10456803.359999999</v>
      </c>
      <c r="H27">
        <v>915512.33</v>
      </c>
    </row>
    <row r="28" spans="1:8">
      <c r="A28" t="s">
        <v>22</v>
      </c>
      <c r="B28" t="s">
        <v>247</v>
      </c>
      <c r="C28" t="s">
        <v>248</v>
      </c>
      <c r="D28">
        <v>500000</v>
      </c>
      <c r="E28">
        <v>495838.76</v>
      </c>
      <c r="F28">
        <v>-4058.85</v>
      </c>
      <c r="G28">
        <v>-93888.24</v>
      </c>
      <c r="H28">
        <v>8220.09</v>
      </c>
    </row>
    <row r="29" spans="1:8">
      <c r="A29" t="s">
        <v>22</v>
      </c>
      <c r="B29" t="s">
        <v>249</v>
      </c>
      <c r="C29" t="s">
        <v>250</v>
      </c>
      <c r="D29">
        <v>31350000</v>
      </c>
      <c r="E29">
        <v>31089090.559999999</v>
      </c>
      <c r="F29">
        <v>-254490.11</v>
      </c>
      <c r="G29">
        <v>-5886793</v>
      </c>
      <c r="H29">
        <v>515399.55</v>
      </c>
    </row>
    <row r="30" spans="1:8">
      <c r="A30" t="s">
        <v>22</v>
      </c>
      <c r="B30" t="s">
        <v>251</v>
      </c>
      <c r="C30" t="s">
        <v>252</v>
      </c>
      <c r="D30">
        <v>7050000</v>
      </c>
      <c r="E30">
        <v>6991326.5800000001</v>
      </c>
      <c r="F30">
        <v>-57229.83</v>
      </c>
      <c r="G30">
        <v>-1323824.26</v>
      </c>
      <c r="H30">
        <v>115903.25</v>
      </c>
    </row>
    <row r="31" spans="1:8">
      <c r="A31" t="s">
        <v>22</v>
      </c>
      <c r="B31" t="s">
        <v>253</v>
      </c>
      <c r="C31" t="s">
        <v>254</v>
      </c>
      <c r="D31">
        <v>1000000</v>
      </c>
      <c r="E31">
        <v>991677.53</v>
      </c>
      <c r="F31">
        <v>-8117.71</v>
      </c>
      <c r="G31">
        <v>-187776.5</v>
      </c>
      <c r="H31">
        <v>16440.18</v>
      </c>
    </row>
    <row r="32" spans="1:8">
      <c r="A32" t="s">
        <v>22</v>
      </c>
      <c r="B32" t="s">
        <v>255</v>
      </c>
      <c r="C32" t="s">
        <v>256</v>
      </c>
      <c r="D32">
        <v>1012500</v>
      </c>
      <c r="E32">
        <v>1004073.5</v>
      </c>
      <c r="F32">
        <v>-8219.18</v>
      </c>
      <c r="G32">
        <v>-190123.7</v>
      </c>
      <c r="H32">
        <v>16645.68</v>
      </c>
    </row>
    <row r="33" spans="1:8">
      <c r="A33" t="s">
        <v>22</v>
      </c>
      <c r="B33" t="s">
        <v>257</v>
      </c>
      <c r="C33" t="s">
        <v>258</v>
      </c>
      <c r="D33">
        <v>2025000</v>
      </c>
      <c r="E33">
        <v>2008146.99</v>
      </c>
      <c r="F33">
        <v>-16438.36</v>
      </c>
      <c r="G33">
        <v>-380247.39</v>
      </c>
      <c r="H33">
        <v>33291.370000000003</v>
      </c>
    </row>
    <row r="34" spans="1:8">
      <c r="A34" t="s">
        <v>22</v>
      </c>
      <c r="B34" t="s">
        <v>259</v>
      </c>
      <c r="C34" t="s">
        <v>260</v>
      </c>
      <c r="D34">
        <v>50000000</v>
      </c>
      <c r="E34">
        <v>49583876.5</v>
      </c>
      <c r="F34">
        <v>-405885.34</v>
      </c>
      <c r="G34">
        <v>-9388824.5700000003</v>
      </c>
      <c r="H34">
        <v>822008.84</v>
      </c>
    </row>
    <row r="35" spans="1:8">
      <c r="A35" t="s">
        <v>22</v>
      </c>
      <c r="B35" t="s">
        <v>261</v>
      </c>
      <c r="C35" t="s">
        <v>262</v>
      </c>
      <c r="D35">
        <v>20250000</v>
      </c>
      <c r="E35">
        <v>20081469.989999998</v>
      </c>
      <c r="F35">
        <v>-164383.56</v>
      </c>
      <c r="G35">
        <v>-3802473.95</v>
      </c>
      <c r="H35">
        <v>332913.57</v>
      </c>
    </row>
    <row r="36" spans="1:8">
      <c r="A36" t="s">
        <v>22</v>
      </c>
      <c r="B36" t="s">
        <v>263</v>
      </c>
      <c r="C36" t="s">
        <v>264</v>
      </c>
      <c r="D36">
        <v>10125000</v>
      </c>
      <c r="E36">
        <v>10040734.99</v>
      </c>
      <c r="F36">
        <v>-82191.78</v>
      </c>
      <c r="G36">
        <v>-1901236.97</v>
      </c>
      <c r="H36">
        <v>166456.79</v>
      </c>
    </row>
    <row r="37" spans="1:8">
      <c r="A37" t="s">
        <v>22</v>
      </c>
      <c r="B37" t="s">
        <v>265</v>
      </c>
      <c r="C37" t="s">
        <v>266</v>
      </c>
      <c r="D37">
        <v>2025000</v>
      </c>
      <c r="E37">
        <v>2008146.99</v>
      </c>
      <c r="F37">
        <v>-16438.36</v>
      </c>
      <c r="G37">
        <v>-380247.39</v>
      </c>
      <c r="H37">
        <v>33291.370000000003</v>
      </c>
    </row>
    <row r="38" spans="1:8">
      <c r="A38" t="s">
        <v>22</v>
      </c>
      <c r="B38" t="s">
        <v>267</v>
      </c>
      <c r="C38" t="s">
        <v>268</v>
      </c>
      <c r="D38">
        <v>5000000</v>
      </c>
      <c r="E38">
        <v>4958387.6500000004</v>
      </c>
      <c r="F38">
        <v>-40588.53</v>
      </c>
      <c r="G38">
        <v>-938882.45</v>
      </c>
      <c r="H38">
        <v>82200.88</v>
      </c>
    </row>
    <row r="39" spans="1:8">
      <c r="A39" t="s">
        <v>22</v>
      </c>
      <c r="B39" t="s">
        <v>269</v>
      </c>
      <c r="C39" t="s">
        <v>270</v>
      </c>
      <c r="D39">
        <v>101250000</v>
      </c>
      <c r="E39">
        <v>100407349.94</v>
      </c>
      <c r="F39">
        <v>-821917.81</v>
      </c>
      <c r="G39">
        <v>-19012369.760000002</v>
      </c>
      <c r="H39">
        <v>1664567.87</v>
      </c>
    </row>
    <row r="40" spans="1:8">
      <c r="A40" t="s">
        <v>22</v>
      </c>
      <c r="B40" t="s">
        <v>271</v>
      </c>
      <c r="C40" t="s">
        <v>272</v>
      </c>
      <c r="D40">
        <v>151875000</v>
      </c>
      <c r="E40">
        <v>149378148.22999999</v>
      </c>
      <c r="F40">
        <v>0</v>
      </c>
      <c r="G40">
        <v>-28518554.629999999</v>
      </c>
      <c r="H40">
        <v>2496851.77</v>
      </c>
    </row>
    <row r="41" spans="1:8">
      <c r="A41" t="s">
        <v>22</v>
      </c>
      <c r="B41" t="s">
        <v>273</v>
      </c>
      <c r="C41" t="s">
        <v>274</v>
      </c>
      <c r="D41">
        <v>40500000</v>
      </c>
      <c r="E41">
        <v>40162939.979999997</v>
      </c>
      <c r="F41">
        <v>-328767.12</v>
      </c>
      <c r="G41">
        <v>-7604947.9000000004</v>
      </c>
      <c r="H41">
        <v>665827.14</v>
      </c>
    </row>
    <row r="42" spans="1:8">
      <c r="A42" t="s">
        <v>22</v>
      </c>
      <c r="B42" t="s">
        <v>275</v>
      </c>
      <c r="C42" t="s">
        <v>276</v>
      </c>
      <c r="D42">
        <v>2000000</v>
      </c>
      <c r="E42">
        <v>1983355.06</v>
      </c>
      <c r="F42">
        <v>-16235.41</v>
      </c>
      <c r="G42">
        <v>-375552.98</v>
      </c>
      <c r="H42">
        <v>32880.35</v>
      </c>
    </row>
    <row r="43" spans="1:8">
      <c r="A43" t="s">
        <v>22</v>
      </c>
      <c r="B43" t="s">
        <v>277</v>
      </c>
      <c r="C43" t="s">
        <v>278</v>
      </c>
      <c r="D43">
        <v>3037500</v>
      </c>
      <c r="E43">
        <v>3012220.49</v>
      </c>
      <c r="F43">
        <v>-24657.53</v>
      </c>
      <c r="G43">
        <v>-570371.09</v>
      </c>
      <c r="H43">
        <v>49937.04</v>
      </c>
    </row>
    <row r="44" spans="1:8">
      <c r="A44" t="s">
        <v>22</v>
      </c>
      <c r="B44" t="s">
        <v>279</v>
      </c>
      <c r="C44" t="s">
        <v>280</v>
      </c>
      <c r="D44">
        <v>3750000</v>
      </c>
      <c r="E44">
        <v>3718790.73</v>
      </c>
      <c r="F44">
        <v>-30441.4</v>
      </c>
      <c r="G44">
        <v>-704161.85</v>
      </c>
      <c r="H44">
        <v>61650.67</v>
      </c>
    </row>
    <row r="45" spans="1:8">
      <c r="A45" t="s">
        <v>22</v>
      </c>
      <c r="B45" t="s">
        <v>281</v>
      </c>
      <c r="C45" t="s">
        <v>282</v>
      </c>
      <c r="D45">
        <v>500000</v>
      </c>
      <c r="E45">
        <v>495838.76</v>
      </c>
      <c r="F45">
        <v>-4058.85</v>
      </c>
      <c r="G45">
        <v>-93888.24</v>
      </c>
      <c r="H45">
        <v>8220.09</v>
      </c>
    </row>
    <row r="46" spans="1:8">
      <c r="A46" t="s">
        <v>22</v>
      </c>
      <c r="B46" t="s">
        <v>283</v>
      </c>
      <c r="C46" t="s">
        <v>284</v>
      </c>
      <c r="D46">
        <v>1000000</v>
      </c>
      <c r="E46">
        <v>991677.53</v>
      </c>
      <c r="F46">
        <v>-8117.71</v>
      </c>
      <c r="G46">
        <v>-187776.5</v>
      </c>
      <c r="H46">
        <v>16440.18</v>
      </c>
    </row>
    <row r="47" spans="1:8">
      <c r="A47" t="s">
        <v>22</v>
      </c>
      <c r="B47" t="s">
        <v>285</v>
      </c>
      <c r="C47" t="s">
        <v>286</v>
      </c>
      <c r="D47">
        <v>20250000</v>
      </c>
      <c r="E47">
        <v>20081469.989999998</v>
      </c>
      <c r="F47">
        <v>-164383.56</v>
      </c>
      <c r="G47">
        <v>-3802473.95</v>
      </c>
      <c r="H47">
        <v>332913.57</v>
      </c>
    </row>
    <row r="48" spans="1:8">
      <c r="A48" t="s">
        <v>22</v>
      </c>
      <c r="B48" t="s">
        <v>287</v>
      </c>
      <c r="C48" t="s">
        <v>288</v>
      </c>
      <c r="D48">
        <v>10000000</v>
      </c>
      <c r="E48">
        <v>9916775.3100000005</v>
      </c>
      <c r="F48">
        <v>-81177.070000000007</v>
      </c>
      <c r="G48">
        <v>-1877764.91</v>
      </c>
      <c r="H48">
        <v>164401.76</v>
      </c>
    </row>
    <row r="49" spans="1:8">
      <c r="A49" t="s">
        <v>22</v>
      </c>
      <c r="B49" t="s">
        <v>289</v>
      </c>
      <c r="C49" t="s">
        <v>290</v>
      </c>
      <c r="D49">
        <v>0</v>
      </c>
      <c r="E49">
        <v>0</v>
      </c>
      <c r="F49">
        <v>0</v>
      </c>
      <c r="G49">
        <v>0</v>
      </c>
      <c r="H49">
        <v>0</v>
      </c>
    </row>
    <row r="50" spans="1:8">
      <c r="A50" t="s">
        <v>22</v>
      </c>
      <c r="B50" t="s">
        <v>291</v>
      </c>
      <c r="C50" t="s">
        <v>292</v>
      </c>
      <c r="D50">
        <v>5000000</v>
      </c>
      <c r="E50">
        <v>4958387.6500000004</v>
      </c>
      <c r="F50">
        <v>-40588.53</v>
      </c>
      <c r="G50">
        <v>-938882.45</v>
      </c>
      <c r="H50">
        <v>82200.88</v>
      </c>
    </row>
    <row r="51" spans="1:8">
      <c r="A51" t="s">
        <v>22</v>
      </c>
      <c r="B51" t="s">
        <v>293</v>
      </c>
      <c r="C51" t="s">
        <v>294</v>
      </c>
      <c r="D51">
        <v>1500000</v>
      </c>
      <c r="E51">
        <v>1487516.29</v>
      </c>
      <c r="F51">
        <v>-12176.56</v>
      </c>
      <c r="G51">
        <v>-281664.74</v>
      </c>
      <c r="H51">
        <v>24660.27</v>
      </c>
    </row>
    <row r="52" spans="1:8">
      <c r="A52" t="s">
        <v>22</v>
      </c>
      <c r="B52" t="s">
        <v>295</v>
      </c>
      <c r="C52" t="s">
        <v>296</v>
      </c>
      <c r="D52">
        <v>1000000</v>
      </c>
      <c r="E52">
        <v>991677.53</v>
      </c>
      <c r="F52">
        <v>-8117.71</v>
      </c>
      <c r="G52">
        <v>-187776.5</v>
      </c>
      <c r="H52">
        <v>16440.18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524D-A079-4E0A-9A74-11CE888F4791}">
  <dimension ref="A1"/>
  <sheetViews>
    <sheetView workbookViewId="0">
      <selection activeCell="S29" sqref="S29"/>
    </sheetView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1B1DC-6ED9-429B-9ADF-E4A94D14CD78}">
  <dimension ref="A2:G22"/>
  <sheetViews>
    <sheetView workbookViewId="0">
      <selection activeCell="G22" sqref="G22"/>
    </sheetView>
  </sheetViews>
  <sheetFormatPr defaultRowHeight="15"/>
  <cols>
    <col min="1" max="1" width="21.42578125" bestFit="1" customWidth="1"/>
    <col min="2" max="2" width="59.85546875" bestFit="1" customWidth="1"/>
    <col min="3" max="3" width="16" style="46" bestFit="1" customWidth="1"/>
    <col min="4" max="4" width="12.7109375" bestFit="1" customWidth="1"/>
    <col min="5" max="6" width="21.42578125" bestFit="1" customWidth="1"/>
    <col min="7" max="7" width="16" bestFit="1" customWidth="1"/>
  </cols>
  <sheetData>
    <row r="2" spans="1:7" s="58" customFormat="1">
      <c r="B2" s="58" t="s">
        <v>384</v>
      </c>
      <c r="C2" s="59"/>
      <c r="F2" s="58" t="s">
        <v>385</v>
      </c>
    </row>
    <row r="3" spans="1:7">
      <c r="A3" s="56" t="s">
        <v>386</v>
      </c>
      <c r="C3"/>
      <c r="E3" s="56" t="s">
        <v>386</v>
      </c>
    </row>
    <row r="4" spans="1:7">
      <c r="A4" s="56" t="s">
        <v>307</v>
      </c>
      <c r="B4" s="56" t="s">
        <v>308</v>
      </c>
      <c r="C4" t="s">
        <v>387</v>
      </c>
      <c r="E4" s="56" t="s">
        <v>307</v>
      </c>
      <c r="F4" s="56" t="s">
        <v>308</v>
      </c>
      <c r="G4" t="s">
        <v>387</v>
      </c>
    </row>
    <row r="5" spans="1:7">
      <c r="A5" s="10">
        <v>45135</v>
      </c>
      <c r="B5" t="s">
        <v>315</v>
      </c>
      <c r="C5" s="54">
        <v>-500000</v>
      </c>
      <c r="E5" s="10">
        <v>45139</v>
      </c>
      <c r="F5" t="s">
        <v>323</v>
      </c>
      <c r="G5" s="54">
        <v>886725826.12</v>
      </c>
    </row>
    <row r="6" spans="1:7">
      <c r="A6" s="10">
        <v>45135</v>
      </c>
      <c r="B6" t="s">
        <v>314</v>
      </c>
      <c r="C6" s="54">
        <v>-704049382.67999995</v>
      </c>
      <c r="E6" s="10">
        <v>45174</v>
      </c>
      <c r="F6" t="s">
        <v>323</v>
      </c>
      <c r="G6" s="54">
        <v>-2081821.41</v>
      </c>
    </row>
    <row r="7" spans="1:7">
      <c r="A7" s="10">
        <v>45142</v>
      </c>
      <c r="B7" t="s">
        <v>315</v>
      </c>
      <c r="C7" s="54">
        <v>-26934.14</v>
      </c>
      <c r="E7" s="10">
        <v>45232</v>
      </c>
      <c r="F7" t="s">
        <v>340</v>
      </c>
      <c r="G7" s="54">
        <v>-47116976.18</v>
      </c>
    </row>
    <row r="8" spans="1:7">
      <c r="A8" s="10">
        <v>45142</v>
      </c>
      <c r="B8" t="s">
        <v>314</v>
      </c>
      <c r="C8" s="54">
        <v>-37925925.920000002</v>
      </c>
      <c r="E8" s="10">
        <v>45328</v>
      </c>
      <c r="F8" t="s">
        <v>340</v>
      </c>
      <c r="G8" s="54">
        <v>-102571395</v>
      </c>
    </row>
    <row r="9" spans="1:7">
      <c r="A9" s="10">
        <v>45153</v>
      </c>
      <c r="B9" t="s">
        <v>315</v>
      </c>
      <c r="C9" s="54">
        <v>-106526.62</v>
      </c>
      <c r="E9" s="10">
        <v>45838</v>
      </c>
      <c r="F9" t="s">
        <v>323</v>
      </c>
      <c r="G9" s="54">
        <v>-0.05</v>
      </c>
    </row>
    <row r="10" spans="1:7">
      <c r="A10" s="10">
        <v>45153</v>
      </c>
      <c r="B10" t="s">
        <v>314</v>
      </c>
      <c r="C10" s="54">
        <v>-148767123.28999999</v>
      </c>
    </row>
    <row r="11" spans="1:7">
      <c r="A11" s="10">
        <v>45183</v>
      </c>
      <c r="B11" t="s">
        <v>325</v>
      </c>
      <c r="C11" s="54">
        <v>6098427.1799999997</v>
      </c>
    </row>
    <row r="12" spans="1:7">
      <c r="A12" s="10">
        <v>45274</v>
      </c>
      <c r="B12" t="s">
        <v>342</v>
      </c>
      <c r="C12" s="54">
        <v>47116976.18</v>
      </c>
    </row>
    <row r="13" spans="1:7">
      <c r="A13" s="10">
        <v>45356</v>
      </c>
      <c r="B13" t="s">
        <v>342</v>
      </c>
      <c r="C13" s="54">
        <v>96246750.510000005</v>
      </c>
    </row>
    <row r="14" spans="1:7">
      <c r="A14" s="10">
        <v>45370</v>
      </c>
      <c r="B14" t="s">
        <v>342</v>
      </c>
      <c r="C14" s="54">
        <v>6324644.4900000002</v>
      </c>
    </row>
    <row r="15" spans="1:7">
      <c r="A15" s="10">
        <v>45656</v>
      </c>
      <c r="B15" t="s">
        <v>315</v>
      </c>
      <c r="C15" s="54">
        <v>-1500000</v>
      </c>
    </row>
    <row r="16" spans="1:7">
      <c r="A16" s="10">
        <v>45926</v>
      </c>
      <c r="B16" t="s">
        <v>315</v>
      </c>
      <c r="C16" s="54">
        <v>-1500000</v>
      </c>
    </row>
    <row r="17" spans="1:7">
      <c r="C17"/>
    </row>
    <row r="18" spans="1:7">
      <c r="C18"/>
    </row>
    <row r="19" spans="1:7">
      <c r="A19" s="10"/>
      <c r="C19" s="54"/>
      <c r="G19" s="46"/>
    </row>
    <row r="20" spans="1:7">
      <c r="A20" s="10">
        <v>45930</v>
      </c>
      <c r="B20" t="s">
        <v>388</v>
      </c>
      <c r="C20" s="46">
        <f>+SUM(CapActStmnt!P:P)</f>
        <v>975794074.30999994</v>
      </c>
      <c r="E20" s="10">
        <v>45930</v>
      </c>
      <c r="F20" t="s">
        <v>297</v>
      </c>
      <c r="G20" s="46">
        <f>-SUM('Schedule of Investments'!N:N)</f>
        <v>-974470363.55000007</v>
      </c>
    </row>
    <row r="22" spans="1:7">
      <c r="C22" s="57">
        <f>+XIRR(C5:C20,A5:A20)</f>
        <v>0.13076006770133972</v>
      </c>
      <c r="G22" s="57">
        <f>+XIRR(G5:G20,E5:E20,0)</f>
        <v>0.1333805712890625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24F1A-484D-4588-9326-B528D0E4CBAE}">
  <dimension ref="A1:T6"/>
  <sheetViews>
    <sheetView topLeftCell="H1" workbookViewId="0">
      <selection activeCell="S12" sqref="S12"/>
    </sheetView>
  </sheetViews>
  <sheetFormatPr defaultRowHeight="15"/>
  <cols>
    <col min="1" max="1" width="28" customWidth="1"/>
    <col min="2" max="2" width="32.85546875" bestFit="1" customWidth="1"/>
    <col min="3" max="3" width="16.5703125" bestFit="1" customWidth="1"/>
    <col min="4" max="4" width="16.7109375" bestFit="1" customWidth="1"/>
    <col min="5" max="5" width="14" bestFit="1" customWidth="1"/>
    <col min="6" max="6" width="16.28515625" bestFit="1" customWidth="1"/>
    <col min="7" max="7" width="21.140625" bestFit="1" customWidth="1"/>
    <col min="8" max="8" width="26.28515625" bestFit="1" customWidth="1"/>
    <col min="9" max="9" width="27.28515625" bestFit="1" customWidth="1"/>
    <col min="10" max="10" width="19.42578125" bestFit="1" customWidth="1"/>
    <col min="11" max="11" width="14.28515625" bestFit="1" customWidth="1"/>
    <col min="12" max="12" width="15.28515625" bestFit="1" customWidth="1"/>
    <col min="13" max="13" width="15.5703125" bestFit="1" customWidth="1"/>
    <col min="14" max="14" width="16.5703125" bestFit="1" customWidth="1"/>
    <col min="16" max="16" width="1.85546875" customWidth="1"/>
    <col min="17" max="17" width="16.85546875" bestFit="1" customWidth="1"/>
    <col min="18" max="18" width="19.42578125" bestFit="1" customWidth="1"/>
    <col min="19" max="19" width="15.85546875" customWidth="1"/>
    <col min="20" max="20" width="13.42578125" customWidth="1"/>
  </cols>
  <sheetData>
    <row r="1" spans="1:20" ht="21">
      <c r="A1" s="71" t="s">
        <v>389</v>
      </c>
      <c r="B1" s="71"/>
      <c r="C1" s="71"/>
      <c r="D1" s="71"/>
      <c r="E1" s="71"/>
    </row>
    <row r="2" spans="1:20">
      <c r="A2" t="s">
        <v>21</v>
      </c>
      <c r="B2" t="s">
        <v>297</v>
      </c>
      <c r="C2" t="s">
        <v>299</v>
      </c>
      <c r="D2" t="s">
        <v>390</v>
      </c>
      <c r="E2" t="s">
        <v>391</v>
      </c>
      <c r="F2" t="s">
        <v>392</v>
      </c>
      <c r="G2" t="s">
        <v>393</v>
      </c>
      <c r="H2" t="s">
        <v>394</v>
      </c>
      <c r="I2" t="s">
        <v>395</v>
      </c>
      <c r="J2" t="s">
        <v>396</v>
      </c>
      <c r="K2" t="s">
        <v>397</v>
      </c>
      <c r="L2" t="s">
        <v>398</v>
      </c>
      <c r="M2" t="s">
        <v>399</v>
      </c>
      <c r="N2" t="s">
        <v>400</v>
      </c>
      <c r="P2" s="53"/>
      <c r="Q2" s="55" t="s">
        <v>401</v>
      </c>
      <c r="R2" t="s">
        <v>402</v>
      </c>
      <c r="S2" t="s">
        <v>403</v>
      </c>
      <c r="T2" t="s">
        <v>404</v>
      </c>
    </row>
    <row r="3" spans="1:20">
      <c r="A3" t="s">
        <v>22</v>
      </c>
      <c r="B3" t="s">
        <v>304</v>
      </c>
      <c r="C3" s="46">
        <v>65004227.960000001</v>
      </c>
      <c r="D3" s="46">
        <v>0</v>
      </c>
      <c r="E3" s="46">
        <v>0</v>
      </c>
      <c r="F3" s="46">
        <v>-884644004.65999997</v>
      </c>
      <c r="G3" s="46">
        <v>149688371.18000001</v>
      </c>
      <c r="H3" s="46">
        <v>359864.03</v>
      </c>
      <c r="I3" s="46">
        <v>19537408.57</v>
      </c>
      <c r="J3" s="46">
        <v>0</v>
      </c>
      <c r="K3" s="46">
        <v>19897272.600000001</v>
      </c>
      <c r="L3" s="46">
        <v>239514730.06999999</v>
      </c>
      <c r="M3" s="46">
        <v>734955633.48000002</v>
      </c>
      <c r="N3" s="46">
        <v>974470363.54999995</v>
      </c>
      <c r="P3" s="53"/>
      <c r="Q3" s="54">
        <f>+N3+G3+H3+I3</f>
        <v>1144056007.3299999</v>
      </c>
      <c r="R3" s="54">
        <f>+(K3+G3)/-F3</f>
        <v>0.1916993082942757</v>
      </c>
      <c r="S3" s="54">
        <f>+Q3/-F3</f>
        <v>1.2932388636598529</v>
      </c>
    </row>
    <row r="4" spans="1:20">
      <c r="P4" s="53"/>
    </row>
    <row r="5" spans="1:20">
      <c r="P5" s="53"/>
    </row>
    <row r="6" spans="1:20">
      <c r="P6" s="53"/>
    </row>
  </sheetData>
  <mergeCells count="1">
    <mergeCell ref="A1:E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FB5BF-2AA4-42B6-A770-994BBBD0830A}">
  <dimension ref="A1"/>
  <sheetViews>
    <sheetView workbookViewId="0">
      <selection activeCell="U24" sqref="U24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B48EE-3EE1-4CEA-8AEC-1A669ED18F44}">
  <dimension ref="A1:G633"/>
  <sheetViews>
    <sheetView topLeftCell="A355" workbookViewId="0">
      <selection activeCell="G424" sqref="G357:G424"/>
    </sheetView>
  </sheetViews>
  <sheetFormatPr defaultRowHeight="15"/>
  <cols>
    <col min="1" max="1" width="13.140625" style="10" customWidth="1"/>
    <col min="2" max="2" width="11.140625" bestFit="1" customWidth="1"/>
    <col min="3" max="3" width="22.28515625" bestFit="1" customWidth="1"/>
    <col min="4" max="4" width="11.140625" bestFit="1" customWidth="1"/>
    <col min="5" max="5" width="28.85546875" style="46" customWidth="1"/>
    <col min="7" max="7" width="19" customWidth="1"/>
  </cols>
  <sheetData>
    <row r="1" spans="1:7">
      <c r="A1" s="10" t="s">
        <v>405</v>
      </c>
      <c r="B1" t="s">
        <v>406</v>
      </c>
      <c r="C1" t="s">
        <v>407</v>
      </c>
      <c r="D1" t="s">
        <v>408</v>
      </c>
      <c r="E1" s="46" t="s">
        <v>409</v>
      </c>
    </row>
    <row r="2" spans="1:7">
      <c r="B2" s="12"/>
      <c r="C2" s="12"/>
      <c r="D2" s="12"/>
    </row>
    <row r="3" spans="1:7">
      <c r="B3" s="12"/>
      <c r="C3" s="12"/>
      <c r="D3" s="12"/>
    </row>
    <row r="4" spans="1:7">
      <c r="B4" s="12"/>
      <c r="C4" s="12"/>
      <c r="D4" s="12"/>
    </row>
    <row r="5" spans="1:7">
      <c r="A5" s="10" t="s">
        <v>410</v>
      </c>
      <c r="B5" s="12" t="s">
        <v>411</v>
      </c>
      <c r="C5" s="12" t="s">
        <v>412</v>
      </c>
      <c r="D5" s="12" t="s">
        <v>413</v>
      </c>
      <c r="E5" s="46" t="s">
        <v>414</v>
      </c>
      <c r="G5" s="47" t="s">
        <v>415</v>
      </c>
    </row>
    <row r="6" spans="1:7">
      <c r="A6" s="10">
        <v>45127</v>
      </c>
      <c r="B6" s="12" t="s">
        <v>416</v>
      </c>
      <c r="C6" s="12" t="s">
        <v>417</v>
      </c>
      <c r="D6" s="12" t="s">
        <v>418</v>
      </c>
      <c r="E6" s="46">
        <v>988355.73</v>
      </c>
      <c r="G6" t="str">
        <f>TEXT(DATE(YEAR(A6),ROUNDUP(MONTH(A6)/3,0)*3+1,0),"mmm dd, yyyy")</f>
        <v>Sep 30, 2023</v>
      </c>
    </row>
    <row r="7" spans="1:7">
      <c r="A7" s="10">
        <v>45127</v>
      </c>
      <c r="B7" s="12" t="s">
        <v>416</v>
      </c>
      <c r="C7" s="12" t="s">
        <v>417</v>
      </c>
      <c r="D7" s="12" t="s">
        <v>418</v>
      </c>
      <c r="E7" s="46">
        <v>988355.73</v>
      </c>
      <c r="G7" t="str">
        <f t="shared" ref="G7:G70" si="0">TEXT(DATE(YEAR(A7),ROUNDUP(MONTH(A7)/3,0)*3+1,0),"mmm dd, yyyy")</f>
        <v>Sep 30, 2023</v>
      </c>
    </row>
    <row r="8" spans="1:7">
      <c r="A8" s="10">
        <v>45127</v>
      </c>
      <c r="B8" s="12" t="s">
        <v>416</v>
      </c>
      <c r="C8" s="12" t="s">
        <v>417</v>
      </c>
      <c r="D8" s="12" t="s">
        <v>418</v>
      </c>
      <c r="E8" s="46">
        <v>1000710.18</v>
      </c>
      <c r="G8" t="str">
        <f t="shared" si="0"/>
        <v>Sep 30, 2023</v>
      </c>
    </row>
    <row r="9" spans="1:7">
      <c r="A9" s="10">
        <v>45127</v>
      </c>
      <c r="B9" s="12" t="s">
        <v>416</v>
      </c>
      <c r="C9" s="12" t="s">
        <v>417</v>
      </c>
      <c r="D9" s="12" t="s">
        <v>418</v>
      </c>
      <c r="E9" s="46">
        <v>5003550.8899999997</v>
      </c>
      <c r="G9" t="str">
        <f t="shared" si="0"/>
        <v>Sep 30, 2023</v>
      </c>
    </row>
    <row r="10" spans="1:7">
      <c r="A10" s="10">
        <v>45128</v>
      </c>
      <c r="B10" s="12" t="s">
        <v>416</v>
      </c>
      <c r="C10" s="12" t="s">
        <v>417</v>
      </c>
      <c r="D10" s="12" t="s">
        <v>418</v>
      </c>
      <c r="E10" s="46">
        <v>1482533.59</v>
      </c>
      <c r="G10" t="str">
        <f t="shared" si="0"/>
        <v>Sep 30, 2023</v>
      </c>
    </row>
    <row r="11" spans="1:7">
      <c r="A11" s="10">
        <v>45128</v>
      </c>
      <c r="B11" s="12" t="s">
        <v>416</v>
      </c>
      <c r="C11" s="12" t="s">
        <v>417</v>
      </c>
      <c r="D11" s="12" t="s">
        <v>418</v>
      </c>
      <c r="E11" s="46">
        <v>988355.73</v>
      </c>
      <c r="G11" t="str">
        <f t="shared" si="0"/>
        <v>Sep 30, 2023</v>
      </c>
    </row>
    <row r="12" spans="1:7">
      <c r="A12" s="10">
        <v>45131</v>
      </c>
      <c r="B12" s="12" t="s">
        <v>416</v>
      </c>
      <c r="C12" s="12" t="s">
        <v>417</v>
      </c>
      <c r="D12" s="12" t="s">
        <v>418</v>
      </c>
      <c r="E12" s="46">
        <v>5003550.8899999997</v>
      </c>
      <c r="G12" t="str">
        <f t="shared" si="0"/>
        <v>Sep 30, 2023</v>
      </c>
    </row>
    <row r="13" spans="1:7">
      <c r="A13" s="10">
        <v>45132</v>
      </c>
      <c r="B13" s="12" t="s">
        <v>416</v>
      </c>
      <c r="C13" s="12" t="s">
        <v>417</v>
      </c>
      <c r="D13" s="12" t="s">
        <v>418</v>
      </c>
      <c r="E13" s="46">
        <v>3002130.53</v>
      </c>
      <c r="G13" t="str">
        <f t="shared" si="0"/>
        <v>Sep 30, 2023</v>
      </c>
    </row>
    <row r="14" spans="1:7">
      <c r="A14" s="10">
        <v>45132</v>
      </c>
      <c r="B14" s="12" t="s">
        <v>416</v>
      </c>
      <c r="C14" s="12" t="s">
        <v>417</v>
      </c>
      <c r="D14" s="12" t="s">
        <v>418</v>
      </c>
      <c r="E14" s="46">
        <v>2501775.44</v>
      </c>
      <c r="G14" t="str">
        <f t="shared" si="0"/>
        <v>Sep 30, 2023</v>
      </c>
    </row>
    <row r="15" spans="1:7">
      <c r="A15" s="10">
        <v>45132</v>
      </c>
      <c r="B15" s="12" t="s">
        <v>416</v>
      </c>
      <c r="C15" s="12" t="s">
        <v>417</v>
      </c>
      <c r="D15" s="12" t="s">
        <v>418</v>
      </c>
      <c r="E15" s="46">
        <v>988355.73</v>
      </c>
      <c r="G15" t="str">
        <f t="shared" si="0"/>
        <v>Sep 30, 2023</v>
      </c>
    </row>
    <row r="16" spans="1:7">
      <c r="A16" s="10">
        <v>45132</v>
      </c>
      <c r="B16" s="12" t="s">
        <v>416</v>
      </c>
      <c r="C16" s="12" t="s">
        <v>417</v>
      </c>
      <c r="D16" s="12" t="s">
        <v>418</v>
      </c>
      <c r="E16" s="46">
        <v>494177.86</v>
      </c>
      <c r="G16" t="str">
        <f t="shared" si="0"/>
        <v>Sep 30, 2023</v>
      </c>
    </row>
    <row r="17" spans="1:7">
      <c r="A17" s="10">
        <v>45132</v>
      </c>
      <c r="B17" s="12" t="s">
        <v>416</v>
      </c>
      <c r="C17" s="12" t="s">
        <v>417</v>
      </c>
      <c r="D17" s="12" t="s">
        <v>418</v>
      </c>
      <c r="E17" s="46">
        <v>494177.86</v>
      </c>
      <c r="G17" t="str">
        <f t="shared" si="0"/>
        <v>Sep 30, 2023</v>
      </c>
    </row>
    <row r="18" spans="1:7">
      <c r="A18" s="10">
        <v>45132</v>
      </c>
      <c r="B18" s="12" t="s">
        <v>416</v>
      </c>
      <c r="C18" s="12" t="s">
        <v>417</v>
      </c>
      <c r="D18" s="12" t="s">
        <v>418</v>
      </c>
      <c r="E18" s="46">
        <v>1482533.59</v>
      </c>
      <c r="G18" t="str">
        <f t="shared" si="0"/>
        <v>Sep 30, 2023</v>
      </c>
    </row>
    <row r="19" spans="1:7">
      <c r="A19" s="10">
        <v>45133</v>
      </c>
      <c r="B19" s="12" t="s">
        <v>416</v>
      </c>
      <c r="C19" s="12" t="s">
        <v>417</v>
      </c>
      <c r="D19" s="12" t="s">
        <v>418</v>
      </c>
      <c r="E19" s="46">
        <v>5003550.8899999997</v>
      </c>
      <c r="G19" t="str">
        <f t="shared" si="0"/>
        <v>Sep 30, 2023</v>
      </c>
    </row>
    <row r="20" spans="1:7">
      <c r="A20" s="10">
        <v>45133</v>
      </c>
      <c r="B20" s="12" t="s">
        <v>416</v>
      </c>
      <c r="C20" s="12" t="s">
        <v>417</v>
      </c>
      <c r="D20" s="12" t="s">
        <v>418</v>
      </c>
      <c r="E20" s="46">
        <v>9883557.3100000005</v>
      </c>
      <c r="G20" t="str">
        <f t="shared" si="0"/>
        <v>Sep 30, 2023</v>
      </c>
    </row>
    <row r="21" spans="1:7">
      <c r="A21" s="10">
        <v>45133</v>
      </c>
      <c r="B21" s="12" t="s">
        <v>416</v>
      </c>
      <c r="C21" s="12" t="s">
        <v>417</v>
      </c>
      <c r="D21" s="12" t="s">
        <v>418</v>
      </c>
      <c r="E21" s="46">
        <v>3953422.92</v>
      </c>
      <c r="G21" t="str">
        <f t="shared" si="0"/>
        <v>Sep 30, 2023</v>
      </c>
    </row>
    <row r="22" spans="1:7">
      <c r="A22" s="10">
        <v>45133</v>
      </c>
      <c r="B22" s="12" t="s">
        <v>416</v>
      </c>
      <c r="C22" s="12" t="s">
        <v>417</v>
      </c>
      <c r="D22" s="12" t="s">
        <v>418</v>
      </c>
      <c r="E22" s="46">
        <v>19767114.620000001</v>
      </c>
      <c r="G22" t="str">
        <f t="shared" si="0"/>
        <v>Sep 30, 2023</v>
      </c>
    </row>
    <row r="23" spans="1:7">
      <c r="A23" s="10">
        <v>45134</v>
      </c>
      <c r="B23" s="12" t="s">
        <v>416</v>
      </c>
      <c r="C23" s="12" t="s">
        <v>417</v>
      </c>
      <c r="D23" s="12" t="s">
        <v>418</v>
      </c>
      <c r="E23" s="46">
        <v>20014203.550000001</v>
      </c>
      <c r="G23" t="str">
        <f t="shared" si="0"/>
        <v>Sep 30, 2023</v>
      </c>
    </row>
    <row r="24" spans="1:7">
      <c r="A24" s="10">
        <v>45134</v>
      </c>
      <c r="B24" s="12" t="s">
        <v>416</v>
      </c>
      <c r="C24" s="12" t="s">
        <v>417</v>
      </c>
      <c r="D24" s="12" t="s">
        <v>418</v>
      </c>
      <c r="E24" s="46">
        <v>2001420.35</v>
      </c>
      <c r="G24" t="str">
        <f t="shared" si="0"/>
        <v>Sep 30, 2023</v>
      </c>
    </row>
    <row r="25" spans="1:7">
      <c r="A25" s="10">
        <v>45134</v>
      </c>
      <c r="B25" s="12" t="s">
        <v>416</v>
      </c>
      <c r="C25" s="12" t="s">
        <v>417</v>
      </c>
      <c r="D25" s="12" t="s">
        <v>418</v>
      </c>
      <c r="E25" s="46">
        <v>20014203.550000001</v>
      </c>
      <c r="G25" t="str">
        <f t="shared" si="0"/>
        <v>Sep 30, 2023</v>
      </c>
    </row>
    <row r="26" spans="1:7">
      <c r="A26" s="10">
        <v>45134</v>
      </c>
      <c r="B26" s="12" t="s">
        <v>416</v>
      </c>
      <c r="C26" s="12" t="s">
        <v>417</v>
      </c>
      <c r="D26" s="12" t="s">
        <v>418</v>
      </c>
      <c r="E26" s="46">
        <v>5003550.8899999997</v>
      </c>
      <c r="G26" t="str">
        <f t="shared" si="0"/>
        <v>Sep 30, 2023</v>
      </c>
    </row>
    <row r="27" spans="1:7">
      <c r="A27" s="10">
        <v>45134</v>
      </c>
      <c r="B27" s="12" t="s">
        <v>416</v>
      </c>
      <c r="C27" s="12" t="s">
        <v>417</v>
      </c>
      <c r="D27" s="12" t="s">
        <v>418</v>
      </c>
      <c r="E27" s="46">
        <v>25017754.440000001</v>
      </c>
      <c r="G27" t="str">
        <f t="shared" si="0"/>
        <v>Sep 30, 2023</v>
      </c>
    </row>
    <row r="28" spans="1:7">
      <c r="A28" s="10">
        <v>45134</v>
      </c>
      <c r="B28" s="12" t="s">
        <v>416</v>
      </c>
      <c r="C28" s="12" t="s">
        <v>417</v>
      </c>
      <c r="D28" s="12" t="s">
        <v>418</v>
      </c>
      <c r="E28" s="46">
        <v>55039059.759999998</v>
      </c>
      <c r="G28" t="str">
        <f t="shared" si="0"/>
        <v>Sep 30, 2023</v>
      </c>
    </row>
    <row r="29" spans="1:7">
      <c r="A29" s="10">
        <v>45134</v>
      </c>
      <c r="B29" s="12" t="s">
        <v>416</v>
      </c>
      <c r="C29" s="12" t="s">
        <v>417</v>
      </c>
      <c r="D29" s="12" t="s">
        <v>418</v>
      </c>
      <c r="E29" s="46">
        <v>14825335.970000001</v>
      </c>
      <c r="G29" t="str">
        <f t="shared" si="0"/>
        <v>Sep 30, 2023</v>
      </c>
    </row>
    <row r="30" spans="1:7">
      <c r="A30" s="10">
        <v>45135</v>
      </c>
      <c r="B30" s="12" t="s">
        <v>416</v>
      </c>
      <c r="C30" s="12" t="s">
        <v>417</v>
      </c>
      <c r="D30" s="12" t="s">
        <v>418</v>
      </c>
      <c r="E30" s="46">
        <v>100071017.75</v>
      </c>
      <c r="G30" t="str">
        <f t="shared" si="0"/>
        <v>Sep 30, 2023</v>
      </c>
    </row>
    <row r="31" spans="1:7">
      <c r="A31" s="10">
        <v>45135</v>
      </c>
      <c r="B31" s="12" t="s">
        <v>416</v>
      </c>
      <c r="C31" s="12" t="s">
        <v>417</v>
      </c>
      <c r="D31" s="12" t="s">
        <v>418</v>
      </c>
      <c r="E31" s="46">
        <v>49417786.539999999</v>
      </c>
      <c r="G31" t="str">
        <f t="shared" si="0"/>
        <v>Sep 30, 2023</v>
      </c>
    </row>
    <row r="32" spans="1:7">
      <c r="A32" s="10">
        <v>45135</v>
      </c>
      <c r="B32" s="12" t="s">
        <v>416</v>
      </c>
      <c r="C32" s="12" t="s">
        <v>417</v>
      </c>
      <c r="D32" s="12" t="s">
        <v>418</v>
      </c>
      <c r="E32" s="46">
        <v>100071017.76000001</v>
      </c>
      <c r="G32" t="str">
        <f t="shared" si="0"/>
        <v>Sep 30, 2023</v>
      </c>
    </row>
    <row r="33" spans="1:7">
      <c r="A33" s="10">
        <v>45135</v>
      </c>
      <c r="B33" s="12" t="s">
        <v>416</v>
      </c>
      <c r="C33" s="12" t="s">
        <v>417</v>
      </c>
      <c r="D33" s="12" t="s">
        <v>418</v>
      </c>
      <c r="E33" s="46">
        <v>15010652.66</v>
      </c>
      <c r="G33" t="str">
        <f t="shared" si="0"/>
        <v>Sep 30, 2023</v>
      </c>
    </row>
    <row r="34" spans="1:7">
      <c r="A34" s="10">
        <v>45135</v>
      </c>
      <c r="B34" s="12" t="s">
        <v>416</v>
      </c>
      <c r="C34" s="12" t="s">
        <v>417</v>
      </c>
      <c r="D34" s="12" t="s">
        <v>418</v>
      </c>
      <c r="E34" s="46">
        <v>25017754.440000001</v>
      </c>
      <c r="G34" t="str">
        <f t="shared" si="0"/>
        <v>Sep 30, 2023</v>
      </c>
    </row>
    <row r="35" spans="1:7">
      <c r="A35" s="10">
        <v>45135</v>
      </c>
      <c r="B35" s="12" t="s">
        <v>416</v>
      </c>
      <c r="C35" s="12" t="s">
        <v>417</v>
      </c>
      <c r="D35" s="12" t="s">
        <v>418</v>
      </c>
      <c r="E35" s="46">
        <v>2001420.35</v>
      </c>
      <c r="G35" t="str">
        <f t="shared" si="0"/>
        <v>Sep 30, 2023</v>
      </c>
    </row>
    <row r="36" spans="1:7">
      <c r="A36" s="10">
        <v>45135</v>
      </c>
      <c r="B36" s="12" t="s">
        <v>416</v>
      </c>
      <c r="C36" s="12" t="s">
        <v>417</v>
      </c>
      <c r="D36" s="12" t="s">
        <v>418</v>
      </c>
      <c r="E36" s="46">
        <v>4941778.6500000004</v>
      </c>
      <c r="G36" t="str">
        <f t="shared" si="0"/>
        <v>Sep 30, 2023</v>
      </c>
    </row>
    <row r="37" spans="1:7">
      <c r="A37" s="10">
        <v>45135</v>
      </c>
      <c r="B37" s="12" t="s">
        <v>416</v>
      </c>
      <c r="C37" s="12" t="s">
        <v>417</v>
      </c>
      <c r="D37" s="12" t="s">
        <v>418</v>
      </c>
      <c r="E37" s="46">
        <v>10007101.77</v>
      </c>
      <c r="G37" t="str">
        <f t="shared" si="0"/>
        <v>Sep 30, 2023</v>
      </c>
    </row>
    <row r="38" spans="1:7">
      <c r="A38" s="10">
        <v>45135</v>
      </c>
      <c r="B38" s="12" t="s">
        <v>416</v>
      </c>
      <c r="C38" s="12" t="s">
        <v>417</v>
      </c>
      <c r="D38" s="12" t="s">
        <v>418</v>
      </c>
      <c r="E38" s="46">
        <v>40028407.100000001</v>
      </c>
      <c r="G38" t="str">
        <f t="shared" si="0"/>
        <v>Sep 30, 2023</v>
      </c>
    </row>
    <row r="39" spans="1:7">
      <c r="A39" s="10">
        <v>45135</v>
      </c>
      <c r="B39" s="12" t="s">
        <v>416</v>
      </c>
      <c r="C39" s="12" t="s">
        <v>417</v>
      </c>
      <c r="D39" s="12" t="s">
        <v>418</v>
      </c>
      <c r="E39" s="46">
        <v>11860268.77</v>
      </c>
      <c r="G39" t="str">
        <f t="shared" si="0"/>
        <v>Sep 30, 2023</v>
      </c>
    </row>
    <row r="40" spans="1:7">
      <c r="A40" s="10">
        <v>45135</v>
      </c>
      <c r="B40" s="12" t="s">
        <v>416</v>
      </c>
      <c r="C40" s="12" t="s">
        <v>417</v>
      </c>
      <c r="D40" s="12" t="s">
        <v>418</v>
      </c>
      <c r="E40" s="46">
        <v>2470889.3199999998</v>
      </c>
      <c r="G40" t="str">
        <f t="shared" si="0"/>
        <v>Sep 30, 2023</v>
      </c>
    </row>
    <row r="41" spans="1:7">
      <c r="A41" s="10">
        <v>45135</v>
      </c>
      <c r="B41" s="12" t="s">
        <v>416</v>
      </c>
      <c r="C41" s="12" t="s">
        <v>417</v>
      </c>
      <c r="D41" s="12" t="s">
        <v>418</v>
      </c>
      <c r="E41" s="46">
        <v>50035508.869999997</v>
      </c>
      <c r="G41" t="str">
        <f t="shared" si="0"/>
        <v>Sep 30, 2023</v>
      </c>
    </row>
    <row r="42" spans="1:7">
      <c r="A42" s="10">
        <v>45135</v>
      </c>
      <c r="B42" s="12" t="s">
        <v>416</v>
      </c>
      <c r="C42" s="12" t="s">
        <v>417</v>
      </c>
      <c r="D42" s="12" t="s">
        <v>418</v>
      </c>
      <c r="E42" s="46">
        <v>7412667.9800000004</v>
      </c>
      <c r="G42" t="str">
        <f t="shared" si="0"/>
        <v>Sep 30, 2023</v>
      </c>
    </row>
    <row r="43" spans="1:7">
      <c r="A43" s="10">
        <v>45135</v>
      </c>
      <c r="B43" s="12" t="s">
        <v>416</v>
      </c>
      <c r="C43" s="12" t="s">
        <v>417</v>
      </c>
      <c r="D43" s="12" t="s">
        <v>418</v>
      </c>
      <c r="E43" s="46">
        <v>3706333.99</v>
      </c>
      <c r="G43" t="str">
        <f t="shared" si="0"/>
        <v>Sep 30, 2023</v>
      </c>
    </row>
    <row r="44" spans="1:7">
      <c r="A44" s="10">
        <v>45135</v>
      </c>
      <c r="B44" s="12" t="s">
        <v>416</v>
      </c>
      <c r="C44" s="12" t="s">
        <v>417</v>
      </c>
      <c r="D44" s="12" t="s">
        <v>418</v>
      </c>
      <c r="E44" s="46">
        <v>7412667.9800000004</v>
      </c>
      <c r="G44" t="str">
        <f t="shared" si="0"/>
        <v>Sep 30, 2023</v>
      </c>
    </row>
    <row r="45" spans="1:7">
      <c r="A45" s="10">
        <v>45135</v>
      </c>
      <c r="B45" s="12" t="s">
        <v>416</v>
      </c>
      <c r="C45" s="12" t="s">
        <v>417</v>
      </c>
      <c r="D45" s="12" t="s">
        <v>418</v>
      </c>
      <c r="E45" s="46">
        <v>3706333.99</v>
      </c>
      <c r="G45" t="str">
        <f t="shared" si="0"/>
        <v>Sep 30, 2023</v>
      </c>
    </row>
    <row r="46" spans="1:7">
      <c r="A46" s="10">
        <v>45135</v>
      </c>
      <c r="B46" s="12" t="s">
        <v>416</v>
      </c>
      <c r="C46" s="12" t="s">
        <v>417</v>
      </c>
      <c r="D46" s="12" t="s">
        <v>418</v>
      </c>
      <c r="E46" s="46">
        <v>6424312.2400000002</v>
      </c>
      <c r="G46" t="str">
        <f t="shared" si="0"/>
        <v>Sep 30, 2023</v>
      </c>
    </row>
    <row r="47" spans="1:7">
      <c r="A47" s="10">
        <v>45135</v>
      </c>
      <c r="B47" s="12" t="s">
        <v>416</v>
      </c>
      <c r="C47" s="12" t="s">
        <v>417</v>
      </c>
      <c r="D47" s="12" t="s">
        <v>418</v>
      </c>
      <c r="E47" s="46">
        <v>4941778.6500000004</v>
      </c>
      <c r="G47" t="str">
        <f t="shared" si="0"/>
        <v>Sep 30, 2023</v>
      </c>
    </row>
    <row r="48" spans="1:7">
      <c r="A48" s="10">
        <v>45135</v>
      </c>
      <c r="B48" s="12" t="s">
        <v>416</v>
      </c>
      <c r="C48" s="12" t="s">
        <v>417</v>
      </c>
      <c r="D48" s="12" t="s">
        <v>418</v>
      </c>
      <c r="E48" s="46">
        <v>34592450.57</v>
      </c>
      <c r="G48" t="str">
        <f t="shared" si="0"/>
        <v>Sep 30, 2023</v>
      </c>
    </row>
    <row r="49" spans="1:7">
      <c r="A49" s="10">
        <v>45135</v>
      </c>
      <c r="B49" s="12" t="s">
        <v>416</v>
      </c>
      <c r="C49" s="12" t="s">
        <v>417</v>
      </c>
      <c r="D49" s="12" t="s">
        <v>418</v>
      </c>
      <c r="E49" s="46">
        <v>15535716.65</v>
      </c>
      <c r="G49" t="str">
        <f t="shared" si="0"/>
        <v>Sep 30, 2023</v>
      </c>
    </row>
    <row r="50" spans="1:7">
      <c r="A50" s="10">
        <v>45138</v>
      </c>
      <c r="B50" s="12" t="s">
        <v>416</v>
      </c>
      <c r="C50" s="12" t="s">
        <v>417</v>
      </c>
      <c r="D50" s="12"/>
      <c r="E50" s="46">
        <v>2965067.19</v>
      </c>
      <c r="G50" t="str">
        <f t="shared" si="0"/>
        <v>Sep 30, 2023</v>
      </c>
    </row>
    <row r="51" spans="1:7">
      <c r="A51" s="10">
        <v>45138</v>
      </c>
      <c r="B51" s="12" t="s">
        <v>416</v>
      </c>
      <c r="C51" s="12" t="s">
        <v>417</v>
      </c>
      <c r="D51" s="12"/>
      <c r="E51" s="46">
        <v>1976711.46</v>
      </c>
      <c r="G51" t="str">
        <f t="shared" si="0"/>
        <v>Sep 30, 2023</v>
      </c>
    </row>
    <row r="52" spans="1:7">
      <c r="A52" s="10">
        <v>45138</v>
      </c>
      <c r="B52" s="12" t="s">
        <v>416</v>
      </c>
      <c r="C52" s="12" t="s">
        <v>419</v>
      </c>
      <c r="D52" s="12" t="s">
        <v>418</v>
      </c>
      <c r="E52" s="46">
        <v>-698262200.75999999</v>
      </c>
      <c r="G52" t="str">
        <f t="shared" si="0"/>
        <v>Sep 30, 2023</v>
      </c>
    </row>
    <row r="53" spans="1:7">
      <c r="A53" s="10">
        <v>45139</v>
      </c>
      <c r="B53" s="12" t="s">
        <v>416</v>
      </c>
      <c r="C53" s="12" t="s">
        <v>420</v>
      </c>
      <c r="D53" s="12" t="s">
        <v>418</v>
      </c>
      <c r="E53" s="46">
        <v>324461.59999999998</v>
      </c>
      <c r="G53" t="str">
        <f t="shared" si="0"/>
        <v>Sep 30, 2023</v>
      </c>
    </row>
    <row r="54" spans="1:7">
      <c r="A54" s="10">
        <v>45142</v>
      </c>
      <c r="B54" s="12" t="s">
        <v>416</v>
      </c>
      <c r="C54" s="12" t="s">
        <v>417</v>
      </c>
      <c r="D54" s="12" t="s">
        <v>418</v>
      </c>
      <c r="E54" s="46">
        <v>30984952.16</v>
      </c>
      <c r="G54" t="str">
        <f t="shared" si="0"/>
        <v>Sep 30, 2023</v>
      </c>
    </row>
    <row r="55" spans="1:7">
      <c r="A55" s="10">
        <v>45142</v>
      </c>
      <c r="B55" s="12" t="s">
        <v>416</v>
      </c>
      <c r="C55" s="12" t="s">
        <v>417</v>
      </c>
      <c r="D55" s="12" t="s">
        <v>418</v>
      </c>
      <c r="E55" s="46">
        <v>6967907.9000000004</v>
      </c>
      <c r="G55" t="str">
        <f t="shared" si="0"/>
        <v>Sep 30, 2023</v>
      </c>
    </row>
    <row r="56" spans="1:7">
      <c r="A56" s="10">
        <v>45153</v>
      </c>
      <c r="B56" s="12" t="s">
        <v>416</v>
      </c>
      <c r="C56" s="12" t="s">
        <v>417</v>
      </c>
      <c r="D56" s="12" t="s">
        <v>418</v>
      </c>
      <c r="E56" s="46">
        <v>-27067568.870000001</v>
      </c>
      <c r="G56" t="str">
        <f t="shared" si="0"/>
        <v>Sep 30, 2023</v>
      </c>
    </row>
    <row r="57" spans="1:7">
      <c r="A57" s="10">
        <v>45153</v>
      </c>
      <c r="B57" s="12" t="s">
        <v>416</v>
      </c>
      <c r="C57" s="12" t="s">
        <v>417</v>
      </c>
      <c r="D57" s="12" t="s">
        <v>418</v>
      </c>
      <c r="E57" s="46">
        <v>-38945393.579999998</v>
      </c>
      <c r="G57" t="str">
        <f t="shared" si="0"/>
        <v>Sep 30, 2023</v>
      </c>
    </row>
    <row r="58" spans="1:7">
      <c r="A58" s="10">
        <v>45153</v>
      </c>
      <c r="B58" s="12" t="s">
        <v>416</v>
      </c>
      <c r="C58" s="12" t="s">
        <v>417</v>
      </c>
      <c r="D58" s="12" t="s">
        <v>418</v>
      </c>
      <c r="E58" s="46">
        <v>-12833411.029999999</v>
      </c>
      <c r="G58" t="str">
        <f t="shared" si="0"/>
        <v>Sep 30, 2023</v>
      </c>
    </row>
    <row r="59" spans="1:7">
      <c r="A59" s="10">
        <v>45153</v>
      </c>
      <c r="B59" s="12" t="s">
        <v>416</v>
      </c>
      <c r="C59" s="12" t="s">
        <v>417</v>
      </c>
      <c r="D59" s="12" t="s">
        <v>418</v>
      </c>
      <c r="E59" s="46">
        <v>-65911341</v>
      </c>
      <c r="G59" t="str">
        <f t="shared" si="0"/>
        <v>Sep 30, 2023</v>
      </c>
    </row>
    <row r="60" spans="1:7">
      <c r="A60" s="10">
        <v>45153</v>
      </c>
      <c r="B60" s="12" t="s">
        <v>416</v>
      </c>
      <c r="C60" s="12" t="s">
        <v>417</v>
      </c>
      <c r="D60" s="12" t="s">
        <v>418</v>
      </c>
      <c r="E60" s="46">
        <v>-4009408.81</v>
      </c>
      <c r="G60" t="str">
        <f t="shared" si="0"/>
        <v>Sep 30, 2023</v>
      </c>
    </row>
    <row r="61" spans="1:7">
      <c r="A61" s="10">
        <v>45153</v>
      </c>
      <c r="B61" s="12" t="s">
        <v>416</v>
      </c>
      <c r="C61" s="12" t="s">
        <v>417</v>
      </c>
      <c r="D61" s="12" t="s">
        <v>418</v>
      </c>
      <c r="E61" s="46">
        <v>148873649.91</v>
      </c>
      <c r="G61" t="str">
        <f t="shared" si="0"/>
        <v>Sep 30, 2023</v>
      </c>
    </row>
    <row r="62" spans="1:7">
      <c r="A62" s="10">
        <v>45162</v>
      </c>
      <c r="B62" s="12" t="s">
        <v>416</v>
      </c>
      <c r="C62" s="12" t="s">
        <v>421</v>
      </c>
      <c r="D62" s="12" t="s">
        <v>418</v>
      </c>
      <c r="E62" s="46">
        <v>-10354391.449999999</v>
      </c>
      <c r="G62" t="str">
        <f t="shared" si="0"/>
        <v>Sep 30, 2023</v>
      </c>
    </row>
    <row r="63" spans="1:7">
      <c r="A63" s="10">
        <v>45162</v>
      </c>
      <c r="B63" s="12" t="s">
        <v>416</v>
      </c>
      <c r="C63" s="12" t="s">
        <v>421</v>
      </c>
      <c r="D63" s="12" t="s">
        <v>418</v>
      </c>
      <c r="E63" s="46">
        <v>-3457258.66</v>
      </c>
      <c r="G63" t="str">
        <f t="shared" si="0"/>
        <v>Sep 30, 2023</v>
      </c>
    </row>
    <row r="64" spans="1:7">
      <c r="A64" s="10">
        <v>45162</v>
      </c>
      <c r="B64" s="12" t="s">
        <v>416</v>
      </c>
      <c r="C64" s="12" t="s">
        <v>421</v>
      </c>
      <c r="D64" s="12" t="s">
        <v>418</v>
      </c>
      <c r="E64" s="46">
        <v>-7303445.5499999998</v>
      </c>
      <c r="G64" t="str">
        <f t="shared" si="0"/>
        <v>Sep 30, 2023</v>
      </c>
    </row>
    <row r="65" spans="1:7">
      <c r="A65" s="10">
        <v>45162</v>
      </c>
      <c r="B65" s="12" t="s">
        <v>416</v>
      </c>
      <c r="C65" s="12" t="s">
        <v>421</v>
      </c>
      <c r="D65" s="12" t="s">
        <v>418</v>
      </c>
      <c r="E65" s="46">
        <v>-17495339.210000001</v>
      </c>
      <c r="G65" t="str">
        <f t="shared" si="0"/>
        <v>Sep 30, 2023</v>
      </c>
    </row>
    <row r="66" spans="1:7">
      <c r="A66" s="10">
        <v>45162</v>
      </c>
      <c r="B66" s="12" t="s">
        <v>416</v>
      </c>
      <c r="C66" s="12" t="s">
        <v>421</v>
      </c>
      <c r="D66" s="12" t="s">
        <v>418</v>
      </c>
      <c r="E66" s="46">
        <v>-1086067.2</v>
      </c>
      <c r="G66" t="str">
        <f t="shared" si="0"/>
        <v>Sep 30, 2023</v>
      </c>
    </row>
    <row r="67" spans="1:7">
      <c r="A67" s="10">
        <v>45170</v>
      </c>
      <c r="B67" s="12" t="s">
        <v>416</v>
      </c>
      <c r="C67" s="12" t="s">
        <v>420</v>
      </c>
      <c r="D67" s="12" t="s">
        <v>418</v>
      </c>
      <c r="E67" s="46">
        <v>4076.86</v>
      </c>
      <c r="G67" t="str">
        <f t="shared" si="0"/>
        <v>Sep 30, 2023</v>
      </c>
    </row>
    <row r="68" spans="1:7">
      <c r="A68" s="10">
        <v>45177</v>
      </c>
      <c r="B68" s="12" t="s">
        <v>416</v>
      </c>
      <c r="C68" s="12" t="s">
        <v>417</v>
      </c>
      <c r="D68" s="12" t="s">
        <v>418</v>
      </c>
      <c r="E68" s="46">
        <v>2081821.41</v>
      </c>
      <c r="G68" t="str">
        <f t="shared" si="0"/>
        <v>Sep 30, 2023</v>
      </c>
    </row>
    <row r="69" spans="1:7">
      <c r="A69" s="10">
        <v>45183</v>
      </c>
      <c r="B69" s="12" t="s">
        <v>416</v>
      </c>
      <c r="C69" s="12" t="s">
        <v>422</v>
      </c>
      <c r="D69" s="12" t="s">
        <v>418</v>
      </c>
      <c r="E69" s="46">
        <v>-16438.36</v>
      </c>
      <c r="G69" t="str">
        <f t="shared" si="0"/>
        <v>Sep 30, 2023</v>
      </c>
    </row>
    <row r="70" spans="1:7">
      <c r="A70" s="10">
        <v>45183</v>
      </c>
      <c r="B70" s="12" t="s">
        <v>416</v>
      </c>
      <c r="C70" s="12" t="s">
        <v>422</v>
      </c>
      <c r="D70" s="12" t="s">
        <v>418</v>
      </c>
      <c r="E70" s="46">
        <v>-405885.34</v>
      </c>
      <c r="G70" t="str">
        <f t="shared" si="0"/>
        <v>Sep 30, 2023</v>
      </c>
    </row>
    <row r="71" spans="1:7">
      <c r="A71" s="10">
        <v>45183</v>
      </c>
      <c r="B71" s="12" t="s">
        <v>416</v>
      </c>
      <c r="C71" s="12" t="s">
        <v>422</v>
      </c>
      <c r="D71" s="12" t="s">
        <v>418</v>
      </c>
      <c r="E71" s="46">
        <v>-24353.119999999999</v>
      </c>
      <c r="G71" t="str">
        <f t="shared" ref="G71:G134" si="1">TEXT(DATE(YEAR(A71),ROUNDUP(MONTH(A71)/3,0)*3+1,0),"mmm dd, yyyy")</f>
        <v>Sep 30, 2023</v>
      </c>
    </row>
    <row r="72" spans="1:7">
      <c r="A72" s="10">
        <v>45183</v>
      </c>
      <c r="B72" s="12" t="s">
        <v>416</v>
      </c>
      <c r="C72" s="12" t="s">
        <v>422</v>
      </c>
      <c r="D72" s="12" t="s">
        <v>418</v>
      </c>
      <c r="E72" s="46">
        <v>-123287.67</v>
      </c>
      <c r="G72" t="str">
        <f t="shared" si="1"/>
        <v>Sep 30, 2023</v>
      </c>
    </row>
    <row r="73" spans="1:7">
      <c r="A73" s="10">
        <v>45183</v>
      </c>
      <c r="B73" s="12" t="s">
        <v>416</v>
      </c>
      <c r="C73" s="12" t="s">
        <v>422</v>
      </c>
      <c r="D73" s="12" t="s">
        <v>418</v>
      </c>
      <c r="E73" s="46">
        <v>-821917.81</v>
      </c>
      <c r="G73" t="str">
        <f t="shared" si="1"/>
        <v>Sep 30, 2023</v>
      </c>
    </row>
    <row r="74" spans="1:7">
      <c r="A74" s="10">
        <v>45183</v>
      </c>
      <c r="B74" s="12" t="s">
        <v>416</v>
      </c>
      <c r="C74" s="12" t="s">
        <v>422</v>
      </c>
      <c r="D74" s="12" t="s">
        <v>418</v>
      </c>
      <c r="E74" s="46">
        <v>-24657.53</v>
      </c>
      <c r="G74" t="str">
        <f t="shared" si="1"/>
        <v>Sep 30, 2023</v>
      </c>
    </row>
    <row r="75" spans="1:7">
      <c r="A75" s="10">
        <v>45183</v>
      </c>
      <c r="B75" s="12" t="s">
        <v>416</v>
      </c>
      <c r="C75" s="12" t="s">
        <v>422</v>
      </c>
      <c r="D75" s="12" t="s">
        <v>418</v>
      </c>
      <c r="E75" s="46">
        <v>-81177.070000000007</v>
      </c>
      <c r="G75" t="str">
        <f t="shared" si="1"/>
        <v>Sep 30, 2023</v>
      </c>
    </row>
    <row r="76" spans="1:7">
      <c r="A76" s="10">
        <v>45183</v>
      </c>
      <c r="B76" s="12" t="s">
        <v>416</v>
      </c>
      <c r="C76" s="12" t="s">
        <v>422</v>
      </c>
      <c r="D76" s="12" t="s">
        <v>418</v>
      </c>
      <c r="E76" s="46">
        <v>-164383.56</v>
      </c>
      <c r="G76" t="str">
        <f t="shared" si="1"/>
        <v>Sep 30, 2023</v>
      </c>
    </row>
    <row r="77" spans="1:7">
      <c r="A77" s="10">
        <v>45183</v>
      </c>
      <c r="B77" s="12" t="s">
        <v>416</v>
      </c>
      <c r="C77" s="12" t="s">
        <v>422</v>
      </c>
      <c r="D77" s="12" t="s">
        <v>418</v>
      </c>
      <c r="E77" s="46">
        <v>-40588.53</v>
      </c>
      <c r="G77" t="str">
        <f t="shared" si="1"/>
        <v>Sep 30, 2023</v>
      </c>
    </row>
    <row r="78" spans="1:7">
      <c r="A78" s="10">
        <v>45183</v>
      </c>
      <c r="B78" s="12" t="s">
        <v>416</v>
      </c>
      <c r="C78" s="12" t="s">
        <v>422</v>
      </c>
      <c r="D78" s="12" t="s">
        <v>418</v>
      </c>
      <c r="E78" s="46">
        <v>-41095.89</v>
      </c>
      <c r="G78" t="str">
        <f t="shared" si="1"/>
        <v>Sep 30, 2023</v>
      </c>
    </row>
    <row r="79" spans="1:7">
      <c r="A79" s="10">
        <v>45183</v>
      </c>
      <c r="B79" s="12" t="s">
        <v>416</v>
      </c>
      <c r="C79" s="12" t="s">
        <v>422</v>
      </c>
      <c r="D79" s="12" t="s">
        <v>418</v>
      </c>
      <c r="E79" s="46">
        <v>-41095.89</v>
      </c>
      <c r="G79" t="str">
        <f t="shared" si="1"/>
        <v>Sep 30, 2023</v>
      </c>
    </row>
    <row r="80" spans="1:7">
      <c r="A80" s="10">
        <v>45183</v>
      </c>
      <c r="B80" s="12" t="s">
        <v>416</v>
      </c>
      <c r="C80" s="12" t="s">
        <v>422</v>
      </c>
      <c r="D80" s="12" t="s">
        <v>418</v>
      </c>
      <c r="E80" s="46">
        <v>-41095.89</v>
      </c>
      <c r="G80" t="str">
        <f t="shared" si="1"/>
        <v>Sep 30, 2023</v>
      </c>
    </row>
    <row r="81" spans="1:7">
      <c r="A81" s="10">
        <v>45183</v>
      </c>
      <c r="B81" s="12" t="s">
        <v>416</v>
      </c>
      <c r="C81" s="12" t="s">
        <v>422</v>
      </c>
      <c r="D81" s="12" t="s">
        <v>418</v>
      </c>
      <c r="E81" s="46">
        <v>-40588.53</v>
      </c>
      <c r="G81" t="str">
        <f t="shared" si="1"/>
        <v>Sep 30, 2023</v>
      </c>
    </row>
    <row r="82" spans="1:7">
      <c r="A82" s="10">
        <v>45183</v>
      </c>
      <c r="B82" s="12" t="s">
        <v>416</v>
      </c>
      <c r="C82" s="12" t="s">
        <v>422</v>
      </c>
      <c r="D82" s="12" t="s">
        <v>418</v>
      </c>
      <c r="E82" s="46">
        <v>-205479.45</v>
      </c>
      <c r="G82" t="str">
        <f t="shared" si="1"/>
        <v>Sep 30, 2023</v>
      </c>
    </row>
    <row r="83" spans="1:7">
      <c r="A83" s="10">
        <v>45183</v>
      </c>
      <c r="B83" s="12" t="s">
        <v>416</v>
      </c>
      <c r="C83" s="12" t="s">
        <v>422</v>
      </c>
      <c r="D83" s="12" t="s">
        <v>418</v>
      </c>
      <c r="E83" s="46">
        <v>-4058.85</v>
      </c>
      <c r="G83" t="str">
        <f t="shared" si="1"/>
        <v>Sep 30, 2023</v>
      </c>
    </row>
    <row r="84" spans="1:7">
      <c r="A84" s="10">
        <v>45183</v>
      </c>
      <c r="B84" s="12" t="s">
        <v>416</v>
      </c>
      <c r="C84" s="12" t="s">
        <v>422</v>
      </c>
      <c r="D84" s="12" t="s">
        <v>418</v>
      </c>
      <c r="E84" s="46">
        <v>-8117.71</v>
      </c>
      <c r="G84" t="str">
        <f t="shared" si="1"/>
        <v>Sep 30, 2023</v>
      </c>
    </row>
    <row r="85" spans="1:7">
      <c r="A85" s="10">
        <v>45183</v>
      </c>
      <c r="B85" s="12" t="s">
        <v>416</v>
      </c>
      <c r="C85" s="12" t="s">
        <v>422</v>
      </c>
      <c r="D85" s="12" t="s">
        <v>418</v>
      </c>
      <c r="E85" s="46">
        <v>-4058.85</v>
      </c>
      <c r="G85" t="str">
        <f t="shared" si="1"/>
        <v>Sep 30, 2023</v>
      </c>
    </row>
    <row r="86" spans="1:7">
      <c r="A86" s="10">
        <v>45183</v>
      </c>
      <c r="B86" s="12" t="s">
        <v>416</v>
      </c>
      <c r="C86" s="12" t="s">
        <v>422</v>
      </c>
      <c r="D86" s="12" t="s">
        <v>418</v>
      </c>
      <c r="E86" s="46">
        <v>-284119.74</v>
      </c>
      <c r="G86" t="str">
        <f t="shared" si="1"/>
        <v>Sep 30, 2023</v>
      </c>
    </row>
    <row r="87" spans="1:7">
      <c r="A87" s="10">
        <v>45183</v>
      </c>
      <c r="B87" s="12" t="s">
        <v>416</v>
      </c>
      <c r="C87" s="12" t="s">
        <v>422</v>
      </c>
      <c r="D87" s="12" t="s">
        <v>418</v>
      </c>
      <c r="E87" s="46">
        <v>-12176.56</v>
      </c>
      <c r="G87" t="str">
        <f t="shared" si="1"/>
        <v>Sep 30, 2023</v>
      </c>
    </row>
    <row r="88" spans="1:7">
      <c r="A88" s="10">
        <v>45183</v>
      </c>
      <c r="B88" s="12" t="s">
        <v>416</v>
      </c>
      <c r="C88" s="12" t="s">
        <v>422</v>
      </c>
      <c r="D88" s="12" t="s">
        <v>418</v>
      </c>
      <c r="E88" s="46">
        <v>-121765.6</v>
      </c>
      <c r="G88" t="str">
        <f t="shared" si="1"/>
        <v>Sep 30, 2023</v>
      </c>
    </row>
    <row r="89" spans="1:7">
      <c r="A89" s="10">
        <v>45183</v>
      </c>
      <c r="B89" s="12" t="s">
        <v>416</v>
      </c>
      <c r="C89" s="12" t="s">
        <v>422</v>
      </c>
      <c r="D89" s="12" t="s">
        <v>418</v>
      </c>
      <c r="E89" s="46">
        <v>-164383.56</v>
      </c>
      <c r="G89" t="str">
        <f t="shared" si="1"/>
        <v>Sep 30, 2023</v>
      </c>
    </row>
    <row r="90" spans="1:7">
      <c r="A90" s="10">
        <v>45183</v>
      </c>
      <c r="B90" s="12" t="s">
        <v>416</v>
      </c>
      <c r="C90" s="12" t="s">
        <v>422</v>
      </c>
      <c r="D90" s="12" t="s">
        <v>418</v>
      </c>
      <c r="E90" s="46">
        <v>-52765.09</v>
      </c>
      <c r="G90" t="str">
        <f t="shared" si="1"/>
        <v>Sep 30, 2023</v>
      </c>
    </row>
    <row r="91" spans="1:7">
      <c r="A91" s="10">
        <v>45183</v>
      </c>
      <c r="B91" s="12" t="s">
        <v>416</v>
      </c>
      <c r="C91" s="12" t="s">
        <v>422</v>
      </c>
      <c r="D91" s="12" t="s">
        <v>418</v>
      </c>
      <c r="E91" s="46">
        <v>-82191.78</v>
      </c>
      <c r="G91" t="str">
        <f t="shared" si="1"/>
        <v>Sep 30, 2023</v>
      </c>
    </row>
    <row r="92" spans="1:7">
      <c r="A92" s="10">
        <v>45183</v>
      </c>
      <c r="B92" s="12" t="s">
        <v>416</v>
      </c>
      <c r="C92" s="12" t="s">
        <v>422</v>
      </c>
      <c r="D92" s="12" t="s">
        <v>418</v>
      </c>
      <c r="E92" s="46">
        <v>-8117.71</v>
      </c>
      <c r="G92" t="str">
        <f t="shared" si="1"/>
        <v>Sep 30, 2023</v>
      </c>
    </row>
    <row r="93" spans="1:7">
      <c r="A93" s="10">
        <v>45183</v>
      </c>
      <c r="B93" s="12" t="s">
        <v>416</v>
      </c>
      <c r="C93" s="12" t="s">
        <v>422</v>
      </c>
      <c r="D93" s="12" t="s">
        <v>418</v>
      </c>
      <c r="E93" s="46">
        <v>-127600.2</v>
      </c>
      <c r="G93" t="str">
        <f t="shared" si="1"/>
        <v>Sep 30, 2023</v>
      </c>
    </row>
    <row r="94" spans="1:7">
      <c r="A94" s="10">
        <v>45183</v>
      </c>
      <c r="B94" s="12" t="s">
        <v>416</v>
      </c>
      <c r="C94" s="12" t="s">
        <v>422</v>
      </c>
      <c r="D94" s="12" t="s">
        <v>418</v>
      </c>
      <c r="E94" s="46">
        <v>-16235.41</v>
      </c>
      <c r="G94" t="str">
        <f t="shared" si="1"/>
        <v>Sep 30, 2023</v>
      </c>
    </row>
    <row r="95" spans="1:7">
      <c r="A95" s="10">
        <v>45183</v>
      </c>
      <c r="B95" s="12" t="s">
        <v>416</v>
      </c>
      <c r="C95" s="12" t="s">
        <v>422</v>
      </c>
      <c r="D95" s="12" t="s">
        <v>418</v>
      </c>
      <c r="E95" s="46">
        <v>-8117.71</v>
      </c>
      <c r="G95" t="str">
        <f t="shared" si="1"/>
        <v>Sep 30, 2023</v>
      </c>
    </row>
    <row r="96" spans="1:7">
      <c r="A96" s="10">
        <v>45183</v>
      </c>
      <c r="B96" s="12" t="s">
        <v>416</v>
      </c>
      <c r="C96" s="12" t="s">
        <v>422</v>
      </c>
      <c r="D96" s="12" t="s">
        <v>418</v>
      </c>
      <c r="E96" s="46">
        <v>-8117.71</v>
      </c>
      <c r="G96" t="str">
        <f t="shared" si="1"/>
        <v>Sep 30, 2023</v>
      </c>
    </row>
    <row r="97" spans="1:7">
      <c r="A97" s="10">
        <v>45183</v>
      </c>
      <c r="B97" s="12" t="s">
        <v>416</v>
      </c>
      <c r="C97" s="12" t="s">
        <v>422</v>
      </c>
      <c r="D97" s="12" t="s">
        <v>418</v>
      </c>
      <c r="E97" s="46">
        <v>-32470.83</v>
      </c>
      <c r="G97" t="str">
        <f t="shared" si="1"/>
        <v>Sep 30, 2023</v>
      </c>
    </row>
    <row r="98" spans="1:7">
      <c r="A98" s="10">
        <v>45183</v>
      </c>
      <c r="B98" s="12" t="s">
        <v>416</v>
      </c>
      <c r="C98" s="12" t="s">
        <v>422</v>
      </c>
      <c r="D98" s="12" t="s">
        <v>418</v>
      </c>
      <c r="E98" s="46">
        <v>-12176.56</v>
      </c>
      <c r="G98" t="str">
        <f t="shared" si="1"/>
        <v>Sep 30, 2023</v>
      </c>
    </row>
    <row r="99" spans="1:7">
      <c r="A99" s="10">
        <v>45183</v>
      </c>
      <c r="B99" s="12" t="s">
        <v>416</v>
      </c>
      <c r="C99" s="12" t="s">
        <v>422</v>
      </c>
      <c r="D99" s="12" t="s">
        <v>418</v>
      </c>
      <c r="E99" s="46">
        <v>-410958.9</v>
      </c>
      <c r="G99" t="str">
        <f t="shared" si="1"/>
        <v>Sep 30, 2023</v>
      </c>
    </row>
    <row r="100" spans="1:7">
      <c r="A100" s="10">
        <v>45183</v>
      </c>
      <c r="B100" s="12" t="s">
        <v>416</v>
      </c>
      <c r="C100" s="12" t="s">
        <v>422</v>
      </c>
      <c r="D100" s="12" t="s">
        <v>418</v>
      </c>
      <c r="E100" s="46">
        <v>-821917.81</v>
      </c>
      <c r="G100" t="str">
        <f t="shared" si="1"/>
        <v>Sep 30, 2023</v>
      </c>
    </row>
    <row r="101" spans="1:7">
      <c r="A101" s="10">
        <v>45183</v>
      </c>
      <c r="B101" s="12" t="s">
        <v>416</v>
      </c>
      <c r="C101" s="12" t="s">
        <v>422</v>
      </c>
      <c r="D101" s="12" t="s">
        <v>418</v>
      </c>
      <c r="E101" s="46">
        <v>-205479.45</v>
      </c>
      <c r="G101" t="str">
        <f t="shared" si="1"/>
        <v>Sep 30, 2023</v>
      </c>
    </row>
    <row r="102" spans="1:7">
      <c r="A102" s="10">
        <v>45183</v>
      </c>
      <c r="B102" s="12" t="s">
        <v>416</v>
      </c>
      <c r="C102" s="12" t="s">
        <v>422</v>
      </c>
      <c r="D102" s="12" t="s">
        <v>418</v>
      </c>
      <c r="E102" s="46">
        <v>-97412.479999999996</v>
      </c>
      <c r="G102" t="str">
        <f t="shared" si="1"/>
        <v>Sep 30, 2023</v>
      </c>
    </row>
    <row r="103" spans="1:7">
      <c r="A103" s="10">
        <v>45183</v>
      </c>
      <c r="B103" s="12" t="s">
        <v>416</v>
      </c>
      <c r="C103" s="12" t="s">
        <v>422</v>
      </c>
      <c r="D103" s="12" t="s">
        <v>418</v>
      </c>
      <c r="E103" s="46">
        <v>-328767.12</v>
      </c>
      <c r="G103" t="str">
        <f t="shared" si="1"/>
        <v>Sep 30, 2023</v>
      </c>
    </row>
    <row r="104" spans="1:7">
      <c r="A104" s="10">
        <v>45183</v>
      </c>
      <c r="B104" s="12" t="s">
        <v>416</v>
      </c>
      <c r="C104" s="12" t="s">
        <v>422</v>
      </c>
      <c r="D104" s="12" t="s">
        <v>418</v>
      </c>
      <c r="E104" s="46">
        <v>-8219.18</v>
      </c>
      <c r="G104" t="str">
        <f t="shared" si="1"/>
        <v>Sep 30, 2023</v>
      </c>
    </row>
    <row r="105" spans="1:7">
      <c r="A105" s="10">
        <v>45183</v>
      </c>
      <c r="B105" s="12" t="s">
        <v>416</v>
      </c>
      <c r="C105" s="12" t="s">
        <v>422</v>
      </c>
      <c r="D105" s="12" t="s">
        <v>418</v>
      </c>
      <c r="E105" s="46">
        <v>-20547.95</v>
      </c>
      <c r="G105" t="str">
        <f t="shared" si="1"/>
        <v>Sep 30, 2023</v>
      </c>
    </row>
    <row r="106" spans="1:7">
      <c r="A106" s="10">
        <v>45183</v>
      </c>
      <c r="B106" s="12" t="s">
        <v>416</v>
      </c>
      <c r="C106" s="12" t="s">
        <v>422</v>
      </c>
      <c r="D106" s="12" t="s">
        <v>418</v>
      </c>
      <c r="E106" s="46">
        <v>-41095.89</v>
      </c>
      <c r="G106" t="str">
        <f t="shared" si="1"/>
        <v>Sep 30, 2023</v>
      </c>
    </row>
    <row r="107" spans="1:7">
      <c r="A107" s="10">
        <v>45183</v>
      </c>
      <c r="B107" s="12" t="s">
        <v>416</v>
      </c>
      <c r="C107" s="12" t="s">
        <v>422</v>
      </c>
      <c r="D107" s="12" t="s">
        <v>418</v>
      </c>
      <c r="E107" s="46">
        <v>-162354.13</v>
      </c>
      <c r="G107" t="str">
        <f t="shared" si="1"/>
        <v>Sep 30, 2023</v>
      </c>
    </row>
    <row r="108" spans="1:7">
      <c r="A108" s="10">
        <v>45183</v>
      </c>
      <c r="B108" s="12" t="s">
        <v>416</v>
      </c>
      <c r="C108" s="12" t="s">
        <v>422</v>
      </c>
      <c r="D108" s="12" t="s">
        <v>418</v>
      </c>
      <c r="E108" s="46">
        <v>-452054.79</v>
      </c>
      <c r="G108" t="str">
        <f t="shared" si="1"/>
        <v>Sep 30, 2023</v>
      </c>
    </row>
    <row r="109" spans="1:7">
      <c r="A109" s="10">
        <v>45183</v>
      </c>
      <c r="B109" s="12" t="s">
        <v>416</v>
      </c>
      <c r="C109" s="12" t="s">
        <v>422</v>
      </c>
      <c r="D109" s="12" t="s">
        <v>418</v>
      </c>
      <c r="E109" s="46">
        <v>-29960.34</v>
      </c>
      <c r="G109" t="str">
        <f t="shared" si="1"/>
        <v>Sep 30, 2023</v>
      </c>
    </row>
    <row r="110" spans="1:7">
      <c r="A110" s="10">
        <v>45183</v>
      </c>
      <c r="B110" s="12" t="s">
        <v>416</v>
      </c>
      <c r="C110" s="12" t="s">
        <v>422</v>
      </c>
      <c r="D110" s="12" t="s">
        <v>418</v>
      </c>
      <c r="E110" s="46">
        <v>-20294.27</v>
      </c>
      <c r="G110" t="str">
        <f t="shared" si="1"/>
        <v>Sep 30, 2023</v>
      </c>
    </row>
    <row r="111" spans="1:7">
      <c r="A111" s="10">
        <v>45183</v>
      </c>
      <c r="B111" s="12" t="s">
        <v>416</v>
      </c>
      <c r="C111" s="12" t="s">
        <v>422</v>
      </c>
      <c r="D111" s="12" t="s">
        <v>418</v>
      </c>
      <c r="E111" s="46">
        <v>-30441.4</v>
      </c>
      <c r="G111" t="str">
        <f t="shared" si="1"/>
        <v>Sep 30, 2023</v>
      </c>
    </row>
    <row r="112" spans="1:7">
      <c r="A112" s="10">
        <v>45183</v>
      </c>
      <c r="B112" s="12" t="s">
        <v>416</v>
      </c>
      <c r="C112" s="12" t="s">
        <v>422</v>
      </c>
      <c r="D112" s="12" t="s">
        <v>418</v>
      </c>
      <c r="E112" s="46">
        <v>-60882.8</v>
      </c>
      <c r="G112" t="str">
        <f t="shared" si="1"/>
        <v>Sep 30, 2023</v>
      </c>
    </row>
    <row r="113" spans="1:7">
      <c r="A113" s="10">
        <v>45183</v>
      </c>
      <c r="B113" s="12" t="s">
        <v>416</v>
      </c>
      <c r="C113" s="12" t="s">
        <v>422</v>
      </c>
      <c r="D113" s="12" t="s">
        <v>418</v>
      </c>
      <c r="E113" s="46">
        <v>-30441.4</v>
      </c>
      <c r="G113" t="str">
        <f t="shared" si="1"/>
        <v>Sep 30, 2023</v>
      </c>
    </row>
    <row r="114" spans="1:7">
      <c r="A114" s="10">
        <v>45183</v>
      </c>
      <c r="B114" s="12" t="s">
        <v>416</v>
      </c>
      <c r="C114" s="12" t="s">
        <v>422</v>
      </c>
      <c r="D114" s="12" t="s">
        <v>418</v>
      </c>
      <c r="E114" s="46">
        <v>-16438.36</v>
      </c>
      <c r="G114" t="str">
        <f t="shared" si="1"/>
        <v>Sep 30, 2023</v>
      </c>
    </row>
    <row r="115" spans="1:7">
      <c r="A115" s="10">
        <v>45183</v>
      </c>
      <c r="B115" s="12" t="s">
        <v>416</v>
      </c>
      <c r="C115" s="12" t="s">
        <v>422</v>
      </c>
      <c r="D115" s="12" t="s">
        <v>418</v>
      </c>
      <c r="E115" s="46">
        <v>-51729.3</v>
      </c>
      <c r="G115" t="str">
        <f t="shared" si="1"/>
        <v>Sep 30, 2023</v>
      </c>
    </row>
    <row r="116" spans="1:7">
      <c r="A116" s="10">
        <v>45183</v>
      </c>
      <c r="B116" s="12" t="s">
        <v>416</v>
      </c>
      <c r="C116" s="12" t="s">
        <v>422</v>
      </c>
      <c r="D116" s="12" t="s">
        <v>418</v>
      </c>
      <c r="E116" s="46">
        <v>-230030.3</v>
      </c>
      <c r="G116" t="str">
        <f t="shared" si="1"/>
        <v>Sep 30, 2023</v>
      </c>
    </row>
    <row r="117" spans="1:7">
      <c r="A117" s="10">
        <v>45183</v>
      </c>
      <c r="B117" s="12" t="s">
        <v>416</v>
      </c>
      <c r="C117" s="12" t="s">
        <v>422</v>
      </c>
      <c r="D117" s="12" t="s">
        <v>418</v>
      </c>
      <c r="E117" s="46">
        <v>-60882.8</v>
      </c>
      <c r="G117" t="str">
        <f t="shared" si="1"/>
        <v>Sep 30, 2023</v>
      </c>
    </row>
    <row r="118" spans="1:7">
      <c r="A118" s="10">
        <v>45195</v>
      </c>
      <c r="B118" s="12" t="s">
        <v>416</v>
      </c>
      <c r="C118" s="12" t="s">
        <v>422</v>
      </c>
      <c r="D118" s="12" t="s">
        <v>418</v>
      </c>
      <c r="E118" s="46">
        <v>8117.71</v>
      </c>
      <c r="G118" t="str">
        <f t="shared" si="1"/>
        <v>Sep 30, 2023</v>
      </c>
    </row>
    <row r="119" spans="1:7">
      <c r="A119" s="10">
        <v>45196</v>
      </c>
      <c r="B119" s="12" t="s">
        <v>416</v>
      </c>
      <c r="C119" s="12" t="s">
        <v>422</v>
      </c>
      <c r="D119" s="12" t="s">
        <v>418</v>
      </c>
      <c r="E119" s="46">
        <v>-8117.71</v>
      </c>
      <c r="G119" t="str">
        <f t="shared" si="1"/>
        <v>Sep 30, 2023</v>
      </c>
    </row>
    <row r="120" spans="1:7">
      <c r="A120" s="10">
        <v>45196</v>
      </c>
      <c r="B120" s="12" t="s">
        <v>416</v>
      </c>
      <c r="C120" s="12" t="s">
        <v>423</v>
      </c>
      <c r="D120" s="12" t="s">
        <v>418</v>
      </c>
      <c r="E120" s="46">
        <v>-130</v>
      </c>
      <c r="G120" t="str">
        <f t="shared" si="1"/>
        <v>Sep 30, 2023</v>
      </c>
    </row>
    <row r="121" spans="1:7">
      <c r="A121" s="10">
        <v>45201</v>
      </c>
      <c r="B121" s="12" t="s">
        <v>416</v>
      </c>
      <c r="C121" s="12" t="s">
        <v>420</v>
      </c>
      <c r="D121" s="12" t="s">
        <v>418</v>
      </c>
      <c r="E121" s="46">
        <v>13378.17</v>
      </c>
      <c r="G121" t="str">
        <f t="shared" si="1"/>
        <v>Dec 31, 2023</v>
      </c>
    </row>
    <row r="122" spans="1:7">
      <c r="A122" s="10">
        <v>45229</v>
      </c>
      <c r="B122" s="12" t="s">
        <v>416</v>
      </c>
      <c r="C122" s="12" t="s">
        <v>423</v>
      </c>
      <c r="D122" s="12" t="s">
        <v>418</v>
      </c>
      <c r="E122" s="46">
        <v>-19900.240000000002</v>
      </c>
      <c r="G122" t="str">
        <f t="shared" si="1"/>
        <v>Dec 31, 2023</v>
      </c>
    </row>
    <row r="123" spans="1:7">
      <c r="A123" s="10">
        <v>45231</v>
      </c>
      <c r="B123" s="12" t="s">
        <v>416</v>
      </c>
      <c r="C123" s="12" t="s">
        <v>420</v>
      </c>
      <c r="D123" s="12" t="s">
        <v>418</v>
      </c>
      <c r="E123" s="46">
        <v>4334.57</v>
      </c>
      <c r="G123" t="str">
        <f t="shared" si="1"/>
        <v>Dec 31, 2023</v>
      </c>
    </row>
    <row r="124" spans="1:7">
      <c r="A124" s="10">
        <v>45233</v>
      </c>
      <c r="B124" s="12" t="s">
        <v>416</v>
      </c>
      <c r="C124" s="12" t="s">
        <v>422</v>
      </c>
      <c r="D124" s="12" t="s">
        <v>418</v>
      </c>
      <c r="E124" s="46">
        <v>47476840.210000001</v>
      </c>
      <c r="G124" t="str">
        <f t="shared" si="1"/>
        <v>Dec 31, 2023</v>
      </c>
    </row>
    <row r="125" spans="1:7">
      <c r="A125" s="10">
        <v>45261</v>
      </c>
      <c r="B125" s="12" t="s">
        <v>416</v>
      </c>
      <c r="C125" s="12" t="s">
        <v>420</v>
      </c>
      <c r="D125" s="12" t="s">
        <v>418</v>
      </c>
      <c r="E125" s="46">
        <v>195413.46</v>
      </c>
      <c r="G125" t="str">
        <f t="shared" si="1"/>
        <v>Dec 31, 2023</v>
      </c>
    </row>
    <row r="126" spans="1:7">
      <c r="A126" s="10">
        <v>45268</v>
      </c>
      <c r="B126" s="12" t="s">
        <v>416</v>
      </c>
      <c r="C126" s="12" t="s">
        <v>423</v>
      </c>
      <c r="D126" s="12" t="s">
        <v>418</v>
      </c>
      <c r="E126" s="46">
        <v>-6237.65</v>
      </c>
      <c r="G126" t="str">
        <f t="shared" si="1"/>
        <v>Dec 31, 2023</v>
      </c>
    </row>
    <row r="127" spans="1:7">
      <c r="A127" s="10">
        <v>45275</v>
      </c>
      <c r="B127" s="12" t="s">
        <v>416</v>
      </c>
      <c r="C127" s="12" t="s">
        <v>422</v>
      </c>
      <c r="D127" s="12" t="s">
        <v>418</v>
      </c>
      <c r="E127" s="46">
        <v>-106453.26</v>
      </c>
      <c r="G127" t="str">
        <f t="shared" si="1"/>
        <v>Dec 31, 2023</v>
      </c>
    </row>
    <row r="128" spans="1:7">
      <c r="A128" s="10">
        <v>45275</v>
      </c>
      <c r="B128" s="12" t="s">
        <v>416</v>
      </c>
      <c r="C128" s="12" t="s">
        <v>422</v>
      </c>
      <c r="D128" s="12" t="s">
        <v>418</v>
      </c>
      <c r="E128" s="46">
        <v>-7983994.5700000003</v>
      </c>
      <c r="G128" t="str">
        <f t="shared" si="1"/>
        <v>Dec 31, 2023</v>
      </c>
    </row>
    <row r="129" spans="1:7">
      <c r="A129" s="10">
        <v>45275</v>
      </c>
      <c r="B129" s="12" t="s">
        <v>416</v>
      </c>
      <c r="C129" s="12" t="s">
        <v>422</v>
      </c>
      <c r="D129" s="12" t="s">
        <v>418</v>
      </c>
      <c r="E129" s="46">
        <v>-266133.15000000002</v>
      </c>
      <c r="G129" t="str">
        <f t="shared" si="1"/>
        <v>Dec 31, 2023</v>
      </c>
    </row>
    <row r="130" spans="1:7">
      <c r="A130" s="10">
        <v>45275</v>
      </c>
      <c r="B130" s="12" t="s">
        <v>416</v>
      </c>
      <c r="C130" s="12" t="s">
        <v>422</v>
      </c>
      <c r="D130" s="12" t="s">
        <v>418</v>
      </c>
      <c r="E130" s="46">
        <v>-266133.15000000002</v>
      </c>
      <c r="G130" t="str">
        <f t="shared" si="1"/>
        <v>Dec 31, 2023</v>
      </c>
    </row>
    <row r="131" spans="1:7">
      <c r="A131" s="10">
        <v>45275</v>
      </c>
      <c r="B131" s="12" t="s">
        <v>416</v>
      </c>
      <c r="C131" s="12" t="s">
        <v>422</v>
      </c>
      <c r="D131" s="12" t="s">
        <v>418</v>
      </c>
      <c r="E131" s="46">
        <v>-266133.15000000002</v>
      </c>
      <c r="G131" t="str">
        <f t="shared" si="1"/>
        <v>Dec 31, 2023</v>
      </c>
    </row>
    <row r="132" spans="1:7">
      <c r="A132" s="10">
        <v>45275</v>
      </c>
      <c r="B132" s="12" t="s">
        <v>416</v>
      </c>
      <c r="C132" s="12" t="s">
        <v>422</v>
      </c>
      <c r="D132" s="12" t="s">
        <v>418</v>
      </c>
      <c r="E132" s="46">
        <v>-532266.30000000005</v>
      </c>
      <c r="G132" t="str">
        <f t="shared" si="1"/>
        <v>Dec 31, 2023</v>
      </c>
    </row>
    <row r="133" spans="1:7">
      <c r="A133" s="10">
        <v>45275</v>
      </c>
      <c r="B133" s="12" t="s">
        <v>416</v>
      </c>
      <c r="C133" s="12" t="s">
        <v>422</v>
      </c>
      <c r="D133" s="12" t="s">
        <v>418</v>
      </c>
      <c r="E133" s="46">
        <v>-105139.02</v>
      </c>
      <c r="G133" t="str">
        <f t="shared" si="1"/>
        <v>Dec 31, 2023</v>
      </c>
    </row>
    <row r="134" spans="1:7">
      <c r="A134" s="10">
        <v>45275</v>
      </c>
      <c r="B134" s="12" t="s">
        <v>416</v>
      </c>
      <c r="C134" s="12" t="s">
        <v>422</v>
      </c>
      <c r="D134" s="12" t="s">
        <v>418</v>
      </c>
      <c r="E134" s="46">
        <v>-133066.57999999999</v>
      </c>
      <c r="G134" t="str">
        <f t="shared" si="1"/>
        <v>Dec 31, 2023</v>
      </c>
    </row>
    <row r="135" spans="1:7">
      <c r="A135" s="10">
        <v>45275</v>
      </c>
      <c r="B135" s="12" t="s">
        <v>416</v>
      </c>
      <c r="C135" s="12" t="s">
        <v>422</v>
      </c>
      <c r="D135" s="12" t="s">
        <v>418</v>
      </c>
      <c r="E135" s="46">
        <v>-1064532.6100000001</v>
      </c>
      <c r="G135" t="str">
        <f t="shared" ref="G135:G198" si="2">TEXT(DATE(YEAR(A135),ROUNDUP(MONTH(A135)/3,0)*3+1,0),"mmm dd, yyyy")</f>
        <v>Dec 31, 2023</v>
      </c>
    </row>
    <row r="136" spans="1:7">
      <c r="A136" s="10">
        <v>45275</v>
      </c>
      <c r="B136" s="12" t="s">
        <v>416</v>
      </c>
      <c r="C136" s="12" t="s">
        <v>422</v>
      </c>
      <c r="D136" s="12" t="s">
        <v>418</v>
      </c>
      <c r="E136" s="46">
        <v>-2628475.58</v>
      </c>
      <c r="G136" t="str">
        <f t="shared" si="2"/>
        <v>Dec 31, 2023</v>
      </c>
    </row>
    <row r="137" spans="1:7">
      <c r="A137" s="10">
        <v>45275</v>
      </c>
      <c r="B137" s="12" t="s">
        <v>416</v>
      </c>
      <c r="C137" s="12" t="s">
        <v>422</v>
      </c>
      <c r="D137" s="12" t="s">
        <v>418</v>
      </c>
      <c r="E137" s="46">
        <v>-52569.52</v>
      </c>
      <c r="G137" t="str">
        <f t="shared" si="2"/>
        <v>Dec 31, 2023</v>
      </c>
    </row>
    <row r="138" spans="1:7">
      <c r="A138" s="10">
        <v>45275</v>
      </c>
      <c r="B138" s="12" t="s">
        <v>416</v>
      </c>
      <c r="C138" s="12" t="s">
        <v>422</v>
      </c>
      <c r="D138" s="12" t="s">
        <v>418</v>
      </c>
      <c r="E138" s="46">
        <v>-159679.89000000001</v>
      </c>
      <c r="G138" t="str">
        <f t="shared" si="2"/>
        <v>Dec 31, 2023</v>
      </c>
    </row>
    <row r="139" spans="1:7">
      <c r="A139" s="10">
        <v>45275</v>
      </c>
      <c r="B139" s="12" t="s">
        <v>416</v>
      </c>
      <c r="C139" s="12" t="s">
        <v>422</v>
      </c>
      <c r="D139" s="12" t="s">
        <v>418</v>
      </c>
      <c r="E139" s="46">
        <v>-525695.11</v>
      </c>
      <c r="G139" t="str">
        <f t="shared" si="2"/>
        <v>Dec 31, 2023</v>
      </c>
    </row>
    <row r="140" spans="1:7">
      <c r="A140" s="10">
        <v>45275</v>
      </c>
      <c r="B140" s="12" t="s">
        <v>416</v>
      </c>
      <c r="C140" s="12" t="s">
        <v>422</v>
      </c>
      <c r="D140" s="12" t="s">
        <v>418</v>
      </c>
      <c r="E140" s="46">
        <v>-78854.27</v>
      </c>
      <c r="G140" t="str">
        <f t="shared" si="2"/>
        <v>Dec 31, 2023</v>
      </c>
    </row>
    <row r="141" spans="1:7">
      <c r="A141" s="10">
        <v>45275</v>
      </c>
      <c r="B141" s="12" t="s">
        <v>416</v>
      </c>
      <c r="C141" s="12" t="s">
        <v>422</v>
      </c>
      <c r="D141" s="12" t="s">
        <v>418</v>
      </c>
      <c r="E141" s="46">
        <v>-341701.82</v>
      </c>
      <c r="G141" t="str">
        <f t="shared" si="2"/>
        <v>Dec 31, 2023</v>
      </c>
    </row>
    <row r="142" spans="1:7">
      <c r="A142" s="10">
        <v>45275</v>
      </c>
      <c r="B142" s="12" t="s">
        <v>416</v>
      </c>
      <c r="C142" s="12" t="s">
        <v>422</v>
      </c>
      <c r="D142" s="12" t="s">
        <v>418</v>
      </c>
      <c r="E142" s="46">
        <v>-262847.56</v>
      </c>
      <c r="G142" t="str">
        <f t="shared" si="2"/>
        <v>Dec 31, 2023</v>
      </c>
    </row>
    <row r="143" spans="1:7">
      <c r="A143" s="10">
        <v>45275</v>
      </c>
      <c r="B143" s="12" t="s">
        <v>416</v>
      </c>
      <c r="C143" s="12" t="s">
        <v>422</v>
      </c>
      <c r="D143" s="12" t="s">
        <v>418</v>
      </c>
      <c r="E143" s="46">
        <v>-826327.01</v>
      </c>
      <c r="G143" t="str">
        <f t="shared" si="2"/>
        <v>Dec 31, 2023</v>
      </c>
    </row>
    <row r="144" spans="1:7">
      <c r="A144" s="10">
        <v>45275</v>
      </c>
      <c r="B144" s="12" t="s">
        <v>416</v>
      </c>
      <c r="C144" s="12" t="s">
        <v>422</v>
      </c>
      <c r="D144" s="12" t="s">
        <v>418</v>
      </c>
      <c r="E144" s="46">
        <v>-26284.75</v>
      </c>
      <c r="G144" t="str">
        <f t="shared" si="2"/>
        <v>Dec 31, 2023</v>
      </c>
    </row>
    <row r="145" spans="1:7">
      <c r="A145" s="10">
        <v>45275</v>
      </c>
      <c r="B145" s="12" t="s">
        <v>416</v>
      </c>
      <c r="C145" s="12" t="s">
        <v>422</v>
      </c>
      <c r="D145" s="12" t="s">
        <v>418</v>
      </c>
      <c r="E145" s="46">
        <v>-2129065.2200000002</v>
      </c>
      <c r="G145" t="str">
        <f t="shared" si="2"/>
        <v>Dec 31, 2023</v>
      </c>
    </row>
    <row r="146" spans="1:7">
      <c r="A146" s="10">
        <v>45275</v>
      </c>
      <c r="B146" s="12" t="s">
        <v>416</v>
      </c>
      <c r="C146" s="12" t="s">
        <v>422</v>
      </c>
      <c r="D146" s="12" t="s">
        <v>418</v>
      </c>
      <c r="E146" s="46">
        <v>-52569.52</v>
      </c>
      <c r="G146" t="str">
        <f t="shared" si="2"/>
        <v>Dec 31, 2023</v>
      </c>
    </row>
    <row r="147" spans="1:7">
      <c r="A147" s="10">
        <v>45275</v>
      </c>
      <c r="B147" s="12" t="s">
        <v>416</v>
      </c>
      <c r="C147" s="12" t="s">
        <v>422</v>
      </c>
      <c r="D147" s="12" t="s">
        <v>418</v>
      </c>
      <c r="E147" s="46">
        <v>-210278.04</v>
      </c>
      <c r="G147" t="str">
        <f t="shared" si="2"/>
        <v>Dec 31, 2023</v>
      </c>
    </row>
    <row r="148" spans="1:7">
      <c r="A148" s="10">
        <v>45275</v>
      </c>
      <c r="B148" s="12" t="s">
        <v>416</v>
      </c>
      <c r="C148" s="12" t="s">
        <v>422</v>
      </c>
      <c r="D148" s="12" t="s">
        <v>418</v>
      </c>
      <c r="E148" s="46">
        <v>-52569.52</v>
      </c>
      <c r="G148" t="str">
        <f t="shared" si="2"/>
        <v>Dec 31, 2023</v>
      </c>
    </row>
    <row r="149" spans="1:7">
      <c r="A149" s="10">
        <v>45275</v>
      </c>
      <c r="B149" s="12" t="s">
        <v>416</v>
      </c>
      <c r="C149" s="12" t="s">
        <v>422</v>
      </c>
      <c r="D149" s="12" t="s">
        <v>418</v>
      </c>
      <c r="E149" s="46">
        <v>-2927464.68</v>
      </c>
      <c r="G149" t="str">
        <f t="shared" si="2"/>
        <v>Dec 31, 2023</v>
      </c>
    </row>
    <row r="150" spans="1:7">
      <c r="A150" s="10">
        <v>45275</v>
      </c>
      <c r="B150" s="12" t="s">
        <v>416</v>
      </c>
      <c r="C150" s="12" t="s">
        <v>422</v>
      </c>
      <c r="D150" s="12" t="s">
        <v>418</v>
      </c>
      <c r="E150" s="46">
        <v>-262847.56</v>
      </c>
      <c r="G150" t="str">
        <f t="shared" si="2"/>
        <v>Dec 31, 2023</v>
      </c>
    </row>
    <row r="151" spans="1:7">
      <c r="A151" s="10">
        <v>45275</v>
      </c>
      <c r="B151" s="12" t="s">
        <v>416</v>
      </c>
      <c r="C151" s="12" t="s">
        <v>422</v>
      </c>
      <c r="D151" s="12" t="s">
        <v>418</v>
      </c>
      <c r="E151" s="46">
        <v>-630834.14</v>
      </c>
      <c r="G151" t="str">
        <f t="shared" si="2"/>
        <v>Dec 31, 2023</v>
      </c>
    </row>
    <row r="152" spans="1:7">
      <c r="A152" s="10">
        <v>45275</v>
      </c>
      <c r="B152" s="12" t="s">
        <v>416</v>
      </c>
      <c r="C152" s="12" t="s">
        <v>422</v>
      </c>
      <c r="D152" s="12" t="s">
        <v>418</v>
      </c>
      <c r="E152" s="46">
        <v>-1648054.19</v>
      </c>
      <c r="G152" t="str">
        <f t="shared" si="2"/>
        <v>Dec 31, 2023</v>
      </c>
    </row>
    <row r="153" spans="1:7">
      <c r="A153" s="10">
        <v>45275</v>
      </c>
      <c r="B153" s="12" t="s">
        <v>416</v>
      </c>
      <c r="C153" s="12" t="s">
        <v>422</v>
      </c>
      <c r="D153" s="12" t="s">
        <v>418</v>
      </c>
      <c r="E153" s="46">
        <v>-5322663.0599999996</v>
      </c>
      <c r="G153" t="str">
        <f t="shared" si="2"/>
        <v>Dec 31, 2023</v>
      </c>
    </row>
    <row r="154" spans="1:7">
      <c r="A154" s="10">
        <v>45275</v>
      </c>
      <c r="B154" s="12" t="s">
        <v>416</v>
      </c>
      <c r="C154" s="12" t="s">
        <v>422</v>
      </c>
      <c r="D154" s="12" t="s">
        <v>418</v>
      </c>
      <c r="E154" s="46">
        <v>-1330665.76</v>
      </c>
      <c r="G154" t="str">
        <f t="shared" si="2"/>
        <v>Dec 31, 2023</v>
      </c>
    </row>
    <row r="155" spans="1:7">
      <c r="A155" s="10">
        <v>45275</v>
      </c>
      <c r="B155" s="12" t="s">
        <v>416</v>
      </c>
      <c r="C155" s="12" t="s">
        <v>422</v>
      </c>
      <c r="D155" s="12" t="s">
        <v>418</v>
      </c>
      <c r="E155" s="46">
        <v>-798399.46</v>
      </c>
      <c r="G155" t="str">
        <f t="shared" si="2"/>
        <v>Dec 31, 2023</v>
      </c>
    </row>
    <row r="156" spans="1:7">
      <c r="A156" s="10">
        <v>45275</v>
      </c>
      <c r="B156" s="12" t="s">
        <v>416</v>
      </c>
      <c r="C156" s="12" t="s">
        <v>422</v>
      </c>
      <c r="D156" s="12" t="s">
        <v>418</v>
      </c>
      <c r="E156" s="46">
        <v>-788542.67</v>
      </c>
      <c r="G156" t="str">
        <f t="shared" si="2"/>
        <v>Dec 31, 2023</v>
      </c>
    </row>
    <row r="157" spans="1:7">
      <c r="A157" s="10">
        <v>45275</v>
      </c>
      <c r="B157" s="12" t="s">
        <v>416</v>
      </c>
      <c r="C157" s="12" t="s">
        <v>422</v>
      </c>
      <c r="D157" s="12" t="s">
        <v>418</v>
      </c>
      <c r="E157" s="46">
        <v>-1064532.6100000001</v>
      </c>
      <c r="G157" t="str">
        <f t="shared" si="2"/>
        <v>Dec 31, 2023</v>
      </c>
    </row>
    <row r="158" spans="1:7">
      <c r="A158" s="10">
        <v>45275</v>
      </c>
      <c r="B158" s="12" t="s">
        <v>416</v>
      </c>
      <c r="C158" s="12" t="s">
        <v>422</v>
      </c>
      <c r="D158" s="12" t="s">
        <v>418</v>
      </c>
      <c r="E158" s="46">
        <v>-52569.52</v>
      </c>
      <c r="G158" t="str">
        <f t="shared" si="2"/>
        <v>Dec 31, 2023</v>
      </c>
    </row>
    <row r="159" spans="1:7">
      <c r="A159" s="10">
        <v>45275</v>
      </c>
      <c r="B159" s="12" t="s">
        <v>416</v>
      </c>
      <c r="C159" s="12" t="s">
        <v>422</v>
      </c>
      <c r="D159" s="12" t="s">
        <v>418</v>
      </c>
      <c r="E159" s="46">
        <v>-1330665.76</v>
      </c>
      <c r="G159" t="str">
        <f t="shared" si="2"/>
        <v>Dec 31, 2023</v>
      </c>
    </row>
    <row r="160" spans="1:7">
      <c r="A160" s="10">
        <v>45275</v>
      </c>
      <c r="B160" s="12" t="s">
        <v>416</v>
      </c>
      <c r="C160" s="12" t="s">
        <v>422</v>
      </c>
      <c r="D160" s="12" t="s">
        <v>418</v>
      </c>
      <c r="E160" s="46">
        <v>-1839932.91</v>
      </c>
      <c r="G160" t="str">
        <f t="shared" si="2"/>
        <v>Dec 31, 2023</v>
      </c>
    </row>
    <row r="161" spans="1:7">
      <c r="A161" s="10">
        <v>45275</v>
      </c>
      <c r="B161" s="12" t="s">
        <v>416</v>
      </c>
      <c r="C161" s="12" t="s">
        <v>422</v>
      </c>
      <c r="D161" s="12" t="s">
        <v>418</v>
      </c>
      <c r="E161" s="46">
        <v>-266133.15000000002</v>
      </c>
      <c r="G161" t="str">
        <f t="shared" si="2"/>
        <v>Dec 31, 2023</v>
      </c>
    </row>
    <row r="162" spans="1:7">
      <c r="A162" s="10">
        <v>45275</v>
      </c>
      <c r="B162" s="12" t="s">
        <v>416</v>
      </c>
      <c r="C162" s="12" t="s">
        <v>422</v>
      </c>
      <c r="D162" s="12" t="s">
        <v>418</v>
      </c>
      <c r="E162" s="46">
        <v>-26284.75</v>
      </c>
      <c r="G162" t="str">
        <f t="shared" si="2"/>
        <v>Dec 31, 2023</v>
      </c>
    </row>
    <row r="163" spans="1:7">
      <c r="A163" s="10">
        <v>45275</v>
      </c>
      <c r="B163" s="12" t="s">
        <v>416</v>
      </c>
      <c r="C163" s="12" t="s">
        <v>422</v>
      </c>
      <c r="D163" s="12" t="s">
        <v>418</v>
      </c>
      <c r="E163" s="46">
        <v>-78854.27</v>
      </c>
      <c r="G163" t="str">
        <f t="shared" si="2"/>
        <v>Dec 31, 2023</v>
      </c>
    </row>
    <row r="164" spans="1:7">
      <c r="A164" s="10">
        <v>45275</v>
      </c>
      <c r="B164" s="12" t="s">
        <v>416</v>
      </c>
      <c r="C164" s="12" t="s">
        <v>422</v>
      </c>
      <c r="D164" s="12" t="s">
        <v>418</v>
      </c>
      <c r="E164" s="46">
        <v>-5322663.0599999996</v>
      </c>
      <c r="G164" t="str">
        <f t="shared" si="2"/>
        <v>Dec 31, 2023</v>
      </c>
    </row>
    <row r="165" spans="1:7">
      <c r="A165" s="10">
        <v>45275</v>
      </c>
      <c r="B165" s="12" t="s">
        <v>416</v>
      </c>
      <c r="C165" s="12" t="s">
        <v>422</v>
      </c>
      <c r="D165" s="12" t="s">
        <v>418</v>
      </c>
      <c r="E165" s="46">
        <v>-2661331.5299999998</v>
      </c>
      <c r="G165" t="str">
        <f t="shared" si="2"/>
        <v>Dec 31, 2023</v>
      </c>
    </row>
    <row r="166" spans="1:7">
      <c r="A166" s="10">
        <v>45275</v>
      </c>
      <c r="B166" s="12" t="s">
        <v>416</v>
      </c>
      <c r="C166" s="12" t="s">
        <v>422</v>
      </c>
      <c r="D166" s="12" t="s">
        <v>418</v>
      </c>
      <c r="E166" s="46">
        <v>-370615.06</v>
      </c>
      <c r="G166" t="str">
        <f t="shared" si="2"/>
        <v>Dec 31, 2023</v>
      </c>
    </row>
    <row r="167" spans="1:7">
      <c r="A167" s="10">
        <v>45275</v>
      </c>
      <c r="B167" s="12" t="s">
        <v>416</v>
      </c>
      <c r="C167" s="12" t="s">
        <v>422</v>
      </c>
      <c r="D167" s="12" t="s">
        <v>418</v>
      </c>
      <c r="E167" s="46">
        <v>-157708.54</v>
      </c>
      <c r="G167" t="str">
        <f t="shared" si="2"/>
        <v>Dec 31, 2023</v>
      </c>
    </row>
    <row r="168" spans="1:7">
      <c r="A168" s="10">
        <v>45275</v>
      </c>
      <c r="B168" s="12" t="s">
        <v>416</v>
      </c>
      <c r="C168" s="12" t="s">
        <v>422</v>
      </c>
      <c r="D168" s="12" t="s">
        <v>418</v>
      </c>
      <c r="E168" s="46">
        <v>-53226.63</v>
      </c>
      <c r="G168" t="str">
        <f t="shared" si="2"/>
        <v>Dec 31, 2023</v>
      </c>
    </row>
    <row r="169" spans="1:7">
      <c r="A169" s="10">
        <v>45275</v>
      </c>
      <c r="B169" s="12" t="s">
        <v>416</v>
      </c>
      <c r="C169" s="12" t="s">
        <v>422</v>
      </c>
      <c r="D169" s="12" t="s">
        <v>418</v>
      </c>
      <c r="E169" s="46">
        <v>-197135.67</v>
      </c>
      <c r="G169" t="str">
        <f t="shared" si="2"/>
        <v>Dec 31, 2023</v>
      </c>
    </row>
    <row r="170" spans="1:7">
      <c r="A170" s="10">
        <v>45275</v>
      </c>
      <c r="B170" s="12" t="s">
        <v>416</v>
      </c>
      <c r="C170" s="12" t="s">
        <v>422</v>
      </c>
      <c r="D170" s="12" t="s">
        <v>418</v>
      </c>
      <c r="E170" s="46">
        <v>-394271.34</v>
      </c>
      <c r="G170" t="str">
        <f t="shared" si="2"/>
        <v>Dec 31, 2023</v>
      </c>
    </row>
    <row r="171" spans="1:7">
      <c r="A171" s="10">
        <v>45275</v>
      </c>
      <c r="B171" s="12" t="s">
        <v>416</v>
      </c>
      <c r="C171" s="12" t="s">
        <v>422</v>
      </c>
      <c r="D171" s="12" t="s">
        <v>418</v>
      </c>
      <c r="E171" s="46">
        <v>-394271.34</v>
      </c>
      <c r="G171" t="str">
        <f t="shared" si="2"/>
        <v>Dec 31, 2023</v>
      </c>
    </row>
    <row r="172" spans="1:7">
      <c r="A172" s="10">
        <v>45275</v>
      </c>
      <c r="B172" s="12" t="s">
        <v>416</v>
      </c>
      <c r="C172" s="12" t="s">
        <v>422</v>
      </c>
      <c r="D172" s="12" t="s">
        <v>418</v>
      </c>
      <c r="E172" s="46">
        <v>-131423.78</v>
      </c>
      <c r="G172" t="str">
        <f t="shared" si="2"/>
        <v>Dec 31, 2023</v>
      </c>
    </row>
    <row r="173" spans="1:7">
      <c r="A173" s="10">
        <v>45275</v>
      </c>
      <c r="B173" s="12" t="s">
        <v>416</v>
      </c>
      <c r="C173" s="12" t="s">
        <v>422</v>
      </c>
      <c r="D173" s="12" t="s">
        <v>418</v>
      </c>
      <c r="E173" s="46">
        <v>-106453.26</v>
      </c>
      <c r="G173" t="str">
        <f t="shared" si="2"/>
        <v>Dec 31, 2023</v>
      </c>
    </row>
    <row r="174" spans="1:7">
      <c r="A174" s="10">
        <v>45275</v>
      </c>
      <c r="B174" s="12" t="s">
        <v>416</v>
      </c>
      <c r="C174" s="12" t="s">
        <v>422</v>
      </c>
      <c r="D174" s="12" t="s">
        <v>418</v>
      </c>
      <c r="E174" s="46">
        <v>-1051390.24</v>
      </c>
      <c r="G174" t="str">
        <f t="shared" si="2"/>
        <v>Dec 31, 2023</v>
      </c>
    </row>
    <row r="175" spans="1:7">
      <c r="A175" s="10">
        <v>45275</v>
      </c>
      <c r="B175" s="12" t="s">
        <v>416</v>
      </c>
      <c r="C175" s="12" t="s">
        <v>422</v>
      </c>
      <c r="D175" s="12" t="s">
        <v>418</v>
      </c>
      <c r="E175" s="46">
        <v>-197135.67</v>
      </c>
      <c r="G175" t="str">
        <f t="shared" si="2"/>
        <v>Dec 31, 2023</v>
      </c>
    </row>
    <row r="176" spans="1:7">
      <c r="A176" s="10">
        <v>45282</v>
      </c>
      <c r="B176" s="12" t="s">
        <v>416</v>
      </c>
      <c r="C176" s="12" t="s">
        <v>423</v>
      </c>
      <c r="D176" s="12" t="s">
        <v>418</v>
      </c>
      <c r="E176" s="46">
        <v>-48343.55</v>
      </c>
      <c r="G176" t="str">
        <f t="shared" si="2"/>
        <v>Dec 31, 2023</v>
      </c>
    </row>
    <row r="177" spans="1:7">
      <c r="A177" s="10">
        <v>45282</v>
      </c>
      <c r="B177" s="12" t="s">
        <v>416</v>
      </c>
      <c r="C177" s="12" t="s">
        <v>423</v>
      </c>
      <c r="D177" s="12" t="s">
        <v>418</v>
      </c>
      <c r="E177" s="46">
        <v>-9291</v>
      </c>
      <c r="G177" t="str">
        <f t="shared" si="2"/>
        <v>Dec 31, 2023</v>
      </c>
    </row>
    <row r="178" spans="1:7">
      <c r="A178" s="10">
        <v>45322</v>
      </c>
      <c r="B178" s="12" t="s">
        <v>416</v>
      </c>
      <c r="C178" s="12" t="s">
        <v>423</v>
      </c>
      <c r="D178" s="12" t="s">
        <v>418</v>
      </c>
      <c r="E178" s="46">
        <v>-9558.9599999999991</v>
      </c>
      <c r="G178" t="str">
        <f t="shared" si="2"/>
        <v>Mar 31, 2024</v>
      </c>
    </row>
    <row r="179" spans="1:7">
      <c r="A179" s="10">
        <v>45293</v>
      </c>
      <c r="B179" s="12" t="s">
        <v>416</v>
      </c>
      <c r="C179" s="12" t="s">
        <v>420</v>
      </c>
      <c r="D179" s="12" t="s">
        <v>418</v>
      </c>
      <c r="E179" s="46">
        <v>100461.57</v>
      </c>
      <c r="G179" t="str">
        <f t="shared" si="2"/>
        <v>Mar 31, 2024</v>
      </c>
    </row>
    <row r="180" spans="1:7">
      <c r="A180" s="10">
        <v>45323</v>
      </c>
      <c r="B180" s="12" t="s">
        <v>416</v>
      </c>
      <c r="C180" s="12" t="s">
        <v>420</v>
      </c>
      <c r="D180" s="12" t="s">
        <v>418</v>
      </c>
      <c r="E180" s="46">
        <v>5261.65</v>
      </c>
      <c r="G180" t="str">
        <f t="shared" si="2"/>
        <v>Mar 31, 2024</v>
      </c>
    </row>
    <row r="181" spans="1:7">
      <c r="A181" s="10">
        <v>45328</v>
      </c>
      <c r="B181" s="12" t="s">
        <v>416</v>
      </c>
      <c r="C181" s="12" t="s">
        <v>422</v>
      </c>
      <c r="D181" s="12" t="s">
        <v>418</v>
      </c>
      <c r="E181" s="46">
        <v>122108803.56999999</v>
      </c>
      <c r="G181" t="str">
        <f t="shared" si="2"/>
        <v>Mar 31, 2024</v>
      </c>
    </row>
    <row r="182" spans="1:7">
      <c r="A182" s="10">
        <v>45352</v>
      </c>
      <c r="B182" s="12" t="s">
        <v>416</v>
      </c>
      <c r="C182" s="12" t="s">
        <v>420</v>
      </c>
      <c r="D182" s="12" t="s">
        <v>418</v>
      </c>
      <c r="E182" s="46">
        <v>405634.7</v>
      </c>
      <c r="G182" t="str">
        <f t="shared" si="2"/>
        <v>Mar 31, 2024</v>
      </c>
    </row>
    <row r="183" spans="1:7">
      <c r="A183" s="10">
        <v>45356</v>
      </c>
      <c r="B183" s="12" t="s">
        <v>416</v>
      </c>
      <c r="C183" s="12" t="s">
        <v>422</v>
      </c>
      <c r="D183" s="12" t="s">
        <v>418</v>
      </c>
      <c r="E183" s="46">
        <v>-1014052.35</v>
      </c>
      <c r="G183" t="str">
        <f t="shared" si="2"/>
        <v>Mar 31, 2024</v>
      </c>
    </row>
    <row r="184" spans="1:7">
      <c r="A184" s="10">
        <v>45356</v>
      </c>
      <c r="B184" s="12" t="s">
        <v>416</v>
      </c>
      <c r="C184" s="12" t="s">
        <v>422</v>
      </c>
      <c r="D184" s="12" t="s">
        <v>418</v>
      </c>
      <c r="E184" s="46">
        <v>-1014052.35</v>
      </c>
      <c r="G184" t="str">
        <f t="shared" si="2"/>
        <v>Mar 31, 2024</v>
      </c>
    </row>
    <row r="185" spans="1:7">
      <c r="A185" s="10">
        <v>45356</v>
      </c>
      <c r="B185" s="12" t="s">
        <v>416</v>
      </c>
      <c r="C185" s="12" t="s">
        <v>422</v>
      </c>
      <c r="D185" s="12" t="s">
        <v>418</v>
      </c>
      <c r="E185" s="46">
        <v>-507026.18</v>
      </c>
      <c r="G185" t="str">
        <f t="shared" si="2"/>
        <v>Mar 31, 2024</v>
      </c>
    </row>
    <row r="186" spans="1:7">
      <c r="A186" s="10">
        <v>45356</v>
      </c>
      <c r="B186" s="12" t="s">
        <v>416</v>
      </c>
      <c r="C186" s="12" t="s">
        <v>422</v>
      </c>
      <c r="D186" s="12" t="s">
        <v>418</v>
      </c>
      <c r="E186" s="46">
        <v>-651314.84000000008</v>
      </c>
      <c r="G186" t="str">
        <f t="shared" si="2"/>
        <v>Mar 31, 2024</v>
      </c>
    </row>
    <row r="187" spans="1:7">
      <c r="A187" s="10">
        <v>45356</v>
      </c>
      <c r="B187" s="12" t="s">
        <v>416</v>
      </c>
      <c r="C187" s="12" t="s">
        <v>422</v>
      </c>
      <c r="D187" s="12" t="s">
        <v>418</v>
      </c>
      <c r="E187" s="46">
        <v>-2704139.5999999996</v>
      </c>
      <c r="G187" t="str">
        <f t="shared" si="2"/>
        <v>Mar 31, 2024</v>
      </c>
    </row>
    <row r="188" spans="1:7">
      <c r="A188" s="10">
        <v>45356</v>
      </c>
      <c r="B188" s="12" t="s">
        <v>416</v>
      </c>
      <c r="C188" s="12" t="s">
        <v>422</v>
      </c>
      <c r="D188" s="12" t="s">
        <v>418</v>
      </c>
      <c r="E188" s="46">
        <v>-13689706.699999999</v>
      </c>
      <c r="G188" t="str">
        <f t="shared" si="2"/>
        <v>Mar 31, 2024</v>
      </c>
    </row>
    <row r="189" spans="1:7">
      <c r="A189" s="10">
        <v>45356</v>
      </c>
      <c r="B189" s="12" t="s">
        <v>416</v>
      </c>
      <c r="C189" s="12" t="s">
        <v>422</v>
      </c>
      <c r="D189" s="12" t="s">
        <v>418</v>
      </c>
      <c r="E189" s="46">
        <v>-3422426.68</v>
      </c>
      <c r="G189" t="str">
        <f t="shared" si="2"/>
        <v>Mar 31, 2024</v>
      </c>
    </row>
    <row r="190" spans="1:7">
      <c r="A190" s="10">
        <v>45356</v>
      </c>
      <c r="B190" s="12" t="s">
        <v>416</v>
      </c>
      <c r="C190" s="12" t="s">
        <v>422</v>
      </c>
      <c r="D190" s="12" t="s">
        <v>418</v>
      </c>
      <c r="E190" s="46">
        <v>-135206.98000000001</v>
      </c>
      <c r="G190" t="str">
        <f t="shared" si="2"/>
        <v>Mar 31, 2024</v>
      </c>
    </row>
    <row r="191" spans="1:7">
      <c r="A191" s="10">
        <v>45356</v>
      </c>
      <c r="B191" s="12" t="s">
        <v>416</v>
      </c>
      <c r="C191" s="12" t="s">
        <v>422</v>
      </c>
      <c r="D191" s="12" t="s">
        <v>418</v>
      </c>
      <c r="E191" s="46">
        <v>-842598</v>
      </c>
      <c r="G191" t="str">
        <f t="shared" si="2"/>
        <v>Mar 31, 2024</v>
      </c>
    </row>
    <row r="192" spans="1:7">
      <c r="A192" s="10">
        <v>45356</v>
      </c>
      <c r="B192" s="12" t="s">
        <v>416</v>
      </c>
      <c r="C192" s="12" t="s">
        <v>422</v>
      </c>
      <c r="D192" s="12" t="s">
        <v>418</v>
      </c>
      <c r="E192" s="46">
        <v>-4732244.29</v>
      </c>
      <c r="G192" t="str">
        <f t="shared" si="2"/>
        <v>Mar 31, 2024</v>
      </c>
    </row>
    <row r="193" spans="1:7">
      <c r="A193" s="10">
        <v>45356</v>
      </c>
      <c r="B193" s="12" t="s">
        <v>416</v>
      </c>
      <c r="C193" s="12" t="s">
        <v>422</v>
      </c>
      <c r="D193" s="12" t="s">
        <v>418</v>
      </c>
      <c r="E193" s="46">
        <v>-2125284.71</v>
      </c>
      <c r="G193" t="str">
        <f t="shared" si="2"/>
        <v>Mar 31, 2024</v>
      </c>
    </row>
    <row r="194" spans="1:7">
      <c r="A194" s="10">
        <v>45356</v>
      </c>
      <c r="B194" s="12" t="s">
        <v>416</v>
      </c>
      <c r="C194" s="12" t="s">
        <v>422</v>
      </c>
      <c r="D194" s="12" t="s">
        <v>418</v>
      </c>
      <c r="E194" s="46">
        <v>-3253039.98</v>
      </c>
      <c r="G194" t="str">
        <f t="shared" si="2"/>
        <v>Mar 31, 2024</v>
      </c>
    </row>
    <row r="195" spans="1:7">
      <c r="A195" s="10">
        <v>45356</v>
      </c>
      <c r="B195" s="12" t="s">
        <v>416</v>
      </c>
      <c r="C195" s="12" t="s">
        <v>422</v>
      </c>
      <c r="D195" s="12" t="s">
        <v>418</v>
      </c>
      <c r="E195" s="46">
        <v>-1622483.76</v>
      </c>
      <c r="G195" t="str">
        <f t="shared" si="2"/>
        <v>Mar 31, 2024</v>
      </c>
    </row>
    <row r="196" spans="1:7">
      <c r="A196" s="10">
        <v>45356</v>
      </c>
      <c r="B196" s="12" t="s">
        <v>416</v>
      </c>
      <c r="C196" s="12" t="s">
        <v>422</v>
      </c>
      <c r="D196" s="12" t="s">
        <v>418</v>
      </c>
      <c r="E196" s="46">
        <v>-2053456</v>
      </c>
      <c r="G196" t="str">
        <f t="shared" si="2"/>
        <v>Mar 31, 2024</v>
      </c>
    </row>
    <row r="197" spans="1:7">
      <c r="A197" s="10">
        <v>45356</v>
      </c>
      <c r="B197" s="12" t="s">
        <v>416</v>
      </c>
      <c r="C197" s="12" t="s">
        <v>422</v>
      </c>
      <c r="D197" s="12" t="s">
        <v>418</v>
      </c>
      <c r="E197" s="46">
        <v>-338017.44999999995</v>
      </c>
      <c r="G197" t="str">
        <f t="shared" si="2"/>
        <v>Mar 31, 2024</v>
      </c>
    </row>
    <row r="198" spans="1:7">
      <c r="A198" s="10">
        <v>45356</v>
      </c>
      <c r="B198" s="12" t="s">
        <v>416</v>
      </c>
      <c r="C198" s="12" t="s">
        <v>422</v>
      </c>
      <c r="D198" s="12" t="s">
        <v>418</v>
      </c>
      <c r="E198" s="46">
        <v>-6844853.3499999996</v>
      </c>
      <c r="G198" t="str">
        <f t="shared" si="2"/>
        <v>Mar 31, 2024</v>
      </c>
    </row>
    <row r="199" spans="1:7">
      <c r="A199" s="10">
        <v>45356</v>
      </c>
      <c r="B199" s="12" t="s">
        <v>416</v>
      </c>
      <c r="C199" s="12" t="s">
        <v>422</v>
      </c>
      <c r="D199" s="12" t="s">
        <v>418</v>
      </c>
      <c r="E199" s="46">
        <v>-405620.94</v>
      </c>
      <c r="G199" t="str">
        <f t="shared" ref="G199:G262" si="3">TEXT(DATE(YEAR(A199),ROUNDUP(MONTH(A199)/3,0)*3+1,0),"mmm dd, yyyy")</f>
        <v>Mar 31, 2024</v>
      </c>
    </row>
    <row r="200" spans="1:7">
      <c r="A200" s="10">
        <v>45356</v>
      </c>
      <c r="B200" s="12" t="s">
        <v>416</v>
      </c>
      <c r="C200" s="12" t="s">
        <v>422</v>
      </c>
      <c r="D200" s="12" t="s">
        <v>418</v>
      </c>
      <c r="E200" s="46">
        <v>-342242.67000000004</v>
      </c>
      <c r="G200" t="str">
        <f t="shared" si="3"/>
        <v>Mar 31, 2024</v>
      </c>
    </row>
    <row r="201" spans="1:7">
      <c r="A201" s="10">
        <v>45356</v>
      </c>
      <c r="B201" s="12" t="s">
        <v>416</v>
      </c>
      <c r="C201" s="12" t="s">
        <v>422</v>
      </c>
      <c r="D201" s="12" t="s">
        <v>418</v>
      </c>
      <c r="E201" s="46">
        <v>-540827.92000000004</v>
      </c>
      <c r="G201" t="str">
        <f t="shared" si="3"/>
        <v>Mar 31, 2024</v>
      </c>
    </row>
    <row r="202" spans="1:7">
      <c r="A202" s="10">
        <v>45356</v>
      </c>
      <c r="B202" s="12" t="s">
        <v>416</v>
      </c>
      <c r="C202" s="12" t="s">
        <v>422</v>
      </c>
      <c r="D202" s="12" t="s">
        <v>418</v>
      </c>
      <c r="E202" s="46">
        <v>-2028104.69</v>
      </c>
      <c r="G202" t="str">
        <f t="shared" si="3"/>
        <v>Mar 31, 2024</v>
      </c>
    </row>
    <row r="203" spans="1:7">
      <c r="A203" s="10">
        <v>45356</v>
      </c>
      <c r="B203" s="12" t="s">
        <v>416</v>
      </c>
      <c r="C203" s="12" t="s">
        <v>422</v>
      </c>
      <c r="D203" s="12" t="s">
        <v>418</v>
      </c>
      <c r="E203" s="46">
        <v>-671963.14000000013</v>
      </c>
      <c r="G203" t="str">
        <f t="shared" si="3"/>
        <v>Mar 31, 2024</v>
      </c>
    </row>
    <row r="204" spans="1:7">
      <c r="A204" s="10">
        <v>45356</v>
      </c>
      <c r="B204" s="12" t="s">
        <v>416</v>
      </c>
      <c r="C204" s="12" t="s">
        <v>422</v>
      </c>
      <c r="D204" s="12" t="s">
        <v>418</v>
      </c>
      <c r="E204" s="46">
        <v>-202810.47</v>
      </c>
      <c r="G204" t="str">
        <f t="shared" si="3"/>
        <v>Mar 31, 2024</v>
      </c>
    </row>
    <row r="205" spans="1:7">
      <c r="A205" s="10">
        <v>45356</v>
      </c>
      <c r="B205" s="12" t="s">
        <v>416</v>
      </c>
      <c r="C205" s="12" t="s">
        <v>422</v>
      </c>
      <c r="D205" s="12" t="s">
        <v>418</v>
      </c>
      <c r="E205" s="46">
        <v>-684485.33000000007</v>
      </c>
      <c r="G205" t="str">
        <f t="shared" si="3"/>
        <v>Mar 31, 2024</v>
      </c>
    </row>
    <row r="206" spans="1:7">
      <c r="A206" s="10">
        <v>45356</v>
      </c>
      <c r="B206" s="12" t="s">
        <v>416</v>
      </c>
      <c r="C206" s="12" t="s">
        <v>422</v>
      </c>
      <c r="D206" s="12" t="s">
        <v>418</v>
      </c>
      <c r="E206" s="46">
        <v>-67603.490000000005</v>
      </c>
      <c r="G206" t="str">
        <f t="shared" si="3"/>
        <v>Mar 31, 2024</v>
      </c>
    </row>
    <row r="207" spans="1:7">
      <c r="A207" s="10">
        <v>45356</v>
      </c>
      <c r="B207" s="12" t="s">
        <v>416</v>
      </c>
      <c r="C207" s="12" t="s">
        <v>422</v>
      </c>
      <c r="D207" s="12" t="s">
        <v>418</v>
      </c>
      <c r="E207" s="46">
        <v>-4238738.8100000005</v>
      </c>
      <c r="G207" t="str">
        <f t="shared" si="3"/>
        <v>Mar 31, 2024</v>
      </c>
    </row>
    <row r="208" spans="1:7">
      <c r="A208" s="10">
        <v>45356</v>
      </c>
      <c r="B208" s="12" t="s">
        <v>416</v>
      </c>
      <c r="C208" s="12" t="s">
        <v>422</v>
      </c>
      <c r="D208" s="12" t="s">
        <v>418</v>
      </c>
      <c r="E208" s="46">
        <v>-953209.2</v>
      </c>
      <c r="G208" t="str">
        <f t="shared" si="3"/>
        <v>Mar 31, 2024</v>
      </c>
    </row>
    <row r="209" spans="1:7">
      <c r="A209" s="10">
        <v>45356</v>
      </c>
      <c r="B209" s="12" t="s">
        <v>416</v>
      </c>
      <c r="C209" s="12" t="s">
        <v>422</v>
      </c>
      <c r="D209" s="12" t="s">
        <v>418</v>
      </c>
      <c r="E209" s="46">
        <v>-135206.98000000001</v>
      </c>
      <c r="G209" t="str">
        <f t="shared" si="3"/>
        <v>Mar 31, 2024</v>
      </c>
    </row>
    <row r="210" spans="1:7">
      <c r="A210" s="10">
        <v>45356</v>
      </c>
      <c r="B210" s="12" t="s">
        <v>416</v>
      </c>
      <c r="C210" s="12" t="s">
        <v>422</v>
      </c>
      <c r="D210" s="12" t="s">
        <v>418</v>
      </c>
      <c r="E210" s="46">
        <v>-136897.07</v>
      </c>
      <c r="G210" t="str">
        <f t="shared" si="3"/>
        <v>Mar 31, 2024</v>
      </c>
    </row>
    <row r="211" spans="1:7">
      <c r="A211" s="10">
        <v>45356</v>
      </c>
      <c r="B211" s="12" t="s">
        <v>416</v>
      </c>
      <c r="C211" s="12" t="s">
        <v>422</v>
      </c>
      <c r="D211" s="12" t="s">
        <v>418</v>
      </c>
      <c r="E211" s="46">
        <v>-273794.13</v>
      </c>
      <c r="G211" t="str">
        <f t="shared" si="3"/>
        <v>Mar 31, 2024</v>
      </c>
    </row>
    <row r="212" spans="1:7">
      <c r="A212" s="10">
        <v>45356</v>
      </c>
      <c r="B212" s="12" t="s">
        <v>416</v>
      </c>
      <c r="C212" s="12" t="s">
        <v>422</v>
      </c>
      <c r="D212" s="12" t="s">
        <v>418</v>
      </c>
      <c r="E212" s="46">
        <v>-6760348.9900000002</v>
      </c>
      <c r="G212" t="str">
        <f t="shared" si="3"/>
        <v>Mar 31, 2024</v>
      </c>
    </row>
    <row r="213" spans="1:7">
      <c r="A213" s="10">
        <v>45356</v>
      </c>
      <c r="B213" s="12" t="s">
        <v>416</v>
      </c>
      <c r="C213" s="12" t="s">
        <v>422</v>
      </c>
      <c r="D213" s="12" t="s">
        <v>418</v>
      </c>
      <c r="E213" s="46">
        <v>-2737941.34</v>
      </c>
      <c r="G213" t="str">
        <f t="shared" si="3"/>
        <v>Mar 31, 2024</v>
      </c>
    </row>
    <row r="214" spans="1:7">
      <c r="A214" s="10">
        <v>45356</v>
      </c>
      <c r="B214" s="12" t="s">
        <v>416</v>
      </c>
      <c r="C214" s="12" t="s">
        <v>422</v>
      </c>
      <c r="D214" s="12" t="s">
        <v>418</v>
      </c>
      <c r="E214" s="46">
        <v>-1368970.6700000002</v>
      </c>
      <c r="G214" t="str">
        <f t="shared" si="3"/>
        <v>Mar 31, 2024</v>
      </c>
    </row>
    <row r="215" spans="1:7">
      <c r="A215" s="10">
        <v>45356</v>
      </c>
      <c r="B215" s="12" t="s">
        <v>416</v>
      </c>
      <c r="C215" s="12" t="s">
        <v>422</v>
      </c>
      <c r="D215" s="12" t="s">
        <v>418</v>
      </c>
      <c r="E215" s="46">
        <v>-260243.19</v>
      </c>
      <c r="G215" t="str">
        <f t="shared" si="3"/>
        <v>Mar 31, 2024</v>
      </c>
    </row>
    <row r="216" spans="1:7">
      <c r="A216" s="10">
        <v>45356</v>
      </c>
      <c r="B216" s="12" t="s">
        <v>416</v>
      </c>
      <c r="C216" s="12" t="s">
        <v>422</v>
      </c>
      <c r="D216" s="12" t="s">
        <v>418</v>
      </c>
      <c r="E216" s="46">
        <v>-676034.89</v>
      </c>
      <c r="G216" t="str">
        <f t="shared" si="3"/>
        <v>Mar 31, 2024</v>
      </c>
    </row>
    <row r="217" spans="1:7">
      <c r="A217" s="10">
        <v>45356</v>
      </c>
      <c r="B217" s="12" t="s">
        <v>416</v>
      </c>
      <c r="C217" s="12" t="s">
        <v>422</v>
      </c>
      <c r="D217" s="12" t="s">
        <v>418</v>
      </c>
      <c r="E217" s="46">
        <v>-13689706.699999999</v>
      </c>
      <c r="G217" t="str">
        <f t="shared" si="3"/>
        <v>Mar 31, 2024</v>
      </c>
    </row>
    <row r="218" spans="1:7">
      <c r="A218" s="10">
        <v>45356</v>
      </c>
      <c r="B218" s="12" t="s">
        <v>416</v>
      </c>
      <c r="C218" s="12" t="s">
        <v>422</v>
      </c>
      <c r="D218" s="12" t="s">
        <v>418</v>
      </c>
      <c r="E218" s="46">
        <v>-20534560.059999999</v>
      </c>
      <c r="G218" t="str">
        <f t="shared" si="3"/>
        <v>Mar 31, 2024</v>
      </c>
    </row>
    <row r="219" spans="1:7">
      <c r="A219" s="10">
        <v>45356</v>
      </c>
      <c r="B219" s="12" t="s">
        <v>416</v>
      </c>
      <c r="C219" s="12" t="s">
        <v>422</v>
      </c>
      <c r="D219" s="12" t="s">
        <v>418</v>
      </c>
      <c r="E219" s="46">
        <v>-5475882.6799999997</v>
      </c>
      <c r="G219" t="str">
        <f t="shared" si="3"/>
        <v>Mar 31, 2024</v>
      </c>
    </row>
    <row r="220" spans="1:7">
      <c r="A220" s="10">
        <v>45356</v>
      </c>
      <c r="B220" s="12" t="s">
        <v>416</v>
      </c>
      <c r="C220" s="12" t="s">
        <v>422</v>
      </c>
      <c r="D220" s="12" t="s">
        <v>418</v>
      </c>
      <c r="E220" s="46">
        <v>-270413.96000000002</v>
      </c>
      <c r="G220" t="str">
        <f t="shared" si="3"/>
        <v>Mar 31, 2024</v>
      </c>
    </row>
    <row r="221" spans="1:7">
      <c r="A221" s="10">
        <v>45356</v>
      </c>
      <c r="B221" s="12" t="s">
        <v>416</v>
      </c>
      <c r="C221" s="12" t="s">
        <v>422</v>
      </c>
      <c r="D221" s="12" t="s">
        <v>418</v>
      </c>
      <c r="E221" s="46">
        <v>-400527.99999999994</v>
      </c>
      <c r="G221" t="str">
        <f t="shared" si="3"/>
        <v>Mar 31, 2024</v>
      </c>
    </row>
    <row r="222" spans="1:7">
      <c r="A222" s="10">
        <v>45356</v>
      </c>
      <c r="B222" s="12" t="s">
        <v>416</v>
      </c>
      <c r="C222" s="12" t="s">
        <v>422</v>
      </c>
      <c r="D222" s="12" t="s">
        <v>418</v>
      </c>
      <c r="E222" s="46">
        <v>-507026.18</v>
      </c>
      <c r="G222" t="str">
        <f t="shared" si="3"/>
        <v>Mar 31, 2024</v>
      </c>
    </row>
    <row r="223" spans="1:7">
      <c r="A223" s="10">
        <v>45356</v>
      </c>
      <c r="B223" s="12" t="s">
        <v>416</v>
      </c>
      <c r="C223" s="12" t="s">
        <v>422</v>
      </c>
      <c r="D223" s="12" t="s">
        <v>418</v>
      </c>
      <c r="E223" s="46">
        <v>-67603.490000000005</v>
      </c>
      <c r="G223" t="str">
        <f t="shared" si="3"/>
        <v>Mar 31, 2024</v>
      </c>
    </row>
    <row r="224" spans="1:7">
      <c r="A224" s="10">
        <v>45356</v>
      </c>
      <c r="B224" s="12" t="s">
        <v>416</v>
      </c>
      <c r="C224" s="12" t="s">
        <v>422</v>
      </c>
      <c r="D224" s="12" t="s">
        <v>418</v>
      </c>
      <c r="E224" s="46">
        <v>-135206.98000000001</v>
      </c>
      <c r="G224" t="str">
        <f t="shared" si="3"/>
        <v>Mar 31, 2024</v>
      </c>
    </row>
    <row r="225" spans="1:7">
      <c r="A225" s="10">
        <v>45356</v>
      </c>
      <c r="B225" s="12" t="s">
        <v>416</v>
      </c>
      <c r="C225" s="12" t="s">
        <v>422</v>
      </c>
      <c r="D225" s="12" t="s">
        <v>418</v>
      </c>
      <c r="E225" s="46">
        <v>-2737941.34</v>
      </c>
      <c r="G225" t="str">
        <f t="shared" si="3"/>
        <v>Mar 31, 2024</v>
      </c>
    </row>
    <row r="226" spans="1:7">
      <c r="A226" s="10">
        <v>45356</v>
      </c>
      <c r="B226" s="12" t="s">
        <v>416</v>
      </c>
      <c r="C226" s="12" t="s">
        <v>422</v>
      </c>
      <c r="D226" s="12" t="s">
        <v>418</v>
      </c>
      <c r="E226" s="46">
        <v>-1285151.6000000001</v>
      </c>
      <c r="G226" t="str">
        <f t="shared" si="3"/>
        <v>Mar 31, 2024</v>
      </c>
    </row>
    <row r="227" spans="1:7">
      <c r="A227" s="10">
        <v>45356</v>
      </c>
      <c r="B227" s="12" t="s">
        <v>416</v>
      </c>
      <c r="C227" s="12" t="s">
        <v>422</v>
      </c>
      <c r="D227" s="12" t="s">
        <v>418</v>
      </c>
      <c r="E227" s="46">
        <v>-650607.9800000001</v>
      </c>
      <c r="G227" t="str">
        <f t="shared" si="3"/>
        <v>Mar 31, 2024</v>
      </c>
    </row>
    <row r="228" spans="1:7">
      <c r="A228" s="10">
        <v>45356</v>
      </c>
      <c r="B228" s="12" t="s">
        <v>416</v>
      </c>
      <c r="C228" s="12" t="s">
        <v>422</v>
      </c>
      <c r="D228" s="12" t="s">
        <v>418</v>
      </c>
      <c r="E228" s="46">
        <v>-642575.79</v>
      </c>
      <c r="G228" t="str">
        <f t="shared" si="3"/>
        <v>Mar 31, 2024</v>
      </c>
    </row>
    <row r="229" spans="1:7">
      <c r="A229" s="10">
        <v>45356</v>
      </c>
      <c r="B229" s="12" t="s">
        <v>416</v>
      </c>
      <c r="C229" s="12" t="s">
        <v>422</v>
      </c>
      <c r="D229" s="12" t="s">
        <v>418</v>
      </c>
      <c r="E229" s="46">
        <v>-202810.47</v>
      </c>
      <c r="G229" t="str">
        <f t="shared" si="3"/>
        <v>Mar 31, 2024</v>
      </c>
    </row>
    <row r="230" spans="1:7">
      <c r="A230" s="10">
        <v>45356</v>
      </c>
      <c r="B230" s="12" t="s">
        <v>416</v>
      </c>
      <c r="C230" s="12" t="s">
        <v>422</v>
      </c>
      <c r="D230" s="12" t="s">
        <v>418</v>
      </c>
      <c r="E230" s="46">
        <v>-135206.98000000001</v>
      </c>
      <c r="G230" t="str">
        <f t="shared" si="3"/>
        <v>Mar 31, 2024</v>
      </c>
    </row>
    <row r="231" spans="1:7">
      <c r="A231" s="10">
        <v>45356</v>
      </c>
      <c r="B231" s="12" t="s">
        <v>416</v>
      </c>
      <c r="C231" s="12" t="s">
        <v>424</v>
      </c>
      <c r="D231" s="12" t="s">
        <v>418</v>
      </c>
      <c r="E231" s="46">
        <v>-12348.03</v>
      </c>
      <c r="G231" t="str">
        <f t="shared" si="3"/>
        <v>Mar 31, 2024</v>
      </c>
    </row>
    <row r="232" spans="1:7">
      <c r="A232" s="10">
        <v>45356</v>
      </c>
      <c r="B232" s="12" t="s">
        <v>416</v>
      </c>
      <c r="C232" s="12" t="s">
        <v>424</v>
      </c>
      <c r="D232" s="12" t="s">
        <v>418</v>
      </c>
      <c r="E232" s="46">
        <v>-396947.51</v>
      </c>
      <c r="G232" t="str">
        <f t="shared" si="3"/>
        <v>Mar 31, 2024</v>
      </c>
    </row>
    <row r="233" spans="1:7">
      <c r="A233" s="10">
        <v>45356</v>
      </c>
      <c r="B233" s="12" t="s">
        <v>416</v>
      </c>
      <c r="C233" s="12" t="s">
        <v>424</v>
      </c>
      <c r="D233" s="12" t="s">
        <v>418</v>
      </c>
      <c r="E233" s="46">
        <v>396947.51</v>
      </c>
      <c r="G233" t="str">
        <f t="shared" si="3"/>
        <v>Mar 31, 2024</v>
      </c>
    </row>
    <row r="234" spans="1:7">
      <c r="A234" s="10">
        <v>45356</v>
      </c>
      <c r="B234" s="12" t="s">
        <v>416</v>
      </c>
      <c r="C234" s="12" t="s">
        <v>424</v>
      </c>
      <c r="D234" s="12" t="s">
        <v>418</v>
      </c>
      <c r="E234" s="46">
        <v>12348.03</v>
      </c>
      <c r="G234" t="str">
        <f t="shared" si="3"/>
        <v>Mar 31, 2024</v>
      </c>
    </row>
    <row r="235" spans="1:7">
      <c r="A235" s="10">
        <v>45357</v>
      </c>
      <c r="B235" s="12" t="s">
        <v>416</v>
      </c>
      <c r="C235" s="12" t="s">
        <v>424</v>
      </c>
      <c r="D235" s="12" t="s">
        <v>418</v>
      </c>
      <c r="E235" s="46">
        <v>-12348.03</v>
      </c>
      <c r="G235" t="str">
        <f t="shared" si="3"/>
        <v>Mar 31, 2024</v>
      </c>
    </row>
    <row r="236" spans="1:7">
      <c r="A236" s="10">
        <v>45357</v>
      </c>
      <c r="B236" s="12" t="s">
        <v>416</v>
      </c>
      <c r="C236" s="12" t="s">
        <v>424</v>
      </c>
      <c r="D236" s="12" t="s">
        <v>418</v>
      </c>
      <c r="E236" s="46">
        <v>-396947.51</v>
      </c>
      <c r="G236" t="str">
        <f t="shared" si="3"/>
        <v>Mar 31, 2024</v>
      </c>
    </row>
    <row r="237" spans="1:7">
      <c r="A237" s="10">
        <v>45357</v>
      </c>
      <c r="B237" s="12" t="s">
        <v>416</v>
      </c>
      <c r="C237" s="12" t="s">
        <v>422</v>
      </c>
      <c r="D237" s="12" t="s">
        <v>418</v>
      </c>
      <c r="E237" s="46">
        <v>671913.14</v>
      </c>
      <c r="G237" t="str">
        <f t="shared" si="3"/>
        <v>Mar 31, 2024</v>
      </c>
    </row>
    <row r="238" spans="1:7">
      <c r="A238" s="10">
        <v>45370</v>
      </c>
      <c r="B238" s="12" t="s">
        <v>416</v>
      </c>
      <c r="C238" s="12" t="s">
        <v>424</v>
      </c>
      <c r="D238" s="12" t="s">
        <v>418</v>
      </c>
      <c r="E238" s="46">
        <v>-9489.09</v>
      </c>
      <c r="G238" t="str">
        <f t="shared" si="3"/>
        <v>Mar 31, 2024</v>
      </c>
    </row>
    <row r="239" spans="1:7">
      <c r="A239" s="10">
        <v>45370</v>
      </c>
      <c r="B239" s="12" t="s">
        <v>416</v>
      </c>
      <c r="C239" s="12" t="s">
        <v>424</v>
      </c>
      <c r="D239" s="12" t="s">
        <v>418</v>
      </c>
      <c r="E239" s="46">
        <v>-305042.27</v>
      </c>
      <c r="G239" t="str">
        <f t="shared" si="3"/>
        <v>Mar 31, 2024</v>
      </c>
    </row>
    <row r="240" spans="1:7">
      <c r="A240" s="10">
        <v>45370</v>
      </c>
      <c r="B240" s="12" t="s">
        <v>416</v>
      </c>
      <c r="C240" s="12" t="s">
        <v>422</v>
      </c>
      <c r="D240" s="12" t="s">
        <v>418</v>
      </c>
      <c r="E240" s="46">
        <v>-7214807.3200000003</v>
      </c>
      <c r="G240" t="str">
        <f t="shared" si="3"/>
        <v>Mar 31, 2024</v>
      </c>
    </row>
    <row r="241" spans="1:7">
      <c r="A241" s="10">
        <v>45370</v>
      </c>
      <c r="B241" s="12" t="s">
        <v>416</v>
      </c>
      <c r="C241" s="12" t="s">
        <v>422</v>
      </c>
      <c r="D241" s="12" t="s">
        <v>418</v>
      </c>
      <c r="E241" s="46">
        <v>-671963.14</v>
      </c>
      <c r="G241" t="str">
        <f t="shared" si="3"/>
        <v>Mar 31, 2024</v>
      </c>
    </row>
    <row r="242" spans="1:7">
      <c r="A242" s="10">
        <v>45383</v>
      </c>
      <c r="B242" s="12" t="s">
        <v>416</v>
      </c>
      <c r="C242" s="12" t="s">
        <v>420</v>
      </c>
      <c r="D242" s="12" t="s">
        <v>418</v>
      </c>
      <c r="E242" s="46">
        <v>93090.14</v>
      </c>
      <c r="G242" t="str">
        <f t="shared" si="3"/>
        <v>Jun 30, 2024</v>
      </c>
    </row>
    <row r="243" spans="1:7">
      <c r="A243" s="10">
        <v>45390</v>
      </c>
      <c r="B243" s="12" t="s">
        <v>416</v>
      </c>
      <c r="C243" s="12" t="s">
        <v>423</v>
      </c>
      <c r="D243" s="12" t="s">
        <v>418</v>
      </c>
      <c r="E243" s="46">
        <v>-1124787</v>
      </c>
      <c r="G243" t="str">
        <f t="shared" si="3"/>
        <v>Jun 30, 2024</v>
      </c>
    </row>
    <row r="244" spans="1:7">
      <c r="A244" s="10">
        <v>45397</v>
      </c>
      <c r="B244" s="12" t="s">
        <v>416</v>
      </c>
      <c r="C244" s="12" t="s">
        <v>423</v>
      </c>
      <c r="D244" s="12" t="s">
        <v>418</v>
      </c>
      <c r="E244" s="46">
        <v>-6697.1</v>
      </c>
      <c r="G244" t="str">
        <f t="shared" si="3"/>
        <v>Jun 30, 2024</v>
      </c>
    </row>
    <row r="245" spans="1:7">
      <c r="A245" s="10">
        <v>45397</v>
      </c>
      <c r="B245" s="12" t="s">
        <v>416</v>
      </c>
      <c r="C245" s="12" t="s">
        <v>423</v>
      </c>
      <c r="D245" s="12" t="s">
        <v>418</v>
      </c>
      <c r="E245" s="46">
        <v>-9431.7800000000007</v>
      </c>
      <c r="G245" t="str">
        <f t="shared" si="3"/>
        <v>Jun 30, 2024</v>
      </c>
    </row>
    <row r="246" spans="1:7">
      <c r="A246" s="10">
        <v>45397</v>
      </c>
      <c r="B246" s="12" t="s">
        <v>416</v>
      </c>
      <c r="C246" s="12" t="s">
        <v>424</v>
      </c>
      <c r="D246" s="12" t="s">
        <v>418</v>
      </c>
      <c r="E246" s="46">
        <v>-144.52000000000001</v>
      </c>
      <c r="G246" t="str">
        <f t="shared" si="3"/>
        <v>Jun 30, 2024</v>
      </c>
    </row>
    <row r="247" spans="1:7">
      <c r="A247" s="10">
        <v>45411</v>
      </c>
      <c r="B247" s="12" t="s">
        <v>416</v>
      </c>
      <c r="C247" s="12" t="s">
        <v>423</v>
      </c>
      <c r="D247" s="12" t="s">
        <v>418</v>
      </c>
      <c r="E247" s="46">
        <v>-31248.45</v>
      </c>
      <c r="G247" t="str">
        <f t="shared" si="3"/>
        <v>Jun 30, 2024</v>
      </c>
    </row>
    <row r="248" spans="1:7">
      <c r="A248" s="10">
        <v>45413</v>
      </c>
      <c r="B248" s="12" t="s">
        <v>416</v>
      </c>
      <c r="C248" s="12" t="s">
        <v>420</v>
      </c>
      <c r="D248" s="12" t="s">
        <v>418</v>
      </c>
      <c r="E248" s="46">
        <v>3639.98</v>
      </c>
      <c r="G248" t="str">
        <f t="shared" si="3"/>
        <v>Jun 30, 2024</v>
      </c>
    </row>
    <row r="249" spans="1:7">
      <c r="A249" s="10">
        <v>45442</v>
      </c>
      <c r="B249" s="12" t="s">
        <v>416</v>
      </c>
      <c r="C249" s="12" t="s">
        <v>423</v>
      </c>
      <c r="D249" s="12" t="s">
        <v>418</v>
      </c>
      <c r="E249" s="46">
        <v>-139337.47</v>
      </c>
      <c r="G249" t="str">
        <f t="shared" si="3"/>
        <v>Jun 30, 2024</v>
      </c>
    </row>
    <row r="250" spans="1:7">
      <c r="A250" s="10">
        <v>45446</v>
      </c>
      <c r="B250" s="12" t="s">
        <v>416</v>
      </c>
      <c r="C250" s="12" t="s">
        <v>420</v>
      </c>
      <c r="D250" s="12" t="s">
        <v>418</v>
      </c>
      <c r="E250" s="46">
        <v>2267.04</v>
      </c>
      <c r="G250" t="str">
        <f t="shared" si="3"/>
        <v>Jun 30, 2024</v>
      </c>
    </row>
    <row r="251" spans="1:7">
      <c r="A251" s="10">
        <v>45471</v>
      </c>
      <c r="B251" s="12" t="s">
        <v>416</v>
      </c>
      <c r="C251" s="12" t="s">
        <v>423</v>
      </c>
      <c r="D251" s="12" t="s">
        <v>418</v>
      </c>
      <c r="E251" s="46">
        <v>-98393</v>
      </c>
      <c r="G251" t="str">
        <f t="shared" si="3"/>
        <v>Jun 30, 2024</v>
      </c>
    </row>
    <row r="252" spans="1:7">
      <c r="A252" s="10">
        <v>45471</v>
      </c>
      <c r="B252" s="12" t="s">
        <v>416</v>
      </c>
      <c r="C252" s="12" t="s">
        <v>423</v>
      </c>
      <c r="D252" s="12" t="s">
        <v>418</v>
      </c>
      <c r="E252" s="46">
        <v>-10629.32</v>
      </c>
      <c r="G252" t="str">
        <f t="shared" si="3"/>
        <v>Jun 30, 2024</v>
      </c>
    </row>
    <row r="253" spans="1:7">
      <c r="A253" s="10">
        <v>45474</v>
      </c>
      <c r="B253" s="12" t="s">
        <v>416</v>
      </c>
      <c r="C253" s="12" t="s">
        <v>420</v>
      </c>
      <c r="D253" s="12" t="s">
        <v>418</v>
      </c>
      <c r="E253" s="46">
        <v>1580.56</v>
      </c>
      <c r="G253" t="str">
        <f t="shared" si="3"/>
        <v>Sep 30, 2024</v>
      </c>
    </row>
    <row r="254" spans="1:7">
      <c r="A254" s="10">
        <v>45504</v>
      </c>
      <c r="B254" s="12" t="s">
        <v>416</v>
      </c>
      <c r="C254" s="12" t="s">
        <v>423</v>
      </c>
      <c r="D254" s="12" t="s">
        <v>418</v>
      </c>
      <c r="E254" s="46">
        <v>-52126.43</v>
      </c>
      <c r="G254" t="str">
        <f t="shared" si="3"/>
        <v>Sep 30, 2024</v>
      </c>
    </row>
    <row r="255" spans="1:7">
      <c r="A255" s="10">
        <v>45505</v>
      </c>
      <c r="B255" s="12" t="s">
        <v>416</v>
      </c>
      <c r="C255" s="12" t="s">
        <v>420</v>
      </c>
      <c r="D255" s="12" t="s">
        <v>418</v>
      </c>
      <c r="E255" s="46">
        <v>1198.4000000000001</v>
      </c>
      <c r="G255" t="str">
        <f t="shared" si="3"/>
        <v>Sep 30, 2024</v>
      </c>
    </row>
    <row r="256" spans="1:7">
      <c r="A256" s="10">
        <v>45533</v>
      </c>
      <c r="B256" s="12" t="s">
        <v>416</v>
      </c>
      <c r="C256" s="12" t="s">
        <v>423</v>
      </c>
      <c r="D256" s="12" t="s">
        <v>418</v>
      </c>
      <c r="E256" s="46">
        <v>-5577.46</v>
      </c>
      <c r="G256" t="str">
        <f t="shared" si="3"/>
        <v>Sep 30, 2024</v>
      </c>
    </row>
    <row r="257" spans="1:7">
      <c r="A257" s="10">
        <v>45538</v>
      </c>
      <c r="B257" s="12" t="s">
        <v>416</v>
      </c>
      <c r="C257" s="12" t="s">
        <v>420</v>
      </c>
      <c r="D257" s="12" t="s">
        <v>418</v>
      </c>
      <c r="E257" s="46">
        <v>975.53</v>
      </c>
      <c r="G257" t="str">
        <f t="shared" si="3"/>
        <v>Sep 30, 2024</v>
      </c>
    </row>
    <row r="258" spans="1:7">
      <c r="A258" s="10">
        <v>45562</v>
      </c>
      <c r="B258" s="12" t="s">
        <v>416</v>
      </c>
      <c r="C258" s="12" t="s">
        <v>423</v>
      </c>
      <c r="D258" s="12" t="s">
        <v>418</v>
      </c>
      <c r="E258" s="46">
        <v>-8367.01</v>
      </c>
      <c r="G258" t="str">
        <f t="shared" si="3"/>
        <v>Sep 30, 2024</v>
      </c>
    </row>
    <row r="259" spans="1:7">
      <c r="A259" s="10">
        <v>45565</v>
      </c>
      <c r="B259" s="12" t="s">
        <v>416</v>
      </c>
      <c r="C259" s="12" t="s">
        <v>423</v>
      </c>
      <c r="D259" s="12" t="s">
        <v>418</v>
      </c>
      <c r="E259" s="46">
        <v>-108941</v>
      </c>
      <c r="G259" t="str">
        <f t="shared" si="3"/>
        <v>Sep 30, 2024</v>
      </c>
    </row>
    <row r="260" spans="1:7">
      <c r="A260" s="10">
        <v>45566</v>
      </c>
      <c r="B260" s="12" t="s">
        <v>416</v>
      </c>
      <c r="C260" s="12" t="s">
        <v>420</v>
      </c>
      <c r="D260" s="12" t="s">
        <v>418</v>
      </c>
      <c r="E260" s="46">
        <v>879.64</v>
      </c>
      <c r="G260" t="str">
        <f t="shared" si="3"/>
        <v>Dec 31, 2024</v>
      </c>
    </row>
    <row r="261" spans="1:7">
      <c r="A261" s="10">
        <v>45597</v>
      </c>
      <c r="B261" s="12" t="s">
        <v>416</v>
      </c>
      <c r="C261" s="12" t="s">
        <v>420</v>
      </c>
      <c r="D261" s="12" t="s">
        <v>418</v>
      </c>
      <c r="E261" s="46">
        <v>410.66</v>
      </c>
      <c r="G261" t="str">
        <f t="shared" si="3"/>
        <v>Dec 31, 2024</v>
      </c>
    </row>
    <row r="262" spans="1:7">
      <c r="A262" s="10">
        <v>45601</v>
      </c>
      <c r="B262" s="12" t="s">
        <v>416</v>
      </c>
      <c r="C262" s="12" t="s">
        <v>423</v>
      </c>
      <c r="D262" s="12" t="s">
        <v>418</v>
      </c>
      <c r="E262" s="46">
        <v>-26950.35</v>
      </c>
      <c r="G262" t="str">
        <f t="shared" si="3"/>
        <v>Dec 31, 2024</v>
      </c>
    </row>
    <row r="263" spans="1:7">
      <c r="A263" s="10">
        <v>45601</v>
      </c>
      <c r="B263" s="12" t="s">
        <v>416</v>
      </c>
      <c r="C263" s="12" t="s">
        <v>423</v>
      </c>
      <c r="D263" s="12" t="s">
        <v>418</v>
      </c>
      <c r="E263" s="46">
        <v>-71.42</v>
      </c>
      <c r="G263" t="str">
        <f t="shared" ref="G263:G326" si="4">TEXT(DATE(YEAR(A263),ROUNDUP(MONTH(A263)/3,0)*3+1,0),"mmm dd, yyyy")</f>
        <v>Dec 31, 2024</v>
      </c>
    </row>
    <row r="264" spans="1:7">
      <c r="A264" s="10">
        <v>45623</v>
      </c>
      <c r="B264" s="12" t="s">
        <v>416</v>
      </c>
      <c r="C264" s="12" t="s">
        <v>423</v>
      </c>
      <c r="D264" s="12" t="s">
        <v>418</v>
      </c>
      <c r="E264" s="46">
        <v>-17143.099999999999</v>
      </c>
      <c r="G264" t="str">
        <f t="shared" si="4"/>
        <v>Dec 31, 2024</v>
      </c>
    </row>
    <row r="265" spans="1:7">
      <c r="A265" s="10">
        <v>45628</v>
      </c>
      <c r="B265" s="12" t="s">
        <v>416</v>
      </c>
      <c r="C265" s="12" t="s">
        <v>420</v>
      </c>
      <c r="D265" s="12" t="s">
        <v>418</v>
      </c>
      <c r="E265" s="46">
        <v>287.62</v>
      </c>
      <c r="G265" t="str">
        <f t="shared" si="4"/>
        <v>Dec 31, 2024</v>
      </c>
    </row>
    <row r="266" spans="1:7">
      <c r="A266" s="10">
        <v>45650</v>
      </c>
      <c r="B266" s="12" t="s">
        <v>416</v>
      </c>
      <c r="C266" s="12" t="s">
        <v>417</v>
      </c>
      <c r="D266" s="12" t="s">
        <v>418</v>
      </c>
      <c r="E266" s="46">
        <v>12456.75</v>
      </c>
      <c r="G266" t="str">
        <f t="shared" si="4"/>
        <v>Dec 31, 2024</v>
      </c>
    </row>
    <row r="267" spans="1:7">
      <c r="A267" s="10">
        <v>45650</v>
      </c>
      <c r="B267" s="12" t="s">
        <v>416</v>
      </c>
      <c r="C267" s="12" t="s">
        <v>417</v>
      </c>
      <c r="D267" s="12" t="s">
        <v>418</v>
      </c>
      <c r="E267" s="46">
        <v>12456.75</v>
      </c>
      <c r="G267" t="str">
        <f t="shared" si="4"/>
        <v>Dec 31, 2024</v>
      </c>
    </row>
    <row r="268" spans="1:7">
      <c r="A268" s="10">
        <v>45650</v>
      </c>
      <c r="B268" s="12" t="s">
        <v>416</v>
      </c>
      <c r="C268" s="12" t="s">
        <v>417</v>
      </c>
      <c r="D268" s="12" t="s">
        <v>418</v>
      </c>
      <c r="E268" s="46">
        <v>6228.37</v>
      </c>
      <c r="G268" t="str">
        <f t="shared" si="4"/>
        <v>Dec 31, 2024</v>
      </c>
    </row>
    <row r="269" spans="1:7">
      <c r="A269" s="10">
        <v>45652</v>
      </c>
      <c r="B269" s="12" t="s">
        <v>416</v>
      </c>
      <c r="C269" s="12" t="s">
        <v>417</v>
      </c>
      <c r="D269" s="12" t="s">
        <v>418</v>
      </c>
      <c r="E269" s="46">
        <v>8408.2999999999993</v>
      </c>
      <c r="G269" t="str">
        <f t="shared" si="4"/>
        <v>Dec 31, 2024</v>
      </c>
    </row>
    <row r="270" spans="1:7">
      <c r="A270" s="10">
        <v>45652</v>
      </c>
      <c r="B270" s="12" t="s">
        <v>416</v>
      </c>
      <c r="C270" s="12" t="s">
        <v>417</v>
      </c>
      <c r="D270" s="12" t="s">
        <v>418</v>
      </c>
      <c r="E270" s="46">
        <v>168166.09</v>
      </c>
      <c r="G270" t="str">
        <f t="shared" si="4"/>
        <v>Dec 31, 2024</v>
      </c>
    </row>
    <row r="271" spans="1:7">
      <c r="A271" s="10">
        <v>45652</v>
      </c>
      <c r="B271" s="12" t="s">
        <v>416</v>
      </c>
      <c r="C271" s="12" t="s">
        <v>417</v>
      </c>
      <c r="D271" s="12" t="s">
        <v>418</v>
      </c>
      <c r="E271" s="46">
        <v>42041.52</v>
      </c>
      <c r="G271" t="str">
        <f t="shared" si="4"/>
        <v>Dec 31, 2024</v>
      </c>
    </row>
    <row r="272" spans="1:7">
      <c r="A272" s="10">
        <v>45652</v>
      </c>
      <c r="B272" s="12" t="s">
        <v>416</v>
      </c>
      <c r="C272" s="12" t="s">
        <v>417</v>
      </c>
      <c r="D272" s="12" t="s">
        <v>418</v>
      </c>
      <c r="E272" s="46">
        <v>1660.9</v>
      </c>
      <c r="G272" t="str">
        <f t="shared" si="4"/>
        <v>Dec 31, 2024</v>
      </c>
    </row>
    <row r="273" spans="1:7">
      <c r="A273" s="10">
        <v>45652</v>
      </c>
      <c r="B273" s="12" t="s">
        <v>416</v>
      </c>
      <c r="C273" s="12" t="s">
        <v>417</v>
      </c>
      <c r="D273" s="12" t="s">
        <v>418</v>
      </c>
      <c r="E273" s="46">
        <v>10795.85</v>
      </c>
      <c r="G273" t="str">
        <f t="shared" si="4"/>
        <v>Dec 31, 2024</v>
      </c>
    </row>
    <row r="274" spans="1:7">
      <c r="A274" s="10">
        <v>45652</v>
      </c>
      <c r="B274" s="12" t="s">
        <v>416</v>
      </c>
      <c r="C274" s="12" t="s">
        <v>417</v>
      </c>
      <c r="D274" s="12" t="s">
        <v>418</v>
      </c>
      <c r="E274" s="46">
        <v>58131.49</v>
      </c>
      <c r="G274" t="str">
        <f t="shared" si="4"/>
        <v>Dec 31, 2024</v>
      </c>
    </row>
    <row r="275" spans="1:7">
      <c r="A275" s="10">
        <v>45653</v>
      </c>
      <c r="B275" s="12" t="s">
        <v>416</v>
      </c>
      <c r="C275" s="12" t="s">
        <v>417</v>
      </c>
      <c r="D275" s="12" t="s">
        <v>418</v>
      </c>
      <c r="E275" s="46">
        <v>26107.27</v>
      </c>
      <c r="G275" t="str">
        <f t="shared" si="4"/>
        <v>Dec 31, 2024</v>
      </c>
    </row>
    <row r="276" spans="1:7">
      <c r="A276" s="10">
        <v>45653</v>
      </c>
      <c r="B276" s="12" t="s">
        <v>416</v>
      </c>
      <c r="C276" s="12" t="s">
        <v>417</v>
      </c>
      <c r="D276" s="12" t="s">
        <v>418</v>
      </c>
      <c r="E276" s="46">
        <v>42041.52</v>
      </c>
      <c r="G276" t="str">
        <f t="shared" si="4"/>
        <v>Dec 31, 2024</v>
      </c>
    </row>
    <row r="277" spans="1:7">
      <c r="A277" s="10">
        <v>45653</v>
      </c>
      <c r="B277" s="12" t="s">
        <v>416</v>
      </c>
      <c r="C277" s="12" t="s">
        <v>417</v>
      </c>
      <c r="D277" s="12" t="s">
        <v>418</v>
      </c>
      <c r="E277" s="46">
        <v>19930.8</v>
      </c>
      <c r="G277" t="str">
        <f t="shared" si="4"/>
        <v>Dec 31, 2024</v>
      </c>
    </row>
    <row r="278" spans="1:7">
      <c r="A278" s="10">
        <v>45653</v>
      </c>
      <c r="B278" s="12" t="s">
        <v>416</v>
      </c>
      <c r="C278" s="12" t="s">
        <v>417</v>
      </c>
      <c r="D278" s="12" t="s">
        <v>418</v>
      </c>
      <c r="E278" s="46">
        <v>25224.91</v>
      </c>
      <c r="G278" t="str">
        <f t="shared" si="4"/>
        <v>Dec 31, 2024</v>
      </c>
    </row>
    <row r="279" spans="1:7">
      <c r="A279" s="10">
        <v>45656</v>
      </c>
      <c r="B279" s="12" t="s">
        <v>416</v>
      </c>
      <c r="C279" s="12" t="s">
        <v>417</v>
      </c>
      <c r="D279" s="12" t="s">
        <v>418</v>
      </c>
      <c r="E279" s="46">
        <v>4152.25</v>
      </c>
      <c r="G279" t="str">
        <f t="shared" si="4"/>
        <v>Dec 31, 2024</v>
      </c>
    </row>
    <row r="280" spans="1:7">
      <c r="A280" s="10">
        <v>45656</v>
      </c>
      <c r="B280" s="12" t="s">
        <v>416</v>
      </c>
      <c r="C280" s="12" t="s">
        <v>417</v>
      </c>
      <c r="D280" s="12" t="s">
        <v>418</v>
      </c>
      <c r="E280" s="46">
        <v>84083.04</v>
      </c>
      <c r="G280" t="str">
        <f t="shared" si="4"/>
        <v>Dec 31, 2024</v>
      </c>
    </row>
    <row r="281" spans="1:7">
      <c r="A281" s="10">
        <v>45656</v>
      </c>
      <c r="B281" s="12" t="s">
        <v>416</v>
      </c>
      <c r="C281" s="12" t="s">
        <v>417</v>
      </c>
      <c r="D281" s="12" t="s">
        <v>418</v>
      </c>
      <c r="E281" s="46">
        <v>4982.7</v>
      </c>
      <c r="G281" t="str">
        <f t="shared" si="4"/>
        <v>Dec 31, 2024</v>
      </c>
    </row>
    <row r="282" spans="1:7">
      <c r="A282" s="10">
        <v>45656</v>
      </c>
      <c r="B282" s="12" t="s">
        <v>416</v>
      </c>
      <c r="C282" s="12" t="s">
        <v>417</v>
      </c>
      <c r="D282" s="12" t="s">
        <v>418</v>
      </c>
      <c r="E282" s="46">
        <v>33217.99</v>
      </c>
      <c r="G282" t="str">
        <f t="shared" si="4"/>
        <v>Dec 31, 2024</v>
      </c>
    </row>
    <row r="283" spans="1:7">
      <c r="A283" s="10">
        <v>45656</v>
      </c>
      <c r="B283" s="12" t="s">
        <v>416</v>
      </c>
      <c r="C283" s="12" t="s">
        <v>417</v>
      </c>
      <c r="D283" s="12" t="s">
        <v>418</v>
      </c>
      <c r="E283" s="46">
        <v>4204.1499999999996</v>
      </c>
      <c r="G283" t="str">
        <f t="shared" si="4"/>
        <v>Dec 31, 2024</v>
      </c>
    </row>
    <row r="284" spans="1:7">
      <c r="A284" s="10">
        <v>45656</v>
      </c>
      <c r="B284" s="12" t="s">
        <v>416</v>
      </c>
      <c r="C284" s="12" t="s">
        <v>417</v>
      </c>
      <c r="D284" s="12" t="s">
        <v>418</v>
      </c>
      <c r="E284" s="46">
        <v>6643.6</v>
      </c>
      <c r="G284" t="str">
        <f t="shared" si="4"/>
        <v>Dec 31, 2024</v>
      </c>
    </row>
    <row r="285" spans="1:7">
      <c r="A285" s="10">
        <v>45656</v>
      </c>
      <c r="B285" s="12" t="s">
        <v>416</v>
      </c>
      <c r="C285" s="12" t="s">
        <v>417</v>
      </c>
      <c r="D285" s="12" t="s">
        <v>418</v>
      </c>
      <c r="E285" s="46">
        <v>8408.2999999999993</v>
      </c>
      <c r="G285" t="str">
        <f t="shared" si="4"/>
        <v>Dec 31, 2024</v>
      </c>
    </row>
    <row r="286" spans="1:7">
      <c r="A286" s="10">
        <v>45656</v>
      </c>
      <c r="B286" s="12" t="s">
        <v>416</v>
      </c>
      <c r="C286" s="12" t="s">
        <v>417</v>
      </c>
      <c r="D286" s="12" t="s">
        <v>418</v>
      </c>
      <c r="E286" s="46">
        <v>8408.2999999999993</v>
      </c>
      <c r="G286" t="str">
        <f t="shared" si="4"/>
        <v>Dec 31, 2024</v>
      </c>
    </row>
    <row r="287" spans="1:7">
      <c r="A287" s="10">
        <v>45656</v>
      </c>
      <c r="B287" s="12" t="s">
        <v>416</v>
      </c>
      <c r="C287" s="12" t="s">
        <v>417</v>
      </c>
      <c r="D287" s="12" t="s">
        <v>418</v>
      </c>
      <c r="E287" s="46">
        <v>2491.35</v>
      </c>
      <c r="G287" t="str">
        <f t="shared" si="4"/>
        <v>Dec 31, 2024</v>
      </c>
    </row>
    <row r="288" spans="1:7">
      <c r="A288" s="10">
        <v>45656</v>
      </c>
      <c r="B288" s="12" t="s">
        <v>416</v>
      </c>
      <c r="C288" s="12" t="s">
        <v>417</v>
      </c>
      <c r="D288" s="12" t="s">
        <v>418</v>
      </c>
      <c r="E288" s="46">
        <v>8408.2999999999993</v>
      </c>
      <c r="G288" t="str">
        <f t="shared" si="4"/>
        <v>Dec 31, 2024</v>
      </c>
    </row>
    <row r="289" spans="1:7">
      <c r="A289" s="10">
        <v>45656</v>
      </c>
      <c r="B289" s="12" t="s">
        <v>416</v>
      </c>
      <c r="C289" s="12" t="s">
        <v>417</v>
      </c>
      <c r="D289" s="12" t="s">
        <v>418</v>
      </c>
      <c r="E289" s="46">
        <v>92491.35</v>
      </c>
      <c r="G289" t="str">
        <f t="shared" si="4"/>
        <v>Dec 31, 2024</v>
      </c>
    </row>
    <row r="290" spans="1:7">
      <c r="A290" s="10">
        <v>45656</v>
      </c>
      <c r="B290" s="12" t="s">
        <v>416</v>
      </c>
      <c r="C290" s="12" t="s">
        <v>417</v>
      </c>
      <c r="D290" s="12" t="s">
        <v>418</v>
      </c>
      <c r="E290" s="46">
        <v>830.45</v>
      </c>
      <c r="G290" t="str">
        <f t="shared" si="4"/>
        <v>Dec 31, 2024</v>
      </c>
    </row>
    <row r="291" spans="1:7">
      <c r="A291" s="10">
        <v>45656</v>
      </c>
      <c r="B291" s="12" t="s">
        <v>416</v>
      </c>
      <c r="C291" s="12" t="s">
        <v>417</v>
      </c>
      <c r="D291" s="12" t="s">
        <v>418</v>
      </c>
      <c r="E291" s="46">
        <v>52069.2</v>
      </c>
      <c r="G291" t="str">
        <f t="shared" si="4"/>
        <v>Dec 31, 2024</v>
      </c>
    </row>
    <row r="292" spans="1:7">
      <c r="A292" s="10">
        <v>45656</v>
      </c>
      <c r="B292" s="12" t="s">
        <v>416</v>
      </c>
      <c r="C292" s="12" t="s">
        <v>417</v>
      </c>
      <c r="D292" s="12" t="s">
        <v>418</v>
      </c>
      <c r="E292" s="46">
        <v>11709.34</v>
      </c>
      <c r="G292" t="str">
        <f t="shared" si="4"/>
        <v>Dec 31, 2024</v>
      </c>
    </row>
    <row r="293" spans="1:7">
      <c r="A293" s="10">
        <v>45656</v>
      </c>
      <c r="B293" s="12" t="s">
        <v>416</v>
      </c>
      <c r="C293" s="12" t="s">
        <v>417</v>
      </c>
      <c r="D293" s="12" t="s">
        <v>418</v>
      </c>
      <c r="E293" s="46">
        <v>1660.9</v>
      </c>
      <c r="G293" t="str">
        <f t="shared" si="4"/>
        <v>Dec 31, 2024</v>
      </c>
    </row>
    <row r="294" spans="1:7">
      <c r="A294" s="10">
        <v>45656</v>
      </c>
      <c r="B294" s="12" t="s">
        <v>416</v>
      </c>
      <c r="C294" s="12" t="s">
        <v>417</v>
      </c>
      <c r="D294" s="12" t="s">
        <v>418</v>
      </c>
      <c r="E294" s="46">
        <v>1681.66</v>
      </c>
      <c r="G294" t="str">
        <f t="shared" si="4"/>
        <v>Dec 31, 2024</v>
      </c>
    </row>
    <row r="295" spans="1:7">
      <c r="A295" s="10">
        <v>45656</v>
      </c>
      <c r="B295" s="12" t="s">
        <v>416</v>
      </c>
      <c r="C295" s="12" t="s">
        <v>417</v>
      </c>
      <c r="D295" s="12" t="s">
        <v>418</v>
      </c>
      <c r="E295" s="46">
        <v>3363.32</v>
      </c>
      <c r="G295" t="str">
        <f t="shared" si="4"/>
        <v>Dec 31, 2024</v>
      </c>
    </row>
    <row r="296" spans="1:7">
      <c r="A296" s="10">
        <v>45656</v>
      </c>
      <c r="B296" s="12" t="s">
        <v>416</v>
      </c>
      <c r="C296" s="12" t="s">
        <v>417</v>
      </c>
      <c r="D296" s="12" t="s">
        <v>418</v>
      </c>
      <c r="E296" s="46">
        <v>83044.98</v>
      </c>
      <c r="G296" t="str">
        <f t="shared" si="4"/>
        <v>Dec 31, 2024</v>
      </c>
    </row>
    <row r="297" spans="1:7">
      <c r="A297" s="10">
        <v>45656</v>
      </c>
      <c r="B297" s="12" t="s">
        <v>416</v>
      </c>
      <c r="C297" s="12" t="s">
        <v>417</v>
      </c>
      <c r="D297" s="12" t="s">
        <v>418</v>
      </c>
      <c r="E297" s="46">
        <v>33633.22</v>
      </c>
      <c r="G297" t="str">
        <f t="shared" si="4"/>
        <v>Dec 31, 2024</v>
      </c>
    </row>
    <row r="298" spans="1:7">
      <c r="A298" s="10">
        <v>45656</v>
      </c>
      <c r="B298" s="12" t="s">
        <v>416</v>
      </c>
      <c r="C298" s="12" t="s">
        <v>417</v>
      </c>
      <c r="D298" s="12" t="s">
        <v>418</v>
      </c>
      <c r="E298" s="46">
        <v>16816.61</v>
      </c>
      <c r="G298" t="str">
        <f t="shared" si="4"/>
        <v>Dec 31, 2024</v>
      </c>
    </row>
    <row r="299" spans="1:7">
      <c r="A299" s="10">
        <v>45656</v>
      </c>
      <c r="B299" s="12" t="s">
        <v>416</v>
      </c>
      <c r="C299" s="12" t="s">
        <v>417</v>
      </c>
      <c r="D299" s="12" t="s">
        <v>418</v>
      </c>
      <c r="E299" s="46">
        <v>3363.32</v>
      </c>
      <c r="G299" t="str">
        <f t="shared" si="4"/>
        <v>Dec 31, 2024</v>
      </c>
    </row>
    <row r="300" spans="1:7">
      <c r="A300" s="10">
        <v>45656</v>
      </c>
      <c r="B300" s="12" t="s">
        <v>416</v>
      </c>
      <c r="C300" s="12" t="s">
        <v>417</v>
      </c>
      <c r="D300" s="12" t="s">
        <v>418</v>
      </c>
      <c r="E300" s="46">
        <v>8304.5</v>
      </c>
      <c r="G300" t="str">
        <f t="shared" si="4"/>
        <v>Dec 31, 2024</v>
      </c>
    </row>
    <row r="301" spans="1:7">
      <c r="A301" s="10">
        <v>45656</v>
      </c>
      <c r="B301" s="12" t="s">
        <v>416</v>
      </c>
      <c r="C301" s="12" t="s">
        <v>417</v>
      </c>
      <c r="D301" s="12" t="s">
        <v>418</v>
      </c>
      <c r="E301" s="46">
        <v>168166.09</v>
      </c>
      <c r="G301" t="str">
        <f t="shared" si="4"/>
        <v>Dec 31, 2024</v>
      </c>
    </row>
    <row r="302" spans="1:7">
      <c r="A302" s="10">
        <v>45656</v>
      </c>
      <c r="B302" s="12" t="s">
        <v>416</v>
      </c>
      <c r="C302" s="12" t="s">
        <v>417</v>
      </c>
      <c r="D302" s="12" t="s">
        <v>418</v>
      </c>
      <c r="E302" s="46">
        <v>67266.44</v>
      </c>
      <c r="G302" t="str">
        <f t="shared" si="4"/>
        <v>Dec 31, 2024</v>
      </c>
    </row>
    <row r="303" spans="1:7">
      <c r="A303" s="10">
        <v>45656</v>
      </c>
      <c r="B303" s="12" t="s">
        <v>416</v>
      </c>
      <c r="C303" s="12" t="s">
        <v>417</v>
      </c>
      <c r="D303" s="12" t="s">
        <v>418</v>
      </c>
      <c r="E303" s="46">
        <v>5044.9799999999996</v>
      </c>
      <c r="G303" t="str">
        <f t="shared" si="4"/>
        <v>Dec 31, 2024</v>
      </c>
    </row>
    <row r="304" spans="1:7">
      <c r="A304" s="10">
        <v>45656</v>
      </c>
      <c r="B304" s="12" t="s">
        <v>416</v>
      </c>
      <c r="C304" s="12" t="s">
        <v>417</v>
      </c>
      <c r="D304" s="12" t="s">
        <v>418</v>
      </c>
      <c r="E304" s="46">
        <v>6228.37</v>
      </c>
      <c r="G304" t="str">
        <f t="shared" si="4"/>
        <v>Dec 31, 2024</v>
      </c>
    </row>
    <row r="305" spans="1:7">
      <c r="A305" s="10">
        <v>45656</v>
      </c>
      <c r="B305" s="12" t="s">
        <v>416</v>
      </c>
      <c r="C305" s="12" t="s">
        <v>417</v>
      </c>
      <c r="D305" s="12" t="s">
        <v>418</v>
      </c>
      <c r="E305" s="46">
        <v>830.45</v>
      </c>
      <c r="G305" t="str">
        <f t="shared" si="4"/>
        <v>Dec 31, 2024</v>
      </c>
    </row>
    <row r="306" spans="1:7">
      <c r="A306" s="10">
        <v>45656</v>
      </c>
      <c r="B306" s="12" t="s">
        <v>416</v>
      </c>
      <c r="C306" s="12" t="s">
        <v>417</v>
      </c>
      <c r="D306" s="12" t="s">
        <v>418</v>
      </c>
      <c r="E306" s="46">
        <v>1660.9</v>
      </c>
      <c r="G306" t="str">
        <f t="shared" si="4"/>
        <v>Dec 31, 2024</v>
      </c>
    </row>
    <row r="307" spans="1:7">
      <c r="A307" s="10">
        <v>45656</v>
      </c>
      <c r="B307" s="12" t="s">
        <v>416</v>
      </c>
      <c r="C307" s="12" t="s">
        <v>417</v>
      </c>
      <c r="D307" s="12" t="s">
        <v>418</v>
      </c>
      <c r="E307" s="46">
        <v>33633.22</v>
      </c>
      <c r="G307" t="str">
        <f t="shared" si="4"/>
        <v>Dec 31, 2024</v>
      </c>
    </row>
    <row r="308" spans="1:7">
      <c r="A308" s="10">
        <v>45656</v>
      </c>
      <c r="B308" s="12" t="s">
        <v>416</v>
      </c>
      <c r="C308" s="12" t="s">
        <v>417</v>
      </c>
      <c r="D308" s="12" t="s">
        <v>418</v>
      </c>
      <c r="E308" s="46">
        <v>16609</v>
      </c>
      <c r="G308" t="str">
        <f t="shared" si="4"/>
        <v>Dec 31, 2024</v>
      </c>
    </row>
    <row r="309" spans="1:7">
      <c r="A309" s="10">
        <v>45656</v>
      </c>
      <c r="B309" s="12" t="s">
        <v>416</v>
      </c>
      <c r="C309" s="12" t="s">
        <v>417</v>
      </c>
      <c r="D309" s="12" t="s">
        <v>418</v>
      </c>
      <c r="E309" s="46">
        <v>8304.5</v>
      </c>
      <c r="G309" t="str">
        <f t="shared" si="4"/>
        <v>Dec 31, 2024</v>
      </c>
    </row>
    <row r="310" spans="1:7">
      <c r="A310" s="10">
        <v>45656</v>
      </c>
      <c r="B310" s="12" t="s">
        <v>416</v>
      </c>
      <c r="C310" s="12" t="s">
        <v>417</v>
      </c>
      <c r="D310" s="12" t="s">
        <v>418</v>
      </c>
      <c r="E310" s="46">
        <v>2491.35</v>
      </c>
      <c r="G310" t="str">
        <f t="shared" si="4"/>
        <v>Dec 31, 2024</v>
      </c>
    </row>
    <row r="311" spans="1:7">
      <c r="A311" s="10">
        <v>45656</v>
      </c>
      <c r="B311" s="12" t="s">
        <v>416</v>
      </c>
      <c r="C311" s="12" t="s">
        <v>417</v>
      </c>
      <c r="D311" s="12" t="s">
        <v>418</v>
      </c>
      <c r="E311" s="46">
        <v>1660.9</v>
      </c>
      <c r="G311" t="str">
        <f t="shared" si="4"/>
        <v>Dec 31, 2024</v>
      </c>
    </row>
    <row r="312" spans="1:7">
      <c r="A312" s="10">
        <v>45656</v>
      </c>
      <c r="B312" s="12" t="s">
        <v>416</v>
      </c>
      <c r="C312" s="12" t="s">
        <v>423</v>
      </c>
      <c r="D312" s="12" t="s">
        <v>418</v>
      </c>
      <c r="E312" s="46">
        <v>-704266</v>
      </c>
      <c r="G312" t="str">
        <f t="shared" si="4"/>
        <v>Dec 31, 2024</v>
      </c>
    </row>
    <row r="313" spans="1:7">
      <c r="A313" s="10">
        <v>45656</v>
      </c>
      <c r="B313" s="12" t="s">
        <v>416</v>
      </c>
      <c r="C313" s="12" t="s">
        <v>423</v>
      </c>
      <c r="D313" s="12" t="s">
        <v>418</v>
      </c>
      <c r="E313" s="46">
        <v>-236956.83</v>
      </c>
      <c r="G313" t="str">
        <f t="shared" si="4"/>
        <v>Dec 31, 2024</v>
      </c>
    </row>
    <row r="314" spans="1:7">
      <c r="A314" s="10">
        <v>45657</v>
      </c>
      <c r="B314" s="12" t="s">
        <v>416</v>
      </c>
      <c r="C314" s="12" t="s">
        <v>417</v>
      </c>
      <c r="D314" s="12" t="s">
        <v>418</v>
      </c>
      <c r="E314" s="46">
        <v>3321.8</v>
      </c>
      <c r="G314" t="str">
        <f t="shared" si="4"/>
        <v>Dec 31, 2024</v>
      </c>
    </row>
    <row r="315" spans="1:7">
      <c r="A315" s="10">
        <v>45657</v>
      </c>
      <c r="B315" s="12" t="s">
        <v>416</v>
      </c>
      <c r="C315" s="12" t="s">
        <v>417</v>
      </c>
      <c r="D315" s="12" t="s">
        <v>418</v>
      </c>
      <c r="E315" s="46">
        <v>24913.49</v>
      </c>
      <c r="G315" t="str">
        <f t="shared" si="4"/>
        <v>Dec 31, 2024</v>
      </c>
    </row>
    <row r="316" spans="1:7">
      <c r="A316" s="10">
        <v>45659</v>
      </c>
      <c r="B316" s="12" t="s">
        <v>416</v>
      </c>
      <c r="C316" s="12" t="s">
        <v>420</v>
      </c>
      <c r="D316" s="12" t="s">
        <v>418</v>
      </c>
      <c r="E316" s="46">
        <v>331.56</v>
      </c>
      <c r="G316" t="str">
        <f t="shared" si="4"/>
        <v>Mar 31, 2025</v>
      </c>
    </row>
    <row r="317" spans="1:7">
      <c r="A317" s="10">
        <v>45663</v>
      </c>
      <c r="B317" s="12" t="s">
        <v>416</v>
      </c>
      <c r="C317" s="12" t="s">
        <v>417</v>
      </c>
      <c r="D317" s="12" t="s">
        <v>418</v>
      </c>
      <c r="E317" s="46">
        <v>252249.16</v>
      </c>
      <c r="G317" t="str">
        <f t="shared" si="4"/>
        <v>Mar 31, 2025</v>
      </c>
    </row>
    <row r="318" spans="1:7">
      <c r="A318" s="10">
        <v>45688</v>
      </c>
      <c r="B318" s="12" t="s">
        <v>416</v>
      </c>
      <c r="C318" s="12" t="s">
        <v>423</v>
      </c>
      <c r="D318" s="12" t="s">
        <v>418</v>
      </c>
      <c r="E318" s="46">
        <v>-13774.23</v>
      </c>
      <c r="G318" t="str">
        <f t="shared" si="4"/>
        <v>Mar 31, 2025</v>
      </c>
    </row>
    <row r="319" spans="1:7">
      <c r="A319" s="10">
        <v>45691</v>
      </c>
      <c r="B319" s="12" t="s">
        <v>416</v>
      </c>
      <c r="C319" s="12" t="s">
        <v>420</v>
      </c>
      <c r="D319" s="12" t="s">
        <v>418</v>
      </c>
      <c r="E319" s="46">
        <v>2103.33</v>
      </c>
      <c r="G319" t="str">
        <f t="shared" si="4"/>
        <v>Mar 31, 2025</v>
      </c>
    </row>
    <row r="320" spans="1:7">
      <c r="A320" s="10">
        <v>45715</v>
      </c>
      <c r="B320" s="12" t="s">
        <v>416</v>
      </c>
      <c r="C320" s="12" t="s">
        <v>423</v>
      </c>
      <c r="D320" s="12" t="s">
        <v>418</v>
      </c>
      <c r="E320" s="46">
        <v>-149590.35999999999</v>
      </c>
      <c r="G320" t="str">
        <f t="shared" si="4"/>
        <v>Mar 31, 2025</v>
      </c>
    </row>
    <row r="321" spans="1:7">
      <c r="A321" s="10">
        <v>45719</v>
      </c>
      <c r="B321" s="12" t="s">
        <v>416</v>
      </c>
      <c r="C321" s="12" t="s">
        <v>420</v>
      </c>
      <c r="D321" s="12" t="s">
        <v>418</v>
      </c>
      <c r="E321" s="46">
        <v>1950.63</v>
      </c>
      <c r="G321" t="str">
        <f t="shared" si="4"/>
        <v>Mar 31, 2025</v>
      </c>
    </row>
    <row r="322" spans="1:7">
      <c r="A322" s="10">
        <v>45737</v>
      </c>
      <c r="B322" s="12" t="s">
        <v>416</v>
      </c>
      <c r="C322" s="12" t="s">
        <v>423</v>
      </c>
      <c r="D322" s="12" t="s">
        <v>418</v>
      </c>
      <c r="E322" s="46">
        <v>-128279</v>
      </c>
      <c r="G322" t="str">
        <f t="shared" si="4"/>
        <v>Mar 31, 2025</v>
      </c>
    </row>
    <row r="323" spans="1:7">
      <c r="A323" s="10">
        <v>45747</v>
      </c>
      <c r="B323" s="12" t="s">
        <v>416</v>
      </c>
      <c r="C323" s="12" t="s">
        <v>423</v>
      </c>
      <c r="D323" s="12" t="s">
        <v>418</v>
      </c>
      <c r="E323" s="46">
        <v>-42590.53</v>
      </c>
      <c r="G323" t="str">
        <f t="shared" si="4"/>
        <v>Mar 31, 2025</v>
      </c>
    </row>
    <row r="324" spans="1:7">
      <c r="A324" s="10">
        <v>45747</v>
      </c>
      <c r="B324" s="12" t="s">
        <v>416</v>
      </c>
      <c r="C324" s="12" t="s">
        <v>423</v>
      </c>
      <c r="D324" s="12" t="s">
        <v>418</v>
      </c>
      <c r="E324" s="46">
        <v>-296.20000000000005</v>
      </c>
      <c r="G324" t="str">
        <f t="shared" si="4"/>
        <v>Mar 31, 2025</v>
      </c>
    </row>
    <row r="325" spans="1:7">
      <c r="A325" s="10">
        <v>45747</v>
      </c>
      <c r="B325" s="12" t="s">
        <v>416</v>
      </c>
      <c r="C325" s="12" t="s">
        <v>423</v>
      </c>
      <c r="D325" s="12" t="s">
        <v>418</v>
      </c>
      <c r="E325" s="46">
        <v>-5621.7300000000005</v>
      </c>
      <c r="G325" t="str">
        <f t="shared" si="4"/>
        <v>Mar 31, 2025</v>
      </c>
    </row>
    <row r="326" spans="1:7">
      <c r="A326" s="10">
        <v>45747</v>
      </c>
      <c r="B326" s="12" t="s">
        <v>416</v>
      </c>
      <c r="C326" s="12" t="s">
        <v>423</v>
      </c>
      <c r="D326" s="12" t="s">
        <v>418</v>
      </c>
      <c r="E326" s="46">
        <v>-12</v>
      </c>
      <c r="G326" t="str">
        <f t="shared" si="4"/>
        <v>Mar 31, 2025</v>
      </c>
    </row>
    <row r="327" spans="1:7">
      <c r="A327" s="10">
        <v>45747</v>
      </c>
      <c r="B327" s="12" t="s">
        <v>416</v>
      </c>
      <c r="C327" s="12" t="s">
        <v>423</v>
      </c>
      <c r="D327" s="12" t="s">
        <v>418</v>
      </c>
      <c r="E327" s="46">
        <v>-13111.94</v>
      </c>
      <c r="G327" t="str">
        <f t="shared" ref="G327:G390" si="5">TEXT(DATE(YEAR(A327),ROUNDUP(MONTH(A327)/3,0)*3+1,0),"mmm dd, yyyy")</f>
        <v>Mar 31, 2025</v>
      </c>
    </row>
    <row r="328" spans="1:7">
      <c r="A328" s="10">
        <v>45747</v>
      </c>
      <c r="B328" s="12" t="s">
        <v>416</v>
      </c>
      <c r="C328" s="12" t="s">
        <v>423</v>
      </c>
      <c r="D328" s="12" t="s">
        <v>418</v>
      </c>
      <c r="E328" s="46">
        <v>-1852.5499999999963</v>
      </c>
      <c r="G328" t="str">
        <f t="shared" si="5"/>
        <v>Mar 31, 2025</v>
      </c>
    </row>
    <row r="329" spans="1:7">
      <c r="A329" s="10">
        <v>45747</v>
      </c>
      <c r="B329" s="12" t="s">
        <v>416</v>
      </c>
      <c r="C329" s="12" t="s">
        <v>423</v>
      </c>
      <c r="D329" s="12" t="s">
        <v>418</v>
      </c>
      <c r="E329" s="46">
        <v>-10650.75</v>
      </c>
      <c r="G329" t="str">
        <f t="shared" si="5"/>
        <v>Mar 31, 2025</v>
      </c>
    </row>
    <row r="330" spans="1:7">
      <c r="A330" s="10">
        <v>45747</v>
      </c>
      <c r="B330" s="12" t="s">
        <v>416</v>
      </c>
      <c r="C330" s="12" t="s">
        <v>423</v>
      </c>
      <c r="D330" s="12" t="s">
        <v>418</v>
      </c>
      <c r="E330" s="46">
        <v>-3424.92</v>
      </c>
      <c r="G330" t="str">
        <f t="shared" si="5"/>
        <v>Mar 31, 2025</v>
      </c>
    </row>
    <row r="331" spans="1:7">
      <c r="A331" s="10">
        <v>45748</v>
      </c>
      <c r="B331" s="12" t="s">
        <v>416</v>
      </c>
      <c r="C331" s="12" t="s">
        <v>420</v>
      </c>
      <c r="D331" s="12" t="s">
        <v>418</v>
      </c>
      <c r="E331" s="46">
        <v>1476.76</v>
      </c>
      <c r="G331" t="str">
        <f t="shared" si="5"/>
        <v>Jun 30, 2025</v>
      </c>
    </row>
    <row r="332" spans="1:7">
      <c r="A332" s="10">
        <v>45778</v>
      </c>
      <c r="B332" s="12" t="s">
        <v>416</v>
      </c>
      <c r="C332" s="12" t="s">
        <v>420</v>
      </c>
      <c r="D332" s="12" t="s">
        <v>418</v>
      </c>
      <c r="E332" s="46">
        <v>880.12</v>
      </c>
      <c r="G332" t="str">
        <f t="shared" si="5"/>
        <v>Jun 30, 2025</v>
      </c>
    </row>
    <row r="333" spans="1:7">
      <c r="A333" s="10">
        <v>45782</v>
      </c>
      <c r="B333" s="12" t="s">
        <v>416</v>
      </c>
      <c r="C333" s="12" t="s">
        <v>423</v>
      </c>
      <c r="D333" s="12" t="s">
        <v>418</v>
      </c>
      <c r="E333" s="46">
        <v>-6817.04</v>
      </c>
      <c r="G333" t="str">
        <f t="shared" si="5"/>
        <v>Jun 30, 2025</v>
      </c>
    </row>
    <row r="334" spans="1:7">
      <c r="A334" s="10">
        <v>45782</v>
      </c>
      <c r="B334" s="12" t="s">
        <v>416</v>
      </c>
      <c r="C334" s="12" t="s">
        <v>423</v>
      </c>
      <c r="D334" s="12" t="s">
        <v>418</v>
      </c>
      <c r="E334" s="46">
        <v>-769.75</v>
      </c>
      <c r="G334" t="str">
        <f t="shared" si="5"/>
        <v>Jun 30, 2025</v>
      </c>
    </row>
    <row r="335" spans="1:7">
      <c r="A335" s="10">
        <v>45782</v>
      </c>
      <c r="B335" s="12" t="s">
        <v>416</v>
      </c>
      <c r="C335" s="12" t="s">
        <v>423</v>
      </c>
      <c r="D335" s="12" t="s">
        <v>418</v>
      </c>
      <c r="E335" s="46">
        <v>-5067.5199999999995</v>
      </c>
      <c r="G335" t="str">
        <f t="shared" si="5"/>
        <v>Jun 30, 2025</v>
      </c>
    </row>
    <row r="336" spans="1:7">
      <c r="A336" s="10">
        <v>45782</v>
      </c>
      <c r="B336" s="12" t="s">
        <v>416</v>
      </c>
      <c r="C336" s="12" t="s">
        <v>423</v>
      </c>
      <c r="D336" s="12" t="s">
        <v>418</v>
      </c>
      <c r="E336" s="46">
        <v>-1688.6899999999987</v>
      </c>
      <c r="G336" t="str">
        <f t="shared" si="5"/>
        <v>Jun 30, 2025</v>
      </c>
    </row>
    <row r="337" spans="1:7">
      <c r="A337" s="10">
        <v>45782</v>
      </c>
      <c r="B337" s="12" t="s">
        <v>416</v>
      </c>
      <c r="C337" s="12" t="s">
        <v>423</v>
      </c>
      <c r="D337" s="12" t="s">
        <v>418</v>
      </c>
      <c r="E337" s="46">
        <v>-450</v>
      </c>
      <c r="G337" t="str">
        <f t="shared" si="5"/>
        <v>Jun 30, 2025</v>
      </c>
    </row>
    <row r="338" spans="1:7">
      <c r="A338" s="10">
        <v>45782</v>
      </c>
      <c r="B338" s="12" t="s">
        <v>416</v>
      </c>
      <c r="C338" s="12" t="s">
        <v>423</v>
      </c>
      <c r="D338" s="12" t="s">
        <v>418</v>
      </c>
      <c r="E338" s="46">
        <v>-3493.82</v>
      </c>
      <c r="G338" t="str">
        <f t="shared" si="5"/>
        <v>Jun 30, 2025</v>
      </c>
    </row>
    <row r="339" spans="1:7">
      <c r="A339" s="10">
        <v>45807</v>
      </c>
      <c r="B339" s="12" t="s">
        <v>416</v>
      </c>
      <c r="C339" s="12" t="s">
        <v>423</v>
      </c>
      <c r="D339" s="12" t="s">
        <v>418</v>
      </c>
      <c r="E339" s="46">
        <v>-88.37</v>
      </c>
      <c r="G339" t="str">
        <f t="shared" si="5"/>
        <v>Jun 30, 2025</v>
      </c>
    </row>
    <row r="340" spans="1:7">
      <c r="A340" s="10">
        <v>45807</v>
      </c>
      <c r="B340" s="12" t="s">
        <v>416</v>
      </c>
      <c r="C340" s="12" t="s">
        <v>423</v>
      </c>
      <c r="D340" s="12" t="s">
        <v>418</v>
      </c>
      <c r="E340" s="46">
        <v>-2896.62</v>
      </c>
      <c r="G340" t="str">
        <f t="shared" si="5"/>
        <v>Jun 30, 2025</v>
      </c>
    </row>
    <row r="341" spans="1:7">
      <c r="A341" s="10">
        <v>45807</v>
      </c>
      <c r="B341" s="12" t="s">
        <v>416</v>
      </c>
      <c r="C341" s="12" t="s">
        <v>423</v>
      </c>
      <c r="D341" s="12" t="s">
        <v>418</v>
      </c>
      <c r="E341" s="46">
        <v>-1530</v>
      </c>
      <c r="G341" t="str">
        <f t="shared" si="5"/>
        <v>Jun 30, 2025</v>
      </c>
    </row>
    <row r="342" spans="1:7">
      <c r="A342" s="10">
        <v>45807</v>
      </c>
      <c r="B342" s="12" t="s">
        <v>416</v>
      </c>
      <c r="C342" s="12" t="s">
        <v>423</v>
      </c>
      <c r="D342" s="12" t="s">
        <v>418</v>
      </c>
      <c r="E342" s="46">
        <v>-1500</v>
      </c>
      <c r="G342" t="str">
        <f t="shared" si="5"/>
        <v>Jun 30, 2025</v>
      </c>
    </row>
    <row r="343" spans="1:7">
      <c r="A343" s="10">
        <v>45807</v>
      </c>
      <c r="B343" s="12" t="s">
        <v>416</v>
      </c>
      <c r="C343" s="12" t="s">
        <v>423</v>
      </c>
      <c r="D343" s="12" t="s">
        <v>418</v>
      </c>
      <c r="E343" s="46">
        <v>-2671.08</v>
      </c>
      <c r="G343" t="str">
        <f t="shared" si="5"/>
        <v>Jun 30, 2025</v>
      </c>
    </row>
    <row r="344" spans="1:7">
      <c r="A344" s="10">
        <v>45807</v>
      </c>
      <c r="B344" s="12" t="s">
        <v>416</v>
      </c>
      <c r="C344" s="12" t="s">
        <v>423</v>
      </c>
      <c r="D344" s="12" t="s">
        <v>418</v>
      </c>
      <c r="E344" s="46">
        <v>-33372.879999999997</v>
      </c>
      <c r="G344" t="str">
        <f t="shared" si="5"/>
        <v>Jun 30, 2025</v>
      </c>
    </row>
    <row r="345" spans="1:7">
      <c r="A345" s="10">
        <v>45807</v>
      </c>
      <c r="B345" s="12" t="s">
        <v>416</v>
      </c>
      <c r="C345" s="12" t="s">
        <v>423</v>
      </c>
      <c r="D345" s="12" t="s">
        <v>418</v>
      </c>
      <c r="E345" s="46">
        <v>-2383</v>
      </c>
      <c r="G345" t="str">
        <f t="shared" si="5"/>
        <v>Jun 30, 2025</v>
      </c>
    </row>
    <row r="346" spans="1:7">
      <c r="A346" s="10">
        <v>45807</v>
      </c>
      <c r="B346" s="12" t="s">
        <v>416</v>
      </c>
      <c r="C346" s="12" t="s">
        <v>423</v>
      </c>
      <c r="D346" s="12" t="s">
        <v>418</v>
      </c>
      <c r="E346" s="46">
        <v>-1221.72</v>
      </c>
      <c r="G346" t="str">
        <f t="shared" si="5"/>
        <v>Jun 30, 2025</v>
      </c>
    </row>
    <row r="347" spans="1:7">
      <c r="A347" s="10">
        <v>45810</v>
      </c>
      <c r="B347" s="12" t="s">
        <v>416</v>
      </c>
      <c r="C347" s="12" t="s">
        <v>420</v>
      </c>
      <c r="D347" s="12" t="s">
        <v>418</v>
      </c>
      <c r="E347" s="46">
        <v>839.39</v>
      </c>
      <c r="G347" t="str">
        <f t="shared" si="5"/>
        <v>Jun 30, 2025</v>
      </c>
    </row>
    <row r="348" spans="1:7">
      <c r="A348" s="10">
        <v>45835</v>
      </c>
      <c r="B348" s="12" t="s">
        <v>416</v>
      </c>
      <c r="C348" s="12" t="s">
        <v>423</v>
      </c>
      <c r="D348" s="12" t="s">
        <v>418</v>
      </c>
      <c r="E348" s="46">
        <v>-127.61</v>
      </c>
      <c r="G348" t="str">
        <f t="shared" si="5"/>
        <v>Jun 30, 2025</v>
      </c>
    </row>
    <row r="349" spans="1:7">
      <c r="A349" s="10">
        <v>45835</v>
      </c>
      <c r="B349" s="12" t="s">
        <v>416</v>
      </c>
      <c r="C349" s="12" t="s">
        <v>423</v>
      </c>
      <c r="D349" s="12" t="s">
        <v>418</v>
      </c>
      <c r="E349" s="46">
        <v>-43149.04</v>
      </c>
      <c r="G349" t="str">
        <f t="shared" si="5"/>
        <v>Jun 30, 2025</v>
      </c>
    </row>
    <row r="350" spans="1:7">
      <c r="A350" s="10">
        <v>45835</v>
      </c>
      <c r="B350" s="12" t="s">
        <v>416</v>
      </c>
      <c r="C350" s="12" t="s">
        <v>423</v>
      </c>
      <c r="D350" s="12" t="s">
        <v>418</v>
      </c>
      <c r="E350" s="46">
        <v>-43.88</v>
      </c>
      <c r="G350" t="str">
        <f t="shared" si="5"/>
        <v>Jun 30, 2025</v>
      </c>
    </row>
    <row r="351" spans="1:7">
      <c r="A351" s="10">
        <v>45835</v>
      </c>
      <c r="B351" s="12" t="s">
        <v>416</v>
      </c>
      <c r="C351" s="12" t="s">
        <v>423</v>
      </c>
      <c r="D351" s="12" t="s">
        <v>418</v>
      </c>
      <c r="E351" s="46">
        <v>-250</v>
      </c>
      <c r="G351" t="str">
        <f t="shared" si="5"/>
        <v>Jun 30, 2025</v>
      </c>
    </row>
    <row r="352" spans="1:7">
      <c r="A352" s="10">
        <v>45835</v>
      </c>
      <c r="B352" s="12" t="s">
        <v>416</v>
      </c>
      <c r="C352" s="12" t="s">
        <v>423</v>
      </c>
      <c r="D352" s="12" t="s">
        <v>418</v>
      </c>
      <c r="E352" s="46">
        <v>-4706.43</v>
      </c>
      <c r="G352" t="str">
        <f t="shared" si="5"/>
        <v>Jun 30, 2025</v>
      </c>
    </row>
    <row r="353" spans="1:7">
      <c r="A353" s="10">
        <v>45835</v>
      </c>
      <c r="B353" s="12" t="s">
        <v>416</v>
      </c>
      <c r="C353" s="12" t="s">
        <v>423</v>
      </c>
      <c r="D353" s="12" t="s">
        <v>418</v>
      </c>
      <c r="E353" s="46">
        <v>-4413.09</v>
      </c>
      <c r="G353" t="str">
        <f t="shared" si="5"/>
        <v>Jun 30, 2025</v>
      </c>
    </row>
    <row r="354" spans="1:7">
      <c r="A354" s="10">
        <v>45835</v>
      </c>
      <c r="B354" s="12" t="s">
        <v>416</v>
      </c>
      <c r="C354" s="12" t="s">
        <v>423</v>
      </c>
      <c r="D354" s="12" t="s">
        <v>418</v>
      </c>
      <c r="E354" s="46">
        <v>-1768.77</v>
      </c>
      <c r="G354" t="str">
        <f t="shared" si="5"/>
        <v>Jun 30, 2025</v>
      </c>
    </row>
    <row r="355" spans="1:7">
      <c r="A355" s="10">
        <v>45835</v>
      </c>
      <c r="B355" s="12" t="s">
        <v>416</v>
      </c>
      <c r="C355" s="12" t="s">
        <v>423</v>
      </c>
      <c r="D355" s="12" t="s">
        <v>418</v>
      </c>
      <c r="E355" s="46">
        <v>-554.66</v>
      </c>
      <c r="G355" t="str">
        <f t="shared" si="5"/>
        <v>Jun 30, 2025</v>
      </c>
    </row>
    <row r="356" spans="1:7">
      <c r="A356" s="10">
        <v>45835</v>
      </c>
      <c r="B356" s="12" t="s">
        <v>416</v>
      </c>
      <c r="C356" s="12" t="s">
        <v>423</v>
      </c>
      <c r="D356" s="12" t="s">
        <v>418</v>
      </c>
      <c r="E356" s="46">
        <v>-91665</v>
      </c>
      <c r="G356" t="str">
        <f t="shared" si="5"/>
        <v>Jun 30, 2025</v>
      </c>
    </row>
    <row r="357" spans="1:7">
      <c r="A357" s="10">
        <v>45839</v>
      </c>
      <c r="B357" s="12" t="s">
        <v>416</v>
      </c>
      <c r="C357" s="12" t="s">
        <v>420</v>
      </c>
      <c r="D357" s="12" t="s">
        <v>418</v>
      </c>
      <c r="E357" s="46">
        <v>606.62</v>
      </c>
      <c r="G357" t="str">
        <f t="shared" si="5"/>
        <v>Sep 30, 2025</v>
      </c>
    </row>
    <row r="358" spans="1:7">
      <c r="A358" s="10">
        <v>45868</v>
      </c>
      <c r="B358" s="12" t="s">
        <v>416</v>
      </c>
      <c r="C358" s="12" t="s">
        <v>423</v>
      </c>
      <c r="D358" s="12" t="s">
        <v>418</v>
      </c>
      <c r="E358" s="46">
        <v>-877.33</v>
      </c>
      <c r="G358" t="str">
        <f t="shared" si="5"/>
        <v>Sep 30, 2025</v>
      </c>
    </row>
    <row r="359" spans="1:7">
      <c r="A359" s="10">
        <v>45868</v>
      </c>
      <c r="B359" s="12" t="s">
        <v>416</v>
      </c>
      <c r="C359" s="12" t="s">
        <v>423</v>
      </c>
      <c r="D359" s="12" t="s">
        <v>418</v>
      </c>
      <c r="E359" s="46">
        <v>-1530</v>
      </c>
      <c r="G359" t="str">
        <f t="shared" si="5"/>
        <v>Sep 30, 2025</v>
      </c>
    </row>
    <row r="360" spans="1:7">
      <c r="A360" s="10">
        <v>45868</v>
      </c>
      <c r="B360" s="12" t="s">
        <v>416</v>
      </c>
      <c r="C360" s="12" t="s">
        <v>423</v>
      </c>
      <c r="D360" s="12" t="s">
        <v>418</v>
      </c>
      <c r="E360" s="46">
        <v>-1677.22</v>
      </c>
      <c r="G360" t="str">
        <f t="shared" si="5"/>
        <v>Sep 30, 2025</v>
      </c>
    </row>
    <row r="361" spans="1:7">
      <c r="A361" s="10">
        <v>45868</v>
      </c>
      <c r="B361" s="12" t="s">
        <v>416</v>
      </c>
      <c r="C361" s="12" t="s">
        <v>423</v>
      </c>
      <c r="D361" s="12" t="s">
        <v>418</v>
      </c>
      <c r="E361" s="46">
        <v>-84.56</v>
      </c>
      <c r="G361" t="str">
        <f t="shared" si="5"/>
        <v>Sep 30, 2025</v>
      </c>
    </row>
    <row r="362" spans="1:7">
      <c r="A362" s="10">
        <v>45868</v>
      </c>
      <c r="B362" s="12" t="s">
        <v>416</v>
      </c>
      <c r="C362" s="12" t="s">
        <v>423</v>
      </c>
      <c r="D362" s="12" t="s">
        <v>418</v>
      </c>
      <c r="E362" s="46">
        <v>-13400</v>
      </c>
      <c r="G362" t="str">
        <f t="shared" si="5"/>
        <v>Sep 30, 2025</v>
      </c>
    </row>
    <row r="363" spans="1:7">
      <c r="A363" s="10">
        <v>45868</v>
      </c>
      <c r="B363" s="12" t="s">
        <v>416</v>
      </c>
      <c r="C363" s="12" t="s">
        <v>423</v>
      </c>
      <c r="D363" s="12" t="s">
        <v>418</v>
      </c>
      <c r="E363" s="46">
        <v>-40.4</v>
      </c>
      <c r="G363" t="str">
        <f t="shared" si="5"/>
        <v>Sep 30, 2025</v>
      </c>
    </row>
    <row r="364" spans="1:7">
      <c r="A364" s="10">
        <v>45868</v>
      </c>
      <c r="B364" s="12" t="s">
        <v>416</v>
      </c>
      <c r="C364" s="12" t="s">
        <v>423</v>
      </c>
      <c r="D364" s="12" t="s">
        <v>418</v>
      </c>
      <c r="E364" s="46">
        <v>-2700.97</v>
      </c>
      <c r="G364" t="str">
        <f t="shared" si="5"/>
        <v>Sep 30, 2025</v>
      </c>
    </row>
    <row r="365" spans="1:7">
      <c r="A365" s="10">
        <v>45868</v>
      </c>
      <c r="B365" s="12" t="s">
        <v>416</v>
      </c>
      <c r="C365" s="12" t="s">
        <v>423</v>
      </c>
      <c r="D365" s="12" t="s">
        <v>418</v>
      </c>
      <c r="E365" s="46">
        <v>-345.39</v>
      </c>
      <c r="G365" t="str">
        <f t="shared" si="5"/>
        <v>Sep 30, 2025</v>
      </c>
    </row>
    <row r="366" spans="1:7">
      <c r="A366" s="10">
        <v>45868</v>
      </c>
      <c r="B366" s="12" t="s">
        <v>416</v>
      </c>
      <c r="C366" s="12" t="s">
        <v>423</v>
      </c>
      <c r="D366" s="12" t="s">
        <v>418</v>
      </c>
      <c r="E366" s="46">
        <v>-167.88</v>
      </c>
      <c r="G366" t="str">
        <f t="shared" si="5"/>
        <v>Sep 30, 2025</v>
      </c>
    </row>
    <row r="367" spans="1:7">
      <c r="A367" s="10">
        <v>45868</v>
      </c>
      <c r="B367" s="12" t="s">
        <v>416</v>
      </c>
      <c r="C367" s="12" t="s">
        <v>423</v>
      </c>
      <c r="D367" s="12" t="s">
        <v>418</v>
      </c>
      <c r="E367" s="46">
        <v>-166.84</v>
      </c>
      <c r="G367" t="str">
        <f t="shared" si="5"/>
        <v>Sep 30, 2025</v>
      </c>
    </row>
    <row r="368" spans="1:7">
      <c r="A368" s="10">
        <v>45868</v>
      </c>
      <c r="B368" s="12" t="s">
        <v>416</v>
      </c>
      <c r="C368" s="12" t="s">
        <v>423</v>
      </c>
      <c r="D368" s="12" t="s">
        <v>418</v>
      </c>
      <c r="E368" s="46">
        <v>-1114.43</v>
      </c>
      <c r="G368" t="str">
        <f t="shared" si="5"/>
        <v>Sep 30, 2025</v>
      </c>
    </row>
    <row r="369" spans="1:7">
      <c r="A369" s="10">
        <v>45868</v>
      </c>
      <c r="B369" s="12" t="s">
        <v>416</v>
      </c>
      <c r="C369" s="12" t="s">
        <v>423</v>
      </c>
      <c r="D369" s="12" t="s">
        <v>418</v>
      </c>
      <c r="E369" s="46">
        <v>-1681.4</v>
      </c>
      <c r="G369" t="str">
        <f t="shared" si="5"/>
        <v>Sep 30, 2025</v>
      </c>
    </row>
    <row r="370" spans="1:7">
      <c r="A370" s="10">
        <v>45870</v>
      </c>
      <c r="B370" s="12" t="s">
        <v>416</v>
      </c>
      <c r="C370" s="12" t="s">
        <v>420</v>
      </c>
      <c r="D370" s="12" t="s">
        <v>418</v>
      </c>
      <c r="E370" s="46">
        <v>153.27000000000001</v>
      </c>
      <c r="G370" t="str">
        <f t="shared" si="5"/>
        <v>Sep 30, 2025</v>
      </c>
    </row>
    <row r="371" spans="1:7">
      <c r="A371" s="10">
        <v>45901</v>
      </c>
      <c r="B371" s="12" t="s">
        <v>416</v>
      </c>
      <c r="C371" s="12" t="s">
        <v>420</v>
      </c>
      <c r="D371" s="12" t="s">
        <v>418</v>
      </c>
      <c r="E371" s="46">
        <v>74.33</v>
      </c>
      <c r="G371" t="str">
        <f t="shared" si="5"/>
        <v>Sep 30, 2025</v>
      </c>
    </row>
    <row r="372" spans="1:7">
      <c r="A372" s="10">
        <v>45916</v>
      </c>
      <c r="B372" s="12" t="s">
        <v>416</v>
      </c>
      <c r="C372" s="12" t="s">
        <v>417</v>
      </c>
      <c r="D372" s="12" t="s">
        <v>418</v>
      </c>
      <c r="E372" s="46">
        <v>1660.9</v>
      </c>
      <c r="G372" t="str">
        <f t="shared" si="5"/>
        <v>Sep 30, 2025</v>
      </c>
    </row>
    <row r="373" spans="1:7">
      <c r="A373" s="10">
        <v>45916</v>
      </c>
      <c r="B373" s="12" t="s">
        <v>416</v>
      </c>
      <c r="C373" s="12" t="s">
        <v>417</v>
      </c>
      <c r="D373" s="12" t="s">
        <v>418</v>
      </c>
      <c r="E373" s="46">
        <v>1681.66</v>
      </c>
      <c r="G373" t="str">
        <f t="shared" si="5"/>
        <v>Sep 30, 2025</v>
      </c>
    </row>
    <row r="374" spans="1:7">
      <c r="A374" s="10">
        <v>45917</v>
      </c>
      <c r="B374" s="12" t="s">
        <v>416</v>
      </c>
      <c r="C374" s="12" t="s">
        <v>417</v>
      </c>
      <c r="D374" s="12" t="s">
        <v>418</v>
      </c>
      <c r="E374" s="46">
        <v>33633.22</v>
      </c>
      <c r="G374" t="str">
        <f t="shared" si="5"/>
        <v>Sep 30, 2025</v>
      </c>
    </row>
    <row r="375" spans="1:7">
      <c r="A375" s="10">
        <v>45918</v>
      </c>
      <c r="B375" s="12" t="s">
        <v>416</v>
      </c>
      <c r="C375" s="12" t="s">
        <v>417</v>
      </c>
      <c r="D375" s="12" t="s">
        <v>418</v>
      </c>
      <c r="E375" s="46">
        <v>4204.1499999999996</v>
      </c>
      <c r="G375" t="str">
        <f t="shared" si="5"/>
        <v>Sep 30, 2025</v>
      </c>
    </row>
    <row r="376" spans="1:7">
      <c r="A376" s="10">
        <v>45918</v>
      </c>
      <c r="B376" s="12" t="s">
        <v>416</v>
      </c>
      <c r="C376" s="12" t="s">
        <v>417</v>
      </c>
      <c r="D376" s="12" t="s">
        <v>418</v>
      </c>
      <c r="E376" s="46">
        <v>2491.35</v>
      </c>
      <c r="G376" t="str">
        <f t="shared" si="5"/>
        <v>Sep 30, 2025</v>
      </c>
    </row>
    <row r="377" spans="1:7">
      <c r="A377" s="10">
        <v>45918</v>
      </c>
      <c r="B377" s="12" t="s">
        <v>416</v>
      </c>
      <c r="C377" s="12" t="s">
        <v>417</v>
      </c>
      <c r="D377" s="12" t="s">
        <v>418</v>
      </c>
      <c r="E377" s="46">
        <v>830.45</v>
      </c>
      <c r="G377" t="str">
        <f t="shared" si="5"/>
        <v>Sep 30, 2025</v>
      </c>
    </row>
    <row r="378" spans="1:7">
      <c r="A378" s="10">
        <v>45918</v>
      </c>
      <c r="B378" s="12" t="s">
        <v>416</v>
      </c>
      <c r="C378" s="12" t="s">
        <v>417</v>
      </c>
      <c r="D378" s="12" t="s">
        <v>418</v>
      </c>
      <c r="E378" s="46">
        <v>830.45</v>
      </c>
      <c r="G378" t="str">
        <f t="shared" si="5"/>
        <v>Sep 30, 2025</v>
      </c>
    </row>
    <row r="379" spans="1:7">
      <c r="A379" s="10">
        <v>45918</v>
      </c>
      <c r="B379" s="12" t="s">
        <v>416</v>
      </c>
      <c r="C379" s="12" t="s">
        <v>417</v>
      </c>
      <c r="D379" s="12" t="s">
        <v>418</v>
      </c>
      <c r="E379" s="46">
        <v>1660.9</v>
      </c>
      <c r="G379" t="str">
        <f t="shared" si="5"/>
        <v>Sep 30, 2025</v>
      </c>
    </row>
    <row r="380" spans="1:7">
      <c r="A380" s="10">
        <v>45918</v>
      </c>
      <c r="B380" s="12" t="s">
        <v>416</v>
      </c>
      <c r="C380" s="12" t="s">
        <v>417</v>
      </c>
      <c r="D380" s="12" t="s">
        <v>418</v>
      </c>
      <c r="E380" s="46">
        <v>2491.35</v>
      </c>
      <c r="G380" t="str">
        <f t="shared" si="5"/>
        <v>Sep 30, 2025</v>
      </c>
    </row>
    <row r="381" spans="1:7">
      <c r="A381" s="10">
        <v>45918</v>
      </c>
      <c r="B381" s="12" t="s">
        <v>416</v>
      </c>
      <c r="C381" s="12" t="s">
        <v>417</v>
      </c>
      <c r="D381" s="12" t="s">
        <v>418</v>
      </c>
      <c r="E381" s="46">
        <v>1660.9</v>
      </c>
      <c r="G381" t="str">
        <f t="shared" si="5"/>
        <v>Sep 30, 2025</v>
      </c>
    </row>
    <row r="382" spans="1:7">
      <c r="A382" s="10">
        <v>45919</v>
      </c>
      <c r="B382" s="12" t="s">
        <v>416</v>
      </c>
      <c r="C382" s="12" t="s">
        <v>417</v>
      </c>
      <c r="D382" s="12" t="s">
        <v>418</v>
      </c>
      <c r="E382" s="46">
        <v>3363.32</v>
      </c>
      <c r="G382" t="str">
        <f t="shared" si="5"/>
        <v>Sep 30, 2025</v>
      </c>
    </row>
    <row r="383" spans="1:7">
      <c r="A383" s="10">
        <v>45922</v>
      </c>
      <c r="B383" s="12" t="s">
        <v>416</v>
      </c>
      <c r="C383" s="12" t="s">
        <v>417</v>
      </c>
      <c r="D383" s="12" t="s">
        <v>418</v>
      </c>
      <c r="E383" s="46">
        <v>8408.2999999999993</v>
      </c>
      <c r="G383" t="str">
        <f t="shared" si="5"/>
        <v>Sep 30, 2025</v>
      </c>
    </row>
    <row r="384" spans="1:7">
      <c r="A384" s="10">
        <v>45923</v>
      </c>
      <c r="B384" s="12" t="s">
        <v>416</v>
      </c>
      <c r="C384" s="12" t="s">
        <v>417</v>
      </c>
      <c r="D384" s="12" t="s">
        <v>418</v>
      </c>
      <c r="E384" s="46">
        <v>1660.9</v>
      </c>
      <c r="G384" t="str">
        <f t="shared" si="5"/>
        <v>Sep 30, 2025</v>
      </c>
    </row>
    <row r="385" spans="1:7">
      <c r="A385" s="10">
        <v>45923</v>
      </c>
      <c r="B385" s="12" t="s">
        <v>416</v>
      </c>
      <c r="C385" s="12" t="s">
        <v>417</v>
      </c>
      <c r="D385" s="12" t="s">
        <v>418</v>
      </c>
      <c r="E385" s="46">
        <v>16609</v>
      </c>
      <c r="G385" t="str">
        <f t="shared" si="5"/>
        <v>Sep 30, 2025</v>
      </c>
    </row>
    <row r="386" spans="1:7">
      <c r="A386" s="10">
        <v>45924</v>
      </c>
      <c r="B386" s="12" t="s">
        <v>416</v>
      </c>
      <c r="C386" s="12" t="s">
        <v>417</v>
      </c>
      <c r="D386" s="12" t="s">
        <v>418</v>
      </c>
      <c r="E386" s="46">
        <v>5044.9799999999996</v>
      </c>
      <c r="G386" t="str">
        <f t="shared" si="5"/>
        <v>Sep 30, 2025</v>
      </c>
    </row>
    <row r="387" spans="1:7">
      <c r="A387" s="10">
        <v>45924</v>
      </c>
      <c r="B387" s="12" t="s">
        <v>416</v>
      </c>
      <c r="C387" s="12" t="s">
        <v>417</v>
      </c>
      <c r="D387" s="12" t="s">
        <v>418</v>
      </c>
      <c r="E387" s="46">
        <v>6643.6</v>
      </c>
      <c r="G387" t="str">
        <f t="shared" si="5"/>
        <v>Sep 30, 2025</v>
      </c>
    </row>
    <row r="388" spans="1:7">
      <c r="A388" s="10">
        <v>45924</v>
      </c>
      <c r="B388" s="12" t="s">
        <v>416</v>
      </c>
      <c r="C388" s="12" t="s">
        <v>417</v>
      </c>
      <c r="D388" s="12" t="s">
        <v>418</v>
      </c>
      <c r="E388" s="46">
        <v>8304.5</v>
      </c>
      <c r="G388" t="str">
        <f t="shared" si="5"/>
        <v>Sep 30, 2025</v>
      </c>
    </row>
    <row r="389" spans="1:7">
      <c r="A389" s="10">
        <v>45924</v>
      </c>
      <c r="B389" s="12" t="s">
        <v>416</v>
      </c>
      <c r="C389" s="12" t="s">
        <v>417</v>
      </c>
      <c r="D389" s="12" t="s">
        <v>418</v>
      </c>
      <c r="E389" s="46">
        <v>8408.2999999999993</v>
      </c>
      <c r="G389" t="str">
        <f t="shared" si="5"/>
        <v>Sep 30, 2025</v>
      </c>
    </row>
    <row r="390" spans="1:7">
      <c r="A390" s="10">
        <v>45925</v>
      </c>
      <c r="B390" s="12" t="s">
        <v>416</v>
      </c>
      <c r="C390" s="12" t="s">
        <v>417</v>
      </c>
      <c r="D390" s="12" t="s">
        <v>418</v>
      </c>
      <c r="E390" s="46">
        <v>3363.32</v>
      </c>
      <c r="G390" t="str">
        <f t="shared" si="5"/>
        <v>Sep 30, 2025</v>
      </c>
    </row>
    <row r="391" spans="1:7">
      <c r="A391" s="10">
        <v>45925</v>
      </c>
      <c r="B391" s="12" t="s">
        <v>416</v>
      </c>
      <c r="C391" s="12" t="s">
        <v>417</v>
      </c>
      <c r="D391" s="12" t="s">
        <v>418</v>
      </c>
      <c r="E391" s="46">
        <v>8408.2999999999993</v>
      </c>
      <c r="G391" t="str">
        <f t="shared" ref="G391:G424" si="6">TEXT(DATE(YEAR(A391),ROUNDUP(MONTH(A391)/3,0)*3+1,0),"mmm dd, yyyy")</f>
        <v>Sep 30, 2025</v>
      </c>
    </row>
    <row r="392" spans="1:7">
      <c r="A392" s="10">
        <v>45925</v>
      </c>
      <c r="B392" s="12" t="s">
        <v>416</v>
      </c>
      <c r="C392" s="12" t="s">
        <v>417</v>
      </c>
      <c r="D392" s="12" t="s">
        <v>418</v>
      </c>
      <c r="E392" s="46">
        <v>33217.99</v>
      </c>
      <c r="G392" t="str">
        <f t="shared" si="6"/>
        <v>Sep 30, 2025</v>
      </c>
    </row>
    <row r="393" spans="1:7">
      <c r="A393" s="10">
        <v>45925</v>
      </c>
      <c r="B393" s="12" t="s">
        <v>416</v>
      </c>
      <c r="C393" s="12" t="s">
        <v>417</v>
      </c>
      <c r="D393" s="12" t="s">
        <v>418</v>
      </c>
      <c r="E393" s="46">
        <v>33633.22</v>
      </c>
      <c r="G393" t="str">
        <f t="shared" si="6"/>
        <v>Sep 30, 2025</v>
      </c>
    </row>
    <row r="394" spans="1:7">
      <c r="A394" s="10">
        <v>45925</v>
      </c>
      <c r="B394" s="12" t="s">
        <v>416</v>
      </c>
      <c r="C394" s="12" t="s">
        <v>417</v>
      </c>
      <c r="D394" s="12" t="s">
        <v>418</v>
      </c>
      <c r="E394" s="46">
        <v>42041.52</v>
      </c>
      <c r="G394" t="str">
        <f t="shared" si="6"/>
        <v>Sep 30, 2025</v>
      </c>
    </row>
    <row r="395" spans="1:7">
      <c r="A395" s="10">
        <v>45926</v>
      </c>
      <c r="B395" s="12" t="s">
        <v>416</v>
      </c>
      <c r="C395" s="12" t="s">
        <v>417</v>
      </c>
      <c r="D395" s="12" t="s">
        <v>418</v>
      </c>
      <c r="E395" s="46">
        <v>3321.8</v>
      </c>
      <c r="G395" t="str">
        <f t="shared" si="6"/>
        <v>Sep 30, 2025</v>
      </c>
    </row>
    <row r="396" spans="1:7">
      <c r="A396" s="10">
        <v>45926</v>
      </c>
      <c r="B396" s="12" t="s">
        <v>416</v>
      </c>
      <c r="C396" s="12" t="s">
        <v>417</v>
      </c>
      <c r="D396" s="12" t="s">
        <v>418</v>
      </c>
      <c r="E396" s="46">
        <v>4152.25</v>
      </c>
      <c r="G396" t="str">
        <f t="shared" si="6"/>
        <v>Sep 30, 2025</v>
      </c>
    </row>
    <row r="397" spans="1:7">
      <c r="A397" s="10">
        <v>45926</v>
      </c>
      <c r="B397" s="12" t="s">
        <v>416</v>
      </c>
      <c r="C397" s="12" t="s">
        <v>417</v>
      </c>
      <c r="D397" s="12" t="s">
        <v>418</v>
      </c>
      <c r="E397" s="46">
        <v>6228.37</v>
      </c>
      <c r="G397" t="str">
        <f t="shared" si="6"/>
        <v>Sep 30, 2025</v>
      </c>
    </row>
    <row r="398" spans="1:7">
      <c r="A398" s="10">
        <v>45926</v>
      </c>
      <c r="B398" s="12" t="s">
        <v>416</v>
      </c>
      <c r="C398" s="12" t="s">
        <v>417</v>
      </c>
      <c r="D398" s="12" t="s">
        <v>418</v>
      </c>
      <c r="E398" s="46">
        <v>6228.37</v>
      </c>
      <c r="G398" t="str">
        <f t="shared" si="6"/>
        <v>Sep 30, 2025</v>
      </c>
    </row>
    <row r="399" spans="1:7">
      <c r="A399" s="10">
        <v>45926</v>
      </c>
      <c r="B399" s="12" t="s">
        <v>416</v>
      </c>
      <c r="C399" s="12" t="s">
        <v>417</v>
      </c>
      <c r="D399" s="12" t="s">
        <v>418</v>
      </c>
      <c r="E399" s="46">
        <v>8304.5</v>
      </c>
      <c r="G399" t="str">
        <f t="shared" si="6"/>
        <v>Sep 30, 2025</v>
      </c>
    </row>
    <row r="400" spans="1:7">
      <c r="A400" s="10">
        <v>45926</v>
      </c>
      <c r="B400" s="12" t="s">
        <v>416</v>
      </c>
      <c r="C400" s="12" t="s">
        <v>417</v>
      </c>
      <c r="D400" s="12" t="s">
        <v>418</v>
      </c>
      <c r="E400" s="46">
        <v>8408.2999999999993</v>
      </c>
      <c r="G400" t="str">
        <f t="shared" si="6"/>
        <v>Sep 30, 2025</v>
      </c>
    </row>
    <row r="401" spans="1:7">
      <c r="A401" s="10">
        <v>45926</v>
      </c>
      <c r="B401" s="12" t="s">
        <v>416</v>
      </c>
      <c r="C401" s="12" t="s">
        <v>417</v>
      </c>
      <c r="D401" s="12" t="s">
        <v>418</v>
      </c>
      <c r="E401" s="46">
        <v>10795.85</v>
      </c>
      <c r="G401" t="str">
        <f t="shared" si="6"/>
        <v>Sep 30, 2025</v>
      </c>
    </row>
    <row r="402" spans="1:7">
      <c r="A402" s="10">
        <v>45926</v>
      </c>
      <c r="B402" s="12" t="s">
        <v>416</v>
      </c>
      <c r="C402" s="12" t="s">
        <v>417</v>
      </c>
      <c r="D402" s="12" t="s">
        <v>418</v>
      </c>
      <c r="E402" s="46">
        <v>11709.34</v>
      </c>
      <c r="G402" t="str">
        <f t="shared" si="6"/>
        <v>Sep 30, 2025</v>
      </c>
    </row>
    <row r="403" spans="1:7">
      <c r="A403" s="10">
        <v>45926</v>
      </c>
      <c r="B403" s="12" t="s">
        <v>416</v>
      </c>
      <c r="C403" s="12" t="s">
        <v>417</v>
      </c>
      <c r="D403" s="12" t="s">
        <v>418</v>
      </c>
      <c r="E403" s="46">
        <v>12456.75</v>
      </c>
      <c r="G403" t="str">
        <f t="shared" si="6"/>
        <v>Sep 30, 2025</v>
      </c>
    </row>
    <row r="404" spans="1:7">
      <c r="A404" s="10">
        <v>45926</v>
      </c>
      <c r="B404" s="12" t="s">
        <v>416</v>
      </c>
      <c r="C404" s="12" t="s">
        <v>417</v>
      </c>
      <c r="D404" s="12" t="s">
        <v>418</v>
      </c>
      <c r="E404" s="46">
        <v>12456.75</v>
      </c>
      <c r="G404" t="str">
        <f t="shared" si="6"/>
        <v>Sep 30, 2025</v>
      </c>
    </row>
    <row r="405" spans="1:7">
      <c r="A405" s="10">
        <v>45926</v>
      </c>
      <c r="B405" s="12" t="s">
        <v>416</v>
      </c>
      <c r="C405" s="12" t="s">
        <v>417</v>
      </c>
      <c r="D405" s="12" t="s">
        <v>418</v>
      </c>
      <c r="E405" s="46">
        <v>16816.61</v>
      </c>
      <c r="G405" t="str">
        <f t="shared" si="6"/>
        <v>Sep 30, 2025</v>
      </c>
    </row>
    <row r="406" spans="1:7">
      <c r="A406" s="10">
        <v>45926</v>
      </c>
      <c r="B406" s="12" t="s">
        <v>416</v>
      </c>
      <c r="C406" s="12" t="s">
        <v>417</v>
      </c>
      <c r="D406" s="12" t="s">
        <v>418</v>
      </c>
      <c r="E406" s="46">
        <v>19930.8</v>
      </c>
      <c r="G406" t="str">
        <f t="shared" si="6"/>
        <v>Sep 30, 2025</v>
      </c>
    </row>
    <row r="407" spans="1:7">
      <c r="A407" s="10">
        <v>45926</v>
      </c>
      <c r="B407" s="12" t="s">
        <v>416</v>
      </c>
      <c r="C407" s="12" t="s">
        <v>417</v>
      </c>
      <c r="D407" s="12" t="s">
        <v>418</v>
      </c>
      <c r="E407" s="46">
        <v>24913.49</v>
      </c>
      <c r="G407" t="str">
        <f t="shared" si="6"/>
        <v>Sep 30, 2025</v>
      </c>
    </row>
    <row r="408" spans="1:7">
      <c r="A408" s="10">
        <v>45926</v>
      </c>
      <c r="B408" s="12" t="s">
        <v>416</v>
      </c>
      <c r="C408" s="12" t="s">
        <v>417</v>
      </c>
      <c r="D408" s="12" t="s">
        <v>418</v>
      </c>
      <c r="E408" s="46">
        <v>25224.91</v>
      </c>
      <c r="G408" t="str">
        <f t="shared" si="6"/>
        <v>Sep 30, 2025</v>
      </c>
    </row>
    <row r="409" spans="1:7">
      <c r="A409" s="10">
        <v>45926</v>
      </c>
      <c r="B409" s="12" t="s">
        <v>416</v>
      </c>
      <c r="C409" s="12" t="s">
        <v>417</v>
      </c>
      <c r="D409" s="12" t="s">
        <v>418</v>
      </c>
      <c r="E409" s="46">
        <v>26107.27</v>
      </c>
      <c r="G409" t="str">
        <f t="shared" si="6"/>
        <v>Sep 30, 2025</v>
      </c>
    </row>
    <row r="410" spans="1:7">
      <c r="A410" s="10">
        <v>45926</v>
      </c>
      <c r="B410" s="12" t="s">
        <v>416</v>
      </c>
      <c r="C410" s="12" t="s">
        <v>417</v>
      </c>
      <c r="D410" s="12" t="s">
        <v>418</v>
      </c>
      <c r="E410" s="46">
        <v>42041.52</v>
      </c>
      <c r="G410" t="str">
        <f t="shared" si="6"/>
        <v>Sep 30, 2025</v>
      </c>
    </row>
    <row r="411" spans="1:7">
      <c r="A411" s="10">
        <v>45926</v>
      </c>
      <c r="B411" s="12" t="s">
        <v>416</v>
      </c>
      <c r="C411" s="12" t="s">
        <v>417</v>
      </c>
      <c r="D411" s="12" t="s">
        <v>418</v>
      </c>
      <c r="E411" s="46">
        <v>52069.2</v>
      </c>
      <c r="G411" t="str">
        <f t="shared" si="6"/>
        <v>Sep 30, 2025</v>
      </c>
    </row>
    <row r="412" spans="1:7">
      <c r="A412" s="10">
        <v>45926</v>
      </c>
      <c r="B412" s="12" t="s">
        <v>416</v>
      </c>
      <c r="C412" s="12" t="s">
        <v>417</v>
      </c>
      <c r="D412" s="12" t="s">
        <v>418</v>
      </c>
      <c r="E412" s="46">
        <v>58131.49</v>
      </c>
      <c r="G412" t="str">
        <f t="shared" si="6"/>
        <v>Sep 30, 2025</v>
      </c>
    </row>
    <row r="413" spans="1:7">
      <c r="A413" s="10">
        <v>45926</v>
      </c>
      <c r="B413" s="12" t="s">
        <v>416</v>
      </c>
      <c r="C413" s="12" t="s">
        <v>417</v>
      </c>
      <c r="D413" s="12" t="s">
        <v>418</v>
      </c>
      <c r="E413" s="46">
        <v>67266.44</v>
      </c>
      <c r="G413" t="str">
        <f t="shared" si="6"/>
        <v>Sep 30, 2025</v>
      </c>
    </row>
    <row r="414" spans="1:7">
      <c r="A414" s="10">
        <v>45926</v>
      </c>
      <c r="B414" s="12" t="s">
        <v>416</v>
      </c>
      <c r="C414" s="12" t="s">
        <v>417</v>
      </c>
      <c r="D414" s="12" t="s">
        <v>418</v>
      </c>
      <c r="E414" s="46">
        <v>83044.98</v>
      </c>
      <c r="G414" t="str">
        <f t="shared" si="6"/>
        <v>Sep 30, 2025</v>
      </c>
    </row>
    <row r="415" spans="1:7">
      <c r="A415" s="10">
        <v>45926</v>
      </c>
      <c r="B415" s="12" t="s">
        <v>416</v>
      </c>
      <c r="C415" s="12" t="s">
        <v>417</v>
      </c>
      <c r="D415" s="12" t="s">
        <v>418</v>
      </c>
      <c r="E415" s="46">
        <v>84083.04</v>
      </c>
      <c r="G415" t="str">
        <f t="shared" si="6"/>
        <v>Sep 30, 2025</v>
      </c>
    </row>
    <row r="416" spans="1:7">
      <c r="A416" s="10">
        <v>45926</v>
      </c>
      <c r="B416" s="12" t="s">
        <v>416</v>
      </c>
      <c r="C416" s="12" t="s">
        <v>417</v>
      </c>
      <c r="D416" s="12" t="s">
        <v>418</v>
      </c>
      <c r="E416" s="46">
        <v>92491.35</v>
      </c>
      <c r="G416" t="str">
        <f t="shared" si="6"/>
        <v>Sep 30, 2025</v>
      </c>
    </row>
    <row r="417" spans="1:7">
      <c r="A417" s="10">
        <v>45926</v>
      </c>
      <c r="B417" s="12" t="s">
        <v>416</v>
      </c>
      <c r="C417" s="12" t="s">
        <v>417</v>
      </c>
      <c r="D417" s="12" t="s">
        <v>418</v>
      </c>
      <c r="E417" s="46">
        <v>168166.09</v>
      </c>
      <c r="G417" t="str">
        <f t="shared" si="6"/>
        <v>Sep 30, 2025</v>
      </c>
    </row>
    <row r="418" spans="1:7">
      <c r="A418" s="10">
        <v>45926</v>
      </c>
      <c r="B418" s="12" t="s">
        <v>416</v>
      </c>
      <c r="C418" s="12" t="s">
        <v>417</v>
      </c>
      <c r="D418" s="12" t="s">
        <v>418</v>
      </c>
      <c r="E418" s="46">
        <v>168166.09</v>
      </c>
      <c r="G418" t="str">
        <f t="shared" si="6"/>
        <v>Sep 30, 2025</v>
      </c>
    </row>
    <row r="419" spans="1:7">
      <c r="A419" s="10">
        <v>45926</v>
      </c>
      <c r="B419" s="12" t="s">
        <v>416</v>
      </c>
      <c r="C419" s="12" t="s">
        <v>417</v>
      </c>
      <c r="D419" s="12" t="s">
        <v>418</v>
      </c>
      <c r="E419" s="46">
        <v>252249.16</v>
      </c>
      <c r="G419" t="str">
        <f t="shared" si="6"/>
        <v>Sep 30, 2025</v>
      </c>
    </row>
    <row r="420" spans="1:7">
      <c r="A420" s="10">
        <v>45929</v>
      </c>
      <c r="B420" s="12" t="s">
        <v>416</v>
      </c>
      <c r="C420" s="12" t="s">
        <v>417</v>
      </c>
      <c r="D420" s="12" t="s">
        <v>418</v>
      </c>
      <c r="E420" s="46">
        <v>4982.7</v>
      </c>
      <c r="G420" t="str">
        <f t="shared" si="6"/>
        <v>Sep 30, 2025</v>
      </c>
    </row>
    <row r="421" spans="1:7">
      <c r="A421" s="10">
        <v>45924</v>
      </c>
      <c r="B421" s="12" t="s">
        <v>416</v>
      </c>
      <c r="C421" s="12" t="s">
        <v>425</v>
      </c>
      <c r="D421" s="12" t="s">
        <v>418</v>
      </c>
      <c r="E421" s="46">
        <v>83228.399999999994</v>
      </c>
      <c r="G421" t="str">
        <f t="shared" si="6"/>
        <v>Sep 30, 2025</v>
      </c>
    </row>
    <row r="422" spans="1:7">
      <c r="A422" s="10">
        <v>45930</v>
      </c>
      <c r="B422" s="12" t="s">
        <v>416</v>
      </c>
      <c r="C422" s="12" t="s">
        <v>425</v>
      </c>
      <c r="D422" s="12" t="s">
        <v>418</v>
      </c>
      <c r="E422" s="46">
        <v>-83228.399999999994</v>
      </c>
      <c r="G422" t="str">
        <f t="shared" si="6"/>
        <v>Sep 30, 2025</v>
      </c>
    </row>
    <row r="423" spans="1:7">
      <c r="A423" s="10">
        <v>45930</v>
      </c>
      <c r="B423" s="12" t="s">
        <v>416</v>
      </c>
      <c r="C423" s="12" t="s">
        <v>423</v>
      </c>
      <c r="D423" s="12" t="s">
        <v>418</v>
      </c>
      <c r="E423" s="46">
        <v>-579275.31999999995</v>
      </c>
      <c r="G423" t="str">
        <f t="shared" si="6"/>
        <v>Sep 30, 2025</v>
      </c>
    </row>
    <row r="424" spans="1:7">
      <c r="A424" s="10">
        <v>45930</v>
      </c>
      <c r="B424" s="12" t="s">
        <v>416</v>
      </c>
      <c r="C424" s="12" t="s">
        <v>423</v>
      </c>
      <c r="D424" s="12" t="s">
        <v>418</v>
      </c>
      <c r="E424" s="46">
        <v>-60237</v>
      </c>
      <c r="G424" t="str">
        <f t="shared" si="6"/>
        <v>Sep 30, 2025</v>
      </c>
    </row>
    <row r="425" spans="1:7">
      <c r="B425" s="12"/>
      <c r="C425" s="12"/>
      <c r="D425" s="12"/>
    </row>
    <row r="426" spans="1:7">
      <c r="B426" s="12"/>
      <c r="C426" s="12"/>
      <c r="D426" s="12"/>
    </row>
    <row r="427" spans="1:7">
      <c r="B427" s="12"/>
      <c r="C427" s="12"/>
      <c r="D427" s="12"/>
    </row>
    <row r="428" spans="1:7">
      <c r="B428" s="12"/>
      <c r="C428" s="12"/>
      <c r="D428" s="12"/>
    </row>
    <row r="429" spans="1:7">
      <c r="B429" s="12"/>
      <c r="C429" s="12"/>
      <c r="D429" s="12"/>
    </row>
    <row r="430" spans="1:7">
      <c r="B430" s="12"/>
      <c r="C430" s="12"/>
      <c r="D430" s="12"/>
    </row>
    <row r="431" spans="1:7">
      <c r="B431" s="12"/>
      <c r="C431" s="12"/>
      <c r="D431" s="12"/>
    </row>
    <row r="432" spans="1:7">
      <c r="B432" s="12"/>
      <c r="C432" s="12"/>
      <c r="D432" s="12"/>
    </row>
    <row r="433" spans="2:4">
      <c r="B433" s="12"/>
      <c r="C433" s="12"/>
      <c r="D433" s="12"/>
    </row>
    <row r="434" spans="2:4">
      <c r="B434" s="12"/>
      <c r="C434" s="12"/>
      <c r="D434" s="12"/>
    </row>
    <row r="435" spans="2:4">
      <c r="B435" s="12"/>
      <c r="C435" s="12"/>
      <c r="D435" s="12"/>
    </row>
    <row r="436" spans="2:4">
      <c r="B436" s="12"/>
      <c r="C436" s="12"/>
      <c r="D436" s="12"/>
    </row>
    <row r="437" spans="2:4">
      <c r="B437" s="12"/>
      <c r="C437" s="12"/>
      <c r="D437" s="12"/>
    </row>
    <row r="438" spans="2:4">
      <c r="B438" s="12"/>
      <c r="C438" s="12"/>
      <c r="D438" s="12"/>
    </row>
    <row r="439" spans="2:4">
      <c r="B439" s="12"/>
      <c r="C439" s="12"/>
      <c r="D439" s="12"/>
    </row>
    <row r="440" spans="2:4">
      <c r="B440" s="12"/>
      <c r="C440" s="12"/>
      <c r="D440" s="12"/>
    </row>
    <row r="441" spans="2:4">
      <c r="B441" s="12"/>
      <c r="C441" s="12"/>
      <c r="D441" s="12"/>
    </row>
    <row r="442" spans="2:4">
      <c r="B442" s="12"/>
      <c r="C442" s="12"/>
      <c r="D442" s="12"/>
    </row>
    <row r="443" spans="2:4">
      <c r="B443" s="12"/>
      <c r="C443" s="12"/>
      <c r="D443" s="12"/>
    </row>
    <row r="444" spans="2:4">
      <c r="B444" s="12"/>
      <c r="C444" s="12"/>
      <c r="D444" s="12"/>
    </row>
    <row r="445" spans="2:4">
      <c r="B445" s="12"/>
      <c r="C445" s="12"/>
      <c r="D445" s="12"/>
    </row>
    <row r="446" spans="2:4">
      <c r="B446" s="12"/>
      <c r="C446" s="12"/>
      <c r="D446" s="12"/>
    </row>
    <row r="447" spans="2:4">
      <c r="B447" s="12"/>
      <c r="C447" s="12"/>
      <c r="D447" s="12"/>
    </row>
    <row r="448" spans="2:4">
      <c r="B448" s="12"/>
      <c r="C448" s="12"/>
      <c r="D448" s="12"/>
    </row>
    <row r="449" spans="2:4">
      <c r="B449" s="12"/>
      <c r="C449" s="12"/>
      <c r="D449" s="12"/>
    </row>
    <row r="450" spans="2:4">
      <c r="B450" s="12"/>
      <c r="C450" s="12"/>
      <c r="D450" s="12"/>
    </row>
    <row r="451" spans="2:4">
      <c r="B451" s="12"/>
      <c r="C451" s="12"/>
      <c r="D451" s="12"/>
    </row>
    <row r="452" spans="2:4">
      <c r="B452" s="12"/>
      <c r="C452" s="12"/>
      <c r="D452" s="12"/>
    </row>
    <row r="453" spans="2:4">
      <c r="B453" s="12"/>
      <c r="C453" s="12"/>
      <c r="D453" s="12"/>
    </row>
    <row r="454" spans="2:4">
      <c r="B454" s="12"/>
      <c r="C454" s="12"/>
      <c r="D454" s="12"/>
    </row>
    <row r="455" spans="2:4">
      <c r="B455" s="12"/>
      <c r="C455" s="12"/>
      <c r="D455" s="12"/>
    </row>
    <row r="456" spans="2:4">
      <c r="B456" s="12"/>
      <c r="C456" s="12"/>
      <c r="D456" s="12"/>
    </row>
    <row r="457" spans="2:4">
      <c r="B457" s="12"/>
      <c r="C457" s="12"/>
      <c r="D457" s="12"/>
    </row>
    <row r="458" spans="2:4">
      <c r="B458" s="12"/>
      <c r="C458" s="12"/>
      <c r="D458" s="12"/>
    </row>
    <row r="459" spans="2:4">
      <c r="B459" s="12"/>
      <c r="C459" s="12"/>
      <c r="D459" s="12"/>
    </row>
    <row r="460" spans="2:4">
      <c r="B460" s="12"/>
      <c r="C460" s="12"/>
      <c r="D460" s="12"/>
    </row>
    <row r="461" spans="2:4">
      <c r="B461" s="12"/>
      <c r="C461" s="12"/>
      <c r="D461" s="12"/>
    </row>
    <row r="462" spans="2:4">
      <c r="B462" s="12"/>
      <c r="C462" s="12"/>
      <c r="D462" s="12"/>
    </row>
    <row r="463" spans="2:4">
      <c r="B463" s="12"/>
      <c r="C463" s="12"/>
      <c r="D463" s="12"/>
    </row>
    <row r="464" spans="2:4">
      <c r="B464" s="12"/>
      <c r="C464" s="12"/>
      <c r="D464" s="12"/>
    </row>
    <row r="465" spans="2:4">
      <c r="B465" s="12"/>
      <c r="C465" s="12"/>
      <c r="D465" s="12"/>
    </row>
    <row r="466" spans="2:4">
      <c r="B466" s="12"/>
      <c r="C466" s="12"/>
      <c r="D466" s="12"/>
    </row>
    <row r="467" spans="2:4">
      <c r="B467" s="12"/>
      <c r="C467" s="12"/>
      <c r="D467" s="12"/>
    </row>
    <row r="468" spans="2:4">
      <c r="B468" s="12"/>
      <c r="C468" s="12"/>
      <c r="D468" s="12"/>
    </row>
    <row r="469" spans="2:4">
      <c r="B469" s="12"/>
      <c r="C469" s="12"/>
      <c r="D469" s="12"/>
    </row>
    <row r="470" spans="2:4">
      <c r="B470" s="12"/>
      <c r="C470" s="12"/>
      <c r="D470" s="12"/>
    </row>
    <row r="471" spans="2:4">
      <c r="B471" s="12"/>
      <c r="C471" s="12"/>
      <c r="D471" s="12"/>
    </row>
    <row r="472" spans="2:4">
      <c r="B472" s="12"/>
      <c r="C472" s="12"/>
      <c r="D472" s="12"/>
    </row>
    <row r="473" spans="2:4">
      <c r="B473" s="12"/>
      <c r="C473" s="12"/>
      <c r="D473" s="12"/>
    </row>
    <row r="474" spans="2:4">
      <c r="B474" s="12"/>
      <c r="C474" s="12"/>
      <c r="D474" s="12"/>
    </row>
    <row r="475" spans="2:4">
      <c r="B475" s="12"/>
      <c r="C475" s="12"/>
      <c r="D475" s="12"/>
    </row>
    <row r="476" spans="2:4">
      <c r="B476" s="12"/>
      <c r="C476" s="12"/>
      <c r="D476" s="12"/>
    </row>
    <row r="477" spans="2:4">
      <c r="B477" s="12"/>
      <c r="C477" s="12"/>
      <c r="D477" s="12"/>
    </row>
    <row r="478" spans="2:4">
      <c r="B478" s="12"/>
      <c r="C478" s="12"/>
      <c r="D478" s="12"/>
    </row>
    <row r="479" spans="2:4">
      <c r="B479" s="12"/>
      <c r="C479" s="12"/>
      <c r="D479" s="12"/>
    </row>
    <row r="480" spans="2:4">
      <c r="B480" s="12"/>
      <c r="C480" s="12"/>
      <c r="D480" s="12"/>
    </row>
    <row r="481" spans="2:4">
      <c r="B481" s="12"/>
      <c r="C481" s="12"/>
      <c r="D481" s="12"/>
    </row>
    <row r="482" spans="2:4">
      <c r="B482" s="12"/>
      <c r="C482" s="12"/>
      <c r="D482" s="12"/>
    </row>
    <row r="483" spans="2:4">
      <c r="B483" s="12"/>
      <c r="C483" s="12"/>
      <c r="D483" s="12"/>
    </row>
    <row r="484" spans="2:4">
      <c r="B484" s="12"/>
      <c r="C484" s="12"/>
      <c r="D484" s="12"/>
    </row>
    <row r="485" spans="2:4">
      <c r="B485" s="12"/>
      <c r="C485" s="12"/>
      <c r="D485" s="12"/>
    </row>
    <row r="486" spans="2:4">
      <c r="B486" s="12"/>
      <c r="C486" s="12"/>
      <c r="D486" s="12"/>
    </row>
    <row r="487" spans="2:4">
      <c r="B487" s="12"/>
      <c r="C487" s="12"/>
      <c r="D487" s="12"/>
    </row>
    <row r="488" spans="2:4">
      <c r="B488" s="12"/>
      <c r="C488" s="12"/>
      <c r="D488" s="12"/>
    </row>
    <row r="489" spans="2:4">
      <c r="B489" s="12"/>
      <c r="C489" s="12"/>
      <c r="D489" s="12"/>
    </row>
    <row r="490" spans="2:4">
      <c r="B490" s="12"/>
      <c r="C490" s="12"/>
      <c r="D490" s="12"/>
    </row>
    <row r="491" spans="2:4">
      <c r="B491" s="12"/>
      <c r="C491" s="12"/>
      <c r="D491" s="12"/>
    </row>
    <row r="492" spans="2:4">
      <c r="B492" s="12"/>
      <c r="C492" s="12"/>
      <c r="D492" s="12"/>
    </row>
    <row r="493" spans="2:4">
      <c r="B493" s="12"/>
      <c r="C493" s="12"/>
      <c r="D493" s="12"/>
    </row>
    <row r="494" spans="2:4">
      <c r="B494" s="12"/>
      <c r="C494" s="12"/>
      <c r="D494" s="12"/>
    </row>
    <row r="495" spans="2:4">
      <c r="B495" s="12"/>
      <c r="C495" s="12"/>
      <c r="D495" s="12"/>
    </row>
    <row r="496" spans="2:4">
      <c r="B496" s="12"/>
      <c r="C496" s="12"/>
      <c r="D496" s="12"/>
    </row>
    <row r="497" spans="2:4">
      <c r="B497" s="12"/>
      <c r="C497" s="12"/>
      <c r="D497" s="12"/>
    </row>
    <row r="498" spans="2:4">
      <c r="B498" s="12"/>
      <c r="C498" s="12"/>
      <c r="D498" s="12"/>
    </row>
    <row r="499" spans="2:4">
      <c r="B499" s="12"/>
      <c r="C499" s="12"/>
      <c r="D499" s="12"/>
    </row>
    <row r="500" spans="2:4">
      <c r="B500" s="12"/>
      <c r="C500" s="12"/>
      <c r="D500" s="12"/>
    </row>
    <row r="501" spans="2:4">
      <c r="B501" s="12"/>
      <c r="C501" s="12"/>
      <c r="D501" s="12"/>
    </row>
    <row r="502" spans="2:4">
      <c r="B502" s="12"/>
      <c r="C502" s="12"/>
      <c r="D502" s="12"/>
    </row>
    <row r="503" spans="2:4">
      <c r="B503" s="12"/>
      <c r="C503" s="12"/>
      <c r="D503" s="12"/>
    </row>
    <row r="504" spans="2:4">
      <c r="B504" s="12"/>
      <c r="C504" s="12"/>
      <c r="D504" s="12"/>
    </row>
    <row r="505" spans="2:4">
      <c r="B505" s="12"/>
      <c r="C505" s="12"/>
      <c r="D505" s="12"/>
    </row>
    <row r="506" spans="2:4">
      <c r="B506" s="12"/>
      <c r="C506" s="12"/>
      <c r="D506" s="12"/>
    </row>
    <row r="507" spans="2:4">
      <c r="B507" s="12"/>
      <c r="C507" s="12"/>
      <c r="D507" s="12"/>
    </row>
    <row r="508" spans="2:4">
      <c r="B508" s="12"/>
      <c r="C508" s="12"/>
      <c r="D508" s="12"/>
    </row>
    <row r="509" spans="2:4">
      <c r="B509" s="12"/>
      <c r="C509" s="12"/>
      <c r="D509" s="12"/>
    </row>
    <row r="510" spans="2:4">
      <c r="B510" s="12"/>
      <c r="C510" s="12"/>
      <c r="D510" s="12"/>
    </row>
    <row r="511" spans="2:4">
      <c r="B511" s="12"/>
      <c r="C511" s="12"/>
      <c r="D511" s="12"/>
    </row>
    <row r="512" spans="2:4">
      <c r="B512" s="12"/>
      <c r="C512" s="12"/>
      <c r="D512" s="12"/>
    </row>
    <row r="513" spans="2:4">
      <c r="B513" s="12"/>
      <c r="C513" s="12"/>
      <c r="D513" s="12"/>
    </row>
    <row r="514" spans="2:4">
      <c r="B514" s="12"/>
      <c r="C514" s="12"/>
      <c r="D514" s="12"/>
    </row>
    <row r="515" spans="2:4">
      <c r="B515" s="12"/>
      <c r="C515" s="12"/>
      <c r="D515" s="12"/>
    </row>
    <row r="516" spans="2:4">
      <c r="B516" s="12"/>
      <c r="C516" s="12"/>
      <c r="D516" s="12"/>
    </row>
    <row r="517" spans="2:4">
      <c r="B517" s="12"/>
      <c r="C517" s="12"/>
      <c r="D517" s="12"/>
    </row>
    <row r="518" spans="2:4">
      <c r="B518" s="12"/>
      <c r="C518" s="12"/>
      <c r="D518" s="12"/>
    </row>
    <row r="519" spans="2:4">
      <c r="B519" s="12"/>
      <c r="C519" s="12"/>
      <c r="D519" s="12"/>
    </row>
    <row r="520" spans="2:4">
      <c r="B520" s="12"/>
      <c r="C520" s="12"/>
      <c r="D520" s="12"/>
    </row>
    <row r="521" spans="2:4">
      <c r="B521" s="12"/>
      <c r="C521" s="12"/>
      <c r="D521" s="12"/>
    </row>
    <row r="522" spans="2:4">
      <c r="B522" s="12"/>
      <c r="C522" s="12"/>
      <c r="D522" s="12"/>
    </row>
    <row r="523" spans="2:4">
      <c r="B523" s="12"/>
      <c r="C523" s="12"/>
      <c r="D523" s="12"/>
    </row>
    <row r="524" spans="2:4">
      <c r="B524" s="12"/>
      <c r="C524" s="12"/>
      <c r="D524" s="12"/>
    </row>
    <row r="525" spans="2:4">
      <c r="B525" s="12"/>
      <c r="C525" s="12"/>
      <c r="D525" s="12"/>
    </row>
    <row r="526" spans="2:4">
      <c r="B526" s="12"/>
      <c r="C526" s="12"/>
      <c r="D526" s="12"/>
    </row>
    <row r="527" spans="2:4">
      <c r="B527" s="12"/>
      <c r="C527" s="12"/>
      <c r="D527" s="12"/>
    </row>
    <row r="528" spans="2:4">
      <c r="B528" s="12"/>
      <c r="C528" s="12"/>
      <c r="D528" s="12"/>
    </row>
    <row r="529" spans="2:4">
      <c r="B529" s="12"/>
      <c r="C529" s="12"/>
      <c r="D529" s="12"/>
    </row>
    <row r="530" spans="2:4">
      <c r="B530" s="12"/>
      <c r="C530" s="12"/>
      <c r="D530" s="12"/>
    </row>
    <row r="531" spans="2:4">
      <c r="B531" s="12"/>
      <c r="C531" s="12"/>
      <c r="D531" s="12"/>
    </row>
    <row r="532" spans="2:4">
      <c r="B532" s="12"/>
      <c r="C532" s="12"/>
      <c r="D532" s="12"/>
    </row>
    <row r="533" spans="2:4">
      <c r="B533" s="12"/>
      <c r="C533" s="12"/>
      <c r="D533" s="12"/>
    </row>
    <row r="534" spans="2:4">
      <c r="B534" s="12"/>
      <c r="C534" s="12"/>
      <c r="D534" s="12"/>
    </row>
    <row r="535" spans="2:4">
      <c r="B535" s="12"/>
      <c r="C535" s="12"/>
      <c r="D535" s="12"/>
    </row>
    <row r="536" spans="2:4">
      <c r="B536" s="12"/>
      <c r="C536" s="12"/>
      <c r="D536" s="12"/>
    </row>
    <row r="537" spans="2:4">
      <c r="B537" s="12"/>
      <c r="C537" s="12"/>
      <c r="D537" s="12"/>
    </row>
    <row r="538" spans="2:4">
      <c r="B538" s="12"/>
      <c r="C538" s="12"/>
      <c r="D538" s="12"/>
    </row>
    <row r="539" spans="2:4">
      <c r="B539" s="12"/>
      <c r="C539" s="12"/>
      <c r="D539" s="12"/>
    </row>
    <row r="540" spans="2:4">
      <c r="B540" s="12"/>
      <c r="C540" s="12"/>
      <c r="D540" s="12"/>
    </row>
    <row r="541" spans="2:4">
      <c r="B541" s="12"/>
      <c r="C541" s="12"/>
      <c r="D541" s="12"/>
    </row>
    <row r="542" spans="2:4">
      <c r="B542" s="12"/>
      <c r="C542" s="12"/>
      <c r="D542" s="12"/>
    </row>
    <row r="543" spans="2:4">
      <c r="B543" s="12"/>
      <c r="C543" s="12"/>
      <c r="D543" s="12"/>
    </row>
    <row r="544" spans="2:4">
      <c r="B544" s="12"/>
      <c r="C544" s="12"/>
      <c r="D544" s="12"/>
    </row>
    <row r="545" spans="2:4">
      <c r="B545" s="12"/>
      <c r="C545" s="12"/>
      <c r="D545" s="12"/>
    </row>
    <row r="546" spans="2:4">
      <c r="B546" s="12"/>
      <c r="C546" s="12"/>
      <c r="D546" s="12"/>
    </row>
    <row r="547" spans="2:4">
      <c r="B547" s="12"/>
      <c r="C547" s="12"/>
      <c r="D547" s="12"/>
    </row>
    <row r="548" spans="2:4">
      <c r="B548" s="12"/>
      <c r="C548" s="12"/>
      <c r="D548" s="12"/>
    </row>
    <row r="549" spans="2:4">
      <c r="B549" s="12"/>
      <c r="C549" s="12"/>
      <c r="D549" s="12"/>
    </row>
    <row r="550" spans="2:4">
      <c r="B550" s="12"/>
      <c r="C550" s="12"/>
      <c r="D550" s="12"/>
    </row>
    <row r="551" spans="2:4">
      <c r="B551" s="12"/>
      <c r="C551" s="12"/>
      <c r="D551" s="12"/>
    </row>
    <row r="552" spans="2:4">
      <c r="B552" s="12"/>
      <c r="C552" s="12"/>
      <c r="D552" s="12"/>
    </row>
    <row r="553" spans="2:4">
      <c r="B553" s="12"/>
      <c r="C553" s="12"/>
      <c r="D553" s="12"/>
    </row>
    <row r="554" spans="2:4">
      <c r="B554" s="12"/>
      <c r="C554" s="12"/>
      <c r="D554" s="12"/>
    </row>
    <row r="555" spans="2:4">
      <c r="B555" s="12"/>
      <c r="C555" s="12"/>
      <c r="D555" s="12"/>
    </row>
    <row r="556" spans="2:4">
      <c r="B556" s="12"/>
      <c r="C556" s="12"/>
      <c r="D556" s="12"/>
    </row>
    <row r="557" spans="2:4">
      <c r="B557" s="12"/>
      <c r="C557" s="12"/>
      <c r="D557" s="12"/>
    </row>
    <row r="558" spans="2:4">
      <c r="B558" s="12"/>
      <c r="C558" s="12"/>
      <c r="D558" s="12"/>
    </row>
    <row r="559" spans="2:4">
      <c r="B559" s="12"/>
      <c r="C559" s="12"/>
      <c r="D559" s="12"/>
    </row>
    <row r="560" spans="2:4">
      <c r="B560" s="12"/>
      <c r="C560" s="12"/>
      <c r="D560" s="12"/>
    </row>
    <row r="561" spans="2:4">
      <c r="B561" s="12"/>
      <c r="C561" s="12"/>
      <c r="D561" s="12"/>
    </row>
    <row r="562" spans="2:4">
      <c r="B562" s="12"/>
      <c r="C562" s="12"/>
      <c r="D562" s="12"/>
    </row>
    <row r="563" spans="2:4">
      <c r="B563" s="12"/>
      <c r="C563" s="12"/>
      <c r="D563" s="12"/>
    </row>
    <row r="564" spans="2:4">
      <c r="B564" s="12"/>
      <c r="C564" s="12"/>
      <c r="D564" s="12"/>
    </row>
    <row r="565" spans="2:4">
      <c r="B565" s="12"/>
      <c r="C565" s="12"/>
      <c r="D565" s="12"/>
    </row>
    <row r="566" spans="2:4">
      <c r="B566" s="12"/>
      <c r="C566" s="12"/>
      <c r="D566" s="12"/>
    </row>
    <row r="567" spans="2:4">
      <c r="B567" s="12"/>
      <c r="C567" s="12"/>
      <c r="D567" s="12"/>
    </row>
    <row r="568" spans="2:4">
      <c r="B568" s="12"/>
      <c r="C568" s="12"/>
      <c r="D568" s="12"/>
    </row>
    <row r="569" spans="2:4">
      <c r="B569" s="12"/>
      <c r="C569" s="12"/>
      <c r="D569" s="12"/>
    </row>
    <row r="570" spans="2:4">
      <c r="B570" s="12"/>
      <c r="C570" s="12"/>
      <c r="D570" s="12"/>
    </row>
    <row r="571" spans="2:4">
      <c r="B571" s="12"/>
      <c r="C571" s="12"/>
      <c r="D571" s="12"/>
    </row>
    <row r="572" spans="2:4">
      <c r="B572" s="12"/>
      <c r="C572" s="12"/>
      <c r="D572" s="12"/>
    </row>
    <row r="573" spans="2:4">
      <c r="B573" s="12"/>
      <c r="C573" s="12"/>
      <c r="D573" s="12"/>
    </row>
    <row r="574" spans="2:4">
      <c r="B574" s="12"/>
      <c r="C574" s="12"/>
      <c r="D574" s="12"/>
    </row>
    <row r="575" spans="2:4">
      <c r="B575" s="12"/>
      <c r="C575" s="12"/>
      <c r="D575" s="12"/>
    </row>
    <row r="576" spans="2:4">
      <c r="B576" s="12"/>
      <c r="C576" s="12"/>
      <c r="D576" s="12"/>
    </row>
    <row r="577" spans="2:4">
      <c r="B577" s="12"/>
      <c r="C577" s="12"/>
      <c r="D577" s="12"/>
    </row>
    <row r="578" spans="2:4">
      <c r="B578" s="12"/>
      <c r="C578" s="12"/>
      <c r="D578" s="12"/>
    </row>
    <row r="579" spans="2:4">
      <c r="B579" s="12"/>
      <c r="C579" s="12"/>
      <c r="D579" s="12"/>
    </row>
    <row r="580" spans="2:4">
      <c r="B580" s="12"/>
      <c r="C580" s="12"/>
      <c r="D580" s="12"/>
    </row>
    <row r="581" spans="2:4">
      <c r="B581" s="12"/>
      <c r="C581" s="12"/>
      <c r="D581" s="12"/>
    </row>
    <row r="582" spans="2:4">
      <c r="B582" s="12"/>
      <c r="C582" s="12"/>
      <c r="D582" s="12"/>
    </row>
    <row r="583" spans="2:4">
      <c r="B583" s="12"/>
      <c r="C583" s="12"/>
      <c r="D583" s="12"/>
    </row>
    <row r="584" spans="2:4">
      <c r="B584" s="12"/>
      <c r="C584" s="12"/>
      <c r="D584" s="12"/>
    </row>
    <row r="585" spans="2:4">
      <c r="B585" s="12"/>
      <c r="C585" s="12"/>
      <c r="D585" s="12"/>
    </row>
    <row r="586" spans="2:4">
      <c r="B586" s="12"/>
      <c r="C586" s="12"/>
      <c r="D586" s="12"/>
    </row>
    <row r="587" spans="2:4">
      <c r="B587" s="12"/>
      <c r="C587" s="12"/>
      <c r="D587" s="12"/>
    </row>
    <row r="588" spans="2:4">
      <c r="B588" s="12"/>
      <c r="C588" s="12"/>
      <c r="D588" s="12"/>
    </row>
    <row r="589" spans="2:4">
      <c r="B589" s="12"/>
      <c r="C589" s="12"/>
      <c r="D589" s="12"/>
    </row>
    <row r="590" spans="2:4">
      <c r="B590" s="12"/>
      <c r="C590" s="12"/>
      <c r="D590" s="12"/>
    </row>
    <row r="591" spans="2:4">
      <c r="B591" s="12"/>
      <c r="C591" s="12"/>
      <c r="D591" s="12"/>
    </row>
    <row r="592" spans="2:4">
      <c r="B592" s="12"/>
      <c r="C592" s="12"/>
      <c r="D592" s="12"/>
    </row>
    <row r="593" spans="2:4">
      <c r="B593" s="12"/>
      <c r="C593" s="12"/>
      <c r="D593" s="12"/>
    </row>
    <row r="594" spans="2:4">
      <c r="B594" s="12"/>
      <c r="C594" s="12"/>
      <c r="D594" s="12"/>
    </row>
    <row r="595" spans="2:4">
      <c r="B595" s="12"/>
      <c r="C595" s="12"/>
      <c r="D595" s="12"/>
    </row>
    <row r="596" spans="2:4">
      <c r="B596" s="12"/>
      <c r="C596" s="12"/>
      <c r="D596" s="12"/>
    </row>
    <row r="597" spans="2:4">
      <c r="B597" s="12"/>
      <c r="C597" s="12"/>
      <c r="D597" s="12"/>
    </row>
    <row r="598" spans="2:4">
      <c r="B598" s="12"/>
      <c r="C598" s="12"/>
      <c r="D598" s="12"/>
    </row>
    <row r="599" spans="2:4">
      <c r="B599" s="12"/>
      <c r="C599" s="12"/>
      <c r="D599" s="12"/>
    </row>
    <row r="600" spans="2:4">
      <c r="B600" s="12"/>
      <c r="C600" s="12"/>
      <c r="D600" s="12"/>
    </row>
    <row r="601" spans="2:4">
      <c r="B601" s="12"/>
      <c r="C601" s="12"/>
      <c r="D601" s="12"/>
    </row>
    <row r="602" spans="2:4">
      <c r="B602" s="12"/>
      <c r="C602" s="12"/>
      <c r="D602" s="12"/>
    </row>
    <row r="603" spans="2:4">
      <c r="B603" s="12"/>
      <c r="C603" s="12"/>
      <c r="D603" s="12"/>
    </row>
    <row r="604" spans="2:4">
      <c r="B604" s="12"/>
      <c r="C604" s="12"/>
      <c r="D604" s="12"/>
    </row>
    <row r="605" spans="2:4">
      <c r="B605" s="12"/>
      <c r="C605" s="12"/>
      <c r="D605" s="12"/>
    </row>
    <row r="606" spans="2:4">
      <c r="B606" s="12"/>
      <c r="C606" s="12"/>
      <c r="D606" s="12"/>
    </row>
    <row r="607" spans="2:4">
      <c r="B607" s="12"/>
      <c r="C607" s="12"/>
      <c r="D607" s="12"/>
    </row>
    <row r="608" spans="2:4">
      <c r="B608" s="12"/>
      <c r="C608" s="12"/>
      <c r="D608" s="12"/>
    </row>
    <row r="609" spans="2:4">
      <c r="B609" s="12"/>
      <c r="C609" s="12"/>
      <c r="D609" s="12"/>
    </row>
    <row r="610" spans="2:4">
      <c r="B610" s="12"/>
      <c r="C610" s="12"/>
      <c r="D610" s="12"/>
    </row>
    <row r="611" spans="2:4">
      <c r="B611" s="12"/>
      <c r="C611" s="12"/>
      <c r="D611" s="12"/>
    </row>
    <row r="612" spans="2:4">
      <c r="B612" s="12"/>
      <c r="C612" s="12"/>
      <c r="D612" s="12"/>
    </row>
    <row r="613" spans="2:4">
      <c r="B613" s="12"/>
      <c r="C613" s="12"/>
      <c r="D613" s="12"/>
    </row>
    <row r="614" spans="2:4">
      <c r="B614" s="12"/>
      <c r="C614" s="12"/>
      <c r="D614" s="12"/>
    </row>
    <row r="615" spans="2:4">
      <c r="B615" s="12"/>
      <c r="C615" s="12"/>
      <c r="D615" s="12"/>
    </row>
    <row r="616" spans="2:4">
      <c r="B616" s="12"/>
      <c r="C616" s="12"/>
      <c r="D616" s="12"/>
    </row>
    <row r="617" spans="2:4">
      <c r="B617" s="12"/>
      <c r="C617" s="12"/>
      <c r="D617" s="12"/>
    </row>
    <row r="618" spans="2:4">
      <c r="B618" s="12"/>
      <c r="C618" s="12"/>
      <c r="D618" s="12"/>
    </row>
    <row r="619" spans="2:4">
      <c r="B619" s="12"/>
      <c r="C619" s="12"/>
      <c r="D619" s="12"/>
    </row>
    <row r="620" spans="2:4">
      <c r="B620" s="12"/>
      <c r="C620" s="12"/>
      <c r="D620" s="12"/>
    </row>
    <row r="621" spans="2:4">
      <c r="B621" s="12"/>
      <c r="C621" s="12"/>
      <c r="D621" s="12"/>
    </row>
    <row r="622" spans="2:4">
      <c r="B622" s="12"/>
      <c r="C622" s="12"/>
      <c r="D622" s="12"/>
    </row>
    <row r="623" spans="2:4">
      <c r="B623" s="12"/>
      <c r="C623" s="12"/>
      <c r="D623" s="12"/>
    </row>
    <row r="624" spans="2:4">
      <c r="B624" s="12"/>
      <c r="C624" s="12"/>
      <c r="D624" s="12"/>
    </row>
    <row r="625" spans="2:4">
      <c r="B625" s="12"/>
      <c r="C625" s="12"/>
      <c r="D625" s="12"/>
    </row>
    <row r="626" spans="2:4">
      <c r="B626" s="12"/>
      <c r="C626" s="12"/>
      <c r="D626" s="12"/>
    </row>
    <row r="627" spans="2:4">
      <c r="B627" s="12"/>
      <c r="C627" s="12"/>
      <c r="D627" s="12"/>
    </row>
    <row r="628" spans="2:4">
      <c r="B628" s="12"/>
      <c r="C628" s="12"/>
      <c r="D628" s="12"/>
    </row>
    <row r="629" spans="2:4">
      <c r="B629" s="12"/>
      <c r="C629" s="12"/>
      <c r="D629" s="12"/>
    </row>
    <row r="630" spans="2:4">
      <c r="B630" s="12"/>
      <c r="C630" s="12"/>
      <c r="D630" s="12"/>
    </row>
    <row r="631" spans="2:4">
      <c r="B631" s="12"/>
      <c r="C631" s="12"/>
      <c r="D631" s="12"/>
    </row>
    <row r="632" spans="2:4">
      <c r="B632" s="12"/>
      <c r="C632" s="12"/>
      <c r="D632" s="12"/>
    </row>
    <row r="633" spans="2:4">
      <c r="B633" s="12"/>
      <c r="C633" s="12"/>
      <c r="D633" s="1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F0B58-E02D-41BE-88D3-D1279E09496F}">
  <dimension ref="A1:C36"/>
  <sheetViews>
    <sheetView topLeftCell="A55" workbookViewId="0">
      <selection activeCell="B34" sqref="B34"/>
    </sheetView>
  </sheetViews>
  <sheetFormatPr defaultRowHeight="15"/>
  <cols>
    <col min="1" max="1" width="13.85546875" bestFit="1" customWidth="1"/>
    <col min="2" max="2" width="41.7109375" bestFit="1" customWidth="1"/>
    <col min="3" max="3" width="10.42578125" bestFit="1" customWidth="1"/>
  </cols>
  <sheetData>
    <row r="1" spans="1:3">
      <c r="A1" t="s">
        <v>426</v>
      </c>
      <c r="B1" t="s">
        <v>427</v>
      </c>
      <c r="C1" t="s">
        <v>428</v>
      </c>
    </row>
    <row r="2" spans="1:3" hidden="1">
      <c r="A2" s="12" t="s">
        <v>429</v>
      </c>
      <c r="B2" s="12" t="s">
        <v>430</v>
      </c>
      <c r="C2">
        <v>62.16</v>
      </c>
    </row>
    <row r="3" spans="1:3" hidden="1">
      <c r="A3" s="12" t="s">
        <v>429</v>
      </c>
      <c r="B3" s="12" t="s">
        <v>133</v>
      </c>
      <c r="C3">
        <v>639.8900000000001</v>
      </c>
    </row>
    <row r="4" spans="1:3" hidden="1">
      <c r="A4" s="12" t="s">
        <v>429</v>
      </c>
      <c r="B4" s="12" t="s">
        <v>128</v>
      </c>
      <c r="C4">
        <v>4239.1799999999985</v>
      </c>
    </row>
    <row r="5" spans="1:3" hidden="1">
      <c r="A5" s="12" t="s">
        <v>429</v>
      </c>
      <c r="B5" s="12" t="s">
        <v>327</v>
      </c>
      <c r="C5">
        <v>20234.749999999996</v>
      </c>
    </row>
    <row r="6" spans="1:3" hidden="1">
      <c r="A6" s="12" t="s">
        <v>429</v>
      </c>
      <c r="B6" s="12" t="s">
        <v>122</v>
      </c>
      <c r="C6">
        <v>26076.93</v>
      </c>
    </row>
    <row r="7" spans="1:3" hidden="1">
      <c r="A7" s="12" t="s">
        <v>429</v>
      </c>
      <c r="B7" s="12" t="s">
        <v>152</v>
      </c>
      <c r="C7">
        <v>160009.44</v>
      </c>
    </row>
    <row r="8" spans="1:3" hidden="1">
      <c r="A8" s="12" t="s">
        <v>429</v>
      </c>
      <c r="B8" s="12" t="s">
        <v>130</v>
      </c>
      <c r="C8">
        <v>15484.45</v>
      </c>
    </row>
    <row r="9" spans="1:3" hidden="1">
      <c r="A9" s="12" t="s">
        <v>429</v>
      </c>
      <c r="B9" s="12" t="s">
        <v>119</v>
      </c>
      <c r="C9">
        <v>102.74</v>
      </c>
    </row>
    <row r="10" spans="1:3" hidden="1">
      <c r="A10" s="12" t="s">
        <v>429</v>
      </c>
      <c r="B10" s="12" t="s">
        <v>112</v>
      </c>
      <c r="C10">
        <v>128279</v>
      </c>
    </row>
    <row r="11" spans="1:3" hidden="1">
      <c r="A11" s="12" t="s">
        <v>429</v>
      </c>
      <c r="B11" s="12" t="s">
        <v>141</v>
      </c>
      <c r="C11">
        <v>10650.75</v>
      </c>
    </row>
    <row r="12" spans="1:3" hidden="1">
      <c r="A12" s="12" t="s">
        <v>429</v>
      </c>
      <c r="B12" s="12" t="s">
        <v>103</v>
      </c>
      <c r="C12">
        <v>3424.92</v>
      </c>
    </row>
    <row r="13" spans="1:3" hidden="1">
      <c r="A13" s="12" t="s">
        <v>431</v>
      </c>
      <c r="B13" s="12" t="s">
        <v>94</v>
      </c>
      <c r="C13">
        <v>1750</v>
      </c>
    </row>
    <row r="14" spans="1:3" hidden="1">
      <c r="A14" s="12" t="s">
        <v>431</v>
      </c>
      <c r="B14" s="12" t="s">
        <v>128</v>
      </c>
      <c r="C14">
        <v>4679.1799999999957</v>
      </c>
    </row>
    <row r="15" spans="1:3" hidden="1">
      <c r="A15" s="12" t="s">
        <v>431</v>
      </c>
      <c r="B15" s="12" t="s">
        <v>133</v>
      </c>
      <c r="C15">
        <v>985.73</v>
      </c>
    </row>
    <row r="16" spans="1:3" hidden="1">
      <c r="A16" s="12" t="s">
        <v>431</v>
      </c>
      <c r="B16" s="12" t="s">
        <v>130</v>
      </c>
      <c r="C16">
        <v>10289.91</v>
      </c>
    </row>
    <row r="17" spans="1:3" hidden="1">
      <c r="A17" s="12" t="s">
        <v>431</v>
      </c>
      <c r="B17" s="12" t="s">
        <v>327</v>
      </c>
      <c r="C17">
        <v>51113.180000000051</v>
      </c>
    </row>
    <row r="18" spans="1:3" hidden="1">
      <c r="A18" s="12" t="s">
        <v>431</v>
      </c>
      <c r="B18" s="12" t="s">
        <v>122</v>
      </c>
      <c r="C18">
        <v>38079.30999999999</v>
      </c>
    </row>
    <row r="19" spans="1:3" hidden="1">
      <c r="A19" s="12" t="s">
        <v>431</v>
      </c>
      <c r="B19" s="12" t="s">
        <v>152</v>
      </c>
      <c r="C19">
        <v>1573.88</v>
      </c>
    </row>
    <row r="20" spans="1:3" hidden="1">
      <c r="A20" s="12" t="s">
        <v>431</v>
      </c>
      <c r="B20" s="12" t="s">
        <v>430</v>
      </c>
      <c r="C20">
        <v>9488.1200000000008</v>
      </c>
    </row>
    <row r="21" spans="1:3" hidden="1">
      <c r="A21" s="12" t="s">
        <v>431</v>
      </c>
      <c r="B21" s="12" t="s">
        <v>141</v>
      </c>
      <c r="C21">
        <v>1004.66</v>
      </c>
    </row>
    <row r="22" spans="1:3" hidden="1">
      <c r="A22" s="12" t="s">
        <v>431</v>
      </c>
      <c r="B22" s="12" t="s">
        <v>112</v>
      </c>
      <c r="C22">
        <v>91665</v>
      </c>
    </row>
    <row r="23" spans="1:3">
      <c r="A23" s="12" t="s">
        <v>59</v>
      </c>
      <c r="B23" s="12" t="s">
        <v>122</v>
      </c>
      <c r="C23" s="46">
        <v>32651.610000000004</v>
      </c>
    </row>
    <row r="24" spans="1:3">
      <c r="A24" s="12" t="s">
        <v>59</v>
      </c>
      <c r="B24" s="12" t="s">
        <v>128</v>
      </c>
      <c r="C24" s="46">
        <v>2537.8900000000017</v>
      </c>
    </row>
    <row r="25" spans="1:3">
      <c r="A25" s="12" t="s">
        <v>59</v>
      </c>
      <c r="B25" s="12" t="s">
        <v>138</v>
      </c>
      <c r="C25" s="46">
        <v>13400</v>
      </c>
    </row>
    <row r="26" spans="1:3">
      <c r="A26" s="12" t="s">
        <v>59</v>
      </c>
      <c r="B26" s="12" t="s">
        <v>125</v>
      </c>
      <c r="C26" s="46">
        <v>1840.3</v>
      </c>
    </row>
    <row r="27" spans="1:3">
      <c r="A27" s="12" t="s">
        <v>59</v>
      </c>
      <c r="B27" s="12" t="s">
        <v>130</v>
      </c>
      <c r="C27" s="46">
        <v>16168.140000000001</v>
      </c>
    </row>
    <row r="28" spans="1:3">
      <c r="A28" s="12" t="s">
        <v>59</v>
      </c>
      <c r="B28" s="12" t="s">
        <v>133</v>
      </c>
      <c r="C28" s="46">
        <v>2030.8799999999999</v>
      </c>
    </row>
    <row r="29" spans="1:3">
      <c r="A29" s="12" t="s">
        <v>59</v>
      </c>
      <c r="B29" s="12" t="s">
        <v>152</v>
      </c>
      <c r="C29" s="46">
        <v>1530</v>
      </c>
    </row>
    <row r="30" spans="1:3">
      <c r="A30" s="12" t="s">
        <v>59</v>
      </c>
      <c r="B30" s="12" t="s">
        <v>149</v>
      </c>
      <c r="C30" s="46">
        <v>4136.0000000000027</v>
      </c>
    </row>
    <row r="31" spans="1:3">
      <c r="A31" s="12" t="s">
        <v>59</v>
      </c>
      <c r="B31" s="12" t="s">
        <v>141</v>
      </c>
      <c r="C31" s="46">
        <v>716.26</v>
      </c>
    </row>
    <row r="32" spans="1:3">
      <c r="A32" s="12" t="s">
        <v>59</v>
      </c>
      <c r="B32" s="12" t="s">
        <v>103</v>
      </c>
      <c r="C32" s="46">
        <v>6850.98</v>
      </c>
    </row>
    <row r="33" spans="1:3">
      <c r="A33" s="12" t="s">
        <v>59</v>
      </c>
      <c r="B33" s="12" t="s">
        <v>94</v>
      </c>
      <c r="C33" s="46">
        <v>250</v>
      </c>
    </row>
    <row r="34" spans="1:3">
      <c r="A34" s="12" t="s">
        <v>59</v>
      </c>
      <c r="B34" s="12" t="s">
        <v>144</v>
      </c>
      <c r="C34" s="46">
        <v>51527.459999999992</v>
      </c>
    </row>
    <row r="35" spans="1:3">
      <c r="A35" s="12" t="s">
        <v>59</v>
      </c>
      <c r="B35" s="12" t="s">
        <v>112</v>
      </c>
      <c r="C35" s="46">
        <v>60237</v>
      </c>
    </row>
    <row r="36" spans="1:3">
      <c r="A36" s="12"/>
      <c r="B36" s="12"/>
      <c r="C36">
        <f>SUBTOTAL(109,Expenses_Input[Amount])</f>
        <v>193876.52000000002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5F98-9E78-4AEC-B169-B7E7D7A8D45E}">
  <dimension ref="A1"/>
  <sheetViews>
    <sheetView workbookViewId="0">
      <selection activeCell="S29" sqref="S29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8EC92-F8DB-4088-9F74-D1F7EBEFF0D9}">
  <dimension ref="B2:C11"/>
  <sheetViews>
    <sheetView workbookViewId="0">
      <selection activeCell="B12" sqref="B12"/>
    </sheetView>
  </sheetViews>
  <sheetFormatPr defaultRowHeight="15"/>
  <cols>
    <col min="2" max="2" width="20.5703125" customWidth="1"/>
    <col min="3" max="3" width="16.5703125" customWidth="1"/>
  </cols>
  <sheetData>
    <row r="2" spans="2:3">
      <c r="B2" t="s">
        <v>88</v>
      </c>
      <c r="C2" t="s">
        <v>110</v>
      </c>
    </row>
    <row r="3" spans="2:3">
      <c r="B3" t="s">
        <v>432</v>
      </c>
      <c r="C3" t="s">
        <v>89</v>
      </c>
    </row>
    <row r="4" spans="2:3">
      <c r="B4" t="s">
        <v>433</v>
      </c>
      <c r="C4" t="s">
        <v>434</v>
      </c>
    </row>
    <row r="5" spans="2:3">
      <c r="B5" t="s">
        <v>98</v>
      </c>
      <c r="C5" t="s">
        <v>115</v>
      </c>
    </row>
    <row r="6" spans="2:3">
      <c r="B6" t="s">
        <v>115</v>
      </c>
    </row>
    <row r="7" spans="2:3">
      <c r="B7" t="s">
        <v>117</v>
      </c>
    </row>
    <row r="8" spans="2:3">
      <c r="B8" t="s">
        <v>148</v>
      </c>
    </row>
    <row r="9" spans="2:3">
      <c r="B9" t="s">
        <v>154</v>
      </c>
    </row>
    <row r="10" spans="2:3">
      <c r="B10" t="s">
        <v>158</v>
      </c>
    </row>
    <row r="11" spans="2:3">
      <c r="B11" t="s">
        <v>109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DEB4F-8DE3-4A96-80B7-7A263B4B65A3}">
  <dimension ref="A1:A12"/>
  <sheetViews>
    <sheetView workbookViewId="0"/>
  </sheetViews>
  <sheetFormatPr defaultRowHeight="15"/>
  <sheetData>
    <row r="1" spans="1:1">
      <c r="A1" t="s">
        <v>435</v>
      </c>
    </row>
    <row r="2" spans="1:1">
      <c r="A2" t="s">
        <v>436</v>
      </c>
    </row>
    <row r="3" spans="1:1">
      <c r="A3" t="s">
        <v>437</v>
      </c>
    </row>
    <row r="11" spans="1:1">
      <c r="A11" t="s">
        <v>17</v>
      </c>
    </row>
    <row r="12" spans="1:1">
      <c r="A12" t="s">
        <v>194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3A666-B232-466E-938B-C730D49AFAD6}">
  <dimension ref="A1:P37"/>
  <sheetViews>
    <sheetView workbookViewId="0">
      <selection activeCell="D4" sqref="D4"/>
    </sheetView>
  </sheetViews>
  <sheetFormatPr defaultRowHeight="15"/>
  <cols>
    <col min="1" max="1" width="35.7109375" bestFit="1" customWidth="1"/>
    <col min="2" max="2" width="19.42578125" bestFit="1" customWidth="1"/>
    <col min="3" max="3" width="7.7109375" bestFit="1" customWidth="1"/>
    <col min="4" max="4" width="17.85546875" bestFit="1" customWidth="1"/>
    <col min="5" max="5" width="21.5703125" bestFit="1" customWidth="1"/>
    <col min="6" max="6" width="38.42578125" bestFit="1" customWidth="1"/>
    <col min="7" max="7" width="25.7109375" bestFit="1" customWidth="1"/>
    <col min="8" max="8" width="17.85546875" bestFit="1" customWidth="1"/>
    <col min="9" max="9" width="15.140625" bestFit="1" customWidth="1"/>
    <col min="10" max="10" width="13.42578125" bestFit="1" customWidth="1"/>
    <col min="11" max="11" width="16.85546875" bestFit="1" customWidth="1"/>
    <col min="12" max="12" width="12" bestFit="1" customWidth="1"/>
    <col min="13" max="14" width="18.5703125" bestFit="1" customWidth="1"/>
    <col min="15" max="15" width="20.140625" bestFit="1" customWidth="1"/>
    <col min="16" max="16" width="18.85546875" bestFit="1" customWidth="1"/>
  </cols>
  <sheetData>
    <row r="1" spans="1:16" ht="30" customHeight="1">
      <c r="A1" s="72" t="s">
        <v>438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>
      <c r="A2" t="s">
        <v>439</v>
      </c>
      <c r="B2" t="s">
        <v>440</v>
      </c>
      <c r="C2" t="s">
        <v>441</v>
      </c>
      <c r="D2" t="s">
        <v>442</v>
      </c>
      <c r="E2" t="s">
        <v>443</v>
      </c>
      <c r="F2" t="s">
        <v>444</v>
      </c>
      <c r="G2" t="s">
        <v>445</v>
      </c>
      <c r="H2" t="s">
        <v>446</v>
      </c>
      <c r="I2" t="s">
        <v>447</v>
      </c>
      <c r="J2" t="s">
        <v>448</v>
      </c>
      <c r="K2" t="s">
        <v>449</v>
      </c>
      <c r="L2" t="s">
        <v>450</v>
      </c>
      <c r="M2" t="s">
        <v>451</v>
      </c>
      <c r="N2" t="s">
        <v>452</v>
      </c>
      <c r="O2" t="s">
        <v>453</v>
      </c>
      <c r="P2" t="s">
        <v>454</v>
      </c>
    </row>
    <row r="3" spans="1:16">
      <c r="A3" s="29" t="s">
        <v>455</v>
      </c>
      <c r="B3" s="29" t="s">
        <v>456</v>
      </c>
      <c r="C3" s="29" t="s">
        <v>457</v>
      </c>
      <c r="D3" s="12">
        <v>10000</v>
      </c>
      <c r="E3" s="29"/>
      <c r="F3" s="29" t="s">
        <v>91</v>
      </c>
      <c r="G3" s="12">
        <v>1</v>
      </c>
      <c r="H3" s="12">
        <v>0</v>
      </c>
      <c r="I3" s="12">
        <v>43981.88</v>
      </c>
      <c r="J3" s="12">
        <v>881517.36</v>
      </c>
      <c r="K3" s="12">
        <v>837535.48</v>
      </c>
      <c r="L3" s="12">
        <v>0</v>
      </c>
      <c r="M3" s="29" t="s">
        <v>458</v>
      </c>
      <c r="N3" s="29" t="s">
        <v>458</v>
      </c>
      <c r="O3" s="29" t="s">
        <v>458</v>
      </c>
      <c r="P3" s="29" t="s">
        <v>458</v>
      </c>
    </row>
    <row r="4" spans="1:16">
      <c r="A4" s="29" t="s">
        <v>455</v>
      </c>
      <c r="B4" s="29" t="s">
        <v>456</v>
      </c>
      <c r="C4" s="29" t="s">
        <v>457</v>
      </c>
      <c r="D4" s="12">
        <v>16000</v>
      </c>
      <c r="E4" s="29"/>
      <c r="F4" s="29" t="s">
        <v>459</v>
      </c>
      <c r="G4" s="12">
        <v>7</v>
      </c>
      <c r="H4" s="12">
        <v>0</v>
      </c>
      <c r="I4" s="12">
        <v>734955633.48000002</v>
      </c>
      <c r="J4" s="12">
        <v>734955633.48000002</v>
      </c>
      <c r="K4" s="12">
        <v>0</v>
      </c>
      <c r="L4" s="12">
        <v>0</v>
      </c>
      <c r="M4" s="29" t="s">
        <v>458</v>
      </c>
      <c r="N4" s="29" t="s">
        <v>458</v>
      </c>
      <c r="O4" s="29" t="s">
        <v>458</v>
      </c>
      <c r="P4" s="29" t="s">
        <v>458</v>
      </c>
    </row>
    <row r="5" spans="1:16">
      <c r="A5" s="29" t="s">
        <v>455</v>
      </c>
      <c r="B5" s="29" t="s">
        <v>456</v>
      </c>
      <c r="C5" s="29" t="s">
        <v>457</v>
      </c>
      <c r="D5" s="12">
        <v>16020</v>
      </c>
      <c r="E5" s="29"/>
      <c r="F5" s="29" t="s">
        <v>460</v>
      </c>
      <c r="G5" s="12">
        <v>9</v>
      </c>
      <c r="H5" s="12">
        <v>0</v>
      </c>
      <c r="I5" s="12">
        <v>228777624.87</v>
      </c>
      <c r="J5" s="12">
        <v>239514730.06999999</v>
      </c>
      <c r="K5" s="12">
        <v>10737105.199999999</v>
      </c>
      <c r="L5" s="12">
        <v>0</v>
      </c>
      <c r="M5" s="29" t="s">
        <v>458</v>
      </c>
      <c r="N5" s="29" t="s">
        <v>458</v>
      </c>
      <c r="O5" s="29" t="s">
        <v>458</v>
      </c>
      <c r="P5" s="29" t="s">
        <v>458</v>
      </c>
    </row>
    <row r="6" spans="1:16">
      <c r="A6" s="29" t="s">
        <v>455</v>
      </c>
      <c r="B6" s="29" t="s">
        <v>456</v>
      </c>
      <c r="C6" s="29" t="s">
        <v>457</v>
      </c>
      <c r="D6" s="12">
        <v>20028</v>
      </c>
      <c r="E6" s="29"/>
      <c r="F6" s="29" t="s">
        <v>461</v>
      </c>
      <c r="G6" s="12">
        <v>10000145</v>
      </c>
      <c r="H6" s="12">
        <v>0</v>
      </c>
      <c r="I6" s="12">
        <v>203.73</v>
      </c>
      <c r="J6" s="12">
        <v>469625.95</v>
      </c>
      <c r="K6" s="12">
        <v>469422.22</v>
      </c>
      <c r="L6" s="12">
        <v>0</v>
      </c>
      <c r="M6" s="29" t="s">
        <v>458</v>
      </c>
      <c r="N6" s="29" t="s">
        <v>458</v>
      </c>
      <c r="O6" s="29" t="s">
        <v>458</v>
      </c>
      <c r="P6" s="29" t="s">
        <v>458</v>
      </c>
    </row>
    <row r="7" spans="1:16">
      <c r="A7" s="29" t="s">
        <v>455</v>
      </c>
      <c r="B7" s="29" t="s">
        <v>462</v>
      </c>
      <c r="C7" s="29" t="s">
        <v>457</v>
      </c>
      <c r="D7" s="12">
        <v>20160</v>
      </c>
      <c r="E7" s="29"/>
      <c r="F7" s="29" t="s">
        <v>463</v>
      </c>
      <c r="G7" s="12">
        <v>10000391</v>
      </c>
      <c r="H7" s="12">
        <v>0</v>
      </c>
      <c r="I7" s="12">
        <v>-59.21</v>
      </c>
      <c r="J7" s="12">
        <v>-59.21</v>
      </c>
      <c r="K7" s="12">
        <v>0</v>
      </c>
      <c r="L7" s="12">
        <v>0</v>
      </c>
      <c r="M7" s="29" t="s">
        <v>458</v>
      </c>
      <c r="N7" s="29" t="s">
        <v>458</v>
      </c>
      <c r="O7" s="29" t="s">
        <v>458</v>
      </c>
      <c r="P7" s="29" t="s">
        <v>458</v>
      </c>
    </row>
    <row r="8" spans="1:16">
      <c r="A8" s="29" t="s">
        <v>455</v>
      </c>
      <c r="B8" s="29" t="s">
        <v>462</v>
      </c>
      <c r="C8" s="29" t="s">
        <v>457</v>
      </c>
      <c r="D8" s="12">
        <v>24105</v>
      </c>
      <c r="E8" s="29"/>
      <c r="F8" s="29" t="s">
        <v>464</v>
      </c>
      <c r="G8" s="12">
        <v>10000193</v>
      </c>
      <c r="H8" s="12">
        <v>0</v>
      </c>
      <c r="I8" s="12">
        <v>-9161.5</v>
      </c>
      <c r="J8" s="12">
        <v>-9161.5</v>
      </c>
      <c r="K8" s="12">
        <v>0</v>
      </c>
      <c r="L8" s="12">
        <v>0</v>
      </c>
      <c r="M8" s="29" t="s">
        <v>458</v>
      </c>
      <c r="N8" s="29" t="s">
        <v>458</v>
      </c>
      <c r="O8" s="29" t="s">
        <v>458</v>
      </c>
      <c r="P8" s="29" t="s">
        <v>458</v>
      </c>
    </row>
    <row r="9" spans="1:16">
      <c r="A9" s="29" t="s">
        <v>455</v>
      </c>
      <c r="B9" s="29" t="s">
        <v>462</v>
      </c>
      <c r="C9" s="29" t="s">
        <v>457</v>
      </c>
      <c r="D9" s="12">
        <v>24200</v>
      </c>
      <c r="E9" s="29"/>
      <c r="F9" s="29" t="s">
        <v>465</v>
      </c>
      <c r="G9" s="12">
        <v>10000069</v>
      </c>
      <c r="H9" s="12">
        <v>0</v>
      </c>
      <c r="I9" s="12">
        <v>-1000</v>
      </c>
      <c r="J9" s="12">
        <v>-1500</v>
      </c>
      <c r="K9" s="12">
        <v>-500</v>
      </c>
      <c r="L9" s="12">
        <v>0</v>
      </c>
      <c r="M9" s="29" t="s">
        <v>458</v>
      </c>
      <c r="N9" s="29" t="s">
        <v>458</v>
      </c>
      <c r="O9" s="29" t="s">
        <v>458</v>
      </c>
      <c r="P9" s="29" t="s">
        <v>458</v>
      </c>
    </row>
    <row r="10" spans="1:16">
      <c r="A10" s="29" t="s">
        <v>455</v>
      </c>
      <c r="B10" s="29" t="s">
        <v>462</v>
      </c>
      <c r="C10" s="29" t="s">
        <v>457</v>
      </c>
      <c r="D10" s="12">
        <v>24220</v>
      </c>
      <c r="E10" s="29"/>
      <c r="F10" s="29" t="s">
        <v>466</v>
      </c>
      <c r="G10" s="12">
        <v>10000062</v>
      </c>
      <c r="H10" s="12">
        <v>0</v>
      </c>
      <c r="I10" s="12">
        <v>-20100</v>
      </c>
      <c r="J10" s="12">
        <v>-10050</v>
      </c>
      <c r="K10" s="12">
        <v>10050</v>
      </c>
      <c r="L10" s="12">
        <v>0</v>
      </c>
      <c r="M10" s="29" t="s">
        <v>458</v>
      </c>
      <c r="N10" s="29" t="s">
        <v>458</v>
      </c>
      <c r="O10" s="29" t="s">
        <v>458</v>
      </c>
      <c r="P10" s="29" t="s">
        <v>458</v>
      </c>
    </row>
    <row r="11" spans="1:16">
      <c r="A11" s="29" t="s">
        <v>455</v>
      </c>
      <c r="B11" s="29" t="s">
        <v>462</v>
      </c>
      <c r="C11" s="29" t="s">
        <v>457</v>
      </c>
      <c r="D11" s="12">
        <v>29001</v>
      </c>
      <c r="E11" s="29"/>
      <c r="F11" s="29" t="s">
        <v>467</v>
      </c>
      <c r="G11" s="12">
        <v>10000167</v>
      </c>
      <c r="H11" s="12">
        <v>0</v>
      </c>
      <c r="I11" s="12">
        <v>-4106.34</v>
      </c>
      <c r="J11" s="12">
        <v>-6661.84</v>
      </c>
      <c r="K11" s="12">
        <v>-2555.5</v>
      </c>
      <c r="L11" s="12">
        <v>0</v>
      </c>
      <c r="M11" s="29" t="s">
        <v>458</v>
      </c>
      <c r="N11" s="29" t="s">
        <v>458</v>
      </c>
      <c r="O11" s="29" t="s">
        <v>458</v>
      </c>
      <c r="P11" s="29" t="s">
        <v>458</v>
      </c>
    </row>
    <row r="12" spans="1:16">
      <c r="A12" s="29" t="s">
        <v>468</v>
      </c>
      <c r="B12" s="29" t="s">
        <v>469</v>
      </c>
      <c r="C12" s="29" t="s">
        <v>457</v>
      </c>
      <c r="D12" s="12">
        <v>46020</v>
      </c>
      <c r="E12" s="29"/>
      <c r="F12" s="29" t="s">
        <v>470</v>
      </c>
      <c r="G12" s="12">
        <v>17</v>
      </c>
      <c r="H12" s="12">
        <v>0</v>
      </c>
      <c r="I12" s="12">
        <v>73641499.209999993</v>
      </c>
      <c r="J12" s="12">
        <v>84378604.409999996</v>
      </c>
      <c r="K12" s="12">
        <v>10737105.199999999</v>
      </c>
      <c r="L12" s="12">
        <v>155136125.66</v>
      </c>
      <c r="M12" s="29" t="s">
        <v>458</v>
      </c>
      <c r="N12" s="29" t="s">
        <v>458</v>
      </c>
      <c r="O12" s="29" t="s">
        <v>458</v>
      </c>
      <c r="P12" s="29" t="s">
        <v>458</v>
      </c>
    </row>
    <row r="13" spans="1:16">
      <c r="A13" s="29" t="s">
        <v>468</v>
      </c>
      <c r="B13" s="29" t="s">
        <v>469</v>
      </c>
      <c r="C13" s="29" t="s">
        <v>457</v>
      </c>
      <c r="D13" s="12">
        <v>61300</v>
      </c>
      <c r="E13" s="29"/>
      <c r="F13" s="29" t="s">
        <v>471</v>
      </c>
      <c r="G13" s="12">
        <v>27</v>
      </c>
      <c r="H13" s="12">
        <v>0</v>
      </c>
      <c r="I13" s="12">
        <v>7250.23</v>
      </c>
      <c r="J13" s="12">
        <v>8084.45</v>
      </c>
      <c r="K13" s="12">
        <v>834.22</v>
      </c>
      <c r="L13" s="12">
        <v>1157683.71</v>
      </c>
      <c r="M13" s="29" t="s">
        <v>458</v>
      </c>
      <c r="N13" s="29" t="s">
        <v>458</v>
      </c>
      <c r="O13" s="29" t="s">
        <v>458</v>
      </c>
      <c r="P13" s="29" t="s">
        <v>458</v>
      </c>
    </row>
    <row r="14" spans="1:16">
      <c r="A14" s="29" t="s">
        <v>468</v>
      </c>
      <c r="B14" s="29" t="s">
        <v>469</v>
      </c>
      <c r="C14" s="29" t="s">
        <v>457</v>
      </c>
      <c r="D14" s="12">
        <v>62000</v>
      </c>
      <c r="E14" s="29"/>
      <c r="F14" s="29" t="s">
        <v>472</v>
      </c>
      <c r="G14" s="12">
        <v>28</v>
      </c>
      <c r="H14" s="12">
        <v>0</v>
      </c>
      <c r="I14" s="12">
        <v>0</v>
      </c>
      <c r="J14" s="12">
        <v>0</v>
      </c>
      <c r="K14" s="12">
        <v>0</v>
      </c>
      <c r="L14" s="12">
        <v>19897272.600000001</v>
      </c>
      <c r="M14" s="29" t="s">
        <v>458</v>
      </c>
      <c r="N14" s="29" t="s">
        <v>458</v>
      </c>
      <c r="O14" s="29" t="s">
        <v>458</v>
      </c>
      <c r="P14" s="29" t="s">
        <v>458</v>
      </c>
    </row>
    <row r="15" spans="1:16">
      <c r="A15" s="29" t="s">
        <v>468</v>
      </c>
      <c r="B15" s="29" t="s">
        <v>469</v>
      </c>
      <c r="C15" s="29" t="s">
        <v>457</v>
      </c>
      <c r="D15" s="12">
        <v>62800</v>
      </c>
      <c r="E15" s="29"/>
      <c r="F15" s="29" t="s">
        <v>473</v>
      </c>
      <c r="G15" s="12">
        <v>265</v>
      </c>
      <c r="H15" s="12">
        <v>0</v>
      </c>
      <c r="I15" s="12">
        <v>-5539.75</v>
      </c>
      <c r="J15" s="12">
        <v>-8811.51</v>
      </c>
      <c r="K15" s="12">
        <v>-3271.76</v>
      </c>
      <c r="L15" s="12">
        <v>-15372.66</v>
      </c>
      <c r="M15" s="29" t="s">
        <v>458</v>
      </c>
      <c r="N15" s="29" t="s">
        <v>458</v>
      </c>
      <c r="O15" s="29" t="s">
        <v>458</v>
      </c>
      <c r="P15" s="29" t="s">
        <v>458</v>
      </c>
    </row>
    <row r="16" spans="1:16">
      <c r="A16" s="29" t="s">
        <v>468</v>
      </c>
      <c r="B16" s="29" t="s">
        <v>469</v>
      </c>
      <c r="C16" s="29" t="s">
        <v>457</v>
      </c>
      <c r="D16" s="12">
        <v>62900</v>
      </c>
      <c r="E16" s="29"/>
      <c r="F16" s="29" t="s">
        <v>474</v>
      </c>
      <c r="G16" s="12">
        <v>267</v>
      </c>
      <c r="H16" s="12">
        <v>0</v>
      </c>
      <c r="I16" s="12">
        <v>-1625.62</v>
      </c>
      <c r="J16" s="12">
        <v>-3656.5</v>
      </c>
      <c r="K16" s="12">
        <v>-2030.88</v>
      </c>
      <c r="L16" s="12">
        <v>-39821.019999999997</v>
      </c>
      <c r="M16" s="29" t="s">
        <v>458</v>
      </c>
      <c r="N16" s="29" t="s">
        <v>458</v>
      </c>
      <c r="O16" s="29" t="s">
        <v>458</v>
      </c>
      <c r="P16" s="29" t="s">
        <v>458</v>
      </c>
    </row>
    <row r="17" spans="1:16">
      <c r="A17" s="29" t="s">
        <v>468</v>
      </c>
      <c r="B17" s="29" t="s">
        <v>469</v>
      </c>
      <c r="C17" s="29" t="s">
        <v>457</v>
      </c>
      <c r="D17" s="12">
        <v>64200</v>
      </c>
      <c r="E17" s="29"/>
      <c r="F17" s="29" t="s">
        <v>475</v>
      </c>
      <c r="G17" s="12">
        <v>47</v>
      </c>
      <c r="H17" s="12">
        <v>0</v>
      </c>
      <c r="I17" s="12">
        <v>0</v>
      </c>
      <c r="J17" s="12">
        <v>-51527.46</v>
      </c>
      <c r="K17" s="12">
        <v>-51527.46</v>
      </c>
      <c r="L17" s="12">
        <v>-49386.78</v>
      </c>
      <c r="M17" s="29" t="s">
        <v>458</v>
      </c>
      <c r="N17" s="29" t="s">
        <v>458</v>
      </c>
      <c r="O17" s="29" t="s">
        <v>458</v>
      </c>
      <c r="P17" s="29" t="s">
        <v>458</v>
      </c>
    </row>
    <row r="18" spans="1:16">
      <c r="A18" s="29" t="s">
        <v>468</v>
      </c>
      <c r="B18" s="29" t="s">
        <v>469</v>
      </c>
      <c r="C18" s="29" t="s">
        <v>457</v>
      </c>
      <c r="D18" s="12">
        <v>64600</v>
      </c>
      <c r="E18" s="29"/>
      <c r="F18" s="29" t="s">
        <v>476</v>
      </c>
      <c r="G18" s="12">
        <v>269</v>
      </c>
      <c r="H18" s="12">
        <v>0</v>
      </c>
      <c r="I18" s="12">
        <v>-22651.91</v>
      </c>
      <c r="J18" s="12">
        <v>-38652.17</v>
      </c>
      <c r="K18" s="12">
        <v>-16000.26</v>
      </c>
      <c r="L18" s="12">
        <v>-23082.05</v>
      </c>
      <c r="M18" s="29" t="s">
        <v>458</v>
      </c>
      <c r="N18" s="29" t="s">
        <v>458</v>
      </c>
      <c r="O18" s="29" t="s">
        <v>458</v>
      </c>
      <c r="P18" s="29" t="s">
        <v>458</v>
      </c>
    </row>
    <row r="19" spans="1:16">
      <c r="A19" s="29" t="s">
        <v>468</v>
      </c>
      <c r="B19" s="29" t="s">
        <v>469</v>
      </c>
      <c r="C19" s="29" t="s">
        <v>457</v>
      </c>
      <c r="D19" s="12">
        <v>64700</v>
      </c>
      <c r="E19" s="29"/>
      <c r="F19" s="29" t="s">
        <v>477</v>
      </c>
      <c r="G19" s="12">
        <v>271</v>
      </c>
      <c r="H19" s="12">
        <v>0</v>
      </c>
      <c r="I19" s="12">
        <v>0</v>
      </c>
      <c r="J19" s="12">
        <v>0</v>
      </c>
      <c r="K19" s="12">
        <v>0</v>
      </c>
      <c r="L19" s="12">
        <v>-809.96</v>
      </c>
      <c r="M19" s="29" t="s">
        <v>458</v>
      </c>
      <c r="N19" s="29" t="s">
        <v>458</v>
      </c>
      <c r="O19" s="29" t="s">
        <v>458</v>
      </c>
      <c r="P19" s="29" t="s">
        <v>458</v>
      </c>
    </row>
    <row r="20" spans="1:16">
      <c r="A20" s="29" t="s">
        <v>468</v>
      </c>
      <c r="B20" s="29" t="s">
        <v>469</v>
      </c>
      <c r="C20" s="29" t="s">
        <v>457</v>
      </c>
      <c r="D20" s="12">
        <v>65900</v>
      </c>
      <c r="E20" s="29"/>
      <c r="F20" s="29" t="s">
        <v>478</v>
      </c>
      <c r="G20" s="12">
        <v>41</v>
      </c>
      <c r="H20" s="12">
        <v>0</v>
      </c>
      <c r="I20" s="12">
        <v>0</v>
      </c>
      <c r="J20" s="12">
        <v>0</v>
      </c>
      <c r="K20" s="12">
        <v>0</v>
      </c>
      <c r="L20" s="12">
        <v>-50</v>
      </c>
      <c r="M20" s="29" t="s">
        <v>458</v>
      </c>
      <c r="N20" s="29" t="s">
        <v>458</v>
      </c>
      <c r="O20" s="29" t="s">
        <v>458</v>
      </c>
      <c r="P20" s="29" t="s">
        <v>458</v>
      </c>
    </row>
    <row r="21" spans="1:16">
      <c r="A21" s="29" t="s">
        <v>468</v>
      </c>
      <c r="B21" s="29" t="s">
        <v>469</v>
      </c>
      <c r="C21" s="29" t="s">
        <v>457</v>
      </c>
      <c r="D21" s="12">
        <v>68103</v>
      </c>
      <c r="E21" s="29"/>
      <c r="F21" s="29" t="s">
        <v>479</v>
      </c>
      <c r="G21" s="12">
        <v>241</v>
      </c>
      <c r="H21" s="12">
        <v>0</v>
      </c>
      <c r="I21" s="12">
        <v>-3424.92</v>
      </c>
      <c r="J21" s="12">
        <v>-10275.9</v>
      </c>
      <c r="K21" s="12">
        <v>-6850.98</v>
      </c>
      <c r="L21" s="12">
        <v>-10464.16</v>
      </c>
      <c r="M21" s="29" t="s">
        <v>458</v>
      </c>
      <c r="N21" s="29" t="s">
        <v>458</v>
      </c>
      <c r="O21" s="29" t="s">
        <v>458</v>
      </c>
      <c r="P21" s="29" t="s">
        <v>458</v>
      </c>
    </row>
    <row r="22" spans="1:16">
      <c r="A22" s="29" t="s">
        <v>468</v>
      </c>
      <c r="B22" s="29" t="s">
        <v>469</v>
      </c>
      <c r="C22" s="29" t="s">
        <v>457</v>
      </c>
      <c r="D22" s="12">
        <v>68146</v>
      </c>
      <c r="E22" s="29"/>
      <c r="F22" s="29" t="s">
        <v>480</v>
      </c>
      <c r="G22" s="12">
        <v>369</v>
      </c>
      <c r="H22" s="12">
        <v>0</v>
      </c>
      <c r="I22" s="12">
        <v>0</v>
      </c>
      <c r="J22" s="12">
        <v>0</v>
      </c>
      <c r="K22" s="12">
        <v>0</v>
      </c>
      <c r="L22" s="12">
        <v>-295.60000000000002</v>
      </c>
      <c r="M22" s="29" t="s">
        <v>458</v>
      </c>
      <c r="N22" s="29" t="s">
        <v>458</v>
      </c>
      <c r="O22" s="29" t="s">
        <v>458</v>
      </c>
      <c r="P22" s="29" t="s">
        <v>458</v>
      </c>
    </row>
    <row r="23" spans="1:16">
      <c r="A23" s="29" t="s">
        <v>468</v>
      </c>
      <c r="B23" s="29" t="s">
        <v>469</v>
      </c>
      <c r="C23" s="29" t="s">
        <v>457</v>
      </c>
      <c r="D23" s="12">
        <v>70054</v>
      </c>
      <c r="E23" s="29"/>
      <c r="F23" s="29" t="s">
        <v>481</v>
      </c>
      <c r="G23" s="12">
        <v>10000245</v>
      </c>
      <c r="H23" s="12">
        <v>0</v>
      </c>
      <c r="I23" s="12">
        <v>-7149.59</v>
      </c>
      <c r="J23" s="12">
        <v>-7149.59</v>
      </c>
      <c r="K23" s="12">
        <v>0</v>
      </c>
      <c r="L23" s="12">
        <v>0</v>
      </c>
      <c r="M23" s="29" t="s">
        <v>458</v>
      </c>
      <c r="N23" s="29" t="s">
        <v>458</v>
      </c>
      <c r="O23" s="29" t="s">
        <v>458</v>
      </c>
      <c r="P23" s="29" t="s">
        <v>458</v>
      </c>
    </row>
    <row r="24" spans="1:16">
      <c r="A24" s="29" t="s">
        <v>468</v>
      </c>
      <c r="B24" s="29" t="s">
        <v>469</v>
      </c>
      <c r="C24" s="29" t="s">
        <v>457</v>
      </c>
      <c r="D24" s="12">
        <v>70060</v>
      </c>
      <c r="E24" s="29"/>
      <c r="F24" s="29" t="s">
        <v>482</v>
      </c>
      <c r="G24" s="12">
        <v>10000229</v>
      </c>
      <c r="H24" s="12">
        <v>0</v>
      </c>
      <c r="I24" s="12">
        <v>-161583.32</v>
      </c>
      <c r="J24" s="12">
        <v>-161583.32</v>
      </c>
      <c r="K24" s="12">
        <v>0</v>
      </c>
      <c r="L24" s="12">
        <v>-111452.41</v>
      </c>
      <c r="M24" s="29" t="s">
        <v>458</v>
      </c>
      <c r="N24" s="29" t="s">
        <v>458</v>
      </c>
      <c r="O24" s="29" t="s">
        <v>458</v>
      </c>
      <c r="P24" s="29" t="s">
        <v>458</v>
      </c>
    </row>
    <row r="25" spans="1:16">
      <c r="A25" s="29" t="s">
        <v>468</v>
      </c>
      <c r="B25" s="29" t="s">
        <v>469</v>
      </c>
      <c r="C25" s="29" t="s">
        <v>457</v>
      </c>
      <c r="D25" s="12">
        <v>71100</v>
      </c>
      <c r="E25" s="29"/>
      <c r="F25" s="29" t="s">
        <v>483</v>
      </c>
      <c r="G25" s="12">
        <v>10000024</v>
      </c>
      <c r="H25" s="12">
        <v>0</v>
      </c>
      <c r="I25" s="12">
        <v>0</v>
      </c>
      <c r="J25" s="12">
        <v>0</v>
      </c>
      <c r="K25" s="12">
        <v>0</v>
      </c>
      <c r="L25" s="12">
        <v>-172536.17</v>
      </c>
      <c r="M25" s="29" t="s">
        <v>458</v>
      </c>
      <c r="N25" s="29" t="s">
        <v>458</v>
      </c>
      <c r="O25" s="29" t="s">
        <v>458</v>
      </c>
      <c r="P25" s="29" t="s">
        <v>458</v>
      </c>
    </row>
    <row r="26" spans="1:16">
      <c r="A26" s="29" t="s">
        <v>468</v>
      </c>
      <c r="B26" s="29" t="s">
        <v>469</v>
      </c>
      <c r="C26" s="29" t="s">
        <v>457</v>
      </c>
      <c r="D26" s="12">
        <v>74220</v>
      </c>
      <c r="E26" s="29"/>
      <c r="F26" s="29" t="s">
        <v>484</v>
      </c>
      <c r="G26" s="12">
        <v>10000065</v>
      </c>
      <c r="H26" s="12">
        <v>0</v>
      </c>
      <c r="I26" s="12">
        <v>-6700</v>
      </c>
      <c r="J26" s="12">
        <v>-10050</v>
      </c>
      <c r="K26" s="12">
        <v>-3350</v>
      </c>
      <c r="L26" s="12">
        <v>-25800</v>
      </c>
      <c r="M26" s="29" t="s">
        <v>458</v>
      </c>
      <c r="N26" s="29" t="s">
        <v>458</v>
      </c>
      <c r="O26" s="29" t="s">
        <v>458</v>
      </c>
      <c r="P26" s="29" t="s">
        <v>458</v>
      </c>
    </row>
    <row r="27" spans="1:16">
      <c r="A27" s="29" t="s">
        <v>468</v>
      </c>
      <c r="B27" s="29" t="s">
        <v>469</v>
      </c>
      <c r="C27" s="29" t="s">
        <v>457</v>
      </c>
      <c r="D27" s="12">
        <v>74800</v>
      </c>
      <c r="E27" s="29"/>
      <c r="F27" s="29" t="s">
        <v>485</v>
      </c>
      <c r="G27" s="12">
        <v>10000240</v>
      </c>
      <c r="H27" s="12">
        <v>0</v>
      </c>
      <c r="I27" s="12">
        <v>-219944</v>
      </c>
      <c r="J27" s="12">
        <v>-280181</v>
      </c>
      <c r="K27" s="12">
        <v>-60237</v>
      </c>
      <c r="L27" s="12">
        <v>-2045678</v>
      </c>
      <c r="M27" s="29" t="s">
        <v>458</v>
      </c>
      <c r="N27" s="29" t="s">
        <v>458</v>
      </c>
      <c r="O27" s="29" t="s">
        <v>458</v>
      </c>
      <c r="P27" s="29" t="s">
        <v>458</v>
      </c>
    </row>
    <row r="28" spans="1:16">
      <c r="A28" s="29" t="s">
        <v>468</v>
      </c>
      <c r="B28" s="29" t="s">
        <v>469</v>
      </c>
      <c r="C28" s="29" t="s">
        <v>457</v>
      </c>
      <c r="D28" s="12">
        <v>76100</v>
      </c>
      <c r="E28" s="29"/>
      <c r="F28" s="29" t="s">
        <v>486</v>
      </c>
      <c r="G28" s="12">
        <v>10000003</v>
      </c>
      <c r="H28" s="12">
        <v>0</v>
      </c>
      <c r="I28" s="12">
        <v>0</v>
      </c>
      <c r="J28" s="12">
        <v>0</v>
      </c>
      <c r="K28" s="12">
        <v>0</v>
      </c>
      <c r="L28" s="12">
        <v>-99913.26</v>
      </c>
      <c r="M28" s="29" t="s">
        <v>458</v>
      </c>
      <c r="N28" s="29" t="s">
        <v>458</v>
      </c>
      <c r="O28" s="29" t="s">
        <v>458</v>
      </c>
      <c r="P28" s="29" t="s">
        <v>458</v>
      </c>
    </row>
    <row r="29" spans="1:16">
      <c r="A29" s="29" t="s">
        <v>468</v>
      </c>
      <c r="B29" s="29" t="s">
        <v>469</v>
      </c>
      <c r="C29" s="29" t="s">
        <v>457</v>
      </c>
      <c r="D29" s="12">
        <v>76500</v>
      </c>
      <c r="E29" s="29"/>
      <c r="F29" s="29" t="s">
        <v>487</v>
      </c>
      <c r="G29" s="12">
        <v>10000016</v>
      </c>
      <c r="H29" s="12">
        <v>0</v>
      </c>
      <c r="I29" s="12">
        <v>-64156.24</v>
      </c>
      <c r="J29" s="12">
        <v>-95126.45</v>
      </c>
      <c r="K29" s="12">
        <v>-30970.21</v>
      </c>
      <c r="L29" s="12">
        <v>-35193.86</v>
      </c>
      <c r="M29" s="29" t="s">
        <v>458</v>
      </c>
      <c r="N29" s="29" t="s">
        <v>458</v>
      </c>
      <c r="O29" s="29" t="s">
        <v>458</v>
      </c>
      <c r="P29" s="29" t="s">
        <v>458</v>
      </c>
    </row>
    <row r="30" spans="1:16">
      <c r="A30" s="29" t="s">
        <v>468</v>
      </c>
      <c r="B30" s="29" t="s">
        <v>469</v>
      </c>
      <c r="C30" s="29" t="s">
        <v>457</v>
      </c>
      <c r="D30" s="12">
        <v>76510</v>
      </c>
      <c r="E30" s="29"/>
      <c r="F30" s="29" t="s">
        <v>488</v>
      </c>
      <c r="G30" s="12">
        <v>10000194</v>
      </c>
      <c r="H30" s="12">
        <v>0</v>
      </c>
      <c r="I30" s="12">
        <v>0</v>
      </c>
      <c r="J30" s="12">
        <v>0</v>
      </c>
      <c r="K30" s="12">
        <v>0</v>
      </c>
      <c r="L30" s="12">
        <v>-12165.48</v>
      </c>
      <c r="M30" s="29" t="s">
        <v>458</v>
      </c>
      <c r="N30" s="29" t="s">
        <v>458</v>
      </c>
      <c r="O30" s="29" t="s">
        <v>458</v>
      </c>
      <c r="P30" s="29" t="s">
        <v>458</v>
      </c>
    </row>
    <row r="31" spans="1:16">
      <c r="A31" s="29" t="s">
        <v>468</v>
      </c>
      <c r="B31" s="29" t="s">
        <v>469</v>
      </c>
      <c r="C31" s="29" t="s">
        <v>457</v>
      </c>
      <c r="D31" s="12">
        <v>78800</v>
      </c>
      <c r="E31" s="29"/>
      <c r="F31" s="29" t="s">
        <v>489</v>
      </c>
      <c r="G31" s="12">
        <v>10000040</v>
      </c>
      <c r="H31" s="12">
        <v>0</v>
      </c>
      <c r="I31" s="12">
        <v>-79926.53</v>
      </c>
      <c r="J31" s="12">
        <v>-91820</v>
      </c>
      <c r="K31" s="12">
        <v>-11893.47</v>
      </c>
      <c r="L31" s="12">
        <v>-60401.48</v>
      </c>
      <c r="M31" s="29" t="s">
        <v>458</v>
      </c>
      <c r="N31" s="29" t="s">
        <v>458</v>
      </c>
      <c r="O31" s="29" t="s">
        <v>458</v>
      </c>
      <c r="P31" s="29" t="s">
        <v>458</v>
      </c>
    </row>
    <row r="32" spans="1:16">
      <c r="A32" s="29" t="s">
        <v>468</v>
      </c>
      <c r="B32" s="29" t="s">
        <v>469</v>
      </c>
      <c r="C32" s="29" t="s">
        <v>457</v>
      </c>
      <c r="D32" s="12">
        <v>79000</v>
      </c>
      <c r="E32" s="29"/>
      <c r="F32" s="29" t="s">
        <v>490</v>
      </c>
      <c r="G32" s="12">
        <v>10000131</v>
      </c>
      <c r="H32" s="12">
        <v>0</v>
      </c>
      <c r="I32" s="12">
        <v>-1500</v>
      </c>
      <c r="J32" s="12">
        <v>-2250</v>
      </c>
      <c r="K32" s="12">
        <v>-750</v>
      </c>
      <c r="L32" s="12">
        <v>-11799.28</v>
      </c>
      <c r="M32" s="29" t="s">
        <v>458</v>
      </c>
      <c r="N32" s="29" t="s">
        <v>458</v>
      </c>
      <c r="O32" s="29" t="s">
        <v>458</v>
      </c>
      <c r="P32" s="29" t="s">
        <v>458</v>
      </c>
    </row>
    <row r="33" spans="1:16">
      <c r="A33" s="29" t="s">
        <v>468</v>
      </c>
      <c r="B33" s="29" t="s">
        <v>469</v>
      </c>
      <c r="C33" s="29" t="s">
        <v>457</v>
      </c>
      <c r="D33" s="12">
        <v>79001</v>
      </c>
      <c r="E33" s="29"/>
      <c r="F33" s="29" t="s">
        <v>491</v>
      </c>
      <c r="G33" s="12">
        <v>10000168</v>
      </c>
      <c r="H33" s="12">
        <v>0</v>
      </c>
      <c r="I33" s="12">
        <v>0</v>
      </c>
      <c r="J33" s="12">
        <v>0</v>
      </c>
      <c r="K33" s="12">
        <v>0</v>
      </c>
      <c r="L33" s="12">
        <v>-212.14</v>
      </c>
      <c r="M33" s="29" t="s">
        <v>458</v>
      </c>
      <c r="N33" s="29" t="s">
        <v>458</v>
      </c>
      <c r="O33" s="29" t="s">
        <v>458</v>
      </c>
      <c r="P33" s="29" t="s">
        <v>458</v>
      </c>
    </row>
    <row r="34" spans="1:16">
      <c r="A34" s="29" t="s">
        <v>468</v>
      </c>
      <c r="B34" s="29" t="s">
        <v>492</v>
      </c>
      <c r="C34" s="29" t="s">
        <v>457</v>
      </c>
      <c r="D34" s="12">
        <v>30000</v>
      </c>
      <c r="E34" s="29"/>
      <c r="F34" s="29" t="s">
        <v>493</v>
      </c>
      <c r="G34" s="12">
        <v>16</v>
      </c>
      <c r="H34" s="12">
        <v>0</v>
      </c>
      <c r="I34" s="12">
        <v>892875892.64999998</v>
      </c>
      <c r="J34" s="12">
        <v>894375892.64999998</v>
      </c>
      <c r="K34" s="12">
        <v>1500000</v>
      </c>
      <c r="L34" s="12">
        <v>0</v>
      </c>
      <c r="M34" s="29" t="s">
        <v>458</v>
      </c>
      <c r="N34" s="29" t="s">
        <v>458</v>
      </c>
      <c r="O34" s="29" t="s">
        <v>458</v>
      </c>
      <c r="P34" s="29" t="s">
        <v>458</v>
      </c>
    </row>
    <row r="35" spans="1:16">
      <c r="A35" s="29" t="s">
        <v>468</v>
      </c>
      <c r="B35" s="29" t="s">
        <v>492</v>
      </c>
      <c r="C35" s="29" t="s">
        <v>457</v>
      </c>
      <c r="D35" s="12">
        <v>31000</v>
      </c>
      <c r="E35" s="29" t="s">
        <v>458</v>
      </c>
      <c r="F35" s="29" t="s">
        <v>494</v>
      </c>
      <c r="G35" s="12">
        <v>0</v>
      </c>
      <c r="H35" s="12">
        <v>0</v>
      </c>
      <c r="I35" s="12">
        <v>173476647.66</v>
      </c>
      <c r="J35" s="12">
        <v>173476647.66</v>
      </c>
      <c r="K35" s="12">
        <v>0</v>
      </c>
      <c r="L35" s="12">
        <v>0</v>
      </c>
      <c r="M35" s="29" t="s">
        <v>458</v>
      </c>
      <c r="N35" s="29" t="s">
        <v>458</v>
      </c>
      <c r="O35" s="29" t="s">
        <v>458</v>
      </c>
      <c r="P35" s="29" t="s">
        <v>458</v>
      </c>
    </row>
    <row r="36" spans="1:16">
      <c r="A36" s="29" t="s">
        <v>468</v>
      </c>
      <c r="B36" s="29" t="s">
        <v>492</v>
      </c>
      <c r="C36" s="29" t="s">
        <v>457</v>
      </c>
      <c r="D36" s="12">
        <v>39100</v>
      </c>
      <c r="E36" s="29"/>
      <c r="F36" s="29" t="s">
        <v>495</v>
      </c>
      <c r="G36" s="12">
        <v>10000054</v>
      </c>
      <c r="H36" s="12">
        <v>0</v>
      </c>
      <c r="I36" s="12">
        <v>-19897272.600000001</v>
      </c>
      <c r="J36" s="12">
        <v>-19897272.600000001</v>
      </c>
      <c r="K36" s="12">
        <v>0</v>
      </c>
      <c r="L36" s="12">
        <v>0</v>
      </c>
      <c r="M36" s="29" t="s">
        <v>458</v>
      </c>
      <c r="N36" s="29" t="s">
        <v>458</v>
      </c>
      <c r="O36" s="29" t="s">
        <v>458</v>
      </c>
      <c r="P36" s="29" t="s">
        <v>458</v>
      </c>
    </row>
    <row r="37" spans="1:16">
      <c r="A37" s="29" t="s">
        <v>468</v>
      </c>
      <c r="B37" s="29" t="s">
        <v>492</v>
      </c>
      <c r="C37" s="29" t="s">
        <v>457</v>
      </c>
      <c r="D37" s="12">
        <v>39400</v>
      </c>
      <c r="E37" s="29"/>
      <c r="F37" s="29" t="s">
        <v>496</v>
      </c>
      <c r="G37" s="12">
        <v>10000117</v>
      </c>
      <c r="H37" s="12">
        <v>0</v>
      </c>
      <c r="I37" s="12">
        <v>-155786798.36000001</v>
      </c>
      <c r="J37" s="12">
        <v>-155786798.36000001</v>
      </c>
      <c r="K37" s="12">
        <v>0</v>
      </c>
      <c r="L37" s="12">
        <v>0</v>
      </c>
      <c r="M37" s="29" t="s">
        <v>458</v>
      </c>
      <c r="N37" s="29" t="s">
        <v>458</v>
      </c>
      <c r="O37" s="29" t="s">
        <v>458</v>
      </c>
      <c r="P37" s="29" t="s">
        <v>458</v>
      </c>
    </row>
  </sheetData>
  <mergeCells count="1">
    <mergeCell ref="A1:P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88AF-4015-4B1E-B636-CCB15704D98B}">
  <dimension ref="A1:AA4"/>
  <sheetViews>
    <sheetView workbookViewId="0">
      <selection activeCell="D4" sqref="D4"/>
    </sheetView>
  </sheetViews>
  <sheetFormatPr defaultRowHeight="15"/>
  <cols>
    <col min="1" max="1" width="11.5703125" bestFit="1" customWidth="1"/>
    <col min="2" max="2" width="30" bestFit="1" customWidth="1"/>
    <col min="3" max="3" width="36.42578125" bestFit="1" customWidth="1"/>
    <col min="4" max="4" width="13.42578125" bestFit="1" customWidth="1"/>
    <col min="5" max="5" width="23.7109375" bestFit="1" customWidth="1"/>
    <col min="6" max="6" width="16.28515625" bestFit="1" customWidth="1"/>
    <col min="7" max="7" width="15.85546875" bestFit="1" customWidth="1"/>
    <col min="8" max="8" width="18.85546875" bestFit="1" customWidth="1"/>
    <col min="9" max="9" width="17.85546875" bestFit="1" customWidth="1"/>
    <col min="10" max="12" width="12" bestFit="1" customWidth="1"/>
    <col min="13" max="13" width="14.85546875" bestFit="1" customWidth="1"/>
    <col min="14" max="14" width="14.140625" bestFit="1" customWidth="1"/>
    <col min="15" max="15" width="27.140625" bestFit="1" customWidth="1"/>
    <col min="16" max="16" width="10.5703125" bestFit="1" customWidth="1"/>
    <col min="17" max="18" width="21.42578125" bestFit="1" customWidth="1"/>
    <col min="19" max="19" width="19.7109375" bestFit="1" customWidth="1"/>
    <col min="20" max="20" width="13.28515625" bestFit="1" customWidth="1"/>
    <col min="21" max="21" width="24.7109375" bestFit="1" customWidth="1"/>
    <col min="22" max="22" width="19.140625" bestFit="1" customWidth="1"/>
    <col min="23" max="23" width="15.7109375" bestFit="1" customWidth="1"/>
    <col min="24" max="24" width="12.85546875" bestFit="1" customWidth="1"/>
    <col min="25" max="25" width="14.85546875" bestFit="1" customWidth="1"/>
    <col min="26" max="26" width="17.28515625" bestFit="1" customWidth="1"/>
    <col min="27" max="27" width="12.7109375" bestFit="1" customWidth="1"/>
  </cols>
  <sheetData>
    <row r="1" spans="1:27" ht="30" customHeight="1">
      <c r="A1" s="72" t="s">
        <v>497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</row>
    <row r="2" spans="1:27">
      <c r="A2" t="s">
        <v>498</v>
      </c>
      <c r="B2" t="s">
        <v>499</v>
      </c>
      <c r="C2" t="s">
        <v>500</v>
      </c>
      <c r="D2" t="s">
        <v>501</v>
      </c>
      <c r="E2" t="s">
        <v>502</v>
      </c>
      <c r="F2" t="s">
        <v>503</v>
      </c>
      <c r="G2" t="s">
        <v>504</v>
      </c>
      <c r="H2" t="s">
        <v>505</v>
      </c>
      <c r="I2" t="s">
        <v>506</v>
      </c>
      <c r="J2" t="s">
        <v>507</v>
      </c>
      <c r="K2" t="s">
        <v>508</v>
      </c>
      <c r="L2" t="s">
        <v>509</v>
      </c>
      <c r="M2" t="s">
        <v>510</v>
      </c>
      <c r="N2" t="s">
        <v>511</v>
      </c>
      <c r="O2" t="s">
        <v>512</v>
      </c>
      <c r="P2" t="s">
        <v>513</v>
      </c>
      <c r="Q2" t="s">
        <v>514</v>
      </c>
      <c r="R2" t="s">
        <v>515</v>
      </c>
      <c r="S2" t="s">
        <v>516</v>
      </c>
      <c r="T2" t="s">
        <v>517</v>
      </c>
      <c r="U2" t="s">
        <v>439</v>
      </c>
      <c r="V2" t="s">
        <v>440</v>
      </c>
      <c r="W2" t="s">
        <v>518</v>
      </c>
      <c r="X2" t="s">
        <v>519</v>
      </c>
      <c r="Y2" t="s">
        <v>520</v>
      </c>
      <c r="Z2" t="s">
        <v>521</v>
      </c>
      <c r="AA2" t="s">
        <v>522</v>
      </c>
    </row>
    <row r="3" spans="1:27">
      <c r="A3" s="12">
        <v>10070500</v>
      </c>
      <c r="B3" s="29" t="s">
        <v>56</v>
      </c>
      <c r="C3" s="29" t="s">
        <v>523</v>
      </c>
      <c r="D3" s="12">
        <v>0</v>
      </c>
      <c r="E3" s="29" t="s">
        <v>524</v>
      </c>
      <c r="F3" s="29"/>
      <c r="G3" s="29" t="s">
        <v>418</v>
      </c>
      <c r="H3" s="29" t="s">
        <v>525</v>
      </c>
      <c r="I3" s="30">
        <v>45139</v>
      </c>
      <c r="J3" s="12">
        <v>64759851.170000002</v>
      </c>
      <c r="K3" s="12">
        <v>497910140.51999998</v>
      </c>
      <c r="L3" s="12">
        <v>7.688562149609</v>
      </c>
      <c r="M3" s="12">
        <v>650641440.70000005</v>
      </c>
      <c r="N3" s="12">
        <v>10.046987893656</v>
      </c>
      <c r="O3" s="12">
        <v>152731300.18000001</v>
      </c>
      <c r="P3" s="12">
        <v>0</v>
      </c>
      <c r="Q3" s="12">
        <v>66.678100000000001</v>
      </c>
      <c r="R3" s="12">
        <v>30.674399999999999</v>
      </c>
      <c r="S3" s="12">
        <v>0</v>
      </c>
      <c r="T3" s="12">
        <v>975794074.30999994</v>
      </c>
      <c r="U3" s="29" t="s">
        <v>22</v>
      </c>
      <c r="V3" s="29" t="s">
        <v>526</v>
      </c>
      <c r="W3" s="29" t="s">
        <v>527</v>
      </c>
      <c r="X3" s="29" t="s">
        <v>528</v>
      </c>
      <c r="Y3" s="12">
        <v>1</v>
      </c>
      <c r="Z3" s="29" t="s">
        <v>458</v>
      </c>
      <c r="AA3" s="29" t="s">
        <v>458</v>
      </c>
    </row>
    <row r="4" spans="1:27">
      <c r="A4" s="12">
        <v>10070499</v>
      </c>
      <c r="B4" s="29" t="s">
        <v>57</v>
      </c>
      <c r="C4" s="29" t="s">
        <v>529</v>
      </c>
      <c r="D4" s="12">
        <v>0</v>
      </c>
      <c r="E4" s="29" t="s">
        <v>524</v>
      </c>
      <c r="F4" s="29"/>
      <c r="G4" s="29" t="s">
        <v>418</v>
      </c>
      <c r="H4" s="29" t="s">
        <v>525</v>
      </c>
      <c r="I4" s="30">
        <v>45139</v>
      </c>
      <c r="J4" s="12">
        <v>244376.79</v>
      </c>
      <c r="K4" s="12">
        <v>237045492.96000001</v>
      </c>
      <c r="L4" s="12">
        <v>970.00002725299703</v>
      </c>
      <c r="M4" s="12">
        <v>323828922.85000002</v>
      </c>
      <c r="N4" s="12">
        <v>1325.1214358368479</v>
      </c>
      <c r="O4" s="12">
        <v>86783429.890000001</v>
      </c>
      <c r="P4" s="12">
        <v>0</v>
      </c>
      <c r="Q4" s="12">
        <v>33.186100000000003</v>
      </c>
      <c r="R4" s="12">
        <v>36.610399999999998</v>
      </c>
      <c r="S4" s="12">
        <v>0</v>
      </c>
      <c r="T4" s="12">
        <v>975794074.30999994</v>
      </c>
      <c r="U4" s="29" t="s">
        <v>22</v>
      </c>
      <c r="V4" s="29" t="s">
        <v>526</v>
      </c>
      <c r="W4" s="29" t="s">
        <v>530</v>
      </c>
      <c r="X4" s="29" t="s">
        <v>531</v>
      </c>
      <c r="Y4" s="12">
        <v>1</v>
      </c>
      <c r="Z4" s="29" t="s">
        <v>458</v>
      </c>
      <c r="AA4" s="29" t="s">
        <v>458</v>
      </c>
    </row>
  </sheetData>
  <mergeCells count="1">
    <mergeCell ref="A1:AA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58239DE8-BFD8-47AD-A07F-41F8CABFC779}"/>
</file>

<file path=customXml/itemProps2.xml><?xml version="1.0" encoding="utf-8"?>
<ds:datastoreItem xmlns:ds="http://schemas.openxmlformats.org/officeDocument/2006/customXml" ds:itemID="{51B467D6-9CFC-4EAC-AAF9-7813E26220F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Apollo Management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brsullivan</dc:creator>
  <cp:keywords/>
  <dc:description/>
  <cp:lastModifiedBy>Samarth Karande</cp:lastModifiedBy>
  <cp:revision/>
  <dcterms:created xsi:type="dcterms:W3CDTF">2012-08-13T23:49:17Z</dcterms:created>
  <dcterms:modified xsi:type="dcterms:W3CDTF">2025-12-22T15:21:27Z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{A44787D4-0540-4523-9961-78E4036D8C6D}">
    <vt:lpwstr>{589CD4E0-62D0-440D-8F12-7FB47F4943F4}</vt:lpwstr>
  </property>
</Properties>
</file>